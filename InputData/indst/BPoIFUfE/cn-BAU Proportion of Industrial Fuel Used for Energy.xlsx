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codeName="ThisWorkbook" defaultThemeVersion="166925"/>
  <mc:AlternateContent xmlns:mc="http://schemas.openxmlformats.org/markup-compatibility/2006">
    <mc:Choice Requires="x15">
      <x15ac:absPath xmlns:x15ac="http://schemas.microsoft.com/office/spreadsheetml/2010/11/ac" url="H:\Workfile\EPS China 3.3.1\InputData\indst\BPoIFUfE\"/>
    </mc:Choice>
  </mc:AlternateContent>
  <xr:revisionPtr revIDLastSave="0" documentId="13_ncr:1_{9B0B5C04-2772-4560-BD76-52B3031573FF}" xr6:coauthVersionLast="47" xr6:coauthVersionMax="47" xr10:uidLastSave="{00000000-0000-0000-0000-000000000000}"/>
  <bookViews>
    <workbookView xWindow="0" yWindow="780" windowWidth="24960" windowHeight="12645" tabRatio="819" firstSheet="24" activeTab="28" xr2:uid="{9B0100EE-2EE6-4CB3-AB40-CD13FEBD5478}"/>
  </bookViews>
  <sheets>
    <sheet name="About" sheetId="13" r:id="rId1"/>
    <sheet name="终端消费" sheetId="11" r:id="rId2"/>
    <sheet name="能源平衡表" sheetId="12" r:id="rId3"/>
    <sheet name="总量" sheetId="2" r:id="rId4"/>
    <sheet name="煤炭" sheetId="1" r:id="rId5"/>
    <sheet name="焦炭" sheetId="3" r:id="rId6"/>
    <sheet name="原油" sheetId="4" r:id="rId7"/>
    <sheet name="煤油" sheetId="6" r:id="rId8"/>
    <sheet name="汽油" sheetId="5" r:id="rId9"/>
    <sheet name="柴油" sheetId="7" r:id="rId10"/>
    <sheet name="燃料油" sheetId="8" r:id="rId11"/>
    <sheet name="天然气" sheetId="9" r:id="rId12"/>
    <sheet name="电力" sheetId="10" r:id="rId13"/>
    <sheet name="Input Data" sheetId="16" r:id="rId14"/>
    <sheet name="Non Energy Use Worksheet" sheetId="19" r:id="rId15"/>
    <sheet name="Non Energy Use Regression" sheetId="21" r:id="rId16"/>
    <sheet name="Start Year Energy" sheetId="18" r:id="rId17"/>
    <sheet name="Sector Code Switch" sheetId="14" r:id="rId18"/>
    <sheet name="Fuel Code Switch" sheetId="15" r:id="rId19"/>
    <sheet name="Energy Heat Value Conversion" sheetId="17" r:id="rId20"/>
    <sheet name="BPoIFufE-biomass" sheetId="22" r:id="rId21"/>
    <sheet name="BPoIFufE-coal" sheetId="23" r:id="rId22"/>
    <sheet name="BPoIFufE-crude-oil" sheetId="25" r:id="rId23"/>
    <sheet name="BPoIFufE-electricity" sheetId="26" r:id="rId24"/>
    <sheet name="BPoIFufE-heat" sheetId="27" r:id="rId25"/>
    <sheet name="BPoIFufE-heavy-or-residual-oil" sheetId="28" r:id="rId26"/>
    <sheet name="BPoIFufE-hydrogen" sheetId="29" r:id="rId27"/>
    <sheet name="BPoIFufE-LPG-propane-or-butane" sheetId="30" r:id="rId28"/>
    <sheet name="BPoIFufE-natural-gas" sheetId="32" r:id="rId29"/>
    <sheet name="BPoIFufE-petroleu-diesel" sheetId="31" r:id="rId30"/>
  </sheets>
  <externalReferences>
    <externalReference r:id="rId31"/>
  </externalReferences>
  <definedNames>
    <definedName name="_xlnm._FilterDatabase" localSheetId="14" hidden="1">'Non Energy Use Worksheet'!#REF!</definedName>
    <definedName name="_xlnm._FilterDatabase" localSheetId="17" hidden="1">'Sector Code Switch'!$A$1:$D$43</definedName>
    <definedName name="_xlnm._FilterDatabase" localSheetId="7" hidden="1">煤油!$L$2:$U$2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2" l="1"/>
  <c r="B4" i="32"/>
  <c r="B5" i="32"/>
  <c r="B6" i="32"/>
  <c r="B7" i="32"/>
  <c r="B8" i="32"/>
  <c r="B9" i="32"/>
  <c r="B10" i="32"/>
  <c r="B11" i="32"/>
  <c r="B12" i="32"/>
  <c r="B13" i="32"/>
  <c r="B14" i="32"/>
  <c r="B15" i="32"/>
  <c r="B16" i="32"/>
  <c r="B17" i="32"/>
  <c r="B18" i="32"/>
  <c r="AA18" i="32" s="1"/>
  <c r="B19" i="32"/>
  <c r="B20" i="32"/>
  <c r="B21" i="32"/>
  <c r="B22" i="32"/>
  <c r="B23" i="32"/>
  <c r="B24" i="32"/>
  <c r="B25" i="32"/>
  <c r="B26" i="32"/>
  <c r="B2" i="32"/>
  <c r="B3" i="31"/>
  <c r="B4" i="31"/>
  <c r="B5" i="31"/>
  <c r="B6" i="31"/>
  <c r="B7" i="31"/>
  <c r="B8" i="31"/>
  <c r="B9" i="31"/>
  <c r="B10" i="31"/>
  <c r="B11" i="31"/>
  <c r="B12" i="31"/>
  <c r="B13" i="31"/>
  <c r="B14" i="31"/>
  <c r="B15" i="31"/>
  <c r="N15" i="31" s="1"/>
  <c r="B16" i="31"/>
  <c r="AP16" i="31" s="1"/>
  <c r="B17" i="31"/>
  <c r="B18" i="31"/>
  <c r="B19" i="31"/>
  <c r="B20" i="31"/>
  <c r="B21" i="31"/>
  <c r="B22" i="31"/>
  <c r="B23" i="31"/>
  <c r="B24" i="31"/>
  <c r="B25" i="31"/>
  <c r="B26" i="31"/>
  <c r="B2" i="31"/>
  <c r="B3" i="30"/>
  <c r="B4" i="30"/>
  <c r="B5" i="30"/>
  <c r="B6" i="30"/>
  <c r="B7" i="30"/>
  <c r="B8" i="30"/>
  <c r="B9" i="30"/>
  <c r="B10" i="30"/>
  <c r="B11" i="30"/>
  <c r="B12" i="30"/>
  <c r="B13" i="30"/>
  <c r="B14" i="30"/>
  <c r="B15" i="30"/>
  <c r="B16" i="30"/>
  <c r="B17" i="30"/>
  <c r="B18" i="30"/>
  <c r="AL18" i="30" s="1"/>
  <c r="B19" i="30"/>
  <c r="B20" i="30"/>
  <c r="B21" i="30"/>
  <c r="B22" i="30"/>
  <c r="B23" i="30"/>
  <c r="B24" i="30"/>
  <c r="B25" i="30"/>
  <c r="B26" i="30"/>
  <c r="B2" i="30"/>
  <c r="B3" i="29"/>
  <c r="B4" i="29"/>
  <c r="B5" i="29"/>
  <c r="B6" i="29"/>
  <c r="B7" i="29"/>
  <c r="B8" i="29"/>
  <c r="B9" i="29"/>
  <c r="B10" i="29"/>
  <c r="B11" i="29"/>
  <c r="B12" i="29"/>
  <c r="B13" i="29"/>
  <c r="B14" i="29"/>
  <c r="B15" i="29"/>
  <c r="B16" i="29"/>
  <c r="B17" i="29"/>
  <c r="B18" i="29"/>
  <c r="AP18" i="29" s="1"/>
  <c r="B19" i="29"/>
  <c r="B20" i="29"/>
  <c r="B21" i="29"/>
  <c r="B22" i="29"/>
  <c r="B23" i="29"/>
  <c r="B24" i="29"/>
  <c r="B25" i="29"/>
  <c r="B26" i="29"/>
  <c r="B2" i="29"/>
  <c r="B3" i="28"/>
  <c r="B4" i="28"/>
  <c r="B5" i="28"/>
  <c r="B6" i="28"/>
  <c r="B7" i="28"/>
  <c r="B8" i="28"/>
  <c r="B9" i="28"/>
  <c r="B10" i="28"/>
  <c r="B11" i="28"/>
  <c r="B12" i="28"/>
  <c r="B13" i="28"/>
  <c r="B14" i="28"/>
  <c r="B15" i="28"/>
  <c r="B16" i="28"/>
  <c r="B17" i="28"/>
  <c r="AL17" i="28" s="1"/>
  <c r="B18" i="28"/>
  <c r="U18" i="28" s="1"/>
  <c r="B19" i="28"/>
  <c r="B20" i="28"/>
  <c r="B21" i="28"/>
  <c r="B22" i="28"/>
  <c r="B23" i="28"/>
  <c r="B24" i="28"/>
  <c r="B25" i="28"/>
  <c r="B26" i="28"/>
  <c r="B2" i="28"/>
  <c r="B3" i="27"/>
  <c r="B4" i="27"/>
  <c r="B5" i="27"/>
  <c r="B6" i="27"/>
  <c r="B7" i="27"/>
  <c r="B8" i="27"/>
  <c r="B9" i="27"/>
  <c r="B10" i="27"/>
  <c r="B11" i="27"/>
  <c r="B12" i="27"/>
  <c r="B13" i="27"/>
  <c r="B14" i="27"/>
  <c r="B15" i="27"/>
  <c r="B16" i="27"/>
  <c r="B17" i="27"/>
  <c r="B18" i="27"/>
  <c r="V18" i="27" s="1"/>
  <c r="B19" i="27"/>
  <c r="B20" i="27"/>
  <c r="B21" i="27"/>
  <c r="B22" i="27"/>
  <c r="B23" i="27"/>
  <c r="B24" i="27"/>
  <c r="B25" i="27"/>
  <c r="B26" i="27"/>
  <c r="B2" i="27"/>
  <c r="B3" i="26"/>
  <c r="B4" i="26"/>
  <c r="B5" i="26"/>
  <c r="B6" i="26"/>
  <c r="B7" i="26"/>
  <c r="B8" i="26"/>
  <c r="B9" i="26"/>
  <c r="B10" i="26"/>
  <c r="B11" i="26"/>
  <c r="B12" i="26"/>
  <c r="B13" i="26"/>
  <c r="B14" i="26"/>
  <c r="B15" i="26"/>
  <c r="B16" i="26"/>
  <c r="B17" i="26"/>
  <c r="B18" i="26"/>
  <c r="U18" i="26" s="1"/>
  <c r="B19" i="26"/>
  <c r="B20" i="26"/>
  <c r="B21" i="26"/>
  <c r="B22" i="26"/>
  <c r="B23" i="26"/>
  <c r="B24" i="26"/>
  <c r="B25" i="26"/>
  <c r="B26" i="26"/>
  <c r="B2" i="26"/>
  <c r="B3" i="25"/>
  <c r="B4" i="25"/>
  <c r="B5" i="25"/>
  <c r="B6" i="25"/>
  <c r="B7" i="25"/>
  <c r="B8" i="25"/>
  <c r="B9" i="25"/>
  <c r="B10" i="25"/>
  <c r="B11" i="25"/>
  <c r="B12" i="25"/>
  <c r="B13" i="25"/>
  <c r="B14" i="25"/>
  <c r="B15" i="25"/>
  <c r="B16" i="25"/>
  <c r="B17" i="25"/>
  <c r="B18" i="25"/>
  <c r="AO18" i="25" s="1"/>
  <c r="B19" i="25"/>
  <c r="B20" i="25"/>
  <c r="B21" i="25"/>
  <c r="B22" i="25"/>
  <c r="B23" i="25"/>
  <c r="B24" i="25"/>
  <c r="B25" i="25"/>
  <c r="B26" i="25"/>
  <c r="B2" i="25"/>
  <c r="B3" i="23"/>
  <c r="B4" i="23"/>
  <c r="B5" i="23"/>
  <c r="B6" i="23"/>
  <c r="B7" i="23"/>
  <c r="B8" i="23"/>
  <c r="B9" i="23"/>
  <c r="B10" i="23"/>
  <c r="B11" i="23"/>
  <c r="B12" i="23"/>
  <c r="B13" i="23"/>
  <c r="B14" i="23"/>
  <c r="B15" i="23"/>
  <c r="B16" i="23"/>
  <c r="B17" i="23"/>
  <c r="AC17" i="23" s="1"/>
  <c r="B18" i="23"/>
  <c r="AK18" i="23" s="1"/>
  <c r="B19" i="23"/>
  <c r="B20" i="23"/>
  <c r="B21" i="23"/>
  <c r="B22" i="23"/>
  <c r="B23" i="23"/>
  <c r="B24" i="23"/>
  <c r="B25" i="23"/>
  <c r="B26" i="23"/>
  <c r="B2" i="23"/>
  <c r="AL26" i="32"/>
  <c r="AK26" i="32"/>
  <c r="AE26" i="32"/>
  <c r="AD26" i="32"/>
  <c r="AC26" i="32"/>
  <c r="AB26" i="32"/>
  <c r="AA26" i="32"/>
  <c r="V26" i="32"/>
  <c r="U26" i="32"/>
  <c r="S26" i="32"/>
  <c r="O26" i="32"/>
  <c r="N26" i="32"/>
  <c r="M26" i="32"/>
  <c r="L26" i="32"/>
  <c r="K26" i="32"/>
  <c r="F26" i="32"/>
  <c r="E26" i="32"/>
  <c r="C26" i="32"/>
  <c r="AP26" i="32"/>
  <c r="AP25" i="32"/>
  <c r="AO25" i="32"/>
  <c r="AN25" i="32"/>
  <c r="AM25" i="32"/>
  <c r="AL25" i="32"/>
  <c r="AK25" i="32"/>
  <c r="AJ25" i="32"/>
  <c r="AE25" i="32"/>
  <c r="AD25" i="32"/>
  <c r="AB25" i="32"/>
  <c r="AA25" i="32"/>
  <c r="Z25" i="32"/>
  <c r="Y25" i="32"/>
  <c r="X25" i="32"/>
  <c r="W25" i="32"/>
  <c r="V25" i="32"/>
  <c r="U25" i="32"/>
  <c r="T25" i="32"/>
  <c r="O25" i="32"/>
  <c r="N25" i="32"/>
  <c r="L25" i="32"/>
  <c r="K25" i="32"/>
  <c r="J25" i="32"/>
  <c r="I25" i="32"/>
  <c r="H25" i="32"/>
  <c r="G25" i="32"/>
  <c r="F25" i="32"/>
  <c r="E25" i="32"/>
  <c r="D25" i="32"/>
  <c r="AI25" i="32"/>
  <c r="AN24" i="32"/>
  <c r="AM24" i="32"/>
  <c r="AG24" i="32"/>
  <c r="AF24" i="32"/>
  <c r="AE24" i="32"/>
  <c r="AD24" i="32"/>
  <c r="AC24" i="32"/>
  <c r="X24" i="32"/>
  <c r="W24" i="32"/>
  <c r="Q24" i="32"/>
  <c r="P24" i="32"/>
  <c r="O24" i="32"/>
  <c r="N24" i="32"/>
  <c r="M24" i="32"/>
  <c r="H24" i="32"/>
  <c r="G24" i="32"/>
  <c r="AB24" i="32"/>
  <c r="AP23" i="32"/>
  <c r="AO23" i="32"/>
  <c r="AN23" i="32"/>
  <c r="AM23" i="32"/>
  <c r="AL23" i="32"/>
  <c r="AJ23" i="32"/>
  <c r="AG23" i="32"/>
  <c r="AF23" i="32"/>
  <c r="AD23" i="32"/>
  <c r="AC23" i="32"/>
  <c r="AB23" i="32"/>
  <c r="AA23" i="32"/>
  <c r="Z23" i="32"/>
  <c r="Y23" i="32"/>
  <c r="X23" i="32"/>
  <c r="W23" i="32"/>
  <c r="V23" i="32"/>
  <c r="T23" i="32"/>
  <c r="Q23" i="32"/>
  <c r="P23" i="32"/>
  <c r="N23" i="32"/>
  <c r="M23" i="32"/>
  <c r="L23" i="32"/>
  <c r="K23" i="32"/>
  <c r="J23" i="32"/>
  <c r="I23" i="32"/>
  <c r="H23" i="32"/>
  <c r="G23" i="32"/>
  <c r="F23" i="32"/>
  <c r="D23" i="32"/>
  <c r="AK23" i="32"/>
  <c r="AO22" i="32"/>
  <c r="AG22" i="32"/>
  <c r="AE22" i="32"/>
  <c r="Y22" i="32"/>
  <c r="Q22" i="32"/>
  <c r="O22" i="32"/>
  <c r="I22" i="32"/>
  <c r="AD22" i="32"/>
  <c r="AN21" i="32"/>
  <c r="X21" i="32"/>
  <c r="H21" i="32"/>
  <c r="AM21" i="32"/>
  <c r="AJ20" i="32"/>
  <c r="AI20" i="32"/>
  <c r="AG20" i="32"/>
  <c r="AB20" i="32"/>
  <c r="AA20" i="32"/>
  <c r="T20" i="32"/>
  <c r="S20" i="32"/>
  <c r="Q20" i="32"/>
  <c r="L20" i="32"/>
  <c r="K20" i="32"/>
  <c r="D20" i="32"/>
  <c r="C20" i="32"/>
  <c r="AF20" i="32"/>
  <c r="AP19" i="32"/>
  <c r="AK19" i="32"/>
  <c r="AJ19" i="32"/>
  <c r="AD19" i="32"/>
  <c r="AC19" i="32"/>
  <c r="AB19" i="32"/>
  <c r="AA19" i="32"/>
  <c r="Z19" i="32"/>
  <c r="U19" i="32"/>
  <c r="T19" i="32"/>
  <c r="N19" i="32"/>
  <c r="M19" i="32"/>
  <c r="L19" i="32"/>
  <c r="K19" i="32"/>
  <c r="J19" i="32"/>
  <c r="E19" i="32"/>
  <c r="D19" i="32"/>
  <c r="AO19" i="32"/>
  <c r="AC18" i="32"/>
  <c r="H18" i="32"/>
  <c r="AM17" i="32"/>
  <c r="AL17" i="32"/>
  <c r="AJ17" i="32"/>
  <c r="AG17" i="32"/>
  <c r="AF17" i="32"/>
  <c r="AE17" i="32"/>
  <c r="AD17" i="32"/>
  <c r="AC17" i="32"/>
  <c r="AB17" i="32"/>
  <c r="W17" i="32"/>
  <c r="V17" i="32"/>
  <c r="T17" i="32"/>
  <c r="S17" i="32"/>
  <c r="Q17" i="32"/>
  <c r="P17" i="32"/>
  <c r="O17" i="32"/>
  <c r="N17" i="32"/>
  <c r="M17" i="32"/>
  <c r="L17" i="32"/>
  <c r="G17" i="32"/>
  <c r="F17" i="32"/>
  <c r="D17" i="32"/>
  <c r="C17" i="32"/>
  <c r="AA17" i="32"/>
  <c r="AP16" i="32"/>
  <c r="AO16" i="32"/>
  <c r="AN16" i="32"/>
  <c r="AM16" i="32"/>
  <c r="AL16" i="32"/>
  <c r="AK16" i="32"/>
  <c r="AF16" i="32"/>
  <c r="AE16" i="32"/>
  <c r="AC16" i="32"/>
  <c r="AB16" i="32"/>
  <c r="AA16" i="32"/>
  <c r="Z16" i="32"/>
  <c r="Y16" i="32"/>
  <c r="X16" i="32"/>
  <c r="W16" i="32"/>
  <c r="V16" i="32"/>
  <c r="U16" i="32"/>
  <c r="P16" i="32"/>
  <c r="O16" i="32"/>
  <c r="M16" i="32"/>
  <c r="L16" i="32"/>
  <c r="K16" i="32"/>
  <c r="J16" i="32"/>
  <c r="I16" i="32"/>
  <c r="H16" i="32"/>
  <c r="G16" i="32"/>
  <c r="F16" i="32"/>
  <c r="E16" i="32"/>
  <c r="AJ16" i="32"/>
  <c r="AO15" i="32"/>
  <c r="AN15" i="32"/>
  <c r="AG15" i="32"/>
  <c r="AF15" i="32"/>
  <c r="AE15" i="32"/>
  <c r="AD15" i="32"/>
  <c r="Y15" i="32"/>
  <c r="X15" i="32"/>
  <c r="Q15" i="32"/>
  <c r="P15" i="32"/>
  <c r="O15" i="32"/>
  <c r="N15" i="32"/>
  <c r="I15" i="32"/>
  <c r="H15" i="32"/>
  <c r="AC15" i="32"/>
  <c r="AO14" i="32"/>
  <c r="AM14" i="32"/>
  <c r="AG14" i="32"/>
  <c r="Y14" i="32"/>
  <c r="W14" i="32"/>
  <c r="Q14" i="32"/>
  <c r="I14" i="32"/>
  <c r="G14" i="32"/>
  <c r="AL14" i="32"/>
  <c r="AF13" i="32"/>
  <c r="P13" i="32"/>
  <c r="AE13" i="32"/>
  <c r="AP12" i="32"/>
  <c r="AO12" i="32"/>
  <c r="AJ12" i="32"/>
  <c r="AI12" i="32"/>
  <c r="AG12" i="32"/>
  <c r="AD12" i="32"/>
  <c r="AC12" i="32"/>
  <c r="AB12" i="32"/>
  <c r="AA12" i="32"/>
  <c r="Z12" i="32"/>
  <c r="Y12" i="32"/>
  <c r="T12" i="32"/>
  <c r="S12" i="32"/>
  <c r="Q12" i="32"/>
  <c r="N12" i="32"/>
  <c r="M12" i="32"/>
  <c r="L12" i="32"/>
  <c r="K12" i="32"/>
  <c r="J12" i="32"/>
  <c r="I12" i="32"/>
  <c r="D12" i="32"/>
  <c r="C12" i="32"/>
  <c r="AN12" i="32"/>
  <c r="AG11" i="32"/>
  <c r="AL10" i="32"/>
  <c r="AK10" i="32"/>
  <c r="AI10" i="32"/>
  <c r="AF10" i="32"/>
  <c r="AE10" i="32"/>
  <c r="AD10" i="32"/>
  <c r="AC10" i="32"/>
  <c r="AB10" i="32"/>
  <c r="AA10" i="32"/>
  <c r="V10" i="32"/>
  <c r="U10" i="32"/>
  <c r="S10" i="32"/>
  <c r="P10" i="32"/>
  <c r="O10" i="32"/>
  <c r="N10" i="32"/>
  <c r="M10" i="32"/>
  <c r="L10" i="32"/>
  <c r="K10" i="32"/>
  <c r="F10" i="32"/>
  <c r="E10" i="32"/>
  <c r="C10" i="32"/>
  <c r="AP10" i="32"/>
  <c r="AO9" i="32"/>
  <c r="AN9" i="32"/>
  <c r="AM9" i="32"/>
  <c r="AL9" i="32"/>
  <c r="AK9" i="32"/>
  <c r="AJ9" i="32"/>
  <c r="AE9" i="32"/>
  <c r="AD9" i="32"/>
  <c r="AB9" i="32"/>
  <c r="Y9" i="32"/>
  <c r="X9" i="32"/>
  <c r="W9" i="32"/>
  <c r="V9" i="32"/>
  <c r="U9" i="32"/>
  <c r="T9" i="32"/>
  <c r="O9" i="32"/>
  <c r="N9" i="32"/>
  <c r="L9" i="32"/>
  <c r="I9" i="32"/>
  <c r="H9" i="32"/>
  <c r="G9" i="32"/>
  <c r="F9" i="32"/>
  <c r="E9" i="32"/>
  <c r="D9" i="32"/>
  <c r="AI9" i="32"/>
  <c r="AN8" i="32"/>
  <c r="AM8" i="32"/>
  <c r="AK8" i="32"/>
  <c r="AG8" i="32"/>
  <c r="AF8" i="32"/>
  <c r="AE8" i="32"/>
  <c r="AD8" i="32"/>
  <c r="AC8" i="32"/>
  <c r="X8" i="32"/>
  <c r="W8" i="32"/>
  <c r="U8" i="32"/>
  <c r="Q8" i="32"/>
  <c r="P8" i="32"/>
  <c r="O8" i="32"/>
  <c r="N8" i="32"/>
  <c r="M8" i="32"/>
  <c r="H8" i="32"/>
  <c r="G8" i="32"/>
  <c r="E8" i="32"/>
  <c r="AB8" i="32"/>
  <c r="AP7" i="32"/>
  <c r="AO7" i="32"/>
  <c r="AN7" i="32"/>
  <c r="AM7" i="32"/>
  <c r="AL7" i="32"/>
  <c r="AG7" i="32"/>
  <c r="AF7" i="32"/>
  <c r="AD7" i="32"/>
  <c r="AA7" i="32"/>
  <c r="Z7" i="32"/>
  <c r="Y7" i="32"/>
  <c r="X7" i="32"/>
  <c r="W7" i="32"/>
  <c r="V7" i="32"/>
  <c r="Q7" i="32"/>
  <c r="P7" i="32"/>
  <c r="N7" i="32"/>
  <c r="K7" i="32"/>
  <c r="J7" i="32"/>
  <c r="I7" i="32"/>
  <c r="H7" i="32"/>
  <c r="G7" i="32"/>
  <c r="F7" i="32"/>
  <c r="AK7" i="32"/>
  <c r="AO6" i="32"/>
  <c r="AG6" i="32"/>
  <c r="AE6" i="32"/>
  <c r="Y6" i="32"/>
  <c r="Q6" i="32"/>
  <c r="O6" i="32"/>
  <c r="I6" i="32"/>
  <c r="AD6" i="32"/>
  <c r="AN5" i="32"/>
  <c r="X5" i="32"/>
  <c r="H5" i="32"/>
  <c r="AM5" i="32"/>
  <c r="AJ4" i="32"/>
  <c r="AI4" i="32"/>
  <c r="AG4" i="32"/>
  <c r="AB4" i="32"/>
  <c r="AA4" i="32"/>
  <c r="T4" i="32"/>
  <c r="S4" i="32"/>
  <c r="Q4" i="32"/>
  <c r="L4" i="32"/>
  <c r="K4" i="32"/>
  <c r="D4" i="32"/>
  <c r="C4" i="32"/>
  <c r="AF4" i="32"/>
  <c r="AP3" i="32"/>
  <c r="AK3" i="32"/>
  <c r="AJ3" i="32"/>
  <c r="AC3" i="32"/>
  <c r="AB3" i="32"/>
  <c r="Z3" i="32"/>
  <c r="U3" i="32"/>
  <c r="T3" i="32"/>
  <c r="M3" i="32"/>
  <c r="L3" i="32"/>
  <c r="K3" i="32"/>
  <c r="J3" i="32"/>
  <c r="E3" i="32"/>
  <c r="D3" i="32"/>
  <c r="AO3" i="32"/>
  <c r="AM2" i="32"/>
  <c r="AL2" i="32"/>
  <c r="AK2" i="32"/>
  <c r="AJ2" i="32"/>
  <c r="AI2" i="32"/>
  <c r="AD2" i="32"/>
  <c r="AC2" i="32"/>
  <c r="AA2" i="32"/>
  <c r="W2" i="32"/>
  <c r="V2" i="32"/>
  <c r="U2" i="32"/>
  <c r="T2" i="32"/>
  <c r="S2" i="32"/>
  <c r="N2" i="32"/>
  <c r="M2" i="32"/>
  <c r="K2" i="32"/>
  <c r="G2" i="32"/>
  <c r="F2" i="32"/>
  <c r="E2" i="32"/>
  <c r="D2" i="32"/>
  <c r="C2" i="32"/>
  <c r="AH2" i="32"/>
  <c r="AM26" i="31"/>
  <c r="AL26" i="31"/>
  <c r="AG26" i="31"/>
  <c r="AE26" i="31"/>
  <c r="AD26" i="31"/>
  <c r="AC26" i="31"/>
  <c r="AB26" i="31"/>
  <c r="AA26" i="31"/>
  <c r="W26" i="31"/>
  <c r="V26" i="31"/>
  <c r="Q26" i="31"/>
  <c r="O26" i="31"/>
  <c r="N26" i="31"/>
  <c r="M26" i="31"/>
  <c r="L26" i="31"/>
  <c r="K26" i="31"/>
  <c r="G26" i="31"/>
  <c r="F26" i="31"/>
  <c r="C26" i="31"/>
  <c r="AP26" i="31"/>
  <c r="AP25" i="31"/>
  <c r="AO25" i="31"/>
  <c r="AN25" i="31"/>
  <c r="AM25" i="31"/>
  <c r="AL25" i="31"/>
  <c r="AK25" i="31"/>
  <c r="AJ25" i="31"/>
  <c r="AF25" i="31"/>
  <c r="AE25" i="31"/>
  <c r="AB25" i="31"/>
  <c r="AA25" i="31"/>
  <c r="Z25" i="31"/>
  <c r="Y25" i="31"/>
  <c r="X25" i="31"/>
  <c r="W25" i="31"/>
  <c r="V25" i="31"/>
  <c r="U25" i="31"/>
  <c r="T25" i="31"/>
  <c r="P25" i="31"/>
  <c r="O25" i="31"/>
  <c r="L25" i="31"/>
  <c r="K25" i="31"/>
  <c r="J25" i="31"/>
  <c r="I25" i="31"/>
  <c r="H25" i="31"/>
  <c r="G25" i="31"/>
  <c r="F25" i="31"/>
  <c r="E25" i="31"/>
  <c r="D25" i="31"/>
  <c r="AI25" i="31"/>
  <c r="AO24" i="31"/>
  <c r="AN24" i="31"/>
  <c r="AI24" i="31"/>
  <c r="AG24" i="31"/>
  <c r="AF24" i="31"/>
  <c r="AE24" i="31"/>
  <c r="AD24" i="31"/>
  <c r="AC24" i="31"/>
  <c r="Y24" i="31"/>
  <c r="X24" i="31"/>
  <c r="S24" i="31"/>
  <c r="Q24" i="31"/>
  <c r="P24" i="31"/>
  <c r="O24" i="31"/>
  <c r="N24" i="31"/>
  <c r="M24" i="31"/>
  <c r="I24" i="31"/>
  <c r="H24" i="31"/>
  <c r="E24" i="31"/>
  <c r="C24" i="31"/>
  <c r="AB24" i="31"/>
  <c r="AP23" i="31"/>
  <c r="AN23" i="31"/>
  <c r="AM23" i="31"/>
  <c r="AL23" i="31"/>
  <c r="AG23" i="31"/>
  <c r="Z23" i="31"/>
  <c r="X23" i="31"/>
  <c r="W23" i="31"/>
  <c r="V23" i="31"/>
  <c r="Q23" i="31"/>
  <c r="J23" i="31"/>
  <c r="H23" i="31"/>
  <c r="G23" i="31"/>
  <c r="F23" i="31"/>
  <c r="AK23" i="31"/>
  <c r="AP22" i="31"/>
  <c r="AI22" i="31"/>
  <c r="AG22" i="31"/>
  <c r="AF22" i="31"/>
  <c r="AE22" i="31"/>
  <c r="Z22" i="31"/>
  <c r="S22" i="31"/>
  <c r="Q22" i="31"/>
  <c r="P22" i="31"/>
  <c r="O22" i="31"/>
  <c r="K22" i="31"/>
  <c r="J22" i="31"/>
  <c r="C22" i="31"/>
  <c r="AD22" i="31"/>
  <c r="AP21" i="31"/>
  <c r="AO21" i="31"/>
  <c r="AN21" i="31"/>
  <c r="AJ21" i="31"/>
  <c r="AI21" i="31"/>
  <c r="AF21" i="31"/>
  <c r="AE21" i="31"/>
  <c r="AD21" i="31"/>
  <c r="AC21" i="31"/>
  <c r="AB21" i="31"/>
  <c r="AA21" i="31"/>
  <c r="Z21" i="31"/>
  <c r="Y21" i="31"/>
  <c r="X21" i="31"/>
  <c r="T21" i="31"/>
  <c r="S21" i="31"/>
  <c r="P21" i="31"/>
  <c r="O21" i="31"/>
  <c r="N21" i="31"/>
  <c r="M21" i="31"/>
  <c r="L21" i="31"/>
  <c r="K21" i="31"/>
  <c r="J21" i="31"/>
  <c r="I21" i="31"/>
  <c r="H21" i="31"/>
  <c r="D21" i="31"/>
  <c r="C21" i="31"/>
  <c r="AM21" i="31"/>
  <c r="AG20" i="31"/>
  <c r="Q20" i="31"/>
  <c r="AF20" i="31"/>
  <c r="AP19" i="31"/>
  <c r="AL19" i="31"/>
  <c r="AK19" i="31"/>
  <c r="AF19" i="31"/>
  <c r="AD19" i="31"/>
  <c r="AC19" i="31"/>
  <c r="AB19" i="31"/>
  <c r="AA19" i="31"/>
  <c r="Z19" i="31"/>
  <c r="V19" i="31"/>
  <c r="U19" i="31"/>
  <c r="P19" i="31"/>
  <c r="N19" i="31"/>
  <c r="M19" i="31"/>
  <c r="L19" i="31"/>
  <c r="K19" i="31"/>
  <c r="J19" i="31"/>
  <c r="F19" i="31"/>
  <c r="E19" i="31"/>
  <c r="AO19" i="31"/>
  <c r="AP18" i="31"/>
  <c r="AO18" i="31"/>
  <c r="AN18" i="31"/>
  <c r="AM18" i="31"/>
  <c r="AL18" i="31"/>
  <c r="AK18" i="31"/>
  <c r="AJ18" i="31"/>
  <c r="AI18" i="31"/>
  <c r="AE18" i="31"/>
  <c r="AD18" i="31"/>
  <c r="AA18" i="31"/>
  <c r="Z18" i="31"/>
  <c r="Y18" i="31"/>
  <c r="X18" i="31"/>
  <c r="W18" i="31"/>
  <c r="V18" i="31"/>
  <c r="U18" i="31"/>
  <c r="T18" i="31"/>
  <c r="S18" i="31"/>
  <c r="O18" i="31"/>
  <c r="N18" i="31"/>
  <c r="K18" i="31"/>
  <c r="J18" i="31"/>
  <c r="I18" i="31"/>
  <c r="H18" i="31"/>
  <c r="G18" i="31"/>
  <c r="F18" i="31"/>
  <c r="E18" i="31"/>
  <c r="D18" i="31"/>
  <c r="C18" i="31"/>
  <c r="AH18" i="31"/>
  <c r="AM17" i="31"/>
  <c r="AF17" i="31"/>
  <c r="AD17" i="31"/>
  <c r="AC17" i="31"/>
  <c r="AB17" i="31"/>
  <c r="W17" i="31"/>
  <c r="P17" i="31"/>
  <c r="N17" i="31"/>
  <c r="M17" i="31"/>
  <c r="L17" i="31"/>
  <c r="G17" i="31"/>
  <c r="AA17" i="31"/>
  <c r="X16" i="31"/>
  <c r="AE15" i="31"/>
  <c r="AN14" i="31"/>
  <c r="AM14" i="31"/>
  <c r="X14" i="31"/>
  <c r="W14" i="31"/>
  <c r="K14" i="31"/>
  <c r="H14" i="31"/>
  <c r="G14" i="31"/>
  <c r="AL14" i="31"/>
  <c r="AJ13" i="31"/>
  <c r="AG13" i="31"/>
  <c r="AF13" i="31"/>
  <c r="AA13" i="31"/>
  <c r="T13" i="31"/>
  <c r="Q13" i="31"/>
  <c r="P13" i="31"/>
  <c r="K13" i="31"/>
  <c r="D13" i="31"/>
  <c r="AE13" i="31"/>
  <c r="AP12" i="31"/>
  <c r="AO12" i="31"/>
  <c r="AK12" i="31"/>
  <c r="AJ12" i="31"/>
  <c r="AG12" i="31"/>
  <c r="AE12" i="31"/>
  <c r="AC12" i="31"/>
  <c r="AB12" i="31"/>
  <c r="AA12" i="31"/>
  <c r="Z12" i="31"/>
  <c r="Y12" i="31"/>
  <c r="U12" i="31"/>
  <c r="T12" i="31"/>
  <c r="Q12" i="31"/>
  <c r="O12" i="31"/>
  <c r="M12" i="31"/>
  <c r="L12" i="31"/>
  <c r="K12" i="31"/>
  <c r="J12" i="31"/>
  <c r="I12" i="31"/>
  <c r="E12" i="31"/>
  <c r="D12" i="31"/>
  <c r="AN12" i="31"/>
  <c r="R11" i="31"/>
  <c r="AG11" i="31"/>
  <c r="AM10" i="31"/>
  <c r="AL10" i="31"/>
  <c r="AI10" i="31"/>
  <c r="AG10" i="31"/>
  <c r="AE10" i="31"/>
  <c r="AD10" i="31"/>
  <c r="AC10" i="31"/>
  <c r="AB10" i="31"/>
  <c r="AA10" i="31"/>
  <c r="W10" i="31"/>
  <c r="V10" i="31"/>
  <c r="S10" i="31"/>
  <c r="Q10" i="31"/>
  <c r="O10" i="31"/>
  <c r="N10" i="31"/>
  <c r="M10" i="31"/>
  <c r="L10" i="31"/>
  <c r="K10" i="31"/>
  <c r="G10" i="31"/>
  <c r="F10" i="31"/>
  <c r="C10" i="31"/>
  <c r="AP10" i="31"/>
  <c r="AP9" i="31"/>
  <c r="AN9" i="31"/>
  <c r="AM9" i="31"/>
  <c r="AL9" i="31"/>
  <c r="AK9" i="31"/>
  <c r="AJ9" i="31"/>
  <c r="AF9" i="31"/>
  <c r="AE9" i="31"/>
  <c r="AB9" i="31"/>
  <c r="Z9" i="31"/>
  <c r="X9" i="31"/>
  <c r="W9" i="31"/>
  <c r="V9" i="31"/>
  <c r="U9" i="31"/>
  <c r="T9" i="31"/>
  <c r="P9" i="31"/>
  <c r="O9" i="31"/>
  <c r="L9" i="31"/>
  <c r="J9" i="31"/>
  <c r="H9" i="31"/>
  <c r="G9" i="31"/>
  <c r="F9" i="31"/>
  <c r="E9" i="31"/>
  <c r="D9" i="31"/>
  <c r="AI9" i="31"/>
  <c r="AO8" i="31"/>
  <c r="AN8" i="31"/>
  <c r="AK8" i="31"/>
  <c r="AI8" i="31"/>
  <c r="AG8" i="31"/>
  <c r="AF8" i="31"/>
  <c r="AE8" i="31"/>
  <c r="AD8" i="31"/>
  <c r="AC8" i="31"/>
  <c r="Y8" i="31"/>
  <c r="X8" i="31"/>
  <c r="U8" i="31"/>
  <c r="S8" i="31"/>
  <c r="Q8" i="31"/>
  <c r="P8" i="31"/>
  <c r="O8" i="31"/>
  <c r="N8" i="31"/>
  <c r="M8" i="31"/>
  <c r="I8" i="31"/>
  <c r="H8" i="31"/>
  <c r="E8" i="31"/>
  <c r="C8" i="31"/>
  <c r="AB8" i="31"/>
  <c r="AP7" i="31"/>
  <c r="AN7" i="31"/>
  <c r="AM7" i="31"/>
  <c r="AL7" i="31"/>
  <c r="AG7" i="31"/>
  <c r="AB7" i="31"/>
  <c r="Z7" i="31"/>
  <c r="X7" i="31"/>
  <c r="W7" i="31"/>
  <c r="V7" i="31"/>
  <c r="Q7" i="31"/>
  <c r="L7" i="31"/>
  <c r="J7" i="31"/>
  <c r="H7" i="31"/>
  <c r="G7" i="31"/>
  <c r="F7" i="31"/>
  <c r="AK7" i="31"/>
  <c r="AP6" i="31"/>
  <c r="AK6" i="31"/>
  <c r="AI6" i="31"/>
  <c r="AG6" i="31"/>
  <c r="AF6" i="31"/>
  <c r="AE6" i="31"/>
  <c r="Z6" i="31"/>
  <c r="U6" i="31"/>
  <c r="S6" i="31"/>
  <c r="Q6" i="31"/>
  <c r="P6" i="31"/>
  <c r="O6" i="31"/>
  <c r="J6" i="31"/>
  <c r="E6" i="31"/>
  <c r="C6" i="31"/>
  <c r="AD6" i="31"/>
  <c r="AP5" i="31"/>
  <c r="AO5" i="31"/>
  <c r="AN5" i="31"/>
  <c r="AJ5" i="31"/>
  <c r="AI5" i="31"/>
  <c r="AF5" i="31"/>
  <c r="AD5" i="31"/>
  <c r="AB5" i="31"/>
  <c r="AA5" i="31"/>
  <c r="Z5" i="31"/>
  <c r="Y5" i="31"/>
  <c r="X5" i="31"/>
  <c r="T5" i="31"/>
  <c r="S5" i="31"/>
  <c r="P5" i="31"/>
  <c r="N5" i="31"/>
  <c r="L5" i="31"/>
  <c r="K5" i="31"/>
  <c r="J5" i="31"/>
  <c r="I5" i="31"/>
  <c r="H5" i="31"/>
  <c r="D5" i="31"/>
  <c r="C5" i="31"/>
  <c r="AM5" i="31"/>
  <c r="AG4" i="31"/>
  <c r="Q4" i="31"/>
  <c r="AF4" i="31"/>
  <c r="AP3" i="31"/>
  <c r="AL3" i="31"/>
  <c r="AK3" i="31"/>
  <c r="AF3" i="31"/>
  <c r="AD3" i="31"/>
  <c r="AC3" i="31"/>
  <c r="AB3" i="31"/>
  <c r="AA3" i="31"/>
  <c r="Z3" i="31"/>
  <c r="V3" i="31"/>
  <c r="U3" i="31"/>
  <c r="P3" i="31"/>
  <c r="N3" i="31"/>
  <c r="M3" i="31"/>
  <c r="L3" i="31"/>
  <c r="K3" i="31"/>
  <c r="J3" i="31"/>
  <c r="F3" i="31"/>
  <c r="E3" i="31"/>
  <c r="AO3" i="31"/>
  <c r="AO2" i="31"/>
  <c r="AM2" i="31"/>
  <c r="AL2" i="31"/>
  <c r="AK2" i="31"/>
  <c r="AJ2" i="31"/>
  <c r="AI2" i="31"/>
  <c r="AE2" i="31"/>
  <c r="AD2" i="31"/>
  <c r="AA2" i="31"/>
  <c r="Y2" i="31"/>
  <c r="W2" i="31"/>
  <c r="V2" i="31"/>
  <c r="U2" i="31"/>
  <c r="T2" i="31"/>
  <c r="S2" i="31"/>
  <c r="O2" i="31"/>
  <c r="N2" i="31"/>
  <c r="K2" i="31"/>
  <c r="I2" i="31"/>
  <c r="G2" i="31"/>
  <c r="F2" i="31"/>
  <c r="E2" i="31"/>
  <c r="D2" i="31"/>
  <c r="C2" i="31"/>
  <c r="AH2" i="31"/>
  <c r="AM26" i="30"/>
  <c r="AL26" i="30"/>
  <c r="AE26" i="30"/>
  <c r="AD26" i="30"/>
  <c r="AC26" i="30"/>
  <c r="AB26" i="30"/>
  <c r="AA26" i="30"/>
  <c r="W26" i="30"/>
  <c r="V26" i="30"/>
  <c r="O26" i="30"/>
  <c r="N26" i="30"/>
  <c r="M26" i="30"/>
  <c r="L26" i="30"/>
  <c r="K26" i="30"/>
  <c r="G26" i="30"/>
  <c r="F26" i="30"/>
  <c r="AP26" i="30"/>
  <c r="AN25" i="30"/>
  <c r="AM25" i="30"/>
  <c r="AL25" i="30"/>
  <c r="AK25" i="30"/>
  <c r="AJ25" i="30"/>
  <c r="AF25" i="30"/>
  <c r="AE25" i="30"/>
  <c r="AB25" i="30"/>
  <c r="AA25" i="30"/>
  <c r="X25" i="30"/>
  <c r="W25" i="30"/>
  <c r="V25" i="30"/>
  <c r="U25" i="30"/>
  <c r="T25" i="30"/>
  <c r="P25" i="30"/>
  <c r="O25" i="30"/>
  <c r="L25" i="30"/>
  <c r="K25" i="30"/>
  <c r="H25" i="30"/>
  <c r="G25" i="30"/>
  <c r="F25" i="30"/>
  <c r="E25" i="30"/>
  <c r="D25" i="30"/>
  <c r="AI25" i="30"/>
  <c r="AO24" i="30"/>
  <c r="AN24" i="30"/>
  <c r="AK24" i="30"/>
  <c r="AJ24" i="30"/>
  <c r="AG24" i="30"/>
  <c r="AF24" i="30"/>
  <c r="AE24" i="30"/>
  <c r="AD24" i="30"/>
  <c r="AC24" i="30"/>
  <c r="Y24" i="30"/>
  <c r="X24" i="30"/>
  <c r="U24" i="30"/>
  <c r="T24" i="30"/>
  <c r="Q24" i="30"/>
  <c r="P24" i="30"/>
  <c r="O24" i="30"/>
  <c r="N24" i="30"/>
  <c r="M24" i="30"/>
  <c r="I24" i="30"/>
  <c r="H24" i="30"/>
  <c r="E24" i="30"/>
  <c r="D24" i="30"/>
  <c r="AB24" i="30"/>
  <c r="AP23" i="30"/>
  <c r="AM23" i="30"/>
  <c r="AL23" i="30"/>
  <c r="AG23" i="30"/>
  <c r="Z23" i="30"/>
  <c r="W23" i="30"/>
  <c r="V23" i="30"/>
  <c r="Q23" i="30"/>
  <c r="J23" i="30"/>
  <c r="H23" i="30"/>
  <c r="G23" i="30"/>
  <c r="F23" i="30"/>
  <c r="AK23" i="30"/>
  <c r="AP22" i="30"/>
  <c r="AI22" i="30"/>
  <c r="AG22" i="30"/>
  <c r="AF22" i="30"/>
  <c r="AE22" i="30"/>
  <c r="Z22" i="30"/>
  <c r="S22" i="30"/>
  <c r="Q22" i="30"/>
  <c r="P22" i="30"/>
  <c r="O22" i="30"/>
  <c r="K22" i="30"/>
  <c r="J22" i="30"/>
  <c r="C22" i="30"/>
  <c r="AD22" i="30"/>
  <c r="AP21" i="30"/>
  <c r="AO21" i="30"/>
  <c r="AN21" i="30"/>
  <c r="AJ21" i="30"/>
  <c r="AI21" i="30"/>
  <c r="AF21" i="30"/>
  <c r="AE21" i="30"/>
  <c r="AC21" i="30"/>
  <c r="AB21" i="30"/>
  <c r="AA21" i="30"/>
  <c r="Z21" i="30"/>
  <c r="Y21" i="30"/>
  <c r="X21" i="30"/>
  <c r="T21" i="30"/>
  <c r="S21" i="30"/>
  <c r="P21" i="30"/>
  <c r="O21" i="30"/>
  <c r="M21" i="30"/>
  <c r="L21" i="30"/>
  <c r="K21" i="30"/>
  <c r="J21" i="30"/>
  <c r="I21" i="30"/>
  <c r="H21" i="30"/>
  <c r="D21" i="30"/>
  <c r="C21" i="30"/>
  <c r="AM21" i="30"/>
  <c r="AG20" i="30"/>
  <c r="Q20" i="30"/>
  <c r="AF20" i="30"/>
  <c r="AP19" i="30"/>
  <c r="AL19" i="30"/>
  <c r="AK19" i="30"/>
  <c r="AD19" i="30"/>
  <c r="AC19" i="30"/>
  <c r="AB19" i="30"/>
  <c r="AA19" i="30"/>
  <c r="Z19" i="30"/>
  <c r="V19" i="30"/>
  <c r="U19" i="30"/>
  <c r="N19" i="30"/>
  <c r="M19" i="30"/>
  <c r="L19" i="30"/>
  <c r="K19" i="30"/>
  <c r="J19" i="30"/>
  <c r="F19" i="30"/>
  <c r="E19" i="30"/>
  <c r="AO19" i="30"/>
  <c r="AM18" i="30"/>
  <c r="Q18" i="30"/>
  <c r="AN17" i="30"/>
  <c r="AM17" i="30"/>
  <c r="AJ17" i="30"/>
  <c r="AI17" i="30"/>
  <c r="AG17" i="30"/>
  <c r="AF17" i="30"/>
  <c r="AE17" i="30"/>
  <c r="AD17" i="30"/>
  <c r="AC17" i="30"/>
  <c r="AB17" i="30"/>
  <c r="X17" i="30"/>
  <c r="W17" i="30"/>
  <c r="V17" i="30"/>
  <c r="T17" i="30"/>
  <c r="S17" i="30"/>
  <c r="Q17" i="30"/>
  <c r="P17" i="30"/>
  <c r="O17" i="30"/>
  <c r="N17" i="30"/>
  <c r="M17" i="30"/>
  <c r="L17" i="30"/>
  <c r="H17" i="30"/>
  <c r="G17" i="30"/>
  <c r="F17" i="30"/>
  <c r="D17" i="30"/>
  <c r="C17" i="30"/>
  <c r="AA17" i="30"/>
  <c r="AP16" i="30"/>
  <c r="AO16" i="30"/>
  <c r="AN16" i="30"/>
  <c r="AM16" i="30"/>
  <c r="AL16" i="30"/>
  <c r="AK16" i="30"/>
  <c r="AG16" i="30"/>
  <c r="AF16" i="30"/>
  <c r="AE16" i="30"/>
  <c r="AC16" i="30"/>
  <c r="AB16" i="30"/>
  <c r="Z16" i="30"/>
  <c r="Y16" i="30"/>
  <c r="X16" i="30"/>
  <c r="W16" i="30"/>
  <c r="V16" i="30"/>
  <c r="U16" i="30"/>
  <c r="Q16" i="30"/>
  <c r="P16" i="30"/>
  <c r="O16" i="30"/>
  <c r="M16" i="30"/>
  <c r="L16" i="30"/>
  <c r="K16" i="30"/>
  <c r="J16" i="30"/>
  <c r="I16" i="30"/>
  <c r="H16" i="30"/>
  <c r="G16" i="30"/>
  <c r="F16" i="30"/>
  <c r="E16" i="30"/>
  <c r="AJ16" i="30"/>
  <c r="AO15" i="30"/>
  <c r="AE15" i="30"/>
  <c r="AD15" i="30"/>
  <c r="Y15" i="30"/>
  <c r="O15" i="30"/>
  <c r="N15" i="30"/>
  <c r="I15" i="30"/>
  <c r="AC15" i="30"/>
  <c r="AN14" i="30"/>
  <c r="AM14" i="30"/>
  <c r="X14" i="30"/>
  <c r="W14" i="30"/>
  <c r="H14" i="30"/>
  <c r="G14" i="30"/>
  <c r="AL14" i="30"/>
  <c r="AJ13" i="30"/>
  <c r="AG13" i="30"/>
  <c r="AF13" i="30"/>
  <c r="AA13" i="30"/>
  <c r="T13" i="30"/>
  <c r="Q13" i="30"/>
  <c r="P13" i="30"/>
  <c r="K13" i="30"/>
  <c r="D13" i="30"/>
  <c r="AE13" i="30"/>
  <c r="AP12" i="30"/>
  <c r="AO12" i="30"/>
  <c r="AK12" i="30"/>
  <c r="AJ12" i="30"/>
  <c r="AG12" i="30"/>
  <c r="AF12" i="30"/>
  <c r="AC12" i="30"/>
  <c r="AB12" i="30"/>
  <c r="AA12" i="30"/>
  <c r="Z12" i="30"/>
  <c r="Y12" i="30"/>
  <c r="U12" i="30"/>
  <c r="T12" i="30"/>
  <c r="S12" i="30"/>
  <c r="Q12" i="30"/>
  <c r="P12" i="30"/>
  <c r="N12" i="30"/>
  <c r="M12" i="30"/>
  <c r="L12" i="30"/>
  <c r="K12" i="30"/>
  <c r="J12" i="30"/>
  <c r="I12" i="30"/>
  <c r="E12" i="30"/>
  <c r="D12" i="30"/>
  <c r="C12" i="30"/>
  <c r="AN12" i="30"/>
  <c r="AH11" i="30"/>
  <c r="AG11" i="30"/>
  <c r="AM10" i="30"/>
  <c r="AL10" i="30"/>
  <c r="AE10" i="30"/>
  <c r="AD10" i="30"/>
  <c r="AC10" i="30"/>
  <c r="AB10" i="30"/>
  <c r="AA10" i="30"/>
  <c r="W10" i="30"/>
  <c r="V10" i="30"/>
  <c r="O10" i="30"/>
  <c r="N10" i="30"/>
  <c r="M10" i="30"/>
  <c r="L10" i="30"/>
  <c r="K10" i="30"/>
  <c r="G10" i="30"/>
  <c r="F10" i="30"/>
  <c r="AP10" i="30"/>
  <c r="AN9" i="30"/>
  <c r="AM9" i="30"/>
  <c r="AL9" i="30"/>
  <c r="AK9" i="30"/>
  <c r="AJ9" i="30"/>
  <c r="AF9" i="30"/>
  <c r="AE9" i="30"/>
  <c r="AB9" i="30"/>
  <c r="AA9" i="30"/>
  <c r="X9" i="30"/>
  <c r="W9" i="30"/>
  <c r="V9" i="30"/>
  <c r="U9" i="30"/>
  <c r="T9" i="30"/>
  <c r="P9" i="30"/>
  <c r="O9" i="30"/>
  <c r="L9" i="30"/>
  <c r="K9" i="30"/>
  <c r="H9" i="30"/>
  <c r="G9" i="30"/>
  <c r="F9" i="30"/>
  <c r="E9" i="30"/>
  <c r="D9" i="30"/>
  <c r="AI9" i="30"/>
  <c r="AO8" i="30"/>
  <c r="AN8" i="30"/>
  <c r="AK8" i="30"/>
  <c r="AJ8" i="30"/>
  <c r="AG8" i="30"/>
  <c r="AF8" i="30"/>
  <c r="AE8" i="30"/>
  <c r="AD8" i="30"/>
  <c r="AC8" i="30"/>
  <c r="Y8" i="30"/>
  <c r="X8" i="30"/>
  <c r="U8" i="30"/>
  <c r="T8" i="30"/>
  <c r="Q8" i="30"/>
  <c r="P8" i="30"/>
  <c r="O8" i="30"/>
  <c r="N8" i="30"/>
  <c r="M8" i="30"/>
  <c r="I8" i="30"/>
  <c r="H8" i="30"/>
  <c r="E8" i="30"/>
  <c r="D8" i="30"/>
  <c r="AB8" i="30"/>
  <c r="AP7" i="30"/>
  <c r="AN7" i="30"/>
  <c r="AM7" i="30"/>
  <c r="AL7" i="30"/>
  <c r="AG7" i="30"/>
  <c r="Z7" i="30"/>
  <c r="X7" i="30"/>
  <c r="W7" i="30"/>
  <c r="V7" i="30"/>
  <c r="Q7" i="30"/>
  <c r="J7" i="30"/>
  <c r="H7" i="30"/>
  <c r="G7" i="30"/>
  <c r="F7" i="30"/>
  <c r="AK7" i="30"/>
  <c r="AP6" i="30"/>
  <c r="AI6" i="30"/>
  <c r="AG6" i="30"/>
  <c r="AF6" i="30"/>
  <c r="AE6" i="30"/>
  <c r="Z6" i="30"/>
  <c r="S6" i="30"/>
  <c r="Q6" i="30"/>
  <c r="P6" i="30"/>
  <c r="O6" i="30"/>
  <c r="J6" i="30"/>
  <c r="C6" i="30"/>
  <c r="AD6" i="30"/>
  <c r="AP5" i="30"/>
  <c r="AO5" i="30"/>
  <c r="AN5" i="30"/>
  <c r="AJ5" i="30"/>
  <c r="AI5" i="30"/>
  <c r="AF5" i="30"/>
  <c r="AE5" i="30"/>
  <c r="AB5" i="30"/>
  <c r="AA5" i="30"/>
  <c r="Z5" i="30"/>
  <c r="Y5" i="30"/>
  <c r="X5" i="30"/>
  <c r="T5" i="30"/>
  <c r="S5" i="30"/>
  <c r="P5" i="30"/>
  <c r="O5" i="30"/>
  <c r="L5" i="30"/>
  <c r="K5" i="30"/>
  <c r="J5" i="30"/>
  <c r="I5" i="30"/>
  <c r="H5" i="30"/>
  <c r="D5" i="30"/>
  <c r="C5" i="30"/>
  <c r="AM5" i="30"/>
  <c r="AG4" i="30"/>
  <c r="Q4" i="30"/>
  <c r="AF4" i="30"/>
  <c r="AP3" i="30"/>
  <c r="AL3" i="30"/>
  <c r="AK3" i="30"/>
  <c r="AD3" i="30"/>
  <c r="AC3" i="30"/>
  <c r="AB3" i="30"/>
  <c r="AA3" i="30"/>
  <c r="Z3" i="30"/>
  <c r="V3" i="30"/>
  <c r="U3" i="30"/>
  <c r="N3" i="30"/>
  <c r="M3" i="30"/>
  <c r="L3" i="30"/>
  <c r="K3" i="30"/>
  <c r="J3" i="30"/>
  <c r="F3" i="30"/>
  <c r="E3" i="30"/>
  <c r="AO3" i="30"/>
  <c r="AP2" i="30"/>
  <c r="AM2" i="30"/>
  <c r="AL2" i="30"/>
  <c r="AK2" i="30"/>
  <c r="AJ2" i="30"/>
  <c r="AI2" i="30"/>
  <c r="AE2" i="30"/>
  <c r="AD2" i="30"/>
  <c r="AA2" i="30"/>
  <c r="Z2" i="30"/>
  <c r="W2" i="30"/>
  <c r="V2" i="30"/>
  <c r="U2" i="30"/>
  <c r="T2" i="30"/>
  <c r="S2" i="30"/>
  <c r="O2" i="30"/>
  <c r="N2" i="30"/>
  <c r="K2" i="30"/>
  <c r="J2" i="30"/>
  <c r="G2" i="30"/>
  <c r="F2" i="30"/>
  <c r="E2" i="30"/>
  <c r="D2" i="30"/>
  <c r="C2" i="30"/>
  <c r="AH2" i="30"/>
  <c r="AL26" i="29"/>
  <c r="AK26" i="29"/>
  <c r="AD26" i="29"/>
  <c r="AC26" i="29"/>
  <c r="AB26" i="29"/>
  <c r="AA26" i="29"/>
  <c r="V26" i="29"/>
  <c r="U26" i="29"/>
  <c r="N26" i="29"/>
  <c r="M26" i="29"/>
  <c r="L26" i="29"/>
  <c r="K26" i="29"/>
  <c r="F26" i="29"/>
  <c r="E26" i="29"/>
  <c r="AP26" i="29"/>
  <c r="AM25" i="29"/>
  <c r="AL25" i="29"/>
  <c r="AK25" i="29"/>
  <c r="AJ25" i="29"/>
  <c r="AE25" i="29"/>
  <c r="AD25" i="29"/>
  <c r="AA25" i="29"/>
  <c r="X25" i="29"/>
  <c r="W25" i="29"/>
  <c r="V25" i="29"/>
  <c r="U25" i="29"/>
  <c r="T25" i="29"/>
  <c r="O25" i="29"/>
  <c r="N25" i="29"/>
  <c r="K25" i="29"/>
  <c r="H25" i="29"/>
  <c r="G25" i="29"/>
  <c r="F25" i="29"/>
  <c r="E25" i="29"/>
  <c r="D25" i="29"/>
  <c r="AI25" i="29"/>
  <c r="AN24" i="29"/>
  <c r="AM24" i="29"/>
  <c r="AJ24" i="29"/>
  <c r="AG24" i="29"/>
  <c r="AF24" i="29"/>
  <c r="AE24" i="29"/>
  <c r="AD24" i="29"/>
  <c r="AC24" i="29"/>
  <c r="X24" i="29"/>
  <c r="W24" i="29"/>
  <c r="T24" i="29"/>
  <c r="Q24" i="29"/>
  <c r="P24" i="29"/>
  <c r="O24" i="29"/>
  <c r="N24" i="29"/>
  <c r="M24" i="29"/>
  <c r="H24" i="29"/>
  <c r="G24" i="29"/>
  <c r="D24" i="29"/>
  <c r="AB24" i="29"/>
  <c r="AP23" i="29"/>
  <c r="AO23" i="29"/>
  <c r="AN23" i="29"/>
  <c r="AM23" i="29"/>
  <c r="AL23" i="29"/>
  <c r="AG23" i="29"/>
  <c r="AF23" i="29"/>
  <c r="AC23" i="29"/>
  <c r="Z23" i="29"/>
  <c r="Y23" i="29"/>
  <c r="X23" i="29"/>
  <c r="W23" i="29"/>
  <c r="V23" i="29"/>
  <c r="Q23" i="29"/>
  <c r="P23" i="29"/>
  <c r="M23" i="29"/>
  <c r="J23" i="29"/>
  <c r="I23" i="29"/>
  <c r="H23" i="29"/>
  <c r="G23" i="29"/>
  <c r="F23" i="29"/>
  <c r="D23" i="29"/>
  <c r="AK23" i="29"/>
  <c r="AO22" i="29"/>
  <c r="AG22" i="29"/>
  <c r="AE22" i="29"/>
  <c r="Y22" i="29"/>
  <c r="Q22" i="29"/>
  <c r="O22" i="29"/>
  <c r="I22" i="29"/>
  <c r="AD22" i="29"/>
  <c r="AN21" i="29"/>
  <c r="X21" i="29"/>
  <c r="H21" i="29"/>
  <c r="AM21" i="29"/>
  <c r="AJ20" i="29"/>
  <c r="AI20" i="29"/>
  <c r="AG20" i="29"/>
  <c r="AB20" i="29"/>
  <c r="AA20" i="29"/>
  <c r="T20" i="29"/>
  <c r="S20" i="29"/>
  <c r="Q20" i="29"/>
  <c r="L20" i="29"/>
  <c r="K20" i="29"/>
  <c r="D20" i="29"/>
  <c r="C20" i="29"/>
  <c r="AF20" i="29"/>
  <c r="AP19" i="29"/>
  <c r="AK19" i="29"/>
  <c r="AJ19" i="29"/>
  <c r="AG19" i="29"/>
  <c r="AD19" i="29"/>
  <c r="AC19" i="29"/>
  <c r="AB19" i="29"/>
  <c r="AA19" i="29"/>
  <c r="Z19" i="29"/>
  <c r="U19" i="29"/>
  <c r="T19" i="29"/>
  <c r="Q19" i="29"/>
  <c r="N19" i="29"/>
  <c r="M19" i="29"/>
  <c r="L19" i="29"/>
  <c r="K19" i="29"/>
  <c r="J19" i="29"/>
  <c r="E19" i="29"/>
  <c r="D19" i="29"/>
  <c r="AO19" i="29"/>
  <c r="M18" i="29"/>
  <c r="AM17" i="29"/>
  <c r="AL17" i="29"/>
  <c r="AI17" i="29"/>
  <c r="AF17" i="29"/>
  <c r="AE17" i="29"/>
  <c r="AD17" i="29"/>
  <c r="AC17" i="29"/>
  <c r="AB17" i="29"/>
  <c r="W17" i="29"/>
  <c r="V17" i="29"/>
  <c r="S17" i="29"/>
  <c r="P17" i="29"/>
  <c r="O17" i="29"/>
  <c r="N17" i="29"/>
  <c r="M17" i="29"/>
  <c r="L17" i="29"/>
  <c r="G17" i="29"/>
  <c r="F17" i="29"/>
  <c r="D17" i="29"/>
  <c r="C17" i="29"/>
  <c r="AA17" i="29"/>
  <c r="AO16" i="29"/>
  <c r="AN16" i="29"/>
  <c r="AM16" i="29"/>
  <c r="AL16" i="29"/>
  <c r="AK16" i="29"/>
  <c r="AF16" i="29"/>
  <c r="AE16" i="29"/>
  <c r="AC16" i="29"/>
  <c r="AB16" i="29"/>
  <c r="Y16" i="29"/>
  <c r="X16" i="29"/>
  <c r="W16" i="29"/>
  <c r="V16" i="29"/>
  <c r="U16" i="29"/>
  <c r="T16" i="29"/>
  <c r="P16" i="29"/>
  <c r="O16" i="29"/>
  <c r="M16" i="29"/>
  <c r="L16" i="29"/>
  <c r="I16" i="29"/>
  <c r="H16" i="29"/>
  <c r="G16" i="29"/>
  <c r="F16" i="29"/>
  <c r="E16" i="29"/>
  <c r="D16" i="29"/>
  <c r="AJ16" i="29"/>
  <c r="AO15" i="29"/>
  <c r="AN15" i="29"/>
  <c r="AG15" i="29"/>
  <c r="AF15" i="29"/>
  <c r="AE15" i="29"/>
  <c r="AD15" i="29"/>
  <c r="Y15" i="29"/>
  <c r="X15" i="29"/>
  <c r="Q15" i="29"/>
  <c r="P15" i="29"/>
  <c r="O15" i="29"/>
  <c r="N15" i="29"/>
  <c r="I15" i="29"/>
  <c r="H15" i="29"/>
  <c r="AC15" i="29"/>
  <c r="AO14" i="29"/>
  <c r="AM14" i="29"/>
  <c r="AG14" i="29"/>
  <c r="Y14" i="29"/>
  <c r="W14" i="29"/>
  <c r="Q14" i="29"/>
  <c r="I14" i="29"/>
  <c r="G14" i="29"/>
  <c r="AL14" i="29"/>
  <c r="AF13" i="29"/>
  <c r="P13" i="29"/>
  <c r="AE13" i="29"/>
  <c r="AP12" i="29"/>
  <c r="AO12" i="29"/>
  <c r="AJ12" i="29"/>
  <c r="AI12" i="29"/>
  <c r="AC12" i="29"/>
  <c r="AB12" i="29"/>
  <c r="AA12" i="29"/>
  <c r="Z12" i="29"/>
  <c r="Y12" i="29"/>
  <c r="T12" i="29"/>
  <c r="S12" i="29"/>
  <c r="M12" i="29"/>
  <c r="L12" i="29"/>
  <c r="K12" i="29"/>
  <c r="J12" i="29"/>
  <c r="I12" i="29"/>
  <c r="D12" i="29"/>
  <c r="C12" i="29"/>
  <c r="AN12" i="29"/>
  <c r="AG11" i="29"/>
  <c r="AL10" i="29"/>
  <c r="AK10" i="29"/>
  <c r="AE10" i="29"/>
  <c r="AD10" i="29"/>
  <c r="AC10" i="29"/>
  <c r="AB10" i="29"/>
  <c r="AA10" i="29"/>
  <c r="V10" i="29"/>
  <c r="U10" i="29"/>
  <c r="O10" i="29"/>
  <c r="N10" i="29"/>
  <c r="M10" i="29"/>
  <c r="L10" i="29"/>
  <c r="K10" i="29"/>
  <c r="F10" i="29"/>
  <c r="E10" i="29"/>
  <c r="AP10" i="29"/>
  <c r="AM9" i="29"/>
  <c r="AL9" i="29"/>
  <c r="AJ9" i="29"/>
  <c r="AE9" i="29"/>
  <c r="AD9" i="29"/>
  <c r="X9" i="29"/>
  <c r="W9" i="29"/>
  <c r="V9" i="29"/>
  <c r="U9" i="29"/>
  <c r="T9" i="29"/>
  <c r="O9" i="29"/>
  <c r="N9" i="29"/>
  <c r="H9" i="29"/>
  <c r="G9" i="29"/>
  <c r="F9" i="29"/>
  <c r="E9" i="29"/>
  <c r="D9" i="29"/>
  <c r="AI9" i="29"/>
  <c r="AN8" i="29"/>
  <c r="AM8" i="29"/>
  <c r="AG8" i="29"/>
  <c r="AF8" i="29"/>
  <c r="AE8" i="29"/>
  <c r="AD8" i="29"/>
  <c r="AC8" i="29"/>
  <c r="X8" i="29"/>
  <c r="W8" i="29"/>
  <c r="Q8" i="29"/>
  <c r="P8" i="29"/>
  <c r="O8" i="29"/>
  <c r="N8" i="29"/>
  <c r="M8" i="29"/>
  <c r="H8" i="29"/>
  <c r="G8" i="29"/>
  <c r="AB8" i="29"/>
  <c r="AO7" i="29"/>
  <c r="AN7" i="29"/>
  <c r="AL7" i="29"/>
  <c r="AG7" i="29"/>
  <c r="AF7" i="29"/>
  <c r="Y7" i="29"/>
  <c r="X7" i="29"/>
  <c r="V7" i="29"/>
  <c r="Q7" i="29"/>
  <c r="P7" i="29"/>
  <c r="J7" i="29"/>
  <c r="I7" i="29"/>
  <c r="H7" i="29"/>
  <c r="G7" i="29"/>
  <c r="F7" i="29"/>
  <c r="AK7" i="29"/>
  <c r="AO6" i="29"/>
  <c r="AG6" i="29"/>
  <c r="AE6" i="29"/>
  <c r="Y6" i="29"/>
  <c r="Q6" i="29"/>
  <c r="O6" i="29"/>
  <c r="I6" i="29"/>
  <c r="AD6" i="29"/>
  <c r="AN5" i="29"/>
  <c r="X5" i="29"/>
  <c r="H5" i="29"/>
  <c r="AM5" i="29"/>
  <c r="AJ4" i="29"/>
  <c r="AI4" i="29"/>
  <c r="AG4" i="29"/>
  <c r="AB4" i="29"/>
  <c r="AA4" i="29"/>
  <c r="T4" i="29"/>
  <c r="S4" i="29"/>
  <c r="Q4" i="29"/>
  <c r="L4" i="29"/>
  <c r="K4" i="29"/>
  <c r="D4" i="29"/>
  <c r="C4" i="29"/>
  <c r="AF4" i="29"/>
  <c r="AP3" i="29"/>
  <c r="AK3" i="29"/>
  <c r="AJ3" i="29"/>
  <c r="AC3" i="29"/>
  <c r="AB3" i="29"/>
  <c r="Z3" i="29"/>
  <c r="U3" i="29"/>
  <c r="T3" i="29"/>
  <c r="M3" i="29"/>
  <c r="L3" i="29"/>
  <c r="J3" i="29"/>
  <c r="E3" i="29"/>
  <c r="D3" i="29"/>
  <c r="AO3" i="29"/>
  <c r="AL2" i="29"/>
  <c r="AK2" i="29"/>
  <c r="AI2" i="29"/>
  <c r="AD2" i="29"/>
  <c r="AC2" i="29"/>
  <c r="V2" i="29"/>
  <c r="U2" i="29"/>
  <c r="S2" i="29"/>
  <c r="N2" i="29"/>
  <c r="M2" i="29"/>
  <c r="F2" i="29"/>
  <c r="E2" i="29"/>
  <c r="C2" i="29"/>
  <c r="AH2" i="29"/>
  <c r="AL26" i="28"/>
  <c r="AK26" i="28"/>
  <c r="AE26" i="28"/>
  <c r="AD26" i="28"/>
  <c r="AC26" i="28"/>
  <c r="AB26" i="28"/>
  <c r="AA26" i="28"/>
  <c r="V26" i="28"/>
  <c r="U26" i="28"/>
  <c r="O26" i="28"/>
  <c r="N26" i="28"/>
  <c r="M26" i="28"/>
  <c r="L26" i="28"/>
  <c r="K26" i="28"/>
  <c r="F26" i="28"/>
  <c r="E26" i="28"/>
  <c r="C26" i="28"/>
  <c r="AP26" i="28"/>
  <c r="AP25" i="28"/>
  <c r="AN25" i="28"/>
  <c r="AM25" i="28"/>
  <c r="AL25" i="28"/>
  <c r="AK25" i="28"/>
  <c r="AJ25" i="28"/>
  <c r="AE25" i="28"/>
  <c r="AD25" i="28"/>
  <c r="AB25" i="28"/>
  <c r="AA25" i="28"/>
  <c r="Z25" i="28"/>
  <c r="X25" i="28"/>
  <c r="W25" i="28"/>
  <c r="V25" i="28"/>
  <c r="U25" i="28"/>
  <c r="T25" i="28"/>
  <c r="O25" i="28"/>
  <c r="N25" i="28"/>
  <c r="L25" i="28"/>
  <c r="K25" i="28"/>
  <c r="J25" i="28"/>
  <c r="I25" i="28"/>
  <c r="H25" i="28"/>
  <c r="G25" i="28"/>
  <c r="F25" i="28"/>
  <c r="E25" i="28"/>
  <c r="D25" i="28"/>
  <c r="AI25" i="28"/>
  <c r="AN24" i="28"/>
  <c r="AM24" i="28"/>
  <c r="AK24" i="28"/>
  <c r="AG24" i="28"/>
  <c r="AF24" i="28"/>
  <c r="AE24" i="28"/>
  <c r="AD24" i="28"/>
  <c r="AC24" i="28"/>
  <c r="X24" i="28"/>
  <c r="W24" i="28"/>
  <c r="U24" i="28"/>
  <c r="Q24" i="28"/>
  <c r="P24" i="28"/>
  <c r="O24" i="28"/>
  <c r="N24" i="28"/>
  <c r="M24" i="28"/>
  <c r="H24" i="28"/>
  <c r="G24" i="28"/>
  <c r="E24" i="28"/>
  <c r="AB24" i="28"/>
  <c r="AP23" i="28"/>
  <c r="AO23" i="28"/>
  <c r="AN23" i="28"/>
  <c r="AM23" i="28"/>
  <c r="AL23" i="28"/>
  <c r="AJ23" i="28"/>
  <c r="AG23" i="28"/>
  <c r="AF23" i="28"/>
  <c r="AD23" i="28"/>
  <c r="AC23" i="28"/>
  <c r="AB23" i="28"/>
  <c r="AA23" i="28"/>
  <c r="Z23" i="28"/>
  <c r="Y23" i="28"/>
  <c r="X23" i="28"/>
  <c r="W23" i="28"/>
  <c r="V23" i="28"/>
  <c r="T23" i="28"/>
  <c r="Q23" i="28"/>
  <c r="P23" i="28"/>
  <c r="N23" i="28"/>
  <c r="M23" i="28"/>
  <c r="L23" i="28"/>
  <c r="K23" i="28"/>
  <c r="J23" i="28"/>
  <c r="I23" i="28"/>
  <c r="H23" i="28"/>
  <c r="G23" i="28"/>
  <c r="F23" i="28"/>
  <c r="D23" i="28"/>
  <c r="AK23" i="28"/>
  <c r="AO22" i="28"/>
  <c r="AG22" i="28"/>
  <c r="AE22" i="28"/>
  <c r="Y22" i="28"/>
  <c r="Q22" i="28"/>
  <c r="O22" i="28"/>
  <c r="I22" i="28"/>
  <c r="AD22" i="28"/>
  <c r="AN21" i="28"/>
  <c r="X21" i="28"/>
  <c r="H21" i="28"/>
  <c r="AM21" i="28"/>
  <c r="AJ20" i="28"/>
  <c r="AI20" i="28"/>
  <c r="AG20" i="28"/>
  <c r="AB20" i="28"/>
  <c r="AA20" i="28"/>
  <c r="T20" i="28"/>
  <c r="S20" i="28"/>
  <c r="Q20" i="28"/>
  <c r="L20" i="28"/>
  <c r="K20" i="28"/>
  <c r="D20" i="28"/>
  <c r="C20" i="28"/>
  <c r="AF20" i="28"/>
  <c r="AP19" i="28"/>
  <c r="AK19" i="28"/>
  <c r="AJ19" i="28"/>
  <c r="AD19" i="28"/>
  <c r="AC19" i="28"/>
  <c r="AB19" i="28"/>
  <c r="AA19" i="28"/>
  <c r="Z19" i="28"/>
  <c r="U19" i="28"/>
  <c r="T19" i="28"/>
  <c r="N19" i="28"/>
  <c r="M19" i="28"/>
  <c r="L19" i="28"/>
  <c r="K19" i="28"/>
  <c r="J19" i="28"/>
  <c r="E19" i="28"/>
  <c r="D19" i="28"/>
  <c r="AO19" i="28"/>
  <c r="V18" i="28"/>
  <c r="AM17" i="28"/>
  <c r="P17" i="28"/>
  <c r="O17" i="28"/>
  <c r="AP16" i="28"/>
  <c r="AO16" i="28"/>
  <c r="AN16" i="28"/>
  <c r="AM16" i="28"/>
  <c r="AL16" i="28"/>
  <c r="AK16" i="28"/>
  <c r="AF16" i="28"/>
  <c r="AE16" i="28"/>
  <c r="AC16" i="28"/>
  <c r="AB16" i="28"/>
  <c r="Z16" i="28"/>
  <c r="Y16" i="28"/>
  <c r="X16" i="28"/>
  <c r="W16" i="28"/>
  <c r="V16" i="28"/>
  <c r="U16" i="28"/>
  <c r="P16" i="28"/>
  <c r="O16" i="28"/>
  <c r="M16" i="28"/>
  <c r="L16" i="28"/>
  <c r="K16" i="28"/>
  <c r="J16" i="28"/>
  <c r="I16" i="28"/>
  <c r="H16" i="28"/>
  <c r="G16" i="28"/>
  <c r="F16" i="28"/>
  <c r="E16" i="28"/>
  <c r="AJ16" i="28"/>
  <c r="AO15" i="28"/>
  <c r="AN15" i="28"/>
  <c r="AG15" i="28"/>
  <c r="AF15" i="28"/>
  <c r="AD15" i="28"/>
  <c r="Y15" i="28"/>
  <c r="X15" i="28"/>
  <c r="Q15" i="28"/>
  <c r="P15" i="28"/>
  <c r="N15" i="28"/>
  <c r="I15" i="28"/>
  <c r="H15" i="28"/>
  <c r="AC15" i="28"/>
  <c r="AO14" i="28"/>
  <c r="AM14" i="28"/>
  <c r="AG14" i="28"/>
  <c r="Y14" i="28"/>
  <c r="W14" i="28"/>
  <c r="Q14" i="28"/>
  <c r="I14" i="28"/>
  <c r="G14" i="28"/>
  <c r="AL14" i="28"/>
  <c r="AF13" i="28"/>
  <c r="P13" i="28"/>
  <c r="AE13" i="28"/>
  <c r="AP12" i="28"/>
  <c r="AO12" i="28"/>
  <c r="AJ12" i="28"/>
  <c r="AI12" i="28"/>
  <c r="AG12" i="28"/>
  <c r="AD12" i="28"/>
  <c r="AC12" i="28"/>
  <c r="AB12" i="28"/>
  <c r="AA12" i="28"/>
  <c r="Z12" i="28"/>
  <c r="Y12" i="28"/>
  <c r="T12" i="28"/>
  <c r="S12" i="28"/>
  <c r="Q12" i="28"/>
  <c r="N12" i="28"/>
  <c r="M12" i="28"/>
  <c r="L12" i="28"/>
  <c r="K12" i="28"/>
  <c r="J12" i="28"/>
  <c r="I12" i="28"/>
  <c r="D12" i="28"/>
  <c r="C12" i="28"/>
  <c r="AN12" i="28"/>
  <c r="AG11" i="28"/>
  <c r="AL10" i="28"/>
  <c r="AK10" i="28"/>
  <c r="AI10" i="28"/>
  <c r="AE10" i="28"/>
  <c r="AD10" i="28"/>
  <c r="AC10" i="28"/>
  <c r="AB10" i="28"/>
  <c r="AA10" i="28"/>
  <c r="V10" i="28"/>
  <c r="U10" i="28"/>
  <c r="S10" i="28"/>
  <c r="P10" i="28"/>
  <c r="O10" i="28"/>
  <c r="N10" i="28"/>
  <c r="M10" i="28"/>
  <c r="L10" i="28"/>
  <c r="K10" i="28"/>
  <c r="F10" i="28"/>
  <c r="E10" i="28"/>
  <c r="C10" i="28"/>
  <c r="AP10" i="28"/>
  <c r="AN9" i="28"/>
  <c r="AM9" i="28"/>
  <c r="AL9" i="28"/>
  <c r="AK9" i="28"/>
  <c r="AJ9" i="28"/>
  <c r="AE9" i="28"/>
  <c r="AD9" i="28"/>
  <c r="AB9" i="28"/>
  <c r="Y9" i="28"/>
  <c r="X9" i="28"/>
  <c r="W9" i="28"/>
  <c r="V9" i="28"/>
  <c r="U9" i="28"/>
  <c r="T9" i="28"/>
  <c r="O9" i="28"/>
  <c r="N9" i="28"/>
  <c r="L9" i="28"/>
  <c r="I9" i="28"/>
  <c r="H9" i="28"/>
  <c r="G9" i="28"/>
  <c r="F9" i="28"/>
  <c r="E9" i="28"/>
  <c r="D9" i="28"/>
  <c r="AI9" i="28"/>
  <c r="AN8" i="28"/>
  <c r="AM8" i="28"/>
  <c r="AK8" i="28"/>
  <c r="AG8" i="28"/>
  <c r="AF8" i="28"/>
  <c r="AE8" i="28"/>
  <c r="AD8" i="28"/>
  <c r="AC8" i="28"/>
  <c r="X8" i="28"/>
  <c r="W8" i="28"/>
  <c r="U8" i="28"/>
  <c r="Q8" i="28"/>
  <c r="P8" i="28"/>
  <c r="O8" i="28"/>
  <c r="N8" i="28"/>
  <c r="M8" i="28"/>
  <c r="H8" i="28"/>
  <c r="G8" i="28"/>
  <c r="E8" i="28"/>
  <c r="AB8" i="28"/>
  <c r="AP7" i="28"/>
  <c r="AO7" i="28"/>
  <c r="AN7" i="28"/>
  <c r="AM7" i="28"/>
  <c r="AL7" i="28"/>
  <c r="AG7" i="28"/>
  <c r="AF7" i="28"/>
  <c r="AD7" i="28"/>
  <c r="Z7" i="28"/>
  <c r="Y7" i="28"/>
  <c r="X7" i="28"/>
  <c r="W7" i="28"/>
  <c r="V7" i="28"/>
  <c r="Q7" i="28"/>
  <c r="P7" i="28"/>
  <c r="N7" i="28"/>
  <c r="J7" i="28"/>
  <c r="I7" i="28"/>
  <c r="H7" i="28"/>
  <c r="G7" i="28"/>
  <c r="F7" i="28"/>
  <c r="AK7" i="28"/>
  <c r="AO6" i="28"/>
  <c r="AG6" i="28"/>
  <c r="AE6" i="28"/>
  <c r="Y6" i="28"/>
  <c r="Q6" i="28"/>
  <c r="O6" i="28"/>
  <c r="I6" i="28"/>
  <c r="AD6" i="28"/>
  <c r="AN5" i="28"/>
  <c r="X5" i="28"/>
  <c r="H5" i="28"/>
  <c r="AM5" i="28"/>
  <c r="AJ4" i="28"/>
  <c r="AI4" i="28"/>
  <c r="AG4" i="28"/>
  <c r="AB4" i="28"/>
  <c r="AA4" i="28"/>
  <c r="T4" i="28"/>
  <c r="S4" i="28"/>
  <c r="Q4" i="28"/>
  <c r="L4" i="28"/>
  <c r="K4" i="28"/>
  <c r="D4" i="28"/>
  <c r="C4" i="28"/>
  <c r="AF4" i="28"/>
  <c r="AP3" i="28"/>
  <c r="AK3" i="28"/>
  <c r="AJ3" i="28"/>
  <c r="AD3" i="28"/>
  <c r="AC3" i="28"/>
  <c r="AB3" i="28"/>
  <c r="AA3" i="28"/>
  <c r="Z3" i="28"/>
  <c r="U3" i="28"/>
  <c r="T3" i="28"/>
  <c r="N3" i="28"/>
  <c r="M3" i="28"/>
  <c r="L3" i="28"/>
  <c r="K3" i="28"/>
  <c r="J3" i="28"/>
  <c r="E3" i="28"/>
  <c r="D3" i="28"/>
  <c r="AO3" i="28"/>
  <c r="AM2" i="28"/>
  <c r="AL2" i="28"/>
  <c r="AK2" i="28"/>
  <c r="AJ2" i="28"/>
  <c r="AI2" i="28"/>
  <c r="AD2" i="28"/>
  <c r="AC2" i="28"/>
  <c r="AA2" i="28"/>
  <c r="W2" i="28"/>
  <c r="V2" i="28"/>
  <c r="U2" i="28"/>
  <c r="T2" i="28"/>
  <c r="S2" i="28"/>
  <c r="N2" i="28"/>
  <c r="M2" i="28"/>
  <c r="K2" i="28"/>
  <c r="G2" i="28"/>
  <c r="F2" i="28"/>
  <c r="E2" i="28"/>
  <c r="D2" i="28"/>
  <c r="C2" i="28"/>
  <c r="AH2" i="28"/>
  <c r="AM26" i="27"/>
  <c r="AL26" i="27"/>
  <c r="AF26" i="27"/>
  <c r="AE26" i="27"/>
  <c r="AD26" i="27"/>
  <c r="AC26" i="27"/>
  <c r="AB26" i="27"/>
  <c r="AA26" i="27"/>
  <c r="W26" i="27"/>
  <c r="V26" i="27"/>
  <c r="P26" i="27"/>
  <c r="O26" i="27"/>
  <c r="N26" i="27"/>
  <c r="M26" i="27"/>
  <c r="L26" i="27"/>
  <c r="K26" i="27"/>
  <c r="G26" i="27"/>
  <c r="F26" i="27"/>
  <c r="C26" i="27"/>
  <c r="AP26" i="27"/>
  <c r="AO25" i="27"/>
  <c r="AN25" i="27"/>
  <c r="AM25" i="27"/>
  <c r="AL25" i="27"/>
  <c r="AK25" i="27"/>
  <c r="AJ25" i="27"/>
  <c r="AF25" i="27"/>
  <c r="AE25" i="27"/>
  <c r="AB25" i="27"/>
  <c r="AA25" i="27"/>
  <c r="Y25" i="27"/>
  <c r="X25" i="27"/>
  <c r="W25" i="27"/>
  <c r="V25" i="27"/>
  <c r="U25" i="27"/>
  <c r="T25" i="27"/>
  <c r="P25" i="27"/>
  <c r="O25" i="27"/>
  <c r="L25" i="27"/>
  <c r="K25" i="27"/>
  <c r="I25" i="27"/>
  <c r="H25" i="27"/>
  <c r="G25" i="27"/>
  <c r="F25" i="27"/>
  <c r="E25" i="27"/>
  <c r="D25" i="27"/>
  <c r="AI25" i="27"/>
  <c r="AO24" i="27"/>
  <c r="AN24" i="27"/>
  <c r="AG24" i="27"/>
  <c r="AF24" i="27"/>
  <c r="AE24" i="27"/>
  <c r="AD24" i="27"/>
  <c r="AC24" i="27"/>
  <c r="Y24" i="27"/>
  <c r="X24" i="27"/>
  <c r="Q24" i="27"/>
  <c r="P24" i="27"/>
  <c r="O24" i="27"/>
  <c r="N24" i="27"/>
  <c r="M24" i="27"/>
  <c r="I24" i="27"/>
  <c r="H24" i="27"/>
  <c r="AB24" i="27"/>
  <c r="AP23" i="27"/>
  <c r="AL23" i="27"/>
  <c r="AG23" i="27"/>
  <c r="Z23" i="27"/>
  <c r="V23" i="27"/>
  <c r="Q23" i="27"/>
  <c r="J23" i="27"/>
  <c r="F23" i="27"/>
  <c r="AK23" i="27"/>
  <c r="AP22" i="27"/>
  <c r="AI22" i="27"/>
  <c r="AE22" i="27"/>
  <c r="Z22" i="27"/>
  <c r="S22" i="27"/>
  <c r="O22" i="27"/>
  <c r="K22" i="27"/>
  <c r="J22" i="27"/>
  <c r="C22" i="27"/>
  <c r="AD22" i="27"/>
  <c r="AP21" i="27"/>
  <c r="AO21" i="27"/>
  <c r="AN21" i="27"/>
  <c r="AJ21" i="27"/>
  <c r="AI21" i="27"/>
  <c r="AF21" i="27"/>
  <c r="AE21" i="27"/>
  <c r="AC21" i="27"/>
  <c r="AB21" i="27"/>
  <c r="AA21" i="27"/>
  <c r="Z21" i="27"/>
  <c r="Y21" i="27"/>
  <c r="X21" i="27"/>
  <c r="T21" i="27"/>
  <c r="S21" i="27"/>
  <c r="P21" i="27"/>
  <c r="O21" i="27"/>
  <c r="M21" i="27"/>
  <c r="L21" i="27"/>
  <c r="K21" i="27"/>
  <c r="J21" i="27"/>
  <c r="I21" i="27"/>
  <c r="H21" i="27"/>
  <c r="D21" i="27"/>
  <c r="C21" i="27"/>
  <c r="AM21" i="27"/>
  <c r="AK20" i="27"/>
  <c r="AJ20" i="27"/>
  <c r="AG20" i="27"/>
  <c r="AC20" i="27"/>
  <c r="AB20" i="27"/>
  <c r="U20" i="27"/>
  <c r="T20" i="27"/>
  <c r="Q20" i="27"/>
  <c r="M20" i="27"/>
  <c r="L20" i="27"/>
  <c r="E20" i="27"/>
  <c r="D20" i="27"/>
  <c r="AF20" i="27"/>
  <c r="AP19" i="27"/>
  <c r="AL19" i="27"/>
  <c r="AK19" i="27"/>
  <c r="AE19" i="27"/>
  <c r="AD19" i="27"/>
  <c r="AC19" i="27"/>
  <c r="AB19" i="27"/>
  <c r="AA19" i="27"/>
  <c r="Z19" i="27"/>
  <c r="V19" i="27"/>
  <c r="U19" i="27"/>
  <c r="O19" i="27"/>
  <c r="N19" i="27"/>
  <c r="M19" i="27"/>
  <c r="L19" i="27"/>
  <c r="K19" i="27"/>
  <c r="J19" i="27"/>
  <c r="F19" i="27"/>
  <c r="E19" i="27"/>
  <c r="AO19" i="27"/>
  <c r="W18" i="27"/>
  <c r="AH18" i="27"/>
  <c r="AN17" i="27"/>
  <c r="AM17" i="27"/>
  <c r="AL17" i="27"/>
  <c r="AJ17" i="27"/>
  <c r="AI17" i="27"/>
  <c r="AG17" i="27"/>
  <c r="AF17" i="27"/>
  <c r="AE17" i="27"/>
  <c r="AD17" i="27"/>
  <c r="AC17" i="27"/>
  <c r="AB17" i="27"/>
  <c r="X17" i="27"/>
  <c r="W17" i="27"/>
  <c r="V17" i="27"/>
  <c r="T17" i="27"/>
  <c r="S17" i="27"/>
  <c r="Q17" i="27"/>
  <c r="P17" i="27"/>
  <c r="O17" i="27"/>
  <c r="N17" i="27"/>
  <c r="M17" i="27"/>
  <c r="L17" i="27"/>
  <c r="H17" i="27"/>
  <c r="G17" i="27"/>
  <c r="F17" i="27"/>
  <c r="D17" i="27"/>
  <c r="C17" i="27"/>
  <c r="AA17" i="27"/>
  <c r="AP16" i="27"/>
  <c r="AO16" i="27"/>
  <c r="AN16" i="27"/>
  <c r="AM16" i="27"/>
  <c r="AL16" i="27"/>
  <c r="AK16" i="27"/>
  <c r="AG16" i="27"/>
  <c r="AF16" i="27"/>
  <c r="AE16" i="27"/>
  <c r="AC16" i="27"/>
  <c r="AB16" i="27"/>
  <c r="Z16" i="27"/>
  <c r="Y16" i="27"/>
  <c r="X16" i="27"/>
  <c r="W16" i="27"/>
  <c r="V16" i="27"/>
  <c r="U16" i="27"/>
  <c r="Q16" i="27"/>
  <c r="P16" i="27"/>
  <c r="O16" i="27"/>
  <c r="M16" i="27"/>
  <c r="L16" i="27"/>
  <c r="J16" i="27"/>
  <c r="I16" i="27"/>
  <c r="H16" i="27"/>
  <c r="G16" i="27"/>
  <c r="F16" i="27"/>
  <c r="E16" i="27"/>
  <c r="AJ16" i="27"/>
  <c r="AD15" i="27"/>
  <c r="N15" i="27"/>
  <c r="AC15" i="27"/>
  <c r="AM14" i="27"/>
  <c r="W14" i="27"/>
  <c r="K14" i="27"/>
  <c r="G14" i="27"/>
  <c r="AL14" i="27"/>
  <c r="AJ13" i="27"/>
  <c r="AI13" i="27"/>
  <c r="AG13" i="27"/>
  <c r="AF13" i="27"/>
  <c r="AB13" i="27"/>
  <c r="AA13" i="27"/>
  <c r="T13" i="27"/>
  <c r="S13" i="27"/>
  <c r="Q13" i="27"/>
  <c r="P13" i="27"/>
  <c r="L13" i="27"/>
  <c r="K13" i="27"/>
  <c r="D13" i="27"/>
  <c r="C13" i="27"/>
  <c r="AE13" i="27"/>
  <c r="AP12" i="27"/>
  <c r="AO12" i="27"/>
  <c r="AK12" i="27"/>
  <c r="AJ12" i="27"/>
  <c r="AG12" i="27"/>
  <c r="AD12" i="27"/>
  <c r="AC12" i="27"/>
  <c r="AB12" i="27"/>
  <c r="AA12" i="27"/>
  <c r="Z12" i="27"/>
  <c r="Y12" i="27"/>
  <c r="U12" i="27"/>
  <c r="T12" i="27"/>
  <c r="Q12" i="27"/>
  <c r="N12" i="27"/>
  <c r="M12" i="27"/>
  <c r="L12" i="27"/>
  <c r="K12" i="27"/>
  <c r="J12" i="27"/>
  <c r="I12" i="27"/>
  <c r="E12" i="27"/>
  <c r="D12" i="27"/>
  <c r="AN12" i="27"/>
  <c r="AG11" i="27"/>
  <c r="AM10" i="27"/>
  <c r="AL10" i="27"/>
  <c r="AI10" i="27"/>
  <c r="AF10" i="27"/>
  <c r="AE10" i="27"/>
  <c r="AD10" i="27"/>
  <c r="AC10" i="27"/>
  <c r="AB10" i="27"/>
  <c r="AA10" i="27"/>
  <c r="W10" i="27"/>
  <c r="V10" i="27"/>
  <c r="S10" i="27"/>
  <c r="P10" i="27"/>
  <c r="O10" i="27"/>
  <c r="N10" i="27"/>
  <c r="M10" i="27"/>
  <c r="L10" i="27"/>
  <c r="K10" i="27"/>
  <c r="G10" i="27"/>
  <c r="F10" i="27"/>
  <c r="C10" i="27"/>
  <c r="AP10" i="27"/>
  <c r="AO9" i="27"/>
  <c r="AN9" i="27"/>
  <c r="AM9" i="27"/>
  <c r="AL9" i="27"/>
  <c r="AK9" i="27"/>
  <c r="AJ9" i="27"/>
  <c r="AF9" i="27"/>
  <c r="AE9" i="27"/>
  <c r="AB9" i="27"/>
  <c r="Y9" i="27"/>
  <c r="X9" i="27"/>
  <c r="W9" i="27"/>
  <c r="V9" i="27"/>
  <c r="U9" i="27"/>
  <c r="T9" i="27"/>
  <c r="P9" i="27"/>
  <c r="O9" i="27"/>
  <c r="L9" i="27"/>
  <c r="K9" i="27"/>
  <c r="I9" i="27"/>
  <c r="H9" i="27"/>
  <c r="G9" i="27"/>
  <c r="F9" i="27"/>
  <c r="E9" i="27"/>
  <c r="D9" i="27"/>
  <c r="AI9" i="27"/>
  <c r="AO8" i="27"/>
  <c r="AN8" i="27"/>
  <c r="AG8" i="27"/>
  <c r="AF8" i="27"/>
  <c r="AE8" i="27"/>
  <c r="AD8" i="27"/>
  <c r="AC8" i="27"/>
  <c r="Y8" i="27"/>
  <c r="X8" i="27"/>
  <c r="Q8" i="27"/>
  <c r="P8" i="27"/>
  <c r="O8" i="27"/>
  <c r="N8" i="27"/>
  <c r="M8" i="27"/>
  <c r="I8" i="27"/>
  <c r="H8" i="27"/>
  <c r="AB8" i="27"/>
  <c r="AP7" i="27"/>
  <c r="AL7" i="27"/>
  <c r="AG7" i="27"/>
  <c r="Z7" i="27"/>
  <c r="V7" i="27"/>
  <c r="Q7" i="27"/>
  <c r="J7" i="27"/>
  <c r="F7" i="27"/>
  <c r="AK7" i="27"/>
  <c r="AP6" i="27"/>
  <c r="AI6" i="27"/>
  <c r="AE6" i="27"/>
  <c r="Z6" i="27"/>
  <c r="S6" i="27"/>
  <c r="O6" i="27"/>
  <c r="J6" i="27"/>
  <c r="C6" i="27"/>
  <c r="AD6" i="27"/>
  <c r="AP5" i="27"/>
  <c r="AO5" i="27"/>
  <c r="AN5" i="27"/>
  <c r="AJ5" i="27"/>
  <c r="AI5" i="27"/>
  <c r="AF5" i="27"/>
  <c r="AC5" i="27"/>
  <c r="AB5" i="27"/>
  <c r="AA5" i="27"/>
  <c r="Z5" i="27"/>
  <c r="Y5" i="27"/>
  <c r="X5" i="27"/>
  <c r="T5" i="27"/>
  <c r="S5" i="27"/>
  <c r="P5" i="27"/>
  <c r="M5" i="27"/>
  <c r="L5" i="27"/>
  <c r="K5" i="27"/>
  <c r="J5" i="27"/>
  <c r="I5" i="27"/>
  <c r="H5" i="27"/>
  <c r="D5" i="27"/>
  <c r="C5" i="27"/>
  <c r="AM5" i="27"/>
  <c r="AK4" i="27"/>
  <c r="AJ4" i="27"/>
  <c r="AG4" i="27"/>
  <c r="AC4" i="27"/>
  <c r="AB4" i="27"/>
  <c r="U4" i="27"/>
  <c r="T4" i="27"/>
  <c r="Q4" i="27"/>
  <c r="M4" i="27"/>
  <c r="L4" i="27"/>
  <c r="E4" i="27"/>
  <c r="D4" i="27"/>
  <c r="AF4" i="27"/>
  <c r="AP3" i="27"/>
  <c r="AL3" i="27"/>
  <c r="AK3" i="27"/>
  <c r="AD3" i="27"/>
  <c r="AC3" i="27"/>
  <c r="AB3" i="27"/>
  <c r="AA3" i="27"/>
  <c r="Z3" i="27"/>
  <c r="V3" i="27"/>
  <c r="U3" i="27"/>
  <c r="N3" i="27"/>
  <c r="M3" i="27"/>
  <c r="L3" i="27"/>
  <c r="K3" i="27"/>
  <c r="J3" i="27"/>
  <c r="F3" i="27"/>
  <c r="E3" i="27"/>
  <c r="AO3" i="27"/>
  <c r="AN2" i="27"/>
  <c r="AM2" i="27"/>
  <c r="AL2" i="27"/>
  <c r="AK2" i="27"/>
  <c r="AJ2" i="27"/>
  <c r="AI2" i="27"/>
  <c r="AE2" i="27"/>
  <c r="AD2" i="27"/>
  <c r="AA2" i="27"/>
  <c r="X2" i="27"/>
  <c r="W2" i="27"/>
  <c r="V2" i="27"/>
  <c r="U2" i="27"/>
  <c r="T2" i="27"/>
  <c r="S2" i="27"/>
  <c r="O2" i="27"/>
  <c r="N2" i="27"/>
  <c r="K2" i="27"/>
  <c r="H2" i="27"/>
  <c r="G2" i="27"/>
  <c r="F2" i="27"/>
  <c r="E2" i="27"/>
  <c r="D2" i="27"/>
  <c r="C2" i="27"/>
  <c r="AH2" i="27"/>
  <c r="AO26" i="26"/>
  <c r="AG26" i="26"/>
  <c r="AF26" i="26"/>
  <c r="AE26" i="26"/>
  <c r="AD26" i="26"/>
  <c r="AC26" i="26"/>
  <c r="AB26" i="26"/>
  <c r="AA26" i="26"/>
  <c r="Y26" i="26"/>
  <c r="Q26" i="26"/>
  <c r="P26" i="26"/>
  <c r="O26" i="26"/>
  <c r="N26" i="26"/>
  <c r="M26" i="26"/>
  <c r="L26" i="26"/>
  <c r="K26" i="26"/>
  <c r="I26" i="26"/>
  <c r="C26" i="26"/>
  <c r="AP26" i="26"/>
  <c r="AN25" i="26"/>
  <c r="AM25" i="26"/>
  <c r="AL25" i="26"/>
  <c r="AK25" i="26"/>
  <c r="AJ25" i="26"/>
  <c r="X25" i="26"/>
  <c r="W25" i="26"/>
  <c r="V25" i="26"/>
  <c r="U25" i="26"/>
  <c r="T25" i="26"/>
  <c r="H25" i="26"/>
  <c r="G25" i="26"/>
  <c r="F25" i="26"/>
  <c r="E25" i="26"/>
  <c r="D25" i="26"/>
  <c r="AI25" i="26"/>
  <c r="AG24" i="26"/>
  <c r="AF24" i="26"/>
  <c r="AE24" i="26"/>
  <c r="AD24" i="26"/>
  <c r="AC24" i="26"/>
  <c r="Q24" i="26"/>
  <c r="P24" i="26"/>
  <c r="O24" i="26"/>
  <c r="N24" i="26"/>
  <c r="M24" i="26"/>
  <c r="K24" i="26"/>
  <c r="AB24" i="26"/>
  <c r="AP23" i="26"/>
  <c r="AO23" i="26"/>
  <c r="AN23" i="26"/>
  <c r="AM23" i="26"/>
  <c r="AL23" i="26"/>
  <c r="AJ23" i="26"/>
  <c r="AD23" i="26"/>
  <c r="AC23" i="26"/>
  <c r="AB23" i="26"/>
  <c r="AA23" i="26"/>
  <c r="Z23" i="26"/>
  <c r="Y23" i="26"/>
  <c r="X23" i="26"/>
  <c r="W23" i="26"/>
  <c r="V23" i="26"/>
  <c r="T23" i="26"/>
  <c r="N23" i="26"/>
  <c r="M23" i="26"/>
  <c r="L23" i="26"/>
  <c r="K23" i="26"/>
  <c r="J23" i="26"/>
  <c r="I23" i="26"/>
  <c r="H23" i="26"/>
  <c r="G23" i="26"/>
  <c r="F23" i="26"/>
  <c r="D23" i="26"/>
  <c r="AK23" i="26"/>
  <c r="AF22" i="26"/>
  <c r="AE22" i="26"/>
  <c r="P22" i="26"/>
  <c r="O22" i="26"/>
  <c r="AD22" i="26"/>
  <c r="AP21" i="26"/>
  <c r="AO21" i="26"/>
  <c r="AN21" i="26"/>
  <c r="AL21" i="26"/>
  <c r="AF21" i="26"/>
  <c r="AE21" i="26"/>
  <c r="AD21" i="26"/>
  <c r="AC21" i="26"/>
  <c r="AB21" i="26"/>
  <c r="AA21" i="26"/>
  <c r="Z21" i="26"/>
  <c r="Y21" i="26"/>
  <c r="X21" i="26"/>
  <c r="V21" i="26"/>
  <c r="P21" i="26"/>
  <c r="O21" i="26"/>
  <c r="N21" i="26"/>
  <c r="M21" i="26"/>
  <c r="L21" i="26"/>
  <c r="K21" i="26"/>
  <c r="J21" i="26"/>
  <c r="I21" i="26"/>
  <c r="H21" i="26"/>
  <c r="F21" i="26"/>
  <c r="AM21" i="26"/>
  <c r="AG20" i="26"/>
  <c r="Q20" i="26"/>
  <c r="AF20" i="26"/>
  <c r="AP19" i="26"/>
  <c r="AN19" i="26"/>
  <c r="AJ19" i="26"/>
  <c r="AE19" i="26"/>
  <c r="AD19" i="26"/>
  <c r="AC19" i="26"/>
  <c r="AB19" i="26"/>
  <c r="AA19" i="26"/>
  <c r="Z19" i="26"/>
  <c r="X19" i="26"/>
  <c r="T19" i="26"/>
  <c r="O19" i="26"/>
  <c r="N19" i="26"/>
  <c r="M19" i="26"/>
  <c r="L19" i="26"/>
  <c r="K19" i="26"/>
  <c r="J19" i="26"/>
  <c r="H19" i="26"/>
  <c r="D19" i="26"/>
  <c r="AO19" i="26"/>
  <c r="V18" i="26"/>
  <c r="AP17" i="26"/>
  <c r="AL17" i="26"/>
  <c r="AJ17" i="26"/>
  <c r="AF17" i="26"/>
  <c r="AE17" i="26"/>
  <c r="AD17" i="26"/>
  <c r="AC17" i="26"/>
  <c r="AB17" i="26"/>
  <c r="Z17" i="26"/>
  <c r="V17" i="26"/>
  <c r="T17" i="26"/>
  <c r="Q17" i="26"/>
  <c r="P17" i="26"/>
  <c r="O17" i="26"/>
  <c r="N17" i="26"/>
  <c r="M17" i="26"/>
  <c r="L17" i="26"/>
  <c r="J17" i="26"/>
  <c r="F17" i="26"/>
  <c r="D17" i="26"/>
  <c r="AA17" i="26"/>
  <c r="AP16" i="26"/>
  <c r="AO16" i="26"/>
  <c r="AN16" i="26"/>
  <c r="AM16" i="26"/>
  <c r="AL16" i="26"/>
  <c r="AK16" i="26"/>
  <c r="AI16" i="26"/>
  <c r="AE16" i="26"/>
  <c r="AC16" i="26"/>
  <c r="AA16" i="26"/>
  <c r="Z16" i="26"/>
  <c r="Y16" i="26"/>
  <c r="X16" i="26"/>
  <c r="W16" i="26"/>
  <c r="V16" i="26"/>
  <c r="U16" i="26"/>
  <c r="S16" i="26"/>
  <c r="O16" i="26"/>
  <c r="M16" i="26"/>
  <c r="K16" i="26"/>
  <c r="J16" i="26"/>
  <c r="I16" i="26"/>
  <c r="H16" i="26"/>
  <c r="G16" i="26"/>
  <c r="F16" i="26"/>
  <c r="E16" i="26"/>
  <c r="C16" i="26"/>
  <c r="AJ16" i="26"/>
  <c r="AN15" i="26"/>
  <c r="AG15" i="26"/>
  <c r="AE15" i="26"/>
  <c r="AD15" i="26"/>
  <c r="AB15" i="26"/>
  <c r="X15" i="26"/>
  <c r="Q15" i="26"/>
  <c r="O15" i="26"/>
  <c r="N15" i="26"/>
  <c r="L15" i="26"/>
  <c r="H15" i="26"/>
  <c r="AC15" i="26"/>
  <c r="AP14" i="26"/>
  <c r="AO14" i="26"/>
  <c r="AN14" i="26"/>
  <c r="AM14" i="26"/>
  <c r="AK14" i="26"/>
  <c r="AG14" i="26"/>
  <c r="AE14" i="26"/>
  <c r="AC14" i="26"/>
  <c r="AB14" i="26"/>
  <c r="AA14" i="26"/>
  <c r="Z14" i="26"/>
  <c r="Y14" i="26"/>
  <c r="X14" i="26"/>
  <c r="W14" i="26"/>
  <c r="U14" i="26"/>
  <c r="Q14" i="26"/>
  <c r="O14" i="26"/>
  <c r="M14" i="26"/>
  <c r="L14" i="26"/>
  <c r="K14" i="26"/>
  <c r="J14" i="26"/>
  <c r="I14" i="26"/>
  <c r="H14" i="26"/>
  <c r="G14" i="26"/>
  <c r="E14" i="26"/>
  <c r="AL14" i="26"/>
  <c r="AP13" i="26"/>
  <c r="AI13" i="26"/>
  <c r="AG13" i="26"/>
  <c r="AF13" i="26"/>
  <c r="AD13" i="26"/>
  <c r="Z13" i="26"/>
  <c r="S13" i="26"/>
  <c r="Q13" i="26"/>
  <c r="P13" i="26"/>
  <c r="N13" i="26"/>
  <c r="J13" i="26"/>
  <c r="C13" i="26"/>
  <c r="AE13" i="26"/>
  <c r="AP12" i="26"/>
  <c r="AO12" i="26"/>
  <c r="AM12" i="26"/>
  <c r="AJ12" i="26"/>
  <c r="AI12" i="26"/>
  <c r="AG12" i="26"/>
  <c r="AE12" i="26"/>
  <c r="AD12" i="26"/>
  <c r="AC12" i="26"/>
  <c r="AB12" i="26"/>
  <c r="AA12" i="26"/>
  <c r="Z12" i="26"/>
  <c r="Y12" i="26"/>
  <c r="W12" i="26"/>
  <c r="T12" i="26"/>
  <c r="S12" i="26"/>
  <c r="Q12" i="26"/>
  <c r="O12" i="26"/>
  <c r="N12" i="26"/>
  <c r="M12" i="26"/>
  <c r="L12" i="26"/>
  <c r="K12" i="26"/>
  <c r="J12" i="26"/>
  <c r="I12" i="26"/>
  <c r="G12" i="26"/>
  <c r="D12" i="26"/>
  <c r="C12" i="26"/>
  <c r="AN12" i="26"/>
  <c r="AF11" i="26"/>
  <c r="P11" i="26"/>
  <c r="AG11" i="26"/>
  <c r="AO10" i="26"/>
  <c r="AK10" i="26"/>
  <c r="AI10" i="26"/>
  <c r="AG10" i="26"/>
  <c r="AF10" i="26"/>
  <c r="AE10" i="26"/>
  <c r="AD10" i="26"/>
  <c r="AC10" i="26"/>
  <c r="AB10" i="26"/>
  <c r="AA10" i="26"/>
  <c r="Y10" i="26"/>
  <c r="U10" i="26"/>
  <c r="S10" i="26"/>
  <c r="Q10" i="26"/>
  <c r="P10" i="26"/>
  <c r="O10" i="26"/>
  <c r="N10" i="26"/>
  <c r="M10" i="26"/>
  <c r="L10" i="26"/>
  <c r="K10" i="26"/>
  <c r="I10" i="26"/>
  <c r="F10" i="26"/>
  <c r="E10" i="26"/>
  <c r="C10" i="26"/>
  <c r="AP10" i="26"/>
  <c r="AI9" i="26"/>
  <c r="AM8" i="26"/>
  <c r="AK8" i="26"/>
  <c r="AG8" i="26"/>
  <c r="AF8" i="26"/>
  <c r="AE8" i="26"/>
  <c r="AD8" i="26"/>
  <c r="AC8" i="26"/>
  <c r="AA8" i="26"/>
  <c r="W8" i="26"/>
  <c r="U8" i="26"/>
  <c r="Q8" i="26"/>
  <c r="P8" i="26"/>
  <c r="O8" i="26"/>
  <c r="N8" i="26"/>
  <c r="M8" i="26"/>
  <c r="K8" i="26"/>
  <c r="G8" i="26"/>
  <c r="E8" i="26"/>
  <c r="AB8" i="26"/>
  <c r="AP7" i="26"/>
  <c r="AO7" i="26"/>
  <c r="AN7" i="26"/>
  <c r="AM7" i="26"/>
  <c r="AL7" i="26"/>
  <c r="AJ7" i="26"/>
  <c r="AF7" i="26"/>
  <c r="AD7" i="26"/>
  <c r="AB7" i="26"/>
  <c r="AA7" i="26"/>
  <c r="Z7" i="26"/>
  <c r="Y7" i="26"/>
  <c r="X7" i="26"/>
  <c r="W7" i="26"/>
  <c r="V7" i="26"/>
  <c r="T7" i="26"/>
  <c r="P7" i="26"/>
  <c r="N7" i="26"/>
  <c r="L7" i="26"/>
  <c r="K7" i="26"/>
  <c r="J7" i="26"/>
  <c r="I7" i="26"/>
  <c r="H7" i="26"/>
  <c r="G7" i="26"/>
  <c r="F7" i="26"/>
  <c r="D7" i="26"/>
  <c r="AK7" i="26"/>
  <c r="AF6" i="26"/>
  <c r="AE6" i="26"/>
  <c r="AC6" i="26"/>
  <c r="P6" i="26"/>
  <c r="O6" i="26"/>
  <c r="M6" i="26"/>
  <c r="AD6" i="26"/>
  <c r="AO5" i="26"/>
  <c r="AN5" i="26"/>
  <c r="AL5" i="26"/>
  <c r="AA5" i="26"/>
  <c r="Y5" i="26"/>
  <c r="X5" i="26"/>
  <c r="V5" i="26"/>
  <c r="K5" i="26"/>
  <c r="I5" i="26"/>
  <c r="H5" i="26"/>
  <c r="F5" i="26"/>
  <c r="AM5" i="26"/>
  <c r="AG4" i="26"/>
  <c r="AE4" i="26"/>
  <c r="Q4" i="26"/>
  <c r="O4" i="26"/>
  <c r="AF4" i="26"/>
  <c r="AP3" i="26"/>
  <c r="AN3" i="26"/>
  <c r="AJ3" i="26"/>
  <c r="AC3" i="26"/>
  <c r="AA3" i="26"/>
  <c r="Z3" i="26"/>
  <c r="X3" i="26"/>
  <c r="T3" i="26"/>
  <c r="M3" i="26"/>
  <c r="K3" i="26"/>
  <c r="J3" i="26"/>
  <c r="H3" i="26"/>
  <c r="D3" i="26"/>
  <c r="AO3" i="26"/>
  <c r="AO2" i="26"/>
  <c r="AN2" i="26"/>
  <c r="AM2" i="26"/>
  <c r="AL2" i="26"/>
  <c r="AK2" i="26"/>
  <c r="AJ2" i="26"/>
  <c r="AI2" i="26"/>
  <c r="AG2" i="26"/>
  <c r="AC2" i="26"/>
  <c r="AA2" i="26"/>
  <c r="Y2" i="26"/>
  <c r="X2" i="26"/>
  <c r="W2" i="26"/>
  <c r="V2" i="26"/>
  <c r="U2" i="26"/>
  <c r="T2" i="26"/>
  <c r="S2" i="26"/>
  <c r="Q2" i="26"/>
  <c r="M2" i="26"/>
  <c r="K2" i="26"/>
  <c r="I2" i="26"/>
  <c r="H2" i="26"/>
  <c r="G2" i="26"/>
  <c r="F2" i="26"/>
  <c r="E2" i="26"/>
  <c r="D2" i="26"/>
  <c r="C2" i="26"/>
  <c r="AH2" i="26"/>
  <c r="AO26" i="25"/>
  <c r="AL26" i="25"/>
  <c r="AK26" i="25"/>
  <c r="AG26" i="25"/>
  <c r="AE26" i="25"/>
  <c r="AD26" i="25"/>
  <c r="AC26" i="25"/>
  <c r="AB26" i="25"/>
  <c r="AA26" i="25"/>
  <c r="Y26" i="25"/>
  <c r="V26" i="25"/>
  <c r="U26" i="25"/>
  <c r="S26" i="25"/>
  <c r="Q26" i="25"/>
  <c r="O26" i="25"/>
  <c r="N26" i="25"/>
  <c r="M26" i="25"/>
  <c r="L26" i="25"/>
  <c r="K26" i="25"/>
  <c r="I26" i="25"/>
  <c r="F26" i="25"/>
  <c r="E26" i="25"/>
  <c r="C26" i="25"/>
  <c r="AP26" i="25"/>
  <c r="AM25" i="25"/>
  <c r="AL25" i="25"/>
  <c r="AJ25" i="25"/>
  <c r="AE25" i="25"/>
  <c r="AD25" i="25"/>
  <c r="W25" i="25"/>
  <c r="V25" i="25"/>
  <c r="T25" i="25"/>
  <c r="O25" i="25"/>
  <c r="N25" i="25"/>
  <c r="G25" i="25"/>
  <c r="F25" i="25"/>
  <c r="D25" i="25"/>
  <c r="AI25" i="25"/>
  <c r="AN24" i="25"/>
  <c r="AM24" i="25"/>
  <c r="AK24" i="25"/>
  <c r="AI24" i="25"/>
  <c r="AG24" i="25"/>
  <c r="AF24" i="25"/>
  <c r="AE24" i="25"/>
  <c r="AD24" i="25"/>
  <c r="AC24" i="25"/>
  <c r="AA24" i="25"/>
  <c r="X24" i="25"/>
  <c r="W24" i="25"/>
  <c r="U24" i="25"/>
  <c r="S24" i="25"/>
  <c r="Q24" i="25"/>
  <c r="P24" i="25"/>
  <c r="O24" i="25"/>
  <c r="N24" i="25"/>
  <c r="M24" i="25"/>
  <c r="K24" i="25"/>
  <c r="H24" i="25"/>
  <c r="G24" i="25"/>
  <c r="E24" i="25"/>
  <c r="C24" i="25"/>
  <c r="AB24" i="25"/>
  <c r="AP23" i="25"/>
  <c r="AO23" i="25"/>
  <c r="AN23" i="25"/>
  <c r="AM23" i="25"/>
  <c r="AL23" i="25"/>
  <c r="AJ23" i="25"/>
  <c r="AG23" i="25"/>
  <c r="AF23" i="25"/>
  <c r="AD23" i="25"/>
  <c r="AC23" i="25"/>
  <c r="AB23" i="25"/>
  <c r="AA23" i="25"/>
  <c r="Z23" i="25"/>
  <c r="Y23" i="25"/>
  <c r="X23" i="25"/>
  <c r="W23" i="25"/>
  <c r="V23" i="25"/>
  <c r="T23" i="25"/>
  <c r="Q23" i="25"/>
  <c r="P23" i="25"/>
  <c r="N23" i="25"/>
  <c r="M23" i="25"/>
  <c r="L23" i="25"/>
  <c r="K23" i="25"/>
  <c r="J23" i="25"/>
  <c r="I23" i="25"/>
  <c r="H23" i="25"/>
  <c r="G23" i="25"/>
  <c r="F23" i="25"/>
  <c r="D23" i="25"/>
  <c r="AK23" i="25"/>
  <c r="AE22" i="25"/>
  <c r="O22" i="25"/>
  <c r="AD22" i="25"/>
  <c r="AN21" i="25"/>
  <c r="X21" i="25"/>
  <c r="H21" i="25"/>
  <c r="AM21" i="25"/>
  <c r="AM20" i="25"/>
  <c r="AJ20" i="25"/>
  <c r="AI20" i="25"/>
  <c r="AG20" i="25"/>
  <c r="AE20" i="25"/>
  <c r="AB20" i="25"/>
  <c r="AA20" i="25"/>
  <c r="W20" i="25"/>
  <c r="T20" i="25"/>
  <c r="S20" i="25"/>
  <c r="Q20" i="25"/>
  <c r="O20" i="25"/>
  <c r="L20" i="25"/>
  <c r="K20" i="25"/>
  <c r="G20" i="25"/>
  <c r="D20" i="25"/>
  <c r="C20" i="25"/>
  <c r="AF20" i="25"/>
  <c r="AP19" i="25"/>
  <c r="AN19" i="25"/>
  <c r="AK19" i="25"/>
  <c r="AJ19" i="25"/>
  <c r="AF19" i="25"/>
  <c r="AC19" i="25"/>
  <c r="AB19" i="25"/>
  <c r="AA19" i="25"/>
  <c r="Z19" i="25"/>
  <c r="X19" i="25"/>
  <c r="U19" i="25"/>
  <c r="T19" i="25"/>
  <c r="P19" i="25"/>
  <c r="M19" i="25"/>
  <c r="L19" i="25"/>
  <c r="K19" i="25"/>
  <c r="J19" i="25"/>
  <c r="H19" i="25"/>
  <c r="E19" i="25"/>
  <c r="D19" i="25"/>
  <c r="AO19" i="25"/>
  <c r="AP18" i="25"/>
  <c r="V18" i="25"/>
  <c r="AH18" i="25"/>
  <c r="AM17" i="25"/>
  <c r="AL17" i="25"/>
  <c r="AE17" i="25"/>
  <c r="AD17" i="25"/>
  <c r="AB17" i="25"/>
  <c r="W17" i="25"/>
  <c r="V17" i="25"/>
  <c r="O17" i="25"/>
  <c r="N17" i="25"/>
  <c r="L17" i="25"/>
  <c r="G17" i="25"/>
  <c r="F17" i="25"/>
  <c r="AA17" i="25"/>
  <c r="AP16" i="25"/>
  <c r="AO16" i="25"/>
  <c r="AN16" i="25"/>
  <c r="AM16" i="25"/>
  <c r="AL16" i="25"/>
  <c r="AK16" i="25"/>
  <c r="AI16" i="25"/>
  <c r="AF16" i="25"/>
  <c r="AE16" i="25"/>
  <c r="AC16" i="25"/>
  <c r="AA16" i="25"/>
  <c r="Z16" i="25"/>
  <c r="Y16" i="25"/>
  <c r="X16" i="25"/>
  <c r="W16" i="25"/>
  <c r="V16" i="25"/>
  <c r="U16" i="25"/>
  <c r="S16" i="25"/>
  <c r="Q16" i="25"/>
  <c r="P16" i="25"/>
  <c r="O16" i="25"/>
  <c r="N16" i="25"/>
  <c r="M16" i="25"/>
  <c r="L16" i="25"/>
  <c r="K16" i="25"/>
  <c r="J16" i="25"/>
  <c r="I16" i="25"/>
  <c r="H16" i="25"/>
  <c r="G16" i="25"/>
  <c r="F16" i="25"/>
  <c r="E16" i="25"/>
  <c r="D16" i="25"/>
  <c r="C16" i="25"/>
  <c r="AJ16" i="25"/>
  <c r="AO15" i="25"/>
  <c r="AN15" i="25"/>
  <c r="AJ15" i="25"/>
  <c r="AG15" i="25"/>
  <c r="AF15" i="25"/>
  <c r="AE15" i="25"/>
  <c r="AD15" i="25"/>
  <c r="AB15" i="25"/>
  <c r="Y15" i="25"/>
  <c r="X15" i="25"/>
  <c r="V15" i="25"/>
  <c r="T15" i="25"/>
  <c r="Q15" i="25"/>
  <c r="P15" i="25"/>
  <c r="O15" i="25"/>
  <c r="N15" i="25"/>
  <c r="L15" i="25"/>
  <c r="I15" i="25"/>
  <c r="H15" i="25"/>
  <c r="F15" i="25"/>
  <c r="D15" i="25"/>
  <c r="AC15" i="25"/>
  <c r="AM14" i="25"/>
  <c r="W14" i="25"/>
  <c r="G14" i="25"/>
  <c r="AL14" i="25"/>
  <c r="AF13" i="25"/>
  <c r="P13" i="25"/>
  <c r="AE13" i="25"/>
  <c r="AP12" i="25"/>
  <c r="AO12" i="25"/>
  <c r="AM12" i="25"/>
  <c r="AJ12" i="25"/>
  <c r="AI12" i="25"/>
  <c r="AG12" i="25"/>
  <c r="AE12" i="25"/>
  <c r="AC12" i="25"/>
  <c r="AB12" i="25"/>
  <c r="AA12" i="25"/>
  <c r="Z12" i="25"/>
  <c r="Y12" i="25"/>
  <c r="W12" i="25"/>
  <c r="T12" i="25"/>
  <c r="S12" i="25"/>
  <c r="Q12" i="25"/>
  <c r="O12" i="25"/>
  <c r="M12" i="25"/>
  <c r="L12" i="25"/>
  <c r="K12" i="25"/>
  <c r="J12" i="25"/>
  <c r="I12" i="25"/>
  <c r="G12" i="25"/>
  <c r="D12" i="25"/>
  <c r="C12" i="25"/>
  <c r="AN12" i="25"/>
  <c r="AG11" i="25"/>
  <c r="AO10" i="25"/>
  <c r="AL10" i="25"/>
  <c r="AK10" i="25"/>
  <c r="AI10" i="25"/>
  <c r="AG10" i="25"/>
  <c r="AE10" i="25"/>
  <c r="AD10" i="25"/>
  <c r="AC10" i="25"/>
  <c r="AB10" i="25"/>
  <c r="AA10" i="25"/>
  <c r="Y10" i="25"/>
  <c r="V10" i="25"/>
  <c r="U10" i="25"/>
  <c r="S10" i="25"/>
  <c r="Q10" i="25"/>
  <c r="O10" i="25"/>
  <c r="N10" i="25"/>
  <c r="M10" i="25"/>
  <c r="L10" i="25"/>
  <c r="K10" i="25"/>
  <c r="I10" i="25"/>
  <c r="F10" i="25"/>
  <c r="E10" i="25"/>
  <c r="C10" i="25"/>
  <c r="AP10" i="25"/>
  <c r="AM9" i="25"/>
  <c r="AL9" i="25"/>
  <c r="AJ9" i="25"/>
  <c r="AE9" i="25"/>
  <c r="AD9" i="25"/>
  <c r="W9" i="25"/>
  <c r="V9" i="25"/>
  <c r="T9" i="25"/>
  <c r="O9" i="25"/>
  <c r="N9" i="25"/>
  <c r="G9" i="25"/>
  <c r="F9" i="25"/>
  <c r="D9" i="25"/>
  <c r="AI9" i="25"/>
  <c r="AN8" i="25"/>
  <c r="AM8" i="25"/>
  <c r="AK8" i="25"/>
  <c r="AI8" i="25"/>
  <c r="AG8" i="25"/>
  <c r="AF8" i="25"/>
  <c r="AE8" i="25"/>
  <c r="AD8" i="25"/>
  <c r="AC8" i="25"/>
  <c r="AA8" i="25"/>
  <c r="X8" i="25"/>
  <c r="W8" i="25"/>
  <c r="U8" i="25"/>
  <c r="S8" i="25"/>
  <c r="Q8" i="25"/>
  <c r="P8" i="25"/>
  <c r="O8" i="25"/>
  <c r="N8" i="25"/>
  <c r="M8" i="25"/>
  <c r="K8" i="25"/>
  <c r="H8" i="25"/>
  <c r="G8" i="25"/>
  <c r="E8" i="25"/>
  <c r="C8" i="25"/>
  <c r="AB8" i="25"/>
  <c r="AP7" i="25"/>
  <c r="AO7" i="25"/>
  <c r="AN7" i="25"/>
  <c r="AM7" i="25"/>
  <c r="AL7" i="25"/>
  <c r="AJ7" i="25"/>
  <c r="AG7" i="25"/>
  <c r="AF7" i="25"/>
  <c r="AD7" i="25"/>
  <c r="AB7" i="25"/>
  <c r="Z7" i="25"/>
  <c r="Y7" i="25"/>
  <c r="X7" i="25"/>
  <c r="W7" i="25"/>
  <c r="V7" i="25"/>
  <c r="T7" i="25"/>
  <c r="Q7" i="25"/>
  <c r="P7" i="25"/>
  <c r="N7" i="25"/>
  <c r="L7" i="25"/>
  <c r="J7" i="25"/>
  <c r="I7" i="25"/>
  <c r="H7" i="25"/>
  <c r="G7" i="25"/>
  <c r="F7" i="25"/>
  <c r="D7" i="25"/>
  <c r="AK7" i="25"/>
  <c r="AE6" i="25"/>
  <c r="O6" i="25"/>
  <c r="AD6" i="25"/>
  <c r="AN5" i="25"/>
  <c r="X5" i="25"/>
  <c r="H5" i="25"/>
  <c r="AM5" i="25"/>
  <c r="AO4" i="25"/>
  <c r="AM4" i="25"/>
  <c r="AJ4" i="25"/>
  <c r="AI4" i="25"/>
  <c r="AG4" i="25"/>
  <c r="AE4" i="25"/>
  <c r="AB4" i="25"/>
  <c r="AA4" i="25"/>
  <c r="Y4" i="25"/>
  <c r="W4" i="25"/>
  <c r="T4" i="25"/>
  <c r="S4" i="25"/>
  <c r="Q4" i="25"/>
  <c r="O4" i="25"/>
  <c r="L4" i="25"/>
  <c r="K4" i="25"/>
  <c r="I4" i="25"/>
  <c r="G4" i="25"/>
  <c r="D4" i="25"/>
  <c r="C4" i="25"/>
  <c r="AF4" i="25"/>
  <c r="AP3" i="25"/>
  <c r="AN3" i="25"/>
  <c r="AK3" i="25"/>
  <c r="AJ3" i="25"/>
  <c r="AF3" i="25"/>
  <c r="AC3" i="25"/>
  <c r="AB3" i="25"/>
  <c r="Z3" i="25"/>
  <c r="X3" i="25"/>
  <c r="U3" i="25"/>
  <c r="T3" i="25"/>
  <c r="P3" i="25"/>
  <c r="M3" i="25"/>
  <c r="L3" i="25"/>
  <c r="J3" i="25"/>
  <c r="H3" i="25"/>
  <c r="E3" i="25"/>
  <c r="D3" i="25"/>
  <c r="AO3" i="25"/>
  <c r="AO2" i="25"/>
  <c r="AM2" i="25"/>
  <c r="AL2" i="25"/>
  <c r="AK2" i="25"/>
  <c r="AJ2" i="25"/>
  <c r="AI2" i="25"/>
  <c r="AG2" i="25"/>
  <c r="AD2" i="25"/>
  <c r="AC2" i="25"/>
  <c r="AA2" i="25"/>
  <c r="Y2" i="25"/>
  <c r="W2" i="25"/>
  <c r="V2" i="25"/>
  <c r="U2" i="25"/>
  <c r="T2" i="25"/>
  <c r="S2" i="25"/>
  <c r="Q2" i="25"/>
  <c r="N2" i="25"/>
  <c r="M2" i="25"/>
  <c r="K2" i="25"/>
  <c r="I2" i="25"/>
  <c r="G2" i="25"/>
  <c r="F2" i="25"/>
  <c r="E2" i="25"/>
  <c r="D2" i="25"/>
  <c r="C2" i="25"/>
  <c r="AH2" i="25"/>
  <c r="AE26" i="23"/>
  <c r="AD26" i="23"/>
  <c r="AC26" i="23"/>
  <c r="AB26" i="23"/>
  <c r="AA26" i="23"/>
  <c r="O26" i="23"/>
  <c r="N26" i="23"/>
  <c r="M26" i="23"/>
  <c r="L26" i="23"/>
  <c r="K26" i="23"/>
  <c r="AP26" i="23"/>
  <c r="AO25" i="23"/>
  <c r="AN25" i="23"/>
  <c r="AM25" i="23"/>
  <c r="AL25" i="23"/>
  <c r="AK25" i="23"/>
  <c r="AJ25" i="23"/>
  <c r="AB25" i="23"/>
  <c r="AA25" i="23"/>
  <c r="Y25" i="23"/>
  <c r="X25" i="23"/>
  <c r="W25" i="23"/>
  <c r="V25" i="23"/>
  <c r="U25" i="23"/>
  <c r="T25" i="23"/>
  <c r="L25" i="23"/>
  <c r="K25" i="23"/>
  <c r="J25" i="23"/>
  <c r="I25" i="23"/>
  <c r="H25" i="23"/>
  <c r="G25" i="23"/>
  <c r="F25" i="23"/>
  <c r="E25" i="23"/>
  <c r="D25" i="23"/>
  <c r="AI25" i="23"/>
  <c r="AG24" i="23"/>
  <c r="AF24" i="23"/>
  <c r="AE24" i="23"/>
  <c r="AD24" i="23"/>
  <c r="AC24" i="23"/>
  <c r="Q24" i="23"/>
  <c r="P24" i="23"/>
  <c r="O24" i="23"/>
  <c r="N24" i="23"/>
  <c r="M24" i="23"/>
  <c r="AB24" i="23"/>
  <c r="AP23" i="23"/>
  <c r="AO23" i="23"/>
  <c r="AN23" i="23"/>
  <c r="AM23" i="23"/>
  <c r="AL23" i="23"/>
  <c r="AJ23" i="23"/>
  <c r="AD23" i="23"/>
  <c r="AC23" i="23"/>
  <c r="AB23" i="23"/>
  <c r="AA23" i="23"/>
  <c r="Z23" i="23"/>
  <c r="Y23" i="23"/>
  <c r="X23" i="23"/>
  <c r="W23" i="23"/>
  <c r="V23" i="23"/>
  <c r="T23" i="23"/>
  <c r="N23" i="23"/>
  <c r="M23" i="23"/>
  <c r="L23" i="23"/>
  <c r="K23" i="23"/>
  <c r="J23" i="23"/>
  <c r="I23" i="23"/>
  <c r="H23" i="23"/>
  <c r="G23" i="23"/>
  <c r="F23" i="23"/>
  <c r="D23" i="23"/>
  <c r="AK23" i="23"/>
  <c r="AG22" i="23"/>
  <c r="AF22" i="23"/>
  <c r="AE22" i="23"/>
  <c r="Q22" i="23"/>
  <c r="P22" i="23"/>
  <c r="O22" i="23"/>
  <c r="C22" i="23"/>
  <c r="AD22" i="23"/>
  <c r="AP21" i="23"/>
  <c r="AO21" i="23"/>
  <c r="AN21" i="23"/>
  <c r="AF21" i="23"/>
  <c r="AE21" i="23"/>
  <c r="AD21" i="23"/>
  <c r="AC21" i="23"/>
  <c r="AB21" i="23"/>
  <c r="AA21" i="23"/>
  <c r="Z21" i="23"/>
  <c r="Y21" i="23"/>
  <c r="X21" i="23"/>
  <c r="V21" i="23"/>
  <c r="P21" i="23"/>
  <c r="O21" i="23"/>
  <c r="N21" i="23"/>
  <c r="M21" i="23"/>
  <c r="L21" i="23"/>
  <c r="K21" i="23"/>
  <c r="J21" i="23"/>
  <c r="I21" i="23"/>
  <c r="H21" i="23"/>
  <c r="F21" i="23"/>
  <c r="AM21" i="23"/>
  <c r="AG20" i="23"/>
  <c r="Q20" i="23"/>
  <c r="AF20" i="23"/>
  <c r="AP19" i="23"/>
  <c r="AD19" i="23"/>
  <c r="AC19" i="23"/>
  <c r="AB19" i="23"/>
  <c r="AA19" i="23"/>
  <c r="Z19" i="23"/>
  <c r="N19" i="23"/>
  <c r="M19" i="23"/>
  <c r="L19" i="23"/>
  <c r="K19" i="23"/>
  <c r="J19" i="23"/>
  <c r="AO19" i="23"/>
  <c r="AL18" i="23"/>
  <c r="J18" i="23"/>
  <c r="AO16" i="23"/>
  <c r="AM16" i="23"/>
  <c r="AL16" i="23"/>
  <c r="AK16" i="23"/>
  <c r="AA16" i="23"/>
  <c r="Y16" i="23"/>
  <c r="X16" i="23"/>
  <c r="W16" i="23"/>
  <c r="V16" i="23"/>
  <c r="U16" i="23"/>
  <c r="K16" i="23"/>
  <c r="I16" i="23"/>
  <c r="H16" i="23"/>
  <c r="G16" i="23"/>
  <c r="F16" i="23"/>
  <c r="E16" i="23"/>
  <c r="AJ16" i="23"/>
  <c r="AJ15" i="23"/>
  <c r="AE15" i="23"/>
  <c r="AD15" i="23"/>
  <c r="T15" i="23"/>
  <c r="O15" i="23"/>
  <c r="N15" i="23"/>
  <c r="D15" i="23"/>
  <c r="AC15" i="23"/>
  <c r="AP14" i="23"/>
  <c r="AO14" i="23"/>
  <c r="AN14" i="23"/>
  <c r="AM14" i="23"/>
  <c r="AJ14" i="23"/>
  <c r="AE14" i="23"/>
  <c r="AC14" i="23"/>
  <c r="AB14" i="23"/>
  <c r="AA14" i="23"/>
  <c r="Z14" i="23"/>
  <c r="Y14" i="23"/>
  <c r="X14" i="23"/>
  <c r="W14" i="23"/>
  <c r="T14" i="23"/>
  <c r="O14" i="23"/>
  <c r="M14" i="23"/>
  <c r="L14" i="23"/>
  <c r="K14" i="23"/>
  <c r="J14" i="23"/>
  <c r="I14" i="23"/>
  <c r="H14" i="23"/>
  <c r="G14" i="23"/>
  <c r="D14" i="23"/>
  <c r="AL14" i="23"/>
  <c r="AL13" i="23"/>
  <c r="AG13" i="23"/>
  <c r="AF13" i="23"/>
  <c r="V13" i="23"/>
  <c r="Q13" i="23"/>
  <c r="P13" i="23"/>
  <c r="F13" i="23"/>
  <c r="AE13" i="23"/>
  <c r="AP12" i="23"/>
  <c r="AO12" i="23"/>
  <c r="AL12" i="23"/>
  <c r="AG12" i="23"/>
  <c r="AE12" i="23"/>
  <c r="AD12" i="23"/>
  <c r="AC12" i="23"/>
  <c r="AB12" i="23"/>
  <c r="AA12" i="23"/>
  <c r="Z12" i="23"/>
  <c r="Y12" i="23"/>
  <c r="V12" i="23"/>
  <c r="Q12" i="23"/>
  <c r="O12" i="23"/>
  <c r="N12" i="23"/>
  <c r="M12" i="23"/>
  <c r="L12" i="23"/>
  <c r="K12" i="23"/>
  <c r="J12" i="23"/>
  <c r="I12" i="23"/>
  <c r="F12" i="23"/>
  <c r="AN12" i="23"/>
  <c r="AH11" i="23"/>
  <c r="AG11" i="23"/>
  <c r="AN10" i="23"/>
  <c r="AI10" i="23"/>
  <c r="AG10" i="23"/>
  <c r="AE10" i="23"/>
  <c r="AD10" i="23"/>
  <c r="AC10" i="23"/>
  <c r="AB10" i="23"/>
  <c r="AA10" i="23"/>
  <c r="X10" i="23"/>
  <c r="S10" i="23"/>
  <c r="Q10" i="23"/>
  <c r="O10" i="23"/>
  <c r="N10" i="23"/>
  <c r="M10" i="23"/>
  <c r="L10" i="23"/>
  <c r="K10" i="23"/>
  <c r="H10" i="23"/>
  <c r="C10" i="23"/>
  <c r="AP10" i="23"/>
  <c r="AP9" i="23"/>
  <c r="AN9" i="23"/>
  <c r="AM9" i="23"/>
  <c r="AL9" i="23"/>
  <c r="AK9" i="23"/>
  <c r="AJ9" i="23"/>
  <c r="AG9" i="23"/>
  <c r="Z9" i="23"/>
  <c r="X9" i="23"/>
  <c r="W9" i="23"/>
  <c r="V9" i="23"/>
  <c r="U9" i="23"/>
  <c r="T9" i="23"/>
  <c r="Q9" i="23"/>
  <c r="L9" i="23"/>
  <c r="J9" i="23"/>
  <c r="H9" i="23"/>
  <c r="G9" i="23"/>
  <c r="F9" i="23"/>
  <c r="E9" i="23"/>
  <c r="D9" i="23"/>
  <c r="AI9" i="23"/>
  <c r="AI8" i="23"/>
  <c r="AG8" i="23"/>
  <c r="AF8" i="23"/>
  <c r="AE8" i="23"/>
  <c r="AD8" i="23"/>
  <c r="AC8" i="23"/>
  <c r="S8" i="23"/>
  <c r="Q8" i="23"/>
  <c r="P8" i="23"/>
  <c r="O8" i="23"/>
  <c r="N8" i="23"/>
  <c r="M8" i="23"/>
  <c r="J8" i="23"/>
  <c r="C8" i="23"/>
  <c r="AB8" i="23"/>
  <c r="AP7" i="23"/>
  <c r="AO7" i="23"/>
  <c r="AN7" i="23"/>
  <c r="AM7" i="23"/>
  <c r="AL7" i="23"/>
  <c r="AB7" i="23"/>
  <c r="Z7" i="23"/>
  <c r="Y7" i="23"/>
  <c r="X7" i="23"/>
  <c r="W7" i="23"/>
  <c r="V7" i="23"/>
  <c r="S7" i="23"/>
  <c r="L7" i="23"/>
  <c r="J7" i="23"/>
  <c r="I7" i="23"/>
  <c r="H7" i="23"/>
  <c r="G7" i="23"/>
  <c r="F7" i="23"/>
  <c r="D7" i="23"/>
  <c r="C7" i="23"/>
  <c r="AK7" i="23"/>
  <c r="AK6" i="23"/>
  <c r="AI6" i="23"/>
  <c r="AG6" i="23"/>
  <c r="AF6" i="23"/>
  <c r="AE6" i="23"/>
  <c r="U6" i="23"/>
  <c r="S6" i="23"/>
  <c r="Q6" i="23"/>
  <c r="P6" i="23"/>
  <c r="O6" i="23"/>
  <c r="E6" i="23"/>
  <c r="C6" i="23"/>
  <c r="AD6" i="23"/>
  <c r="AP5" i="23"/>
  <c r="AO5" i="23"/>
  <c r="AN5" i="23"/>
  <c r="AD5" i="23"/>
  <c r="AB5" i="23"/>
  <c r="AA5" i="23"/>
  <c r="Z5" i="23"/>
  <c r="Y5" i="23"/>
  <c r="X5" i="23"/>
  <c r="U5" i="23"/>
  <c r="N5" i="23"/>
  <c r="L5" i="23"/>
  <c r="K5" i="23"/>
  <c r="J5" i="23"/>
  <c r="I5" i="23"/>
  <c r="H5" i="23"/>
  <c r="F5" i="23"/>
  <c r="E5" i="23"/>
  <c r="AM5" i="23"/>
  <c r="AG4" i="23"/>
  <c r="Q4" i="23"/>
  <c r="AF4" i="23"/>
  <c r="AP3" i="23"/>
  <c r="AF3" i="23"/>
  <c r="AD3" i="23"/>
  <c r="AB3" i="23"/>
  <c r="AA3" i="23"/>
  <c r="Z3" i="23"/>
  <c r="P3" i="23"/>
  <c r="N3" i="23"/>
  <c r="L3" i="23"/>
  <c r="K3" i="23"/>
  <c r="J3" i="23"/>
  <c r="AO3" i="23"/>
  <c r="AO2" i="23"/>
  <c r="AM2" i="23"/>
  <c r="AK2" i="23"/>
  <c r="AJ2" i="23"/>
  <c r="AI2" i="23"/>
  <c r="Y2" i="23"/>
  <c r="W2" i="23"/>
  <c r="U2" i="23"/>
  <c r="T2" i="23"/>
  <c r="S2" i="23"/>
  <c r="I2" i="23"/>
  <c r="G2" i="23"/>
  <c r="F2" i="23"/>
  <c r="E2" i="23"/>
  <c r="D2" i="23"/>
  <c r="C2" i="23"/>
  <c r="AH2" i="23"/>
  <c r="Y137" i="19"/>
  <c r="E137" i="19"/>
  <c r="I18" i="32" l="1"/>
  <c r="AD18" i="32"/>
  <c r="J18" i="32"/>
  <c r="AG18" i="32"/>
  <c r="K18" i="32"/>
  <c r="AI18" i="32"/>
  <c r="M18" i="32"/>
  <c r="AJ18" i="32"/>
  <c r="N18" i="32"/>
  <c r="AK18" i="32"/>
  <c r="Q18" i="32"/>
  <c r="AL18" i="32"/>
  <c r="S18" i="32"/>
  <c r="AM18" i="32"/>
  <c r="T18" i="32"/>
  <c r="AN18" i="32"/>
  <c r="U18" i="32"/>
  <c r="AO18" i="32"/>
  <c r="AH18" i="32"/>
  <c r="V18" i="32"/>
  <c r="AP18" i="32"/>
  <c r="C18" i="32"/>
  <c r="W18" i="32"/>
  <c r="D18" i="32"/>
  <c r="X18" i="32"/>
  <c r="E18" i="32"/>
  <c r="Y18" i="32"/>
  <c r="F18" i="32"/>
  <c r="Z18" i="32"/>
  <c r="G18" i="32"/>
  <c r="O15" i="31"/>
  <c r="V16" i="31"/>
  <c r="AD15" i="31"/>
  <c r="W16" i="31"/>
  <c r="AJ16" i="31"/>
  <c r="Y16" i="31"/>
  <c r="E16" i="31"/>
  <c r="Z16" i="31"/>
  <c r="F16" i="31"/>
  <c r="AA16" i="31"/>
  <c r="G16" i="31"/>
  <c r="AB16" i="31"/>
  <c r="H16" i="31"/>
  <c r="AC16" i="31"/>
  <c r="I16" i="31"/>
  <c r="AF16" i="31"/>
  <c r="J16" i="31"/>
  <c r="AG16" i="31"/>
  <c r="K16" i="31"/>
  <c r="AK16" i="31"/>
  <c r="L16" i="31"/>
  <c r="AL16" i="31"/>
  <c r="M16" i="31"/>
  <c r="AM16" i="31"/>
  <c r="P16" i="31"/>
  <c r="AN16" i="31"/>
  <c r="AC15" i="31"/>
  <c r="Q16" i="31"/>
  <c r="AO16" i="31"/>
  <c r="U16" i="31"/>
  <c r="S18" i="30"/>
  <c r="AN18" i="30"/>
  <c r="T18" i="30"/>
  <c r="AP18" i="30"/>
  <c r="AH18" i="30"/>
  <c r="U18" i="30"/>
  <c r="C18" i="30"/>
  <c r="V18" i="30"/>
  <c r="D18" i="30"/>
  <c r="W18" i="30"/>
  <c r="E18" i="30"/>
  <c r="X18" i="30"/>
  <c r="F18" i="30"/>
  <c r="Z18" i="30"/>
  <c r="G18" i="30"/>
  <c r="AA18" i="30"/>
  <c r="H18" i="30"/>
  <c r="AC18" i="30"/>
  <c r="I18" i="30"/>
  <c r="AD18" i="30"/>
  <c r="J18" i="30"/>
  <c r="AE18" i="30"/>
  <c r="K18" i="30"/>
  <c r="AI18" i="30"/>
  <c r="M18" i="30"/>
  <c r="AJ18" i="30"/>
  <c r="N18" i="30"/>
  <c r="AK18" i="30"/>
  <c r="O18" i="30"/>
  <c r="N18" i="29"/>
  <c r="S18" i="29"/>
  <c r="T18" i="29"/>
  <c r="U18" i="29"/>
  <c r="V18" i="29"/>
  <c r="W18" i="29"/>
  <c r="Z18" i="29"/>
  <c r="AC18" i="29"/>
  <c r="AH18" i="29"/>
  <c r="AD18" i="29"/>
  <c r="C18" i="29"/>
  <c r="AI18" i="29"/>
  <c r="D18" i="29"/>
  <c r="AJ18" i="29"/>
  <c r="E18" i="29"/>
  <c r="AK18" i="29"/>
  <c r="F18" i="29"/>
  <c r="AL18" i="29"/>
  <c r="G18" i="29"/>
  <c r="AM18" i="29"/>
  <c r="J18" i="29"/>
  <c r="Q17" i="28"/>
  <c r="C18" i="28"/>
  <c r="X18" i="28"/>
  <c r="S17" i="28"/>
  <c r="D18" i="28"/>
  <c r="Y18" i="28"/>
  <c r="AH18" i="28"/>
  <c r="T17" i="28"/>
  <c r="E18" i="28"/>
  <c r="Z18" i="28"/>
  <c r="V17" i="28"/>
  <c r="F18" i="28"/>
  <c r="AA18" i="28"/>
  <c r="W17" i="28"/>
  <c r="G18" i="28"/>
  <c r="AC18" i="28"/>
  <c r="AB17" i="28"/>
  <c r="H18" i="28"/>
  <c r="AD18" i="28"/>
  <c r="W18" i="28"/>
  <c r="AA17" i="28"/>
  <c r="AC17" i="28"/>
  <c r="I18" i="28"/>
  <c r="AI18" i="28"/>
  <c r="C17" i="28"/>
  <c r="AD17" i="28"/>
  <c r="J18" i="28"/>
  <c r="AJ18" i="28"/>
  <c r="D17" i="28"/>
  <c r="AE17" i="28"/>
  <c r="K18" i="28"/>
  <c r="AK18" i="28"/>
  <c r="F17" i="28"/>
  <c r="AF17" i="28"/>
  <c r="M18" i="28"/>
  <c r="AL18" i="28"/>
  <c r="G17" i="28"/>
  <c r="AG17" i="28"/>
  <c r="N18" i="28"/>
  <c r="AM18" i="28"/>
  <c r="L17" i="28"/>
  <c r="AI17" i="28"/>
  <c r="S18" i="28"/>
  <c r="AN18" i="28"/>
  <c r="M17" i="28"/>
  <c r="AJ17" i="28"/>
  <c r="T18" i="28"/>
  <c r="AP18" i="28"/>
  <c r="N17" i="28"/>
  <c r="C18" i="27"/>
  <c r="X18" i="27"/>
  <c r="D18" i="27"/>
  <c r="Z18" i="27"/>
  <c r="E18" i="27"/>
  <c r="AA18" i="27"/>
  <c r="F18" i="27"/>
  <c r="AC18" i="27"/>
  <c r="G18" i="27"/>
  <c r="AD18" i="27"/>
  <c r="H18" i="27"/>
  <c r="AE18" i="27"/>
  <c r="J18" i="27"/>
  <c r="AI18" i="27"/>
  <c r="K18" i="27"/>
  <c r="AJ18" i="27"/>
  <c r="M18" i="27"/>
  <c r="AK18" i="27"/>
  <c r="N18" i="27"/>
  <c r="AL18" i="27"/>
  <c r="O18" i="27"/>
  <c r="AM18" i="27"/>
  <c r="S18" i="27"/>
  <c r="AN18" i="27"/>
  <c r="T18" i="27"/>
  <c r="AP18" i="27"/>
  <c r="U18" i="27"/>
  <c r="AH18" i="26"/>
  <c r="W18" i="26"/>
  <c r="C18" i="26"/>
  <c r="X18" i="26"/>
  <c r="D18" i="26"/>
  <c r="Y18" i="26"/>
  <c r="E18" i="26"/>
  <c r="Z18" i="26"/>
  <c r="F18" i="26"/>
  <c r="AA18" i="26"/>
  <c r="G18" i="26"/>
  <c r="AC18" i="26"/>
  <c r="H18" i="26"/>
  <c r="AG18" i="26"/>
  <c r="I18" i="26"/>
  <c r="AI18" i="26"/>
  <c r="J18" i="26"/>
  <c r="AJ18" i="26"/>
  <c r="K18" i="26"/>
  <c r="AK18" i="26"/>
  <c r="M18" i="26"/>
  <c r="AL18" i="26"/>
  <c r="Q18" i="26"/>
  <c r="AM18" i="26"/>
  <c r="S18" i="26"/>
  <c r="AN18" i="26"/>
  <c r="T18" i="26"/>
  <c r="AO18" i="26"/>
  <c r="C18" i="25"/>
  <c r="W18" i="25"/>
  <c r="D18" i="25"/>
  <c r="X18" i="25"/>
  <c r="E18" i="25"/>
  <c r="Y18" i="25"/>
  <c r="F18" i="25"/>
  <c r="Z18" i="25"/>
  <c r="G18" i="25"/>
  <c r="AA18" i="25"/>
  <c r="H18" i="25"/>
  <c r="AC18" i="25"/>
  <c r="I18" i="25"/>
  <c r="AD18" i="25"/>
  <c r="J18" i="25"/>
  <c r="AG18" i="25"/>
  <c r="K18" i="25"/>
  <c r="AI18" i="25"/>
  <c r="M18" i="25"/>
  <c r="AJ18" i="25"/>
  <c r="N18" i="25"/>
  <c r="AK18" i="25"/>
  <c r="Q18" i="25"/>
  <c r="AL18" i="25"/>
  <c r="S18" i="25"/>
  <c r="AM18" i="25"/>
  <c r="T18" i="25"/>
  <c r="AN18" i="25"/>
  <c r="U18" i="25"/>
  <c r="Q18" i="23"/>
  <c r="AN18" i="23"/>
  <c r="AA17" i="23"/>
  <c r="S18" i="23"/>
  <c r="AO18" i="23"/>
  <c r="K18" i="23"/>
  <c r="L17" i="23"/>
  <c r="T18" i="23"/>
  <c r="AP18" i="23"/>
  <c r="M17" i="23"/>
  <c r="U18" i="23"/>
  <c r="AB17" i="23"/>
  <c r="V18" i="23"/>
  <c r="W18" i="23"/>
  <c r="AH18" i="23"/>
  <c r="X18" i="23"/>
  <c r="C18" i="23"/>
  <c r="Y18" i="23"/>
  <c r="D18" i="23"/>
  <c r="Z18" i="23"/>
  <c r="E18" i="23"/>
  <c r="AA18" i="23"/>
  <c r="F18" i="23"/>
  <c r="AG18" i="23"/>
  <c r="AM18" i="23"/>
  <c r="G18" i="23"/>
  <c r="AI18" i="23"/>
  <c r="H18" i="23"/>
  <c r="AJ18" i="23"/>
  <c r="I18" i="23"/>
  <c r="AA3" i="32"/>
  <c r="R4" i="32"/>
  <c r="AH4" i="32"/>
  <c r="I5" i="32"/>
  <c r="Y5" i="32"/>
  <c r="AO5" i="32"/>
  <c r="P6" i="32"/>
  <c r="AF6" i="32"/>
  <c r="C11" i="32"/>
  <c r="S11" i="32"/>
  <c r="AI11" i="32"/>
  <c r="Q13" i="32"/>
  <c r="AG13" i="32"/>
  <c r="H14" i="32"/>
  <c r="X14" i="32"/>
  <c r="AN14" i="32"/>
  <c r="R20" i="32"/>
  <c r="AH20" i="32"/>
  <c r="I21" i="32"/>
  <c r="Y21" i="32"/>
  <c r="AO21" i="32"/>
  <c r="P22" i="32"/>
  <c r="AF22" i="32"/>
  <c r="J5" i="32"/>
  <c r="Z5" i="32"/>
  <c r="AP5" i="32"/>
  <c r="D11" i="32"/>
  <c r="T11" i="32"/>
  <c r="AJ11" i="32"/>
  <c r="R13" i="32"/>
  <c r="AH13" i="32"/>
  <c r="J21" i="32"/>
  <c r="Z21" i="32"/>
  <c r="AP21" i="32"/>
  <c r="K5" i="32"/>
  <c r="AA5" i="32"/>
  <c r="R6" i="32"/>
  <c r="AH6" i="32"/>
  <c r="E11" i="32"/>
  <c r="U11" i="32"/>
  <c r="AK11" i="32"/>
  <c r="C13" i="32"/>
  <c r="S13" i="32"/>
  <c r="AI13" i="32"/>
  <c r="J14" i="32"/>
  <c r="Z14" i="32"/>
  <c r="AP14" i="32"/>
  <c r="K21" i="32"/>
  <c r="AA21" i="32"/>
  <c r="R22" i="32"/>
  <c r="AH22" i="32"/>
  <c r="N3" i="32"/>
  <c r="AD3" i="32"/>
  <c r="E4" i="32"/>
  <c r="U4" i="32"/>
  <c r="AK4" i="32"/>
  <c r="L5" i="32"/>
  <c r="AB5" i="32"/>
  <c r="C6" i="32"/>
  <c r="S6" i="32"/>
  <c r="AI6" i="32"/>
  <c r="F11" i="32"/>
  <c r="V11" i="32"/>
  <c r="AL11" i="32"/>
  <c r="D13" i="32"/>
  <c r="T13" i="32"/>
  <c r="AJ13" i="32"/>
  <c r="K14" i="32"/>
  <c r="AA14" i="32"/>
  <c r="R15" i="32"/>
  <c r="AH15" i="32"/>
  <c r="E20" i="32"/>
  <c r="U20" i="32"/>
  <c r="AK20" i="32"/>
  <c r="L21" i="32"/>
  <c r="AB21" i="32"/>
  <c r="C22" i="32"/>
  <c r="S22" i="32"/>
  <c r="AI22" i="32"/>
  <c r="H2" i="32"/>
  <c r="X2" i="32"/>
  <c r="AN2" i="32"/>
  <c r="O3" i="32"/>
  <c r="AE3" i="32"/>
  <c r="F4" i="32"/>
  <c r="V4" i="32"/>
  <c r="AL4" i="32"/>
  <c r="M5" i="32"/>
  <c r="AC5" i="32"/>
  <c r="D6" i="32"/>
  <c r="T6" i="32"/>
  <c r="AJ6" i="32"/>
  <c r="R8" i="32"/>
  <c r="AH8" i="32"/>
  <c r="G11" i="32"/>
  <c r="W11" i="32"/>
  <c r="AM11" i="32"/>
  <c r="E13" i="32"/>
  <c r="U13" i="32"/>
  <c r="AK13" i="32"/>
  <c r="L14" i="32"/>
  <c r="AB14" i="32"/>
  <c r="C15" i="32"/>
  <c r="S15" i="32"/>
  <c r="AI15" i="32"/>
  <c r="O19" i="32"/>
  <c r="AE19" i="32"/>
  <c r="F20" i="32"/>
  <c r="V20" i="32"/>
  <c r="AL20" i="32"/>
  <c r="M21" i="32"/>
  <c r="AC21" i="32"/>
  <c r="D22" i="32"/>
  <c r="T22" i="32"/>
  <c r="AJ22" i="32"/>
  <c r="R24" i="32"/>
  <c r="AH24" i="32"/>
  <c r="P26" i="32"/>
  <c r="AF26" i="32"/>
  <c r="I2" i="32"/>
  <c r="Y2" i="32"/>
  <c r="AO2" i="32"/>
  <c r="P3" i="32"/>
  <c r="AF3" i="32"/>
  <c r="G4" i="32"/>
  <c r="W4" i="32"/>
  <c r="AM4" i="32"/>
  <c r="N5" i="32"/>
  <c r="AD5" i="32"/>
  <c r="E6" i="32"/>
  <c r="U6" i="32"/>
  <c r="AK6" i="32"/>
  <c r="L7" i="32"/>
  <c r="AB7" i="32"/>
  <c r="C8" i="32"/>
  <c r="S8" i="32"/>
  <c r="AI8" i="32"/>
  <c r="J9" i="32"/>
  <c r="Z9" i="32"/>
  <c r="AP9" i="32"/>
  <c r="Q10" i="32"/>
  <c r="AG10" i="32"/>
  <c r="H11" i="32"/>
  <c r="X11" i="32"/>
  <c r="AN11" i="32"/>
  <c r="O12" i="32"/>
  <c r="AE12" i="32"/>
  <c r="F13" i="32"/>
  <c r="V13" i="32"/>
  <c r="AL13" i="32"/>
  <c r="M14" i="32"/>
  <c r="AC14" i="32"/>
  <c r="D15" i="32"/>
  <c r="T15" i="32"/>
  <c r="AJ15" i="32"/>
  <c r="R17" i="32"/>
  <c r="AH17" i="32"/>
  <c r="P19" i="32"/>
  <c r="AF19" i="32"/>
  <c r="G20" i="32"/>
  <c r="W20" i="32"/>
  <c r="AM20" i="32"/>
  <c r="N21" i="32"/>
  <c r="AD21" i="32"/>
  <c r="E22" i="32"/>
  <c r="U22" i="32"/>
  <c r="AK22" i="32"/>
  <c r="C24" i="32"/>
  <c r="S24" i="32"/>
  <c r="AI24" i="32"/>
  <c r="Q26" i="32"/>
  <c r="AG26" i="32"/>
  <c r="J2" i="32"/>
  <c r="Z2" i="32"/>
  <c r="AP2" i="32"/>
  <c r="Q3" i="32"/>
  <c r="AG3" i="32"/>
  <c r="H4" i="32"/>
  <c r="X4" i="32"/>
  <c r="AN4" i="32"/>
  <c r="O5" i="32"/>
  <c r="AE5" i="32"/>
  <c r="F6" i="32"/>
  <c r="V6" i="32"/>
  <c r="AL6" i="32"/>
  <c r="M7" i="32"/>
  <c r="AC7" i="32"/>
  <c r="D8" i="32"/>
  <c r="T8" i="32"/>
  <c r="AJ8" i="32"/>
  <c r="K9" i="32"/>
  <c r="AA9" i="32"/>
  <c r="R10" i="32"/>
  <c r="AH10" i="32"/>
  <c r="I11" i="32"/>
  <c r="Y11" i="32"/>
  <c r="AO11" i="32"/>
  <c r="P12" i="32"/>
  <c r="AF12" i="32"/>
  <c r="G13" i="32"/>
  <c r="W13" i="32"/>
  <c r="AM13" i="32"/>
  <c r="N14" i="32"/>
  <c r="AD14" i="32"/>
  <c r="E15" i="32"/>
  <c r="U15" i="32"/>
  <c r="AK15" i="32"/>
  <c r="AI17" i="32"/>
  <c r="Q19" i="32"/>
  <c r="AG19" i="32"/>
  <c r="H20" i="32"/>
  <c r="X20" i="32"/>
  <c r="AN20" i="32"/>
  <c r="O21" i="32"/>
  <c r="AE21" i="32"/>
  <c r="F22" i="32"/>
  <c r="V22" i="32"/>
  <c r="AL22" i="32"/>
  <c r="D24" i="32"/>
  <c r="T24" i="32"/>
  <c r="AJ24" i="32"/>
  <c r="R26" i="32"/>
  <c r="AH26" i="32"/>
  <c r="R3" i="32"/>
  <c r="AH3" i="32"/>
  <c r="I4" i="32"/>
  <c r="Y4" i="32"/>
  <c r="AO4" i="32"/>
  <c r="P5" i="32"/>
  <c r="AF5" i="32"/>
  <c r="G6" i="32"/>
  <c r="W6" i="32"/>
  <c r="AM6" i="32"/>
  <c r="J11" i="32"/>
  <c r="Z11" i="32"/>
  <c r="AP11" i="32"/>
  <c r="H13" i="32"/>
  <c r="X13" i="32"/>
  <c r="AN13" i="32"/>
  <c r="O14" i="32"/>
  <c r="AE14" i="32"/>
  <c r="F15" i="32"/>
  <c r="V15" i="32"/>
  <c r="AL15" i="32"/>
  <c r="R19" i="32"/>
  <c r="AH19" i="32"/>
  <c r="I20" i="32"/>
  <c r="Y20" i="32"/>
  <c r="AO20" i="32"/>
  <c r="P21" i="32"/>
  <c r="AF21" i="32"/>
  <c r="G22" i="32"/>
  <c r="W22" i="32"/>
  <c r="AM22" i="32"/>
  <c r="E24" i="32"/>
  <c r="U24" i="32"/>
  <c r="AK24" i="32"/>
  <c r="AI26" i="32"/>
  <c r="L2" i="32"/>
  <c r="AB2" i="32"/>
  <c r="C3" i="32"/>
  <c r="S3" i="32"/>
  <c r="AI3" i="32"/>
  <c r="J4" i="32"/>
  <c r="Z4" i="32"/>
  <c r="AP4" i="32"/>
  <c r="Q5" i="32"/>
  <c r="AG5" i="32"/>
  <c r="H6" i="32"/>
  <c r="X6" i="32"/>
  <c r="AN6" i="32"/>
  <c r="O7" i="32"/>
  <c r="AE7" i="32"/>
  <c r="F8" i="32"/>
  <c r="V8" i="32"/>
  <c r="AL8" i="32"/>
  <c r="M9" i="32"/>
  <c r="AC9" i="32"/>
  <c r="D10" i="32"/>
  <c r="T10" i="32"/>
  <c r="AJ10" i="32"/>
  <c r="K11" i="32"/>
  <c r="AA11" i="32"/>
  <c r="R12" i="32"/>
  <c r="AH12" i="32"/>
  <c r="I13" i="32"/>
  <c r="Y13" i="32"/>
  <c r="AO13" i="32"/>
  <c r="P14" i="32"/>
  <c r="AF14" i="32"/>
  <c r="G15" i="32"/>
  <c r="W15" i="32"/>
  <c r="AM15" i="32"/>
  <c r="N16" i="32"/>
  <c r="AD16" i="32"/>
  <c r="E17" i="32"/>
  <c r="U17" i="32"/>
  <c r="AK17" i="32"/>
  <c r="L18" i="32"/>
  <c r="AB18" i="32"/>
  <c r="C19" i="32"/>
  <c r="S19" i="32"/>
  <c r="AI19" i="32"/>
  <c r="J20" i="32"/>
  <c r="Z20" i="32"/>
  <c r="AP20" i="32"/>
  <c r="Q21" i="32"/>
  <c r="AG21" i="32"/>
  <c r="H22" i="32"/>
  <c r="X22" i="32"/>
  <c r="AN22" i="32"/>
  <c r="O23" i="32"/>
  <c r="AE23" i="32"/>
  <c r="F24" i="32"/>
  <c r="V24" i="32"/>
  <c r="AL24" i="32"/>
  <c r="M25" i="32"/>
  <c r="AC25" i="32"/>
  <c r="D26" i="32"/>
  <c r="T26" i="32"/>
  <c r="AJ26" i="32"/>
  <c r="AH11" i="32"/>
  <c r="R5" i="32"/>
  <c r="AH5" i="32"/>
  <c r="L11" i="32"/>
  <c r="AB11" i="32"/>
  <c r="J13" i="32"/>
  <c r="Z13" i="32"/>
  <c r="AP13" i="32"/>
  <c r="R21" i="32"/>
  <c r="AH21" i="32"/>
  <c r="C5" i="32"/>
  <c r="S5" i="32"/>
  <c r="AI5" i="32"/>
  <c r="J6" i="32"/>
  <c r="Z6" i="32"/>
  <c r="AP6" i="32"/>
  <c r="M11" i="32"/>
  <c r="AC11" i="32"/>
  <c r="K13" i="32"/>
  <c r="AA13" i="32"/>
  <c r="R14" i="32"/>
  <c r="AH14" i="32"/>
  <c r="C21" i="32"/>
  <c r="S21" i="32"/>
  <c r="AI21" i="32"/>
  <c r="J22" i="32"/>
  <c r="Z22" i="32"/>
  <c r="AP22" i="32"/>
  <c r="O2" i="32"/>
  <c r="AE2" i="32"/>
  <c r="F3" i="32"/>
  <c r="V3" i="32"/>
  <c r="AL3" i="32"/>
  <c r="M4" i="32"/>
  <c r="AC4" i="32"/>
  <c r="D5" i="32"/>
  <c r="T5" i="32"/>
  <c r="AJ5" i="32"/>
  <c r="K6" i="32"/>
  <c r="AA6" i="32"/>
  <c r="R7" i="32"/>
  <c r="AH7" i="32"/>
  <c r="I8" i="32"/>
  <c r="Y8" i="32"/>
  <c r="AO8" i="32"/>
  <c r="P9" i="32"/>
  <c r="AF9" i="32"/>
  <c r="G10" i="32"/>
  <c r="W10" i="32"/>
  <c r="AM10" i="32"/>
  <c r="N11" i="32"/>
  <c r="AD11" i="32"/>
  <c r="E12" i="32"/>
  <c r="U12" i="32"/>
  <c r="AK12" i="32"/>
  <c r="L13" i="32"/>
  <c r="AB13" i="32"/>
  <c r="C14" i="32"/>
  <c r="S14" i="32"/>
  <c r="AI14" i="32"/>
  <c r="J15" i="32"/>
  <c r="Z15" i="32"/>
  <c r="AP15" i="32"/>
  <c r="Q16" i="32"/>
  <c r="AG16" i="32"/>
  <c r="H17" i="32"/>
  <c r="X17" i="32"/>
  <c r="AN17" i="32"/>
  <c r="O18" i="32"/>
  <c r="AE18" i="32"/>
  <c r="F19" i="32"/>
  <c r="V19" i="32"/>
  <c r="AL19" i="32"/>
  <c r="M20" i="32"/>
  <c r="AC20" i="32"/>
  <c r="D21" i="32"/>
  <c r="T21" i="32"/>
  <c r="AJ21" i="32"/>
  <c r="K22" i="32"/>
  <c r="AA22" i="32"/>
  <c r="R23" i="32"/>
  <c r="AH23" i="32"/>
  <c r="I24" i="32"/>
  <c r="Y24" i="32"/>
  <c r="AO24" i="32"/>
  <c r="P25" i="32"/>
  <c r="AF25" i="32"/>
  <c r="G26" i="32"/>
  <c r="W26" i="32"/>
  <c r="AM26" i="32"/>
  <c r="P2" i="32"/>
  <c r="AF2" i="32"/>
  <c r="G3" i="32"/>
  <c r="W3" i="32"/>
  <c r="AM3" i="32"/>
  <c r="N4" i="32"/>
  <c r="AD4" i="32"/>
  <c r="E5" i="32"/>
  <c r="U5" i="32"/>
  <c r="AK5" i="32"/>
  <c r="L6" i="32"/>
  <c r="AB6" i="32"/>
  <c r="C7" i="32"/>
  <c r="S7" i="32"/>
  <c r="AI7" i="32"/>
  <c r="J8" i="32"/>
  <c r="Z8" i="32"/>
  <c r="AP8" i="32"/>
  <c r="Q9" i="32"/>
  <c r="AG9" i="32"/>
  <c r="H10" i="32"/>
  <c r="X10" i="32"/>
  <c r="AN10" i="32"/>
  <c r="O11" i="32"/>
  <c r="AE11" i="32"/>
  <c r="F12" i="32"/>
  <c r="V12" i="32"/>
  <c r="AL12" i="32"/>
  <c r="M13" i="32"/>
  <c r="AC13" i="32"/>
  <c r="D14" i="32"/>
  <c r="T14" i="32"/>
  <c r="AJ14" i="32"/>
  <c r="K15" i="32"/>
  <c r="AA15" i="32"/>
  <c r="R16" i="32"/>
  <c r="AH16" i="32"/>
  <c r="I17" i="32"/>
  <c r="Y17" i="32"/>
  <c r="AO17" i="32"/>
  <c r="P18" i="32"/>
  <c r="AF18" i="32"/>
  <c r="G19" i="32"/>
  <c r="W19" i="32"/>
  <c r="AM19" i="32"/>
  <c r="N20" i="32"/>
  <c r="AD20" i="32"/>
  <c r="E21" i="32"/>
  <c r="U21" i="32"/>
  <c r="AK21" i="32"/>
  <c r="L22" i="32"/>
  <c r="AB22" i="32"/>
  <c r="C23" i="32"/>
  <c r="S23" i="32"/>
  <c r="AI23" i="32"/>
  <c r="J24" i="32"/>
  <c r="Z24" i="32"/>
  <c r="AP24" i="32"/>
  <c r="Q25" i="32"/>
  <c r="AG25" i="32"/>
  <c r="H26" i="32"/>
  <c r="X26" i="32"/>
  <c r="AN26" i="32"/>
  <c r="R11" i="32"/>
  <c r="Q2" i="32"/>
  <c r="AG2" i="32"/>
  <c r="H3" i="32"/>
  <c r="X3" i="32"/>
  <c r="AN3" i="32"/>
  <c r="O4" i="32"/>
  <c r="AE4" i="32"/>
  <c r="F5" i="32"/>
  <c r="V5" i="32"/>
  <c r="AL5" i="32"/>
  <c r="M6" i="32"/>
  <c r="AC6" i="32"/>
  <c r="D7" i="32"/>
  <c r="T7" i="32"/>
  <c r="AJ7" i="32"/>
  <c r="K8" i="32"/>
  <c r="AA8" i="32"/>
  <c r="R9" i="32"/>
  <c r="AH9" i="32"/>
  <c r="I10" i="32"/>
  <c r="Y10" i="32"/>
  <c r="AO10" i="32"/>
  <c r="P11" i="32"/>
  <c r="AF11" i="32"/>
  <c r="G12" i="32"/>
  <c r="W12" i="32"/>
  <c r="AM12" i="32"/>
  <c r="N13" i="32"/>
  <c r="AD13" i="32"/>
  <c r="E14" i="32"/>
  <c r="U14" i="32"/>
  <c r="AK14" i="32"/>
  <c r="L15" i="32"/>
  <c r="AB15" i="32"/>
  <c r="C16" i="32"/>
  <c r="S16" i="32"/>
  <c r="AI16" i="32"/>
  <c r="J17" i="32"/>
  <c r="Z17" i="32"/>
  <c r="AP17" i="32"/>
  <c r="H19" i="32"/>
  <c r="X19" i="32"/>
  <c r="AN19" i="32"/>
  <c r="O20" i="32"/>
  <c r="AE20" i="32"/>
  <c r="F21" i="32"/>
  <c r="V21" i="32"/>
  <c r="AL21" i="32"/>
  <c r="M22" i="32"/>
  <c r="AC22" i="32"/>
  <c r="K24" i="32"/>
  <c r="AA24" i="32"/>
  <c r="R25" i="32"/>
  <c r="AH25" i="32"/>
  <c r="I26" i="32"/>
  <c r="Y26" i="32"/>
  <c r="AO26" i="32"/>
  <c r="R2" i="32"/>
  <c r="I3" i="32"/>
  <c r="Y3" i="32"/>
  <c r="P4" i="32"/>
  <c r="G5" i="32"/>
  <c r="W5" i="32"/>
  <c r="N6" i="32"/>
  <c r="E7" i="32"/>
  <c r="U7" i="32"/>
  <c r="L8" i="32"/>
  <c r="C9" i="32"/>
  <c r="S9" i="32"/>
  <c r="J10" i="32"/>
  <c r="Z10" i="32"/>
  <c r="Q11" i="32"/>
  <c r="H12" i="32"/>
  <c r="X12" i="32"/>
  <c r="O13" i="32"/>
  <c r="F14" i="32"/>
  <c r="V14" i="32"/>
  <c r="M15" i="32"/>
  <c r="D16" i="32"/>
  <c r="T16" i="32"/>
  <c r="K17" i="32"/>
  <c r="R18" i="32"/>
  <c r="I19" i="32"/>
  <c r="Y19" i="32"/>
  <c r="P20" i="32"/>
  <c r="G21" i="32"/>
  <c r="W21" i="32"/>
  <c r="N22" i="32"/>
  <c r="E23" i="32"/>
  <c r="U23" i="32"/>
  <c r="L24" i="32"/>
  <c r="C25" i="32"/>
  <c r="S25" i="32"/>
  <c r="J26" i="32"/>
  <c r="Z26" i="32"/>
  <c r="AI11" i="31"/>
  <c r="C4" i="31"/>
  <c r="S4" i="31"/>
  <c r="AI4" i="31"/>
  <c r="D11" i="31"/>
  <c r="T11" i="31"/>
  <c r="AJ11" i="31"/>
  <c r="R13" i="31"/>
  <c r="AH13" i="31"/>
  <c r="I14" i="31"/>
  <c r="Y14" i="31"/>
  <c r="AO14" i="31"/>
  <c r="P15" i="31"/>
  <c r="AF15" i="31"/>
  <c r="C20" i="31"/>
  <c r="S20" i="31"/>
  <c r="AI20" i="31"/>
  <c r="D4" i="31"/>
  <c r="T4" i="31"/>
  <c r="AJ4" i="31"/>
  <c r="R6" i="31"/>
  <c r="AH6" i="31"/>
  <c r="I7" i="31"/>
  <c r="Y7" i="31"/>
  <c r="AO7" i="31"/>
  <c r="E11" i="31"/>
  <c r="U11" i="31"/>
  <c r="AK11" i="31"/>
  <c r="C13" i="31"/>
  <c r="S13" i="31"/>
  <c r="AI13" i="31"/>
  <c r="J14" i="31"/>
  <c r="Z14" i="31"/>
  <c r="AP14" i="31"/>
  <c r="Q15" i="31"/>
  <c r="AG15" i="31"/>
  <c r="O17" i="31"/>
  <c r="AE17" i="31"/>
  <c r="D20" i="31"/>
  <c r="T20" i="31"/>
  <c r="AJ20" i="31"/>
  <c r="R22" i="31"/>
  <c r="AH22" i="31"/>
  <c r="I23" i="31"/>
  <c r="Y23" i="31"/>
  <c r="AO23" i="31"/>
  <c r="AH11" i="31"/>
  <c r="E4" i="31"/>
  <c r="U4" i="31"/>
  <c r="AK4" i="31"/>
  <c r="F11" i="31"/>
  <c r="V11" i="31"/>
  <c r="AL11" i="31"/>
  <c r="AA14" i="31"/>
  <c r="R15" i="31"/>
  <c r="AH15" i="31"/>
  <c r="E20" i="31"/>
  <c r="U20" i="31"/>
  <c r="AK20" i="31"/>
  <c r="H2" i="31"/>
  <c r="X2" i="31"/>
  <c r="AN2" i="31"/>
  <c r="O3" i="31"/>
  <c r="AE3" i="31"/>
  <c r="F4" i="31"/>
  <c r="V4" i="31"/>
  <c r="AL4" i="31"/>
  <c r="M5" i="31"/>
  <c r="AC5" i="31"/>
  <c r="D6" i="31"/>
  <c r="T6" i="31"/>
  <c r="AJ6" i="31"/>
  <c r="K7" i="31"/>
  <c r="AA7" i="31"/>
  <c r="R8" i="31"/>
  <c r="AH8" i="31"/>
  <c r="I9" i="31"/>
  <c r="Y9" i="31"/>
  <c r="AO9" i="31"/>
  <c r="P10" i="31"/>
  <c r="AF10" i="31"/>
  <c r="G11" i="31"/>
  <c r="W11" i="31"/>
  <c r="AM11" i="31"/>
  <c r="N12" i="31"/>
  <c r="AD12" i="31"/>
  <c r="E13" i="31"/>
  <c r="U13" i="31"/>
  <c r="AK13" i="31"/>
  <c r="L14" i="31"/>
  <c r="AB14" i="31"/>
  <c r="C15" i="31"/>
  <c r="S15" i="31"/>
  <c r="AI15" i="31"/>
  <c r="Q17" i="31"/>
  <c r="AG17" i="31"/>
  <c r="O19" i="31"/>
  <c r="AE19" i="31"/>
  <c r="F20" i="31"/>
  <c r="V20" i="31"/>
  <c r="AL20" i="31"/>
  <c r="D22" i="31"/>
  <c r="T22" i="31"/>
  <c r="AJ22" i="31"/>
  <c r="K23" i="31"/>
  <c r="AA23" i="31"/>
  <c r="R24" i="31"/>
  <c r="AH24" i="31"/>
  <c r="P26" i="31"/>
  <c r="AF26" i="31"/>
  <c r="G4" i="31"/>
  <c r="W4" i="31"/>
  <c r="AM4" i="31"/>
  <c r="H11" i="31"/>
  <c r="X11" i="31"/>
  <c r="AN11" i="31"/>
  <c r="F13" i="31"/>
  <c r="V13" i="31"/>
  <c r="AL13" i="31"/>
  <c r="M14" i="31"/>
  <c r="AC14" i="31"/>
  <c r="D15" i="31"/>
  <c r="T15" i="31"/>
  <c r="AJ15" i="31"/>
  <c r="R17" i="31"/>
  <c r="AH17" i="31"/>
  <c r="G20" i="31"/>
  <c r="W20" i="31"/>
  <c r="AM20" i="31"/>
  <c r="E22" i="31"/>
  <c r="U22" i="31"/>
  <c r="AK22" i="31"/>
  <c r="L23" i="31"/>
  <c r="AB23" i="31"/>
  <c r="J2" i="31"/>
  <c r="Z2" i="31"/>
  <c r="AP2" i="31"/>
  <c r="Q3" i="31"/>
  <c r="AG3" i="31"/>
  <c r="H4" i="31"/>
  <c r="X4" i="31"/>
  <c r="AN4" i="31"/>
  <c r="O5" i="31"/>
  <c r="AE5" i="31"/>
  <c r="F6" i="31"/>
  <c r="V6" i="31"/>
  <c r="AL6" i="31"/>
  <c r="M7" i="31"/>
  <c r="AC7" i="31"/>
  <c r="D8" i="31"/>
  <c r="T8" i="31"/>
  <c r="AJ8" i="31"/>
  <c r="K9" i="31"/>
  <c r="AA9" i="31"/>
  <c r="R10" i="31"/>
  <c r="AH10" i="31"/>
  <c r="I11" i="31"/>
  <c r="Y11" i="31"/>
  <c r="AO11" i="31"/>
  <c r="P12" i="31"/>
  <c r="AF12" i="31"/>
  <c r="G13" i="31"/>
  <c r="W13" i="31"/>
  <c r="AM13" i="31"/>
  <c r="N14" i="31"/>
  <c r="AD14" i="31"/>
  <c r="E15" i="31"/>
  <c r="U15" i="31"/>
  <c r="AK15" i="31"/>
  <c r="C17" i="31"/>
  <c r="S17" i="31"/>
  <c r="AI17" i="31"/>
  <c r="Q19" i="31"/>
  <c r="AG19" i="31"/>
  <c r="H20" i="31"/>
  <c r="X20" i="31"/>
  <c r="AN20" i="31"/>
  <c r="F22" i="31"/>
  <c r="V22" i="31"/>
  <c r="AL22" i="31"/>
  <c r="M23" i="31"/>
  <c r="AC23" i="31"/>
  <c r="D24" i="31"/>
  <c r="T24" i="31"/>
  <c r="AJ24" i="31"/>
  <c r="R26" i="31"/>
  <c r="AH26" i="31"/>
  <c r="R3" i="31"/>
  <c r="AH3" i="31"/>
  <c r="I4" i="31"/>
  <c r="Y4" i="31"/>
  <c r="AO4" i="31"/>
  <c r="G6" i="31"/>
  <c r="W6" i="31"/>
  <c r="AM6" i="31"/>
  <c r="N7" i="31"/>
  <c r="AD7" i="31"/>
  <c r="J11" i="31"/>
  <c r="Z11" i="31"/>
  <c r="AP11" i="31"/>
  <c r="H13" i="31"/>
  <c r="X13" i="31"/>
  <c r="AN13" i="31"/>
  <c r="O14" i="31"/>
  <c r="AE14" i="31"/>
  <c r="F15" i="31"/>
  <c r="V15" i="31"/>
  <c r="AL15" i="31"/>
  <c r="D17" i="31"/>
  <c r="T17" i="31"/>
  <c r="AJ17" i="31"/>
  <c r="R19" i="31"/>
  <c r="AH19" i="31"/>
  <c r="I20" i="31"/>
  <c r="Y20" i="31"/>
  <c r="AO20" i="31"/>
  <c r="G22" i="31"/>
  <c r="W22" i="31"/>
  <c r="AM22" i="31"/>
  <c r="N23" i="31"/>
  <c r="AD23" i="31"/>
  <c r="U24" i="31"/>
  <c r="AK24" i="31"/>
  <c r="S26" i="31"/>
  <c r="AI26" i="31"/>
  <c r="S11" i="31"/>
  <c r="AH20" i="31"/>
  <c r="L2" i="31"/>
  <c r="AB2" i="31"/>
  <c r="C3" i="31"/>
  <c r="S3" i="31"/>
  <c r="AI3" i="31"/>
  <c r="J4" i="31"/>
  <c r="Z4" i="31"/>
  <c r="AP4" i="31"/>
  <c r="Q5" i="31"/>
  <c r="AG5" i="31"/>
  <c r="H6" i="31"/>
  <c r="X6" i="31"/>
  <c r="AN6" i="31"/>
  <c r="O7" i="31"/>
  <c r="AE7" i="31"/>
  <c r="F8" i="31"/>
  <c r="V8" i="31"/>
  <c r="AL8" i="31"/>
  <c r="M9" i="31"/>
  <c r="AC9" i="31"/>
  <c r="D10" i="31"/>
  <c r="T10" i="31"/>
  <c r="AJ10" i="31"/>
  <c r="K11" i="31"/>
  <c r="AA11" i="31"/>
  <c r="R12" i="31"/>
  <c r="AH12" i="31"/>
  <c r="I13" i="31"/>
  <c r="Y13" i="31"/>
  <c r="AO13" i="31"/>
  <c r="P14" i="31"/>
  <c r="AF14" i="31"/>
  <c r="G15" i="31"/>
  <c r="W15" i="31"/>
  <c r="AM15" i="31"/>
  <c r="N16" i="31"/>
  <c r="AD16" i="31"/>
  <c r="E17" i="31"/>
  <c r="U17" i="31"/>
  <c r="AK17" i="31"/>
  <c r="L18" i="31"/>
  <c r="AB18" i="31"/>
  <c r="C19" i="31"/>
  <c r="S19" i="31"/>
  <c r="AI19" i="31"/>
  <c r="J20" i="31"/>
  <c r="Z20" i="31"/>
  <c r="AP20" i="31"/>
  <c r="Q21" i="31"/>
  <c r="AG21" i="31"/>
  <c r="H22" i="31"/>
  <c r="X22" i="31"/>
  <c r="AN22" i="31"/>
  <c r="O23" i="31"/>
  <c r="AE23" i="31"/>
  <c r="F24" i="31"/>
  <c r="V24" i="31"/>
  <c r="AL24" i="31"/>
  <c r="M25" i="31"/>
  <c r="AC25" i="31"/>
  <c r="D26" i="31"/>
  <c r="T26" i="31"/>
  <c r="AJ26" i="31"/>
  <c r="M2" i="31"/>
  <c r="AC2" i="31"/>
  <c r="D3" i="31"/>
  <c r="T3" i="31"/>
  <c r="AJ3" i="31"/>
  <c r="K4" i="31"/>
  <c r="AA4" i="31"/>
  <c r="R5" i="31"/>
  <c r="AH5" i="31"/>
  <c r="I6" i="31"/>
  <c r="Y6" i="31"/>
  <c r="AO6" i="31"/>
  <c r="P7" i="31"/>
  <c r="AF7" i="31"/>
  <c r="G8" i="31"/>
  <c r="W8" i="31"/>
  <c r="AM8" i="31"/>
  <c r="N9" i="31"/>
  <c r="AD9" i="31"/>
  <c r="E10" i="31"/>
  <c r="U10" i="31"/>
  <c r="AK10" i="31"/>
  <c r="L11" i="31"/>
  <c r="AB11" i="31"/>
  <c r="C12" i="31"/>
  <c r="S12" i="31"/>
  <c r="AI12" i="31"/>
  <c r="J13" i="31"/>
  <c r="Z13" i="31"/>
  <c r="AP13" i="31"/>
  <c r="Q14" i="31"/>
  <c r="AG14" i="31"/>
  <c r="H15" i="31"/>
  <c r="X15" i="31"/>
  <c r="AN15" i="31"/>
  <c r="O16" i="31"/>
  <c r="AE16" i="31"/>
  <c r="F17" i="31"/>
  <c r="V17" i="31"/>
  <c r="AL17" i="31"/>
  <c r="M18" i="31"/>
  <c r="AC18" i="31"/>
  <c r="D19" i="31"/>
  <c r="T19" i="31"/>
  <c r="AJ19" i="31"/>
  <c r="K20" i="31"/>
  <c r="AA20" i="31"/>
  <c r="R21" i="31"/>
  <c r="AH21" i="31"/>
  <c r="I22" i="31"/>
  <c r="Y22" i="31"/>
  <c r="AO22" i="31"/>
  <c r="P23" i="31"/>
  <c r="AF23" i="31"/>
  <c r="G24" i="31"/>
  <c r="W24" i="31"/>
  <c r="AM24" i="31"/>
  <c r="N25" i="31"/>
  <c r="AD25" i="31"/>
  <c r="E26" i="31"/>
  <c r="U26" i="31"/>
  <c r="AK26" i="31"/>
  <c r="L4" i="31"/>
  <c r="AB4" i="31"/>
  <c r="M11" i="31"/>
  <c r="AC11" i="31"/>
  <c r="R14" i="31"/>
  <c r="AH14" i="31"/>
  <c r="I15" i="31"/>
  <c r="Y15" i="31"/>
  <c r="AO15" i="31"/>
  <c r="L20" i="31"/>
  <c r="AB20" i="31"/>
  <c r="AH4" i="31"/>
  <c r="R20" i="31"/>
  <c r="M4" i="31"/>
  <c r="AC4" i="31"/>
  <c r="K6" i="31"/>
  <c r="AA6" i="31"/>
  <c r="R7" i="31"/>
  <c r="AH7" i="31"/>
  <c r="N11" i="31"/>
  <c r="AD11" i="31"/>
  <c r="L13" i="31"/>
  <c r="AB13" i="31"/>
  <c r="C14" i="31"/>
  <c r="S14" i="31"/>
  <c r="AI14" i="31"/>
  <c r="J15" i="31"/>
  <c r="Z15" i="31"/>
  <c r="AP15" i="31"/>
  <c r="H17" i="31"/>
  <c r="X17" i="31"/>
  <c r="AN17" i="31"/>
  <c r="M20" i="31"/>
  <c r="AC20" i="31"/>
  <c r="AA22" i="31"/>
  <c r="R23" i="31"/>
  <c r="AH23" i="31"/>
  <c r="C11" i="31"/>
  <c r="P2" i="31"/>
  <c r="AF2" i="31"/>
  <c r="G3" i="31"/>
  <c r="W3" i="31"/>
  <c r="AM3" i="31"/>
  <c r="N4" i="31"/>
  <c r="AD4" i="31"/>
  <c r="E5" i="31"/>
  <c r="U5" i="31"/>
  <c r="AK5" i="31"/>
  <c r="L6" i="31"/>
  <c r="AB6" i="31"/>
  <c r="C7" i="31"/>
  <c r="S7" i="31"/>
  <c r="AI7" i="31"/>
  <c r="J8" i="31"/>
  <c r="Z8" i="31"/>
  <c r="AP8" i="31"/>
  <c r="Q9" i="31"/>
  <c r="AG9" i="31"/>
  <c r="H10" i="31"/>
  <c r="X10" i="31"/>
  <c r="AN10" i="31"/>
  <c r="O11" i="31"/>
  <c r="AE11" i="31"/>
  <c r="F12" i="31"/>
  <c r="V12" i="31"/>
  <c r="AL12" i="31"/>
  <c r="M13" i="31"/>
  <c r="AC13" i="31"/>
  <c r="D14" i="31"/>
  <c r="T14" i="31"/>
  <c r="AJ14" i="31"/>
  <c r="K15" i="31"/>
  <c r="AA15" i="31"/>
  <c r="R16" i="31"/>
  <c r="AH16" i="31"/>
  <c r="I17" i="31"/>
  <c r="Y17" i="31"/>
  <c r="AO17" i="31"/>
  <c r="P18" i="31"/>
  <c r="AF18" i="31"/>
  <c r="G19" i="31"/>
  <c r="W19" i="31"/>
  <c r="AM19" i="31"/>
  <c r="N20" i="31"/>
  <c r="AD20" i="31"/>
  <c r="E21" i="31"/>
  <c r="U21" i="31"/>
  <c r="AK21" i="31"/>
  <c r="L22" i="31"/>
  <c r="AB22" i="31"/>
  <c r="C23" i="31"/>
  <c r="S23" i="31"/>
  <c r="AI23" i="31"/>
  <c r="J24" i="31"/>
  <c r="Z24" i="31"/>
  <c r="AP24" i="31"/>
  <c r="Q25" i="31"/>
  <c r="AG25" i="31"/>
  <c r="H26" i="31"/>
  <c r="X26" i="31"/>
  <c r="AN26" i="31"/>
  <c r="R4" i="31"/>
  <c r="Q2" i="31"/>
  <c r="AG2" i="31"/>
  <c r="H3" i="31"/>
  <c r="X3" i="31"/>
  <c r="AN3" i="31"/>
  <c r="O4" i="31"/>
  <c r="AE4" i="31"/>
  <c r="F5" i="31"/>
  <c r="V5" i="31"/>
  <c r="AL5" i="31"/>
  <c r="M6" i="31"/>
  <c r="AC6" i="31"/>
  <c r="D7" i="31"/>
  <c r="T7" i="31"/>
  <c r="AJ7" i="31"/>
  <c r="K8" i="31"/>
  <c r="AA8" i="31"/>
  <c r="R9" i="31"/>
  <c r="AH9" i="31"/>
  <c r="I10" i="31"/>
  <c r="Y10" i="31"/>
  <c r="AO10" i="31"/>
  <c r="P11" i="31"/>
  <c r="AF11" i="31"/>
  <c r="G12" i="31"/>
  <c r="W12" i="31"/>
  <c r="AM12" i="31"/>
  <c r="N13" i="31"/>
  <c r="AD13" i="31"/>
  <c r="E14" i="31"/>
  <c r="U14" i="31"/>
  <c r="AK14" i="31"/>
  <c r="L15" i="31"/>
  <c r="AB15" i="31"/>
  <c r="C16" i="31"/>
  <c r="S16" i="31"/>
  <c r="AI16" i="31"/>
  <c r="J17" i="31"/>
  <c r="Z17" i="31"/>
  <c r="AP17" i="31"/>
  <c r="Q18" i="31"/>
  <c r="AG18" i="31"/>
  <c r="H19" i="31"/>
  <c r="X19" i="31"/>
  <c r="AN19" i="31"/>
  <c r="O20" i="31"/>
  <c r="AE20" i="31"/>
  <c r="F21" i="31"/>
  <c r="V21" i="31"/>
  <c r="AL21" i="31"/>
  <c r="M22" i="31"/>
  <c r="AC22" i="31"/>
  <c r="D23" i="31"/>
  <c r="T23" i="31"/>
  <c r="AJ23" i="31"/>
  <c r="K24" i="31"/>
  <c r="AA24" i="31"/>
  <c r="R25" i="31"/>
  <c r="AH25" i="31"/>
  <c r="I26" i="31"/>
  <c r="Y26" i="31"/>
  <c r="AO26" i="31"/>
  <c r="R2" i="31"/>
  <c r="I3" i="31"/>
  <c r="Y3" i="31"/>
  <c r="P4" i="31"/>
  <c r="G5" i="31"/>
  <c r="W5" i="31"/>
  <c r="N6" i="31"/>
  <c r="E7" i="31"/>
  <c r="U7" i="31"/>
  <c r="L8" i="31"/>
  <c r="C9" i="31"/>
  <c r="S9" i="31"/>
  <c r="J10" i="31"/>
  <c r="Z10" i="31"/>
  <c r="Q11" i="31"/>
  <c r="H12" i="31"/>
  <c r="X12" i="31"/>
  <c r="O13" i="31"/>
  <c r="F14" i="31"/>
  <c r="V14" i="31"/>
  <c r="M15" i="31"/>
  <c r="D16" i="31"/>
  <c r="T16" i="31"/>
  <c r="K17" i="31"/>
  <c r="R18" i="31"/>
  <c r="I19" i="31"/>
  <c r="Y19" i="31"/>
  <c r="P20" i="31"/>
  <c r="G21" i="31"/>
  <c r="W21" i="31"/>
  <c r="N22" i="31"/>
  <c r="E23" i="31"/>
  <c r="U23" i="31"/>
  <c r="L24" i="31"/>
  <c r="C25" i="31"/>
  <c r="S25" i="31"/>
  <c r="J26" i="31"/>
  <c r="Z26" i="31"/>
  <c r="C11" i="30"/>
  <c r="C4" i="30"/>
  <c r="S4" i="30"/>
  <c r="AI4" i="30"/>
  <c r="D11" i="30"/>
  <c r="T11" i="30"/>
  <c r="AJ11" i="30"/>
  <c r="R13" i="30"/>
  <c r="AH13" i="30"/>
  <c r="I14" i="30"/>
  <c r="Y14" i="30"/>
  <c r="AO14" i="30"/>
  <c r="P15" i="30"/>
  <c r="AF15" i="30"/>
  <c r="C20" i="30"/>
  <c r="S20" i="30"/>
  <c r="AI20" i="30"/>
  <c r="X23" i="30"/>
  <c r="AN23" i="30"/>
  <c r="R4" i="30"/>
  <c r="D4" i="30"/>
  <c r="T4" i="30"/>
  <c r="AJ4" i="30"/>
  <c r="R6" i="30"/>
  <c r="AH6" i="30"/>
  <c r="I7" i="30"/>
  <c r="Y7" i="30"/>
  <c r="AO7" i="30"/>
  <c r="E11" i="30"/>
  <c r="U11" i="30"/>
  <c r="AK11" i="30"/>
  <c r="C13" i="30"/>
  <c r="S13" i="30"/>
  <c r="AI13" i="30"/>
  <c r="J14" i="30"/>
  <c r="Z14" i="30"/>
  <c r="AP14" i="30"/>
  <c r="Q15" i="30"/>
  <c r="AG15" i="30"/>
  <c r="D20" i="30"/>
  <c r="T20" i="30"/>
  <c r="AJ20" i="30"/>
  <c r="R22" i="30"/>
  <c r="AH22" i="30"/>
  <c r="I23" i="30"/>
  <c r="Y23" i="30"/>
  <c r="AO23" i="30"/>
  <c r="R20" i="30"/>
  <c r="E4" i="30"/>
  <c r="U4" i="30"/>
  <c r="AK4" i="30"/>
  <c r="F11" i="30"/>
  <c r="V11" i="30"/>
  <c r="AL11" i="30"/>
  <c r="K14" i="30"/>
  <c r="AA14" i="30"/>
  <c r="R15" i="30"/>
  <c r="AH15" i="30"/>
  <c r="E20" i="30"/>
  <c r="U20" i="30"/>
  <c r="AK20" i="30"/>
  <c r="H2" i="30"/>
  <c r="X2" i="30"/>
  <c r="AN2" i="30"/>
  <c r="O3" i="30"/>
  <c r="AE3" i="30"/>
  <c r="F4" i="30"/>
  <c r="V4" i="30"/>
  <c r="AL4" i="30"/>
  <c r="M5" i="30"/>
  <c r="AC5" i="30"/>
  <c r="D6" i="30"/>
  <c r="T6" i="30"/>
  <c r="AJ6" i="30"/>
  <c r="K7" i="30"/>
  <c r="AA7" i="30"/>
  <c r="R8" i="30"/>
  <c r="AH8" i="30"/>
  <c r="I9" i="30"/>
  <c r="Y9" i="30"/>
  <c r="AO9" i="30"/>
  <c r="P10" i="30"/>
  <c r="AF10" i="30"/>
  <c r="G11" i="30"/>
  <c r="W11" i="30"/>
  <c r="AM11" i="30"/>
  <c r="AD12" i="30"/>
  <c r="E13" i="30"/>
  <c r="U13" i="30"/>
  <c r="AK13" i="30"/>
  <c r="L14" i="30"/>
  <c r="AB14" i="30"/>
  <c r="C15" i="30"/>
  <c r="S15" i="30"/>
  <c r="AI15" i="30"/>
  <c r="O19" i="30"/>
  <c r="AE19" i="30"/>
  <c r="F20" i="30"/>
  <c r="V20" i="30"/>
  <c r="AL20" i="30"/>
  <c r="D22" i="30"/>
  <c r="T22" i="30"/>
  <c r="AJ22" i="30"/>
  <c r="K23" i="30"/>
  <c r="AA23" i="30"/>
  <c r="R24" i="30"/>
  <c r="AH24" i="30"/>
  <c r="I25" i="30"/>
  <c r="Y25" i="30"/>
  <c r="AO25" i="30"/>
  <c r="P26" i="30"/>
  <c r="AF26" i="30"/>
  <c r="I2" i="30"/>
  <c r="Y2" i="30"/>
  <c r="AO2" i="30"/>
  <c r="P3" i="30"/>
  <c r="AF3" i="30"/>
  <c r="G4" i="30"/>
  <c r="W4" i="30"/>
  <c r="AM4" i="30"/>
  <c r="N5" i="30"/>
  <c r="AD5" i="30"/>
  <c r="E6" i="30"/>
  <c r="U6" i="30"/>
  <c r="AK6" i="30"/>
  <c r="L7" i="30"/>
  <c r="AB7" i="30"/>
  <c r="C8" i="30"/>
  <c r="S8" i="30"/>
  <c r="AI8" i="30"/>
  <c r="J9" i="30"/>
  <c r="Z9" i="30"/>
  <c r="AP9" i="30"/>
  <c r="Q10" i="30"/>
  <c r="AG10" i="30"/>
  <c r="H11" i="30"/>
  <c r="X11" i="30"/>
  <c r="AN11" i="30"/>
  <c r="O12" i="30"/>
  <c r="AE12" i="30"/>
  <c r="F13" i="30"/>
  <c r="V13" i="30"/>
  <c r="AL13" i="30"/>
  <c r="M14" i="30"/>
  <c r="AC14" i="30"/>
  <c r="D15" i="30"/>
  <c r="T15" i="30"/>
  <c r="AJ15" i="30"/>
  <c r="AA16" i="30"/>
  <c r="R17" i="30"/>
  <c r="AH17" i="30"/>
  <c r="Y18" i="30"/>
  <c r="AO18" i="30"/>
  <c r="P19" i="30"/>
  <c r="AF19" i="30"/>
  <c r="G20" i="30"/>
  <c r="W20" i="30"/>
  <c r="AM20" i="30"/>
  <c r="N21" i="30"/>
  <c r="AD21" i="30"/>
  <c r="E22" i="30"/>
  <c r="U22" i="30"/>
  <c r="AK22" i="30"/>
  <c r="L23" i="30"/>
  <c r="AB23" i="30"/>
  <c r="C24" i="30"/>
  <c r="S24" i="30"/>
  <c r="AI24" i="30"/>
  <c r="J25" i="30"/>
  <c r="Z25" i="30"/>
  <c r="AP25" i="30"/>
  <c r="Q26" i="30"/>
  <c r="AG26" i="30"/>
  <c r="Q3" i="30"/>
  <c r="AG3" i="30"/>
  <c r="H4" i="30"/>
  <c r="X4" i="30"/>
  <c r="AN4" i="30"/>
  <c r="F6" i="30"/>
  <c r="V6" i="30"/>
  <c r="AL6" i="30"/>
  <c r="M7" i="30"/>
  <c r="AC7" i="30"/>
  <c r="R10" i="30"/>
  <c r="AH10" i="30"/>
  <c r="I11" i="30"/>
  <c r="Y11" i="30"/>
  <c r="AO11" i="30"/>
  <c r="G13" i="30"/>
  <c r="W13" i="30"/>
  <c r="AM13" i="30"/>
  <c r="N14" i="30"/>
  <c r="AD14" i="30"/>
  <c r="E15" i="30"/>
  <c r="U15" i="30"/>
  <c r="AK15" i="30"/>
  <c r="Q19" i="30"/>
  <c r="AG19" i="30"/>
  <c r="H20" i="30"/>
  <c r="X20" i="30"/>
  <c r="AN20" i="30"/>
  <c r="F22" i="30"/>
  <c r="V22" i="30"/>
  <c r="AL22" i="30"/>
  <c r="M23" i="30"/>
  <c r="AC23" i="30"/>
  <c r="R26" i="30"/>
  <c r="AH26" i="30"/>
  <c r="R3" i="30"/>
  <c r="AH3" i="30"/>
  <c r="I4" i="30"/>
  <c r="Y4" i="30"/>
  <c r="AO4" i="30"/>
  <c r="G6" i="30"/>
  <c r="W6" i="30"/>
  <c r="AM6" i="30"/>
  <c r="N7" i="30"/>
  <c r="AD7" i="30"/>
  <c r="C10" i="30"/>
  <c r="S10" i="30"/>
  <c r="AI10" i="30"/>
  <c r="J11" i="30"/>
  <c r="Z11" i="30"/>
  <c r="AP11" i="30"/>
  <c r="H13" i="30"/>
  <c r="X13" i="30"/>
  <c r="AN13" i="30"/>
  <c r="O14" i="30"/>
  <c r="AE14" i="30"/>
  <c r="F15" i="30"/>
  <c r="V15" i="30"/>
  <c r="AL15" i="30"/>
  <c r="R19" i="30"/>
  <c r="AH19" i="30"/>
  <c r="I20" i="30"/>
  <c r="Y20" i="30"/>
  <c r="AO20" i="30"/>
  <c r="G22" i="30"/>
  <c r="W22" i="30"/>
  <c r="AM22" i="30"/>
  <c r="N23" i="30"/>
  <c r="AD23" i="30"/>
  <c r="C26" i="30"/>
  <c r="S26" i="30"/>
  <c r="AI26" i="30"/>
  <c r="L2" i="30"/>
  <c r="AB2" i="30"/>
  <c r="C3" i="30"/>
  <c r="S3" i="30"/>
  <c r="AI3" i="30"/>
  <c r="J4" i="30"/>
  <c r="Z4" i="30"/>
  <c r="AP4" i="30"/>
  <c r="Q5" i="30"/>
  <c r="AG5" i="30"/>
  <c r="H6" i="30"/>
  <c r="X6" i="30"/>
  <c r="AN6" i="30"/>
  <c r="O7" i="30"/>
  <c r="AE7" i="30"/>
  <c r="F8" i="30"/>
  <c r="V8" i="30"/>
  <c r="AL8" i="30"/>
  <c r="M9" i="30"/>
  <c r="AC9" i="30"/>
  <c r="D10" i="30"/>
  <c r="T10" i="30"/>
  <c r="AJ10" i="30"/>
  <c r="K11" i="30"/>
  <c r="AA11" i="30"/>
  <c r="R12" i="30"/>
  <c r="AH12" i="30"/>
  <c r="I13" i="30"/>
  <c r="Y13" i="30"/>
  <c r="AO13" i="30"/>
  <c r="P14" i="30"/>
  <c r="AF14" i="30"/>
  <c r="G15" i="30"/>
  <c r="W15" i="30"/>
  <c r="AM15" i="30"/>
  <c r="N16" i="30"/>
  <c r="AD16" i="30"/>
  <c r="E17" i="30"/>
  <c r="U17" i="30"/>
  <c r="AK17" i="30"/>
  <c r="L18" i="30"/>
  <c r="AB18" i="30"/>
  <c r="C19" i="30"/>
  <c r="S19" i="30"/>
  <c r="AI19" i="30"/>
  <c r="J20" i="30"/>
  <c r="Z20" i="30"/>
  <c r="AP20" i="30"/>
  <c r="Q21" i="30"/>
  <c r="AG21" i="30"/>
  <c r="H22" i="30"/>
  <c r="X22" i="30"/>
  <c r="AN22" i="30"/>
  <c r="O23" i="30"/>
  <c r="AE23" i="30"/>
  <c r="F24" i="30"/>
  <c r="V24" i="30"/>
  <c r="AL24" i="30"/>
  <c r="M25" i="30"/>
  <c r="AC25" i="30"/>
  <c r="D26" i="30"/>
  <c r="T26" i="30"/>
  <c r="AJ26" i="30"/>
  <c r="AH4" i="30"/>
  <c r="M2" i="30"/>
  <c r="AC2" i="30"/>
  <c r="D3" i="30"/>
  <c r="T3" i="30"/>
  <c r="AJ3" i="30"/>
  <c r="K4" i="30"/>
  <c r="AA4" i="30"/>
  <c r="R5" i="30"/>
  <c r="AH5" i="30"/>
  <c r="I6" i="30"/>
  <c r="Y6" i="30"/>
  <c r="AO6" i="30"/>
  <c r="P7" i="30"/>
  <c r="AF7" i="30"/>
  <c r="G8" i="30"/>
  <c r="W8" i="30"/>
  <c r="AM8" i="30"/>
  <c r="N9" i="30"/>
  <c r="AD9" i="30"/>
  <c r="E10" i="30"/>
  <c r="U10" i="30"/>
  <c r="AK10" i="30"/>
  <c r="L11" i="30"/>
  <c r="AB11" i="30"/>
  <c r="AI12" i="30"/>
  <c r="J13" i="30"/>
  <c r="Z13" i="30"/>
  <c r="AP13" i="30"/>
  <c r="Q14" i="30"/>
  <c r="AG14" i="30"/>
  <c r="H15" i="30"/>
  <c r="X15" i="30"/>
  <c r="AN15" i="30"/>
  <c r="AL17" i="30"/>
  <c r="D19" i="30"/>
  <c r="T19" i="30"/>
  <c r="AJ19" i="30"/>
  <c r="K20" i="30"/>
  <c r="AA20" i="30"/>
  <c r="R21" i="30"/>
  <c r="AH21" i="30"/>
  <c r="I22" i="30"/>
  <c r="Y22" i="30"/>
  <c r="AO22" i="30"/>
  <c r="P23" i="30"/>
  <c r="AF23" i="30"/>
  <c r="G24" i="30"/>
  <c r="W24" i="30"/>
  <c r="AM24" i="30"/>
  <c r="N25" i="30"/>
  <c r="AD25" i="30"/>
  <c r="E26" i="30"/>
  <c r="U26" i="30"/>
  <c r="AK26" i="30"/>
  <c r="R11" i="30"/>
  <c r="AI11" i="30"/>
  <c r="AH20" i="30"/>
  <c r="L4" i="30"/>
  <c r="AB4" i="30"/>
  <c r="M11" i="30"/>
  <c r="AC11" i="30"/>
  <c r="R14" i="30"/>
  <c r="AH14" i="30"/>
  <c r="L20" i="30"/>
  <c r="AB20" i="30"/>
  <c r="S11" i="30"/>
  <c r="M4" i="30"/>
  <c r="AC4" i="30"/>
  <c r="K6" i="30"/>
  <c r="AA6" i="30"/>
  <c r="R7" i="30"/>
  <c r="AH7" i="30"/>
  <c r="N11" i="30"/>
  <c r="AD11" i="30"/>
  <c r="L13" i="30"/>
  <c r="AB13" i="30"/>
  <c r="C14" i="30"/>
  <c r="S14" i="30"/>
  <c r="AI14" i="30"/>
  <c r="J15" i="30"/>
  <c r="Z15" i="30"/>
  <c r="AP15" i="30"/>
  <c r="M20" i="30"/>
  <c r="AC20" i="30"/>
  <c r="AA22" i="30"/>
  <c r="R23" i="30"/>
  <c r="AH23" i="30"/>
  <c r="P2" i="30"/>
  <c r="AF2" i="30"/>
  <c r="G3" i="30"/>
  <c r="W3" i="30"/>
  <c r="AM3" i="30"/>
  <c r="N4" i="30"/>
  <c r="AD4" i="30"/>
  <c r="E5" i="30"/>
  <c r="U5" i="30"/>
  <c r="AK5" i="30"/>
  <c r="L6" i="30"/>
  <c r="AB6" i="30"/>
  <c r="C7" i="30"/>
  <c r="S7" i="30"/>
  <c r="AI7" i="30"/>
  <c r="J8" i="30"/>
  <c r="Z8" i="30"/>
  <c r="AP8" i="30"/>
  <c r="Q9" i="30"/>
  <c r="AG9" i="30"/>
  <c r="H10" i="30"/>
  <c r="X10" i="30"/>
  <c r="AN10" i="30"/>
  <c r="O11" i="30"/>
  <c r="AE11" i="30"/>
  <c r="F12" i="30"/>
  <c r="V12" i="30"/>
  <c r="AL12" i="30"/>
  <c r="M13" i="30"/>
  <c r="AC13" i="30"/>
  <c r="D14" i="30"/>
  <c r="T14" i="30"/>
  <c r="AJ14" i="30"/>
  <c r="K15" i="30"/>
  <c r="AA15" i="30"/>
  <c r="R16" i="30"/>
  <c r="AH16" i="30"/>
  <c r="I17" i="30"/>
  <c r="Y17" i="30"/>
  <c r="AO17" i="30"/>
  <c r="P18" i="30"/>
  <c r="AF18" i="30"/>
  <c r="G19" i="30"/>
  <c r="W19" i="30"/>
  <c r="AM19" i="30"/>
  <c r="N20" i="30"/>
  <c r="AD20" i="30"/>
  <c r="E21" i="30"/>
  <c r="U21" i="30"/>
  <c r="AK21" i="30"/>
  <c r="L22" i="30"/>
  <c r="AB22" i="30"/>
  <c r="C23" i="30"/>
  <c r="S23" i="30"/>
  <c r="AI23" i="30"/>
  <c r="J24" i="30"/>
  <c r="Z24" i="30"/>
  <c r="AP24" i="30"/>
  <c r="Q25" i="30"/>
  <c r="AG25" i="30"/>
  <c r="H26" i="30"/>
  <c r="X26" i="30"/>
  <c r="AN26" i="30"/>
  <c r="Q2" i="30"/>
  <c r="AG2" i="30"/>
  <c r="H3" i="30"/>
  <c r="X3" i="30"/>
  <c r="AN3" i="30"/>
  <c r="O4" i="30"/>
  <c r="AE4" i="30"/>
  <c r="F5" i="30"/>
  <c r="V5" i="30"/>
  <c r="AL5" i="30"/>
  <c r="M6" i="30"/>
  <c r="AC6" i="30"/>
  <c r="D7" i="30"/>
  <c r="T7" i="30"/>
  <c r="AJ7" i="30"/>
  <c r="K8" i="30"/>
  <c r="AA8" i="30"/>
  <c r="R9" i="30"/>
  <c r="AH9" i="30"/>
  <c r="I10" i="30"/>
  <c r="Y10" i="30"/>
  <c r="AO10" i="30"/>
  <c r="P11" i="30"/>
  <c r="AF11" i="30"/>
  <c r="G12" i="30"/>
  <c r="W12" i="30"/>
  <c r="AM12" i="30"/>
  <c r="N13" i="30"/>
  <c r="AD13" i="30"/>
  <c r="E14" i="30"/>
  <c r="U14" i="30"/>
  <c r="AK14" i="30"/>
  <c r="L15" i="30"/>
  <c r="AB15" i="30"/>
  <c r="C16" i="30"/>
  <c r="S16" i="30"/>
  <c r="AI16" i="30"/>
  <c r="J17" i="30"/>
  <c r="Z17" i="30"/>
  <c r="AP17" i="30"/>
  <c r="AG18" i="30"/>
  <c r="H19" i="30"/>
  <c r="X19" i="30"/>
  <c r="AN19" i="30"/>
  <c r="O20" i="30"/>
  <c r="AE20" i="30"/>
  <c r="F21" i="30"/>
  <c r="V21" i="30"/>
  <c r="AL21" i="30"/>
  <c r="M22" i="30"/>
  <c r="AC22" i="30"/>
  <c r="D23" i="30"/>
  <c r="T23" i="30"/>
  <c r="AJ23" i="30"/>
  <c r="K24" i="30"/>
  <c r="AA24" i="30"/>
  <c r="R25" i="30"/>
  <c r="AH25" i="30"/>
  <c r="I26" i="30"/>
  <c r="Y26" i="30"/>
  <c r="AO26" i="30"/>
  <c r="R2" i="30"/>
  <c r="I3" i="30"/>
  <c r="Y3" i="30"/>
  <c r="P4" i="30"/>
  <c r="G5" i="30"/>
  <c r="W5" i="30"/>
  <c r="N6" i="30"/>
  <c r="E7" i="30"/>
  <c r="U7" i="30"/>
  <c r="L8" i="30"/>
  <c r="C9" i="30"/>
  <c r="S9" i="30"/>
  <c r="J10" i="30"/>
  <c r="Z10" i="30"/>
  <c r="Q11" i="30"/>
  <c r="H12" i="30"/>
  <c r="X12" i="30"/>
  <c r="O13" i="30"/>
  <c r="F14" i="30"/>
  <c r="V14" i="30"/>
  <c r="M15" i="30"/>
  <c r="D16" i="30"/>
  <c r="T16" i="30"/>
  <c r="K17" i="30"/>
  <c r="R18" i="30"/>
  <c r="I19" i="30"/>
  <c r="Y19" i="30"/>
  <c r="P20" i="30"/>
  <c r="G21" i="30"/>
  <c r="W21" i="30"/>
  <c r="N22" i="30"/>
  <c r="E23" i="30"/>
  <c r="U23" i="30"/>
  <c r="L24" i="30"/>
  <c r="C25" i="30"/>
  <c r="S25" i="30"/>
  <c r="J26" i="30"/>
  <c r="Z26" i="30"/>
  <c r="D2" i="29"/>
  <c r="T2" i="29"/>
  <c r="AJ2" i="29"/>
  <c r="K3" i="29"/>
  <c r="AA3" i="29"/>
  <c r="R4" i="29"/>
  <c r="AH4" i="29"/>
  <c r="I5" i="29"/>
  <c r="Y5" i="29"/>
  <c r="AO5" i="29"/>
  <c r="P6" i="29"/>
  <c r="AF6" i="29"/>
  <c r="W7" i="29"/>
  <c r="AM7" i="29"/>
  <c r="AK9" i="29"/>
  <c r="C11" i="29"/>
  <c r="S11" i="29"/>
  <c r="AI11" i="29"/>
  <c r="Q13" i="29"/>
  <c r="AG13" i="29"/>
  <c r="H14" i="29"/>
  <c r="X14" i="29"/>
  <c r="AN14" i="29"/>
  <c r="R20" i="29"/>
  <c r="AH20" i="29"/>
  <c r="I21" i="29"/>
  <c r="Y21" i="29"/>
  <c r="AO21" i="29"/>
  <c r="P22" i="29"/>
  <c r="AF22" i="29"/>
  <c r="J5" i="29"/>
  <c r="Z5" i="29"/>
  <c r="AP5" i="29"/>
  <c r="D11" i="29"/>
  <c r="T11" i="29"/>
  <c r="AJ11" i="29"/>
  <c r="R13" i="29"/>
  <c r="AH13" i="29"/>
  <c r="J21" i="29"/>
  <c r="Z21" i="29"/>
  <c r="AP21" i="29"/>
  <c r="K5" i="29"/>
  <c r="AA5" i="29"/>
  <c r="R6" i="29"/>
  <c r="AH6" i="29"/>
  <c r="E11" i="29"/>
  <c r="U11" i="29"/>
  <c r="AK11" i="29"/>
  <c r="C13" i="29"/>
  <c r="S13" i="29"/>
  <c r="AI13" i="29"/>
  <c r="J14" i="29"/>
  <c r="Z14" i="29"/>
  <c r="AP14" i="29"/>
  <c r="K21" i="29"/>
  <c r="AA21" i="29"/>
  <c r="R22" i="29"/>
  <c r="AH22" i="29"/>
  <c r="G2" i="29"/>
  <c r="W2" i="29"/>
  <c r="AM2" i="29"/>
  <c r="N3" i="29"/>
  <c r="AD3" i="29"/>
  <c r="E4" i="29"/>
  <c r="U4" i="29"/>
  <c r="AK4" i="29"/>
  <c r="L5" i="29"/>
  <c r="AB5" i="29"/>
  <c r="C6" i="29"/>
  <c r="S6" i="29"/>
  <c r="AI6" i="29"/>
  <c r="Z7" i="29"/>
  <c r="AP7" i="29"/>
  <c r="AN9" i="29"/>
  <c r="F11" i="29"/>
  <c r="V11" i="29"/>
  <c r="AL11" i="29"/>
  <c r="D13" i="29"/>
  <c r="T13" i="29"/>
  <c r="AJ13" i="29"/>
  <c r="K14" i="29"/>
  <c r="AA14" i="29"/>
  <c r="R15" i="29"/>
  <c r="AH15" i="29"/>
  <c r="E20" i="29"/>
  <c r="U20" i="29"/>
  <c r="AK20" i="29"/>
  <c r="L21" i="29"/>
  <c r="AB21" i="29"/>
  <c r="C22" i="29"/>
  <c r="S22" i="29"/>
  <c r="AI22" i="29"/>
  <c r="AN25" i="29"/>
  <c r="O26" i="29"/>
  <c r="AE26" i="29"/>
  <c r="H2" i="29"/>
  <c r="X2" i="29"/>
  <c r="AN2" i="29"/>
  <c r="O3" i="29"/>
  <c r="AE3" i="29"/>
  <c r="F4" i="29"/>
  <c r="V4" i="29"/>
  <c r="AL4" i="29"/>
  <c r="M5" i="29"/>
  <c r="AC5" i="29"/>
  <c r="D6" i="29"/>
  <c r="T6" i="29"/>
  <c r="AJ6" i="29"/>
  <c r="K7" i="29"/>
  <c r="AA7" i="29"/>
  <c r="R8" i="29"/>
  <c r="AH8" i="29"/>
  <c r="I9" i="29"/>
  <c r="Y9" i="29"/>
  <c r="AO9" i="29"/>
  <c r="P10" i="29"/>
  <c r="AF10" i="29"/>
  <c r="G11" i="29"/>
  <c r="W11" i="29"/>
  <c r="AM11" i="29"/>
  <c r="N12" i="29"/>
  <c r="AD12" i="29"/>
  <c r="E13" i="29"/>
  <c r="U13" i="29"/>
  <c r="AK13" i="29"/>
  <c r="L14" i="29"/>
  <c r="AB14" i="29"/>
  <c r="C15" i="29"/>
  <c r="S15" i="29"/>
  <c r="AI15" i="29"/>
  <c r="J16" i="29"/>
  <c r="Z16" i="29"/>
  <c r="AP16" i="29"/>
  <c r="Q17" i="29"/>
  <c r="AG17" i="29"/>
  <c r="H18" i="29"/>
  <c r="X18" i="29"/>
  <c r="AN18" i="29"/>
  <c r="O19" i="29"/>
  <c r="AE19" i="29"/>
  <c r="F20" i="29"/>
  <c r="V20" i="29"/>
  <c r="AL20" i="29"/>
  <c r="M21" i="29"/>
  <c r="AC21" i="29"/>
  <c r="D22" i="29"/>
  <c r="T22" i="29"/>
  <c r="AJ22" i="29"/>
  <c r="K23" i="29"/>
  <c r="AA23" i="29"/>
  <c r="R24" i="29"/>
  <c r="AH24" i="29"/>
  <c r="I25" i="29"/>
  <c r="Y25" i="29"/>
  <c r="AO25" i="29"/>
  <c r="P26" i="29"/>
  <c r="AF26" i="29"/>
  <c r="I2" i="29"/>
  <c r="Y2" i="29"/>
  <c r="AO2" i="29"/>
  <c r="P3" i="29"/>
  <c r="AF3" i="29"/>
  <c r="G4" i="29"/>
  <c r="W4" i="29"/>
  <c r="AM4" i="29"/>
  <c r="N5" i="29"/>
  <c r="AD5" i="29"/>
  <c r="E6" i="29"/>
  <c r="U6" i="29"/>
  <c r="AK6" i="29"/>
  <c r="L7" i="29"/>
  <c r="AB7" i="29"/>
  <c r="C8" i="29"/>
  <c r="S8" i="29"/>
  <c r="AI8" i="29"/>
  <c r="J9" i="29"/>
  <c r="Z9" i="29"/>
  <c r="AP9" i="29"/>
  <c r="Q10" i="29"/>
  <c r="AG10" i="29"/>
  <c r="H11" i="29"/>
  <c r="X11" i="29"/>
  <c r="AN11" i="29"/>
  <c r="O12" i="29"/>
  <c r="AE12" i="29"/>
  <c r="F13" i="29"/>
  <c r="V13" i="29"/>
  <c r="AL13" i="29"/>
  <c r="M14" i="29"/>
  <c r="AC14" i="29"/>
  <c r="D15" i="29"/>
  <c r="T15" i="29"/>
  <c r="AJ15" i="29"/>
  <c r="K16" i="29"/>
  <c r="AA16" i="29"/>
  <c r="R17" i="29"/>
  <c r="AH17" i="29"/>
  <c r="I18" i="29"/>
  <c r="Y18" i="29"/>
  <c r="AO18" i="29"/>
  <c r="P19" i="29"/>
  <c r="AF19" i="29"/>
  <c r="G20" i="29"/>
  <c r="W20" i="29"/>
  <c r="AM20" i="29"/>
  <c r="N21" i="29"/>
  <c r="AD21" i="29"/>
  <c r="E22" i="29"/>
  <c r="U22" i="29"/>
  <c r="AK22" i="29"/>
  <c r="L23" i="29"/>
  <c r="AB23" i="29"/>
  <c r="C24" i="29"/>
  <c r="S24" i="29"/>
  <c r="AI24" i="29"/>
  <c r="J25" i="29"/>
  <c r="Z25" i="29"/>
  <c r="AP25" i="29"/>
  <c r="Q26" i="29"/>
  <c r="AG26" i="29"/>
  <c r="J2" i="29"/>
  <c r="Z2" i="29"/>
  <c r="AP2" i="29"/>
  <c r="Q3" i="29"/>
  <c r="AG3" i="29"/>
  <c r="H4" i="29"/>
  <c r="X4" i="29"/>
  <c r="AN4" i="29"/>
  <c r="O5" i="29"/>
  <c r="AE5" i="29"/>
  <c r="F6" i="29"/>
  <c r="V6" i="29"/>
  <c r="AL6" i="29"/>
  <c r="M7" i="29"/>
  <c r="AC7" i="29"/>
  <c r="D8" i="29"/>
  <c r="T8" i="29"/>
  <c r="AJ8" i="29"/>
  <c r="K9" i="29"/>
  <c r="AA9" i="29"/>
  <c r="R10" i="29"/>
  <c r="AH10" i="29"/>
  <c r="I11" i="29"/>
  <c r="Y11" i="29"/>
  <c r="AO11" i="29"/>
  <c r="P12" i="29"/>
  <c r="AF12" i="29"/>
  <c r="G13" i="29"/>
  <c r="W13" i="29"/>
  <c r="AM13" i="29"/>
  <c r="N14" i="29"/>
  <c r="AD14" i="29"/>
  <c r="E15" i="29"/>
  <c r="U15" i="29"/>
  <c r="AK15" i="29"/>
  <c r="H20" i="29"/>
  <c r="X20" i="29"/>
  <c r="AN20" i="29"/>
  <c r="O21" i="29"/>
  <c r="AE21" i="29"/>
  <c r="F22" i="29"/>
  <c r="V22" i="29"/>
  <c r="AL22" i="29"/>
  <c r="R26" i="29"/>
  <c r="AH26" i="29"/>
  <c r="K2" i="29"/>
  <c r="AA2" i="29"/>
  <c r="R3" i="29"/>
  <c r="AH3" i="29"/>
  <c r="I4" i="29"/>
  <c r="Y4" i="29"/>
  <c r="AO4" i="29"/>
  <c r="P5" i="29"/>
  <c r="AF5" i="29"/>
  <c r="G6" i="29"/>
  <c r="W6" i="29"/>
  <c r="AM6" i="29"/>
  <c r="N7" i="29"/>
  <c r="AD7" i="29"/>
  <c r="E8" i="29"/>
  <c r="U8" i="29"/>
  <c r="AK8" i="29"/>
  <c r="L9" i="29"/>
  <c r="AB9" i="29"/>
  <c r="C10" i="29"/>
  <c r="S10" i="29"/>
  <c r="AI10" i="29"/>
  <c r="J11" i="29"/>
  <c r="Z11" i="29"/>
  <c r="AP11" i="29"/>
  <c r="Q12" i="29"/>
  <c r="AG12" i="29"/>
  <c r="H13" i="29"/>
  <c r="X13" i="29"/>
  <c r="AN13" i="29"/>
  <c r="O14" i="29"/>
  <c r="AE14" i="29"/>
  <c r="F15" i="29"/>
  <c r="V15" i="29"/>
  <c r="AL15" i="29"/>
  <c r="T17" i="29"/>
  <c r="AJ17" i="29"/>
  <c r="K18" i="29"/>
  <c r="AA18" i="29"/>
  <c r="R19" i="29"/>
  <c r="AH19" i="29"/>
  <c r="I20" i="29"/>
  <c r="Y20" i="29"/>
  <c r="AO20" i="29"/>
  <c r="P21" i="29"/>
  <c r="AF21" i="29"/>
  <c r="G22" i="29"/>
  <c r="W22" i="29"/>
  <c r="AM22" i="29"/>
  <c r="N23" i="29"/>
  <c r="AD23" i="29"/>
  <c r="E24" i="29"/>
  <c r="U24" i="29"/>
  <c r="AK24" i="29"/>
  <c r="L25" i="29"/>
  <c r="AB25" i="29"/>
  <c r="C26" i="29"/>
  <c r="S26" i="29"/>
  <c r="AI26" i="29"/>
  <c r="L2" i="29"/>
  <c r="AB2" i="29"/>
  <c r="C3" i="29"/>
  <c r="S3" i="29"/>
  <c r="AI3" i="29"/>
  <c r="J4" i="29"/>
  <c r="Z4" i="29"/>
  <c r="AP4" i="29"/>
  <c r="Q5" i="29"/>
  <c r="AG5" i="29"/>
  <c r="H6" i="29"/>
  <c r="X6" i="29"/>
  <c r="AN6" i="29"/>
  <c r="O7" i="29"/>
  <c r="AE7" i="29"/>
  <c r="F8" i="29"/>
  <c r="V8" i="29"/>
  <c r="AL8" i="29"/>
  <c r="M9" i="29"/>
  <c r="AC9" i="29"/>
  <c r="D10" i="29"/>
  <c r="T10" i="29"/>
  <c r="AJ10" i="29"/>
  <c r="K11" i="29"/>
  <c r="AA11" i="29"/>
  <c r="R12" i="29"/>
  <c r="AH12" i="29"/>
  <c r="I13" i="29"/>
  <c r="Y13" i="29"/>
  <c r="AO13" i="29"/>
  <c r="P14" i="29"/>
  <c r="AF14" i="29"/>
  <c r="G15" i="29"/>
  <c r="W15" i="29"/>
  <c r="AM15" i="29"/>
  <c r="N16" i="29"/>
  <c r="AD16" i="29"/>
  <c r="E17" i="29"/>
  <c r="U17" i="29"/>
  <c r="AK17" i="29"/>
  <c r="L18" i="29"/>
  <c r="AB18" i="29"/>
  <c r="C19" i="29"/>
  <c r="S19" i="29"/>
  <c r="AI19" i="29"/>
  <c r="J20" i="29"/>
  <c r="Z20" i="29"/>
  <c r="AP20" i="29"/>
  <c r="Q21" i="29"/>
  <c r="AG21" i="29"/>
  <c r="H22" i="29"/>
  <c r="X22" i="29"/>
  <c r="AN22" i="29"/>
  <c r="O23" i="29"/>
  <c r="AE23" i="29"/>
  <c r="F24" i="29"/>
  <c r="V24" i="29"/>
  <c r="AL24" i="29"/>
  <c r="M25" i="29"/>
  <c r="AC25" i="29"/>
  <c r="D26" i="29"/>
  <c r="T26" i="29"/>
  <c r="AJ26" i="29"/>
  <c r="AH11" i="29"/>
  <c r="R5" i="29"/>
  <c r="AH5" i="29"/>
  <c r="L11" i="29"/>
  <c r="AB11" i="29"/>
  <c r="J13" i="29"/>
  <c r="Z13" i="29"/>
  <c r="AP13" i="29"/>
  <c r="R21" i="29"/>
  <c r="AH21" i="29"/>
  <c r="C5" i="29"/>
  <c r="S5" i="29"/>
  <c r="AI5" i="29"/>
  <c r="J6" i="29"/>
  <c r="Z6" i="29"/>
  <c r="AP6" i="29"/>
  <c r="M11" i="29"/>
  <c r="AC11" i="29"/>
  <c r="K13" i="29"/>
  <c r="AA13" i="29"/>
  <c r="R14" i="29"/>
  <c r="AH14" i="29"/>
  <c r="C21" i="29"/>
  <c r="S21" i="29"/>
  <c r="AI21" i="29"/>
  <c r="J22" i="29"/>
  <c r="Z22" i="29"/>
  <c r="AP22" i="29"/>
  <c r="O2" i="29"/>
  <c r="AE2" i="29"/>
  <c r="F3" i="29"/>
  <c r="V3" i="29"/>
  <c r="AL3" i="29"/>
  <c r="M4" i="29"/>
  <c r="AC4" i="29"/>
  <c r="D5" i="29"/>
  <c r="T5" i="29"/>
  <c r="AJ5" i="29"/>
  <c r="K6" i="29"/>
  <c r="AA6" i="29"/>
  <c r="R7" i="29"/>
  <c r="AH7" i="29"/>
  <c r="I8" i="29"/>
  <c r="Y8" i="29"/>
  <c r="AO8" i="29"/>
  <c r="P9" i="29"/>
  <c r="AF9" i="29"/>
  <c r="G10" i="29"/>
  <c r="W10" i="29"/>
  <c r="AM10" i="29"/>
  <c r="N11" i="29"/>
  <c r="AD11" i="29"/>
  <c r="E12" i="29"/>
  <c r="U12" i="29"/>
  <c r="AK12" i="29"/>
  <c r="L13" i="29"/>
  <c r="AB13" i="29"/>
  <c r="C14" i="29"/>
  <c r="S14" i="29"/>
  <c r="AI14" i="29"/>
  <c r="J15" i="29"/>
  <c r="Z15" i="29"/>
  <c r="AP15" i="29"/>
  <c r="Q16" i="29"/>
  <c r="AG16" i="29"/>
  <c r="H17" i="29"/>
  <c r="X17" i="29"/>
  <c r="AN17" i="29"/>
  <c r="O18" i="29"/>
  <c r="AE18" i="29"/>
  <c r="F19" i="29"/>
  <c r="V19" i="29"/>
  <c r="AL19" i="29"/>
  <c r="M20" i="29"/>
  <c r="AC20" i="29"/>
  <c r="D21" i="29"/>
  <c r="T21" i="29"/>
  <c r="AJ21" i="29"/>
  <c r="K22" i="29"/>
  <c r="AA22" i="29"/>
  <c r="R23" i="29"/>
  <c r="AH23" i="29"/>
  <c r="I24" i="29"/>
  <c r="Y24" i="29"/>
  <c r="AO24" i="29"/>
  <c r="P25" i="29"/>
  <c r="AF25" i="29"/>
  <c r="G26" i="29"/>
  <c r="W26" i="29"/>
  <c r="AM26" i="29"/>
  <c r="R11" i="29"/>
  <c r="P2" i="29"/>
  <c r="AF2" i="29"/>
  <c r="G3" i="29"/>
  <c r="W3" i="29"/>
  <c r="AM3" i="29"/>
  <c r="N4" i="29"/>
  <c r="AD4" i="29"/>
  <c r="E5" i="29"/>
  <c r="U5" i="29"/>
  <c r="AK5" i="29"/>
  <c r="L6" i="29"/>
  <c r="AB6" i="29"/>
  <c r="C7" i="29"/>
  <c r="S7" i="29"/>
  <c r="AI7" i="29"/>
  <c r="J8" i="29"/>
  <c r="Z8" i="29"/>
  <c r="AP8" i="29"/>
  <c r="Q9" i="29"/>
  <c r="AG9" i="29"/>
  <c r="H10" i="29"/>
  <c r="X10" i="29"/>
  <c r="AN10" i="29"/>
  <c r="O11" i="29"/>
  <c r="AE11" i="29"/>
  <c r="F12" i="29"/>
  <c r="V12" i="29"/>
  <c r="AL12" i="29"/>
  <c r="M13" i="29"/>
  <c r="AC13" i="29"/>
  <c r="D14" i="29"/>
  <c r="T14" i="29"/>
  <c r="AJ14" i="29"/>
  <c r="K15" i="29"/>
  <c r="AA15" i="29"/>
  <c r="R16" i="29"/>
  <c r="AH16" i="29"/>
  <c r="I17" i="29"/>
  <c r="Y17" i="29"/>
  <c r="AO17" i="29"/>
  <c r="P18" i="29"/>
  <c r="AF18" i="29"/>
  <c r="G19" i="29"/>
  <c r="W19" i="29"/>
  <c r="AM19" i="29"/>
  <c r="N20" i="29"/>
  <c r="AD20" i="29"/>
  <c r="E21" i="29"/>
  <c r="U21" i="29"/>
  <c r="AK21" i="29"/>
  <c r="L22" i="29"/>
  <c r="AB22" i="29"/>
  <c r="C23" i="29"/>
  <c r="S23" i="29"/>
  <c r="AI23" i="29"/>
  <c r="J24" i="29"/>
  <c r="Z24" i="29"/>
  <c r="AP24" i="29"/>
  <c r="Q25" i="29"/>
  <c r="AG25" i="29"/>
  <c r="H26" i="29"/>
  <c r="X26" i="29"/>
  <c r="AN26" i="29"/>
  <c r="Q2" i="29"/>
  <c r="AG2" i="29"/>
  <c r="H3" i="29"/>
  <c r="X3" i="29"/>
  <c r="AN3" i="29"/>
  <c r="O4" i="29"/>
  <c r="AE4" i="29"/>
  <c r="F5" i="29"/>
  <c r="V5" i="29"/>
  <c r="AL5" i="29"/>
  <c r="M6" i="29"/>
  <c r="AC6" i="29"/>
  <c r="D7" i="29"/>
  <c r="T7" i="29"/>
  <c r="AJ7" i="29"/>
  <c r="K8" i="29"/>
  <c r="AA8" i="29"/>
  <c r="R9" i="29"/>
  <c r="AH9" i="29"/>
  <c r="I10" i="29"/>
  <c r="Y10" i="29"/>
  <c r="AO10" i="29"/>
  <c r="P11" i="29"/>
  <c r="AF11" i="29"/>
  <c r="G12" i="29"/>
  <c r="W12" i="29"/>
  <c r="AM12" i="29"/>
  <c r="N13" i="29"/>
  <c r="AD13" i="29"/>
  <c r="E14" i="29"/>
  <c r="U14" i="29"/>
  <c r="AK14" i="29"/>
  <c r="L15" i="29"/>
  <c r="AB15" i="29"/>
  <c r="C16" i="29"/>
  <c r="S16" i="29"/>
  <c r="AI16" i="29"/>
  <c r="J17" i="29"/>
  <c r="Z17" i="29"/>
  <c r="AP17" i="29"/>
  <c r="Q18" i="29"/>
  <c r="AG18" i="29"/>
  <c r="H19" i="29"/>
  <c r="X19" i="29"/>
  <c r="AN19" i="29"/>
  <c r="O20" i="29"/>
  <c r="AE20" i="29"/>
  <c r="F21" i="29"/>
  <c r="V21" i="29"/>
  <c r="AL21" i="29"/>
  <c r="M22" i="29"/>
  <c r="AC22" i="29"/>
  <c r="T23" i="29"/>
  <c r="AJ23" i="29"/>
  <c r="K24" i="29"/>
  <c r="AA24" i="29"/>
  <c r="R25" i="29"/>
  <c r="AH25" i="29"/>
  <c r="I26" i="29"/>
  <c r="Y26" i="29"/>
  <c r="AO26" i="29"/>
  <c r="R2" i="29"/>
  <c r="I3" i="29"/>
  <c r="Y3" i="29"/>
  <c r="P4" i="29"/>
  <c r="G5" i="29"/>
  <c r="W5" i="29"/>
  <c r="N6" i="29"/>
  <c r="E7" i="29"/>
  <c r="U7" i="29"/>
  <c r="L8" i="29"/>
  <c r="C9" i="29"/>
  <c r="S9" i="29"/>
  <c r="J10" i="29"/>
  <c r="Z10" i="29"/>
  <c r="Q11" i="29"/>
  <c r="H12" i="29"/>
  <c r="X12" i="29"/>
  <c r="O13" i="29"/>
  <c r="F14" i="29"/>
  <c r="V14" i="29"/>
  <c r="M15" i="29"/>
  <c r="K17" i="29"/>
  <c r="R18" i="29"/>
  <c r="I19" i="29"/>
  <c r="Y19" i="29"/>
  <c r="P20" i="29"/>
  <c r="G21" i="29"/>
  <c r="W21" i="29"/>
  <c r="N22" i="29"/>
  <c r="E23" i="29"/>
  <c r="U23" i="29"/>
  <c r="L24" i="29"/>
  <c r="C25" i="29"/>
  <c r="S25" i="29"/>
  <c r="J26" i="29"/>
  <c r="Z26" i="29"/>
  <c r="R4" i="28"/>
  <c r="AH4" i="28"/>
  <c r="I5" i="28"/>
  <c r="Y5" i="28"/>
  <c r="AO5" i="28"/>
  <c r="P6" i="28"/>
  <c r="AF6" i="28"/>
  <c r="C11" i="28"/>
  <c r="S11" i="28"/>
  <c r="AI11" i="28"/>
  <c r="Q13" i="28"/>
  <c r="AG13" i="28"/>
  <c r="H14" i="28"/>
  <c r="X14" i="28"/>
  <c r="AN14" i="28"/>
  <c r="O15" i="28"/>
  <c r="AE15" i="28"/>
  <c r="R20" i="28"/>
  <c r="AH20" i="28"/>
  <c r="I21" i="28"/>
  <c r="Y21" i="28"/>
  <c r="AO21" i="28"/>
  <c r="P22" i="28"/>
  <c r="AF22" i="28"/>
  <c r="J5" i="28"/>
  <c r="Z5" i="28"/>
  <c r="AP5" i="28"/>
  <c r="D11" i="28"/>
  <c r="T11" i="28"/>
  <c r="AJ11" i="28"/>
  <c r="R13" i="28"/>
  <c r="AH13" i="28"/>
  <c r="J21" i="28"/>
  <c r="Z21" i="28"/>
  <c r="AP21" i="28"/>
  <c r="R11" i="28"/>
  <c r="K5" i="28"/>
  <c r="AA5" i="28"/>
  <c r="R6" i="28"/>
  <c r="AH6" i="28"/>
  <c r="E11" i="28"/>
  <c r="U11" i="28"/>
  <c r="AK11" i="28"/>
  <c r="C13" i="28"/>
  <c r="S13" i="28"/>
  <c r="AI13" i="28"/>
  <c r="J14" i="28"/>
  <c r="Z14" i="28"/>
  <c r="AP14" i="28"/>
  <c r="K21" i="28"/>
  <c r="AA21" i="28"/>
  <c r="R22" i="28"/>
  <c r="AH22" i="28"/>
  <c r="E4" i="28"/>
  <c r="U4" i="28"/>
  <c r="AK4" i="28"/>
  <c r="L5" i="28"/>
  <c r="AB5" i="28"/>
  <c r="C6" i="28"/>
  <c r="S6" i="28"/>
  <c r="AI6" i="28"/>
  <c r="F11" i="28"/>
  <c r="V11" i="28"/>
  <c r="AL11" i="28"/>
  <c r="D13" i="28"/>
  <c r="T13" i="28"/>
  <c r="AJ13" i="28"/>
  <c r="K14" i="28"/>
  <c r="AA14" i="28"/>
  <c r="R15" i="28"/>
  <c r="AH15" i="28"/>
  <c r="E20" i="28"/>
  <c r="U20" i="28"/>
  <c r="AK20" i="28"/>
  <c r="L21" i="28"/>
  <c r="AB21" i="28"/>
  <c r="C22" i="28"/>
  <c r="S22" i="28"/>
  <c r="AI22" i="28"/>
  <c r="H2" i="28"/>
  <c r="X2" i="28"/>
  <c r="AN2" i="28"/>
  <c r="O3" i="28"/>
  <c r="AE3" i="28"/>
  <c r="F4" i="28"/>
  <c r="V4" i="28"/>
  <c r="AL4" i="28"/>
  <c r="M5" i="28"/>
  <c r="AC5" i="28"/>
  <c r="D6" i="28"/>
  <c r="T6" i="28"/>
  <c r="AJ6" i="28"/>
  <c r="K7" i="28"/>
  <c r="AA7" i="28"/>
  <c r="R8" i="28"/>
  <c r="AH8" i="28"/>
  <c r="AO9" i="28"/>
  <c r="AF10" i="28"/>
  <c r="G11" i="28"/>
  <c r="W11" i="28"/>
  <c r="AM11" i="28"/>
  <c r="E13" i="28"/>
  <c r="U13" i="28"/>
  <c r="AK13" i="28"/>
  <c r="L14" i="28"/>
  <c r="AB14" i="28"/>
  <c r="C15" i="28"/>
  <c r="S15" i="28"/>
  <c r="AI15" i="28"/>
  <c r="O19" i="28"/>
  <c r="AE19" i="28"/>
  <c r="F20" i="28"/>
  <c r="V20" i="28"/>
  <c r="AL20" i="28"/>
  <c r="M21" i="28"/>
  <c r="AC21" i="28"/>
  <c r="D22" i="28"/>
  <c r="T22" i="28"/>
  <c r="AJ22" i="28"/>
  <c r="R24" i="28"/>
  <c r="AH24" i="28"/>
  <c r="Y25" i="28"/>
  <c r="AO25" i="28"/>
  <c r="P26" i="28"/>
  <c r="AF26" i="28"/>
  <c r="I2" i="28"/>
  <c r="Y2" i="28"/>
  <c r="AO2" i="28"/>
  <c r="P3" i="28"/>
  <c r="AF3" i="28"/>
  <c r="G4" i="28"/>
  <c r="W4" i="28"/>
  <c r="AM4" i="28"/>
  <c r="N5" i="28"/>
  <c r="AD5" i="28"/>
  <c r="E6" i="28"/>
  <c r="U6" i="28"/>
  <c r="AK6" i="28"/>
  <c r="L7" i="28"/>
  <c r="AB7" i="28"/>
  <c r="C8" i="28"/>
  <c r="S8" i="28"/>
  <c r="AI8" i="28"/>
  <c r="J9" i="28"/>
  <c r="Z9" i="28"/>
  <c r="AP9" i="28"/>
  <c r="Q10" i="28"/>
  <c r="AG10" i="28"/>
  <c r="H11" i="28"/>
  <c r="X11" i="28"/>
  <c r="AN11" i="28"/>
  <c r="O12" i="28"/>
  <c r="AE12" i="28"/>
  <c r="F13" i="28"/>
  <c r="V13" i="28"/>
  <c r="AL13" i="28"/>
  <c r="M14" i="28"/>
  <c r="AC14" i="28"/>
  <c r="D15" i="28"/>
  <c r="T15" i="28"/>
  <c r="AJ15" i="28"/>
  <c r="AA16" i="28"/>
  <c r="R17" i="28"/>
  <c r="AH17" i="28"/>
  <c r="AO18" i="28"/>
  <c r="P19" i="28"/>
  <c r="AF19" i="28"/>
  <c r="G20" i="28"/>
  <c r="W20" i="28"/>
  <c r="AM20" i="28"/>
  <c r="N21" i="28"/>
  <c r="AD21" i="28"/>
  <c r="E22" i="28"/>
  <c r="U22" i="28"/>
  <c r="AK22" i="28"/>
  <c r="C24" i="28"/>
  <c r="S24" i="28"/>
  <c r="AI24" i="28"/>
  <c r="Q26" i="28"/>
  <c r="AG26" i="28"/>
  <c r="J2" i="28"/>
  <c r="Z2" i="28"/>
  <c r="AP2" i="28"/>
  <c r="Q3" i="28"/>
  <c r="AG3" i="28"/>
  <c r="H4" i="28"/>
  <c r="X4" i="28"/>
  <c r="AN4" i="28"/>
  <c r="O5" i="28"/>
  <c r="AE5" i="28"/>
  <c r="F6" i="28"/>
  <c r="V6" i="28"/>
  <c r="AL6" i="28"/>
  <c r="M7" i="28"/>
  <c r="AC7" i="28"/>
  <c r="D8" i="28"/>
  <c r="T8" i="28"/>
  <c r="AJ8" i="28"/>
  <c r="K9" i="28"/>
  <c r="AA9" i="28"/>
  <c r="R10" i="28"/>
  <c r="AH10" i="28"/>
  <c r="I11" i="28"/>
  <c r="Y11" i="28"/>
  <c r="AO11" i="28"/>
  <c r="P12" i="28"/>
  <c r="AF12" i="28"/>
  <c r="G13" i="28"/>
  <c r="W13" i="28"/>
  <c r="AM13" i="28"/>
  <c r="N14" i="28"/>
  <c r="AD14" i="28"/>
  <c r="E15" i="28"/>
  <c r="U15" i="28"/>
  <c r="AK15" i="28"/>
  <c r="Q19" i="28"/>
  <c r="AG19" i="28"/>
  <c r="H20" i="28"/>
  <c r="X20" i="28"/>
  <c r="AN20" i="28"/>
  <c r="O21" i="28"/>
  <c r="AE21" i="28"/>
  <c r="F22" i="28"/>
  <c r="V22" i="28"/>
  <c r="AL22" i="28"/>
  <c r="D24" i="28"/>
  <c r="T24" i="28"/>
  <c r="AJ24" i="28"/>
  <c r="R26" i="28"/>
  <c r="AH26" i="28"/>
  <c r="R3" i="28"/>
  <c r="AH3" i="28"/>
  <c r="I4" i="28"/>
  <c r="Y4" i="28"/>
  <c r="AO4" i="28"/>
  <c r="P5" i="28"/>
  <c r="AF5" i="28"/>
  <c r="G6" i="28"/>
  <c r="W6" i="28"/>
  <c r="AM6" i="28"/>
  <c r="J11" i="28"/>
  <c r="Z11" i="28"/>
  <c r="AP11" i="28"/>
  <c r="H13" i="28"/>
  <c r="X13" i="28"/>
  <c r="AN13" i="28"/>
  <c r="O14" i="28"/>
  <c r="AE14" i="28"/>
  <c r="F15" i="28"/>
  <c r="V15" i="28"/>
  <c r="AL15" i="28"/>
  <c r="R19" i="28"/>
  <c r="AH19" i="28"/>
  <c r="I20" i="28"/>
  <c r="Y20" i="28"/>
  <c r="AO20" i="28"/>
  <c r="P21" i="28"/>
  <c r="AF21" i="28"/>
  <c r="G22" i="28"/>
  <c r="W22" i="28"/>
  <c r="AM22" i="28"/>
  <c r="S26" i="28"/>
  <c r="AI26" i="28"/>
  <c r="L2" i="28"/>
  <c r="AB2" i="28"/>
  <c r="C3" i="28"/>
  <c r="S3" i="28"/>
  <c r="AI3" i="28"/>
  <c r="J4" i="28"/>
  <c r="Z4" i="28"/>
  <c r="AP4" i="28"/>
  <c r="Q5" i="28"/>
  <c r="AG5" i="28"/>
  <c r="H6" i="28"/>
  <c r="X6" i="28"/>
  <c r="AN6" i="28"/>
  <c r="O7" i="28"/>
  <c r="AE7" i="28"/>
  <c r="F8" i="28"/>
  <c r="V8" i="28"/>
  <c r="AL8" i="28"/>
  <c r="M9" i="28"/>
  <c r="AC9" i="28"/>
  <c r="D10" i="28"/>
  <c r="T10" i="28"/>
  <c r="AJ10" i="28"/>
  <c r="K11" i="28"/>
  <c r="AA11" i="28"/>
  <c r="R12" i="28"/>
  <c r="AH12" i="28"/>
  <c r="I13" i="28"/>
  <c r="Y13" i="28"/>
  <c r="AO13" i="28"/>
  <c r="P14" i="28"/>
  <c r="AF14" i="28"/>
  <c r="G15" i="28"/>
  <c r="W15" i="28"/>
  <c r="AM15" i="28"/>
  <c r="N16" i="28"/>
  <c r="AD16" i="28"/>
  <c r="E17" i="28"/>
  <c r="U17" i="28"/>
  <c r="AK17" i="28"/>
  <c r="L18" i="28"/>
  <c r="AB18" i="28"/>
  <c r="C19" i="28"/>
  <c r="S19" i="28"/>
  <c r="AI19" i="28"/>
  <c r="J20" i="28"/>
  <c r="Z20" i="28"/>
  <c r="AP20" i="28"/>
  <c r="Q21" i="28"/>
  <c r="AG21" i="28"/>
  <c r="H22" i="28"/>
  <c r="X22" i="28"/>
  <c r="AN22" i="28"/>
  <c r="O23" i="28"/>
  <c r="AE23" i="28"/>
  <c r="F24" i="28"/>
  <c r="V24" i="28"/>
  <c r="AL24" i="28"/>
  <c r="M25" i="28"/>
  <c r="AC25" i="28"/>
  <c r="D26" i="28"/>
  <c r="T26" i="28"/>
  <c r="AJ26" i="28"/>
  <c r="R5" i="28"/>
  <c r="AH5" i="28"/>
  <c r="L11" i="28"/>
  <c r="AB11" i="28"/>
  <c r="J13" i="28"/>
  <c r="Z13" i="28"/>
  <c r="AP13" i="28"/>
  <c r="R21" i="28"/>
  <c r="AH21" i="28"/>
  <c r="C5" i="28"/>
  <c r="S5" i="28"/>
  <c r="AI5" i="28"/>
  <c r="J6" i="28"/>
  <c r="Z6" i="28"/>
  <c r="AP6" i="28"/>
  <c r="M11" i="28"/>
  <c r="AC11" i="28"/>
  <c r="K13" i="28"/>
  <c r="AA13" i="28"/>
  <c r="R14" i="28"/>
  <c r="AH14" i="28"/>
  <c r="C21" i="28"/>
  <c r="S21" i="28"/>
  <c r="AI21" i="28"/>
  <c r="J22" i="28"/>
  <c r="Z22" i="28"/>
  <c r="AP22" i="28"/>
  <c r="AH11" i="28"/>
  <c r="O2" i="28"/>
  <c r="AE2" i="28"/>
  <c r="F3" i="28"/>
  <c r="V3" i="28"/>
  <c r="AL3" i="28"/>
  <c r="M4" i="28"/>
  <c r="AC4" i="28"/>
  <c r="D5" i="28"/>
  <c r="T5" i="28"/>
  <c r="AJ5" i="28"/>
  <c r="K6" i="28"/>
  <c r="AA6" i="28"/>
  <c r="R7" i="28"/>
  <c r="AH7" i="28"/>
  <c r="I8" i="28"/>
  <c r="Y8" i="28"/>
  <c r="AO8" i="28"/>
  <c r="P9" i="28"/>
  <c r="AF9" i="28"/>
  <c r="G10" i="28"/>
  <c r="W10" i="28"/>
  <c r="AM10" i="28"/>
  <c r="N11" i="28"/>
  <c r="AD11" i="28"/>
  <c r="E12" i="28"/>
  <c r="U12" i="28"/>
  <c r="AK12" i="28"/>
  <c r="L13" i="28"/>
  <c r="AB13" i="28"/>
  <c r="C14" i="28"/>
  <c r="S14" i="28"/>
  <c r="AI14" i="28"/>
  <c r="J15" i="28"/>
  <c r="Z15" i="28"/>
  <c r="AP15" i="28"/>
  <c r="Q16" i="28"/>
  <c r="AG16" i="28"/>
  <c r="H17" i="28"/>
  <c r="X17" i="28"/>
  <c r="AN17" i="28"/>
  <c r="O18" i="28"/>
  <c r="AE18" i="28"/>
  <c r="F19" i="28"/>
  <c r="V19" i="28"/>
  <c r="AL19" i="28"/>
  <c r="M20" i="28"/>
  <c r="AC20" i="28"/>
  <c r="D21" i="28"/>
  <c r="T21" i="28"/>
  <c r="AJ21" i="28"/>
  <c r="K22" i="28"/>
  <c r="AA22" i="28"/>
  <c r="R23" i="28"/>
  <c r="AH23" i="28"/>
  <c r="I24" i="28"/>
  <c r="Y24" i="28"/>
  <c r="AO24" i="28"/>
  <c r="P25" i="28"/>
  <c r="AF25" i="28"/>
  <c r="G26" i="28"/>
  <c r="W26" i="28"/>
  <c r="AM26" i="28"/>
  <c r="P2" i="28"/>
  <c r="AF2" i="28"/>
  <c r="G3" i="28"/>
  <c r="W3" i="28"/>
  <c r="AM3" i="28"/>
  <c r="N4" i="28"/>
  <c r="AD4" i="28"/>
  <c r="E5" i="28"/>
  <c r="U5" i="28"/>
  <c r="AK5" i="28"/>
  <c r="L6" i="28"/>
  <c r="AB6" i="28"/>
  <c r="C7" i="28"/>
  <c r="S7" i="28"/>
  <c r="AI7" i="28"/>
  <c r="J8" i="28"/>
  <c r="Z8" i="28"/>
  <c r="AP8" i="28"/>
  <c r="Q9" i="28"/>
  <c r="AG9" i="28"/>
  <c r="H10" i="28"/>
  <c r="X10" i="28"/>
  <c r="AN10" i="28"/>
  <c r="O11" i="28"/>
  <c r="AE11" i="28"/>
  <c r="F12" i="28"/>
  <c r="V12" i="28"/>
  <c r="AL12" i="28"/>
  <c r="M13" i="28"/>
  <c r="AC13" i="28"/>
  <c r="D14" i="28"/>
  <c r="T14" i="28"/>
  <c r="AJ14" i="28"/>
  <c r="K15" i="28"/>
  <c r="AA15" i="28"/>
  <c r="R16" i="28"/>
  <c r="AH16" i="28"/>
  <c r="I17" i="28"/>
  <c r="Y17" i="28"/>
  <c r="AO17" i="28"/>
  <c r="P18" i="28"/>
  <c r="AF18" i="28"/>
  <c r="G19" i="28"/>
  <c r="W19" i="28"/>
  <c r="AM19" i="28"/>
  <c r="N20" i="28"/>
  <c r="AD20" i="28"/>
  <c r="E21" i="28"/>
  <c r="U21" i="28"/>
  <c r="AK21" i="28"/>
  <c r="L22" i="28"/>
  <c r="AB22" i="28"/>
  <c r="C23" i="28"/>
  <c r="S23" i="28"/>
  <c r="AI23" i="28"/>
  <c r="J24" i="28"/>
  <c r="Z24" i="28"/>
  <c r="AP24" i="28"/>
  <c r="Q25" i="28"/>
  <c r="AG25" i="28"/>
  <c r="H26" i="28"/>
  <c r="X26" i="28"/>
  <c r="AN26" i="28"/>
  <c r="Q2" i="28"/>
  <c r="AG2" i="28"/>
  <c r="H3" i="28"/>
  <c r="X3" i="28"/>
  <c r="AN3" i="28"/>
  <c r="O4" i="28"/>
  <c r="AE4" i="28"/>
  <c r="F5" i="28"/>
  <c r="V5" i="28"/>
  <c r="AL5" i="28"/>
  <c r="M6" i="28"/>
  <c r="AC6" i="28"/>
  <c r="D7" i="28"/>
  <c r="T7" i="28"/>
  <c r="AJ7" i="28"/>
  <c r="K8" i="28"/>
  <c r="AA8" i="28"/>
  <c r="R9" i="28"/>
  <c r="AH9" i="28"/>
  <c r="I10" i="28"/>
  <c r="Y10" i="28"/>
  <c r="AO10" i="28"/>
  <c r="P11" i="28"/>
  <c r="AF11" i="28"/>
  <c r="G12" i="28"/>
  <c r="W12" i="28"/>
  <c r="AM12" i="28"/>
  <c r="N13" i="28"/>
  <c r="AD13" i="28"/>
  <c r="E14" i="28"/>
  <c r="U14" i="28"/>
  <c r="AK14" i="28"/>
  <c r="L15" i="28"/>
  <c r="AB15" i="28"/>
  <c r="C16" i="28"/>
  <c r="S16" i="28"/>
  <c r="AI16" i="28"/>
  <c r="J17" i="28"/>
  <c r="Z17" i="28"/>
  <c r="AP17" i="28"/>
  <c r="Q18" i="28"/>
  <c r="AG18" i="28"/>
  <c r="H19" i="28"/>
  <c r="X19" i="28"/>
  <c r="AN19" i="28"/>
  <c r="O20" i="28"/>
  <c r="AE20" i="28"/>
  <c r="F21" i="28"/>
  <c r="V21" i="28"/>
  <c r="AL21" i="28"/>
  <c r="M22" i="28"/>
  <c r="AC22" i="28"/>
  <c r="K24" i="28"/>
  <c r="AA24" i="28"/>
  <c r="R25" i="28"/>
  <c r="AH25" i="28"/>
  <c r="I26" i="28"/>
  <c r="Y26" i="28"/>
  <c r="AO26" i="28"/>
  <c r="R2" i="28"/>
  <c r="I3" i="28"/>
  <c r="Y3" i="28"/>
  <c r="P4" i="28"/>
  <c r="G5" i="28"/>
  <c r="W5" i="28"/>
  <c r="N6" i="28"/>
  <c r="E7" i="28"/>
  <c r="U7" i="28"/>
  <c r="L8" i="28"/>
  <c r="C9" i="28"/>
  <c r="S9" i="28"/>
  <c r="J10" i="28"/>
  <c r="Z10" i="28"/>
  <c r="Q11" i="28"/>
  <c r="H12" i="28"/>
  <c r="X12" i="28"/>
  <c r="O13" i="28"/>
  <c r="F14" i="28"/>
  <c r="V14" i="28"/>
  <c r="M15" i="28"/>
  <c r="D16" i="28"/>
  <c r="T16" i="28"/>
  <c r="K17" i="28"/>
  <c r="R18" i="28"/>
  <c r="I19" i="28"/>
  <c r="Y19" i="28"/>
  <c r="P20" i="28"/>
  <c r="G21" i="28"/>
  <c r="W21" i="28"/>
  <c r="N22" i="28"/>
  <c r="E23" i="28"/>
  <c r="U23" i="28"/>
  <c r="L24" i="28"/>
  <c r="C25" i="28"/>
  <c r="S25" i="28"/>
  <c r="J26" i="28"/>
  <c r="Z26" i="28"/>
  <c r="R4" i="27"/>
  <c r="AH4" i="27"/>
  <c r="P6" i="27"/>
  <c r="AF6" i="27"/>
  <c r="G7" i="27"/>
  <c r="W7" i="27"/>
  <c r="AM7" i="27"/>
  <c r="C11" i="27"/>
  <c r="S11" i="27"/>
  <c r="AI11" i="27"/>
  <c r="H14" i="27"/>
  <c r="X14" i="27"/>
  <c r="AN14" i="27"/>
  <c r="O15" i="27"/>
  <c r="AE15" i="27"/>
  <c r="R20" i="27"/>
  <c r="AH20" i="27"/>
  <c r="P22" i="27"/>
  <c r="AF22" i="27"/>
  <c r="G23" i="27"/>
  <c r="W23" i="27"/>
  <c r="AM23" i="27"/>
  <c r="R11" i="27"/>
  <c r="C4" i="27"/>
  <c r="S4" i="27"/>
  <c r="AI4" i="27"/>
  <c r="Q6" i="27"/>
  <c r="AG6" i="27"/>
  <c r="H7" i="27"/>
  <c r="X7" i="27"/>
  <c r="AN7" i="27"/>
  <c r="D11" i="27"/>
  <c r="T11" i="27"/>
  <c r="AJ11" i="27"/>
  <c r="R13" i="27"/>
  <c r="AH13" i="27"/>
  <c r="I14" i="27"/>
  <c r="Y14" i="27"/>
  <c r="AO14" i="27"/>
  <c r="P15" i="27"/>
  <c r="AF15" i="27"/>
  <c r="C20" i="27"/>
  <c r="S20" i="27"/>
  <c r="AI20" i="27"/>
  <c r="Q22" i="27"/>
  <c r="AG22" i="27"/>
  <c r="H23" i="27"/>
  <c r="X23" i="27"/>
  <c r="AN23" i="27"/>
  <c r="AH11" i="27"/>
  <c r="R6" i="27"/>
  <c r="AH6" i="27"/>
  <c r="I7" i="27"/>
  <c r="Y7" i="27"/>
  <c r="AO7" i="27"/>
  <c r="E11" i="27"/>
  <c r="U11" i="27"/>
  <c r="AK11" i="27"/>
  <c r="J14" i="27"/>
  <c r="Z14" i="27"/>
  <c r="AP14" i="27"/>
  <c r="Q15" i="27"/>
  <c r="AG15" i="27"/>
  <c r="R22" i="27"/>
  <c r="AH22" i="27"/>
  <c r="I23" i="27"/>
  <c r="Y23" i="27"/>
  <c r="AO23" i="27"/>
  <c r="F11" i="27"/>
  <c r="V11" i="27"/>
  <c r="AL11" i="27"/>
  <c r="AA14" i="27"/>
  <c r="R15" i="27"/>
  <c r="AH15" i="27"/>
  <c r="O3" i="27"/>
  <c r="AE3" i="27"/>
  <c r="F4" i="27"/>
  <c r="V4" i="27"/>
  <c r="AL4" i="27"/>
  <c r="D6" i="27"/>
  <c r="T6" i="27"/>
  <c r="AJ6" i="27"/>
  <c r="K7" i="27"/>
  <c r="AA7" i="27"/>
  <c r="R8" i="27"/>
  <c r="AH8" i="27"/>
  <c r="G11" i="27"/>
  <c r="W11" i="27"/>
  <c r="AM11" i="27"/>
  <c r="E13" i="27"/>
  <c r="U13" i="27"/>
  <c r="AK13" i="27"/>
  <c r="L14" i="27"/>
  <c r="AB14" i="27"/>
  <c r="C15" i="27"/>
  <c r="S15" i="27"/>
  <c r="AI15" i="27"/>
  <c r="F20" i="27"/>
  <c r="V20" i="27"/>
  <c r="AL20" i="27"/>
  <c r="D22" i="27"/>
  <c r="T22" i="27"/>
  <c r="AJ22" i="27"/>
  <c r="K23" i="27"/>
  <c r="AA23" i="27"/>
  <c r="R24" i="27"/>
  <c r="AH24" i="27"/>
  <c r="I2" i="27"/>
  <c r="Y2" i="27"/>
  <c r="AO2" i="27"/>
  <c r="P3" i="27"/>
  <c r="AF3" i="27"/>
  <c r="G4" i="27"/>
  <c r="W4" i="27"/>
  <c r="AM4" i="27"/>
  <c r="N5" i="27"/>
  <c r="AD5" i="27"/>
  <c r="E6" i="27"/>
  <c r="U6" i="27"/>
  <c r="AK6" i="27"/>
  <c r="L7" i="27"/>
  <c r="AB7" i="27"/>
  <c r="C8" i="27"/>
  <c r="S8" i="27"/>
  <c r="AI8" i="27"/>
  <c r="J9" i="27"/>
  <c r="Z9" i="27"/>
  <c r="AP9" i="27"/>
  <c r="Q10" i="27"/>
  <c r="AG10" i="27"/>
  <c r="H11" i="27"/>
  <c r="X11" i="27"/>
  <c r="AN11" i="27"/>
  <c r="O12" i="27"/>
  <c r="AE12" i="27"/>
  <c r="F13" i="27"/>
  <c r="V13" i="27"/>
  <c r="AL13" i="27"/>
  <c r="M14" i="27"/>
  <c r="AC14" i="27"/>
  <c r="D15" i="27"/>
  <c r="T15" i="27"/>
  <c r="AJ15" i="27"/>
  <c r="K16" i="27"/>
  <c r="AA16" i="27"/>
  <c r="R17" i="27"/>
  <c r="AH17" i="27"/>
  <c r="I18" i="27"/>
  <c r="Y18" i="27"/>
  <c r="AO18" i="27"/>
  <c r="P19" i="27"/>
  <c r="AF19" i="27"/>
  <c r="G20" i="27"/>
  <c r="W20" i="27"/>
  <c r="AM20" i="27"/>
  <c r="N21" i="27"/>
  <c r="AD21" i="27"/>
  <c r="E22" i="27"/>
  <c r="U22" i="27"/>
  <c r="AK22" i="27"/>
  <c r="L23" i="27"/>
  <c r="AB23" i="27"/>
  <c r="C24" i="27"/>
  <c r="S24" i="27"/>
  <c r="AI24" i="27"/>
  <c r="J25" i="27"/>
  <c r="Z25" i="27"/>
  <c r="AP25" i="27"/>
  <c r="Q26" i="27"/>
  <c r="AG26" i="27"/>
  <c r="J2" i="27"/>
  <c r="Z2" i="27"/>
  <c r="AP2" i="27"/>
  <c r="Q3" i="27"/>
  <c r="AG3" i="27"/>
  <c r="H4" i="27"/>
  <c r="X4" i="27"/>
  <c r="AN4" i="27"/>
  <c r="O5" i="27"/>
  <c r="AE5" i="27"/>
  <c r="F6" i="27"/>
  <c r="V6" i="27"/>
  <c r="AL6" i="27"/>
  <c r="M7" i="27"/>
  <c r="AC7" i="27"/>
  <c r="D8" i="27"/>
  <c r="T8" i="27"/>
  <c r="AJ8" i="27"/>
  <c r="AA9" i="27"/>
  <c r="R10" i="27"/>
  <c r="AH10" i="27"/>
  <c r="I11" i="27"/>
  <c r="Y11" i="27"/>
  <c r="AO11" i="27"/>
  <c r="P12" i="27"/>
  <c r="AF12" i="27"/>
  <c r="G13" i="27"/>
  <c r="W13" i="27"/>
  <c r="AM13" i="27"/>
  <c r="N14" i="27"/>
  <c r="AD14" i="27"/>
  <c r="E15" i="27"/>
  <c r="U15" i="27"/>
  <c r="AK15" i="27"/>
  <c r="Q19" i="27"/>
  <c r="AG19" i="27"/>
  <c r="H20" i="27"/>
  <c r="X20" i="27"/>
  <c r="AN20" i="27"/>
  <c r="F22" i="27"/>
  <c r="V22" i="27"/>
  <c r="AL22" i="27"/>
  <c r="M23" i="27"/>
  <c r="AC23" i="27"/>
  <c r="D24" i="27"/>
  <c r="T24" i="27"/>
  <c r="AJ24" i="27"/>
  <c r="R26" i="27"/>
  <c r="AH26" i="27"/>
  <c r="R3" i="27"/>
  <c r="AH3" i="27"/>
  <c r="I4" i="27"/>
  <c r="Y4" i="27"/>
  <c r="AO4" i="27"/>
  <c r="G6" i="27"/>
  <c r="W6" i="27"/>
  <c r="AM6" i="27"/>
  <c r="N7" i="27"/>
  <c r="AD7" i="27"/>
  <c r="E8" i="27"/>
  <c r="U8" i="27"/>
  <c r="AK8" i="27"/>
  <c r="J11" i="27"/>
  <c r="Z11" i="27"/>
  <c r="AP11" i="27"/>
  <c r="H13" i="27"/>
  <c r="X13" i="27"/>
  <c r="AN13" i="27"/>
  <c r="O14" i="27"/>
  <c r="AE14" i="27"/>
  <c r="F15" i="27"/>
  <c r="V15" i="27"/>
  <c r="AL15" i="27"/>
  <c r="R19" i="27"/>
  <c r="AH19" i="27"/>
  <c r="I20" i="27"/>
  <c r="Y20" i="27"/>
  <c r="AO20" i="27"/>
  <c r="G22" i="27"/>
  <c r="W22" i="27"/>
  <c r="AM22" i="27"/>
  <c r="N23" i="27"/>
  <c r="AD23" i="27"/>
  <c r="E24" i="27"/>
  <c r="U24" i="27"/>
  <c r="AK24" i="27"/>
  <c r="S26" i="27"/>
  <c r="AI26" i="27"/>
  <c r="L2" i="27"/>
  <c r="AB2" i="27"/>
  <c r="C3" i="27"/>
  <c r="S3" i="27"/>
  <c r="AI3" i="27"/>
  <c r="J4" i="27"/>
  <c r="Z4" i="27"/>
  <c r="AP4" i="27"/>
  <c r="Q5" i="27"/>
  <c r="AG5" i="27"/>
  <c r="H6" i="27"/>
  <c r="X6" i="27"/>
  <c r="AN6" i="27"/>
  <c r="O7" i="27"/>
  <c r="AE7" i="27"/>
  <c r="F8" i="27"/>
  <c r="V8" i="27"/>
  <c r="AL8" i="27"/>
  <c r="M9" i="27"/>
  <c r="AC9" i="27"/>
  <c r="D10" i="27"/>
  <c r="T10" i="27"/>
  <c r="AJ10" i="27"/>
  <c r="K11" i="27"/>
  <c r="AA11" i="27"/>
  <c r="R12" i="27"/>
  <c r="AH12" i="27"/>
  <c r="I13" i="27"/>
  <c r="Y13" i="27"/>
  <c r="AO13" i="27"/>
  <c r="P14" i="27"/>
  <c r="AF14" i="27"/>
  <c r="G15" i="27"/>
  <c r="W15" i="27"/>
  <c r="AM15" i="27"/>
  <c r="N16" i="27"/>
  <c r="AD16" i="27"/>
  <c r="E17" i="27"/>
  <c r="U17" i="27"/>
  <c r="AK17" i="27"/>
  <c r="L18" i="27"/>
  <c r="AB18" i="27"/>
  <c r="C19" i="27"/>
  <c r="S19" i="27"/>
  <c r="AI19" i="27"/>
  <c r="J20" i="27"/>
  <c r="Z20" i="27"/>
  <c r="AP20" i="27"/>
  <c r="Q21" i="27"/>
  <c r="AG21" i="27"/>
  <c r="H22" i="27"/>
  <c r="X22" i="27"/>
  <c r="AN22" i="27"/>
  <c r="O23" i="27"/>
  <c r="AE23" i="27"/>
  <c r="F24" i="27"/>
  <c r="V24" i="27"/>
  <c r="AL24" i="27"/>
  <c r="M25" i="27"/>
  <c r="AC25" i="27"/>
  <c r="D26" i="27"/>
  <c r="T26" i="27"/>
  <c r="AJ26" i="27"/>
  <c r="M2" i="27"/>
  <c r="AC2" i="27"/>
  <c r="D3" i="27"/>
  <c r="T3" i="27"/>
  <c r="AJ3" i="27"/>
  <c r="K4" i="27"/>
  <c r="AA4" i="27"/>
  <c r="R5" i="27"/>
  <c r="AH5" i="27"/>
  <c r="I6" i="27"/>
  <c r="Y6" i="27"/>
  <c r="AO6" i="27"/>
  <c r="P7" i="27"/>
  <c r="AF7" i="27"/>
  <c r="G8" i="27"/>
  <c r="W8" i="27"/>
  <c r="AM8" i="27"/>
  <c r="N9" i="27"/>
  <c r="AD9" i="27"/>
  <c r="E10" i="27"/>
  <c r="U10" i="27"/>
  <c r="AK10" i="27"/>
  <c r="L11" i="27"/>
  <c r="AB11" i="27"/>
  <c r="C12" i="27"/>
  <c r="S12" i="27"/>
  <c r="AI12" i="27"/>
  <c r="J13" i="27"/>
  <c r="Z13" i="27"/>
  <c r="AP13" i="27"/>
  <c r="Q14" i="27"/>
  <c r="AG14" i="27"/>
  <c r="H15" i="27"/>
  <c r="X15" i="27"/>
  <c r="AN15" i="27"/>
  <c r="D19" i="27"/>
  <c r="T19" i="27"/>
  <c r="AJ19" i="27"/>
  <c r="K20" i="27"/>
  <c r="AA20" i="27"/>
  <c r="R21" i="27"/>
  <c r="AH21" i="27"/>
  <c r="I22" i="27"/>
  <c r="Y22" i="27"/>
  <c r="AO22" i="27"/>
  <c r="P23" i="27"/>
  <c r="AF23" i="27"/>
  <c r="G24" i="27"/>
  <c r="W24" i="27"/>
  <c r="AM24" i="27"/>
  <c r="N25" i="27"/>
  <c r="AD25" i="27"/>
  <c r="E26" i="27"/>
  <c r="U26" i="27"/>
  <c r="AK26" i="27"/>
  <c r="M11" i="27"/>
  <c r="AC11" i="27"/>
  <c r="R14" i="27"/>
  <c r="AH14" i="27"/>
  <c r="I15" i="27"/>
  <c r="Y15" i="27"/>
  <c r="AO15" i="27"/>
  <c r="K6" i="27"/>
  <c r="AA6" i="27"/>
  <c r="R7" i="27"/>
  <c r="AH7" i="27"/>
  <c r="N11" i="27"/>
  <c r="AD11" i="27"/>
  <c r="C14" i="27"/>
  <c r="S14" i="27"/>
  <c r="AI14" i="27"/>
  <c r="J15" i="27"/>
  <c r="Z15" i="27"/>
  <c r="AP15" i="27"/>
  <c r="AA22" i="27"/>
  <c r="R23" i="27"/>
  <c r="AH23" i="27"/>
  <c r="P2" i="27"/>
  <c r="AF2" i="27"/>
  <c r="G3" i="27"/>
  <c r="W3" i="27"/>
  <c r="AM3" i="27"/>
  <c r="N4" i="27"/>
  <c r="AD4" i="27"/>
  <c r="E5" i="27"/>
  <c r="U5" i="27"/>
  <c r="AK5" i="27"/>
  <c r="L6" i="27"/>
  <c r="AB6" i="27"/>
  <c r="C7" i="27"/>
  <c r="S7" i="27"/>
  <c r="AI7" i="27"/>
  <c r="J8" i="27"/>
  <c r="Z8" i="27"/>
  <c r="AP8" i="27"/>
  <c r="Q9" i="27"/>
  <c r="AG9" i="27"/>
  <c r="H10" i="27"/>
  <c r="X10" i="27"/>
  <c r="AN10" i="27"/>
  <c r="O11" i="27"/>
  <c r="AE11" i="27"/>
  <c r="F12" i="27"/>
  <c r="V12" i="27"/>
  <c r="AL12" i="27"/>
  <c r="M13" i="27"/>
  <c r="AC13" i="27"/>
  <c r="D14" i="27"/>
  <c r="T14" i="27"/>
  <c r="AJ14" i="27"/>
  <c r="K15" i="27"/>
  <c r="AA15" i="27"/>
  <c r="R16" i="27"/>
  <c r="AH16" i="27"/>
  <c r="I17" i="27"/>
  <c r="Y17" i="27"/>
  <c r="AO17" i="27"/>
  <c r="P18" i="27"/>
  <c r="AF18" i="27"/>
  <c r="G19" i="27"/>
  <c r="W19" i="27"/>
  <c r="AM19" i="27"/>
  <c r="N20" i="27"/>
  <c r="AD20" i="27"/>
  <c r="E21" i="27"/>
  <c r="U21" i="27"/>
  <c r="AK21" i="27"/>
  <c r="L22" i="27"/>
  <c r="AB22" i="27"/>
  <c r="C23" i="27"/>
  <c r="S23" i="27"/>
  <c r="AI23" i="27"/>
  <c r="J24" i="27"/>
  <c r="Z24" i="27"/>
  <c r="AP24" i="27"/>
  <c r="Q25" i="27"/>
  <c r="AG25" i="27"/>
  <c r="H26" i="27"/>
  <c r="X26" i="27"/>
  <c r="AN26" i="27"/>
  <c r="Q2" i="27"/>
  <c r="AG2" i="27"/>
  <c r="H3" i="27"/>
  <c r="X3" i="27"/>
  <c r="AN3" i="27"/>
  <c r="O4" i="27"/>
  <c r="AE4" i="27"/>
  <c r="F5" i="27"/>
  <c r="V5" i="27"/>
  <c r="AL5" i="27"/>
  <c r="M6" i="27"/>
  <c r="AC6" i="27"/>
  <c r="D7" i="27"/>
  <c r="T7" i="27"/>
  <c r="AJ7" i="27"/>
  <c r="K8" i="27"/>
  <c r="AA8" i="27"/>
  <c r="R9" i="27"/>
  <c r="AH9" i="27"/>
  <c r="I10" i="27"/>
  <c r="Y10" i="27"/>
  <c r="AO10" i="27"/>
  <c r="P11" i="27"/>
  <c r="AF11" i="27"/>
  <c r="G12" i="27"/>
  <c r="W12" i="27"/>
  <c r="AM12" i="27"/>
  <c r="N13" i="27"/>
  <c r="AD13" i="27"/>
  <c r="E14" i="27"/>
  <c r="U14" i="27"/>
  <c r="AK14" i="27"/>
  <c r="L15" i="27"/>
  <c r="AB15" i="27"/>
  <c r="C16" i="27"/>
  <c r="S16" i="27"/>
  <c r="AI16" i="27"/>
  <c r="J17" i="27"/>
  <c r="Z17" i="27"/>
  <c r="AP17" i="27"/>
  <c r="Q18" i="27"/>
  <c r="AG18" i="27"/>
  <c r="H19" i="27"/>
  <c r="X19" i="27"/>
  <c r="AN19" i="27"/>
  <c r="O20" i="27"/>
  <c r="AE20" i="27"/>
  <c r="F21" i="27"/>
  <c r="V21" i="27"/>
  <c r="AL21" i="27"/>
  <c r="M22" i="27"/>
  <c r="AC22" i="27"/>
  <c r="D23" i="27"/>
  <c r="T23" i="27"/>
  <c r="AJ23" i="27"/>
  <c r="K24" i="27"/>
  <c r="AA24" i="27"/>
  <c r="R25" i="27"/>
  <c r="AH25" i="27"/>
  <c r="I26" i="27"/>
  <c r="Y26" i="27"/>
  <c r="AO26" i="27"/>
  <c r="R2" i="27"/>
  <c r="I3" i="27"/>
  <c r="Y3" i="27"/>
  <c r="P4" i="27"/>
  <c r="G5" i="27"/>
  <c r="W5" i="27"/>
  <c r="N6" i="27"/>
  <c r="E7" i="27"/>
  <c r="U7" i="27"/>
  <c r="L8" i="27"/>
  <c r="C9" i="27"/>
  <c r="S9" i="27"/>
  <c r="J10" i="27"/>
  <c r="Z10" i="27"/>
  <c r="Q11" i="27"/>
  <c r="H12" i="27"/>
  <c r="X12" i="27"/>
  <c r="O13" i="27"/>
  <c r="F14" i="27"/>
  <c r="V14" i="27"/>
  <c r="M15" i="27"/>
  <c r="D16" i="27"/>
  <c r="T16" i="27"/>
  <c r="K17" i="27"/>
  <c r="R18" i="27"/>
  <c r="I19" i="27"/>
  <c r="Y19" i="27"/>
  <c r="P20" i="27"/>
  <c r="G21" i="27"/>
  <c r="W21" i="27"/>
  <c r="N22" i="27"/>
  <c r="E23" i="27"/>
  <c r="U23" i="27"/>
  <c r="L24" i="27"/>
  <c r="C25" i="27"/>
  <c r="S25" i="27"/>
  <c r="J26" i="27"/>
  <c r="Z26" i="27"/>
  <c r="R4" i="26"/>
  <c r="AH4" i="26"/>
  <c r="E9" i="26"/>
  <c r="U9" i="26"/>
  <c r="AK9" i="26"/>
  <c r="C11" i="26"/>
  <c r="S11" i="26"/>
  <c r="AI11" i="26"/>
  <c r="R20" i="26"/>
  <c r="AH20" i="26"/>
  <c r="R11" i="26"/>
  <c r="L3" i="26"/>
  <c r="AB3" i="26"/>
  <c r="C4" i="26"/>
  <c r="S4" i="26"/>
  <c r="AI4" i="26"/>
  <c r="J5" i="26"/>
  <c r="Z5" i="26"/>
  <c r="AP5" i="26"/>
  <c r="Q6" i="26"/>
  <c r="AG6" i="26"/>
  <c r="F9" i="26"/>
  <c r="V9" i="26"/>
  <c r="AL9" i="26"/>
  <c r="D11" i="26"/>
  <c r="T11" i="26"/>
  <c r="AJ11" i="26"/>
  <c r="R13" i="26"/>
  <c r="AH13" i="26"/>
  <c r="P15" i="26"/>
  <c r="AF15" i="26"/>
  <c r="C20" i="26"/>
  <c r="S20" i="26"/>
  <c r="AI20" i="26"/>
  <c r="Q22" i="26"/>
  <c r="AG22" i="26"/>
  <c r="D4" i="26"/>
  <c r="T4" i="26"/>
  <c r="AJ4" i="26"/>
  <c r="R6" i="26"/>
  <c r="AH6" i="26"/>
  <c r="G9" i="26"/>
  <c r="W9" i="26"/>
  <c r="AM9" i="26"/>
  <c r="E11" i="26"/>
  <c r="U11" i="26"/>
  <c r="AK11" i="26"/>
  <c r="D20" i="26"/>
  <c r="T20" i="26"/>
  <c r="AJ20" i="26"/>
  <c r="R22" i="26"/>
  <c r="AH22" i="26"/>
  <c r="N3" i="26"/>
  <c r="AD3" i="26"/>
  <c r="E4" i="26"/>
  <c r="U4" i="26"/>
  <c r="AK4" i="26"/>
  <c r="L5" i="26"/>
  <c r="AB5" i="26"/>
  <c r="C6" i="26"/>
  <c r="S6" i="26"/>
  <c r="AI6" i="26"/>
  <c r="H9" i="26"/>
  <c r="X9" i="26"/>
  <c r="AN9" i="26"/>
  <c r="F11" i="26"/>
  <c r="V11" i="26"/>
  <c r="AL11" i="26"/>
  <c r="D13" i="26"/>
  <c r="T13" i="26"/>
  <c r="AJ13" i="26"/>
  <c r="R15" i="26"/>
  <c r="AH15" i="26"/>
  <c r="E20" i="26"/>
  <c r="U20" i="26"/>
  <c r="AK20" i="26"/>
  <c r="C22" i="26"/>
  <c r="S22" i="26"/>
  <c r="AI22" i="26"/>
  <c r="T9" i="26"/>
  <c r="O3" i="26"/>
  <c r="AE3" i="26"/>
  <c r="F4" i="26"/>
  <c r="V4" i="26"/>
  <c r="AL4" i="26"/>
  <c r="M5" i="26"/>
  <c r="AC5" i="26"/>
  <c r="D6" i="26"/>
  <c r="T6" i="26"/>
  <c r="AJ6" i="26"/>
  <c r="R8" i="26"/>
  <c r="AH8" i="26"/>
  <c r="I9" i="26"/>
  <c r="Y9" i="26"/>
  <c r="AO9" i="26"/>
  <c r="G11" i="26"/>
  <c r="W11" i="26"/>
  <c r="AM11" i="26"/>
  <c r="E13" i="26"/>
  <c r="U13" i="26"/>
  <c r="AK13" i="26"/>
  <c r="C15" i="26"/>
  <c r="S15" i="26"/>
  <c r="AI15" i="26"/>
  <c r="AG17" i="26"/>
  <c r="F20" i="26"/>
  <c r="V20" i="26"/>
  <c r="AL20" i="26"/>
  <c r="D22" i="26"/>
  <c r="T22" i="26"/>
  <c r="AJ22" i="26"/>
  <c r="R24" i="26"/>
  <c r="AH24" i="26"/>
  <c r="I25" i="26"/>
  <c r="Y25" i="26"/>
  <c r="AO25" i="26"/>
  <c r="AH9" i="26"/>
  <c r="P3" i="26"/>
  <c r="AF3" i="26"/>
  <c r="G4" i="26"/>
  <c r="W4" i="26"/>
  <c r="AM4" i="26"/>
  <c r="N5" i="26"/>
  <c r="AD5" i="26"/>
  <c r="E6" i="26"/>
  <c r="U6" i="26"/>
  <c r="AK6" i="26"/>
  <c r="C8" i="26"/>
  <c r="S8" i="26"/>
  <c r="AI8" i="26"/>
  <c r="J9" i="26"/>
  <c r="Z9" i="26"/>
  <c r="AP9" i="26"/>
  <c r="H11" i="26"/>
  <c r="X11" i="26"/>
  <c r="AN11" i="26"/>
  <c r="F13" i="26"/>
  <c r="V13" i="26"/>
  <c r="AL13" i="26"/>
  <c r="D15" i="26"/>
  <c r="T15" i="26"/>
  <c r="AJ15" i="26"/>
  <c r="R17" i="26"/>
  <c r="AH17" i="26"/>
  <c r="P19" i="26"/>
  <c r="AF19" i="26"/>
  <c r="G20" i="26"/>
  <c r="W20" i="26"/>
  <c r="AM20" i="26"/>
  <c r="E22" i="26"/>
  <c r="U22" i="26"/>
  <c r="AK22" i="26"/>
  <c r="C24" i="26"/>
  <c r="S24" i="26"/>
  <c r="AI24" i="26"/>
  <c r="J25" i="26"/>
  <c r="Z25" i="26"/>
  <c r="AP25" i="26"/>
  <c r="R9" i="26"/>
  <c r="J2" i="26"/>
  <c r="Z2" i="26"/>
  <c r="AP2" i="26"/>
  <c r="Q3" i="26"/>
  <c r="AG3" i="26"/>
  <c r="H4" i="26"/>
  <c r="X4" i="26"/>
  <c r="AN4" i="26"/>
  <c r="O5" i="26"/>
  <c r="AE5" i="26"/>
  <c r="F6" i="26"/>
  <c r="V6" i="26"/>
  <c r="AL6" i="26"/>
  <c r="M7" i="26"/>
  <c r="AC7" i="26"/>
  <c r="D8" i="26"/>
  <c r="T8" i="26"/>
  <c r="AJ8" i="26"/>
  <c r="K9" i="26"/>
  <c r="AA9" i="26"/>
  <c r="R10" i="26"/>
  <c r="AH10" i="26"/>
  <c r="I11" i="26"/>
  <c r="Y11" i="26"/>
  <c r="AO11" i="26"/>
  <c r="P12" i="26"/>
  <c r="AF12" i="26"/>
  <c r="G13" i="26"/>
  <c r="W13" i="26"/>
  <c r="AM13" i="26"/>
  <c r="N14" i="26"/>
  <c r="AD14" i="26"/>
  <c r="E15" i="26"/>
  <c r="U15" i="26"/>
  <c r="AK15" i="26"/>
  <c r="L16" i="26"/>
  <c r="AB16" i="26"/>
  <c r="C17" i="26"/>
  <c r="S17" i="26"/>
  <c r="AI17" i="26"/>
  <c r="AP18" i="26"/>
  <c r="Q19" i="26"/>
  <c r="AG19" i="26"/>
  <c r="H20" i="26"/>
  <c r="X20" i="26"/>
  <c r="AN20" i="26"/>
  <c r="F22" i="26"/>
  <c r="V22" i="26"/>
  <c r="AL22" i="26"/>
  <c r="D24" i="26"/>
  <c r="T24" i="26"/>
  <c r="AJ24" i="26"/>
  <c r="K25" i="26"/>
  <c r="AA25" i="26"/>
  <c r="R26" i="26"/>
  <c r="AH26" i="26"/>
  <c r="R3" i="26"/>
  <c r="AH3" i="26"/>
  <c r="I4" i="26"/>
  <c r="Y4" i="26"/>
  <c r="AO4" i="26"/>
  <c r="P5" i="26"/>
  <c r="AF5" i="26"/>
  <c r="G6" i="26"/>
  <c r="W6" i="26"/>
  <c r="AM6" i="26"/>
  <c r="L9" i="26"/>
  <c r="AB9" i="26"/>
  <c r="J11" i="26"/>
  <c r="Z11" i="26"/>
  <c r="AP11" i="26"/>
  <c r="H13" i="26"/>
  <c r="X13" i="26"/>
  <c r="AN13" i="26"/>
  <c r="F15" i="26"/>
  <c r="V15" i="26"/>
  <c r="AL15" i="26"/>
  <c r="R19" i="26"/>
  <c r="AH19" i="26"/>
  <c r="I20" i="26"/>
  <c r="Y20" i="26"/>
  <c r="AO20" i="26"/>
  <c r="G22" i="26"/>
  <c r="W22" i="26"/>
  <c r="AM22" i="26"/>
  <c r="E24" i="26"/>
  <c r="U24" i="26"/>
  <c r="AK24" i="26"/>
  <c r="L25" i="26"/>
  <c r="AB25" i="26"/>
  <c r="S26" i="26"/>
  <c r="AI26" i="26"/>
  <c r="L2" i="26"/>
  <c r="AB2" i="26"/>
  <c r="C3" i="26"/>
  <c r="S3" i="26"/>
  <c r="AI3" i="26"/>
  <c r="J4" i="26"/>
  <c r="Z4" i="26"/>
  <c r="AP4" i="26"/>
  <c r="Q5" i="26"/>
  <c r="AG5" i="26"/>
  <c r="H6" i="26"/>
  <c r="X6" i="26"/>
  <c r="AN6" i="26"/>
  <c r="O7" i="26"/>
  <c r="AE7" i="26"/>
  <c r="F8" i="26"/>
  <c r="V8" i="26"/>
  <c r="AL8" i="26"/>
  <c r="M9" i="26"/>
  <c r="AC9" i="26"/>
  <c r="D10" i="26"/>
  <c r="T10" i="26"/>
  <c r="AJ10" i="26"/>
  <c r="K11" i="26"/>
  <c r="AA11" i="26"/>
  <c r="R12" i="26"/>
  <c r="AH12" i="26"/>
  <c r="I13" i="26"/>
  <c r="Y13" i="26"/>
  <c r="AO13" i="26"/>
  <c r="P14" i="26"/>
  <c r="AF14" i="26"/>
  <c r="G15" i="26"/>
  <c r="W15" i="26"/>
  <c r="AM15" i="26"/>
  <c r="N16" i="26"/>
  <c r="AD16" i="26"/>
  <c r="E17" i="26"/>
  <c r="U17" i="26"/>
  <c r="AK17" i="26"/>
  <c r="L18" i="26"/>
  <c r="AB18" i="26"/>
  <c r="C19" i="26"/>
  <c r="S19" i="26"/>
  <c r="AI19" i="26"/>
  <c r="J20" i="26"/>
  <c r="Z20" i="26"/>
  <c r="AP20" i="26"/>
  <c r="Q21" i="26"/>
  <c r="AG21" i="26"/>
  <c r="H22" i="26"/>
  <c r="X22" i="26"/>
  <c r="AN22" i="26"/>
  <c r="O23" i="26"/>
  <c r="AE23" i="26"/>
  <c r="F24" i="26"/>
  <c r="V24" i="26"/>
  <c r="AL24" i="26"/>
  <c r="M25" i="26"/>
  <c r="AC25" i="26"/>
  <c r="D26" i="26"/>
  <c r="T26" i="26"/>
  <c r="AJ26" i="26"/>
  <c r="K4" i="26"/>
  <c r="AA4" i="26"/>
  <c r="R5" i="26"/>
  <c r="AH5" i="26"/>
  <c r="I6" i="26"/>
  <c r="Y6" i="26"/>
  <c r="AO6" i="26"/>
  <c r="N9" i="26"/>
  <c r="AD9" i="26"/>
  <c r="L11" i="26"/>
  <c r="AB11" i="26"/>
  <c r="K20" i="26"/>
  <c r="AA20" i="26"/>
  <c r="R21" i="26"/>
  <c r="AH21" i="26"/>
  <c r="I22" i="26"/>
  <c r="Y22" i="26"/>
  <c r="AO22" i="26"/>
  <c r="P23" i="26"/>
  <c r="AF23" i="26"/>
  <c r="G24" i="26"/>
  <c r="W24" i="26"/>
  <c r="AM24" i="26"/>
  <c r="N25" i="26"/>
  <c r="AD25" i="26"/>
  <c r="E26" i="26"/>
  <c r="U26" i="26"/>
  <c r="AK26" i="26"/>
  <c r="AJ9" i="26"/>
  <c r="N2" i="26"/>
  <c r="AD2" i="26"/>
  <c r="E3" i="26"/>
  <c r="U3" i="26"/>
  <c r="AK3" i="26"/>
  <c r="L4" i="26"/>
  <c r="AB4" i="26"/>
  <c r="C5" i="26"/>
  <c r="S5" i="26"/>
  <c r="AI5" i="26"/>
  <c r="J6" i="26"/>
  <c r="Z6" i="26"/>
  <c r="AP6" i="26"/>
  <c r="Q7" i="26"/>
  <c r="AG7" i="26"/>
  <c r="H8" i="26"/>
  <c r="X8" i="26"/>
  <c r="AN8" i="26"/>
  <c r="O9" i="26"/>
  <c r="AE9" i="26"/>
  <c r="V10" i="26"/>
  <c r="AL10" i="26"/>
  <c r="M11" i="26"/>
  <c r="AC11" i="26"/>
  <c r="K13" i="26"/>
  <c r="AA13" i="26"/>
  <c r="R14" i="26"/>
  <c r="AH14" i="26"/>
  <c r="I15" i="26"/>
  <c r="Y15" i="26"/>
  <c r="AO15" i="26"/>
  <c r="P16" i="26"/>
  <c r="AF16" i="26"/>
  <c r="G17" i="26"/>
  <c r="W17" i="26"/>
  <c r="AM17" i="26"/>
  <c r="N18" i="26"/>
  <c r="AD18" i="26"/>
  <c r="E19" i="26"/>
  <c r="U19" i="26"/>
  <c r="AK19" i="26"/>
  <c r="L20" i="26"/>
  <c r="AB20" i="26"/>
  <c r="C21" i="26"/>
  <c r="S21" i="26"/>
  <c r="AI21" i="26"/>
  <c r="J22" i="26"/>
  <c r="Z22" i="26"/>
  <c r="AP22" i="26"/>
  <c r="Q23" i="26"/>
  <c r="AG23" i="26"/>
  <c r="H24" i="26"/>
  <c r="X24" i="26"/>
  <c r="AN24" i="26"/>
  <c r="O25" i="26"/>
  <c r="AE25" i="26"/>
  <c r="F26" i="26"/>
  <c r="V26" i="26"/>
  <c r="AL26" i="26"/>
  <c r="AH11" i="26"/>
  <c r="O2" i="26"/>
  <c r="AE2" i="26"/>
  <c r="F3" i="26"/>
  <c r="V3" i="26"/>
  <c r="AL3" i="26"/>
  <c r="M4" i="26"/>
  <c r="AC4" i="26"/>
  <c r="D5" i="26"/>
  <c r="T5" i="26"/>
  <c r="AJ5" i="26"/>
  <c r="K6" i="26"/>
  <c r="AA6" i="26"/>
  <c r="R7" i="26"/>
  <c r="AH7" i="26"/>
  <c r="I8" i="26"/>
  <c r="Y8" i="26"/>
  <c r="AO8" i="26"/>
  <c r="P9" i="26"/>
  <c r="AF9" i="26"/>
  <c r="G10" i="26"/>
  <c r="W10" i="26"/>
  <c r="AM10" i="26"/>
  <c r="N11" i="26"/>
  <c r="AD11" i="26"/>
  <c r="E12" i="26"/>
  <c r="U12" i="26"/>
  <c r="AK12" i="26"/>
  <c r="L13" i="26"/>
  <c r="AB13" i="26"/>
  <c r="C14" i="26"/>
  <c r="S14" i="26"/>
  <c r="AI14" i="26"/>
  <c r="J15" i="26"/>
  <c r="Z15" i="26"/>
  <c r="AP15" i="26"/>
  <c r="Q16" i="26"/>
  <c r="AG16" i="26"/>
  <c r="H17" i="26"/>
  <c r="X17" i="26"/>
  <c r="AN17" i="26"/>
  <c r="O18" i="26"/>
  <c r="AE18" i="26"/>
  <c r="F19" i="26"/>
  <c r="V19" i="26"/>
  <c r="AL19" i="26"/>
  <c r="M20" i="26"/>
  <c r="AC20" i="26"/>
  <c r="D21" i="26"/>
  <c r="T21" i="26"/>
  <c r="AJ21" i="26"/>
  <c r="K22" i="26"/>
  <c r="AA22" i="26"/>
  <c r="R23" i="26"/>
  <c r="AH23" i="26"/>
  <c r="I24" i="26"/>
  <c r="Y24" i="26"/>
  <c r="AO24" i="26"/>
  <c r="P25" i="26"/>
  <c r="AF25" i="26"/>
  <c r="G26" i="26"/>
  <c r="W26" i="26"/>
  <c r="AM26" i="26"/>
  <c r="D9" i="26"/>
  <c r="P2" i="26"/>
  <c r="AF2" i="26"/>
  <c r="G3" i="26"/>
  <c r="W3" i="26"/>
  <c r="AM3" i="26"/>
  <c r="N4" i="26"/>
  <c r="AD4" i="26"/>
  <c r="E5" i="26"/>
  <c r="U5" i="26"/>
  <c r="AK5" i="26"/>
  <c r="L6" i="26"/>
  <c r="AB6" i="26"/>
  <c r="C7" i="26"/>
  <c r="S7" i="26"/>
  <c r="AI7" i="26"/>
  <c r="J8" i="26"/>
  <c r="Z8" i="26"/>
  <c r="AP8" i="26"/>
  <c r="Q9" i="26"/>
  <c r="AG9" i="26"/>
  <c r="H10" i="26"/>
  <c r="X10" i="26"/>
  <c r="AN10" i="26"/>
  <c r="O11" i="26"/>
  <c r="AE11" i="26"/>
  <c r="F12" i="26"/>
  <c r="V12" i="26"/>
  <c r="AL12" i="26"/>
  <c r="M13" i="26"/>
  <c r="AC13" i="26"/>
  <c r="D14" i="26"/>
  <c r="T14" i="26"/>
  <c r="AJ14" i="26"/>
  <c r="K15" i="26"/>
  <c r="AA15" i="26"/>
  <c r="R16" i="26"/>
  <c r="AH16" i="26"/>
  <c r="I17" i="26"/>
  <c r="Y17" i="26"/>
  <c r="AO17" i="26"/>
  <c r="P18" i="26"/>
  <c r="AF18" i="26"/>
  <c r="G19" i="26"/>
  <c r="W19" i="26"/>
  <c r="AM19" i="26"/>
  <c r="N20" i="26"/>
  <c r="AD20" i="26"/>
  <c r="E21" i="26"/>
  <c r="U21" i="26"/>
  <c r="AK21" i="26"/>
  <c r="L22" i="26"/>
  <c r="AB22" i="26"/>
  <c r="C23" i="26"/>
  <c r="S23" i="26"/>
  <c r="AI23" i="26"/>
  <c r="J24" i="26"/>
  <c r="Z24" i="26"/>
  <c r="AP24" i="26"/>
  <c r="Q25" i="26"/>
  <c r="AG25" i="26"/>
  <c r="H26" i="26"/>
  <c r="X26" i="26"/>
  <c r="AN26" i="26"/>
  <c r="O20" i="26"/>
  <c r="AE20" i="26"/>
  <c r="M22" i="26"/>
  <c r="AC22" i="26"/>
  <c r="AA24" i="26"/>
  <c r="R25" i="26"/>
  <c r="AH25" i="26"/>
  <c r="R2" i="26"/>
  <c r="I3" i="26"/>
  <c r="Y3" i="26"/>
  <c r="P4" i="26"/>
  <c r="G5" i="26"/>
  <c r="W5" i="26"/>
  <c r="N6" i="26"/>
  <c r="E7" i="26"/>
  <c r="U7" i="26"/>
  <c r="L8" i="26"/>
  <c r="C9" i="26"/>
  <c r="S9" i="26"/>
  <c r="J10" i="26"/>
  <c r="Z10" i="26"/>
  <c r="Q11" i="26"/>
  <c r="H12" i="26"/>
  <c r="X12" i="26"/>
  <c r="O13" i="26"/>
  <c r="F14" i="26"/>
  <c r="V14" i="26"/>
  <c r="M15" i="26"/>
  <c r="D16" i="26"/>
  <c r="T16" i="26"/>
  <c r="K17" i="26"/>
  <c r="R18" i="26"/>
  <c r="I19" i="26"/>
  <c r="Y19" i="26"/>
  <c r="P20" i="26"/>
  <c r="G21" i="26"/>
  <c r="W21" i="26"/>
  <c r="N22" i="26"/>
  <c r="E23" i="26"/>
  <c r="U23" i="26"/>
  <c r="L24" i="26"/>
  <c r="C25" i="26"/>
  <c r="S25" i="26"/>
  <c r="J26" i="26"/>
  <c r="Z26" i="26"/>
  <c r="R11" i="25"/>
  <c r="K3" i="25"/>
  <c r="AA3" i="25"/>
  <c r="R4" i="25"/>
  <c r="AH4" i="25"/>
  <c r="I5" i="25"/>
  <c r="Y5" i="25"/>
  <c r="AO5" i="25"/>
  <c r="P6" i="25"/>
  <c r="AF6" i="25"/>
  <c r="E9" i="25"/>
  <c r="U9" i="25"/>
  <c r="AK9" i="25"/>
  <c r="C11" i="25"/>
  <c r="S11" i="25"/>
  <c r="AI11" i="25"/>
  <c r="Q13" i="25"/>
  <c r="AG13" i="25"/>
  <c r="H14" i="25"/>
  <c r="X14" i="25"/>
  <c r="AN14" i="25"/>
  <c r="M17" i="25"/>
  <c r="AC17" i="25"/>
  <c r="R20" i="25"/>
  <c r="AH20" i="25"/>
  <c r="I21" i="25"/>
  <c r="Y21" i="25"/>
  <c r="AO21" i="25"/>
  <c r="P22" i="25"/>
  <c r="AF22" i="25"/>
  <c r="E25" i="25"/>
  <c r="U25" i="25"/>
  <c r="AK25" i="25"/>
  <c r="J5" i="25"/>
  <c r="Z5" i="25"/>
  <c r="AP5" i="25"/>
  <c r="Q6" i="25"/>
  <c r="AG6" i="25"/>
  <c r="D11" i="25"/>
  <c r="T11" i="25"/>
  <c r="AJ11" i="25"/>
  <c r="R13" i="25"/>
  <c r="AH13" i="25"/>
  <c r="I14" i="25"/>
  <c r="Y14" i="25"/>
  <c r="AO14" i="25"/>
  <c r="J21" i="25"/>
  <c r="Z21" i="25"/>
  <c r="AP21" i="25"/>
  <c r="Q22" i="25"/>
  <c r="AG22" i="25"/>
  <c r="K5" i="25"/>
  <c r="R6" i="25"/>
  <c r="AH6" i="25"/>
  <c r="E11" i="25"/>
  <c r="U11" i="25"/>
  <c r="AK11" i="25"/>
  <c r="C13" i="25"/>
  <c r="S13" i="25"/>
  <c r="AI13" i="25"/>
  <c r="J14" i="25"/>
  <c r="Z14" i="25"/>
  <c r="AP14" i="25"/>
  <c r="K21" i="25"/>
  <c r="AA21" i="25"/>
  <c r="R22" i="25"/>
  <c r="AH22" i="25"/>
  <c r="N3" i="25"/>
  <c r="AD3" i="25"/>
  <c r="E4" i="25"/>
  <c r="U4" i="25"/>
  <c r="AK4" i="25"/>
  <c r="L5" i="25"/>
  <c r="AB5" i="25"/>
  <c r="C6" i="25"/>
  <c r="S6" i="25"/>
  <c r="AI6" i="25"/>
  <c r="H9" i="25"/>
  <c r="X9" i="25"/>
  <c r="AN9" i="25"/>
  <c r="F11" i="25"/>
  <c r="V11" i="25"/>
  <c r="AL11" i="25"/>
  <c r="D13" i="25"/>
  <c r="T13" i="25"/>
  <c r="AJ13" i="25"/>
  <c r="K14" i="25"/>
  <c r="AA14" i="25"/>
  <c r="R15" i="25"/>
  <c r="AH15" i="25"/>
  <c r="P17" i="25"/>
  <c r="AF17" i="25"/>
  <c r="N19" i="25"/>
  <c r="AD19" i="25"/>
  <c r="E20" i="25"/>
  <c r="U20" i="25"/>
  <c r="AK20" i="25"/>
  <c r="L21" i="25"/>
  <c r="AB21" i="25"/>
  <c r="C22" i="25"/>
  <c r="S22" i="25"/>
  <c r="AI22" i="25"/>
  <c r="H25" i="25"/>
  <c r="X25" i="25"/>
  <c r="AN25" i="25"/>
  <c r="AA5" i="25"/>
  <c r="H2" i="25"/>
  <c r="X2" i="25"/>
  <c r="AN2" i="25"/>
  <c r="O3" i="25"/>
  <c r="AE3" i="25"/>
  <c r="F4" i="25"/>
  <c r="V4" i="25"/>
  <c r="AL4" i="25"/>
  <c r="M5" i="25"/>
  <c r="AC5" i="25"/>
  <c r="D6" i="25"/>
  <c r="T6" i="25"/>
  <c r="AJ6" i="25"/>
  <c r="K7" i="25"/>
  <c r="AA7" i="25"/>
  <c r="R8" i="25"/>
  <c r="AH8" i="25"/>
  <c r="I9" i="25"/>
  <c r="Y9" i="25"/>
  <c r="AO9" i="25"/>
  <c r="P10" i="25"/>
  <c r="AF10" i="25"/>
  <c r="G11" i="25"/>
  <c r="W11" i="25"/>
  <c r="AM11" i="25"/>
  <c r="N12" i="25"/>
  <c r="AD12" i="25"/>
  <c r="E13" i="25"/>
  <c r="U13" i="25"/>
  <c r="AK13" i="25"/>
  <c r="L14" i="25"/>
  <c r="AB14" i="25"/>
  <c r="C15" i="25"/>
  <c r="S15" i="25"/>
  <c r="AI15" i="25"/>
  <c r="Q17" i="25"/>
  <c r="AG17" i="25"/>
  <c r="O19" i="25"/>
  <c r="AE19" i="25"/>
  <c r="F20" i="25"/>
  <c r="V20" i="25"/>
  <c r="AL20" i="25"/>
  <c r="M21" i="25"/>
  <c r="AC21" i="25"/>
  <c r="D22" i="25"/>
  <c r="T22" i="25"/>
  <c r="AJ22" i="25"/>
  <c r="R24" i="25"/>
  <c r="AH24" i="25"/>
  <c r="I25" i="25"/>
  <c r="Y25" i="25"/>
  <c r="AO25" i="25"/>
  <c r="P26" i="25"/>
  <c r="AF26" i="25"/>
  <c r="N5" i="25"/>
  <c r="AD5" i="25"/>
  <c r="E6" i="25"/>
  <c r="U6" i="25"/>
  <c r="AK6" i="25"/>
  <c r="J9" i="25"/>
  <c r="Z9" i="25"/>
  <c r="AP9" i="25"/>
  <c r="H11" i="25"/>
  <c r="X11" i="25"/>
  <c r="AN11" i="25"/>
  <c r="F13" i="25"/>
  <c r="V13" i="25"/>
  <c r="AL13" i="25"/>
  <c r="M14" i="25"/>
  <c r="AC14" i="25"/>
  <c r="R17" i="25"/>
  <c r="AH17" i="25"/>
  <c r="N21" i="25"/>
  <c r="AD21" i="25"/>
  <c r="E22" i="25"/>
  <c r="U22" i="25"/>
  <c r="AK22" i="25"/>
  <c r="J25" i="25"/>
  <c r="Z25" i="25"/>
  <c r="AP25" i="25"/>
  <c r="J2" i="25"/>
  <c r="Z2" i="25"/>
  <c r="AP2" i="25"/>
  <c r="Q3" i="25"/>
  <c r="AG3" i="25"/>
  <c r="H4" i="25"/>
  <c r="X4" i="25"/>
  <c r="AN4" i="25"/>
  <c r="O5" i="25"/>
  <c r="AE5" i="25"/>
  <c r="F6" i="25"/>
  <c r="V6" i="25"/>
  <c r="AL6" i="25"/>
  <c r="M7" i="25"/>
  <c r="AC7" i="25"/>
  <c r="D8" i="25"/>
  <c r="T8" i="25"/>
  <c r="AJ8" i="25"/>
  <c r="K9" i="25"/>
  <c r="AA9" i="25"/>
  <c r="R10" i="25"/>
  <c r="AH10" i="25"/>
  <c r="I11" i="25"/>
  <c r="Y11" i="25"/>
  <c r="AO11" i="25"/>
  <c r="P12" i="25"/>
  <c r="AF12" i="25"/>
  <c r="G13" i="25"/>
  <c r="W13" i="25"/>
  <c r="AM13" i="25"/>
  <c r="N14" i="25"/>
  <c r="AD14" i="25"/>
  <c r="E15" i="25"/>
  <c r="U15" i="25"/>
  <c r="AK15" i="25"/>
  <c r="AB16" i="25"/>
  <c r="C17" i="25"/>
  <c r="S17" i="25"/>
  <c r="AI17" i="25"/>
  <c r="Q19" i="25"/>
  <c r="AG19" i="25"/>
  <c r="H20" i="25"/>
  <c r="X20" i="25"/>
  <c r="AN20" i="25"/>
  <c r="O21" i="25"/>
  <c r="AE21" i="25"/>
  <c r="F22" i="25"/>
  <c r="V22" i="25"/>
  <c r="AL22" i="25"/>
  <c r="D24" i="25"/>
  <c r="T24" i="25"/>
  <c r="AJ24" i="25"/>
  <c r="K25" i="25"/>
  <c r="AA25" i="25"/>
  <c r="R26" i="25"/>
  <c r="AH26" i="25"/>
  <c r="R3" i="25"/>
  <c r="AH3" i="25"/>
  <c r="P5" i="25"/>
  <c r="AF5" i="25"/>
  <c r="G6" i="25"/>
  <c r="W6" i="25"/>
  <c r="AM6" i="25"/>
  <c r="L9" i="25"/>
  <c r="AB9" i="25"/>
  <c r="J11" i="25"/>
  <c r="Z11" i="25"/>
  <c r="AP11" i="25"/>
  <c r="H13" i="25"/>
  <c r="X13" i="25"/>
  <c r="AN13" i="25"/>
  <c r="O14" i="25"/>
  <c r="AE14" i="25"/>
  <c r="AL15" i="25"/>
  <c r="D17" i="25"/>
  <c r="T17" i="25"/>
  <c r="AJ17" i="25"/>
  <c r="R19" i="25"/>
  <c r="AH19" i="25"/>
  <c r="I20" i="25"/>
  <c r="Y20" i="25"/>
  <c r="AO20" i="25"/>
  <c r="P21" i="25"/>
  <c r="AF21" i="25"/>
  <c r="G22" i="25"/>
  <c r="W22" i="25"/>
  <c r="AM22" i="25"/>
  <c r="L25" i="25"/>
  <c r="AB25" i="25"/>
  <c r="AI26" i="25"/>
  <c r="L2" i="25"/>
  <c r="AB2" i="25"/>
  <c r="C3" i="25"/>
  <c r="S3" i="25"/>
  <c r="AI3" i="25"/>
  <c r="J4" i="25"/>
  <c r="Z4" i="25"/>
  <c r="AP4" i="25"/>
  <c r="Q5" i="25"/>
  <c r="AG5" i="25"/>
  <c r="H6" i="25"/>
  <c r="X6" i="25"/>
  <c r="AN6" i="25"/>
  <c r="O7" i="25"/>
  <c r="AE7" i="25"/>
  <c r="F8" i="25"/>
  <c r="V8" i="25"/>
  <c r="AL8" i="25"/>
  <c r="M9" i="25"/>
  <c r="AC9" i="25"/>
  <c r="D10" i="25"/>
  <c r="T10" i="25"/>
  <c r="AJ10" i="25"/>
  <c r="K11" i="25"/>
  <c r="AA11" i="25"/>
  <c r="R12" i="25"/>
  <c r="AH12" i="25"/>
  <c r="I13" i="25"/>
  <c r="Y13" i="25"/>
  <c r="AO13" i="25"/>
  <c r="P14" i="25"/>
  <c r="AF14" i="25"/>
  <c r="G15" i="25"/>
  <c r="W15" i="25"/>
  <c r="AM15" i="25"/>
  <c r="AD16" i="25"/>
  <c r="E17" i="25"/>
  <c r="U17" i="25"/>
  <c r="AK17" i="25"/>
  <c r="L18" i="25"/>
  <c r="AB18" i="25"/>
  <c r="C19" i="25"/>
  <c r="S19" i="25"/>
  <c r="AI19" i="25"/>
  <c r="J20" i="25"/>
  <c r="Z20" i="25"/>
  <c r="AP20" i="25"/>
  <c r="Q21" i="25"/>
  <c r="AG21" i="25"/>
  <c r="H22" i="25"/>
  <c r="X22" i="25"/>
  <c r="AN22" i="25"/>
  <c r="O23" i="25"/>
  <c r="AE23" i="25"/>
  <c r="F24" i="25"/>
  <c r="V24" i="25"/>
  <c r="AL24" i="25"/>
  <c r="M25" i="25"/>
  <c r="AC25" i="25"/>
  <c r="D26" i="25"/>
  <c r="T26" i="25"/>
  <c r="AJ26" i="25"/>
  <c r="R5" i="25"/>
  <c r="AH5" i="25"/>
  <c r="I6" i="25"/>
  <c r="Y6" i="25"/>
  <c r="AO6" i="25"/>
  <c r="L11" i="25"/>
  <c r="AB11" i="25"/>
  <c r="J13" i="25"/>
  <c r="Z13" i="25"/>
  <c r="AP13" i="25"/>
  <c r="Q14" i="25"/>
  <c r="AG14" i="25"/>
  <c r="R21" i="25"/>
  <c r="AH21" i="25"/>
  <c r="I22" i="25"/>
  <c r="Y22" i="25"/>
  <c r="AO22" i="25"/>
  <c r="C5" i="25"/>
  <c r="AI5" i="25"/>
  <c r="Z6" i="25"/>
  <c r="AP6" i="25"/>
  <c r="M11" i="25"/>
  <c r="AC11" i="25"/>
  <c r="K13" i="25"/>
  <c r="AA13" i="25"/>
  <c r="R14" i="25"/>
  <c r="AH14" i="25"/>
  <c r="C21" i="25"/>
  <c r="S21" i="25"/>
  <c r="AI21" i="25"/>
  <c r="J22" i="25"/>
  <c r="Z22" i="25"/>
  <c r="AP22" i="25"/>
  <c r="S5" i="25"/>
  <c r="O2" i="25"/>
  <c r="AE2" i="25"/>
  <c r="F3" i="25"/>
  <c r="V3" i="25"/>
  <c r="AL3" i="25"/>
  <c r="M4" i="25"/>
  <c r="AC4" i="25"/>
  <c r="D5" i="25"/>
  <c r="T5" i="25"/>
  <c r="AJ5" i="25"/>
  <c r="K6" i="25"/>
  <c r="AA6" i="25"/>
  <c r="R7" i="25"/>
  <c r="AH7" i="25"/>
  <c r="I8" i="25"/>
  <c r="Y8" i="25"/>
  <c r="AO8" i="25"/>
  <c r="P9" i="25"/>
  <c r="AF9" i="25"/>
  <c r="G10" i="25"/>
  <c r="W10" i="25"/>
  <c r="AM10" i="25"/>
  <c r="N11" i="25"/>
  <c r="AD11" i="25"/>
  <c r="E12" i="25"/>
  <c r="U12" i="25"/>
  <c r="AK12" i="25"/>
  <c r="L13" i="25"/>
  <c r="AB13" i="25"/>
  <c r="C14" i="25"/>
  <c r="S14" i="25"/>
  <c r="AI14" i="25"/>
  <c r="J15" i="25"/>
  <c r="Z15" i="25"/>
  <c r="AP15" i="25"/>
  <c r="AG16" i="25"/>
  <c r="H17" i="25"/>
  <c r="X17" i="25"/>
  <c r="AN17" i="25"/>
  <c r="O18" i="25"/>
  <c r="AE18" i="25"/>
  <c r="F19" i="25"/>
  <c r="V19" i="25"/>
  <c r="AL19" i="25"/>
  <c r="M20" i="25"/>
  <c r="AC20" i="25"/>
  <c r="D21" i="25"/>
  <c r="T21" i="25"/>
  <c r="AJ21" i="25"/>
  <c r="K22" i="25"/>
  <c r="AA22" i="25"/>
  <c r="R23" i="25"/>
  <c r="AH23" i="25"/>
  <c r="I24" i="25"/>
  <c r="Y24" i="25"/>
  <c r="AO24" i="25"/>
  <c r="P25" i="25"/>
  <c r="AF25" i="25"/>
  <c r="G26" i="25"/>
  <c r="W26" i="25"/>
  <c r="AM26" i="25"/>
  <c r="J6" i="25"/>
  <c r="P2" i="25"/>
  <c r="AF2" i="25"/>
  <c r="G3" i="25"/>
  <c r="W3" i="25"/>
  <c r="AM3" i="25"/>
  <c r="N4" i="25"/>
  <c r="AD4" i="25"/>
  <c r="E5" i="25"/>
  <c r="U5" i="25"/>
  <c r="AK5" i="25"/>
  <c r="L6" i="25"/>
  <c r="AB6" i="25"/>
  <c r="C7" i="25"/>
  <c r="S7" i="25"/>
  <c r="AI7" i="25"/>
  <c r="J8" i="25"/>
  <c r="Z8" i="25"/>
  <c r="AP8" i="25"/>
  <c r="Q9" i="25"/>
  <c r="AG9" i="25"/>
  <c r="H10" i="25"/>
  <c r="X10" i="25"/>
  <c r="AN10" i="25"/>
  <c r="O11" i="25"/>
  <c r="AE11" i="25"/>
  <c r="F12" i="25"/>
  <c r="V12" i="25"/>
  <c r="AL12" i="25"/>
  <c r="M13" i="25"/>
  <c r="AC13" i="25"/>
  <c r="D14" i="25"/>
  <c r="T14" i="25"/>
  <c r="AJ14" i="25"/>
  <c r="K15" i="25"/>
  <c r="AA15" i="25"/>
  <c r="R16" i="25"/>
  <c r="AH16" i="25"/>
  <c r="I17" i="25"/>
  <c r="Y17" i="25"/>
  <c r="AO17" i="25"/>
  <c r="P18" i="25"/>
  <c r="AF18" i="25"/>
  <c r="G19" i="25"/>
  <c r="W19" i="25"/>
  <c r="AM19" i="25"/>
  <c r="N20" i="25"/>
  <c r="AD20" i="25"/>
  <c r="E21" i="25"/>
  <c r="U21" i="25"/>
  <c r="AK21" i="25"/>
  <c r="L22" i="25"/>
  <c r="AB22" i="25"/>
  <c r="C23" i="25"/>
  <c r="S23" i="25"/>
  <c r="AI23" i="25"/>
  <c r="J24" i="25"/>
  <c r="Z24" i="25"/>
  <c r="AP24" i="25"/>
  <c r="Q25" i="25"/>
  <c r="AG25" i="25"/>
  <c r="H26" i="25"/>
  <c r="X26" i="25"/>
  <c r="AN26" i="25"/>
  <c r="F5" i="25"/>
  <c r="V5" i="25"/>
  <c r="AL5" i="25"/>
  <c r="M6" i="25"/>
  <c r="AC6" i="25"/>
  <c r="R9" i="25"/>
  <c r="AH9" i="25"/>
  <c r="P11" i="25"/>
  <c r="AF11" i="25"/>
  <c r="N13" i="25"/>
  <c r="AD13" i="25"/>
  <c r="E14" i="25"/>
  <c r="U14" i="25"/>
  <c r="AK14" i="25"/>
  <c r="J17" i="25"/>
  <c r="Z17" i="25"/>
  <c r="AP17" i="25"/>
  <c r="F21" i="25"/>
  <c r="V21" i="25"/>
  <c r="AL21" i="25"/>
  <c r="M22" i="25"/>
  <c r="AC22" i="25"/>
  <c r="R25" i="25"/>
  <c r="AH25" i="25"/>
  <c r="AH11" i="25"/>
  <c r="R2" i="25"/>
  <c r="I3" i="25"/>
  <c r="Y3" i="25"/>
  <c r="P4" i="25"/>
  <c r="G5" i="25"/>
  <c r="W5" i="25"/>
  <c r="N6" i="25"/>
  <c r="E7" i="25"/>
  <c r="U7" i="25"/>
  <c r="L8" i="25"/>
  <c r="C9" i="25"/>
  <c r="S9" i="25"/>
  <c r="J10" i="25"/>
  <c r="Z10" i="25"/>
  <c r="Q11" i="25"/>
  <c r="H12" i="25"/>
  <c r="X12" i="25"/>
  <c r="O13" i="25"/>
  <c r="F14" i="25"/>
  <c r="V14" i="25"/>
  <c r="M15" i="25"/>
  <c r="T16" i="25"/>
  <c r="K17" i="25"/>
  <c r="R18" i="25"/>
  <c r="I19" i="25"/>
  <c r="Y19" i="25"/>
  <c r="P20" i="25"/>
  <c r="G21" i="25"/>
  <c r="W21" i="25"/>
  <c r="N22" i="25"/>
  <c r="E23" i="25"/>
  <c r="U23" i="25"/>
  <c r="L24" i="25"/>
  <c r="C25" i="25"/>
  <c r="S25" i="25"/>
  <c r="J26" i="25"/>
  <c r="Z26" i="25"/>
  <c r="C4" i="23"/>
  <c r="AI4" i="23"/>
  <c r="D11" i="23"/>
  <c r="T11" i="23"/>
  <c r="AJ11" i="23"/>
  <c r="R13" i="23"/>
  <c r="AH13" i="23"/>
  <c r="P15" i="23"/>
  <c r="AF15" i="23"/>
  <c r="N17" i="23"/>
  <c r="AD17" i="23"/>
  <c r="C20" i="23"/>
  <c r="S20" i="23"/>
  <c r="AI20" i="23"/>
  <c r="AI11" i="23"/>
  <c r="S4" i="23"/>
  <c r="V2" i="23"/>
  <c r="AL2" i="23"/>
  <c r="M3" i="23"/>
  <c r="AC3" i="23"/>
  <c r="D4" i="23"/>
  <c r="T4" i="23"/>
  <c r="AJ4" i="23"/>
  <c r="R6" i="23"/>
  <c r="AH6" i="23"/>
  <c r="E11" i="23"/>
  <c r="U11" i="23"/>
  <c r="AK11" i="23"/>
  <c r="C13" i="23"/>
  <c r="S13" i="23"/>
  <c r="AI13" i="23"/>
  <c r="Q15" i="23"/>
  <c r="AG15" i="23"/>
  <c r="AN16" i="23"/>
  <c r="O17" i="23"/>
  <c r="AE17" i="23"/>
  <c r="D20" i="23"/>
  <c r="T20" i="23"/>
  <c r="AJ20" i="23"/>
  <c r="R22" i="23"/>
  <c r="AH22" i="23"/>
  <c r="R20" i="23"/>
  <c r="E4" i="23"/>
  <c r="AK4" i="23"/>
  <c r="F11" i="23"/>
  <c r="V11" i="23"/>
  <c r="AL11" i="23"/>
  <c r="D13" i="23"/>
  <c r="T13" i="23"/>
  <c r="AJ13" i="23"/>
  <c r="R15" i="23"/>
  <c r="AH15" i="23"/>
  <c r="P17" i="23"/>
  <c r="AF17" i="23"/>
  <c r="E20" i="23"/>
  <c r="U20" i="23"/>
  <c r="AK20" i="23"/>
  <c r="S22" i="23"/>
  <c r="AI22" i="23"/>
  <c r="U4" i="23"/>
  <c r="H2" i="23"/>
  <c r="X2" i="23"/>
  <c r="AN2" i="23"/>
  <c r="O3" i="23"/>
  <c r="AE3" i="23"/>
  <c r="F4" i="23"/>
  <c r="V4" i="23"/>
  <c r="AL4" i="23"/>
  <c r="M5" i="23"/>
  <c r="AC5" i="23"/>
  <c r="D6" i="23"/>
  <c r="T6" i="23"/>
  <c r="AJ6" i="23"/>
  <c r="K7" i="23"/>
  <c r="AA7" i="23"/>
  <c r="R8" i="23"/>
  <c r="AH8" i="23"/>
  <c r="I9" i="23"/>
  <c r="Y9" i="23"/>
  <c r="AO9" i="23"/>
  <c r="P10" i="23"/>
  <c r="AF10" i="23"/>
  <c r="G11" i="23"/>
  <c r="W11" i="23"/>
  <c r="AM11" i="23"/>
  <c r="E13" i="23"/>
  <c r="U13" i="23"/>
  <c r="AK13" i="23"/>
  <c r="C15" i="23"/>
  <c r="S15" i="23"/>
  <c r="AI15" i="23"/>
  <c r="J16" i="23"/>
  <c r="Z16" i="23"/>
  <c r="AP16" i="23"/>
  <c r="Q17" i="23"/>
  <c r="AG17" i="23"/>
  <c r="O19" i="23"/>
  <c r="AE19" i="23"/>
  <c r="F20" i="23"/>
  <c r="V20" i="23"/>
  <c r="AL20" i="23"/>
  <c r="D22" i="23"/>
  <c r="T22" i="23"/>
  <c r="AJ22" i="23"/>
  <c r="R24" i="23"/>
  <c r="AH24" i="23"/>
  <c r="P26" i="23"/>
  <c r="AF26" i="23"/>
  <c r="R4" i="23"/>
  <c r="C11" i="23"/>
  <c r="AH20" i="23"/>
  <c r="H11" i="23"/>
  <c r="X11" i="23"/>
  <c r="AN11" i="23"/>
  <c r="R17" i="23"/>
  <c r="AH17" i="23"/>
  <c r="P19" i="23"/>
  <c r="AF19" i="23"/>
  <c r="G20" i="23"/>
  <c r="W20" i="23"/>
  <c r="AM20" i="23"/>
  <c r="E22" i="23"/>
  <c r="U22" i="23"/>
  <c r="AK22" i="23"/>
  <c r="C24" i="23"/>
  <c r="S24" i="23"/>
  <c r="AI24" i="23"/>
  <c r="Z25" i="23"/>
  <c r="AP25" i="23"/>
  <c r="Q26" i="23"/>
  <c r="AG26" i="23"/>
  <c r="J2" i="23"/>
  <c r="Z2" i="23"/>
  <c r="AP2" i="23"/>
  <c r="Q3" i="23"/>
  <c r="AG3" i="23"/>
  <c r="H4" i="23"/>
  <c r="X4" i="23"/>
  <c r="AN4" i="23"/>
  <c r="O5" i="23"/>
  <c r="AE5" i="23"/>
  <c r="F6" i="23"/>
  <c r="V6" i="23"/>
  <c r="AL6" i="23"/>
  <c r="M7" i="23"/>
  <c r="AC7" i="23"/>
  <c r="D8" i="23"/>
  <c r="T8" i="23"/>
  <c r="AJ8" i="23"/>
  <c r="K9" i="23"/>
  <c r="AA9" i="23"/>
  <c r="R10" i="23"/>
  <c r="AH10" i="23"/>
  <c r="I11" i="23"/>
  <c r="Y11" i="23"/>
  <c r="AO11" i="23"/>
  <c r="P12" i="23"/>
  <c r="AF12" i="23"/>
  <c r="G13" i="23"/>
  <c r="W13" i="23"/>
  <c r="AM13" i="23"/>
  <c r="N14" i="23"/>
  <c r="AD14" i="23"/>
  <c r="E15" i="23"/>
  <c r="U15" i="23"/>
  <c r="AK15" i="23"/>
  <c r="L16" i="23"/>
  <c r="AB16" i="23"/>
  <c r="C17" i="23"/>
  <c r="S17" i="23"/>
  <c r="AI17" i="23"/>
  <c r="Q19" i="23"/>
  <c r="AG19" i="23"/>
  <c r="H20" i="23"/>
  <c r="X20" i="23"/>
  <c r="AN20" i="23"/>
  <c r="F22" i="23"/>
  <c r="V22" i="23"/>
  <c r="AL22" i="23"/>
  <c r="D24" i="23"/>
  <c r="T24" i="23"/>
  <c r="AJ24" i="23"/>
  <c r="R26" i="23"/>
  <c r="AH26" i="23"/>
  <c r="K2" i="23"/>
  <c r="AA2" i="23"/>
  <c r="R3" i="23"/>
  <c r="AH3" i="23"/>
  <c r="I4" i="23"/>
  <c r="Y4" i="23"/>
  <c r="AO4" i="23"/>
  <c r="P5" i="23"/>
  <c r="AF5" i="23"/>
  <c r="G6" i="23"/>
  <c r="W6" i="23"/>
  <c r="AM6" i="23"/>
  <c r="N7" i="23"/>
  <c r="AD7" i="23"/>
  <c r="E8" i="23"/>
  <c r="U8" i="23"/>
  <c r="AK8" i="23"/>
  <c r="AB9" i="23"/>
  <c r="J11" i="23"/>
  <c r="Z11" i="23"/>
  <c r="AP11" i="23"/>
  <c r="H13" i="23"/>
  <c r="X13" i="23"/>
  <c r="AN13" i="23"/>
  <c r="F15" i="23"/>
  <c r="V15" i="23"/>
  <c r="AL15" i="23"/>
  <c r="M16" i="23"/>
  <c r="AC16" i="23"/>
  <c r="D17" i="23"/>
  <c r="T17" i="23"/>
  <c r="AJ17" i="23"/>
  <c r="R19" i="23"/>
  <c r="AH19" i="23"/>
  <c r="I20" i="23"/>
  <c r="Y20" i="23"/>
  <c r="AO20" i="23"/>
  <c r="G22" i="23"/>
  <c r="W22" i="23"/>
  <c r="AM22" i="23"/>
  <c r="E24" i="23"/>
  <c r="U24" i="23"/>
  <c r="AK24" i="23"/>
  <c r="C26" i="23"/>
  <c r="S26" i="23"/>
  <c r="AI26" i="23"/>
  <c r="AM4" i="23"/>
  <c r="L2" i="23"/>
  <c r="AB2" i="23"/>
  <c r="C3" i="23"/>
  <c r="S3" i="23"/>
  <c r="AI3" i="23"/>
  <c r="J4" i="23"/>
  <c r="Z4" i="23"/>
  <c r="AP4" i="23"/>
  <c r="Q5" i="23"/>
  <c r="AG5" i="23"/>
  <c r="H6" i="23"/>
  <c r="X6" i="23"/>
  <c r="AN6" i="23"/>
  <c r="O7" i="23"/>
  <c r="AE7" i="23"/>
  <c r="F8" i="23"/>
  <c r="V8" i="23"/>
  <c r="AL8" i="23"/>
  <c r="M9" i="23"/>
  <c r="AC9" i="23"/>
  <c r="D10" i="23"/>
  <c r="T10" i="23"/>
  <c r="AJ10" i="23"/>
  <c r="K11" i="23"/>
  <c r="AA11" i="23"/>
  <c r="R12" i="23"/>
  <c r="AH12" i="23"/>
  <c r="I13" i="23"/>
  <c r="Y13" i="23"/>
  <c r="AO13" i="23"/>
  <c r="P14" i="23"/>
  <c r="AF14" i="23"/>
  <c r="G15" i="23"/>
  <c r="W15" i="23"/>
  <c r="AM15" i="23"/>
  <c r="N16" i="23"/>
  <c r="AD16" i="23"/>
  <c r="E17" i="23"/>
  <c r="U17" i="23"/>
  <c r="AK17" i="23"/>
  <c r="L18" i="23"/>
  <c r="AB18" i="23"/>
  <c r="C19" i="23"/>
  <c r="S19" i="23"/>
  <c r="AI19" i="23"/>
  <c r="J20" i="23"/>
  <c r="Z20" i="23"/>
  <c r="AP20" i="23"/>
  <c r="Q21" i="23"/>
  <c r="AG21" i="23"/>
  <c r="H22" i="23"/>
  <c r="X22" i="23"/>
  <c r="AN22" i="23"/>
  <c r="O23" i="23"/>
  <c r="AE23" i="23"/>
  <c r="F24" i="23"/>
  <c r="V24" i="23"/>
  <c r="AL24" i="23"/>
  <c r="M25" i="23"/>
  <c r="AC25" i="23"/>
  <c r="D26" i="23"/>
  <c r="T26" i="23"/>
  <c r="AJ26" i="23"/>
  <c r="S11" i="23"/>
  <c r="M2" i="23"/>
  <c r="AC2" i="23"/>
  <c r="D3" i="23"/>
  <c r="T3" i="23"/>
  <c r="AJ3" i="23"/>
  <c r="K4" i="23"/>
  <c r="AA4" i="23"/>
  <c r="R5" i="23"/>
  <c r="AH5" i="23"/>
  <c r="I6" i="23"/>
  <c r="Y6" i="23"/>
  <c r="AO6" i="23"/>
  <c r="P7" i="23"/>
  <c r="AF7" i="23"/>
  <c r="G8" i="23"/>
  <c r="W8" i="23"/>
  <c r="AM8" i="23"/>
  <c r="N9" i="23"/>
  <c r="AD9" i="23"/>
  <c r="E10" i="23"/>
  <c r="U10" i="23"/>
  <c r="AK10" i="23"/>
  <c r="L11" i="23"/>
  <c r="AB11" i="23"/>
  <c r="C12" i="23"/>
  <c r="S12" i="23"/>
  <c r="AI12" i="23"/>
  <c r="J13" i="23"/>
  <c r="Z13" i="23"/>
  <c r="AP13" i="23"/>
  <c r="Q14" i="23"/>
  <c r="AG14" i="23"/>
  <c r="H15" i="23"/>
  <c r="X15" i="23"/>
  <c r="AN15" i="23"/>
  <c r="O16" i="23"/>
  <c r="AE16" i="23"/>
  <c r="F17" i="23"/>
  <c r="V17" i="23"/>
  <c r="AL17" i="23"/>
  <c r="M18" i="23"/>
  <c r="AC18" i="23"/>
  <c r="D19" i="23"/>
  <c r="T19" i="23"/>
  <c r="AJ19" i="23"/>
  <c r="K20" i="23"/>
  <c r="AA20" i="23"/>
  <c r="R21" i="23"/>
  <c r="AH21" i="23"/>
  <c r="I22" i="23"/>
  <c r="Y22" i="23"/>
  <c r="AO22" i="23"/>
  <c r="P23" i="23"/>
  <c r="AF23" i="23"/>
  <c r="G24" i="23"/>
  <c r="W24" i="23"/>
  <c r="AM24" i="23"/>
  <c r="N25" i="23"/>
  <c r="AD25" i="23"/>
  <c r="E26" i="23"/>
  <c r="U26" i="23"/>
  <c r="AK26" i="23"/>
  <c r="W4" i="23"/>
  <c r="N2" i="23"/>
  <c r="AD2" i="23"/>
  <c r="E3" i="23"/>
  <c r="U3" i="23"/>
  <c r="AK3" i="23"/>
  <c r="L4" i="23"/>
  <c r="AB4" i="23"/>
  <c r="C5" i="23"/>
  <c r="S5" i="23"/>
  <c r="AI5" i="23"/>
  <c r="J6" i="23"/>
  <c r="Z6" i="23"/>
  <c r="AP6" i="23"/>
  <c r="Q7" i="23"/>
  <c r="AG7" i="23"/>
  <c r="H8" i="23"/>
  <c r="X8" i="23"/>
  <c r="AN8" i="23"/>
  <c r="O9" i="23"/>
  <c r="AE9" i="23"/>
  <c r="F10" i="23"/>
  <c r="V10" i="23"/>
  <c r="AL10" i="23"/>
  <c r="M11" i="23"/>
  <c r="AC11" i="23"/>
  <c r="D12" i="23"/>
  <c r="T12" i="23"/>
  <c r="AJ12" i="23"/>
  <c r="K13" i="23"/>
  <c r="AA13" i="23"/>
  <c r="R14" i="23"/>
  <c r="AH14" i="23"/>
  <c r="I15" i="23"/>
  <c r="Y15" i="23"/>
  <c r="AO15" i="23"/>
  <c r="P16" i="23"/>
  <c r="AF16" i="23"/>
  <c r="G17" i="23"/>
  <c r="W17" i="23"/>
  <c r="AM17" i="23"/>
  <c r="N18" i="23"/>
  <c r="AD18" i="23"/>
  <c r="E19" i="23"/>
  <c r="U19" i="23"/>
  <c r="AK19" i="23"/>
  <c r="L20" i="23"/>
  <c r="AB20" i="23"/>
  <c r="C21" i="23"/>
  <c r="S21" i="23"/>
  <c r="AI21" i="23"/>
  <c r="J22" i="23"/>
  <c r="Z22" i="23"/>
  <c r="AP22" i="23"/>
  <c r="Q23" i="23"/>
  <c r="AG23" i="23"/>
  <c r="H24" i="23"/>
  <c r="X24" i="23"/>
  <c r="AN24" i="23"/>
  <c r="O25" i="23"/>
  <c r="AE25" i="23"/>
  <c r="F26" i="23"/>
  <c r="V26" i="23"/>
  <c r="AL26" i="23"/>
  <c r="G4" i="23"/>
  <c r="O2" i="23"/>
  <c r="AE2" i="23"/>
  <c r="F3" i="23"/>
  <c r="V3" i="23"/>
  <c r="AL3" i="23"/>
  <c r="M4" i="23"/>
  <c r="AC4" i="23"/>
  <c r="D5" i="23"/>
  <c r="T5" i="23"/>
  <c r="AJ5" i="23"/>
  <c r="K6" i="23"/>
  <c r="AA6" i="23"/>
  <c r="R7" i="23"/>
  <c r="AH7" i="23"/>
  <c r="I8" i="23"/>
  <c r="Y8" i="23"/>
  <c r="AO8" i="23"/>
  <c r="P9" i="23"/>
  <c r="AF9" i="23"/>
  <c r="G10" i="23"/>
  <c r="W10" i="23"/>
  <c r="AM10" i="23"/>
  <c r="N11" i="23"/>
  <c r="AD11" i="23"/>
  <c r="E12" i="23"/>
  <c r="U12" i="23"/>
  <c r="AK12" i="23"/>
  <c r="L13" i="23"/>
  <c r="AB13" i="23"/>
  <c r="C14" i="23"/>
  <c r="S14" i="23"/>
  <c r="AI14" i="23"/>
  <c r="J15" i="23"/>
  <c r="Z15" i="23"/>
  <c r="AP15" i="23"/>
  <c r="Q16" i="23"/>
  <c r="AG16" i="23"/>
  <c r="H17" i="23"/>
  <c r="X17" i="23"/>
  <c r="AN17" i="23"/>
  <c r="O18" i="23"/>
  <c r="AE18" i="23"/>
  <c r="F19" i="23"/>
  <c r="V19" i="23"/>
  <c r="AL19" i="23"/>
  <c r="M20" i="23"/>
  <c r="AC20" i="23"/>
  <c r="D21" i="23"/>
  <c r="T21" i="23"/>
  <c r="AJ21" i="23"/>
  <c r="K22" i="23"/>
  <c r="AA22" i="23"/>
  <c r="R23" i="23"/>
  <c r="AH23" i="23"/>
  <c r="I24" i="23"/>
  <c r="Y24" i="23"/>
  <c r="AO24" i="23"/>
  <c r="P25" i="23"/>
  <c r="AF25" i="23"/>
  <c r="G26" i="23"/>
  <c r="W26" i="23"/>
  <c r="AM26" i="23"/>
  <c r="R11" i="23"/>
  <c r="P2" i="23"/>
  <c r="AF2" i="23"/>
  <c r="G3" i="23"/>
  <c r="W3" i="23"/>
  <c r="AM3" i="23"/>
  <c r="N4" i="23"/>
  <c r="AD4" i="23"/>
  <c r="AK5" i="23"/>
  <c r="L6" i="23"/>
  <c r="AB6" i="23"/>
  <c r="AI7" i="23"/>
  <c r="Z8" i="23"/>
  <c r="AP8" i="23"/>
  <c r="O11" i="23"/>
  <c r="AE11" i="23"/>
  <c r="M13" i="23"/>
  <c r="AC13" i="23"/>
  <c r="K15" i="23"/>
  <c r="AA15" i="23"/>
  <c r="R16" i="23"/>
  <c r="AH16" i="23"/>
  <c r="I17" i="23"/>
  <c r="Y17" i="23"/>
  <c r="AO17" i="23"/>
  <c r="P18" i="23"/>
  <c r="AF18" i="23"/>
  <c r="G19" i="23"/>
  <c r="W19" i="23"/>
  <c r="AM19" i="23"/>
  <c r="N20" i="23"/>
  <c r="AD20" i="23"/>
  <c r="E21" i="23"/>
  <c r="U21" i="23"/>
  <c r="AK21" i="23"/>
  <c r="L22" i="23"/>
  <c r="AB22" i="23"/>
  <c r="C23" i="23"/>
  <c r="S23" i="23"/>
  <c r="AI23" i="23"/>
  <c r="J24" i="23"/>
  <c r="Z24" i="23"/>
  <c r="AP24" i="23"/>
  <c r="Q25" i="23"/>
  <c r="AG25" i="23"/>
  <c r="H26" i="23"/>
  <c r="X26" i="23"/>
  <c r="AN26" i="23"/>
  <c r="AH4" i="23"/>
  <c r="Q2" i="23"/>
  <c r="AG2" i="23"/>
  <c r="H3" i="23"/>
  <c r="X3" i="23"/>
  <c r="AN3" i="23"/>
  <c r="O4" i="23"/>
  <c r="AE4" i="23"/>
  <c r="V5" i="23"/>
  <c r="AL5" i="23"/>
  <c r="M6" i="23"/>
  <c r="AC6" i="23"/>
  <c r="T7" i="23"/>
  <c r="AJ7" i="23"/>
  <c r="K8" i="23"/>
  <c r="AA8" i="23"/>
  <c r="R9" i="23"/>
  <c r="AH9" i="23"/>
  <c r="I10" i="23"/>
  <c r="Y10" i="23"/>
  <c r="AO10" i="23"/>
  <c r="P11" i="23"/>
  <c r="AF11" i="23"/>
  <c r="G12" i="23"/>
  <c r="W12" i="23"/>
  <c r="AM12" i="23"/>
  <c r="N13" i="23"/>
  <c r="AD13" i="23"/>
  <c r="E14" i="23"/>
  <c r="U14" i="23"/>
  <c r="AK14" i="23"/>
  <c r="L15" i="23"/>
  <c r="AB15" i="23"/>
  <c r="C16" i="23"/>
  <c r="S16" i="23"/>
  <c r="AI16" i="23"/>
  <c r="J17" i="23"/>
  <c r="Z17" i="23"/>
  <c r="AP17" i="23"/>
  <c r="H19" i="23"/>
  <c r="X19" i="23"/>
  <c r="AN19" i="23"/>
  <c r="O20" i="23"/>
  <c r="AE20" i="23"/>
  <c r="AL21" i="23"/>
  <c r="M22" i="23"/>
  <c r="AC22" i="23"/>
  <c r="K24" i="23"/>
  <c r="AA24" i="23"/>
  <c r="R25" i="23"/>
  <c r="AH25" i="23"/>
  <c r="I26" i="23"/>
  <c r="Y26" i="23"/>
  <c r="AO26" i="23"/>
  <c r="R2" i="23"/>
  <c r="I3" i="23"/>
  <c r="Y3" i="23"/>
  <c r="P4" i="23"/>
  <c r="G5" i="23"/>
  <c r="W5" i="23"/>
  <c r="N6" i="23"/>
  <c r="E7" i="23"/>
  <c r="U7" i="23"/>
  <c r="L8" i="23"/>
  <c r="C9" i="23"/>
  <c r="S9" i="23"/>
  <c r="J10" i="23"/>
  <c r="Z10" i="23"/>
  <c r="Q11" i="23"/>
  <c r="H12" i="23"/>
  <c r="X12" i="23"/>
  <c r="O13" i="23"/>
  <c r="F14" i="23"/>
  <c r="V14" i="23"/>
  <c r="M15" i="23"/>
  <c r="D16" i="23"/>
  <c r="T16" i="23"/>
  <c r="K17" i="23"/>
  <c r="R18" i="23"/>
  <c r="I19" i="23"/>
  <c r="Y19" i="23"/>
  <c r="P20" i="23"/>
  <c r="G21" i="23"/>
  <c r="W21" i="23"/>
  <c r="N22" i="23"/>
  <c r="E23" i="23"/>
  <c r="U23" i="23"/>
  <c r="L24" i="23"/>
  <c r="C25" i="23"/>
  <c r="S25" i="23"/>
  <c r="J26" i="23"/>
  <c r="Z26" i="23"/>
  <c r="AH121" i="19"/>
  <c r="AG2" i="22"/>
  <c r="AH2" i="22"/>
  <c r="AI2" i="22"/>
  <c r="AJ2" i="22"/>
  <c r="AK2" i="22"/>
  <c r="AL2" i="22"/>
  <c r="AM2" i="22"/>
  <c r="AN2" i="22"/>
  <c r="AO2" i="22"/>
  <c r="AP2" i="22"/>
  <c r="AG3" i="22"/>
  <c r="AH3" i="22"/>
  <c r="AI3" i="22"/>
  <c r="AJ3" i="22"/>
  <c r="AK3" i="22"/>
  <c r="AL3" i="22"/>
  <c r="AM3" i="22"/>
  <c r="AN3" i="22"/>
  <c r="AO3" i="22"/>
  <c r="AP3" i="22"/>
  <c r="AG4" i="22"/>
  <c r="AH4" i="22"/>
  <c r="AI4" i="22"/>
  <c r="AJ4" i="22"/>
  <c r="AK4" i="22"/>
  <c r="AL4" i="22"/>
  <c r="AM4" i="22"/>
  <c r="AN4" i="22"/>
  <c r="AO4" i="22"/>
  <c r="AP4" i="22"/>
  <c r="AG5" i="22"/>
  <c r="AH5" i="22"/>
  <c r="AI5" i="22"/>
  <c r="AJ5" i="22"/>
  <c r="AK5" i="22"/>
  <c r="AL5" i="22"/>
  <c r="AM5" i="22"/>
  <c r="AN5" i="22"/>
  <c r="AO5" i="22"/>
  <c r="AP5" i="22"/>
  <c r="AG6" i="22"/>
  <c r="AH6" i="22"/>
  <c r="AI6" i="22"/>
  <c r="AJ6" i="22"/>
  <c r="AK6" i="22"/>
  <c r="AL6" i="22"/>
  <c r="AM6" i="22"/>
  <c r="AN6" i="22"/>
  <c r="AO6" i="22"/>
  <c r="AP6" i="22"/>
  <c r="AG7" i="22"/>
  <c r="AH7" i="22"/>
  <c r="AI7" i="22"/>
  <c r="AJ7" i="22"/>
  <c r="AK7" i="22"/>
  <c r="AL7" i="22"/>
  <c r="AM7" i="22"/>
  <c r="AN7" i="22"/>
  <c r="AO7" i="22"/>
  <c r="AP7" i="22"/>
  <c r="AG8" i="22"/>
  <c r="AH8" i="22"/>
  <c r="AI8" i="22"/>
  <c r="AJ8" i="22"/>
  <c r="AK8" i="22"/>
  <c r="AL8" i="22"/>
  <c r="AM8" i="22"/>
  <c r="AN8" i="22"/>
  <c r="AO8" i="22"/>
  <c r="AP8" i="22"/>
  <c r="AG9" i="22"/>
  <c r="AH9" i="22"/>
  <c r="AI9" i="22"/>
  <c r="AJ9" i="22"/>
  <c r="AK9" i="22"/>
  <c r="AL9" i="22"/>
  <c r="AM9" i="22"/>
  <c r="AN9" i="22"/>
  <c r="AO9" i="22"/>
  <c r="AP9" i="22"/>
  <c r="AG11" i="22"/>
  <c r="AH11" i="22"/>
  <c r="AI11" i="22"/>
  <c r="AJ11" i="22"/>
  <c r="AK11" i="22"/>
  <c r="AL11" i="22"/>
  <c r="AM11" i="22"/>
  <c r="AN11" i="22"/>
  <c r="AO11" i="22"/>
  <c r="AP11" i="22"/>
  <c r="AG12" i="22"/>
  <c r="AH12" i="22"/>
  <c r="AI12" i="22"/>
  <c r="AJ12" i="22"/>
  <c r="AK12" i="22"/>
  <c r="AL12" i="22"/>
  <c r="AM12" i="22"/>
  <c r="AN12" i="22"/>
  <c r="AO12" i="22"/>
  <c r="AP12" i="22"/>
  <c r="AG13" i="22"/>
  <c r="AH13" i="22"/>
  <c r="AI13" i="22"/>
  <c r="AJ13" i="22"/>
  <c r="AK13" i="22"/>
  <c r="AL13" i="22"/>
  <c r="AM13" i="22"/>
  <c r="AN13" i="22"/>
  <c r="AO13" i="22"/>
  <c r="AP13" i="22"/>
  <c r="AG14" i="22"/>
  <c r="AH14" i="22"/>
  <c r="AI14" i="22"/>
  <c r="AJ14" i="22"/>
  <c r="AK14" i="22"/>
  <c r="AL14" i="22"/>
  <c r="AM14" i="22"/>
  <c r="AN14" i="22"/>
  <c r="AO14" i="22"/>
  <c r="AP14" i="22"/>
  <c r="AG15" i="22"/>
  <c r="AH15" i="22"/>
  <c r="AI15" i="22"/>
  <c r="AJ15" i="22"/>
  <c r="AK15" i="22"/>
  <c r="AL15" i="22"/>
  <c r="AM15" i="22"/>
  <c r="AN15" i="22"/>
  <c r="AO15" i="22"/>
  <c r="AP15" i="22"/>
  <c r="AG16" i="22"/>
  <c r="AH16" i="22"/>
  <c r="AI16" i="22"/>
  <c r="AJ16" i="22"/>
  <c r="AK16" i="22"/>
  <c r="AL16" i="22"/>
  <c r="AM16" i="22"/>
  <c r="AN16" i="22"/>
  <c r="AO16" i="22"/>
  <c r="AP16" i="22"/>
  <c r="AG17" i="22"/>
  <c r="AH17" i="22"/>
  <c r="AI17" i="22"/>
  <c r="AJ17" i="22"/>
  <c r="AK17" i="22"/>
  <c r="AL17" i="22"/>
  <c r="AM17" i="22"/>
  <c r="AN17" i="22"/>
  <c r="AO17" i="22"/>
  <c r="AP17" i="22"/>
  <c r="AG18" i="22"/>
  <c r="AH18" i="22"/>
  <c r="AI18" i="22"/>
  <c r="AJ18" i="22"/>
  <c r="AK18" i="22"/>
  <c r="AL18" i="22"/>
  <c r="AM18" i="22"/>
  <c r="AN18" i="22"/>
  <c r="AO18" i="22"/>
  <c r="AP18" i="22"/>
  <c r="AG19" i="22"/>
  <c r="AH19" i="22"/>
  <c r="AI19" i="22"/>
  <c r="AJ19" i="22"/>
  <c r="AK19" i="22"/>
  <c r="AL19" i="22"/>
  <c r="AM19" i="22"/>
  <c r="AN19" i="22"/>
  <c r="AO19" i="22"/>
  <c r="AP19" i="22"/>
  <c r="AG20" i="22"/>
  <c r="AH20" i="22"/>
  <c r="AI20" i="22"/>
  <c r="AJ20" i="22"/>
  <c r="AK20" i="22"/>
  <c r="AL20" i="22"/>
  <c r="AM20" i="22"/>
  <c r="AN20" i="22"/>
  <c r="AO20" i="22"/>
  <c r="AP20" i="22"/>
  <c r="AG21" i="22"/>
  <c r="AH21" i="22"/>
  <c r="AI21" i="22"/>
  <c r="AJ21" i="22"/>
  <c r="AK21" i="22"/>
  <c r="AL21" i="22"/>
  <c r="AM21" i="22"/>
  <c r="AN21" i="22"/>
  <c r="AO21" i="22"/>
  <c r="AP21" i="22"/>
  <c r="AG22" i="22"/>
  <c r="AH22" i="22"/>
  <c r="AI22" i="22"/>
  <c r="AJ22" i="22"/>
  <c r="AK22" i="22"/>
  <c r="AL22" i="22"/>
  <c r="AM22" i="22"/>
  <c r="AN22" i="22"/>
  <c r="AO22" i="22"/>
  <c r="AP22" i="22"/>
  <c r="AG23" i="22"/>
  <c r="AH23" i="22"/>
  <c r="AI23" i="22"/>
  <c r="AJ23" i="22"/>
  <c r="AK23" i="22"/>
  <c r="AL23" i="22"/>
  <c r="AM23" i="22"/>
  <c r="AN23" i="22"/>
  <c r="AO23" i="22"/>
  <c r="AP23" i="22"/>
  <c r="AG24" i="22"/>
  <c r="AH24" i="22"/>
  <c r="AI24" i="22"/>
  <c r="AJ24" i="22"/>
  <c r="AK24" i="22"/>
  <c r="AL24" i="22"/>
  <c r="AM24" i="22"/>
  <c r="AN24" i="22"/>
  <c r="AO24" i="22"/>
  <c r="AP24" i="22"/>
  <c r="AG25" i="22"/>
  <c r="AH25" i="22"/>
  <c r="AI25" i="22"/>
  <c r="AJ25" i="22"/>
  <c r="AK25" i="22"/>
  <c r="AL25" i="22"/>
  <c r="AM25" i="22"/>
  <c r="AN25" i="22"/>
  <c r="AO25" i="22"/>
  <c r="AP25" i="22"/>
  <c r="D2" i="22"/>
  <c r="E2" i="22"/>
  <c r="F2" i="22"/>
  <c r="G2" i="22"/>
  <c r="H2" i="22"/>
  <c r="I2" i="22"/>
  <c r="J2" i="22"/>
  <c r="K2" i="22"/>
  <c r="L2" i="22"/>
  <c r="M2" i="22"/>
  <c r="N2" i="22"/>
  <c r="O2" i="22"/>
  <c r="P2" i="22"/>
  <c r="Q2" i="22"/>
  <c r="R2" i="22"/>
  <c r="S2" i="22"/>
  <c r="T2" i="22"/>
  <c r="U2" i="22"/>
  <c r="V2" i="22"/>
  <c r="W2" i="22"/>
  <c r="X2" i="22"/>
  <c r="Y2" i="22"/>
  <c r="Z2" i="22"/>
  <c r="AA2" i="22"/>
  <c r="AB2" i="22"/>
  <c r="AC2" i="22"/>
  <c r="AD2" i="22"/>
  <c r="AE2" i="22"/>
  <c r="AF2" i="22"/>
  <c r="D3" i="22"/>
  <c r="E3" i="22"/>
  <c r="F3" i="22"/>
  <c r="G3" i="22"/>
  <c r="H3" i="22"/>
  <c r="I3" i="22"/>
  <c r="J3" i="22"/>
  <c r="K3" i="22"/>
  <c r="L3" i="22"/>
  <c r="M3" i="22"/>
  <c r="N3" i="22"/>
  <c r="O3" i="22"/>
  <c r="P3" i="22"/>
  <c r="Q3" i="22"/>
  <c r="R3" i="22"/>
  <c r="S3" i="22"/>
  <c r="T3" i="22"/>
  <c r="U3" i="22"/>
  <c r="V3" i="22"/>
  <c r="W3" i="22"/>
  <c r="X3" i="22"/>
  <c r="Y3" i="22"/>
  <c r="Z3" i="22"/>
  <c r="AA3" i="22"/>
  <c r="AB3" i="22"/>
  <c r="AC3" i="22"/>
  <c r="AD3" i="22"/>
  <c r="AE3" i="22"/>
  <c r="AF3" i="22"/>
  <c r="D4" i="22"/>
  <c r="E4" i="22"/>
  <c r="F4" i="22"/>
  <c r="G4" i="22"/>
  <c r="H4" i="22"/>
  <c r="I4" i="22"/>
  <c r="J4" i="22"/>
  <c r="K4" i="22"/>
  <c r="L4" i="22"/>
  <c r="M4" i="22"/>
  <c r="N4" i="22"/>
  <c r="O4" i="22"/>
  <c r="P4" i="22"/>
  <c r="Q4" i="22"/>
  <c r="R4" i="22"/>
  <c r="S4" i="22"/>
  <c r="T4" i="22"/>
  <c r="U4" i="22"/>
  <c r="V4" i="22"/>
  <c r="W4" i="22"/>
  <c r="X4" i="22"/>
  <c r="Y4" i="22"/>
  <c r="Z4" i="22"/>
  <c r="AA4" i="22"/>
  <c r="AB4" i="22"/>
  <c r="AC4" i="22"/>
  <c r="AD4" i="22"/>
  <c r="AE4" i="22"/>
  <c r="AF4" i="22"/>
  <c r="D5" i="22"/>
  <c r="E5" i="22"/>
  <c r="F5" i="22"/>
  <c r="G5" i="22"/>
  <c r="H5" i="22"/>
  <c r="I5" i="22"/>
  <c r="J5" i="22"/>
  <c r="K5" i="22"/>
  <c r="L5" i="22"/>
  <c r="M5" i="22"/>
  <c r="N5" i="22"/>
  <c r="O5" i="22"/>
  <c r="P5" i="22"/>
  <c r="Q5" i="22"/>
  <c r="R5" i="22"/>
  <c r="S5" i="22"/>
  <c r="T5" i="22"/>
  <c r="U5" i="22"/>
  <c r="V5" i="22"/>
  <c r="W5" i="22"/>
  <c r="X5" i="22"/>
  <c r="Y5" i="22"/>
  <c r="Z5" i="22"/>
  <c r="AA5" i="22"/>
  <c r="AB5" i="22"/>
  <c r="AC5" i="22"/>
  <c r="AD5" i="22"/>
  <c r="AE5" i="22"/>
  <c r="AF5" i="22"/>
  <c r="D6" i="22"/>
  <c r="E6" i="22"/>
  <c r="F6" i="22"/>
  <c r="G6" i="22"/>
  <c r="H6" i="22"/>
  <c r="I6" i="22"/>
  <c r="J6" i="22"/>
  <c r="K6" i="22"/>
  <c r="L6" i="22"/>
  <c r="M6" i="22"/>
  <c r="N6" i="22"/>
  <c r="O6" i="22"/>
  <c r="P6" i="22"/>
  <c r="Q6" i="22"/>
  <c r="R6" i="22"/>
  <c r="S6" i="22"/>
  <c r="T6" i="22"/>
  <c r="U6" i="22"/>
  <c r="V6" i="22"/>
  <c r="W6" i="22"/>
  <c r="X6" i="22"/>
  <c r="Y6" i="22"/>
  <c r="Z6" i="22"/>
  <c r="AA6" i="22"/>
  <c r="AB6" i="22"/>
  <c r="AC6" i="22"/>
  <c r="AD6" i="22"/>
  <c r="AE6" i="22"/>
  <c r="AF6" i="22"/>
  <c r="D7" i="22"/>
  <c r="E7" i="22"/>
  <c r="F7" i="22"/>
  <c r="G7" i="22"/>
  <c r="H7" i="22"/>
  <c r="I7" i="22"/>
  <c r="J7" i="22"/>
  <c r="K7" i="22"/>
  <c r="L7" i="22"/>
  <c r="M7" i="22"/>
  <c r="N7" i="22"/>
  <c r="O7" i="22"/>
  <c r="P7" i="22"/>
  <c r="Q7" i="22"/>
  <c r="R7" i="22"/>
  <c r="S7" i="22"/>
  <c r="T7" i="22"/>
  <c r="U7" i="22"/>
  <c r="V7" i="22"/>
  <c r="W7" i="22"/>
  <c r="X7" i="22"/>
  <c r="Y7" i="22"/>
  <c r="Z7" i="22"/>
  <c r="AA7" i="22"/>
  <c r="AB7" i="22"/>
  <c r="AC7" i="22"/>
  <c r="AD7" i="22"/>
  <c r="AE7" i="22"/>
  <c r="AF7" i="22"/>
  <c r="D8" i="22"/>
  <c r="E8" i="22"/>
  <c r="F8" i="22"/>
  <c r="G8" i="22"/>
  <c r="H8" i="22"/>
  <c r="I8" i="22"/>
  <c r="J8" i="22"/>
  <c r="K8" i="22"/>
  <c r="L8" i="22"/>
  <c r="M8" i="22"/>
  <c r="N8" i="22"/>
  <c r="O8" i="22"/>
  <c r="P8" i="22"/>
  <c r="Q8" i="22"/>
  <c r="R8" i="22"/>
  <c r="S8" i="22"/>
  <c r="T8" i="22"/>
  <c r="U8" i="22"/>
  <c r="V8" i="22"/>
  <c r="W8" i="22"/>
  <c r="X8" i="22"/>
  <c r="Y8" i="22"/>
  <c r="Z8" i="22"/>
  <c r="AA8" i="22"/>
  <c r="AB8" i="22"/>
  <c r="AC8" i="22"/>
  <c r="AD8" i="22"/>
  <c r="AE8" i="22"/>
  <c r="AF8" i="22"/>
  <c r="D9" i="22"/>
  <c r="E9" i="22"/>
  <c r="F9" i="22"/>
  <c r="G9" i="22"/>
  <c r="H9" i="22"/>
  <c r="I9" i="22"/>
  <c r="J9" i="22"/>
  <c r="K9" i="22"/>
  <c r="L9" i="22"/>
  <c r="M9" i="22"/>
  <c r="N9" i="22"/>
  <c r="O9" i="22"/>
  <c r="P9" i="22"/>
  <c r="Q9" i="22"/>
  <c r="R9" i="22"/>
  <c r="S9" i="22"/>
  <c r="T9" i="22"/>
  <c r="U9" i="22"/>
  <c r="V9" i="22"/>
  <c r="W9" i="22"/>
  <c r="X9" i="22"/>
  <c r="Y9" i="22"/>
  <c r="Z9" i="22"/>
  <c r="AA9" i="22"/>
  <c r="AB9" i="22"/>
  <c r="AC9" i="22"/>
  <c r="AD9" i="22"/>
  <c r="AE9" i="22"/>
  <c r="AF9" i="22"/>
  <c r="D11" i="22"/>
  <c r="E11" i="22"/>
  <c r="F11" i="22"/>
  <c r="G11" i="22"/>
  <c r="H11" i="22"/>
  <c r="I11" i="22"/>
  <c r="J11" i="22"/>
  <c r="K11" i="22"/>
  <c r="L11" i="22"/>
  <c r="M11" i="22"/>
  <c r="N11" i="22"/>
  <c r="O11" i="22"/>
  <c r="P11" i="22"/>
  <c r="Q11" i="22"/>
  <c r="R11" i="22"/>
  <c r="S11" i="22"/>
  <c r="T11" i="22"/>
  <c r="U11" i="22"/>
  <c r="V11" i="22"/>
  <c r="W11" i="22"/>
  <c r="X11" i="22"/>
  <c r="Y11" i="22"/>
  <c r="Z11" i="22"/>
  <c r="AA11" i="22"/>
  <c r="AB11" i="22"/>
  <c r="AC11" i="22"/>
  <c r="AD11" i="22"/>
  <c r="AE11" i="22"/>
  <c r="AF11" i="22"/>
  <c r="D12" i="22"/>
  <c r="E12" i="22"/>
  <c r="F12" i="22"/>
  <c r="G12" i="22"/>
  <c r="H12" i="22"/>
  <c r="I12" i="22"/>
  <c r="J12" i="22"/>
  <c r="K12" i="22"/>
  <c r="L12" i="22"/>
  <c r="M12" i="22"/>
  <c r="N12" i="22"/>
  <c r="O12" i="22"/>
  <c r="P12" i="22"/>
  <c r="Q12" i="22"/>
  <c r="R12" i="22"/>
  <c r="S12" i="22"/>
  <c r="T12" i="22"/>
  <c r="U12" i="22"/>
  <c r="V12" i="22"/>
  <c r="W12" i="22"/>
  <c r="X12" i="22"/>
  <c r="Y12" i="22"/>
  <c r="Z12" i="22"/>
  <c r="AA12" i="22"/>
  <c r="AB12" i="22"/>
  <c r="AC12" i="22"/>
  <c r="AD12" i="22"/>
  <c r="AE12" i="22"/>
  <c r="AF12" i="22"/>
  <c r="D13" i="22"/>
  <c r="E13" i="22"/>
  <c r="F13" i="22"/>
  <c r="G13" i="22"/>
  <c r="H13" i="22"/>
  <c r="I13" i="22"/>
  <c r="J13" i="22"/>
  <c r="K13" i="22"/>
  <c r="L13" i="22"/>
  <c r="M13" i="22"/>
  <c r="N13" i="22"/>
  <c r="O13" i="22"/>
  <c r="P13" i="22"/>
  <c r="Q13" i="22"/>
  <c r="R13" i="22"/>
  <c r="S13" i="22"/>
  <c r="T13" i="22"/>
  <c r="U13" i="22"/>
  <c r="V13" i="22"/>
  <c r="W13" i="22"/>
  <c r="X13" i="22"/>
  <c r="Y13" i="22"/>
  <c r="Z13" i="22"/>
  <c r="AA13" i="22"/>
  <c r="AB13" i="22"/>
  <c r="AC13" i="22"/>
  <c r="AD13" i="22"/>
  <c r="AE13" i="22"/>
  <c r="AF13" i="22"/>
  <c r="D14" i="22"/>
  <c r="E14" i="22"/>
  <c r="F14" i="22"/>
  <c r="G14" i="22"/>
  <c r="H14" i="22"/>
  <c r="I14" i="22"/>
  <c r="J14" i="22"/>
  <c r="K14" i="22"/>
  <c r="L14" i="22"/>
  <c r="M14" i="22"/>
  <c r="N14" i="22"/>
  <c r="O14" i="22"/>
  <c r="P14" i="22"/>
  <c r="Q14" i="22"/>
  <c r="R14" i="22"/>
  <c r="S14" i="22"/>
  <c r="T14" i="22"/>
  <c r="U14" i="22"/>
  <c r="V14" i="22"/>
  <c r="W14" i="22"/>
  <c r="X14" i="22"/>
  <c r="Y14" i="22"/>
  <c r="Z14" i="22"/>
  <c r="AA14" i="22"/>
  <c r="AB14" i="22"/>
  <c r="AC14" i="22"/>
  <c r="AD14" i="22"/>
  <c r="AE14" i="22"/>
  <c r="AF14" i="22"/>
  <c r="D15" i="22"/>
  <c r="E15" i="22"/>
  <c r="F15" i="22"/>
  <c r="G15" i="22"/>
  <c r="H15" i="22"/>
  <c r="I15" i="22"/>
  <c r="J15" i="22"/>
  <c r="K15" i="22"/>
  <c r="L15" i="22"/>
  <c r="M15" i="22"/>
  <c r="N15" i="22"/>
  <c r="O15" i="22"/>
  <c r="P15" i="22"/>
  <c r="Q15" i="22"/>
  <c r="R15" i="22"/>
  <c r="S15" i="22"/>
  <c r="T15" i="22"/>
  <c r="U15" i="22"/>
  <c r="V15" i="22"/>
  <c r="W15" i="22"/>
  <c r="X15" i="22"/>
  <c r="Y15" i="22"/>
  <c r="Z15" i="22"/>
  <c r="AA15" i="22"/>
  <c r="AB15" i="22"/>
  <c r="AC15" i="22"/>
  <c r="AD15" i="22"/>
  <c r="AE15" i="22"/>
  <c r="AF15" i="22"/>
  <c r="D16" i="22"/>
  <c r="E16" i="22"/>
  <c r="F16" i="22"/>
  <c r="G16" i="22"/>
  <c r="H16" i="22"/>
  <c r="I16" i="22"/>
  <c r="J16" i="22"/>
  <c r="K16" i="22"/>
  <c r="L16" i="22"/>
  <c r="M16" i="22"/>
  <c r="N16" i="22"/>
  <c r="O16" i="22"/>
  <c r="P16" i="22"/>
  <c r="Q16" i="22"/>
  <c r="R16" i="22"/>
  <c r="S16" i="22"/>
  <c r="T16" i="22"/>
  <c r="U16" i="22"/>
  <c r="V16" i="22"/>
  <c r="W16" i="22"/>
  <c r="X16" i="22"/>
  <c r="Y16" i="22"/>
  <c r="Z16" i="22"/>
  <c r="AA16" i="22"/>
  <c r="AB16" i="22"/>
  <c r="AC16" i="22"/>
  <c r="AD16" i="22"/>
  <c r="AE16" i="22"/>
  <c r="AF16" i="22"/>
  <c r="D17" i="22"/>
  <c r="E17" i="22"/>
  <c r="F17" i="22"/>
  <c r="G17" i="22"/>
  <c r="H17" i="22"/>
  <c r="I17" i="22"/>
  <c r="J17" i="22"/>
  <c r="K17" i="22"/>
  <c r="L17" i="22"/>
  <c r="M17" i="22"/>
  <c r="N17" i="22"/>
  <c r="O17" i="22"/>
  <c r="P17" i="22"/>
  <c r="Q17" i="22"/>
  <c r="R17" i="22"/>
  <c r="S17" i="22"/>
  <c r="T17" i="22"/>
  <c r="U17" i="22"/>
  <c r="V17" i="22"/>
  <c r="W17" i="22"/>
  <c r="X17" i="22"/>
  <c r="Y17" i="22"/>
  <c r="Z17" i="22"/>
  <c r="AA17" i="22"/>
  <c r="AB17" i="22"/>
  <c r="AC17" i="22"/>
  <c r="AD17" i="22"/>
  <c r="AE17" i="22"/>
  <c r="AF17"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4" i="22"/>
  <c r="E24" i="22"/>
  <c r="F24" i="22"/>
  <c r="G24" i="22"/>
  <c r="H24" i="22"/>
  <c r="I24" i="22"/>
  <c r="J24" i="22"/>
  <c r="K24" i="22"/>
  <c r="L24" i="22"/>
  <c r="M24" i="22"/>
  <c r="N24" i="22"/>
  <c r="O24" i="22"/>
  <c r="P24" i="22"/>
  <c r="Q24" i="22"/>
  <c r="R24" i="22"/>
  <c r="S24" i="22"/>
  <c r="T24" i="22"/>
  <c r="U24" i="22"/>
  <c r="V24" i="22"/>
  <c r="W24" i="22"/>
  <c r="X24" i="22"/>
  <c r="Y24" i="22"/>
  <c r="Z24" i="22"/>
  <c r="AA24" i="22"/>
  <c r="AB24" i="22"/>
  <c r="AC24" i="22"/>
  <c r="AD24" i="22"/>
  <c r="AE24" i="22"/>
  <c r="AF24" i="22"/>
  <c r="D25" i="22"/>
  <c r="E25" i="22"/>
  <c r="F25" i="22"/>
  <c r="G25" i="22"/>
  <c r="H25" i="22"/>
  <c r="I25" i="22"/>
  <c r="J25" i="22"/>
  <c r="K25" i="22"/>
  <c r="L25" i="22"/>
  <c r="M25" i="22"/>
  <c r="N25" i="22"/>
  <c r="O25" i="22"/>
  <c r="P25" i="22"/>
  <c r="Q25" i="22"/>
  <c r="R25" i="22"/>
  <c r="S25" i="22"/>
  <c r="T25" i="22"/>
  <c r="U25" i="22"/>
  <c r="V25" i="22"/>
  <c r="W25" i="22"/>
  <c r="X25" i="22"/>
  <c r="Y25" i="22"/>
  <c r="Z25" i="22"/>
  <c r="AA25" i="22"/>
  <c r="AB25" i="22"/>
  <c r="AC25" i="22"/>
  <c r="AD25" i="22"/>
  <c r="AE25" i="22"/>
  <c r="AF25" i="22"/>
  <c r="C3" i="22"/>
  <c r="C4" i="22"/>
  <c r="C5" i="22"/>
  <c r="C6" i="22"/>
  <c r="C7" i="22"/>
  <c r="C8" i="22"/>
  <c r="C9" i="22"/>
  <c r="C11" i="22"/>
  <c r="C12" i="22"/>
  <c r="C13" i="22"/>
  <c r="C14" i="22"/>
  <c r="C15" i="22"/>
  <c r="C16" i="22"/>
  <c r="C17" i="22"/>
  <c r="C18" i="22"/>
  <c r="C19" i="22"/>
  <c r="C20" i="22"/>
  <c r="C21" i="22"/>
  <c r="C22" i="22"/>
  <c r="C23" i="22"/>
  <c r="C24" i="22"/>
  <c r="C25" i="22"/>
  <c r="C2" i="22"/>
  <c r="B3" i="22"/>
  <c r="B4" i="22"/>
  <c r="B5" i="22"/>
  <c r="B6" i="22"/>
  <c r="B7" i="22"/>
  <c r="B8" i="22"/>
  <c r="B9" i="22"/>
  <c r="B11" i="22"/>
  <c r="B12" i="22"/>
  <c r="B13" i="22"/>
  <c r="B14" i="22"/>
  <c r="B15" i="22"/>
  <c r="B16" i="22"/>
  <c r="B17" i="22"/>
  <c r="B18" i="22"/>
  <c r="B19" i="22"/>
  <c r="B20" i="22"/>
  <c r="B21" i="22"/>
  <c r="B22" i="22"/>
  <c r="B23" i="22"/>
  <c r="B24" i="22"/>
  <c r="B25" i="22"/>
  <c r="B2" i="22"/>
  <c r="B57" i="18"/>
  <c r="C57" i="18"/>
  <c r="D57" i="18"/>
  <c r="E57" i="18"/>
  <c r="F57" i="18"/>
  <c r="G57" i="18"/>
  <c r="H57" i="18"/>
  <c r="I57" i="18"/>
  <c r="J57" i="18"/>
  <c r="K57" i="18"/>
  <c r="B58" i="18"/>
  <c r="C58" i="18"/>
  <c r="D58" i="18"/>
  <c r="E58" i="18"/>
  <c r="F58" i="18"/>
  <c r="G58" i="18"/>
  <c r="H58" i="18"/>
  <c r="I58" i="18"/>
  <c r="J58" i="18"/>
  <c r="K58" i="18"/>
  <c r="B59" i="18"/>
  <c r="C59" i="18"/>
  <c r="D59" i="18"/>
  <c r="E59" i="18"/>
  <c r="F59" i="18"/>
  <c r="G59" i="18"/>
  <c r="H59" i="18"/>
  <c r="I59" i="18"/>
  <c r="J59" i="18"/>
  <c r="K59" i="18"/>
  <c r="B60" i="18"/>
  <c r="C60" i="18"/>
  <c r="D60" i="18"/>
  <c r="E60" i="18"/>
  <c r="F60" i="18"/>
  <c r="G60" i="18"/>
  <c r="H60" i="18"/>
  <c r="I60" i="18"/>
  <c r="J60" i="18"/>
  <c r="K60" i="18"/>
  <c r="B61" i="18"/>
  <c r="C61" i="18"/>
  <c r="D61" i="18"/>
  <c r="E61" i="18"/>
  <c r="F61" i="18"/>
  <c r="G61" i="18"/>
  <c r="H61" i="18"/>
  <c r="I61" i="18"/>
  <c r="J61" i="18"/>
  <c r="K61" i="18"/>
  <c r="B62" i="18"/>
  <c r="C62" i="18"/>
  <c r="D62" i="18"/>
  <c r="E62" i="18"/>
  <c r="F62" i="18"/>
  <c r="G62" i="18"/>
  <c r="H62" i="18"/>
  <c r="I62" i="18"/>
  <c r="J62" i="18"/>
  <c r="K62" i="18"/>
  <c r="B63" i="18"/>
  <c r="C63" i="18"/>
  <c r="D63" i="18"/>
  <c r="E63" i="18"/>
  <c r="F63" i="18"/>
  <c r="G63" i="18"/>
  <c r="H63" i="18"/>
  <c r="I63" i="18"/>
  <c r="J63" i="18"/>
  <c r="K63" i="18"/>
  <c r="B65" i="18"/>
  <c r="C65" i="18"/>
  <c r="D65" i="18"/>
  <c r="E65" i="18"/>
  <c r="F65" i="18"/>
  <c r="G65" i="18"/>
  <c r="H65" i="18"/>
  <c r="I65" i="18"/>
  <c r="J65" i="18"/>
  <c r="K65" i="18"/>
  <c r="B66" i="18"/>
  <c r="C66" i="18"/>
  <c r="D66" i="18"/>
  <c r="E66" i="18"/>
  <c r="F66" i="18"/>
  <c r="G66" i="18"/>
  <c r="H66" i="18"/>
  <c r="I66" i="18"/>
  <c r="J66" i="18"/>
  <c r="K66" i="18"/>
  <c r="B67" i="18"/>
  <c r="C67" i="18"/>
  <c r="D67" i="18"/>
  <c r="E67" i="18"/>
  <c r="F67" i="18"/>
  <c r="G67" i="18"/>
  <c r="H67" i="18"/>
  <c r="I67" i="18"/>
  <c r="J67" i="18"/>
  <c r="K67" i="18"/>
  <c r="B68" i="18"/>
  <c r="C68" i="18"/>
  <c r="D68" i="18"/>
  <c r="E68" i="18"/>
  <c r="F68" i="18"/>
  <c r="G68" i="18"/>
  <c r="H68" i="18"/>
  <c r="I68" i="18"/>
  <c r="J68" i="18"/>
  <c r="K68" i="18"/>
  <c r="B69" i="18"/>
  <c r="C69" i="18"/>
  <c r="D69" i="18"/>
  <c r="E69" i="18"/>
  <c r="F69" i="18"/>
  <c r="G69" i="18"/>
  <c r="H69" i="18"/>
  <c r="I69" i="18"/>
  <c r="J69" i="18"/>
  <c r="K69" i="18"/>
  <c r="B70" i="18"/>
  <c r="C70" i="18"/>
  <c r="D70" i="18"/>
  <c r="E70" i="18"/>
  <c r="F70" i="18"/>
  <c r="G70" i="18"/>
  <c r="H70" i="18"/>
  <c r="I70" i="18"/>
  <c r="J70" i="18"/>
  <c r="K70" i="18"/>
  <c r="B71" i="18"/>
  <c r="C71" i="18"/>
  <c r="D71" i="18"/>
  <c r="E71" i="18"/>
  <c r="F71" i="18"/>
  <c r="G71" i="18"/>
  <c r="H71" i="18"/>
  <c r="I71" i="18"/>
  <c r="J71" i="18"/>
  <c r="K71" i="18"/>
  <c r="B72" i="18"/>
  <c r="C72" i="18"/>
  <c r="D72" i="18"/>
  <c r="E72" i="18"/>
  <c r="F72" i="18"/>
  <c r="G72" i="18"/>
  <c r="H72" i="18"/>
  <c r="I72" i="18"/>
  <c r="J72" i="18"/>
  <c r="K72" i="18"/>
  <c r="B73" i="18"/>
  <c r="C73" i="18"/>
  <c r="D73" i="18"/>
  <c r="E73" i="18"/>
  <c r="F73" i="18"/>
  <c r="G73" i="18"/>
  <c r="H73" i="18"/>
  <c r="I73" i="18"/>
  <c r="J73" i="18"/>
  <c r="K73" i="18"/>
  <c r="B74" i="18"/>
  <c r="C74" i="18"/>
  <c r="D74" i="18"/>
  <c r="E74" i="18"/>
  <c r="F74" i="18"/>
  <c r="G74" i="18"/>
  <c r="H74" i="18"/>
  <c r="I74" i="18"/>
  <c r="J74" i="18"/>
  <c r="K74" i="18"/>
  <c r="B75" i="18"/>
  <c r="C75" i="18"/>
  <c r="D75" i="18"/>
  <c r="E75" i="18"/>
  <c r="F75" i="18"/>
  <c r="G75" i="18"/>
  <c r="H75" i="18"/>
  <c r="I75" i="18"/>
  <c r="J75" i="18"/>
  <c r="K75" i="18"/>
  <c r="B76" i="18"/>
  <c r="C76" i="18"/>
  <c r="D76" i="18"/>
  <c r="E76" i="18"/>
  <c r="F76" i="18"/>
  <c r="G76" i="18"/>
  <c r="H76" i="18"/>
  <c r="I76" i="18"/>
  <c r="J76" i="18"/>
  <c r="K76" i="18"/>
  <c r="B77" i="18"/>
  <c r="C77" i="18"/>
  <c r="D77" i="18"/>
  <c r="E77" i="18"/>
  <c r="F77" i="18"/>
  <c r="G77" i="18"/>
  <c r="H77" i="18"/>
  <c r="I77" i="18"/>
  <c r="J77" i="18"/>
  <c r="K77" i="18"/>
  <c r="B78" i="18"/>
  <c r="C78" i="18"/>
  <c r="D78" i="18"/>
  <c r="E78" i="18"/>
  <c r="F78" i="18"/>
  <c r="G78" i="18"/>
  <c r="H78" i="18"/>
  <c r="I78" i="18"/>
  <c r="J78" i="18"/>
  <c r="K78" i="18"/>
  <c r="B79" i="18"/>
  <c r="C79" i="18"/>
  <c r="D79" i="18"/>
  <c r="E79" i="18"/>
  <c r="F79" i="18"/>
  <c r="G79" i="18"/>
  <c r="H79" i="18"/>
  <c r="I79" i="18"/>
  <c r="J79" i="18"/>
  <c r="K79" i="18"/>
  <c r="C56" i="18"/>
  <c r="D56" i="18"/>
  <c r="E56" i="18"/>
  <c r="F56" i="18"/>
  <c r="G56" i="18"/>
  <c r="H56" i="18"/>
  <c r="I56" i="18"/>
  <c r="J56" i="18"/>
  <c r="K56" i="18"/>
  <c r="B56" i="18"/>
  <c r="D2" i="18"/>
  <c r="E2" i="18"/>
  <c r="F2" i="18"/>
  <c r="G2" i="18"/>
  <c r="H2" i="18"/>
  <c r="I2" i="18"/>
  <c r="J2" i="18"/>
  <c r="D3" i="18"/>
  <c r="E3" i="18"/>
  <c r="F3" i="18"/>
  <c r="G3" i="18"/>
  <c r="H3" i="18"/>
  <c r="I3" i="18"/>
  <c r="J3" i="18"/>
  <c r="D4" i="18"/>
  <c r="E4" i="18"/>
  <c r="F4" i="18"/>
  <c r="G4" i="18"/>
  <c r="H4" i="18"/>
  <c r="I4" i="18"/>
  <c r="J4" i="18"/>
  <c r="D5" i="18"/>
  <c r="E5" i="18"/>
  <c r="F5" i="18"/>
  <c r="G5" i="18"/>
  <c r="H5" i="18"/>
  <c r="I5" i="18"/>
  <c r="J5" i="18"/>
  <c r="D6" i="18"/>
  <c r="E6" i="18"/>
  <c r="F6" i="18"/>
  <c r="G6" i="18"/>
  <c r="H6" i="18"/>
  <c r="I6" i="18"/>
  <c r="J6" i="18"/>
  <c r="D7" i="18"/>
  <c r="E7" i="18"/>
  <c r="F7" i="18"/>
  <c r="G7" i="18"/>
  <c r="H7" i="18"/>
  <c r="I7" i="18"/>
  <c r="J7" i="18"/>
  <c r="D8" i="18"/>
  <c r="E8" i="18"/>
  <c r="F8" i="18"/>
  <c r="G8" i="18"/>
  <c r="H8" i="18"/>
  <c r="I8" i="18"/>
  <c r="J8" i="18"/>
  <c r="D9" i="18"/>
  <c r="E9" i="18"/>
  <c r="F9" i="18"/>
  <c r="G9" i="18"/>
  <c r="H9" i="18"/>
  <c r="I9" i="18"/>
  <c r="J9" i="18"/>
  <c r="D10" i="18"/>
  <c r="E10" i="18"/>
  <c r="F10" i="18"/>
  <c r="G10" i="18"/>
  <c r="H10" i="18"/>
  <c r="I10" i="18"/>
  <c r="J10" i="18"/>
  <c r="D11" i="18"/>
  <c r="E11" i="18"/>
  <c r="F11" i="18"/>
  <c r="G11" i="18"/>
  <c r="H11" i="18"/>
  <c r="I11" i="18"/>
  <c r="J11" i="18"/>
  <c r="D12" i="18"/>
  <c r="E12" i="18"/>
  <c r="F12" i="18"/>
  <c r="G12" i="18"/>
  <c r="H12" i="18"/>
  <c r="I12" i="18"/>
  <c r="J12" i="18"/>
  <c r="D13" i="18"/>
  <c r="E13" i="18"/>
  <c r="F13" i="18"/>
  <c r="G13" i="18"/>
  <c r="H13" i="18"/>
  <c r="I13" i="18"/>
  <c r="J13" i="18"/>
  <c r="D14" i="18"/>
  <c r="E14" i="18"/>
  <c r="F14" i="18"/>
  <c r="G14" i="18"/>
  <c r="H14" i="18"/>
  <c r="I14" i="18"/>
  <c r="J14" i="18"/>
  <c r="D15" i="18"/>
  <c r="E15" i="18"/>
  <c r="F15" i="18"/>
  <c r="G15" i="18"/>
  <c r="H15" i="18"/>
  <c r="I15" i="18"/>
  <c r="J15" i="18"/>
  <c r="D16" i="18"/>
  <c r="E16" i="18"/>
  <c r="F16" i="18"/>
  <c r="G16" i="18"/>
  <c r="H16" i="18"/>
  <c r="I16" i="18"/>
  <c r="J16" i="18"/>
  <c r="D17" i="18"/>
  <c r="E17" i="18"/>
  <c r="F17" i="18"/>
  <c r="G17" i="18"/>
  <c r="H17" i="18"/>
  <c r="I17" i="18"/>
  <c r="J17" i="18"/>
  <c r="D18" i="18"/>
  <c r="E18" i="18"/>
  <c r="F18" i="18"/>
  <c r="G18" i="18"/>
  <c r="H18" i="18"/>
  <c r="I18" i="18"/>
  <c r="J18" i="18"/>
  <c r="D19" i="18"/>
  <c r="E19" i="18"/>
  <c r="F19" i="18"/>
  <c r="G19" i="18"/>
  <c r="H19" i="18"/>
  <c r="I19" i="18"/>
  <c r="J19" i="18"/>
  <c r="D20" i="18"/>
  <c r="E20" i="18"/>
  <c r="F20" i="18"/>
  <c r="G20" i="18"/>
  <c r="H20" i="18"/>
  <c r="I20" i="18"/>
  <c r="J20" i="18"/>
  <c r="D21" i="18"/>
  <c r="E21" i="18"/>
  <c r="F21" i="18"/>
  <c r="G21" i="18"/>
  <c r="H21" i="18"/>
  <c r="I21" i="18"/>
  <c r="J21" i="18"/>
  <c r="D22" i="18"/>
  <c r="E22" i="18"/>
  <c r="F22" i="18"/>
  <c r="G22" i="18"/>
  <c r="H22" i="18"/>
  <c r="I22" i="18"/>
  <c r="J22" i="18"/>
  <c r="D23" i="18"/>
  <c r="E23" i="18"/>
  <c r="F23" i="18"/>
  <c r="G23" i="18"/>
  <c r="H23" i="18"/>
  <c r="I23" i="18"/>
  <c r="J23" i="18"/>
  <c r="D24" i="18"/>
  <c r="E24" i="18"/>
  <c r="F24" i="18"/>
  <c r="G24" i="18"/>
  <c r="H24" i="18"/>
  <c r="I24" i="18"/>
  <c r="J24" i="18"/>
  <c r="D25" i="18"/>
  <c r="E25" i="18"/>
  <c r="F25" i="18"/>
  <c r="G25" i="18"/>
  <c r="H25" i="18"/>
  <c r="I25" i="18"/>
  <c r="J25" i="18"/>
  <c r="D26" i="18"/>
  <c r="E26" i="18"/>
  <c r="F26" i="18"/>
  <c r="G26" i="18"/>
  <c r="H26" i="18"/>
  <c r="I26" i="18"/>
  <c r="J26" i="18"/>
  <c r="B2" i="18"/>
  <c r="B3" i="18"/>
  <c r="B4" i="18"/>
  <c r="B5" i="18"/>
  <c r="B6" i="18"/>
  <c r="B7" i="18"/>
  <c r="B8" i="18"/>
  <c r="B9" i="18"/>
  <c r="B10" i="18"/>
  <c r="B11" i="18"/>
  <c r="B12" i="18"/>
  <c r="B13" i="18"/>
  <c r="B14" i="18"/>
  <c r="B15" i="18"/>
  <c r="B16" i="18"/>
  <c r="B17" i="18"/>
  <c r="B18" i="18"/>
  <c r="B19" i="18"/>
  <c r="B20" i="18"/>
  <c r="B21" i="18"/>
  <c r="B22" i="18"/>
  <c r="B23" i="18"/>
  <c r="B24" i="18"/>
  <c r="B25" i="18"/>
  <c r="B26" i="18"/>
  <c r="C10" i="18"/>
  <c r="K29" i="18"/>
  <c r="K30" i="18"/>
  <c r="K31" i="18"/>
  <c r="K32" i="18"/>
  <c r="K33" i="18"/>
  <c r="K34" i="18"/>
  <c r="K35" i="18"/>
  <c r="K36" i="18"/>
  <c r="K37" i="18"/>
  <c r="K64" i="18" s="1"/>
  <c r="K38" i="18"/>
  <c r="K39" i="18"/>
  <c r="K40" i="18"/>
  <c r="K41" i="18"/>
  <c r="K42" i="18"/>
  <c r="K43" i="18"/>
  <c r="K44" i="18"/>
  <c r="K45" i="18"/>
  <c r="K46" i="18"/>
  <c r="K47" i="18"/>
  <c r="K48" i="18"/>
  <c r="K49" i="18"/>
  <c r="K50" i="18"/>
  <c r="K51" i="18"/>
  <c r="K52" i="18"/>
  <c r="K53" i="18"/>
  <c r="K80" i="18" s="1"/>
  <c r="C137" i="19"/>
  <c r="D137" i="19"/>
  <c r="F137" i="19"/>
  <c r="G137" i="19"/>
  <c r="H137" i="19"/>
  <c r="I137" i="19"/>
  <c r="J137" i="19"/>
  <c r="K137" i="19"/>
  <c r="L137" i="19"/>
  <c r="M137" i="19"/>
  <c r="N137" i="19"/>
  <c r="O137" i="19"/>
  <c r="P137" i="19"/>
  <c r="H53" i="18" s="1"/>
  <c r="H80" i="18" s="1"/>
  <c r="Q137" i="19"/>
  <c r="R137" i="19"/>
  <c r="S137" i="19"/>
  <c r="T137" i="19"/>
  <c r="U137" i="19"/>
  <c r="V137" i="19"/>
  <c r="W137" i="19"/>
  <c r="X137" i="19"/>
  <c r="Z137" i="19"/>
  <c r="AA137" i="19"/>
  <c r="AB137" i="19"/>
  <c r="AC137" i="19"/>
  <c r="AD137" i="19"/>
  <c r="D53" i="18" s="1"/>
  <c r="D80" i="18" s="1"/>
  <c r="AE137" i="19"/>
  <c r="AF137" i="19"/>
  <c r="G53" i="18" s="1"/>
  <c r="G80" i="18" s="1"/>
  <c r="AG137" i="19"/>
  <c r="B53" i="18" s="1"/>
  <c r="B80" i="18" s="1"/>
  <c r="AH137" i="19"/>
  <c r="E53" i="18" s="1"/>
  <c r="E80" i="18" s="1"/>
  <c r="B26" i="22" s="1"/>
  <c r="D113" i="19"/>
  <c r="E113" i="19"/>
  <c r="F113" i="19"/>
  <c r="G113" i="19"/>
  <c r="H113" i="19"/>
  <c r="I113" i="19"/>
  <c r="J113" i="19"/>
  <c r="K113" i="19"/>
  <c r="L113" i="19"/>
  <c r="M113" i="19"/>
  <c r="N113" i="19"/>
  <c r="O113" i="19"/>
  <c r="P113" i="19"/>
  <c r="H29" i="18" s="1"/>
  <c r="Q113" i="19"/>
  <c r="R113" i="19"/>
  <c r="S113" i="19"/>
  <c r="T113" i="19"/>
  <c r="U113" i="19"/>
  <c r="V113" i="19"/>
  <c r="W113" i="19"/>
  <c r="X113" i="19"/>
  <c r="Y113" i="19"/>
  <c r="Z113" i="19"/>
  <c r="AA113" i="19"/>
  <c r="AB113" i="19"/>
  <c r="AC113" i="19"/>
  <c r="AD113" i="19"/>
  <c r="AE113" i="19"/>
  <c r="AF113" i="19"/>
  <c r="G29" i="18" s="1"/>
  <c r="AG113" i="19"/>
  <c r="B29" i="18" s="1"/>
  <c r="AH113" i="19"/>
  <c r="E29" i="18" s="1"/>
  <c r="C113"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L1" i="19"/>
  <c r="M1" i="19"/>
  <c r="N1" i="19"/>
  <c r="O1" i="19"/>
  <c r="P1" i="19"/>
  <c r="Q1" i="19"/>
  <c r="R1" i="19"/>
  <c r="S1" i="19"/>
  <c r="T1" i="19"/>
  <c r="U1" i="19"/>
  <c r="V1" i="19"/>
  <c r="W1" i="19"/>
  <c r="X1" i="19"/>
  <c r="Y1" i="19"/>
  <c r="Z1" i="19"/>
  <c r="AA1" i="19"/>
  <c r="AB1" i="19"/>
  <c r="AC1" i="19"/>
  <c r="AD1" i="19"/>
  <c r="AE1" i="19"/>
  <c r="AF1" i="19"/>
  <c r="AG1" i="19"/>
  <c r="AH1" i="19"/>
  <c r="D1" i="19"/>
  <c r="E1" i="19"/>
  <c r="F1" i="19"/>
  <c r="G1" i="19"/>
  <c r="H1" i="19"/>
  <c r="I1" i="19"/>
  <c r="J1" i="19"/>
  <c r="K1" i="19"/>
  <c r="C1" i="19"/>
  <c r="C1" i="16"/>
  <c r="A1" i="16"/>
  <c r="AP68" i="19"/>
  <c r="AQ68" i="19" s="1"/>
  <c r="AS68" i="19" s="1"/>
  <c r="D29" i="19" s="1"/>
  <c r="D77" i="19" s="1"/>
  <c r="AP67" i="19"/>
  <c r="AQ67" i="19" s="1"/>
  <c r="AS67" i="19" s="1"/>
  <c r="D30" i="19" s="1"/>
  <c r="D78" i="19" s="1"/>
  <c r="AP66" i="19"/>
  <c r="AQ66" i="19" s="1"/>
  <c r="AS66" i="19" s="1"/>
  <c r="G30" i="19" s="1"/>
  <c r="AP65" i="19"/>
  <c r="AQ65" i="19" s="1"/>
  <c r="AS65" i="19" s="1"/>
  <c r="G29" i="19" s="1"/>
  <c r="AP16" i="19"/>
  <c r="C6" i="19"/>
  <c r="C8" i="19"/>
  <c r="C56" i="19" s="1"/>
  <c r="O8" i="19"/>
  <c r="O56" i="19" s="1"/>
  <c r="C9" i="19"/>
  <c r="C57" i="19" s="1"/>
  <c r="O9" i="19"/>
  <c r="O57" i="19" s="1"/>
  <c r="C10" i="19"/>
  <c r="C58" i="19" s="1"/>
  <c r="C115" i="19" s="1"/>
  <c r="O10" i="19"/>
  <c r="O58" i="19" s="1"/>
  <c r="O115" i="19" s="1"/>
  <c r="C11" i="19"/>
  <c r="C59" i="19" s="1"/>
  <c r="O11" i="19"/>
  <c r="O59" i="19" s="1"/>
  <c r="C12" i="19"/>
  <c r="C60" i="19" s="1"/>
  <c r="O12" i="19"/>
  <c r="O60" i="19" s="1"/>
  <c r="C13" i="19"/>
  <c r="C61" i="19" s="1"/>
  <c r="O13" i="19"/>
  <c r="O61" i="19" s="1"/>
  <c r="C14" i="19"/>
  <c r="C62" i="19" s="1"/>
  <c r="O14" i="19"/>
  <c r="O62" i="19" s="1"/>
  <c r="C15" i="19"/>
  <c r="C63" i="19" s="1"/>
  <c r="O15" i="19"/>
  <c r="O63" i="19" s="1"/>
  <c r="C16" i="19"/>
  <c r="C64" i="19" s="1"/>
  <c r="O16" i="19"/>
  <c r="O64" i="19" s="1"/>
  <c r="C17" i="19"/>
  <c r="C65" i="19" s="1"/>
  <c r="O17" i="19"/>
  <c r="O65" i="19" s="1"/>
  <c r="C18" i="19"/>
  <c r="C66" i="19" s="1"/>
  <c r="O18" i="19"/>
  <c r="O66" i="19" s="1"/>
  <c r="C19" i="19"/>
  <c r="C67" i="19" s="1"/>
  <c r="O19" i="19"/>
  <c r="O67" i="19" s="1"/>
  <c r="C20" i="19"/>
  <c r="C68" i="19" s="1"/>
  <c r="O20" i="19"/>
  <c r="O68" i="19" s="1"/>
  <c r="C21" i="19"/>
  <c r="C69" i="19" s="1"/>
  <c r="C118" i="19" s="1"/>
  <c r="O21" i="19"/>
  <c r="O69" i="19" s="1"/>
  <c r="C22" i="19"/>
  <c r="C70" i="19" s="1"/>
  <c r="O22" i="19"/>
  <c r="O70" i="19" s="1"/>
  <c r="C23" i="19"/>
  <c r="C71" i="19" s="1"/>
  <c r="O23" i="19"/>
  <c r="O71" i="19" s="1"/>
  <c r="C24" i="19"/>
  <c r="C72" i="19" s="1"/>
  <c r="O24" i="19"/>
  <c r="O72" i="19" s="1"/>
  <c r="C25" i="19"/>
  <c r="C73" i="19" s="1"/>
  <c r="O25" i="19"/>
  <c r="O73" i="19" s="1"/>
  <c r="C26" i="19"/>
  <c r="C74" i="19" s="1"/>
  <c r="O26" i="19"/>
  <c r="O74" i="19" s="1"/>
  <c r="C27" i="19"/>
  <c r="C75" i="19" s="1"/>
  <c r="O27" i="19"/>
  <c r="O75" i="19" s="1"/>
  <c r="C28" i="19"/>
  <c r="C76" i="19" s="1"/>
  <c r="O28" i="19"/>
  <c r="O76" i="19" s="1"/>
  <c r="C29" i="19"/>
  <c r="C77" i="19" s="1"/>
  <c r="O29" i="19"/>
  <c r="O77" i="19" s="1"/>
  <c r="C30" i="19"/>
  <c r="C78" i="19" s="1"/>
  <c r="O30" i="19"/>
  <c r="O78" i="19" s="1"/>
  <c r="C31" i="19"/>
  <c r="C79" i="19" s="1"/>
  <c r="O31" i="19"/>
  <c r="O79" i="19" s="1"/>
  <c r="C32" i="19"/>
  <c r="C80" i="19" s="1"/>
  <c r="O32" i="19"/>
  <c r="O80" i="19" s="1"/>
  <c r="C33" i="19"/>
  <c r="C81" i="19" s="1"/>
  <c r="C123" i="19" s="1"/>
  <c r="O33" i="19"/>
  <c r="O81" i="19" s="1"/>
  <c r="O123" i="19" s="1"/>
  <c r="C34" i="19"/>
  <c r="C82" i="19" s="1"/>
  <c r="C124" i="19" s="1"/>
  <c r="O34" i="19"/>
  <c r="O82" i="19" s="1"/>
  <c r="O124" i="19" s="1"/>
  <c r="C35" i="19"/>
  <c r="C83" i="19" s="1"/>
  <c r="C126" i="19" s="1"/>
  <c r="O35" i="19"/>
  <c r="O83" i="19" s="1"/>
  <c r="O126" i="19" s="1"/>
  <c r="C36" i="19"/>
  <c r="C84" i="19" s="1"/>
  <c r="C127" i="19" s="1"/>
  <c r="O36" i="19"/>
  <c r="O84" i="19" s="1"/>
  <c r="O127" i="19" s="1"/>
  <c r="C37" i="19"/>
  <c r="C85" i="19" s="1"/>
  <c r="C128" i="19" s="1"/>
  <c r="O37" i="19"/>
  <c r="O85" i="19" s="1"/>
  <c r="O128" i="19" s="1"/>
  <c r="C38" i="19"/>
  <c r="C86" i="19" s="1"/>
  <c r="C134" i="19" s="1"/>
  <c r="O38" i="19"/>
  <c r="O86" i="19" s="1"/>
  <c r="O134" i="19" s="1"/>
  <c r="C39" i="19"/>
  <c r="C87" i="19" s="1"/>
  <c r="C125" i="19" s="1"/>
  <c r="O39" i="19"/>
  <c r="O87" i="19" s="1"/>
  <c r="O125" i="19" s="1"/>
  <c r="C40" i="19"/>
  <c r="C88" i="19" s="1"/>
  <c r="C132" i="19" s="1"/>
  <c r="O40" i="19"/>
  <c r="O88" i="19" s="1"/>
  <c r="O132" i="19" s="1"/>
  <c r="C41" i="19"/>
  <c r="C89" i="19" s="1"/>
  <c r="C133" i="19" s="1"/>
  <c r="O41" i="19"/>
  <c r="O89" i="19" s="1"/>
  <c r="O133" i="19" s="1"/>
  <c r="C42" i="19"/>
  <c r="C90" i="19" s="1"/>
  <c r="C130" i="19" s="1"/>
  <c r="O42" i="19"/>
  <c r="O90" i="19" s="1"/>
  <c r="O130" i="19" s="1"/>
  <c r="C43" i="19"/>
  <c r="C91" i="19" s="1"/>
  <c r="O43" i="19"/>
  <c r="O91" i="19" s="1"/>
  <c r="C44" i="19"/>
  <c r="C92" i="19" s="1"/>
  <c r="O44" i="19"/>
  <c r="O92" i="19" s="1"/>
  <c r="C45" i="19"/>
  <c r="C93" i="19" s="1"/>
  <c r="C131" i="19" s="1"/>
  <c r="O45" i="19"/>
  <c r="O93" i="19" s="1"/>
  <c r="C46" i="19"/>
  <c r="C94" i="19" s="1"/>
  <c r="C136" i="19" s="1"/>
  <c r="O46" i="19"/>
  <c r="O94" i="19" s="1"/>
  <c r="C47" i="19"/>
  <c r="C95" i="19" s="1"/>
  <c r="O47" i="19"/>
  <c r="O95" i="19" s="1"/>
  <c r="C48" i="19"/>
  <c r="C96" i="19" s="1"/>
  <c r="O48" i="19"/>
  <c r="O96" i="19" s="1"/>
  <c r="C49" i="19"/>
  <c r="C97" i="19" s="1"/>
  <c r="O49" i="19"/>
  <c r="O97" i="19" s="1"/>
  <c r="C50" i="19"/>
  <c r="C98" i="19" s="1"/>
  <c r="O50" i="19"/>
  <c r="O98" i="19" s="1"/>
  <c r="C51" i="19"/>
  <c r="C99" i="19" s="1"/>
  <c r="O51" i="19"/>
  <c r="O99" i="19" s="1"/>
  <c r="C7" i="19"/>
  <c r="C55" i="19" s="1"/>
  <c r="O7" i="19"/>
  <c r="O55" i="19" s="1"/>
  <c r="E6" i="19"/>
  <c r="AP64" i="19"/>
  <c r="AR64" i="19"/>
  <c r="AS64" i="19" s="1"/>
  <c r="I30" i="19" s="1"/>
  <c r="I78" i="19" s="1"/>
  <c r="AR63" i="19"/>
  <c r="AS63" i="19" s="1"/>
  <c r="F34" i="19" s="1"/>
  <c r="F82" i="19" s="1"/>
  <c r="F124" i="19" s="1"/>
  <c r="AP63" i="19"/>
  <c r="AP24" i="19"/>
  <c r="AP19" i="19"/>
  <c r="AP17" i="19"/>
  <c r="AP18" i="19"/>
  <c r="AP20" i="19"/>
  <c r="AP21" i="19"/>
  <c r="AP22" i="19"/>
  <c r="AP23" i="19"/>
  <c r="AV28" i="19"/>
  <c r="AA45" i="19" s="1"/>
  <c r="AA93" i="19" s="1"/>
  <c r="AP28" i="19"/>
  <c r="AS29" i="19"/>
  <c r="AA29" i="19" s="1"/>
  <c r="AA77" i="19" s="1"/>
  <c r="AS30" i="19"/>
  <c r="R29" i="19" s="1"/>
  <c r="R77" i="19" s="1"/>
  <c r="AS31" i="19"/>
  <c r="T30" i="19" s="1"/>
  <c r="T78" i="19" s="1"/>
  <c r="AS32" i="19"/>
  <c r="N30" i="19" s="1"/>
  <c r="N78" i="19" s="1"/>
  <c r="AS33" i="19"/>
  <c r="AE29" i="19" s="1"/>
  <c r="AE77" i="19" s="1"/>
  <c r="AS34" i="19"/>
  <c r="AD30" i="19" s="1"/>
  <c r="AD78" i="19" s="1"/>
  <c r="AS27" i="19"/>
  <c r="Q30" i="19" s="1"/>
  <c r="Q78" i="19" s="1"/>
  <c r="AR16" i="19"/>
  <c r="AQ29" i="19"/>
  <c r="AQ30" i="19"/>
  <c r="AQ31" i="19"/>
  <c r="AR31" i="19" s="1"/>
  <c r="AV31" i="19" s="1"/>
  <c r="T20" i="19" s="1"/>
  <c r="T68" i="19" s="1"/>
  <c r="AQ32" i="19"/>
  <c r="AR32" i="19" s="1"/>
  <c r="AV32" i="19" s="1"/>
  <c r="N38" i="19" s="1"/>
  <c r="N86" i="19" s="1"/>
  <c r="N134" i="19" s="1"/>
  <c r="AQ33" i="19"/>
  <c r="AR33" i="19" s="1"/>
  <c r="AV33" i="19" s="1"/>
  <c r="AE38" i="19" s="1"/>
  <c r="AE86" i="19" s="1"/>
  <c r="AE134" i="19" s="1"/>
  <c r="AQ34" i="19"/>
  <c r="AR34" i="19" s="1"/>
  <c r="AV34" i="19" s="1"/>
  <c r="AQ27" i="19"/>
  <c r="AR27" i="19" s="1"/>
  <c r="AV27" i="19" s="1"/>
  <c r="Q18" i="19" s="1"/>
  <c r="Q66" i="19" s="1"/>
  <c r="AM34" i="19"/>
  <c r="AM33" i="19"/>
  <c r="AM67" i="19"/>
  <c r="AM65" i="19"/>
  <c r="AM94" i="19"/>
  <c r="AV94" i="19" s="1"/>
  <c r="AM32" i="19"/>
  <c r="AM64" i="19"/>
  <c r="AM92" i="19"/>
  <c r="AV92" i="19" s="1"/>
  <c r="AB51" i="19" s="1"/>
  <c r="AB99" i="19" s="1"/>
  <c r="AM31" i="19"/>
  <c r="AM30" i="19"/>
  <c r="AM28" i="19"/>
  <c r="AM27" i="19"/>
  <c r="AM93" i="19"/>
  <c r="AV93" i="19" s="1"/>
  <c r="AP26" i="22" l="1"/>
  <c r="H26" i="22"/>
  <c r="X26" i="22"/>
  <c r="I26" i="22"/>
  <c r="Y26" i="22"/>
  <c r="J26" i="22"/>
  <c r="Z26" i="22"/>
  <c r="AA26" i="22"/>
  <c r="K26" i="22"/>
  <c r="L26" i="22"/>
  <c r="AB26" i="22"/>
  <c r="M26" i="22"/>
  <c r="AC26" i="22"/>
  <c r="N26" i="22"/>
  <c r="AD26" i="22"/>
  <c r="AG26" i="22"/>
  <c r="O26" i="22"/>
  <c r="AE26" i="22"/>
  <c r="AH26" i="22"/>
  <c r="P26" i="22"/>
  <c r="AF26" i="22"/>
  <c r="AI26" i="22"/>
  <c r="Q26" i="22"/>
  <c r="AJ26" i="22"/>
  <c r="R26" i="22"/>
  <c r="AK26" i="22"/>
  <c r="S26" i="22"/>
  <c r="D26" i="22"/>
  <c r="T26" i="22"/>
  <c r="AL26" i="22"/>
  <c r="AM26" i="22"/>
  <c r="E26" i="22"/>
  <c r="U26" i="22"/>
  <c r="AN26" i="22"/>
  <c r="F26" i="22"/>
  <c r="V26" i="22"/>
  <c r="G26" i="22"/>
  <c r="W26" i="22"/>
  <c r="C26" i="22"/>
  <c r="AO26" i="22"/>
  <c r="C119" i="19"/>
  <c r="O119" i="19"/>
  <c r="F53" i="18"/>
  <c r="F80" i="18" s="1"/>
  <c r="O129" i="19"/>
  <c r="I53" i="18"/>
  <c r="I80" i="18" s="1"/>
  <c r="C53" i="18"/>
  <c r="C80" i="18" s="1"/>
  <c r="O122" i="19"/>
  <c r="I29" i="18"/>
  <c r="C29" i="18"/>
  <c r="C122" i="19"/>
  <c r="O131" i="19"/>
  <c r="O118" i="19"/>
  <c r="O116" i="19"/>
  <c r="F29" i="18"/>
  <c r="J53" i="18"/>
  <c r="J80" i="18" s="1"/>
  <c r="J29" i="18"/>
  <c r="O136" i="19"/>
  <c r="D29" i="18"/>
  <c r="C129" i="19"/>
  <c r="C116" i="19"/>
  <c r="O120" i="19"/>
  <c r="C120" i="19"/>
  <c r="O117" i="19"/>
  <c r="C117" i="19"/>
  <c r="AE50" i="19"/>
  <c r="AE98" i="19" s="1"/>
  <c r="AE18" i="19"/>
  <c r="AE66" i="19" s="1"/>
  <c r="AE46" i="19"/>
  <c r="AE94" i="19" s="1"/>
  <c r="T7" i="19"/>
  <c r="T55" i="19" s="1"/>
  <c r="AE25" i="19"/>
  <c r="AE73" i="19" s="1"/>
  <c r="AE10" i="19"/>
  <c r="AE58" i="19" s="1"/>
  <c r="AE115" i="19" s="1"/>
  <c r="AE32" i="19"/>
  <c r="AE80" i="19" s="1"/>
  <c r="AE39" i="19"/>
  <c r="AE87" i="19" s="1"/>
  <c r="AE125" i="19" s="1"/>
  <c r="T50" i="19"/>
  <c r="T98" i="19" s="1"/>
  <c r="S30" i="19"/>
  <c r="S78" i="19" s="1"/>
  <c r="S7" i="19"/>
  <c r="S55" i="19" s="1"/>
  <c r="S49" i="19"/>
  <c r="S97" i="19" s="1"/>
  <c r="AE17" i="19"/>
  <c r="AE65" i="19" s="1"/>
  <c r="AE49" i="19"/>
  <c r="AE97" i="19" s="1"/>
  <c r="AE9" i="19"/>
  <c r="AE57" i="19" s="1"/>
  <c r="T49" i="19"/>
  <c r="T97" i="19" s="1"/>
  <c r="AE7" i="19"/>
  <c r="AE55" i="19" s="1"/>
  <c r="Q49" i="19"/>
  <c r="Q97" i="19" s="1"/>
  <c r="AE42" i="19"/>
  <c r="AE90" i="19" s="1"/>
  <c r="AE130" i="19" s="1"/>
  <c r="AE48" i="19"/>
  <c r="AE96" i="19" s="1"/>
  <c r="N7" i="19"/>
  <c r="N55" i="19" s="1"/>
  <c r="Q51" i="19"/>
  <c r="Q99" i="19" s="1"/>
  <c r="AE47" i="19"/>
  <c r="AE95" i="19" s="1"/>
  <c r="AE33" i="19"/>
  <c r="AE81" i="19" s="1"/>
  <c r="AE123" i="19" s="1"/>
  <c r="AE26" i="19"/>
  <c r="AE74" i="19" s="1"/>
  <c r="S48" i="19"/>
  <c r="S96" i="19" s="1"/>
  <c r="J14" i="19"/>
  <c r="J62" i="19" s="1"/>
  <c r="J22" i="19"/>
  <c r="J70" i="19" s="1"/>
  <c r="J29" i="19"/>
  <c r="J77" i="19" s="1"/>
  <c r="J35" i="19"/>
  <c r="J83" i="19" s="1"/>
  <c r="J126" i="19" s="1"/>
  <c r="J43" i="19"/>
  <c r="J91" i="19" s="1"/>
  <c r="J13" i="19"/>
  <c r="J61" i="19" s="1"/>
  <c r="J21" i="19"/>
  <c r="J69" i="19" s="1"/>
  <c r="J42" i="19"/>
  <c r="J90" i="19" s="1"/>
  <c r="J130" i="19" s="1"/>
  <c r="J12" i="19"/>
  <c r="J60" i="19" s="1"/>
  <c r="J20" i="19"/>
  <c r="J68" i="19" s="1"/>
  <c r="J28" i="19"/>
  <c r="J76" i="19" s="1"/>
  <c r="J34" i="19"/>
  <c r="J82" i="19" s="1"/>
  <c r="J124" i="19" s="1"/>
  <c r="J41" i="19"/>
  <c r="J89" i="19" s="1"/>
  <c r="J133" i="19" s="1"/>
  <c r="J11" i="19"/>
  <c r="J59" i="19" s="1"/>
  <c r="J116" i="19" s="1"/>
  <c r="J19" i="19"/>
  <c r="J67" i="19" s="1"/>
  <c r="J27" i="19"/>
  <c r="J75" i="19" s="1"/>
  <c r="J30" i="19"/>
  <c r="J78" i="19" s="1"/>
  <c r="J40" i="19"/>
  <c r="J88" i="19" s="1"/>
  <c r="J132" i="19" s="1"/>
  <c r="J48" i="19"/>
  <c r="J96" i="19" s="1"/>
  <c r="J10" i="19"/>
  <c r="J58" i="19" s="1"/>
  <c r="J115" i="19" s="1"/>
  <c r="J18" i="19"/>
  <c r="J66" i="19" s="1"/>
  <c r="J26" i="19"/>
  <c r="J74" i="19" s="1"/>
  <c r="J33" i="19"/>
  <c r="J81" i="19" s="1"/>
  <c r="J123" i="19" s="1"/>
  <c r="J39" i="19"/>
  <c r="J87" i="19" s="1"/>
  <c r="J125" i="19" s="1"/>
  <c r="J47" i="19"/>
  <c r="J95" i="19" s="1"/>
  <c r="J9" i="19"/>
  <c r="J57" i="19" s="1"/>
  <c r="J17" i="19"/>
  <c r="J65" i="19" s="1"/>
  <c r="J25" i="19"/>
  <c r="J73" i="19" s="1"/>
  <c r="J32" i="19"/>
  <c r="J80" i="19" s="1"/>
  <c r="J38" i="19"/>
  <c r="J86" i="19" s="1"/>
  <c r="J134" i="19" s="1"/>
  <c r="J46" i="19"/>
  <c r="J94" i="19" s="1"/>
  <c r="J8" i="19"/>
  <c r="J56" i="19" s="1"/>
  <c r="J16" i="19"/>
  <c r="J64" i="19" s="1"/>
  <c r="J24" i="19"/>
  <c r="J72" i="19" s="1"/>
  <c r="J15" i="19"/>
  <c r="J63" i="19" s="1"/>
  <c r="J51" i="19"/>
  <c r="J99" i="19" s="1"/>
  <c r="J7" i="19"/>
  <c r="J55" i="19" s="1"/>
  <c r="J45" i="19"/>
  <c r="J93" i="19" s="1"/>
  <c r="J131" i="19" s="1"/>
  <c r="J36" i="19"/>
  <c r="J84" i="19" s="1"/>
  <c r="J127" i="19" s="1"/>
  <c r="J23" i="19"/>
  <c r="J71" i="19" s="1"/>
  <c r="J49" i="19"/>
  <c r="J97" i="19" s="1"/>
  <c r="J37" i="19"/>
  <c r="J85" i="19" s="1"/>
  <c r="J128" i="19" s="1"/>
  <c r="J44" i="19"/>
  <c r="J92" i="19" s="1"/>
  <c r="J50" i="19"/>
  <c r="J98" i="19" s="1"/>
  <c r="J31" i="19"/>
  <c r="J79" i="19" s="1"/>
  <c r="AD8" i="19"/>
  <c r="AD56" i="19" s="1"/>
  <c r="AD16" i="19"/>
  <c r="AD64" i="19" s="1"/>
  <c r="AD24" i="19"/>
  <c r="AD72" i="19" s="1"/>
  <c r="AD31" i="19"/>
  <c r="AD79" i="19" s="1"/>
  <c r="AD37" i="19"/>
  <c r="AD85" i="19" s="1"/>
  <c r="AD128" i="19" s="1"/>
  <c r="AD45" i="19"/>
  <c r="AD93" i="19" s="1"/>
  <c r="AD15" i="19"/>
  <c r="AD63" i="19" s="1"/>
  <c r="AD23" i="19"/>
  <c r="AD71" i="19" s="1"/>
  <c r="AD36" i="19"/>
  <c r="AD84" i="19" s="1"/>
  <c r="AD127" i="19" s="1"/>
  <c r="AD44" i="19"/>
  <c r="AD92" i="19" s="1"/>
  <c r="AD14" i="19"/>
  <c r="AD62" i="19" s="1"/>
  <c r="AD22" i="19"/>
  <c r="AD70" i="19" s="1"/>
  <c r="AD35" i="19"/>
  <c r="AD83" i="19" s="1"/>
  <c r="AD126" i="19" s="1"/>
  <c r="AD43" i="19"/>
  <c r="AD91" i="19" s="1"/>
  <c r="AD13" i="19"/>
  <c r="AD61" i="19" s="1"/>
  <c r="AD21" i="19"/>
  <c r="AD69" i="19" s="1"/>
  <c r="AD34" i="19"/>
  <c r="AD82" i="19" s="1"/>
  <c r="AD124" i="19" s="1"/>
  <c r="AD42" i="19"/>
  <c r="AD90" i="19" s="1"/>
  <c r="AD130" i="19" s="1"/>
  <c r="D46" i="18" s="1"/>
  <c r="AD50" i="19"/>
  <c r="AD98" i="19" s="1"/>
  <c r="AD12" i="19"/>
  <c r="AD60" i="19" s="1"/>
  <c r="AD20" i="19"/>
  <c r="AD68" i="19" s="1"/>
  <c r="AD28" i="19"/>
  <c r="AD76" i="19" s="1"/>
  <c r="AD41" i="19"/>
  <c r="AD89" i="19" s="1"/>
  <c r="AD133" i="19" s="1"/>
  <c r="AD49" i="19"/>
  <c r="AD97" i="19" s="1"/>
  <c r="AD11" i="19"/>
  <c r="AD59" i="19" s="1"/>
  <c r="AD19" i="19"/>
  <c r="AD67" i="19" s="1"/>
  <c r="AD27" i="19"/>
  <c r="AD75" i="19" s="1"/>
  <c r="AD40" i="19"/>
  <c r="AD88" i="19" s="1"/>
  <c r="AD132" i="19" s="1"/>
  <c r="AD48" i="19"/>
  <c r="AD96" i="19" s="1"/>
  <c r="AD10" i="19"/>
  <c r="AD58" i="19" s="1"/>
  <c r="AD115" i="19" s="1"/>
  <c r="AD18" i="19"/>
  <c r="AD66" i="19" s="1"/>
  <c r="AD26" i="19"/>
  <c r="AD74" i="19" s="1"/>
  <c r="AD33" i="19"/>
  <c r="AD81" i="19" s="1"/>
  <c r="AD123" i="19" s="1"/>
  <c r="D39" i="18" s="1"/>
  <c r="AB15" i="19"/>
  <c r="AB63" i="19" s="1"/>
  <c r="AB23" i="19"/>
  <c r="AB71" i="19" s="1"/>
  <c r="AB36" i="19"/>
  <c r="AB84" i="19" s="1"/>
  <c r="AB127" i="19" s="1"/>
  <c r="AB44" i="19"/>
  <c r="AB92" i="19" s="1"/>
  <c r="AB14" i="19"/>
  <c r="AB62" i="19" s="1"/>
  <c r="AB22" i="19"/>
  <c r="AB70" i="19" s="1"/>
  <c r="AB35" i="19"/>
  <c r="AB83" i="19" s="1"/>
  <c r="AB126" i="19" s="1"/>
  <c r="AB43" i="19"/>
  <c r="AB91" i="19" s="1"/>
  <c r="AB13" i="19"/>
  <c r="AB61" i="19" s="1"/>
  <c r="AB21" i="19"/>
  <c r="AB69" i="19" s="1"/>
  <c r="AB30" i="19"/>
  <c r="AB78" i="19" s="1"/>
  <c r="AB34" i="19"/>
  <c r="AB82" i="19" s="1"/>
  <c r="AB124" i="19" s="1"/>
  <c r="AB42" i="19"/>
  <c r="AB90" i="19" s="1"/>
  <c r="AB130" i="19" s="1"/>
  <c r="AB12" i="19"/>
  <c r="AB60" i="19" s="1"/>
  <c r="AB20" i="19"/>
  <c r="AB68" i="19" s="1"/>
  <c r="AB28" i="19"/>
  <c r="AB76" i="19" s="1"/>
  <c r="AB41" i="19"/>
  <c r="AB89" i="19" s="1"/>
  <c r="AB133" i="19" s="1"/>
  <c r="AB49" i="19"/>
  <c r="AB97" i="19" s="1"/>
  <c r="AB11" i="19"/>
  <c r="AB59" i="19" s="1"/>
  <c r="AB19" i="19"/>
  <c r="AB67" i="19" s="1"/>
  <c r="AB27" i="19"/>
  <c r="AB75" i="19" s="1"/>
  <c r="AB40" i="19"/>
  <c r="AB88" i="19" s="1"/>
  <c r="AB132" i="19" s="1"/>
  <c r="AB48" i="19"/>
  <c r="AB96" i="19" s="1"/>
  <c r="AB10" i="19"/>
  <c r="AB58" i="19" s="1"/>
  <c r="AB115" i="19" s="1"/>
  <c r="AB18" i="19"/>
  <c r="AB66" i="19" s="1"/>
  <c r="AB26" i="19"/>
  <c r="AB74" i="19" s="1"/>
  <c r="AB33" i="19"/>
  <c r="AB81" i="19" s="1"/>
  <c r="AB123" i="19" s="1"/>
  <c r="AB39" i="19"/>
  <c r="AB87" i="19" s="1"/>
  <c r="AB125" i="19" s="1"/>
  <c r="AB47" i="19"/>
  <c r="AB95" i="19" s="1"/>
  <c r="AB9" i="19"/>
  <c r="AB57" i="19" s="1"/>
  <c r="AB17" i="19"/>
  <c r="AB65" i="19" s="1"/>
  <c r="AB25" i="19"/>
  <c r="AB73" i="19" s="1"/>
  <c r="AB32" i="19"/>
  <c r="AB80" i="19" s="1"/>
  <c r="AD51" i="19"/>
  <c r="AD99" i="19" s="1"/>
  <c r="AA37" i="19"/>
  <c r="AA85" i="19" s="1"/>
  <c r="AA128" i="19" s="1"/>
  <c r="T28" i="19"/>
  <c r="T76" i="19" s="1"/>
  <c r="Q10" i="19"/>
  <c r="Q58" i="19" s="1"/>
  <c r="Q115" i="19" s="1"/>
  <c r="S28" i="19"/>
  <c r="S76" i="19" s="1"/>
  <c r="AA23" i="19"/>
  <c r="AA71" i="19" s="1"/>
  <c r="Q19" i="19"/>
  <c r="Q67" i="19" s="1"/>
  <c r="Q48" i="19"/>
  <c r="Q96" i="19" s="1"/>
  <c r="N47" i="19"/>
  <c r="N95" i="19" s="1"/>
  <c r="N39" i="19"/>
  <c r="N87" i="19" s="1"/>
  <c r="N125" i="19" s="1"/>
  <c r="T12" i="19"/>
  <c r="T60" i="19" s="1"/>
  <c r="S44" i="19"/>
  <c r="S92" i="19" s="1"/>
  <c r="AD25" i="19"/>
  <c r="AD73" i="19" s="1"/>
  <c r="AB16" i="19"/>
  <c r="AB64" i="19" s="1"/>
  <c r="S12" i="19"/>
  <c r="S60" i="19" s="1"/>
  <c r="AD32" i="19"/>
  <c r="AD80" i="19" s="1"/>
  <c r="AD122" i="19" s="1"/>
  <c r="AA16" i="19"/>
  <c r="AA64" i="19" s="1"/>
  <c r="AB45" i="19"/>
  <c r="AB93" i="19" s="1"/>
  <c r="AA40" i="19"/>
  <c r="AA88" i="19" s="1"/>
  <c r="AA132" i="19" s="1"/>
  <c r="AD38" i="19"/>
  <c r="AD86" i="19" s="1"/>
  <c r="AD134" i="19" s="1"/>
  <c r="D50" i="18" s="1"/>
  <c r="AD9" i="19"/>
  <c r="AD57" i="19" s="1"/>
  <c r="S40" i="19"/>
  <c r="S88" i="19" s="1"/>
  <c r="S132" i="19" s="1"/>
  <c r="S10" i="19"/>
  <c r="S58" i="19" s="1"/>
  <c r="S115" i="19" s="1"/>
  <c r="S18" i="19"/>
  <c r="S66" i="19" s="1"/>
  <c r="S26" i="19"/>
  <c r="S74" i="19" s="1"/>
  <c r="S33" i="19"/>
  <c r="S81" i="19" s="1"/>
  <c r="S123" i="19" s="1"/>
  <c r="S39" i="19"/>
  <c r="S87" i="19" s="1"/>
  <c r="S125" i="19" s="1"/>
  <c r="S47" i="19"/>
  <c r="S95" i="19" s="1"/>
  <c r="S9" i="19"/>
  <c r="S57" i="19" s="1"/>
  <c r="S17" i="19"/>
  <c r="S65" i="19" s="1"/>
  <c r="S25" i="19"/>
  <c r="S73" i="19" s="1"/>
  <c r="S32" i="19"/>
  <c r="S80" i="19" s="1"/>
  <c r="S38" i="19"/>
  <c r="S86" i="19" s="1"/>
  <c r="S134" i="19" s="1"/>
  <c r="S46" i="19"/>
  <c r="S94" i="19" s="1"/>
  <c r="S8" i="19"/>
  <c r="S56" i="19" s="1"/>
  <c r="S16" i="19"/>
  <c r="S64" i="19" s="1"/>
  <c r="S24" i="19"/>
  <c r="S72" i="19" s="1"/>
  <c r="S31" i="19"/>
  <c r="S79" i="19" s="1"/>
  <c r="S37" i="19"/>
  <c r="S85" i="19" s="1"/>
  <c r="S128" i="19" s="1"/>
  <c r="S45" i="19"/>
  <c r="S93" i="19" s="1"/>
  <c r="S15" i="19"/>
  <c r="S63" i="19" s="1"/>
  <c r="S23" i="19"/>
  <c r="S71" i="19" s="1"/>
  <c r="S36" i="19"/>
  <c r="S84" i="19" s="1"/>
  <c r="S127" i="19" s="1"/>
  <c r="S14" i="19"/>
  <c r="S62" i="19" s="1"/>
  <c r="S22" i="19"/>
  <c r="S70" i="19" s="1"/>
  <c r="S29" i="19"/>
  <c r="S77" i="19" s="1"/>
  <c r="S35" i="19"/>
  <c r="S83" i="19" s="1"/>
  <c r="S126" i="19" s="1"/>
  <c r="S43" i="19"/>
  <c r="S91" i="19" s="1"/>
  <c r="S13" i="19"/>
  <c r="S61" i="19" s="1"/>
  <c r="S21" i="19"/>
  <c r="S69" i="19" s="1"/>
  <c r="S42" i="19"/>
  <c r="S90" i="19" s="1"/>
  <c r="S130" i="19" s="1"/>
  <c r="T42" i="19"/>
  <c r="T90" i="19" s="1"/>
  <c r="T130" i="19" s="1"/>
  <c r="S27" i="19"/>
  <c r="S75" i="19" s="1"/>
  <c r="N25" i="19"/>
  <c r="N73" i="19" s="1"/>
  <c r="AB50" i="19"/>
  <c r="AB98" i="19" s="1"/>
  <c r="Q40" i="19"/>
  <c r="Q88" i="19" s="1"/>
  <c r="Q132" i="19" s="1"/>
  <c r="AB38" i="19"/>
  <c r="AB86" i="19" s="1"/>
  <c r="AB134" i="19" s="1"/>
  <c r="T34" i="19"/>
  <c r="T82" i="19" s="1"/>
  <c r="T124" i="19" s="1"/>
  <c r="N32" i="19"/>
  <c r="N80" i="19" s="1"/>
  <c r="N122" i="19" s="1"/>
  <c r="Q39" i="19"/>
  <c r="Q87" i="19" s="1"/>
  <c r="Q125" i="19" s="1"/>
  <c r="Q9" i="19"/>
  <c r="Q57" i="19" s="1"/>
  <c r="Q17" i="19"/>
  <c r="Q65" i="19" s="1"/>
  <c r="Q25" i="19"/>
  <c r="Q73" i="19" s="1"/>
  <c r="Q38" i="19"/>
  <c r="Q86" i="19" s="1"/>
  <c r="Q134" i="19" s="1"/>
  <c r="Q46" i="19"/>
  <c r="Q94" i="19" s="1"/>
  <c r="Q136" i="19" s="1"/>
  <c r="Q8" i="19"/>
  <c r="Q56" i="19" s="1"/>
  <c r="Q16" i="19"/>
  <c r="Q64" i="19" s="1"/>
  <c r="Q24" i="19"/>
  <c r="Q72" i="19" s="1"/>
  <c r="Q37" i="19"/>
  <c r="Q85" i="19" s="1"/>
  <c r="Q128" i="19" s="1"/>
  <c r="Q45" i="19"/>
  <c r="Q93" i="19" s="1"/>
  <c r="Q15" i="19"/>
  <c r="Q63" i="19" s="1"/>
  <c r="Q23" i="19"/>
  <c r="Q71" i="19" s="1"/>
  <c r="Q36" i="19"/>
  <c r="Q84" i="19" s="1"/>
  <c r="Q127" i="19" s="1"/>
  <c r="Q44" i="19"/>
  <c r="Q92" i="19" s="1"/>
  <c r="Q7" i="19"/>
  <c r="Q55" i="19" s="1"/>
  <c r="Q31" i="19"/>
  <c r="Q79" i="19" s="1"/>
  <c r="Q14" i="19"/>
  <c r="Q62" i="19" s="1"/>
  <c r="Q22" i="19"/>
  <c r="Q70" i="19" s="1"/>
  <c r="Q32" i="19"/>
  <c r="Q80" i="19" s="1"/>
  <c r="Q122" i="19" s="1"/>
  <c r="Q29" i="19"/>
  <c r="Q77" i="19" s="1"/>
  <c r="Q35" i="19"/>
  <c r="Q83" i="19" s="1"/>
  <c r="Q126" i="19" s="1"/>
  <c r="Q13" i="19"/>
  <c r="Q61" i="19" s="1"/>
  <c r="Q21" i="19"/>
  <c r="Q69" i="19" s="1"/>
  <c r="Q42" i="19"/>
  <c r="Q90" i="19" s="1"/>
  <c r="Q130" i="19" s="1"/>
  <c r="Q12" i="19"/>
  <c r="Q60" i="19" s="1"/>
  <c r="Q20" i="19"/>
  <c r="Q68" i="19" s="1"/>
  <c r="Q28" i="19"/>
  <c r="Q76" i="19" s="1"/>
  <c r="Q34" i="19"/>
  <c r="Q82" i="19" s="1"/>
  <c r="Q124" i="19" s="1"/>
  <c r="Q41" i="19"/>
  <c r="Q89" i="19" s="1"/>
  <c r="Q133" i="19" s="1"/>
  <c r="AA36" i="19"/>
  <c r="AA84" i="19" s="1"/>
  <c r="AA127" i="19" s="1"/>
  <c r="AA44" i="19"/>
  <c r="AA92" i="19" s="1"/>
  <c r="AA14" i="19"/>
  <c r="AA62" i="19" s="1"/>
  <c r="AA22" i="19"/>
  <c r="AA70" i="19" s="1"/>
  <c r="AA35" i="19"/>
  <c r="AA83" i="19" s="1"/>
  <c r="AA126" i="19" s="1"/>
  <c r="AA43" i="19"/>
  <c r="AA91" i="19" s="1"/>
  <c r="AA51" i="19"/>
  <c r="AA99" i="19" s="1"/>
  <c r="AA13" i="19"/>
  <c r="AA61" i="19" s="1"/>
  <c r="AA21" i="19"/>
  <c r="AA69" i="19" s="1"/>
  <c r="AA34" i="19"/>
  <c r="AA82" i="19" s="1"/>
  <c r="AA124" i="19" s="1"/>
  <c r="AA42" i="19"/>
  <c r="AA90" i="19" s="1"/>
  <c r="AA130" i="19" s="1"/>
  <c r="AA50" i="19"/>
  <c r="AA98" i="19" s="1"/>
  <c r="AA12" i="19"/>
  <c r="AA60" i="19" s="1"/>
  <c r="AA20" i="19"/>
  <c r="AA68" i="19" s="1"/>
  <c r="AA28" i="19"/>
  <c r="AA76" i="19" s="1"/>
  <c r="AA41" i="19"/>
  <c r="AA89" i="19" s="1"/>
  <c r="AA133" i="19" s="1"/>
  <c r="AA49" i="19"/>
  <c r="AA97" i="19" s="1"/>
  <c r="AA11" i="19"/>
  <c r="AA59" i="19" s="1"/>
  <c r="AA19" i="19"/>
  <c r="AA67" i="19" s="1"/>
  <c r="AA27" i="19"/>
  <c r="AA75" i="19" s="1"/>
  <c r="AA10" i="19"/>
  <c r="AA58" i="19" s="1"/>
  <c r="AA115" i="19" s="1"/>
  <c r="AA18" i="19"/>
  <c r="AA66" i="19" s="1"/>
  <c r="AA26" i="19"/>
  <c r="AA74" i="19" s="1"/>
  <c r="AA33" i="19"/>
  <c r="AA81" i="19" s="1"/>
  <c r="AA123" i="19" s="1"/>
  <c r="AA39" i="19"/>
  <c r="AA87" i="19" s="1"/>
  <c r="AA125" i="19" s="1"/>
  <c r="AA47" i="19"/>
  <c r="AA95" i="19" s="1"/>
  <c r="AA131" i="19" s="1"/>
  <c r="AA9" i="19"/>
  <c r="AA57" i="19" s="1"/>
  <c r="AA17" i="19"/>
  <c r="AA65" i="19" s="1"/>
  <c r="AA25" i="19"/>
  <c r="AA73" i="19" s="1"/>
  <c r="AA32" i="19"/>
  <c r="AA80" i="19" s="1"/>
  <c r="AA38" i="19"/>
  <c r="AA86" i="19" s="1"/>
  <c r="AA134" i="19" s="1"/>
  <c r="S51" i="19"/>
  <c r="S99" i="19" s="1"/>
  <c r="AD46" i="19"/>
  <c r="AD94" i="19" s="1"/>
  <c r="S34" i="19"/>
  <c r="S82" i="19" s="1"/>
  <c r="S124" i="19" s="1"/>
  <c r="AD29" i="19"/>
  <c r="AD77" i="19" s="1"/>
  <c r="Q27" i="19"/>
  <c r="Q75" i="19" s="1"/>
  <c r="S11" i="19"/>
  <c r="S59" i="19" s="1"/>
  <c r="N9" i="19"/>
  <c r="N57" i="19" s="1"/>
  <c r="AB29" i="19"/>
  <c r="AB77" i="19" s="1"/>
  <c r="AD7" i="19"/>
  <c r="AD55" i="19" s="1"/>
  <c r="AB46" i="19"/>
  <c r="AB94" i="19" s="1"/>
  <c r="AB136" i="19" s="1"/>
  <c r="AB24" i="19"/>
  <c r="AB72" i="19" s="1"/>
  <c r="S20" i="19"/>
  <c r="S68" i="19" s="1"/>
  <c r="AA15" i="19"/>
  <c r="AA63" i="19" s="1"/>
  <c r="Q11" i="19"/>
  <c r="Q59" i="19" s="1"/>
  <c r="N8" i="19"/>
  <c r="N56" i="19" s="1"/>
  <c r="N16" i="19"/>
  <c r="N64" i="19" s="1"/>
  <c r="N24" i="19"/>
  <c r="N72" i="19" s="1"/>
  <c r="N119" i="19" s="1"/>
  <c r="N37" i="19"/>
  <c r="N85" i="19" s="1"/>
  <c r="N128" i="19" s="1"/>
  <c r="N45" i="19"/>
  <c r="N93" i="19" s="1"/>
  <c r="N131" i="19" s="1"/>
  <c r="N15" i="19"/>
  <c r="N63" i="19" s="1"/>
  <c r="N23" i="19"/>
  <c r="N71" i="19" s="1"/>
  <c r="N31" i="19"/>
  <c r="N79" i="19" s="1"/>
  <c r="N44" i="19"/>
  <c r="N92" i="19" s="1"/>
  <c r="N36" i="19"/>
  <c r="N84" i="19" s="1"/>
  <c r="N127" i="19" s="1"/>
  <c r="N14" i="19"/>
  <c r="N62" i="19" s="1"/>
  <c r="N22" i="19"/>
  <c r="N70" i="19" s="1"/>
  <c r="N29" i="19"/>
  <c r="N77" i="19" s="1"/>
  <c r="N35" i="19"/>
  <c r="N83" i="19" s="1"/>
  <c r="N126" i="19" s="1"/>
  <c r="N43" i="19"/>
  <c r="N91" i="19" s="1"/>
  <c r="N13" i="19"/>
  <c r="N61" i="19" s="1"/>
  <c r="N21" i="19"/>
  <c r="N69" i="19" s="1"/>
  <c r="N50" i="19"/>
  <c r="N98" i="19" s="1"/>
  <c r="N42" i="19"/>
  <c r="N90" i="19" s="1"/>
  <c r="N130" i="19" s="1"/>
  <c r="N12" i="19"/>
  <c r="N60" i="19" s="1"/>
  <c r="N20" i="19"/>
  <c r="N68" i="19" s="1"/>
  <c r="N28" i="19"/>
  <c r="N76" i="19" s="1"/>
  <c r="N34" i="19"/>
  <c r="N82" i="19" s="1"/>
  <c r="N124" i="19" s="1"/>
  <c r="N41" i="19"/>
  <c r="N89" i="19" s="1"/>
  <c r="N133" i="19" s="1"/>
  <c r="N49" i="19"/>
  <c r="N97" i="19" s="1"/>
  <c r="N11" i="19"/>
  <c r="N59" i="19" s="1"/>
  <c r="N19" i="19"/>
  <c r="N67" i="19" s="1"/>
  <c r="N27" i="19"/>
  <c r="N75" i="19" s="1"/>
  <c r="N40" i="19"/>
  <c r="N88" i="19" s="1"/>
  <c r="N132" i="19" s="1"/>
  <c r="N48" i="19"/>
  <c r="N96" i="19" s="1"/>
  <c r="N10" i="19"/>
  <c r="N58" i="19" s="1"/>
  <c r="N115" i="19" s="1"/>
  <c r="N18" i="19"/>
  <c r="N66" i="19" s="1"/>
  <c r="N26" i="19"/>
  <c r="N74" i="19" s="1"/>
  <c r="N33" i="19"/>
  <c r="N81" i="19" s="1"/>
  <c r="N123" i="19" s="1"/>
  <c r="AB7" i="19"/>
  <c r="AB55" i="19" s="1"/>
  <c r="AD47" i="19"/>
  <c r="AD95" i="19" s="1"/>
  <c r="AA46" i="19"/>
  <c r="AA94" i="19" s="1"/>
  <c r="AB31" i="19"/>
  <c r="AB79" i="19" s="1"/>
  <c r="AA24" i="19"/>
  <c r="AA72" i="19" s="1"/>
  <c r="T11" i="19"/>
  <c r="T59" i="19" s="1"/>
  <c r="T19" i="19"/>
  <c r="T67" i="19" s="1"/>
  <c r="T27" i="19"/>
  <c r="T75" i="19" s="1"/>
  <c r="T40" i="19"/>
  <c r="T88" i="19" s="1"/>
  <c r="T132" i="19" s="1"/>
  <c r="T10" i="19"/>
  <c r="T58" i="19" s="1"/>
  <c r="T115" i="19" s="1"/>
  <c r="T18" i="19"/>
  <c r="T66" i="19" s="1"/>
  <c r="T26" i="19"/>
  <c r="T74" i="19" s="1"/>
  <c r="T33" i="19"/>
  <c r="T81" i="19" s="1"/>
  <c r="T123" i="19" s="1"/>
  <c r="T47" i="19"/>
  <c r="T95" i="19" s="1"/>
  <c r="T39" i="19"/>
  <c r="T87" i="19" s="1"/>
  <c r="T125" i="19" s="1"/>
  <c r="T9" i="19"/>
  <c r="T57" i="19" s="1"/>
  <c r="T17" i="19"/>
  <c r="T65" i="19" s="1"/>
  <c r="T25" i="19"/>
  <c r="T73" i="19" s="1"/>
  <c r="T32" i="19"/>
  <c r="T80" i="19" s="1"/>
  <c r="T122" i="19" s="1"/>
  <c r="T38" i="19"/>
  <c r="T86" i="19" s="1"/>
  <c r="T134" i="19" s="1"/>
  <c r="T46" i="19"/>
  <c r="T94" i="19" s="1"/>
  <c r="T8" i="19"/>
  <c r="T56" i="19" s="1"/>
  <c r="T16" i="19"/>
  <c r="T64" i="19" s="1"/>
  <c r="T24" i="19"/>
  <c r="T72" i="19" s="1"/>
  <c r="T31" i="19"/>
  <c r="T79" i="19" s="1"/>
  <c r="T37" i="19"/>
  <c r="T85" i="19" s="1"/>
  <c r="T128" i="19" s="1"/>
  <c r="T45" i="19"/>
  <c r="T93" i="19" s="1"/>
  <c r="T15" i="19"/>
  <c r="T63" i="19" s="1"/>
  <c r="T23" i="19"/>
  <c r="T71" i="19" s="1"/>
  <c r="T36" i="19"/>
  <c r="T84" i="19" s="1"/>
  <c r="T127" i="19" s="1"/>
  <c r="T44" i="19"/>
  <c r="T92" i="19" s="1"/>
  <c r="T14" i="19"/>
  <c r="T62" i="19" s="1"/>
  <c r="T22" i="19"/>
  <c r="T70" i="19" s="1"/>
  <c r="T29" i="19"/>
  <c r="T77" i="19" s="1"/>
  <c r="T35" i="19"/>
  <c r="T83" i="19" s="1"/>
  <c r="T126" i="19" s="1"/>
  <c r="T43" i="19"/>
  <c r="T91" i="19" s="1"/>
  <c r="T129" i="19" s="1"/>
  <c r="T51" i="19"/>
  <c r="T99" i="19" s="1"/>
  <c r="T13" i="19"/>
  <c r="T61" i="19" s="1"/>
  <c r="T21" i="19"/>
  <c r="T69" i="19" s="1"/>
  <c r="AA7" i="19"/>
  <c r="AA55" i="19" s="1"/>
  <c r="N51" i="19"/>
  <c r="N99" i="19" s="1"/>
  <c r="T41" i="19"/>
  <c r="T89" i="19" s="1"/>
  <c r="T133" i="19" s="1"/>
  <c r="AA31" i="19"/>
  <c r="AA79" i="19" s="1"/>
  <c r="AD17" i="19"/>
  <c r="AD65" i="19" s="1"/>
  <c r="AB8" i="19"/>
  <c r="AB56" i="19" s="1"/>
  <c r="Q43" i="19"/>
  <c r="Q91" i="19" s="1"/>
  <c r="S41" i="19"/>
  <c r="S89" i="19" s="1"/>
  <c r="S133" i="19" s="1"/>
  <c r="AA8" i="19"/>
  <c r="AA56" i="19" s="1"/>
  <c r="S50" i="19"/>
  <c r="S98" i="19" s="1"/>
  <c r="AA48" i="19"/>
  <c r="AA96" i="19" s="1"/>
  <c r="AD39" i="19"/>
  <c r="AD87" i="19" s="1"/>
  <c r="AD125" i="19" s="1"/>
  <c r="D41" i="18" s="1"/>
  <c r="Q26" i="19"/>
  <c r="Q74" i="19" s="1"/>
  <c r="Q50" i="19"/>
  <c r="Q98" i="19" s="1"/>
  <c r="T48" i="19"/>
  <c r="T96" i="19" s="1"/>
  <c r="Q47" i="19"/>
  <c r="Q95" i="19" s="1"/>
  <c r="N46" i="19"/>
  <c r="N94" i="19" s="1"/>
  <c r="AB37" i="19"/>
  <c r="AB85" i="19" s="1"/>
  <c r="AB128" i="19" s="1"/>
  <c r="Q33" i="19"/>
  <c r="Q81" i="19" s="1"/>
  <c r="Q123" i="19" s="1"/>
  <c r="S19" i="19"/>
  <c r="S67" i="19" s="1"/>
  <c r="N17" i="19"/>
  <c r="N65" i="19" s="1"/>
  <c r="AE40" i="19"/>
  <c r="AE88" i="19" s="1"/>
  <c r="AE132" i="19" s="1"/>
  <c r="AE27" i="19"/>
  <c r="AE75" i="19" s="1"/>
  <c r="AE19" i="19"/>
  <c r="AE67" i="19" s="1"/>
  <c r="AE11" i="19"/>
  <c r="AE59" i="19" s="1"/>
  <c r="AE41" i="19"/>
  <c r="AE89" i="19" s="1"/>
  <c r="AE133" i="19" s="1"/>
  <c r="AE28" i="19"/>
  <c r="AE76" i="19" s="1"/>
  <c r="AE20" i="19"/>
  <c r="AE68" i="19" s="1"/>
  <c r="AE12" i="19"/>
  <c r="AE60" i="19" s="1"/>
  <c r="AE34" i="19"/>
  <c r="AE82" i="19" s="1"/>
  <c r="AE124" i="19" s="1"/>
  <c r="AE21" i="19"/>
  <c r="AE69" i="19" s="1"/>
  <c r="AE13" i="19"/>
  <c r="AE61" i="19" s="1"/>
  <c r="AE51" i="19"/>
  <c r="AE99" i="19" s="1"/>
  <c r="AE43" i="19"/>
  <c r="AE91" i="19" s="1"/>
  <c r="AE35" i="19"/>
  <c r="AE83" i="19" s="1"/>
  <c r="AE126" i="19" s="1"/>
  <c r="AE30" i="19"/>
  <c r="AE78" i="19" s="1"/>
  <c r="AE122" i="19" s="1"/>
  <c r="AE22" i="19"/>
  <c r="AE70" i="19" s="1"/>
  <c r="AE14" i="19"/>
  <c r="AE62" i="19" s="1"/>
  <c r="AE44" i="19"/>
  <c r="AE92" i="19" s="1"/>
  <c r="AE36" i="19"/>
  <c r="AE84" i="19" s="1"/>
  <c r="AE127" i="19" s="1"/>
  <c r="AE23" i="19"/>
  <c r="AE71" i="19" s="1"/>
  <c r="AE15" i="19"/>
  <c r="AE63" i="19" s="1"/>
  <c r="AE45" i="19"/>
  <c r="AE93" i="19" s="1"/>
  <c r="AE131" i="19" s="1"/>
  <c r="AE37" i="19"/>
  <c r="AE85" i="19" s="1"/>
  <c r="AE128" i="19" s="1"/>
  <c r="AE31" i="19"/>
  <c r="AE79" i="19" s="1"/>
  <c r="AE24" i="19"/>
  <c r="AE72" i="19" s="1"/>
  <c r="AE119" i="19" s="1"/>
  <c r="AE16" i="19"/>
  <c r="AE64" i="19" s="1"/>
  <c r="AE8" i="19"/>
  <c r="AE56" i="19" s="1"/>
  <c r="AR68" i="19"/>
  <c r="AV68" i="19" s="1"/>
  <c r="AR67" i="19"/>
  <c r="AV67" i="19" s="1"/>
  <c r="AR30" i="19"/>
  <c r="AV30" i="19" s="1"/>
  <c r="AV64" i="19"/>
  <c r="AS28" i="19"/>
  <c r="AA30" i="19" s="1"/>
  <c r="AA78" i="19" s="1"/>
  <c r="AQ28" i="19"/>
  <c r="AV63" i="19"/>
  <c r="F9" i="19" s="1"/>
  <c r="AD117" i="19" l="1"/>
  <c r="AA129" i="19"/>
  <c r="T119" i="19"/>
  <c r="D38" i="18"/>
  <c r="AE118" i="19"/>
  <c r="Q117" i="19"/>
  <c r="S117" i="19"/>
  <c r="N116" i="19"/>
  <c r="AA120" i="19"/>
  <c r="T118" i="19"/>
  <c r="AA119" i="19"/>
  <c r="D31" i="18"/>
  <c r="J129" i="19"/>
  <c r="J119" i="19"/>
  <c r="S129" i="19"/>
  <c r="S120" i="19"/>
  <c r="AD118" i="19"/>
  <c r="AB129" i="19"/>
  <c r="S118" i="19"/>
  <c r="S136" i="19"/>
  <c r="AB131" i="19"/>
  <c r="AE129" i="19"/>
  <c r="AD116" i="19"/>
  <c r="AA118" i="19"/>
  <c r="N136" i="19"/>
  <c r="T116" i="19"/>
  <c r="S116" i="19"/>
  <c r="T136" i="19"/>
  <c r="Q120" i="19"/>
  <c r="AA136" i="19"/>
  <c r="AA116" i="19"/>
  <c r="AD136" i="19"/>
  <c r="T117" i="19"/>
  <c r="AB120" i="19"/>
  <c r="AB118" i="19"/>
  <c r="AE116" i="19"/>
  <c r="N120" i="19"/>
  <c r="N118" i="19"/>
  <c r="Q129" i="19"/>
  <c r="Q116" i="19"/>
  <c r="Q131" i="19"/>
  <c r="N129" i="19"/>
  <c r="AA117" i="19"/>
  <c r="S119" i="19"/>
  <c r="AA122" i="19"/>
  <c r="N117" i="19"/>
  <c r="T120" i="19"/>
  <c r="Q119" i="19"/>
  <c r="T131" i="19"/>
  <c r="AB119" i="19"/>
  <c r="Q118" i="19"/>
  <c r="D44" i="18"/>
  <c r="AB116" i="19"/>
  <c r="J122" i="19"/>
  <c r="AD119" i="19"/>
  <c r="D35" i="18" s="1"/>
  <c r="S122" i="19"/>
  <c r="J136" i="19"/>
  <c r="AE120" i="19"/>
  <c r="D40" i="18"/>
  <c r="AB117" i="19"/>
  <c r="AD120" i="19"/>
  <c r="D34" i="18"/>
  <c r="AD129" i="19"/>
  <c r="D45" i="18" s="1"/>
  <c r="J117" i="19"/>
  <c r="D42" i="18"/>
  <c r="AB122" i="19"/>
  <c r="D48" i="18"/>
  <c r="AE136" i="19"/>
  <c r="S131" i="19"/>
  <c r="J118" i="19"/>
  <c r="D32" i="18"/>
  <c r="D43" i="18"/>
  <c r="J120" i="19"/>
  <c r="D49" i="18"/>
  <c r="AD131" i="19"/>
  <c r="D47" i="18" s="1"/>
  <c r="AE117" i="19"/>
  <c r="D33" i="18" s="1"/>
  <c r="I35" i="19"/>
  <c r="I83" i="19" s="1"/>
  <c r="I126" i="19" s="1"/>
  <c r="I43" i="19"/>
  <c r="I91" i="19" s="1"/>
  <c r="I13" i="19"/>
  <c r="I61" i="19" s="1"/>
  <c r="I21" i="19"/>
  <c r="I69" i="19" s="1"/>
  <c r="I42" i="19"/>
  <c r="I90" i="19" s="1"/>
  <c r="I130" i="19" s="1"/>
  <c r="I50" i="19"/>
  <c r="I98" i="19" s="1"/>
  <c r="I29" i="19"/>
  <c r="I77" i="19" s="1"/>
  <c r="I12" i="19"/>
  <c r="I60" i="19" s="1"/>
  <c r="I20" i="19"/>
  <c r="I68" i="19" s="1"/>
  <c r="I28" i="19"/>
  <c r="I76" i="19" s="1"/>
  <c r="I34" i="19"/>
  <c r="I82" i="19" s="1"/>
  <c r="I124" i="19" s="1"/>
  <c r="I41" i="19"/>
  <c r="I89" i="19" s="1"/>
  <c r="I133" i="19" s="1"/>
  <c r="I49" i="19"/>
  <c r="I97" i="19" s="1"/>
  <c r="I11" i="19"/>
  <c r="I59" i="19" s="1"/>
  <c r="I19" i="19"/>
  <c r="I67" i="19" s="1"/>
  <c r="I27" i="19"/>
  <c r="I75" i="19" s="1"/>
  <c r="I40" i="19"/>
  <c r="I88" i="19" s="1"/>
  <c r="I132" i="19" s="1"/>
  <c r="I48" i="19"/>
  <c r="I96" i="19" s="1"/>
  <c r="I10" i="19"/>
  <c r="I58" i="19" s="1"/>
  <c r="I115" i="19" s="1"/>
  <c r="I18" i="19"/>
  <c r="I66" i="19" s="1"/>
  <c r="I26" i="19"/>
  <c r="I74" i="19" s="1"/>
  <c r="I33" i="19"/>
  <c r="I81" i="19" s="1"/>
  <c r="I123" i="19" s="1"/>
  <c r="I9" i="19"/>
  <c r="I57" i="19" s="1"/>
  <c r="I17" i="19"/>
  <c r="I65" i="19" s="1"/>
  <c r="I25" i="19"/>
  <c r="I73" i="19" s="1"/>
  <c r="I32" i="19"/>
  <c r="I80" i="19" s="1"/>
  <c r="I122" i="19" s="1"/>
  <c r="I38" i="19"/>
  <c r="I86" i="19" s="1"/>
  <c r="I134" i="19" s="1"/>
  <c r="I46" i="19"/>
  <c r="I94" i="19" s="1"/>
  <c r="I8" i="19"/>
  <c r="I56" i="19" s="1"/>
  <c r="I16" i="19"/>
  <c r="I64" i="19" s="1"/>
  <c r="I24" i="19"/>
  <c r="I72" i="19" s="1"/>
  <c r="I119" i="19" s="1"/>
  <c r="I37" i="19"/>
  <c r="I85" i="19" s="1"/>
  <c r="I128" i="19" s="1"/>
  <c r="I51" i="19"/>
  <c r="I99" i="19" s="1"/>
  <c r="I45" i="19"/>
  <c r="I93" i="19" s="1"/>
  <c r="I131" i="19" s="1"/>
  <c r="I22" i="19"/>
  <c r="I70" i="19" s="1"/>
  <c r="I36" i="19"/>
  <c r="I84" i="19" s="1"/>
  <c r="I127" i="19" s="1"/>
  <c r="I7" i="19"/>
  <c r="I55" i="19" s="1"/>
  <c r="I23" i="19"/>
  <c r="I71" i="19" s="1"/>
  <c r="I14" i="19"/>
  <c r="I62" i="19" s="1"/>
  <c r="I44" i="19"/>
  <c r="I92" i="19" s="1"/>
  <c r="I47" i="19"/>
  <c r="I95" i="19" s="1"/>
  <c r="I39" i="19"/>
  <c r="I87" i="19" s="1"/>
  <c r="I125" i="19" s="1"/>
  <c r="I31" i="19"/>
  <c r="I79" i="19" s="1"/>
  <c r="I15" i="19"/>
  <c r="I63" i="19" s="1"/>
  <c r="F42" i="19"/>
  <c r="F90" i="19" s="1"/>
  <c r="F130" i="19" s="1"/>
  <c r="F12" i="19"/>
  <c r="F60" i="19" s="1"/>
  <c r="F20" i="19"/>
  <c r="F68" i="19" s="1"/>
  <c r="F28" i="19"/>
  <c r="F76" i="19" s="1"/>
  <c r="F41" i="19"/>
  <c r="F89" i="19" s="1"/>
  <c r="F133" i="19" s="1"/>
  <c r="F49" i="19"/>
  <c r="F97" i="19" s="1"/>
  <c r="F11" i="19"/>
  <c r="F59" i="19" s="1"/>
  <c r="F19" i="19"/>
  <c r="F67" i="19" s="1"/>
  <c r="F27" i="19"/>
  <c r="F75" i="19" s="1"/>
  <c r="F40" i="19"/>
  <c r="F88" i="19" s="1"/>
  <c r="F132" i="19" s="1"/>
  <c r="F48" i="19"/>
  <c r="F96" i="19" s="1"/>
  <c r="F10" i="19"/>
  <c r="F58" i="19" s="1"/>
  <c r="F115" i="19" s="1"/>
  <c r="F18" i="19"/>
  <c r="F66" i="19" s="1"/>
  <c r="F26" i="19"/>
  <c r="F74" i="19" s="1"/>
  <c r="F30" i="19"/>
  <c r="F78" i="19" s="1"/>
  <c r="F33" i="19"/>
  <c r="F81" i="19" s="1"/>
  <c r="F123" i="19" s="1"/>
  <c r="F39" i="19"/>
  <c r="F87" i="19" s="1"/>
  <c r="F125" i="19" s="1"/>
  <c r="F47" i="19"/>
  <c r="F95" i="19" s="1"/>
  <c r="F57" i="19"/>
  <c r="F17" i="19"/>
  <c r="F65" i="19" s="1"/>
  <c r="F25" i="19"/>
  <c r="F73" i="19" s="1"/>
  <c r="F32" i="19"/>
  <c r="F80" i="19" s="1"/>
  <c r="F8" i="19"/>
  <c r="F56" i="19" s="1"/>
  <c r="F16" i="19"/>
  <c r="F64" i="19" s="1"/>
  <c r="F24" i="19"/>
  <c r="F72" i="19" s="1"/>
  <c r="F37" i="19"/>
  <c r="F85" i="19" s="1"/>
  <c r="F128" i="19" s="1"/>
  <c r="F45" i="19"/>
  <c r="F93" i="19" s="1"/>
  <c r="F15" i="19"/>
  <c r="F63" i="19" s="1"/>
  <c r="F23" i="19"/>
  <c r="F71" i="19" s="1"/>
  <c r="F31" i="19"/>
  <c r="F79" i="19" s="1"/>
  <c r="F36" i="19"/>
  <c r="F84" i="19" s="1"/>
  <c r="F127" i="19" s="1"/>
  <c r="F44" i="19"/>
  <c r="F92" i="19" s="1"/>
  <c r="F22" i="19"/>
  <c r="F70" i="19" s="1"/>
  <c r="F13" i="19"/>
  <c r="F61" i="19" s="1"/>
  <c r="F38" i="19"/>
  <c r="F86" i="19" s="1"/>
  <c r="F134" i="19" s="1"/>
  <c r="F29" i="19"/>
  <c r="F77" i="19" s="1"/>
  <c r="F7" i="19"/>
  <c r="F55" i="19" s="1"/>
  <c r="F14" i="19"/>
  <c r="F62" i="19" s="1"/>
  <c r="F51" i="19"/>
  <c r="F99" i="19" s="1"/>
  <c r="F21" i="19"/>
  <c r="F69" i="19" s="1"/>
  <c r="F50" i="19"/>
  <c r="F98" i="19" s="1"/>
  <c r="F35" i="19"/>
  <c r="F83" i="19" s="1"/>
  <c r="F126" i="19" s="1"/>
  <c r="F46" i="19"/>
  <c r="F94" i="19" s="1"/>
  <c r="F43" i="19"/>
  <c r="F91" i="19" s="1"/>
  <c r="R10" i="19"/>
  <c r="R58" i="19" s="1"/>
  <c r="R115" i="19" s="1"/>
  <c r="F31" i="18" s="1"/>
  <c r="R18" i="19"/>
  <c r="R66" i="19" s="1"/>
  <c r="R26" i="19"/>
  <c r="R74" i="19" s="1"/>
  <c r="R33" i="19"/>
  <c r="R81" i="19" s="1"/>
  <c r="R123" i="19" s="1"/>
  <c r="F39" i="18" s="1"/>
  <c r="R39" i="19"/>
  <c r="R87" i="19" s="1"/>
  <c r="R125" i="19" s="1"/>
  <c r="F41" i="18" s="1"/>
  <c r="R9" i="19"/>
  <c r="R57" i="19" s="1"/>
  <c r="R17" i="19"/>
  <c r="R65" i="19" s="1"/>
  <c r="R25" i="19"/>
  <c r="R73" i="19" s="1"/>
  <c r="R32" i="19"/>
  <c r="R80" i="19" s="1"/>
  <c r="R38" i="19"/>
  <c r="R86" i="19" s="1"/>
  <c r="R134" i="19" s="1"/>
  <c r="F50" i="18" s="1"/>
  <c r="R46" i="19"/>
  <c r="R94" i="19" s="1"/>
  <c r="R8" i="19"/>
  <c r="R56" i="19" s="1"/>
  <c r="R16" i="19"/>
  <c r="R64" i="19" s="1"/>
  <c r="R24" i="19"/>
  <c r="R72" i="19" s="1"/>
  <c r="R119" i="19" s="1"/>
  <c r="R31" i="19"/>
  <c r="R79" i="19" s="1"/>
  <c r="R37" i="19"/>
  <c r="R85" i="19" s="1"/>
  <c r="R128" i="19" s="1"/>
  <c r="F44" i="18" s="1"/>
  <c r="R45" i="19"/>
  <c r="R93" i="19" s="1"/>
  <c r="R15" i="19"/>
  <c r="R63" i="19" s="1"/>
  <c r="R23" i="19"/>
  <c r="R71" i="19" s="1"/>
  <c r="R7" i="19"/>
  <c r="R55" i="19" s="1"/>
  <c r="R36" i="19"/>
  <c r="R84" i="19" s="1"/>
  <c r="R127" i="19" s="1"/>
  <c r="F43" i="18" s="1"/>
  <c r="R44" i="19"/>
  <c r="R92" i="19" s="1"/>
  <c r="R14" i="19"/>
  <c r="R62" i="19" s="1"/>
  <c r="R22" i="19"/>
  <c r="R70" i="19" s="1"/>
  <c r="R35" i="19"/>
  <c r="R83" i="19" s="1"/>
  <c r="R126" i="19" s="1"/>
  <c r="F42" i="18" s="1"/>
  <c r="R43" i="19"/>
  <c r="R91" i="19" s="1"/>
  <c r="R13" i="19"/>
  <c r="R61" i="19" s="1"/>
  <c r="R21" i="19"/>
  <c r="R69" i="19" s="1"/>
  <c r="R42" i="19"/>
  <c r="R90" i="19" s="1"/>
  <c r="R130" i="19" s="1"/>
  <c r="F46" i="18" s="1"/>
  <c r="R50" i="19"/>
  <c r="R98" i="19" s="1"/>
  <c r="R12" i="19"/>
  <c r="R60" i="19" s="1"/>
  <c r="R20" i="19"/>
  <c r="R68" i="19" s="1"/>
  <c r="R28" i="19"/>
  <c r="R76" i="19" s="1"/>
  <c r="R41" i="19"/>
  <c r="R89" i="19" s="1"/>
  <c r="R133" i="19" s="1"/>
  <c r="F49" i="18" s="1"/>
  <c r="R47" i="19"/>
  <c r="R95" i="19" s="1"/>
  <c r="R51" i="19"/>
  <c r="R99" i="19" s="1"/>
  <c r="R11" i="19"/>
  <c r="R59" i="19" s="1"/>
  <c r="R34" i="19"/>
  <c r="R82" i="19" s="1"/>
  <c r="R124" i="19" s="1"/>
  <c r="F40" i="18" s="1"/>
  <c r="R27" i="19"/>
  <c r="R75" i="19" s="1"/>
  <c r="R40" i="19"/>
  <c r="R88" i="19" s="1"/>
  <c r="R132" i="19" s="1"/>
  <c r="F48" i="18" s="1"/>
  <c r="R30" i="19"/>
  <c r="R78" i="19" s="1"/>
  <c r="R122" i="19" s="1"/>
  <c r="F38" i="18" s="1"/>
  <c r="R49" i="19"/>
  <c r="R97" i="19" s="1"/>
  <c r="R48" i="19"/>
  <c r="R96" i="19" s="1"/>
  <c r="R19" i="19"/>
  <c r="R67" i="19" s="1"/>
  <c r="D17" i="19"/>
  <c r="D65" i="19" s="1"/>
  <c r="D41" i="19"/>
  <c r="D89" i="19" s="1"/>
  <c r="D133" i="19" s="1"/>
  <c r="D16" i="19"/>
  <c r="D64" i="19" s="1"/>
  <c r="D40" i="19"/>
  <c r="D88" i="19" s="1"/>
  <c r="D132" i="19" s="1"/>
  <c r="D15" i="19"/>
  <c r="D63" i="19" s="1"/>
  <c r="D39" i="19"/>
  <c r="D87" i="19" s="1"/>
  <c r="D125" i="19" s="1"/>
  <c r="D7" i="19"/>
  <c r="D55" i="19" s="1"/>
  <c r="D14" i="19"/>
  <c r="D62" i="19" s="1"/>
  <c r="D38" i="19"/>
  <c r="D86" i="19" s="1"/>
  <c r="D134" i="19" s="1"/>
  <c r="D13" i="19"/>
  <c r="D61" i="19" s="1"/>
  <c r="D37" i="19"/>
  <c r="D85" i="19" s="1"/>
  <c r="D128" i="19" s="1"/>
  <c r="D12" i="19"/>
  <c r="D60" i="19" s="1"/>
  <c r="D28" i="19"/>
  <c r="D76" i="19" s="1"/>
  <c r="D36" i="19"/>
  <c r="D84" i="19" s="1"/>
  <c r="D127" i="19" s="1"/>
  <c r="D11" i="19"/>
  <c r="D59" i="19" s="1"/>
  <c r="D27" i="19"/>
  <c r="D75" i="19" s="1"/>
  <c r="D35" i="19"/>
  <c r="D83" i="19" s="1"/>
  <c r="D126" i="19" s="1"/>
  <c r="D51" i="19"/>
  <c r="D99" i="19" s="1"/>
  <c r="D42" i="19"/>
  <c r="D90" i="19" s="1"/>
  <c r="D130" i="19" s="1"/>
  <c r="D10" i="19"/>
  <c r="D58" i="19" s="1"/>
  <c r="D115" i="19" s="1"/>
  <c r="D26" i="19"/>
  <c r="D74" i="19" s="1"/>
  <c r="D50" i="19"/>
  <c r="D98" i="19" s="1"/>
  <c r="D9" i="19"/>
  <c r="D57" i="19" s="1"/>
  <c r="D25" i="19"/>
  <c r="D73" i="19" s="1"/>
  <c r="D49" i="19"/>
  <c r="D97" i="19" s="1"/>
  <c r="D8" i="19"/>
  <c r="D56" i="19" s="1"/>
  <c r="D24" i="19"/>
  <c r="D72" i="19" s="1"/>
  <c r="D34" i="19"/>
  <c r="D82" i="19" s="1"/>
  <c r="D124" i="19" s="1"/>
  <c r="D48" i="19"/>
  <c r="D96" i="19" s="1"/>
  <c r="D23" i="19"/>
  <c r="D71" i="19" s="1"/>
  <c r="D33" i="19"/>
  <c r="D81" i="19" s="1"/>
  <c r="D123" i="19" s="1"/>
  <c r="D47" i="19"/>
  <c r="D95" i="19" s="1"/>
  <c r="D22" i="19"/>
  <c r="D70" i="19" s="1"/>
  <c r="D32" i="19"/>
  <c r="D80" i="19" s="1"/>
  <c r="D122" i="19" s="1"/>
  <c r="D46" i="19"/>
  <c r="D94" i="19" s="1"/>
  <c r="D31" i="19"/>
  <c r="D79" i="19" s="1"/>
  <c r="D45" i="19"/>
  <c r="D93" i="19" s="1"/>
  <c r="D21" i="19"/>
  <c r="D69" i="19" s="1"/>
  <c r="D20" i="19"/>
  <c r="D68" i="19" s="1"/>
  <c r="D44" i="19"/>
  <c r="D92" i="19" s="1"/>
  <c r="D19" i="19"/>
  <c r="D67" i="19" s="1"/>
  <c r="D43" i="19"/>
  <c r="D91" i="19" s="1"/>
  <c r="D18" i="19"/>
  <c r="D66" i="19" s="1"/>
  <c r="AM63" i="19"/>
  <c r="AV12" i="19"/>
  <c r="I116" i="19" l="1"/>
  <c r="R118" i="19"/>
  <c r="F119" i="19"/>
  <c r="I120" i="19"/>
  <c r="F118" i="19"/>
  <c r="F35" i="18"/>
  <c r="D119" i="19"/>
  <c r="D129" i="19"/>
  <c r="D131" i="19"/>
  <c r="F129" i="19"/>
  <c r="D136" i="19"/>
  <c r="F136" i="19"/>
  <c r="R116" i="19"/>
  <c r="F32" i="18" s="1"/>
  <c r="I136" i="19"/>
  <c r="R120" i="19"/>
  <c r="F36" i="18" s="1"/>
  <c r="F122" i="19"/>
  <c r="D118" i="19"/>
  <c r="F120" i="19"/>
  <c r="D120" i="19"/>
  <c r="R131" i="19"/>
  <c r="F47" i="18" s="1"/>
  <c r="I117" i="19"/>
  <c r="F131" i="19"/>
  <c r="I118" i="19"/>
  <c r="D52" i="18"/>
  <c r="D116" i="19"/>
  <c r="R136" i="19"/>
  <c r="F52" i="18" s="1"/>
  <c r="F116" i="19"/>
  <c r="F34" i="18"/>
  <c r="D117" i="19"/>
  <c r="R129" i="19"/>
  <c r="F45" i="18" s="1"/>
  <c r="I129" i="19"/>
  <c r="F117" i="19"/>
  <c r="R117" i="19"/>
  <c r="F33" i="18" s="1"/>
  <c r="D36" i="18"/>
  <c r="AH10" i="19"/>
  <c r="AH58" i="19" s="1"/>
  <c r="AH115" i="19" s="1"/>
  <c r="E31" i="18" s="1"/>
  <c r="AH18" i="19"/>
  <c r="AH66" i="19" s="1"/>
  <c r="AH26" i="19"/>
  <c r="AH74" i="19" s="1"/>
  <c r="AH33" i="19"/>
  <c r="AH81" i="19" s="1"/>
  <c r="AH123" i="19" s="1"/>
  <c r="E39" i="18" s="1"/>
  <c r="AH39" i="19"/>
  <c r="AH87" i="19" s="1"/>
  <c r="AH125" i="19" s="1"/>
  <c r="E41" i="18" s="1"/>
  <c r="AH9" i="19"/>
  <c r="AH57" i="19" s="1"/>
  <c r="AH17" i="19"/>
  <c r="AH65" i="19" s="1"/>
  <c r="AH25" i="19"/>
  <c r="AH73" i="19" s="1"/>
  <c r="AH29" i="19"/>
  <c r="AH77" i="19" s="1"/>
  <c r="AH32" i="19"/>
  <c r="AH80" i="19" s="1"/>
  <c r="AH46" i="19"/>
  <c r="AH94" i="19" s="1"/>
  <c r="AH38" i="19"/>
  <c r="AH86" i="19" s="1"/>
  <c r="AH134" i="19" s="1"/>
  <c r="E50" i="18" s="1"/>
  <c r="AH8" i="19"/>
  <c r="AH56" i="19" s="1"/>
  <c r="AH16" i="19"/>
  <c r="AH64" i="19" s="1"/>
  <c r="AH24" i="19"/>
  <c r="AH72" i="19" s="1"/>
  <c r="AH119" i="19" s="1"/>
  <c r="E35" i="18" s="1"/>
  <c r="AH31" i="19"/>
  <c r="AH79" i="19" s="1"/>
  <c r="AH37" i="19"/>
  <c r="AH85" i="19" s="1"/>
  <c r="AH128" i="19" s="1"/>
  <c r="E44" i="18" s="1"/>
  <c r="AH45" i="19"/>
  <c r="AH93" i="19" s="1"/>
  <c r="AH15" i="19"/>
  <c r="AH63" i="19" s="1"/>
  <c r="AH23" i="19"/>
  <c r="AH71" i="19" s="1"/>
  <c r="AH36" i="19"/>
  <c r="AH84" i="19" s="1"/>
  <c r="AH127" i="19" s="1"/>
  <c r="E43" i="18" s="1"/>
  <c r="AH44" i="19"/>
  <c r="AH92" i="19" s="1"/>
  <c r="AH7" i="19"/>
  <c r="AH55" i="19" s="1"/>
  <c r="AH14" i="19"/>
  <c r="AH62" i="19" s="1"/>
  <c r="AH22" i="19"/>
  <c r="AH70" i="19" s="1"/>
  <c r="AH30" i="19"/>
  <c r="AH78" i="19" s="1"/>
  <c r="AH122" i="19" s="1"/>
  <c r="E38" i="18" s="1"/>
  <c r="AH35" i="19"/>
  <c r="AH83" i="19" s="1"/>
  <c r="AH126" i="19" s="1"/>
  <c r="E42" i="18" s="1"/>
  <c r="AH43" i="19"/>
  <c r="AH91" i="19" s="1"/>
  <c r="AH129" i="19" s="1"/>
  <c r="E45" i="18" s="1"/>
  <c r="AH13" i="19"/>
  <c r="AH61" i="19" s="1"/>
  <c r="AH21" i="19"/>
  <c r="AH69" i="19" s="1"/>
  <c r="AH34" i="19"/>
  <c r="AH82" i="19" s="1"/>
  <c r="AH124" i="19" s="1"/>
  <c r="E40" i="18" s="1"/>
  <c r="AH42" i="19"/>
  <c r="AH90" i="19" s="1"/>
  <c r="AH130" i="19" s="1"/>
  <c r="E46" i="18" s="1"/>
  <c r="AH50" i="19"/>
  <c r="AH98" i="19" s="1"/>
  <c r="AH12" i="19"/>
  <c r="AH60" i="19" s="1"/>
  <c r="AH20" i="19"/>
  <c r="AH68" i="19" s="1"/>
  <c r="AH28" i="19"/>
  <c r="AH76" i="19" s="1"/>
  <c r="AH51" i="19"/>
  <c r="AH99" i="19" s="1"/>
  <c r="AH19" i="19"/>
  <c r="AH67" i="19" s="1"/>
  <c r="AH48" i="19"/>
  <c r="AH96" i="19" s="1"/>
  <c r="AH41" i="19"/>
  <c r="AH89" i="19" s="1"/>
  <c r="AH133" i="19" s="1"/>
  <c r="E49" i="18" s="1"/>
  <c r="AH49" i="19"/>
  <c r="AH97" i="19" s="1"/>
  <c r="AH47" i="19"/>
  <c r="AH95" i="19" s="1"/>
  <c r="AH11" i="19"/>
  <c r="AH59" i="19" s="1"/>
  <c r="AH27" i="19"/>
  <c r="AH75" i="19" s="1"/>
  <c r="AH40" i="19"/>
  <c r="AH88" i="19" s="1"/>
  <c r="AH132" i="19" s="1"/>
  <c r="E48" i="18" s="1"/>
  <c r="AH117" i="19" l="1"/>
  <c r="E33" i="18" s="1"/>
  <c r="AH116" i="19"/>
  <c r="E32" i="18" s="1"/>
  <c r="AH120" i="19"/>
  <c r="E36" i="18" s="1"/>
  <c r="AH131" i="19"/>
  <c r="E47" i="18" s="1"/>
  <c r="AH118" i="19"/>
  <c r="E34" i="18" s="1"/>
  <c r="AH136" i="19"/>
  <c r="E52" i="18" s="1"/>
  <c r="F6" i="19"/>
  <c r="G6" i="19"/>
  <c r="H6" i="19"/>
  <c r="I6" i="19"/>
  <c r="J6" i="19"/>
  <c r="K6" i="19"/>
  <c r="L6" i="19"/>
  <c r="M6" i="19"/>
  <c r="N6" i="19"/>
  <c r="O6" i="19"/>
  <c r="P6" i="19"/>
  <c r="Q6" i="19"/>
  <c r="R6" i="19"/>
  <c r="S6" i="19"/>
  <c r="T6" i="19"/>
  <c r="U6" i="19"/>
  <c r="V6" i="19"/>
  <c r="W6" i="19"/>
  <c r="X6" i="19"/>
  <c r="Y6" i="19"/>
  <c r="Z6" i="19"/>
  <c r="AA6" i="19"/>
  <c r="AB6" i="19"/>
  <c r="AC6" i="19"/>
  <c r="AD6" i="19"/>
  <c r="AE6" i="19"/>
  <c r="D6" i="19"/>
  <c r="AV4" i="19"/>
  <c r="AS23" i="19"/>
  <c r="AS18" i="19"/>
  <c r="AV11" i="19"/>
  <c r="AR23" i="19"/>
  <c r="AV23" i="19" s="1"/>
  <c r="AR22" i="19"/>
  <c r="AV22" i="19" s="1"/>
  <c r="AR18" i="19"/>
  <c r="AV18" i="19" s="1"/>
  <c r="AR21" i="19"/>
  <c r="AV21" i="19" s="1"/>
  <c r="AR20" i="19"/>
  <c r="AV20" i="19" s="1"/>
  <c r="AR17" i="19"/>
  <c r="AV17" i="19" s="1"/>
  <c r="AS16" i="19"/>
  <c r="W29" i="19" s="1"/>
  <c r="W77" i="19" s="1"/>
  <c r="AM23" i="19"/>
  <c r="AM22" i="19"/>
  <c r="AM21" i="19"/>
  <c r="AM4" i="19"/>
  <c r="AV5" i="19" s="1"/>
  <c r="AM5" i="19"/>
  <c r="AV6" i="19" s="1"/>
  <c r="AM6" i="19"/>
  <c r="AV7" i="19" s="1"/>
  <c r="AM7" i="19"/>
  <c r="AV8" i="19" s="1"/>
  <c r="AM18" i="19"/>
  <c r="AM20" i="19"/>
  <c r="AM16" i="19"/>
  <c r="AM17" i="19"/>
  <c r="AM8" i="19"/>
  <c r="AV9" i="19" s="1"/>
  <c r="AM9" i="19"/>
  <c r="AV10" i="19" s="1"/>
  <c r="H13" i="19" l="1"/>
  <c r="H61" i="19" s="1"/>
  <c r="H21" i="19"/>
  <c r="H69" i="19" s="1"/>
  <c r="H29" i="19"/>
  <c r="H77" i="19" s="1"/>
  <c r="H42" i="19"/>
  <c r="H90" i="19" s="1"/>
  <c r="H130" i="19" s="1"/>
  <c r="H12" i="19"/>
  <c r="H60" i="19" s="1"/>
  <c r="H20" i="19"/>
  <c r="H68" i="19" s="1"/>
  <c r="H28" i="19"/>
  <c r="H76" i="19" s="1"/>
  <c r="H34" i="19"/>
  <c r="H82" i="19" s="1"/>
  <c r="H124" i="19" s="1"/>
  <c r="H41" i="19"/>
  <c r="H89" i="19" s="1"/>
  <c r="H133" i="19" s="1"/>
  <c r="H11" i="19"/>
  <c r="H59" i="19" s="1"/>
  <c r="H19" i="19"/>
  <c r="H67" i="19" s="1"/>
  <c r="H27" i="19"/>
  <c r="H75" i="19" s="1"/>
  <c r="H40" i="19"/>
  <c r="H88" i="19" s="1"/>
  <c r="H132" i="19" s="1"/>
  <c r="H48" i="19"/>
  <c r="H96" i="19" s="1"/>
  <c r="H10" i="19"/>
  <c r="H58" i="19" s="1"/>
  <c r="H115" i="19" s="1"/>
  <c r="H18" i="19"/>
  <c r="H66" i="19" s="1"/>
  <c r="H26" i="19"/>
  <c r="H74" i="19" s="1"/>
  <c r="H120" i="19" s="1"/>
  <c r="H30" i="19"/>
  <c r="H78" i="19" s="1"/>
  <c r="H33" i="19"/>
  <c r="H81" i="19" s="1"/>
  <c r="H123" i="19" s="1"/>
  <c r="H39" i="19"/>
  <c r="H87" i="19" s="1"/>
  <c r="H125" i="19" s="1"/>
  <c r="H47" i="19"/>
  <c r="H95" i="19" s="1"/>
  <c r="H9" i="19"/>
  <c r="H57" i="19" s="1"/>
  <c r="H17" i="19"/>
  <c r="H65" i="19" s="1"/>
  <c r="H25" i="19"/>
  <c r="H73" i="19" s="1"/>
  <c r="H32" i="19"/>
  <c r="H80" i="19" s="1"/>
  <c r="H38" i="19"/>
  <c r="H86" i="19" s="1"/>
  <c r="H134" i="19" s="1"/>
  <c r="H46" i="19"/>
  <c r="H94" i="19" s="1"/>
  <c r="H8" i="19"/>
  <c r="H56" i="19" s="1"/>
  <c r="H16" i="19"/>
  <c r="H64" i="19" s="1"/>
  <c r="H24" i="19"/>
  <c r="H72" i="19" s="1"/>
  <c r="H37" i="19"/>
  <c r="H85" i="19" s="1"/>
  <c r="H128" i="19" s="1"/>
  <c r="H45" i="19"/>
  <c r="H93" i="19" s="1"/>
  <c r="H131" i="19" s="1"/>
  <c r="H15" i="19"/>
  <c r="H63" i="19" s="1"/>
  <c r="H23" i="19"/>
  <c r="H71" i="19" s="1"/>
  <c r="H31" i="19"/>
  <c r="H79" i="19" s="1"/>
  <c r="H43" i="19"/>
  <c r="H91" i="19" s="1"/>
  <c r="H129" i="19" s="1"/>
  <c r="H22" i="19"/>
  <c r="H70" i="19" s="1"/>
  <c r="H36" i="19"/>
  <c r="H84" i="19" s="1"/>
  <c r="H127" i="19" s="1"/>
  <c r="H7" i="19"/>
  <c r="H55" i="19" s="1"/>
  <c r="H14" i="19"/>
  <c r="H62" i="19" s="1"/>
  <c r="H44" i="19"/>
  <c r="H92" i="19" s="1"/>
  <c r="H49" i="19"/>
  <c r="H97" i="19" s="1"/>
  <c r="H50" i="19"/>
  <c r="H98" i="19" s="1"/>
  <c r="H35" i="19"/>
  <c r="H83" i="19" s="1"/>
  <c r="H126" i="19" s="1"/>
  <c r="H51" i="19"/>
  <c r="H99" i="19" s="1"/>
  <c r="M37" i="19"/>
  <c r="M85" i="19" s="1"/>
  <c r="M128" i="19" s="1"/>
  <c r="M45" i="19"/>
  <c r="M93" i="19" s="1"/>
  <c r="M131" i="19" s="1"/>
  <c r="M15" i="19"/>
  <c r="M63" i="19" s="1"/>
  <c r="M23" i="19"/>
  <c r="M71" i="19" s="1"/>
  <c r="M31" i="19"/>
  <c r="M79" i="19" s="1"/>
  <c r="M36" i="19"/>
  <c r="M84" i="19" s="1"/>
  <c r="M127" i="19" s="1"/>
  <c r="M44" i="19"/>
  <c r="M92" i="19" s="1"/>
  <c r="M7" i="19"/>
  <c r="M55" i="19" s="1"/>
  <c r="M14" i="19"/>
  <c r="M62" i="19" s="1"/>
  <c r="M22" i="19"/>
  <c r="M70" i="19" s="1"/>
  <c r="M29" i="19"/>
  <c r="M77" i="19" s="1"/>
  <c r="M35" i="19"/>
  <c r="M83" i="19" s="1"/>
  <c r="M126" i="19" s="1"/>
  <c r="M43" i="19"/>
  <c r="M91" i="19" s="1"/>
  <c r="M51" i="19"/>
  <c r="M99" i="19" s="1"/>
  <c r="M13" i="19"/>
  <c r="M61" i="19" s="1"/>
  <c r="M21" i="19"/>
  <c r="M69" i="19" s="1"/>
  <c r="M118" i="19" s="1"/>
  <c r="M42" i="19"/>
  <c r="M90" i="19" s="1"/>
  <c r="M130" i="19" s="1"/>
  <c r="M50" i="19"/>
  <c r="M98" i="19" s="1"/>
  <c r="M12" i="19"/>
  <c r="M60" i="19" s="1"/>
  <c r="M20" i="19"/>
  <c r="M68" i="19" s="1"/>
  <c r="M28" i="19"/>
  <c r="M76" i="19" s="1"/>
  <c r="M34" i="19"/>
  <c r="M82" i="19" s="1"/>
  <c r="M124" i="19" s="1"/>
  <c r="M11" i="19"/>
  <c r="M59" i="19" s="1"/>
  <c r="M19" i="19"/>
  <c r="M67" i="19" s="1"/>
  <c r="M27" i="19"/>
  <c r="M75" i="19" s="1"/>
  <c r="M30" i="19"/>
  <c r="M78" i="19" s="1"/>
  <c r="M40" i="19"/>
  <c r="M88" i="19" s="1"/>
  <c r="M132" i="19" s="1"/>
  <c r="M48" i="19"/>
  <c r="M96" i="19" s="1"/>
  <c r="M10" i="19"/>
  <c r="M58" i="19" s="1"/>
  <c r="M115" i="19" s="1"/>
  <c r="M18" i="19"/>
  <c r="M66" i="19" s="1"/>
  <c r="M26" i="19"/>
  <c r="M74" i="19" s="1"/>
  <c r="M33" i="19"/>
  <c r="M81" i="19" s="1"/>
  <c r="M123" i="19" s="1"/>
  <c r="M39" i="19"/>
  <c r="M87" i="19" s="1"/>
  <c r="M125" i="19" s="1"/>
  <c r="M8" i="19"/>
  <c r="M56" i="19" s="1"/>
  <c r="M24" i="19"/>
  <c r="M72" i="19" s="1"/>
  <c r="M38" i="19"/>
  <c r="M86" i="19" s="1"/>
  <c r="M134" i="19" s="1"/>
  <c r="M9" i="19"/>
  <c r="M57" i="19" s="1"/>
  <c r="M32" i="19"/>
  <c r="M80" i="19" s="1"/>
  <c r="M25" i="19"/>
  <c r="M73" i="19" s="1"/>
  <c r="M16" i="19"/>
  <c r="M64" i="19" s="1"/>
  <c r="M49" i="19"/>
  <c r="M97" i="19" s="1"/>
  <c r="M47" i="19"/>
  <c r="M95" i="19" s="1"/>
  <c r="M17" i="19"/>
  <c r="M65" i="19" s="1"/>
  <c r="M41" i="19"/>
  <c r="M89" i="19" s="1"/>
  <c r="M133" i="19" s="1"/>
  <c r="M46" i="19"/>
  <c r="M94" i="19" s="1"/>
  <c r="AS24" i="19"/>
  <c r="AC30" i="19" s="1"/>
  <c r="AC78" i="19" s="1"/>
  <c r="AC29" i="19"/>
  <c r="AC77" i="19" s="1"/>
  <c r="L15" i="19"/>
  <c r="L63" i="19" s="1"/>
  <c r="L23" i="19"/>
  <c r="L71" i="19" s="1"/>
  <c r="L31" i="19"/>
  <c r="L79" i="19" s="1"/>
  <c r="L36" i="19"/>
  <c r="L84" i="19" s="1"/>
  <c r="L127" i="19" s="1"/>
  <c r="L44" i="19"/>
  <c r="L92" i="19" s="1"/>
  <c r="L14" i="19"/>
  <c r="L62" i="19" s="1"/>
  <c r="L22" i="19"/>
  <c r="L70" i="19" s="1"/>
  <c r="L29" i="19"/>
  <c r="L77" i="19" s="1"/>
  <c r="L35" i="19"/>
  <c r="L83" i="19" s="1"/>
  <c r="L126" i="19" s="1"/>
  <c r="L43" i="19"/>
  <c r="L91" i="19" s="1"/>
  <c r="L13" i="19"/>
  <c r="L61" i="19" s="1"/>
  <c r="L21" i="19"/>
  <c r="L69" i="19" s="1"/>
  <c r="L42" i="19"/>
  <c r="L90" i="19" s="1"/>
  <c r="L130" i="19" s="1"/>
  <c r="L12" i="19"/>
  <c r="L60" i="19" s="1"/>
  <c r="L20" i="19"/>
  <c r="L68" i="19" s="1"/>
  <c r="L28" i="19"/>
  <c r="L76" i="19" s="1"/>
  <c r="L34" i="19"/>
  <c r="L82" i="19" s="1"/>
  <c r="L124" i="19" s="1"/>
  <c r="L41" i="19"/>
  <c r="L89" i="19" s="1"/>
  <c r="L133" i="19" s="1"/>
  <c r="L49" i="19"/>
  <c r="L97" i="19" s="1"/>
  <c r="L11" i="19"/>
  <c r="L59" i="19" s="1"/>
  <c r="L19" i="19"/>
  <c r="L67" i="19" s="1"/>
  <c r="L27" i="19"/>
  <c r="L75" i="19" s="1"/>
  <c r="L30" i="19"/>
  <c r="L78" i="19" s="1"/>
  <c r="L40" i="19"/>
  <c r="L88" i="19" s="1"/>
  <c r="L132" i="19" s="1"/>
  <c r="L48" i="19"/>
  <c r="L96" i="19" s="1"/>
  <c r="L10" i="19"/>
  <c r="L58" i="19" s="1"/>
  <c r="L115" i="19" s="1"/>
  <c r="L18" i="19"/>
  <c r="L66" i="19" s="1"/>
  <c r="L26" i="19"/>
  <c r="L74" i="19" s="1"/>
  <c r="L120" i="19" s="1"/>
  <c r="L33" i="19"/>
  <c r="L81" i="19" s="1"/>
  <c r="L123" i="19" s="1"/>
  <c r="L39" i="19"/>
  <c r="L87" i="19" s="1"/>
  <c r="L125" i="19" s="1"/>
  <c r="L47" i="19"/>
  <c r="L95" i="19" s="1"/>
  <c r="L9" i="19"/>
  <c r="L57" i="19" s="1"/>
  <c r="L17" i="19"/>
  <c r="L65" i="19" s="1"/>
  <c r="L25" i="19"/>
  <c r="L73" i="19" s="1"/>
  <c r="L24" i="19"/>
  <c r="L72" i="19" s="1"/>
  <c r="L51" i="19"/>
  <c r="L99" i="19" s="1"/>
  <c r="L38" i="19"/>
  <c r="L86" i="19" s="1"/>
  <c r="L134" i="19" s="1"/>
  <c r="L45" i="19"/>
  <c r="L93" i="19" s="1"/>
  <c r="L32" i="19"/>
  <c r="L80" i="19" s="1"/>
  <c r="L16" i="19"/>
  <c r="L64" i="19" s="1"/>
  <c r="L7" i="19"/>
  <c r="L55" i="19" s="1"/>
  <c r="L37" i="19"/>
  <c r="L85" i="19" s="1"/>
  <c r="L128" i="19" s="1"/>
  <c r="L50" i="19"/>
  <c r="L98" i="19" s="1"/>
  <c r="L46" i="19"/>
  <c r="L94" i="19" s="1"/>
  <c r="L8" i="19"/>
  <c r="L56" i="19" s="1"/>
  <c r="P9" i="19"/>
  <c r="P57" i="19" s="1"/>
  <c r="P17" i="19"/>
  <c r="P65" i="19" s="1"/>
  <c r="P25" i="19"/>
  <c r="P73" i="19" s="1"/>
  <c r="P32" i="19"/>
  <c r="P80" i="19" s="1"/>
  <c r="P38" i="19"/>
  <c r="P86" i="19" s="1"/>
  <c r="P134" i="19" s="1"/>
  <c r="H50" i="18" s="1"/>
  <c r="P8" i="19"/>
  <c r="P56" i="19" s="1"/>
  <c r="P16" i="19"/>
  <c r="P64" i="19" s="1"/>
  <c r="P24" i="19"/>
  <c r="P72" i="19" s="1"/>
  <c r="P37" i="19"/>
  <c r="P85" i="19" s="1"/>
  <c r="P128" i="19" s="1"/>
  <c r="H44" i="18" s="1"/>
  <c r="P45" i="19"/>
  <c r="P93" i="19" s="1"/>
  <c r="P131" i="19" s="1"/>
  <c r="H47" i="18" s="1"/>
  <c r="P15" i="19"/>
  <c r="P63" i="19" s="1"/>
  <c r="P23" i="19"/>
  <c r="P71" i="19" s="1"/>
  <c r="P31" i="19"/>
  <c r="P79" i="19" s="1"/>
  <c r="P36" i="19"/>
  <c r="P84" i="19" s="1"/>
  <c r="P127" i="19" s="1"/>
  <c r="H43" i="18" s="1"/>
  <c r="P44" i="19"/>
  <c r="P92" i="19" s="1"/>
  <c r="P14" i="19"/>
  <c r="P62" i="19" s="1"/>
  <c r="P22" i="19"/>
  <c r="P70" i="19" s="1"/>
  <c r="P29" i="19"/>
  <c r="P77" i="19" s="1"/>
  <c r="P35" i="19"/>
  <c r="P83" i="19" s="1"/>
  <c r="P126" i="19" s="1"/>
  <c r="H42" i="18" s="1"/>
  <c r="P43" i="19"/>
  <c r="P91" i="19" s="1"/>
  <c r="P51" i="19"/>
  <c r="P99" i="19" s="1"/>
  <c r="P13" i="19"/>
  <c r="P61" i="19" s="1"/>
  <c r="P21" i="19"/>
  <c r="P69" i="19" s="1"/>
  <c r="P42" i="19"/>
  <c r="P90" i="19" s="1"/>
  <c r="P130" i="19" s="1"/>
  <c r="H46" i="18" s="1"/>
  <c r="P12" i="19"/>
  <c r="P60" i="19" s="1"/>
  <c r="P20" i="19"/>
  <c r="P68" i="19" s="1"/>
  <c r="P28" i="19"/>
  <c r="P76" i="19" s="1"/>
  <c r="P34" i="19"/>
  <c r="P82" i="19" s="1"/>
  <c r="P124" i="19" s="1"/>
  <c r="H40" i="18" s="1"/>
  <c r="P41" i="19"/>
  <c r="P89" i="19" s="1"/>
  <c r="P133" i="19" s="1"/>
  <c r="H49" i="18" s="1"/>
  <c r="P49" i="19"/>
  <c r="P97" i="19" s="1"/>
  <c r="P11" i="19"/>
  <c r="P59" i="19" s="1"/>
  <c r="P19" i="19"/>
  <c r="P67" i="19" s="1"/>
  <c r="P27" i="19"/>
  <c r="P75" i="19" s="1"/>
  <c r="P30" i="19"/>
  <c r="P78" i="19" s="1"/>
  <c r="P26" i="19"/>
  <c r="P74" i="19" s="1"/>
  <c r="P46" i="19"/>
  <c r="P94" i="19" s="1"/>
  <c r="P18" i="19"/>
  <c r="P66" i="19" s="1"/>
  <c r="P40" i="19"/>
  <c r="P88" i="19" s="1"/>
  <c r="P132" i="19" s="1"/>
  <c r="H48" i="18" s="1"/>
  <c r="P7" i="19"/>
  <c r="P55" i="19" s="1"/>
  <c r="P48" i="19"/>
  <c r="P96" i="19" s="1"/>
  <c r="P10" i="19"/>
  <c r="P58" i="19" s="1"/>
  <c r="P115" i="19" s="1"/>
  <c r="H31" i="18" s="1"/>
  <c r="P33" i="19"/>
  <c r="P81" i="19" s="1"/>
  <c r="P123" i="19" s="1"/>
  <c r="H39" i="18" s="1"/>
  <c r="P39" i="19"/>
  <c r="P87" i="19" s="1"/>
  <c r="P125" i="19" s="1"/>
  <c r="H41" i="18" s="1"/>
  <c r="P47" i="19"/>
  <c r="P95" i="19" s="1"/>
  <c r="P50" i="19"/>
  <c r="P98" i="19" s="1"/>
  <c r="E12" i="19"/>
  <c r="E60" i="19" s="1"/>
  <c r="E20" i="19"/>
  <c r="E68" i="19" s="1"/>
  <c r="E28" i="19"/>
  <c r="E76" i="19" s="1"/>
  <c r="E41" i="19"/>
  <c r="E89" i="19" s="1"/>
  <c r="E133" i="19" s="1"/>
  <c r="C49" i="18" s="1"/>
  <c r="E11" i="19"/>
  <c r="E59" i="19" s="1"/>
  <c r="E19" i="19"/>
  <c r="E67" i="19" s="1"/>
  <c r="E27" i="19"/>
  <c r="E75" i="19" s="1"/>
  <c r="E34" i="19"/>
  <c r="E82" i="19" s="1"/>
  <c r="E124" i="19" s="1"/>
  <c r="C40" i="18" s="1"/>
  <c r="E40" i="19"/>
  <c r="E88" i="19" s="1"/>
  <c r="E132" i="19" s="1"/>
  <c r="C48" i="18" s="1"/>
  <c r="E48" i="19"/>
  <c r="E96" i="19" s="1"/>
  <c r="E10" i="19"/>
  <c r="E58" i="19" s="1"/>
  <c r="E115" i="19" s="1"/>
  <c r="E18" i="19"/>
  <c r="E66" i="19" s="1"/>
  <c r="E26" i="19"/>
  <c r="E74" i="19" s="1"/>
  <c r="E120" i="19" s="1"/>
  <c r="C36" i="18" s="1"/>
  <c r="E30" i="19"/>
  <c r="E78" i="19" s="1"/>
  <c r="E33" i="19"/>
  <c r="E81" i="19" s="1"/>
  <c r="E123" i="19" s="1"/>
  <c r="C39" i="18" s="1"/>
  <c r="E39" i="19"/>
  <c r="E87" i="19" s="1"/>
  <c r="E125" i="19" s="1"/>
  <c r="C41" i="18" s="1"/>
  <c r="E47" i="19"/>
  <c r="E95" i="19" s="1"/>
  <c r="E9" i="19"/>
  <c r="E57" i="19" s="1"/>
  <c r="E17" i="19"/>
  <c r="E65" i="19" s="1"/>
  <c r="E25" i="19"/>
  <c r="E73" i="19" s="1"/>
  <c r="E32" i="19"/>
  <c r="E80" i="19" s="1"/>
  <c r="E38" i="19"/>
  <c r="E86" i="19" s="1"/>
  <c r="E134" i="19" s="1"/>
  <c r="E46" i="19"/>
  <c r="E94" i="19" s="1"/>
  <c r="E8" i="19"/>
  <c r="E56" i="19" s="1"/>
  <c r="E16" i="19"/>
  <c r="E64" i="19" s="1"/>
  <c r="E24" i="19"/>
  <c r="E72" i="19" s="1"/>
  <c r="E37" i="19"/>
  <c r="E85" i="19" s="1"/>
  <c r="E128" i="19" s="1"/>
  <c r="E45" i="19"/>
  <c r="E93" i="19" s="1"/>
  <c r="E131" i="19" s="1"/>
  <c r="E15" i="19"/>
  <c r="E63" i="19" s="1"/>
  <c r="E23" i="19"/>
  <c r="E71" i="19" s="1"/>
  <c r="E31" i="19"/>
  <c r="E79" i="19" s="1"/>
  <c r="E36" i="19"/>
  <c r="E84" i="19" s="1"/>
  <c r="E127" i="19" s="1"/>
  <c r="C43" i="18" s="1"/>
  <c r="E44" i="19"/>
  <c r="E92" i="19" s="1"/>
  <c r="E7" i="19"/>
  <c r="E55" i="19" s="1"/>
  <c r="E14" i="19"/>
  <c r="E62" i="19" s="1"/>
  <c r="E22" i="19"/>
  <c r="E70" i="19" s="1"/>
  <c r="E13" i="19"/>
  <c r="E61" i="19" s="1"/>
  <c r="E29" i="19"/>
  <c r="E77" i="19" s="1"/>
  <c r="E42" i="19"/>
  <c r="E90" i="19" s="1"/>
  <c r="E130" i="19" s="1"/>
  <c r="C46" i="18" s="1"/>
  <c r="E49" i="19"/>
  <c r="E97" i="19" s="1"/>
  <c r="E21" i="19"/>
  <c r="E69" i="19" s="1"/>
  <c r="E50" i="19"/>
  <c r="E98" i="19" s="1"/>
  <c r="E35" i="19"/>
  <c r="E83" i="19" s="1"/>
  <c r="E126" i="19" s="1"/>
  <c r="C42" i="18" s="1"/>
  <c r="E51" i="19"/>
  <c r="E99" i="19" s="1"/>
  <c r="E43" i="19"/>
  <c r="E91" i="19" s="1"/>
  <c r="E129" i="19" s="1"/>
  <c r="C45" i="18" s="1"/>
  <c r="AC31" i="19"/>
  <c r="AC79" i="19" s="1"/>
  <c r="AC37" i="19"/>
  <c r="AC85" i="19" s="1"/>
  <c r="AC128" i="19" s="1"/>
  <c r="AC45" i="19"/>
  <c r="AC93" i="19" s="1"/>
  <c r="AC131" i="19" s="1"/>
  <c r="AC15" i="19"/>
  <c r="AC63" i="19" s="1"/>
  <c r="AC23" i="19"/>
  <c r="AC71" i="19" s="1"/>
  <c r="AC36" i="19"/>
  <c r="AC84" i="19" s="1"/>
  <c r="AC127" i="19" s="1"/>
  <c r="AC44" i="19"/>
  <c r="AC92" i="19" s="1"/>
  <c r="AC7" i="19"/>
  <c r="AC55" i="19" s="1"/>
  <c r="AC14" i="19"/>
  <c r="AC62" i="19" s="1"/>
  <c r="AC22" i="19"/>
  <c r="AC70" i="19" s="1"/>
  <c r="AC35" i="19"/>
  <c r="AC83" i="19" s="1"/>
  <c r="AC126" i="19" s="1"/>
  <c r="AC43" i="19"/>
  <c r="AC91" i="19" s="1"/>
  <c r="AC51" i="19"/>
  <c r="AC99" i="19" s="1"/>
  <c r="AC13" i="19"/>
  <c r="AC61" i="19" s="1"/>
  <c r="AC21" i="19"/>
  <c r="AC69" i="19" s="1"/>
  <c r="AC34" i="19"/>
  <c r="AC82" i="19" s="1"/>
  <c r="AC124" i="19" s="1"/>
  <c r="AC42" i="19"/>
  <c r="AC90" i="19" s="1"/>
  <c r="AC130" i="19" s="1"/>
  <c r="AC50" i="19"/>
  <c r="AC98" i="19" s="1"/>
  <c r="AC12" i="19"/>
  <c r="AC60" i="19" s="1"/>
  <c r="AC20" i="19"/>
  <c r="AC68" i="19" s="1"/>
  <c r="AC28" i="19"/>
  <c r="AC76" i="19" s="1"/>
  <c r="AC11" i="19"/>
  <c r="AC59" i="19" s="1"/>
  <c r="AC19" i="19"/>
  <c r="AC67" i="19" s="1"/>
  <c r="AC27" i="19"/>
  <c r="AC75" i="19" s="1"/>
  <c r="AC40" i="19"/>
  <c r="AC88" i="19" s="1"/>
  <c r="AC132" i="19" s="1"/>
  <c r="AC48" i="19"/>
  <c r="AC96" i="19" s="1"/>
  <c r="AC10" i="19"/>
  <c r="AC58" i="19" s="1"/>
  <c r="AC115" i="19" s="1"/>
  <c r="AC18" i="19"/>
  <c r="AC66" i="19" s="1"/>
  <c r="AC26" i="19"/>
  <c r="AC74" i="19" s="1"/>
  <c r="AC33" i="19"/>
  <c r="AC81" i="19" s="1"/>
  <c r="AC123" i="19" s="1"/>
  <c r="AC39" i="19"/>
  <c r="AC87" i="19" s="1"/>
  <c r="AC125" i="19" s="1"/>
  <c r="AC17" i="19"/>
  <c r="AC65" i="19" s="1"/>
  <c r="AC47" i="19"/>
  <c r="AC95" i="19" s="1"/>
  <c r="AC8" i="19"/>
  <c r="AC56" i="19" s="1"/>
  <c r="AC41" i="19"/>
  <c r="AC89" i="19" s="1"/>
  <c r="AC133" i="19" s="1"/>
  <c r="AC49" i="19"/>
  <c r="AC97" i="19" s="1"/>
  <c r="AC24" i="19"/>
  <c r="AC72" i="19" s="1"/>
  <c r="AC46" i="19"/>
  <c r="AC94" i="19" s="1"/>
  <c r="AC9" i="19"/>
  <c r="AC57" i="19" s="1"/>
  <c r="AC38" i="19"/>
  <c r="AC86" i="19" s="1"/>
  <c r="AC134" i="19" s="1"/>
  <c r="AC32" i="19"/>
  <c r="AC80" i="19" s="1"/>
  <c r="AC25" i="19"/>
  <c r="AC73" i="19" s="1"/>
  <c r="AC16" i="19"/>
  <c r="AC64" i="19" s="1"/>
  <c r="K36" i="19"/>
  <c r="K84" i="19" s="1"/>
  <c r="K127" i="19" s="1"/>
  <c r="K44" i="19"/>
  <c r="K92" i="19" s="1"/>
  <c r="K14" i="19"/>
  <c r="K62" i="19" s="1"/>
  <c r="K22" i="19"/>
  <c r="K70" i="19" s="1"/>
  <c r="K29" i="19"/>
  <c r="K77" i="19" s="1"/>
  <c r="K35" i="19"/>
  <c r="K83" i="19" s="1"/>
  <c r="K126" i="19" s="1"/>
  <c r="K43" i="19"/>
  <c r="K91" i="19" s="1"/>
  <c r="K51" i="19"/>
  <c r="K99" i="19" s="1"/>
  <c r="K13" i="19"/>
  <c r="K61" i="19" s="1"/>
  <c r="K21" i="19"/>
  <c r="K69" i="19" s="1"/>
  <c r="K42" i="19"/>
  <c r="K90" i="19" s="1"/>
  <c r="K130" i="19" s="1"/>
  <c r="K50" i="19"/>
  <c r="K98" i="19" s="1"/>
  <c r="K12" i="19"/>
  <c r="K60" i="19" s="1"/>
  <c r="K20" i="19"/>
  <c r="K68" i="19" s="1"/>
  <c r="K28" i="19"/>
  <c r="K76" i="19" s="1"/>
  <c r="K34" i="19"/>
  <c r="K82" i="19" s="1"/>
  <c r="K124" i="19" s="1"/>
  <c r="K41" i="19"/>
  <c r="K89" i="19" s="1"/>
  <c r="K133" i="19" s="1"/>
  <c r="K49" i="19"/>
  <c r="K97" i="19" s="1"/>
  <c r="K11" i="19"/>
  <c r="K59" i="19" s="1"/>
  <c r="K19" i="19"/>
  <c r="K67" i="19" s="1"/>
  <c r="K27" i="19"/>
  <c r="K75" i="19" s="1"/>
  <c r="K30" i="19"/>
  <c r="K78" i="19" s="1"/>
  <c r="K10" i="19"/>
  <c r="K58" i="19" s="1"/>
  <c r="K115" i="19" s="1"/>
  <c r="K18" i="19"/>
  <c r="K66" i="19" s="1"/>
  <c r="K26" i="19"/>
  <c r="K74" i="19" s="1"/>
  <c r="K33" i="19"/>
  <c r="K81" i="19" s="1"/>
  <c r="K123" i="19" s="1"/>
  <c r="K39" i="19"/>
  <c r="K87" i="19" s="1"/>
  <c r="K125" i="19" s="1"/>
  <c r="K47" i="19"/>
  <c r="K95" i="19" s="1"/>
  <c r="K9" i="19"/>
  <c r="K57" i="19" s="1"/>
  <c r="K17" i="19"/>
  <c r="K65" i="19" s="1"/>
  <c r="K25" i="19"/>
  <c r="K73" i="19" s="1"/>
  <c r="K32" i="19"/>
  <c r="K80" i="19" s="1"/>
  <c r="K38" i="19"/>
  <c r="K86" i="19" s="1"/>
  <c r="K134" i="19" s="1"/>
  <c r="K24" i="19"/>
  <c r="K72" i="19" s="1"/>
  <c r="K31" i="19"/>
  <c r="K79" i="19" s="1"/>
  <c r="K15" i="19"/>
  <c r="K63" i="19" s="1"/>
  <c r="K45" i="19"/>
  <c r="K93" i="19" s="1"/>
  <c r="K40" i="19"/>
  <c r="K88" i="19" s="1"/>
  <c r="K132" i="19" s="1"/>
  <c r="K16" i="19"/>
  <c r="K64" i="19" s="1"/>
  <c r="K7" i="19"/>
  <c r="K55" i="19" s="1"/>
  <c r="K23" i="19"/>
  <c r="K71" i="19" s="1"/>
  <c r="K48" i="19"/>
  <c r="K96" i="19" s="1"/>
  <c r="K37" i="19"/>
  <c r="K85" i="19" s="1"/>
  <c r="K128" i="19" s="1"/>
  <c r="K46" i="19"/>
  <c r="K94" i="19" s="1"/>
  <c r="K8" i="19"/>
  <c r="K56" i="19" s="1"/>
  <c r="V12" i="19"/>
  <c r="V60" i="19" s="1"/>
  <c r="V20" i="19"/>
  <c r="V68" i="19" s="1"/>
  <c r="V28" i="19"/>
  <c r="V76" i="19" s="1"/>
  <c r="V34" i="19"/>
  <c r="V82" i="19" s="1"/>
  <c r="V124" i="19" s="1"/>
  <c r="V41" i="19"/>
  <c r="V89" i="19" s="1"/>
  <c r="V133" i="19" s="1"/>
  <c r="V11" i="19"/>
  <c r="V59" i="19" s="1"/>
  <c r="V19" i="19"/>
  <c r="V67" i="19" s="1"/>
  <c r="V27" i="19"/>
  <c r="V75" i="19" s="1"/>
  <c r="V40" i="19"/>
  <c r="V88" i="19" s="1"/>
  <c r="V132" i="19" s="1"/>
  <c r="V48" i="19"/>
  <c r="V96" i="19" s="1"/>
  <c r="V10" i="19"/>
  <c r="V58" i="19" s="1"/>
  <c r="V115" i="19" s="1"/>
  <c r="V18" i="19"/>
  <c r="V66" i="19" s="1"/>
  <c r="V26" i="19"/>
  <c r="V74" i="19" s="1"/>
  <c r="V33" i="19"/>
  <c r="V81" i="19" s="1"/>
  <c r="V123" i="19" s="1"/>
  <c r="V39" i="19"/>
  <c r="V87" i="19" s="1"/>
  <c r="V125" i="19" s="1"/>
  <c r="V47" i="19"/>
  <c r="V95" i="19" s="1"/>
  <c r="V9" i="19"/>
  <c r="V57" i="19" s="1"/>
  <c r="V17" i="19"/>
  <c r="V65" i="19" s="1"/>
  <c r="V25" i="19"/>
  <c r="V73" i="19" s="1"/>
  <c r="V32" i="19"/>
  <c r="V80" i="19" s="1"/>
  <c r="V38" i="19"/>
  <c r="V86" i="19" s="1"/>
  <c r="V134" i="19" s="1"/>
  <c r="V46" i="19"/>
  <c r="V94" i="19" s="1"/>
  <c r="V8" i="19"/>
  <c r="V56" i="19" s="1"/>
  <c r="V16" i="19"/>
  <c r="V64" i="19" s="1"/>
  <c r="V24" i="19"/>
  <c r="V72" i="19" s="1"/>
  <c r="V31" i="19"/>
  <c r="V79" i="19" s="1"/>
  <c r="V37" i="19"/>
  <c r="V85" i="19" s="1"/>
  <c r="V128" i="19" s="1"/>
  <c r="V45" i="19"/>
  <c r="V93" i="19" s="1"/>
  <c r="V15" i="19"/>
  <c r="V63" i="19" s="1"/>
  <c r="V23" i="19"/>
  <c r="V71" i="19" s="1"/>
  <c r="V29" i="19"/>
  <c r="V77" i="19" s="1"/>
  <c r="V36" i="19"/>
  <c r="V84" i="19" s="1"/>
  <c r="V127" i="19" s="1"/>
  <c r="V44" i="19"/>
  <c r="V92" i="19" s="1"/>
  <c r="V7" i="19"/>
  <c r="V55" i="19" s="1"/>
  <c r="V14" i="19"/>
  <c r="V62" i="19" s="1"/>
  <c r="V22" i="19"/>
  <c r="V70" i="19" s="1"/>
  <c r="V49" i="19"/>
  <c r="V97" i="19" s="1"/>
  <c r="V43" i="19"/>
  <c r="V91" i="19" s="1"/>
  <c r="V129" i="19" s="1"/>
  <c r="V13" i="19"/>
  <c r="V61" i="19" s="1"/>
  <c r="V50" i="19"/>
  <c r="V98" i="19" s="1"/>
  <c r="V51" i="19"/>
  <c r="V99" i="19" s="1"/>
  <c r="V42" i="19"/>
  <c r="V90" i="19" s="1"/>
  <c r="V130" i="19" s="1"/>
  <c r="V30" i="19"/>
  <c r="V78" i="19" s="1"/>
  <c r="V21" i="19"/>
  <c r="V69" i="19" s="1"/>
  <c r="V35" i="19"/>
  <c r="V83" i="19" s="1"/>
  <c r="V126" i="19" s="1"/>
  <c r="AS19" i="19"/>
  <c r="U30" i="19" s="1"/>
  <c r="U78" i="19" s="1"/>
  <c r="U29" i="19"/>
  <c r="U77" i="19" s="1"/>
  <c r="Y35" i="19"/>
  <c r="Y83" i="19" s="1"/>
  <c r="Y126" i="19" s="1"/>
  <c r="Y43" i="19"/>
  <c r="Y91" i="19" s="1"/>
  <c r="Y13" i="19"/>
  <c r="Y61" i="19" s="1"/>
  <c r="Y21" i="19"/>
  <c r="Y69" i="19" s="1"/>
  <c r="Y30" i="19"/>
  <c r="Y78" i="19" s="1"/>
  <c r="Y42" i="19"/>
  <c r="Y90" i="19" s="1"/>
  <c r="Y130" i="19" s="1"/>
  <c r="Y50" i="19"/>
  <c r="Y98" i="19" s="1"/>
  <c r="Y12" i="19"/>
  <c r="Y60" i="19" s="1"/>
  <c r="Y20" i="19"/>
  <c r="Y68" i="19" s="1"/>
  <c r="Y28" i="19"/>
  <c r="Y76" i="19" s="1"/>
  <c r="Y41" i="19"/>
  <c r="Y89" i="19" s="1"/>
  <c r="Y133" i="19" s="1"/>
  <c r="Y49" i="19"/>
  <c r="Y97" i="19" s="1"/>
  <c r="Y11" i="19"/>
  <c r="Y59" i="19" s="1"/>
  <c r="Y19" i="19"/>
  <c r="Y67" i="19" s="1"/>
  <c r="Y27" i="19"/>
  <c r="Y75" i="19" s="1"/>
  <c r="Y40" i="19"/>
  <c r="Y88" i="19" s="1"/>
  <c r="Y132" i="19" s="1"/>
  <c r="Y48" i="19"/>
  <c r="Y96" i="19" s="1"/>
  <c r="Y10" i="19"/>
  <c r="Y58" i="19" s="1"/>
  <c r="Y115" i="19" s="1"/>
  <c r="Y18" i="19"/>
  <c r="Y66" i="19" s="1"/>
  <c r="Y26" i="19"/>
  <c r="Y74" i="19" s="1"/>
  <c r="Y33" i="19"/>
  <c r="Y81" i="19" s="1"/>
  <c r="Y123" i="19" s="1"/>
  <c r="Y9" i="19"/>
  <c r="Y57" i="19" s="1"/>
  <c r="Y17" i="19"/>
  <c r="Y65" i="19" s="1"/>
  <c r="Y25" i="19"/>
  <c r="Y73" i="19" s="1"/>
  <c r="Y32" i="19"/>
  <c r="Y80" i="19" s="1"/>
  <c r="Y38" i="19"/>
  <c r="Y86" i="19" s="1"/>
  <c r="Y134" i="19" s="1"/>
  <c r="Y46" i="19"/>
  <c r="Y94" i="19" s="1"/>
  <c r="Y8" i="19"/>
  <c r="Y56" i="19" s="1"/>
  <c r="Y16" i="19"/>
  <c r="Y64" i="19" s="1"/>
  <c r="Y24" i="19"/>
  <c r="Y72" i="19" s="1"/>
  <c r="Y29" i="19"/>
  <c r="Y77" i="19" s="1"/>
  <c r="Y31" i="19"/>
  <c r="Y79" i="19" s="1"/>
  <c r="Y37" i="19"/>
  <c r="Y85" i="19" s="1"/>
  <c r="Y128" i="19" s="1"/>
  <c r="Y39" i="19"/>
  <c r="Y87" i="19" s="1"/>
  <c r="Y125" i="19" s="1"/>
  <c r="Y7" i="19"/>
  <c r="Y55" i="19" s="1"/>
  <c r="Y47" i="19"/>
  <c r="Y95" i="19" s="1"/>
  <c r="Y15" i="19"/>
  <c r="Y63" i="19" s="1"/>
  <c r="Y22" i="19"/>
  <c r="Y70" i="19" s="1"/>
  <c r="Y36" i="19"/>
  <c r="Y84" i="19" s="1"/>
  <c r="Y127" i="19" s="1"/>
  <c r="Y45" i="19"/>
  <c r="Y93" i="19" s="1"/>
  <c r="Y51" i="19"/>
  <c r="Y99" i="19" s="1"/>
  <c r="Y23" i="19"/>
  <c r="Y71" i="19" s="1"/>
  <c r="Y14" i="19"/>
  <c r="Y62" i="19" s="1"/>
  <c r="Y44" i="19"/>
  <c r="Y92" i="19" s="1"/>
  <c r="X13" i="19"/>
  <c r="X61" i="19" s="1"/>
  <c r="X21" i="19"/>
  <c r="X69" i="19" s="1"/>
  <c r="X30" i="19"/>
  <c r="X78" i="19" s="1"/>
  <c r="X42" i="19"/>
  <c r="X90" i="19" s="1"/>
  <c r="X130" i="19" s="1"/>
  <c r="X12" i="19"/>
  <c r="X60" i="19" s="1"/>
  <c r="X20" i="19"/>
  <c r="X68" i="19" s="1"/>
  <c r="X28" i="19"/>
  <c r="X76" i="19" s="1"/>
  <c r="X34" i="19"/>
  <c r="X82" i="19" s="1"/>
  <c r="X124" i="19" s="1"/>
  <c r="X41" i="19"/>
  <c r="X89" i="19" s="1"/>
  <c r="X133" i="19" s="1"/>
  <c r="X11" i="19"/>
  <c r="X59" i="19" s="1"/>
  <c r="X19" i="19"/>
  <c r="X67" i="19" s="1"/>
  <c r="X27" i="19"/>
  <c r="X75" i="19" s="1"/>
  <c r="X40" i="19"/>
  <c r="X88" i="19" s="1"/>
  <c r="X132" i="19" s="1"/>
  <c r="X48" i="19"/>
  <c r="X96" i="19" s="1"/>
  <c r="X10" i="19"/>
  <c r="X58" i="19" s="1"/>
  <c r="X115" i="19" s="1"/>
  <c r="X18" i="19"/>
  <c r="X66" i="19" s="1"/>
  <c r="X26" i="19"/>
  <c r="X74" i="19" s="1"/>
  <c r="X33" i="19"/>
  <c r="X81" i="19" s="1"/>
  <c r="X123" i="19" s="1"/>
  <c r="X39" i="19"/>
  <c r="X87" i="19" s="1"/>
  <c r="X125" i="19" s="1"/>
  <c r="X47" i="19"/>
  <c r="X95" i="19" s="1"/>
  <c r="X9" i="19"/>
  <c r="X57" i="19" s="1"/>
  <c r="X17" i="19"/>
  <c r="X65" i="19" s="1"/>
  <c r="X25" i="19"/>
  <c r="X73" i="19" s="1"/>
  <c r="X32" i="19"/>
  <c r="X80" i="19" s="1"/>
  <c r="X38" i="19"/>
  <c r="X86" i="19" s="1"/>
  <c r="X134" i="19" s="1"/>
  <c r="X46" i="19"/>
  <c r="X94" i="19" s="1"/>
  <c r="X8" i="19"/>
  <c r="X56" i="19" s="1"/>
  <c r="X16" i="19"/>
  <c r="X64" i="19" s="1"/>
  <c r="X24" i="19"/>
  <c r="X72" i="19" s="1"/>
  <c r="X119" i="19" s="1"/>
  <c r="X31" i="19"/>
  <c r="X79" i="19" s="1"/>
  <c r="X37" i="19"/>
  <c r="X85" i="19" s="1"/>
  <c r="X128" i="19" s="1"/>
  <c r="X45" i="19"/>
  <c r="X93" i="19" s="1"/>
  <c r="X15" i="19"/>
  <c r="X63" i="19" s="1"/>
  <c r="X23" i="19"/>
  <c r="X71" i="19" s="1"/>
  <c r="X35" i="19"/>
  <c r="X83" i="19" s="1"/>
  <c r="X126" i="19" s="1"/>
  <c r="X7" i="19"/>
  <c r="X55" i="19" s="1"/>
  <c r="X49" i="19"/>
  <c r="X97" i="19" s="1"/>
  <c r="X50" i="19"/>
  <c r="X98" i="19" s="1"/>
  <c r="X22" i="19"/>
  <c r="X70" i="19" s="1"/>
  <c r="X43" i="19"/>
  <c r="X91" i="19" s="1"/>
  <c r="X129" i="19" s="1"/>
  <c r="X36" i="19"/>
  <c r="X84" i="19" s="1"/>
  <c r="X127" i="19" s="1"/>
  <c r="X51" i="19"/>
  <c r="X99" i="19" s="1"/>
  <c r="X14" i="19"/>
  <c r="X62" i="19" s="1"/>
  <c r="X44" i="19"/>
  <c r="X92" i="19" s="1"/>
  <c r="U34" i="19"/>
  <c r="U82" i="19" s="1"/>
  <c r="U124" i="19" s="1"/>
  <c r="U41" i="19"/>
  <c r="U89" i="19" s="1"/>
  <c r="U133" i="19" s="1"/>
  <c r="U11" i="19"/>
  <c r="U59" i="19" s="1"/>
  <c r="U19" i="19"/>
  <c r="U67" i="19" s="1"/>
  <c r="U27" i="19"/>
  <c r="U75" i="19" s="1"/>
  <c r="U40" i="19"/>
  <c r="U88" i="19" s="1"/>
  <c r="U132" i="19" s="1"/>
  <c r="U48" i="19"/>
  <c r="U96" i="19" s="1"/>
  <c r="U10" i="19"/>
  <c r="U58" i="19" s="1"/>
  <c r="U115" i="19" s="1"/>
  <c r="U18" i="19"/>
  <c r="U66" i="19" s="1"/>
  <c r="U26" i="19"/>
  <c r="U74" i="19" s="1"/>
  <c r="U33" i="19"/>
  <c r="U81" i="19" s="1"/>
  <c r="U123" i="19" s="1"/>
  <c r="U39" i="19"/>
  <c r="U87" i="19" s="1"/>
  <c r="U125" i="19" s="1"/>
  <c r="U47" i="19"/>
  <c r="U95" i="19" s="1"/>
  <c r="U9" i="19"/>
  <c r="U57" i="19" s="1"/>
  <c r="U17" i="19"/>
  <c r="U65" i="19" s="1"/>
  <c r="U25" i="19"/>
  <c r="U73" i="19" s="1"/>
  <c r="U32" i="19"/>
  <c r="U80" i="19" s="1"/>
  <c r="U38" i="19"/>
  <c r="U86" i="19" s="1"/>
  <c r="U134" i="19" s="1"/>
  <c r="U46" i="19"/>
  <c r="U94" i="19" s="1"/>
  <c r="U8" i="19"/>
  <c r="U56" i="19" s="1"/>
  <c r="U16" i="19"/>
  <c r="U64" i="19" s="1"/>
  <c r="U24" i="19"/>
  <c r="U72" i="19" s="1"/>
  <c r="U119" i="19" s="1"/>
  <c r="U31" i="19"/>
  <c r="U79" i="19" s="1"/>
  <c r="U37" i="19"/>
  <c r="U85" i="19" s="1"/>
  <c r="U128" i="19" s="1"/>
  <c r="U15" i="19"/>
  <c r="U63" i="19" s="1"/>
  <c r="U23" i="19"/>
  <c r="U71" i="19" s="1"/>
  <c r="U36" i="19"/>
  <c r="U84" i="19" s="1"/>
  <c r="U127" i="19" s="1"/>
  <c r="U44" i="19"/>
  <c r="U92" i="19" s="1"/>
  <c r="U14" i="19"/>
  <c r="U62" i="19" s="1"/>
  <c r="U22" i="19"/>
  <c r="U70" i="19" s="1"/>
  <c r="U35" i="19"/>
  <c r="U83" i="19" s="1"/>
  <c r="U126" i="19" s="1"/>
  <c r="U43" i="19"/>
  <c r="U91" i="19" s="1"/>
  <c r="U28" i="19"/>
  <c r="U76" i="19" s="1"/>
  <c r="U49" i="19"/>
  <c r="U97" i="19" s="1"/>
  <c r="U13" i="19"/>
  <c r="U61" i="19" s="1"/>
  <c r="U50" i="19"/>
  <c r="U98" i="19" s="1"/>
  <c r="U45" i="19"/>
  <c r="U93" i="19" s="1"/>
  <c r="U20" i="19"/>
  <c r="U68" i="19" s="1"/>
  <c r="U51" i="19"/>
  <c r="U99" i="19" s="1"/>
  <c r="U42" i="19"/>
  <c r="U90" i="19" s="1"/>
  <c r="U130" i="19" s="1"/>
  <c r="U21" i="19"/>
  <c r="U69" i="19" s="1"/>
  <c r="U7" i="19"/>
  <c r="U55" i="19" s="1"/>
  <c r="U12" i="19"/>
  <c r="U60" i="19" s="1"/>
  <c r="AF9" i="19"/>
  <c r="AF57" i="19" s="1"/>
  <c r="AF17" i="19"/>
  <c r="AF65" i="19" s="1"/>
  <c r="AF25" i="19"/>
  <c r="AF73" i="19" s="1"/>
  <c r="AF29" i="19"/>
  <c r="AF77" i="19" s="1"/>
  <c r="AF32" i="19"/>
  <c r="AF80" i="19" s="1"/>
  <c r="AF38" i="19"/>
  <c r="AF86" i="19" s="1"/>
  <c r="AF134" i="19" s="1"/>
  <c r="G50" i="18" s="1"/>
  <c r="AF8" i="19"/>
  <c r="AF56" i="19" s="1"/>
  <c r="AF16" i="19"/>
  <c r="AF64" i="19" s="1"/>
  <c r="AF24" i="19"/>
  <c r="AF72" i="19" s="1"/>
  <c r="AF31" i="19"/>
  <c r="AF79" i="19" s="1"/>
  <c r="AF37" i="19"/>
  <c r="AF85" i="19" s="1"/>
  <c r="AF128" i="19" s="1"/>
  <c r="G44" i="18" s="1"/>
  <c r="AF45" i="19"/>
  <c r="AF93" i="19" s="1"/>
  <c r="AF131" i="19" s="1"/>
  <c r="G47" i="18" s="1"/>
  <c r="AF15" i="19"/>
  <c r="AF63" i="19" s="1"/>
  <c r="AF23" i="19"/>
  <c r="AF71" i="19" s="1"/>
  <c r="AF36" i="19"/>
  <c r="AF84" i="19" s="1"/>
  <c r="AF127" i="19" s="1"/>
  <c r="G43" i="18" s="1"/>
  <c r="AF44" i="19"/>
  <c r="AF92" i="19" s="1"/>
  <c r="AF14" i="19"/>
  <c r="AF62" i="19" s="1"/>
  <c r="AF22" i="19"/>
  <c r="AF70" i="19" s="1"/>
  <c r="AF30" i="19"/>
  <c r="AF78" i="19" s="1"/>
  <c r="AF122" i="19" s="1"/>
  <c r="G38" i="18" s="1"/>
  <c r="AF35" i="19"/>
  <c r="AF83" i="19" s="1"/>
  <c r="AF126" i="19" s="1"/>
  <c r="G42" i="18" s="1"/>
  <c r="AF43" i="19"/>
  <c r="AF91" i="19" s="1"/>
  <c r="AF51" i="19"/>
  <c r="AF99" i="19" s="1"/>
  <c r="AF13" i="19"/>
  <c r="AF61" i="19" s="1"/>
  <c r="AF21" i="19"/>
  <c r="AF69" i="19" s="1"/>
  <c r="AF34" i="19"/>
  <c r="AF82" i="19" s="1"/>
  <c r="AF124" i="19" s="1"/>
  <c r="G40" i="18" s="1"/>
  <c r="AF42" i="19"/>
  <c r="AF90" i="19" s="1"/>
  <c r="AF130" i="19" s="1"/>
  <c r="G46" i="18" s="1"/>
  <c r="AF12" i="19"/>
  <c r="AF60" i="19" s="1"/>
  <c r="AF20" i="19"/>
  <c r="AF68" i="19" s="1"/>
  <c r="AF28" i="19"/>
  <c r="AF76" i="19" s="1"/>
  <c r="AF41" i="19"/>
  <c r="AF89" i="19" s="1"/>
  <c r="AF133" i="19" s="1"/>
  <c r="G49" i="18" s="1"/>
  <c r="AF49" i="19"/>
  <c r="AF97" i="19" s="1"/>
  <c r="AF11" i="19"/>
  <c r="AF59" i="19" s="1"/>
  <c r="AF19" i="19"/>
  <c r="AF67" i="19" s="1"/>
  <c r="AF27" i="19"/>
  <c r="AF75" i="19" s="1"/>
  <c r="AF10" i="19"/>
  <c r="AF58" i="19" s="1"/>
  <c r="AF115" i="19" s="1"/>
  <c r="G31" i="18" s="1"/>
  <c r="AF33" i="19"/>
  <c r="AF81" i="19" s="1"/>
  <c r="AF123" i="19" s="1"/>
  <c r="G39" i="18" s="1"/>
  <c r="AF26" i="19"/>
  <c r="AF74" i="19" s="1"/>
  <c r="AF39" i="19"/>
  <c r="AF87" i="19" s="1"/>
  <c r="AF125" i="19" s="1"/>
  <c r="G41" i="18" s="1"/>
  <c r="AF48" i="19"/>
  <c r="AF96" i="19" s="1"/>
  <c r="AF47" i="19"/>
  <c r="AF95" i="19" s="1"/>
  <c r="AF7" i="19"/>
  <c r="AF55" i="19" s="1"/>
  <c r="AF46" i="19"/>
  <c r="AF94" i="19" s="1"/>
  <c r="AF18" i="19"/>
  <c r="AF66" i="19" s="1"/>
  <c r="AF50" i="19"/>
  <c r="AF98" i="19" s="1"/>
  <c r="AF40" i="19"/>
  <c r="AF88" i="19" s="1"/>
  <c r="AF132" i="19" s="1"/>
  <c r="G48" i="18" s="1"/>
  <c r="AG39" i="19"/>
  <c r="AG87" i="19" s="1"/>
  <c r="AG125" i="19" s="1"/>
  <c r="B41" i="18" s="1"/>
  <c r="AG9" i="19"/>
  <c r="AG57" i="19" s="1"/>
  <c r="AG17" i="19"/>
  <c r="AG65" i="19" s="1"/>
  <c r="AG25" i="19"/>
  <c r="AG73" i="19" s="1"/>
  <c r="AG29" i="19"/>
  <c r="AG77" i="19" s="1"/>
  <c r="AG32" i="19"/>
  <c r="AG80" i="19" s="1"/>
  <c r="AG38" i="19"/>
  <c r="AG86" i="19" s="1"/>
  <c r="AG134" i="19" s="1"/>
  <c r="B50" i="18" s="1"/>
  <c r="AG46" i="19"/>
  <c r="AG94" i="19" s="1"/>
  <c r="AG8" i="19"/>
  <c r="AG56" i="19" s="1"/>
  <c r="AG16" i="19"/>
  <c r="AG64" i="19" s="1"/>
  <c r="AG24" i="19"/>
  <c r="AG72" i="19" s="1"/>
  <c r="AG31" i="19"/>
  <c r="AG79" i="19" s="1"/>
  <c r="AG37" i="19"/>
  <c r="AG85" i="19" s="1"/>
  <c r="AG128" i="19" s="1"/>
  <c r="B44" i="18" s="1"/>
  <c r="AG45" i="19"/>
  <c r="AG93" i="19" s="1"/>
  <c r="AG131" i="19" s="1"/>
  <c r="B47" i="18" s="1"/>
  <c r="AG15" i="19"/>
  <c r="AG63" i="19" s="1"/>
  <c r="AG23" i="19"/>
  <c r="AG71" i="19" s="1"/>
  <c r="AG36" i="19"/>
  <c r="AG84" i="19" s="1"/>
  <c r="AG127" i="19" s="1"/>
  <c r="B43" i="18" s="1"/>
  <c r="AG44" i="19"/>
  <c r="AG92" i="19" s="1"/>
  <c r="AG7" i="19"/>
  <c r="AG55" i="19" s="1"/>
  <c r="AG14" i="19"/>
  <c r="AG62" i="19" s="1"/>
  <c r="AG22" i="19"/>
  <c r="AG70" i="19" s="1"/>
  <c r="AG30" i="19"/>
  <c r="AG78" i="19" s="1"/>
  <c r="AG122" i="19" s="1"/>
  <c r="B38" i="18" s="1"/>
  <c r="AG35" i="19"/>
  <c r="AG83" i="19" s="1"/>
  <c r="AG126" i="19" s="1"/>
  <c r="B42" i="18" s="1"/>
  <c r="AG13" i="19"/>
  <c r="AG61" i="19" s="1"/>
  <c r="AG21" i="19"/>
  <c r="AG69" i="19" s="1"/>
  <c r="AG34" i="19"/>
  <c r="AG82" i="19" s="1"/>
  <c r="AG124" i="19" s="1"/>
  <c r="B40" i="18" s="1"/>
  <c r="AG42" i="19"/>
  <c r="AG90" i="19" s="1"/>
  <c r="AG130" i="19" s="1"/>
  <c r="B46" i="18" s="1"/>
  <c r="AG12" i="19"/>
  <c r="AG60" i="19" s="1"/>
  <c r="AG20" i="19"/>
  <c r="AG68" i="19" s="1"/>
  <c r="AG28" i="19"/>
  <c r="AG76" i="19" s="1"/>
  <c r="AG41" i="19"/>
  <c r="AG89" i="19" s="1"/>
  <c r="AG133" i="19" s="1"/>
  <c r="B49" i="18" s="1"/>
  <c r="AG51" i="19"/>
  <c r="AG99" i="19" s="1"/>
  <c r="AG19" i="19"/>
  <c r="AG67" i="19" s="1"/>
  <c r="AG10" i="19"/>
  <c r="AG58" i="19" s="1"/>
  <c r="AG115" i="19" s="1"/>
  <c r="B31" i="18" s="1"/>
  <c r="AG49" i="19"/>
  <c r="AG97" i="19" s="1"/>
  <c r="AG33" i="19"/>
  <c r="AG81" i="19" s="1"/>
  <c r="AG123" i="19" s="1"/>
  <c r="B39" i="18" s="1"/>
  <c r="AG26" i="19"/>
  <c r="AG74" i="19" s="1"/>
  <c r="AG48" i="19"/>
  <c r="AG96" i="19" s="1"/>
  <c r="AG43" i="19"/>
  <c r="AG91" i="19" s="1"/>
  <c r="AG47" i="19"/>
  <c r="AG95" i="19" s="1"/>
  <c r="AG11" i="19"/>
  <c r="AG59" i="19" s="1"/>
  <c r="AG27" i="19"/>
  <c r="AG75" i="19" s="1"/>
  <c r="AG18" i="19"/>
  <c r="AG66" i="19" s="1"/>
  <c r="AG50" i="19"/>
  <c r="AG98" i="19" s="1"/>
  <c r="AG40" i="19"/>
  <c r="AG88" i="19" s="1"/>
  <c r="AG132" i="19" s="1"/>
  <c r="B48" i="18" s="1"/>
  <c r="Z14" i="19"/>
  <c r="Z62" i="19" s="1"/>
  <c r="Z22" i="19"/>
  <c r="Z70" i="19" s="1"/>
  <c r="Z35" i="19"/>
  <c r="Z83" i="19" s="1"/>
  <c r="Z126" i="19" s="1"/>
  <c r="Z43" i="19"/>
  <c r="Z91" i="19" s="1"/>
  <c r="Z13" i="19"/>
  <c r="Z61" i="19" s="1"/>
  <c r="Z21" i="19"/>
  <c r="Z69" i="19" s="1"/>
  <c r="Z30" i="19"/>
  <c r="Z78" i="19" s="1"/>
  <c r="Z122" i="19" s="1"/>
  <c r="Z42" i="19"/>
  <c r="Z90" i="19" s="1"/>
  <c r="Z130" i="19" s="1"/>
  <c r="Z12" i="19"/>
  <c r="Z60" i="19" s="1"/>
  <c r="Z20" i="19"/>
  <c r="Z68" i="19" s="1"/>
  <c r="Z28" i="19"/>
  <c r="Z76" i="19" s="1"/>
  <c r="Z41" i="19"/>
  <c r="Z89" i="19" s="1"/>
  <c r="Z133" i="19" s="1"/>
  <c r="Z11" i="19"/>
  <c r="Z59" i="19" s="1"/>
  <c r="Z19" i="19"/>
  <c r="Z67" i="19" s="1"/>
  <c r="Z27" i="19"/>
  <c r="Z75" i="19" s="1"/>
  <c r="Z40" i="19"/>
  <c r="Z88" i="19" s="1"/>
  <c r="Z132" i="19" s="1"/>
  <c r="Z48" i="19"/>
  <c r="Z96" i="19" s="1"/>
  <c r="Z10" i="19"/>
  <c r="Z58" i="19" s="1"/>
  <c r="Z115" i="19" s="1"/>
  <c r="Z18" i="19"/>
  <c r="Z66" i="19" s="1"/>
  <c r="Z26" i="19"/>
  <c r="Z74" i="19" s="1"/>
  <c r="Z33" i="19"/>
  <c r="Z81" i="19" s="1"/>
  <c r="Z123" i="19" s="1"/>
  <c r="Z39" i="19"/>
  <c r="Z87" i="19" s="1"/>
  <c r="Z125" i="19" s="1"/>
  <c r="Z47" i="19"/>
  <c r="Z95" i="19" s="1"/>
  <c r="Z9" i="19"/>
  <c r="Z57" i="19" s="1"/>
  <c r="Z114" i="19" s="1"/>
  <c r="Z17" i="19"/>
  <c r="Z65" i="19" s="1"/>
  <c r="Z25" i="19"/>
  <c r="Z73" i="19" s="1"/>
  <c r="Z32" i="19"/>
  <c r="Z80" i="19" s="1"/>
  <c r="Z38" i="19"/>
  <c r="Z86" i="19" s="1"/>
  <c r="Z134" i="19" s="1"/>
  <c r="Z46" i="19"/>
  <c r="Z94" i="19" s="1"/>
  <c r="Z8" i="19"/>
  <c r="Z56" i="19" s="1"/>
  <c r="Z16" i="19"/>
  <c r="Z64" i="19" s="1"/>
  <c r="Z24" i="19"/>
  <c r="Z72" i="19" s="1"/>
  <c r="Z31" i="19"/>
  <c r="Z79" i="19" s="1"/>
  <c r="Z7" i="19"/>
  <c r="Z55" i="19" s="1"/>
  <c r="Z49" i="19"/>
  <c r="Z97" i="19" s="1"/>
  <c r="Z15" i="19"/>
  <c r="Z63" i="19" s="1"/>
  <c r="Z29" i="19"/>
  <c r="Z77" i="19" s="1"/>
  <c r="Z50" i="19"/>
  <c r="Z98" i="19" s="1"/>
  <c r="Z36" i="19"/>
  <c r="Z84" i="19" s="1"/>
  <c r="Z127" i="19" s="1"/>
  <c r="Z45" i="19"/>
  <c r="Z93" i="19" s="1"/>
  <c r="Z131" i="19" s="1"/>
  <c r="Z23" i="19"/>
  <c r="Z71" i="19" s="1"/>
  <c r="Z51" i="19"/>
  <c r="Z99" i="19" s="1"/>
  <c r="Z37" i="19"/>
  <c r="Z85" i="19" s="1"/>
  <c r="Z128" i="19" s="1"/>
  <c r="Z44" i="19"/>
  <c r="Z92" i="19" s="1"/>
  <c r="AS21" i="19"/>
  <c r="Y34" i="19" s="1"/>
  <c r="Y82" i="19" s="1"/>
  <c r="Y124" i="19" s="1"/>
  <c r="AS17" i="19"/>
  <c r="X29" i="19" s="1"/>
  <c r="X77" i="19" s="1"/>
  <c r="AV16" i="19"/>
  <c r="AS22" i="19"/>
  <c r="Z34" i="19" s="1"/>
  <c r="Z82" i="19" s="1"/>
  <c r="Z124" i="19" s="1"/>
  <c r="AS20" i="19"/>
  <c r="AB5" i="19"/>
  <c r="F5" i="19"/>
  <c r="D5" i="19"/>
  <c r="C5" i="19"/>
  <c r="T5" i="19"/>
  <c r="S5" i="19"/>
  <c r="AH5" i="19"/>
  <c r="R5" i="19"/>
  <c r="Q5" i="19"/>
  <c r="AE5" i="19"/>
  <c r="O5" i="19"/>
  <c r="AD5" i="19"/>
  <c r="N5" i="19"/>
  <c r="AA5" i="19"/>
  <c r="I5" i="19"/>
  <c r="J5" i="19"/>
  <c r="L120" i="16"/>
  <c r="L102" i="19" s="1"/>
  <c r="M120" i="16"/>
  <c r="M102" i="19" s="1"/>
  <c r="N120" i="16"/>
  <c r="N102" i="19" s="1"/>
  <c r="N114" i="19" s="1"/>
  <c r="O120" i="16"/>
  <c r="O102" i="19" s="1"/>
  <c r="O114" i="19" s="1"/>
  <c r="P120" i="16"/>
  <c r="P102" i="19" s="1"/>
  <c r="Q120" i="16"/>
  <c r="Q102" i="19" s="1"/>
  <c r="Q114" i="19" s="1"/>
  <c r="R120" i="16"/>
  <c r="R102" i="19" s="1"/>
  <c r="R114" i="19" s="1"/>
  <c r="S120" i="16"/>
  <c r="S102" i="19" s="1"/>
  <c r="S114" i="19" s="1"/>
  <c r="T120" i="16"/>
  <c r="T102" i="19" s="1"/>
  <c r="T114" i="19" s="1"/>
  <c r="U120" i="16"/>
  <c r="U102" i="19" s="1"/>
  <c r="V120" i="16"/>
  <c r="V102" i="19" s="1"/>
  <c r="W120" i="16"/>
  <c r="W102" i="19" s="1"/>
  <c r="X120" i="16"/>
  <c r="X102" i="19" s="1"/>
  <c r="Y120" i="16"/>
  <c r="Y102" i="19" s="1"/>
  <c r="Z120" i="16"/>
  <c r="Z102" i="19" s="1"/>
  <c r="AA120" i="16"/>
  <c r="AA102" i="19" s="1"/>
  <c r="AA114" i="19" s="1"/>
  <c r="AB120" i="16"/>
  <c r="AB102" i="19" s="1"/>
  <c r="AB114" i="19" s="1"/>
  <c r="AC120" i="16"/>
  <c r="AC102" i="19" s="1"/>
  <c r="AD120" i="16"/>
  <c r="AD102" i="19" s="1"/>
  <c r="AD114" i="19" s="1"/>
  <c r="AE120" i="16"/>
  <c r="AE102" i="19" s="1"/>
  <c r="AE114" i="19" s="1"/>
  <c r="AF120" i="16"/>
  <c r="AF102" i="19" s="1"/>
  <c r="AG120" i="16"/>
  <c r="AG102" i="19" s="1"/>
  <c r="AH120" i="16"/>
  <c r="AH102" i="19" s="1"/>
  <c r="AH114" i="19" s="1"/>
  <c r="E30" i="18" s="1"/>
  <c r="L121" i="16"/>
  <c r="L103" i="19" s="1"/>
  <c r="M121" i="16"/>
  <c r="M103" i="19" s="1"/>
  <c r="N121" i="16"/>
  <c r="N103" i="19" s="1"/>
  <c r="O121" i="16"/>
  <c r="O103" i="19" s="1"/>
  <c r="P121" i="16"/>
  <c r="P103" i="19" s="1"/>
  <c r="Q121" i="16"/>
  <c r="Q103" i="19" s="1"/>
  <c r="R121" i="16"/>
  <c r="R103" i="19" s="1"/>
  <c r="S121" i="16"/>
  <c r="S103" i="19" s="1"/>
  <c r="T121" i="16"/>
  <c r="T103" i="19" s="1"/>
  <c r="U121" i="16"/>
  <c r="U103" i="19" s="1"/>
  <c r="V121" i="16"/>
  <c r="V103" i="19" s="1"/>
  <c r="W121" i="16"/>
  <c r="W103" i="19" s="1"/>
  <c r="X121" i="16"/>
  <c r="X103" i="19" s="1"/>
  <c r="Y121" i="16"/>
  <c r="Y103" i="19" s="1"/>
  <c r="Z121" i="16"/>
  <c r="Z103" i="19" s="1"/>
  <c r="AA121" i="16"/>
  <c r="AA103" i="19" s="1"/>
  <c r="AB121" i="16"/>
  <c r="AB103" i="19" s="1"/>
  <c r="AC121" i="16"/>
  <c r="AC103" i="19" s="1"/>
  <c r="AD121" i="16"/>
  <c r="AD103" i="19" s="1"/>
  <c r="AE121" i="16"/>
  <c r="AE103" i="19" s="1"/>
  <c r="AF121" i="16"/>
  <c r="AF103" i="19" s="1"/>
  <c r="AG121" i="16"/>
  <c r="AG103" i="19" s="1"/>
  <c r="AH121" i="16"/>
  <c r="AH103" i="19" s="1"/>
  <c r="L122" i="16"/>
  <c r="L104" i="19" s="1"/>
  <c r="M122" i="16"/>
  <c r="M104" i="19" s="1"/>
  <c r="N122" i="16"/>
  <c r="N104" i="19" s="1"/>
  <c r="O122" i="16"/>
  <c r="O104" i="19" s="1"/>
  <c r="P122" i="16"/>
  <c r="P104" i="19" s="1"/>
  <c r="Q122" i="16"/>
  <c r="Q104" i="19" s="1"/>
  <c r="R122" i="16"/>
  <c r="R104" i="19" s="1"/>
  <c r="S122" i="16"/>
  <c r="S104" i="19" s="1"/>
  <c r="T122" i="16"/>
  <c r="T104" i="19" s="1"/>
  <c r="U122" i="16"/>
  <c r="U104" i="19" s="1"/>
  <c r="V122" i="16"/>
  <c r="V104" i="19" s="1"/>
  <c r="W122" i="16"/>
  <c r="W104" i="19" s="1"/>
  <c r="X122" i="16"/>
  <c r="X104" i="19" s="1"/>
  <c r="Y122" i="16"/>
  <c r="Y104" i="19" s="1"/>
  <c r="Z122" i="16"/>
  <c r="Z104" i="19" s="1"/>
  <c r="AA122" i="16"/>
  <c r="AA104" i="19" s="1"/>
  <c r="AB122" i="16"/>
  <c r="AB104" i="19" s="1"/>
  <c r="AC122" i="16"/>
  <c r="AC104" i="19" s="1"/>
  <c r="AD122" i="16"/>
  <c r="AD104" i="19" s="1"/>
  <c r="AE122" i="16"/>
  <c r="AE104" i="19" s="1"/>
  <c r="AF122" i="16"/>
  <c r="AF104" i="19" s="1"/>
  <c r="AG122" i="16"/>
  <c r="AG104" i="19" s="1"/>
  <c r="AH122" i="16"/>
  <c r="AH104" i="19" s="1"/>
  <c r="L123" i="16"/>
  <c r="L105" i="19" s="1"/>
  <c r="M123" i="16"/>
  <c r="M105" i="19" s="1"/>
  <c r="N123" i="16"/>
  <c r="N105" i="19" s="1"/>
  <c r="O123" i="16"/>
  <c r="O105" i="19" s="1"/>
  <c r="P123" i="16"/>
  <c r="P105" i="19" s="1"/>
  <c r="Q123" i="16"/>
  <c r="Q105" i="19" s="1"/>
  <c r="R123" i="16"/>
  <c r="R105" i="19" s="1"/>
  <c r="S123" i="16"/>
  <c r="S105" i="19" s="1"/>
  <c r="T123" i="16"/>
  <c r="T105" i="19" s="1"/>
  <c r="U123" i="16"/>
  <c r="U105" i="19" s="1"/>
  <c r="V123" i="16"/>
  <c r="V105" i="19" s="1"/>
  <c r="W123" i="16"/>
  <c r="W105" i="19" s="1"/>
  <c r="X123" i="16"/>
  <c r="X105" i="19" s="1"/>
  <c r="Y123" i="16"/>
  <c r="Y105" i="19" s="1"/>
  <c r="Z123" i="16"/>
  <c r="Z105" i="19" s="1"/>
  <c r="AA123" i="16"/>
  <c r="AA105" i="19" s="1"/>
  <c r="AB123" i="16"/>
  <c r="AB105" i="19" s="1"/>
  <c r="AC123" i="16"/>
  <c r="AC105" i="19" s="1"/>
  <c r="AD123" i="16"/>
  <c r="AD105" i="19" s="1"/>
  <c r="AE123" i="16"/>
  <c r="AE105" i="19" s="1"/>
  <c r="AF123" i="16"/>
  <c r="AF105" i="19" s="1"/>
  <c r="AG123" i="16"/>
  <c r="AG105" i="19" s="1"/>
  <c r="AH123" i="16"/>
  <c r="AH105" i="19" s="1"/>
  <c r="L124" i="16"/>
  <c r="L106" i="19" s="1"/>
  <c r="M124" i="16"/>
  <c r="M106" i="19" s="1"/>
  <c r="N124" i="16"/>
  <c r="N106" i="19" s="1"/>
  <c r="O124" i="16"/>
  <c r="O106" i="19" s="1"/>
  <c r="P124" i="16"/>
  <c r="P106" i="19" s="1"/>
  <c r="Q124" i="16"/>
  <c r="Q106" i="19" s="1"/>
  <c r="R124" i="16"/>
  <c r="R106" i="19" s="1"/>
  <c r="S124" i="16"/>
  <c r="S106" i="19" s="1"/>
  <c r="T124" i="16"/>
  <c r="T106" i="19" s="1"/>
  <c r="U124" i="16"/>
  <c r="U106" i="19" s="1"/>
  <c r="V124" i="16"/>
  <c r="V106" i="19" s="1"/>
  <c r="W124" i="16"/>
  <c r="W106" i="19" s="1"/>
  <c r="X124" i="16"/>
  <c r="X106" i="19" s="1"/>
  <c r="Y124" i="16"/>
  <c r="Y106" i="19" s="1"/>
  <c r="Z124" i="16"/>
  <c r="Z106" i="19" s="1"/>
  <c r="AA124" i="16"/>
  <c r="AA106" i="19" s="1"/>
  <c r="AB124" i="16"/>
  <c r="AB106" i="19" s="1"/>
  <c r="AC124" i="16"/>
  <c r="AC106" i="19" s="1"/>
  <c r="AD124" i="16"/>
  <c r="AD106" i="19" s="1"/>
  <c r="AE124" i="16"/>
  <c r="AE106" i="19" s="1"/>
  <c r="AF124" i="16"/>
  <c r="AF106" i="19" s="1"/>
  <c r="AG124" i="16"/>
  <c r="AG106" i="19" s="1"/>
  <c r="AH124" i="16"/>
  <c r="AH106" i="19" s="1"/>
  <c r="L125" i="16"/>
  <c r="L107" i="19" s="1"/>
  <c r="M125" i="16"/>
  <c r="M107" i="19" s="1"/>
  <c r="N125" i="16"/>
  <c r="N107" i="19" s="1"/>
  <c r="O125" i="16"/>
  <c r="O107" i="19" s="1"/>
  <c r="P125" i="16"/>
  <c r="P107" i="19" s="1"/>
  <c r="Q125" i="16"/>
  <c r="Q107" i="19" s="1"/>
  <c r="R125" i="16"/>
  <c r="R107" i="19" s="1"/>
  <c r="S125" i="16"/>
  <c r="S107" i="19" s="1"/>
  <c r="T125" i="16"/>
  <c r="T107" i="19" s="1"/>
  <c r="U125" i="16"/>
  <c r="U107" i="19" s="1"/>
  <c r="V125" i="16"/>
  <c r="V107" i="19" s="1"/>
  <c r="W125" i="16"/>
  <c r="W107" i="19" s="1"/>
  <c r="X125" i="16"/>
  <c r="X107" i="19" s="1"/>
  <c r="Y125" i="16"/>
  <c r="Y107" i="19" s="1"/>
  <c r="Z125" i="16"/>
  <c r="Z107" i="19" s="1"/>
  <c r="AA125" i="16"/>
  <c r="AA107" i="19" s="1"/>
  <c r="AB125" i="16"/>
  <c r="AB107" i="19" s="1"/>
  <c r="AC125" i="16"/>
  <c r="AC107" i="19" s="1"/>
  <c r="AD125" i="16"/>
  <c r="AD107" i="19" s="1"/>
  <c r="AE125" i="16"/>
  <c r="AE107" i="19" s="1"/>
  <c r="AF125" i="16"/>
  <c r="AF107" i="19" s="1"/>
  <c r="AG125" i="16"/>
  <c r="AG107" i="19" s="1"/>
  <c r="AH125" i="16"/>
  <c r="AH107" i="19" s="1"/>
  <c r="L126" i="16"/>
  <c r="L108" i="19" s="1"/>
  <c r="M126" i="16"/>
  <c r="M108" i="19" s="1"/>
  <c r="N126" i="16"/>
  <c r="N108" i="19" s="1"/>
  <c r="O126" i="16"/>
  <c r="O108" i="19" s="1"/>
  <c r="P126" i="16"/>
  <c r="P108" i="19" s="1"/>
  <c r="Q126" i="16"/>
  <c r="Q108" i="19" s="1"/>
  <c r="R126" i="16"/>
  <c r="R108" i="19" s="1"/>
  <c r="S126" i="16"/>
  <c r="S108" i="19" s="1"/>
  <c r="T126" i="16"/>
  <c r="T108" i="19" s="1"/>
  <c r="U126" i="16"/>
  <c r="U108" i="19" s="1"/>
  <c r="V126" i="16"/>
  <c r="V108" i="19" s="1"/>
  <c r="W126" i="16"/>
  <c r="W108" i="19" s="1"/>
  <c r="X126" i="16"/>
  <c r="X108" i="19" s="1"/>
  <c r="Y126" i="16"/>
  <c r="Y108" i="19" s="1"/>
  <c r="Z126" i="16"/>
  <c r="Z108" i="19" s="1"/>
  <c r="AA126" i="16"/>
  <c r="AA108" i="19" s="1"/>
  <c r="AB126" i="16"/>
  <c r="AB108" i="19" s="1"/>
  <c r="AC126" i="16"/>
  <c r="AC108" i="19" s="1"/>
  <c r="AD126" i="16"/>
  <c r="AD108" i="19" s="1"/>
  <c r="AE126" i="16"/>
  <c r="AE108" i="19" s="1"/>
  <c r="AF126" i="16"/>
  <c r="AF108" i="19" s="1"/>
  <c r="AG126" i="16"/>
  <c r="AG108" i="19" s="1"/>
  <c r="AH126" i="16"/>
  <c r="AH108" i="19" s="1"/>
  <c r="L127" i="16"/>
  <c r="L109" i="19" s="1"/>
  <c r="M127" i="16"/>
  <c r="M109" i="19" s="1"/>
  <c r="N127" i="16"/>
  <c r="N109" i="19" s="1"/>
  <c r="O127" i="16"/>
  <c r="O109" i="19" s="1"/>
  <c r="P127" i="16"/>
  <c r="P109" i="19" s="1"/>
  <c r="Q127" i="16"/>
  <c r="Q109" i="19" s="1"/>
  <c r="R127" i="16"/>
  <c r="R109" i="19" s="1"/>
  <c r="S127" i="16"/>
  <c r="S109" i="19" s="1"/>
  <c r="T127" i="16"/>
  <c r="T109" i="19" s="1"/>
  <c r="U127" i="16"/>
  <c r="U109" i="19" s="1"/>
  <c r="V127" i="16"/>
  <c r="V109" i="19" s="1"/>
  <c r="W127" i="16"/>
  <c r="W109" i="19" s="1"/>
  <c r="X127" i="16"/>
  <c r="X109" i="19" s="1"/>
  <c r="Y127" i="16"/>
  <c r="Y109" i="19" s="1"/>
  <c r="Z127" i="16"/>
  <c r="Z109" i="19" s="1"/>
  <c r="AA127" i="16"/>
  <c r="AA109" i="19" s="1"/>
  <c r="AB127" i="16"/>
  <c r="AB109" i="19" s="1"/>
  <c r="AC127" i="16"/>
  <c r="AC109" i="19" s="1"/>
  <c r="AD127" i="16"/>
  <c r="AD109" i="19" s="1"/>
  <c r="AE127" i="16"/>
  <c r="AE109" i="19" s="1"/>
  <c r="AF127" i="16"/>
  <c r="AF109" i="19" s="1"/>
  <c r="AG127" i="16"/>
  <c r="AG109" i="19" s="1"/>
  <c r="AH127" i="16"/>
  <c r="AH109" i="19" s="1"/>
  <c r="D120" i="16"/>
  <c r="D102" i="19" s="1"/>
  <c r="D114" i="19" s="1"/>
  <c r="E120" i="16"/>
  <c r="E102" i="19" s="1"/>
  <c r="F120" i="16"/>
  <c r="F102" i="19" s="1"/>
  <c r="F114" i="19" s="1"/>
  <c r="G120" i="16"/>
  <c r="G102" i="19" s="1"/>
  <c r="H120" i="16"/>
  <c r="H102" i="19" s="1"/>
  <c r="I120" i="16"/>
  <c r="I102" i="19" s="1"/>
  <c r="I114" i="19" s="1"/>
  <c r="J120" i="16"/>
  <c r="J102" i="19" s="1"/>
  <c r="J114" i="19" s="1"/>
  <c r="K120" i="16"/>
  <c r="K102" i="19" s="1"/>
  <c r="D121" i="16"/>
  <c r="D103" i="19" s="1"/>
  <c r="E121" i="16"/>
  <c r="E103" i="19" s="1"/>
  <c r="F121" i="16"/>
  <c r="F103" i="19" s="1"/>
  <c r="G121" i="16"/>
  <c r="G103" i="19" s="1"/>
  <c r="H121" i="16"/>
  <c r="H103" i="19" s="1"/>
  <c r="I121" i="16"/>
  <c r="I103" i="19" s="1"/>
  <c r="J121" i="16"/>
  <c r="J103" i="19" s="1"/>
  <c r="J121" i="19" s="1"/>
  <c r="K121" i="16"/>
  <c r="K103" i="19" s="1"/>
  <c r="D122" i="16"/>
  <c r="D104" i="19" s="1"/>
  <c r="E122" i="16"/>
  <c r="E104" i="19" s="1"/>
  <c r="F122" i="16"/>
  <c r="F104" i="19" s="1"/>
  <c r="G122" i="16"/>
  <c r="G104" i="19" s="1"/>
  <c r="H122" i="16"/>
  <c r="H104" i="19" s="1"/>
  <c r="I122" i="16"/>
  <c r="I104" i="19" s="1"/>
  <c r="J122" i="16"/>
  <c r="J104" i="19" s="1"/>
  <c r="K122" i="16"/>
  <c r="K104" i="19" s="1"/>
  <c r="D123" i="16"/>
  <c r="D105" i="19" s="1"/>
  <c r="E123" i="16"/>
  <c r="E105" i="19" s="1"/>
  <c r="F123" i="16"/>
  <c r="F105" i="19" s="1"/>
  <c r="G123" i="16"/>
  <c r="G105" i="19" s="1"/>
  <c r="H123" i="16"/>
  <c r="H105" i="19" s="1"/>
  <c r="I123" i="16"/>
  <c r="I105" i="19" s="1"/>
  <c r="J123" i="16"/>
  <c r="J105" i="19" s="1"/>
  <c r="K123" i="16"/>
  <c r="K105" i="19" s="1"/>
  <c r="D124" i="16"/>
  <c r="D106" i="19" s="1"/>
  <c r="D135" i="19" s="1"/>
  <c r="E124" i="16"/>
  <c r="E106" i="19" s="1"/>
  <c r="F124" i="16"/>
  <c r="F106" i="19" s="1"/>
  <c r="G124" i="16"/>
  <c r="G106" i="19" s="1"/>
  <c r="H124" i="16"/>
  <c r="H106" i="19" s="1"/>
  <c r="I124" i="16"/>
  <c r="I106" i="19" s="1"/>
  <c r="J124" i="16"/>
  <c r="J106" i="19" s="1"/>
  <c r="K124" i="16"/>
  <c r="K106" i="19" s="1"/>
  <c r="D125" i="16"/>
  <c r="D107" i="19" s="1"/>
  <c r="E125" i="16"/>
  <c r="E107" i="19" s="1"/>
  <c r="F125" i="16"/>
  <c r="F107" i="19" s="1"/>
  <c r="G125" i="16"/>
  <c r="G107" i="19" s="1"/>
  <c r="H125" i="16"/>
  <c r="H107" i="19" s="1"/>
  <c r="I125" i="16"/>
  <c r="I107" i="19" s="1"/>
  <c r="J125" i="16"/>
  <c r="J107" i="19" s="1"/>
  <c r="K125" i="16"/>
  <c r="K107" i="19" s="1"/>
  <c r="D126" i="16"/>
  <c r="D108" i="19" s="1"/>
  <c r="E126" i="16"/>
  <c r="E108" i="19" s="1"/>
  <c r="F126" i="16"/>
  <c r="F108" i="19" s="1"/>
  <c r="G126" i="16"/>
  <c r="G108" i="19" s="1"/>
  <c r="H126" i="16"/>
  <c r="H108" i="19" s="1"/>
  <c r="I126" i="16"/>
  <c r="I108" i="19" s="1"/>
  <c r="J126" i="16"/>
  <c r="J108" i="19" s="1"/>
  <c r="K126" i="16"/>
  <c r="K108" i="19" s="1"/>
  <c r="D127" i="16"/>
  <c r="D109" i="19" s="1"/>
  <c r="E127" i="16"/>
  <c r="E109" i="19" s="1"/>
  <c r="F127" i="16"/>
  <c r="F109" i="19" s="1"/>
  <c r="G127" i="16"/>
  <c r="G109" i="19" s="1"/>
  <c r="H127" i="16"/>
  <c r="H109" i="19" s="1"/>
  <c r="I127" i="16"/>
  <c r="I109" i="19" s="1"/>
  <c r="J127" i="16"/>
  <c r="J109" i="19" s="1"/>
  <c r="K127" i="16"/>
  <c r="K109" i="19" s="1"/>
  <c r="C121" i="16"/>
  <c r="C103" i="19" s="1"/>
  <c r="C121" i="19" s="1"/>
  <c r="C122" i="16"/>
  <c r="C104" i="19" s="1"/>
  <c r="C123" i="16"/>
  <c r="C105" i="19" s="1"/>
  <c r="C124" i="16"/>
  <c r="C106" i="19" s="1"/>
  <c r="C135" i="19" s="1"/>
  <c r="C125" i="16"/>
  <c r="C107" i="19" s="1"/>
  <c r="C126" i="16"/>
  <c r="C108" i="19" s="1"/>
  <c r="C127" i="16"/>
  <c r="C109" i="19" s="1"/>
  <c r="C120" i="16"/>
  <c r="C102" i="19" s="1"/>
  <c r="C114" i="19" s="1"/>
  <c r="F121" i="19" l="1"/>
  <c r="Y119" i="19"/>
  <c r="Y122" i="19"/>
  <c r="L119" i="19"/>
  <c r="S135" i="19"/>
  <c r="AH135" i="19"/>
  <c r="E51" i="18" s="1"/>
  <c r="R135" i="19"/>
  <c r="W121" i="19"/>
  <c r="Z120" i="19"/>
  <c r="Z129" i="19"/>
  <c r="P122" i="19"/>
  <c r="H38" i="18" s="1"/>
  <c r="M129" i="19"/>
  <c r="P136" i="19"/>
  <c r="H52" i="18" s="1"/>
  <c r="AG114" i="19"/>
  <c r="B30" i="18" s="1"/>
  <c r="U120" i="19"/>
  <c r="U118" i="19"/>
  <c r="X114" i="19"/>
  <c r="K114" i="19"/>
  <c r="E116" i="19"/>
  <c r="P117" i="19"/>
  <c r="H33" i="18" s="1"/>
  <c r="AC122" i="19"/>
  <c r="H135" i="19"/>
  <c r="H136" i="19"/>
  <c r="Q135" i="19"/>
  <c r="U121" i="19"/>
  <c r="K136" i="19"/>
  <c r="K135" i="19"/>
  <c r="P114" i="19"/>
  <c r="H30" i="18" s="1"/>
  <c r="H116" i="19"/>
  <c r="X122" i="19"/>
  <c r="AC136" i="19"/>
  <c r="AE135" i="19"/>
  <c r="T121" i="19"/>
  <c r="V120" i="19"/>
  <c r="J39" i="18"/>
  <c r="K118" i="19"/>
  <c r="AC119" i="19"/>
  <c r="P116" i="19"/>
  <c r="H32" i="18" s="1"/>
  <c r="L136" i="19"/>
  <c r="L118" i="19"/>
  <c r="O135" i="19"/>
  <c r="AF119" i="19"/>
  <c r="G35" i="18" s="1"/>
  <c r="L129" i="19"/>
  <c r="F30" i="18"/>
  <c r="I135" i="19"/>
  <c r="AG119" i="19"/>
  <c r="B35" i="18" s="1"/>
  <c r="K129" i="19"/>
  <c r="Z136" i="19"/>
  <c r="V119" i="19"/>
  <c r="K122" i="19"/>
  <c r="M116" i="19"/>
  <c r="AG116" i="19"/>
  <c r="B32" i="18" s="1"/>
  <c r="AF129" i="19"/>
  <c r="G45" i="18" s="1"/>
  <c r="AC118" i="19"/>
  <c r="C47" i="18"/>
  <c r="H122" i="19"/>
  <c r="C44" i="18"/>
  <c r="C31" i="18"/>
  <c r="AC114" i="19"/>
  <c r="M136" i="19"/>
  <c r="D121" i="19"/>
  <c r="AF135" i="19"/>
  <c r="G51" i="18" s="1"/>
  <c r="Y121" i="19"/>
  <c r="U122" i="19"/>
  <c r="J44" i="18"/>
  <c r="J41" i="18"/>
  <c r="J46" i="18"/>
  <c r="AC116" i="19"/>
  <c r="E117" i="19"/>
  <c r="C33" i="18" s="1"/>
  <c r="D30" i="18"/>
  <c r="X118" i="19"/>
  <c r="E114" i="19"/>
  <c r="M117" i="19"/>
  <c r="M121" i="19"/>
  <c r="J135" i="19"/>
  <c r="AD135" i="19"/>
  <c r="N135" i="19"/>
  <c r="F51" i="18" s="1"/>
  <c r="S121" i="19"/>
  <c r="Z119" i="19"/>
  <c r="AF136" i="19"/>
  <c r="G52" i="18" s="1"/>
  <c r="U131" i="19"/>
  <c r="X120" i="19"/>
  <c r="Y116" i="19"/>
  <c r="V118" i="19"/>
  <c r="V131" i="19"/>
  <c r="K120" i="19"/>
  <c r="L135" i="19"/>
  <c r="M122" i="19"/>
  <c r="H117" i="19"/>
  <c r="E37" i="18"/>
  <c r="E64" i="18" s="1"/>
  <c r="B10" i="22" s="1"/>
  <c r="R121" i="19"/>
  <c r="AG135" i="19"/>
  <c r="B51" i="18" s="1"/>
  <c r="U135" i="19"/>
  <c r="X131" i="19"/>
  <c r="V122" i="19"/>
  <c r="P135" i="19"/>
  <c r="H51" i="18" s="1"/>
  <c r="H114" i="19"/>
  <c r="C30" i="18" s="1"/>
  <c r="AB135" i="19"/>
  <c r="Q121" i="19"/>
  <c r="X121" i="19"/>
  <c r="AF118" i="19"/>
  <c r="G34" i="18" s="1"/>
  <c r="U136" i="19"/>
  <c r="U116" i="19"/>
  <c r="Y136" i="19"/>
  <c r="J31" i="18"/>
  <c r="AC135" i="19"/>
  <c r="P121" i="19"/>
  <c r="H37" i="18" s="1"/>
  <c r="H64" i="18" s="1"/>
  <c r="Z116" i="19"/>
  <c r="J48" i="18"/>
  <c r="J42" i="18"/>
  <c r="E122" i="19"/>
  <c r="C38" i="18" s="1"/>
  <c r="L121" i="19"/>
  <c r="F135" i="19"/>
  <c r="O121" i="19"/>
  <c r="AG118" i="19"/>
  <c r="B34" i="18" s="1"/>
  <c r="V135" i="19"/>
  <c r="K131" i="19"/>
  <c r="K121" i="19"/>
  <c r="AC117" i="19"/>
  <c r="L122" i="19"/>
  <c r="H121" i="19"/>
  <c r="AA135" i="19"/>
  <c r="AE121" i="19"/>
  <c r="AD121" i="19"/>
  <c r="N121" i="19"/>
  <c r="AG136" i="19"/>
  <c r="B52" i="18" s="1"/>
  <c r="AF120" i="19"/>
  <c r="G36" i="18" s="1"/>
  <c r="U129" i="19"/>
  <c r="Y131" i="19"/>
  <c r="L131" i="19"/>
  <c r="M114" i="19"/>
  <c r="H118" i="19"/>
  <c r="AF121" i="19"/>
  <c r="G37" i="18" s="1"/>
  <c r="G64" i="18" s="1"/>
  <c r="U117" i="19"/>
  <c r="Y117" i="19"/>
  <c r="Y135" i="19"/>
  <c r="V136" i="19"/>
  <c r="V116" i="19"/>
  <c r="K116" i="19"/>
  <c r="P119" i="19"/>
  <c r="H35" i="18" s="1"/>
  <c r="AG129" i="19"/>
  <c r="B45" i="18" s="1"/>
  <c r="AB121" i="19"/>
  <c r="Z117" i="19"/>
  <c r="U114" i="19"/>
  <c r="X136" i="19"/>
  <c r="X116" i="19"/>
  <c r="Y114" i="19"/>
  <c r="K119" i="19"/>
  <c r="AC120" i="19"/>
  <c r="E135" i="19"/>
  <c r="E119" i="19"/>
  <c r="P118" i="19"/>
  <c r="H34" i="18" s="1"/>
  <c r="L116" i="19"/>
  <c r="M119" i="19"/>
  <c r="AA121" i="19"/>
  <c r="AG120" i="19"/>
  <c r="B36" i="18" s="1"/>
  <c r="AG121" i="19"/>
  <c r="B37" i="18" s="1"/>
  <c r="B64" i="18" s="1"/>
  <c r="AF117" i="19"/>
  <c r="G33" i="18" s="1"/>
  <c r="J50" i="18"/>
  <c r="J49" i="18"/>
  <c r="J43" i="18"/>
  <c r="AC129" i="19"/>
  <c r="E118" i="19"/>
  <c r="C34" i="18" s="1"/>
  <c r="M135" i="19"/>
  <c r="AF114" i="19"/>
  <c r="G30" i="18" s="1"/>
  <c r="Y120" i="19"/>
  <c r="Y118" i="19"/>
  <c r="J40" i="18"/>
  <c r="H119" i="19"/>
  <c r="V121" i="19"/>
  <c r="I121" i="19"/>
  <c r="T135" i="19"/>
  <c r="Z135" i="19"/>
  <c r="Z118" i="19"/>
  <c r="AG117" i="19"/>
  <c r="B33" i="18" s="1"/>
  <c r="AF116" i="19"/>
  <c r="G32" i="18" s="1"/>
  <c r="V117" i="19"/>
  <c r="E136" i="19"/>
  <c r="C52" i="18" s="1"/>
  <c r="P129" i="19"/>
  <c r="H45" i="18" s="1"/>
  <c r="L117" i="19"/>
  <c r="Z121" i="19"/>
  <c r="X135" i="19"/>
  <c r="X117" i="19"/>
  <c r="Y129" i="19"/>
  <c r="V114" i="19"/>
  <c r="K117" i="19"/>
  <c r="E121" i="19"/>
  <c r="C50" i="18"/>
  <c r="P120" i="19"/>
  <c r="H36" i="18" s="1"/>
  <c r="L114" i="19"/>
  <c r="AC121" i="19"/>
  <c r="M120" i="19"/>
  <c r="Y5" i="19"/>
  <c r="K5" i="19"/>
  <c r="V5" i="19"/>
  <c r="L5" i="19"/>
  <c r="U5" i="19"/>
  <c r="P5" i="19"/>
  <c r="AC5" i="19"/>
  <c r="M5" i="19"/>
  <c r="X5" i="19"/>
  <c r="H5" i="19"/>
  <c r="AF5" i="19"/>
  <c r="AG5" i="19"/>
  <c r="Z5" i="19"/>
  <c r="E5" i="19"/>
  <c r="W30" i="19"/>
  <c r="W78" i="19" s="1"/>
  <c r="W42" i="19"/>
  <c r="W90" i="19" s="1"/>
  <c r="W130" i="19" s="1"/>
  <c r="I46" i="18" s="1"/>
  <c r="W12" i="19"/>
  <c r="W60" i="19" s="1"/>
  <c r="W20" i="19"/>
  <c r="W68" i="19" s="1"/>
  <c r="W28" i="19"/>
  <c r="W76" i="19" s="1"/>
  <c r="W34" i="19"/>
  <c r="W82" i="19" s="1"/>
  <c r="W124" i="19" s="1"/>
  <c r="I40" i="18" s="1"/>
  <c r="W41" i="19"/>
  <c r="W89" i="19" s="1"/>
  <c r="W133" i="19" s="1"/>
  <c r="I49" i="18" s="1"/>
  <c r="W49" i="19"/>
  <c r="W97" i="19" s="1"/>
  <c r="W11" i="19"/>
  <c r="W59" i="19" s="1"/>
  <c r="W19" i="19"/>
  <c r="W67" i="19" s="1"/>
  <c r="W27" i="19"/>
  <c r="W75" i="19" s="1"/>
  <c r="W40" i="19"/>
  <c r="W88" i="19" s="1"/>
  <c r="W132" i="19" s="1"/>
  <c r="I48" i="18" s="1"/>
  <c r="W48" i="19"/>
  <c r="W96" i="19" s="1"/>
  <c r="W10" i="19"/>
  <c r="W58" i="19" s="1"/>
  <c r="W115" i="19" s="1"/>
  <c r="I31" i="18" s="1"/>
  <c r="W18" i="19"/>
  <c r="W66" i="19" s="1"/>
  <c r="W26" i="19"/>
  <c r="W74" i="19" s="1"/>
  <c r="W33" i="19"/>
  <c r="W81" i="19" s="1"/>
  <c r="W123" i="19" s="1"/>
  <c r="I39" i="18" s="1"/>
  <c r="W39" i="19"/>
  <c r="W87" i="19" s="1"/>
  <c r="W125" i="19" s="1"/>
  <c r="I41" i="18" s="1"/>
  <c r="W47" i="19"/>
  <c r="W95" i="19" s="1"/>
  <c r="W9" i="19"/>
  <c r="W57" i="19" s="1"/>
  <c r="W114" i="19" s="1"/>
  <c r="W17" i="19"/>
  <c r="W65" i="19" s="1"/>
  <c r="W25" i="19"/>
  <c r="W73" i="19" s="1"/>
  <c r="W32" i="19"/>
  <c r="W80" i="19" s="1"/>
  <c r="W8" i="19"/>
  <c r="W56" i="19" s="1"/>
  <c r="W16" i="19"/>
  <c r="W64" i="19" s="1"/>
  <c r="W24" i="19"/>
  <c r="W72" i="19" s="1"/>
  <c r="W31" i="19"/>
  <c r="W79" i="19" s="1"/>
  <c r="W37" i="19"/>
  <c r="W85" i="19" s="1"/>
  <c r="W128" i="19" s="1"/>
  <c r="I44" i="18" s="1"/>
  <c r="W45" i="19"/>
  <c r="W93" i="19" s="1"/>
  <c r="W15" i="19"/>
  <c r="W63" i="19" s="1"/>
  <c r="W23" i="19"/>
  <c r="W71" i="19" s="1"/>
  <c r="W36" i="19"/>
  <c r="W84" i="19" s="1"/>
  <c r="W127" i="19" s="1"/>
  <c r="I43" i="18" s="1"/>
  <c r="W44" i="19"/>
  <c r="W92" i="19" s="1"/>
  <c r="W46" i="19"/>
  <c r="W94" i="19" s="1"/>
  <c r="W136" i="19" s="1"/>
  <c r="W22" i="19"/>
  <c r="W70" i="19" s="1"/>
  <c r="W43" i="19"/>
  <c r="W91" i="19" s="1"/>
  <c r="W13" i="19"/>
  <c r="W61" i="19" s="1"/>
  <c r="W50" i="19"/>
  <c r="W98" i="19" s="1"/>
  <c r="W135" i="19" s="1"/>
  <c r="W38" i="19"/>
  <c r="W86" i="19" s="1"/>
  <c r="W134" i="19" s="1"/>
  <c r="I50" i="18" s="1"/>
  <c r="W51" i="19"/>
  <c r="W99" i="19" s="1"/>
  <c r="W14" i="19"/>
  <c r="W62" i="19" s="1"/>
  <c r="W21" i="19"/>
  <c r="W69" i="19" s="1"/>
  <c r="W35" i="19"/>
  <c r="W83" i="19" s="1"/>
  <c r="W126" i="19" s="1"/>
  <c r="I42" i="18" s="1"/>
  <c r="W7" i="19"/>
  <c r="W55" i="19" s="1"/>
  <c r="D1" i="16"/>
  <c r="E1" i="16"/>
  <c r="F1" i="16"/>
  <c r="G1" i="16"/>
  <c r="H1" i="16"/>
  <c r="I1" i="16"/>
  <c r="J1" i="16"/>
  <c r="K1" i="16"/>
  <c r="L1" i="16"/>
  <c r="M1" i="16"/>
  <c r="N1" i="16"/>
  <c r="O1" i="16"/>
  <c r="P1" i="16"/>
  <c r="Q1" i="16"/>
  <c r="R1" i="16"/>
  <c r="S1" i="16"/>
  <c r="T1" i="16"/>
  <c r="U1" i="16"/>
  <c r="V1" i="16"/>
  <c r="W1" i="16"/>
  <c r="X1" i="16"/>
  <c r="Y1" i="16"/>
  <c r="Z1" i="16"/>
  <c r="AA1" i="16"/>
  <c r="AB1" i="16"/>
  <c r="AC1" i="16"/>
  <c r="AD1" i="16"/>
  <c r="AE1" i="16"/>
  <c r="AF1" i="16"/>
  <c r="AG1" i="16"/>
  <c r="AH1" i="16"/>
  <c r="AG10" i="22" l="1"/>
  <c r="R10" i="22"/>
  <c r="AH10" i="22"/>
  <c r="S10" i="22"/>
  <c r="AI10" i="22"/>
  <c r="D10" i="22"/>
  <c r="T10" i="22"/>
  <c r="AJ10" i="22"/>
  <c r="E10" i="22"/>
  <c r="U10" i="22"/>
  <c r="AK10" i="22"/>
  <c r="F10" i="22"/>
  <c r="V10" i="22"/>
  <c r="AL10" i="22"/>
  <c r="G10" i="22"/>
  <c r="W10" i="22"/>
  <c r="AM10" i="22"/>
  <c r="H10" i="22"/>
  <c r="X10" i="22"/>
  <c r="C10" i="22"/>
  <c r="AN10" i="22"/>
  <c r="I10" i="22"/>
  <c r="Y10" i="22"/>
  <c r="AO10" i="22"/>
  <c r="J10" i="22"/>
  <c r="Z10" i="22"/>
  <c r="AP10" i="22"/>
  <c r="K10" i="22"/>
  <c r="AA10" i="22"/>
  <c r="L10" i="22"/>
  <c r="AB10" i="22"/>
  <c r="M10" i="22"/>
  <c r="AC10" i="22"/>
  <c r="AF10" i="22"/>
  <c r="Q10" i="22"/>
  <c r="N10" i="22"/>
  <c r="AD10" i="22"/>
  <c r="O10" i="22"/>
  <c r="AE10" i="22"/>
  <c r="P10" i="22"/>
  <c r="D51" i="18"/>
  <c r="J34" i="18"/>
  <c r="I52" i="18"/>
  <c r="J37" i="18"/>
  <c r="J64" i="18" s="1"/>
  <c r="W119" i="19"/>
  <c r="I35" i="18" s="1"/>
  <c r="W118" i="19"/>
  <c r="I34" i="18" s="1"/>
  <c r="J38" i="18"/>
  <c r="W131" i="19"/>
  <c r="I47" i="18" s="1"/>
  <c r="C51" i="18"/>
  <c r="I30" i="18"/>
  <c r="W116" i="19"/>
  <c r="I32" i="18" s="1"/>
  <c r="J52" i="18"/>
  <c r="J35" i="18"/>
  <c r="J47" i="18"/>
  <c r="I37" i="18"/>
  <c r="I64" i="18" s="1"/>
  <c r="C32" i="18"/>
  <c r="W122" i="19"/>
  <c r="I38" i="18" s="1"/>
  <c r="W120" i="19"/>
  <c r="I36" i="18" s="1"/>
  <c r="J30" i="18"/>
  <c r="J45" i="18"/>
  <c r="I51" i="18"/>
  <c r="F37" i="18"/>
  <c r="F64" i="18" s="1"/>
  <c r="J51" i="18"/>
  <c r="J36" i="18"/>
  <c r="D37" i="18"/>
  <c r="D64" i="18" s="1"/>
  <c r="J33" i="18"/>
  <c r="C35" i="18"/>
  <c r="C37" i="18"/>
  <c r="C64" i="18" s="1"/>
  <c r="J32" i="18"/>
  <c r="W117" i="19"/>
  <c r="I33" i="18" s="1"/>
  <c r="W129" i="19"/>
  <c r="I45" i="18" s="1"/>
  <c r="K24" i="18"/>
  <c r="K18" i="18"/>
  <c r="K3" i="18"/>
  <c r="K6" i="18"/>
  <c r="K21" i="18"/>
  <c r="K10" i="18"/>
  <c r="K7" i="18"/>
  <c r="K22" i="18"/>
  <c r="K15" i="18"/>
  <c r="K16" i="18"/>
  <c r="K11" i="18"/>
  <c r="K2" i="18"/>
  <c r="K19" i="18"/>
  <c r="K5" i="18"/>
  <c r="K25" i="18"/>
  <c r="K13" i="18"/>
  <c r="K14" i="18"/>
  <c r="K23" i="18"/>
  <c r="K17" i="18"/>
  <c r="K9" i="18"/>
  <c r="K26" i="18"/>
  <c r="K12" i="18"/>
  <c r="K20" i="18"/>
  <c r="K4" i="18"/>
  <c r="K8" i="18"/>
  <c r="W5" i="19"/>
  <c r="A3" i="16"/>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A75" i="16"/>
  <c r="A76" i="16"/>
  <c r="A77" i="16"/>
  <c r="A78" i="16"/>
  <c r="A79" i="16"/>
  <c r="A80" i="16"/>
  <c r="A81" i="16"/>
  <c r="A82" i="16"/>
  <c r="A83" i="16"/>
  <c r="A84" i="16"/>
  <c r="A85" i="16"/>
  <c r="A86" i="16"/>
  <c r="A87" i="16"/>
  <c r="A88" i="16"/>
  <c r="A89" i="16"/>
  <c r="A90" i="16"/>
  <c r="A46" i="16"/>
  <c r="C93" i="16" l="1"/>
  <c r="C109" i="16"/>
  <c r="D101" i="16"/>
  <c r="D117" i="16"/>
  <c r="K94" i="16"/>
  <c r="I96" i="16"/>
  <c r="E100" i="16"/>
  <c r="L101" i="16"/>
  <c r="J103" i="16"/>
  <c r="H105" i="16"/>
  <c r="F107" i="16"/>
  <c r="M108" i="16"/>
  <c r="K110" i="16"/>
  <c r="I112" i="16"/>
  <c r="E116" i="16"/>
  <c r="L117" i="16"/>
  <c r="Z93" i="16"/>
  <c r="U94" i="16"/>
  <c r="P95" i="16"/>
  <c r="AF95" i="16"/>
  <c r="AA96" i="16"/>
  <c r="V97" i="16"/>
  <c r="Q98" i="16"/>
  <c r="AG98" i="16"/>
  <c r="AB99" i="16"/>
  <c r="W100" i="16"/>
  <c r="R101" i="16"/>
  <c r="AH101" i="16"/>
  <c r="AC102" i="16"/>
  <c r="X103" i="16"/>
  <c r="S104" i="16"/>
  <c r="N105" i="16"/>
  <c r="AD105" i="16"/>
  <c r="Y106" i="16"/>
  <c r="T107" i="16"/>
  <c r="O108" i="16"/>
  <c r="AE108" i="16"/>
  <c r="Z109" i="16"/>
  <c r="U110" i="16"/>
  <c r="P111" i="16"/>
  <c r="AF111" i="16"/>
  <c r="AA112" i="16"/>
  <c r="V113" i="16"/>
  <c r="Q114" i="16"/>
  <c r="AG114" i="16"/>
  <c r="AB115" i="16"/>
  <c r="W116" i="16"/>
  <c r="R117" i="16"/>
  <c r="AH117" i="16"/>
  <c r="C94" i="16"/>
  <c r="C110" i="16"/>
  <c r="D102" i="16"/>
  <c r="E93" i="16"/>
  <c r="L94" i="16"/>
  <c r="J96" i="16"/>
  <c r="H98" i="16"/>
  <c r="F100" i="16"/>
  <c r="M101" i="16"/>
  <c r="K103" i="16"/>
  <c r="I105" i="16"/>
  <c r="E109" i="16"/>
  <c r="L110" i="16"/>
  <c r="J112" i="16"/>
  <c r="H114" i="16"/>
  <c r="F116" i="16"/>
  <c r="M117" i="16"/>
  <c r="AA93" i="16"/>
  <c r="V94" i="16"/>
  <c r="Q95" i="16"/>
  <c r="AG95" i="16"/>
  <c r="AB96" i="16"/>
  <c r="W97" i="16"/>
  <c r="R98" i="16"/>
  <c r="AH98" i="16"/>
  <c r="AC99" i="16"/>
  <c r="X100" i="16"/>
  <c r="S101" i="16"/>
  <c r="N102" i="16"/>
  <c r="AD102" i="16"/>
  <c r="Y103" i="16"/>
  <c r="T104" i="16"/>
  <c r="O105" i="16"/>
  <c r="AE105" i="16"/>
  <c r="Z106" i="16"/>
  <c r="U107" i="16"/>
  <c r="P108" i="16"/>
  <c r="AF108" i="16"/>
  <c r="AA109" i="16"/>
  <c r="V110" i="16"/>
  <c r="Q111" i="16"/>
  <c r="AG111" i="16"/>
  <c r="AB112" i="16"/>
  <c r="W113" i="16"/>
  <c r="R114" i="16"/>
  <c r="AH114" i="16"/>
  <c r="AC115" i="16"/>
  <c r="X116" i="16"/>
  <c r="S117" i="16"/>
  <c r="C95" i="16"/>
  <c r="C111" i="16"/>
  <c r="D103" i="16"/>
  <c r="F93" i="16"/>
  <c r="M94" i="16"/>
  <c r="K96" i="16"/>
  <c r="I98" i="16"/>
  <c r="E102" i="16"/>
  <c r="L103" i="16"/>
  <c r="J105" i="16"/>
  <c r="H107" i="16"/>
  <c r="F109" i="16"/>
  <c r="M110" i="16"/>
  <c r="K112" i="16"/>
  <c r="I114" i="16"/>
  <c r="D93" i="16"/>
  <c r="AB93" i="16"/>
  <c r="W94" i="16"/>
  <c r="R95" i="16"/>
  <c r="AH95" i="16"/>
  <c r="AC96" i="16"/>
  <c r="X97" i="16"/>
  <c r="S98" i="16"/>
  <c r="N99" i="16"/>
  <c r="AD99" i="16"/>
  <c r="Y100" i="16"/>
  <c r="T101" i="16"/>
  <c r="O102" i="16"/>
  <c r="AE102" i="16"/>
  <c r="Z103" i="16"/>
  <c r="U104" i="16"/>
  <c r="P105" i="16"/>
  <c r="AF105" i="16"/>
  <c r="AA106" i="16"/>
  <c r="V107" i="16"/>
  <c r="Q108" i="16"/>
  <c r="AG108" i="16"/>
  <c r="AB109" i="16"/>
  <c r="W110" i="16"/>
  <c r="R111" i="16"/>
  <c r="AH111" i="16"/>
  <c r="AC112" i="16"/>
  <c r="X113" i="16"/>
  <c r="S114" i="16"/>
  <c r="N115" i="16"/>
  <c r="AD115" i="16"/>
  <c r="Y116" i="16"/>
  <c r="T117" i="16"/>
  <c r="C96" i="16"/>
  <c r="C112" i="16"/>
  <c r="D104" i="16"/>
  <c r="G93" i="16"/>
  <c r="E95" i="16"/>
  <c r="L96" i="16"/>
  <c r="J98" i="16"/>
  <c r="H100" i="16"/>
  <c r="F102" i="16"/>
  <c r="M103" i="16"/>
  <c r="K105" i="16"/>
  <c r="I107" i="16"/>
  <c r="E111" i="16"/>
  <c r="L112" i="16"/>
  <c r="J114" i="16"/>
  <c r="H116" i="16"/>
  <c r="AC93" i="16"/>
  <c r="X94" i="16"/>
  <c r="S95" i="16"/>
  <c r="N96" i="16"/>
  <c r="AD96" i="16"/>
  <c r="Y97" i="16"/>
  <c r="T98" i="16"/>
  <c r="O99" i="16"/>
  <c r="AE99" i="16"/>
  <c r="Z100" i="16"/>
  <c r="U101" i="16"/>
  <c r="P102" i="16"/>
  <c r="AF102" i="16"/>
  <c r="AA103" i="16"/>
  <c r="V104" i="16"/>
  <c r="Q105" i="16"/>
  <c r="AG105" i="16"/>
  <c r="AB106" i="16"/>
  <c r="W107" i="16"/>
  <c r="R108" i="16"/>
  <c r="AH108" i="16"/>
  <c r="AC109" i="16"/>
  <c r="X110" i="16"/>
  <c r="S111" i="16"/>
  <c r="N112" i="16"/>
  <c r="AD112" i="16"/>
  <c r="Y113" i="16"/>
  <c r="T114" i="16"/>
  <c r="O115" i="16"/>
  <c r="AE115" i="16"/>
  <c r="Z116" i="16"/>
  <c r="U117" i="16"/>
  <c r="C97" i="16"/>
  <c r="C113" i="16"/>
  <c r="D105" i="16"/>
  <c r="H93" i="16"/>
  <c r="F95" i="16"/>
  <c r="M96" i="16"/>
  <c r="K98" i="16"/>
  <c r="I100" i="16"/>
  <c r="E104" i="16"/>
  <c r="L105" i="16"/>
  <c r="J107" i="16"/>
  <c r="H109" i="16"/>
  <c r="F111" i="16"/>
  <c r="M112" i="16"/>
  <c r="K114" i="16"/>
  <c r="I116" i="16"/>
  <c r="N93" i="16"/>
  <c r="AD93" i="16"/>
  <c r="Y94" i="16"/>
  <c r="T95" i="16"/>
  <c r="O96" i="16"/>
  <c r="AE96" i="16"/>
  <c r="Z97" i="16"/>
  <c r="U98" i="16"/>
  <c r="P99" i="16"/>
  <c r="AF99" i="16"/>
  <c r="AA100" i="16"/>
  <c r="V101" i="16"/>
  <c r="Q102" i="16"/>
  <c r="AG102" i="16"/>
  <c r="AB103" i="16"/>
  <c r="W104" i="16"/>
  <c r="R105" i="16"/>
  <c r="AH105" i="16"/>
  <c r="AC106" i="16"/>
  <c r="X107" i="16"/>
  <c r="S108" i="16"/>
  <c r="N109" i="16"/>
  <c r="AD109" i="16"/>
  <c r="Y110" i="16"/>
  <c r="T111" i="16"/>
  <c r="O112" i="16"/>
  <c r="AE112" i="16"/>
  <c r="Z113" i="16"/>
  <c r="U114" i="16"/>
  <c r="P115" i="16"/>
  <c r="AF115" i="16"/>
  <c r="AA116" i="16"/>
  <c r="V117" i="16"/>
  <c r="C98" i="16"/>
  <c r="C114" i="16"/>
  <c r="D106" i="16"/>
  <c r="I93" i="16"/>
  <c r="G95" i="16"/>
  <c r="E97" i="16"/>
  <c r="L98" i="16"/>
  <c r="J100" i="16"/>
  <c r="H102" i="16"/>
  <c r="F104" i="16"/>
  <c r="M105" i="16"/>
  <c r="K107" i="16"/>
  <c r="I109" i="16"/>
  <c r="E113" i="16"/>
  <c r="L114" i="16"/>
  <c r="J116" i="16"/>
  <c r="O93" i="16"/>
  <c r="AE93" i="16"/>
  <c r="Z94" i="16"/>
  <c r="U95" i="16"/>
  <c r="P96" i="16"/>
  <c r="AF96" i="16"/>
  <c r="AA97" i="16"/>
  <c r="V98" i="16"/>
  <c r="Q99" i="16"/>
  <c r="AG99" i="16"/>
  <c r="AB100" i="16"/>
  <c r="W101" i="16"/>
  <c r="R102" i="16"/>
  <c r="AH102" i="16"/>
  <c r="AC103" i="16"/>
  <c r="X104" i="16"/>
  <c r="S105" i="16"/>
  <c r="N106" i="16"/>
  <c r="AD106" i="16"/>
  <c r="Y107" i="16"/>
  <c r="T108" i="16"/>
  <c r="O109" i="16"/>
  <c r="AE109" i="16"/>
  <c r="Z110" i="16"/>
  <c r="U111" i="16"/>
  <c r="P112" i="16"/>
  <c r="AF112" i="16"/>
  <c r="AA113" i="16"/>
  <c r="V114" i="16"/>
  <c r="Q115" i="16"/>
  <c r="AG115" i="16"/>
  <c r="AB116" i="16"/>
  <c r="W117" i="16"/>
  <c r="C99" i="16"/>
  <c r="C115" i="16"/>
  <c r="D107" i="16"/>
  <c r="J93" i="16"/>
  <c r="H95" i="16"/>
  <c r="F97" i="16"/>
  <c r="M98" i="16"/>
  <c r="K100" i="16"/>
  <c r="I102" i="16"/>
  <c r="E106" i="16"/>
  <c r="L107" i="16"/>
  <c r="J109" i="16"/>
  <c r="H111" i="16"/>
  <c r="F113" i="16"/>
  <c r="M114" i="16"/>
  <c r="K116" i="16"/>
  <c r="P93" i="16"/>
  <c r="AF93" i="16"/>
  <c r="AA94" i="16"/>
  <c r="V95" i="16"/>
  <c r="Q96" i="16"/>
  <c r="AG96" i="16"/>
  <c r="AB97" i="16"/>
  <c r="W98" i="16"/>
  <c r="R99" i="16"/>
  <c r="AH99" i="16"/>
  <c r="AC100" i="16"/>
  <c r="X101" i="16"/>
  <c r="S102" i="16"/>
  <c r="N103" i="16"/>
  <c r="AD103" i="16"/>
  <c r="Y104" i="16"/>
  <c r="T105" i="16"/>
  <c r="O106" i="16"/>
  <c r="AE106" i="16"/>
  <c r="Z107" i="16"/>
  <c r="U108" i="16"/>
  <c r="P109" i="16"/>
  <c r="AF109" i="16"/>
  <c r="AA110" i="16"/>
  <c r="V111" i="16"/>
  <c r="Q112" i="16"/>
  <c r="AG112" i="16"/>
  <c r="AB113" i="16"/>
  <c r="W114" i="16"/>
  <c r="R115" i="16"/>
  <c r="AH115" i="16"/>
  <c r="AC116" i="16"/>
  <c r="X117" i="16"/>
  <c r="C100" i="16"/>
  <c r="C116" i="16"/>
  <c r="D108" i="16"/>
  <c r="K93" i="16"/>
  <c r="I95" i="16"/>
  <c r="E99" i="16"/>
  <c r="L100" i="16"/>
  <c r="J102" i="16"/>
  <c r="H104" i="16"/>
  <c r="F106" i="16"/>
  <c r="M107" i="16"/>
  <c r="K109" i="16"/>
  <c r="I111" i="16"/>
  <c r="G113" i="16"/>
  <c r="E115" i="16"/>
  <c r="L116" i="16"/>
  <c r="Q93" i="16"/>
  <c r="AG93" i="16"/>
  <c r="AB94" i="16"/>
  <c r="W95" i="16"/>
  <c r="R96" i="16"/>
  <c r="AH96" i="16"/>
  <c r="AC97" i="16"/>
  <c r="X98" i="16"/>
  <c r="S99" i="16"/>
  <c r="N100" i="16"/>
  <c r="AD100" i="16"/>
  <c r="Y101" i="16"/>
  <c r="T102" i="16"/>
  <c r="O103" i="16"/>
  <c r="AE103" i="16"/>
  <c r="Z104" i="16"/>
  <c r="U105" i="16"/>
  <c r="P106" i="16"/>
  <c r="AF106" i="16"/>
  <c r="AA107" i="16"/>
  <c r="V108" i="16"/>
  <c r="Q109" i="16"/>
  <c r="AG109" i="16"/>
  <c r="AB110" i="16"/>
  <c r="W111" i="16"/>
  <c r="R112" i="16"/>
  <c r="AH112" i="16"/>
  <c r="AC113" i="16"/>
  <c r="X114" i="16"/>
  <c r="S115" i="16"/>
  <c r="N116" i="16"/>
  <c r="AD116" i="16"/>
  <c r="Y117" i="16"/>
  <c r="C101" i="16"/>
  <c r="C117" i="16"/>
  <c r="D109" i="16"/>
  <c r="L93" i="16"/>
  <c r="J95" i="16"/>
  <c r="H97" i="16"/>
  <c r="F99" i="16"/>
  <c r="M100" i="16"/>
  <c r="K102" i="16"/>
  <c r="I104" i="16"/>
  <c r="E108" i="16"/>
  <c r="L109" i="16"/>
  <c r="J111" i="16"/>
  <c r="H113" i="16"/>
  <c r="F115" i="16"/>
  <c r="M116" i="16"/>
  <c r="R93" i="16"/>
  <c r="AH93" i="16"/>
  <c r="AC94" i="16"/>
  <c r="X95" i="16"/>
  <c r="S96" i="16"/>
  <c r="N97" i="16"/>
  <c r="AD97" i="16"/>
  <c r="Y98" i="16"/>
  <c r="T99" i="16"/>
  <c r="O100" i="16"/>
  <c r="AE100" i="16"/>
  <c r="Z101" i="16"/>
  <c r="U102" i="16"/>
  <c r="P103" i="16"/>
  <c r="AF103" i="16"/>
  <c r="AA104" i="16"/>
  <c r="V105" i="16"/>
  <c r="Q106" i="16"/>
  <c r="AG106" i="16"/>
  <c r="AB107" i="16"/>
  <c r="W108" i="16"/>
  <c r="R109" i="16"/>
  <c r="AH109" i="16"/>
  <c r="AC110" i="16"/>
  <c r="X111" i="16"/>
  <c r="S112" i="16"/>
  <c r="N113" i="16"/>
  <c r="AD113" i="16"/>
  <c r="Y114" i="16"/>
  <c r="T115" i="16"/>
  <c r="O116" i="16"/>
  <c r="AE116" i="16"/>
  <c r="Z117" i="16"/>
  <c r="C102" i="16"/>
  <c r="D94" i="16"/>
  <c r="D110" i="16"/>
  <c r="M93" i="16"/>
  <c r="K95" i="16"/>
  <c r="I97" i="16"/>
  <c r="E101" i="16"/>
  <c r="L102" i="16"/>
  <c r="J104" i="16"/>
  <c r="H106" i="16"/>
  <c r="F108" i="16"/>
  <c r="M109" i="16"/>
  <c r="K111" i="16"/>
  <c r="I113" i="16"/>
  <c r="E117" i="16"/>
  <c r="S93" i="16"/>
  <c r="N94" i="16"/>
  <c r="AD94" i="16"/>
  <c r="Y95" i="16"/>
  <c r="T96" i="16"/>
  <c r="O97" i="16"/>
  <c r="AE97" i="16"/>
  <c r="Z98" i="16"/>
  <c r="U99" i="16"/>
  <c r="P100" i="16"/>
  <c r="AF100" i="16"/>
  <c r="AA101" i="16"/>
  <c r="V102" i="16"/>
  <c r="Q103" i="16"/>
  <c r="AG103" i="16"/>
  <c r="AB104" i="16"/>
  <c r="W105" i="16"/>
  <c r="R106" i="16"/>
  <c r="AH106" i="16"/>
  <c r="AC107" i="16"/>
  <c r="X108" i="16"/>
  <c r="S109" i="16"/>
  <c r="N110" i="16"/>
  <c r="AD110" i="16"/>
  <c r="Y111" i="16"/>
  <c r="T112" i="16"/>
  <c r="O113" i="16"/>
  <c r="AE113" i="16"/>
  <c r="Z114" i="16"/>
  <c r="U115" i="16"/>
  <c r="P116" i="16"/>
  <c r="AF116" i="16"/>
  <c r="AA117" i="16"/>
  <c r="C103" i="16"/>
  <c r="D95" i="16"/>
  <c r="D111" i="16"/>
  <c r="E94" i="16"/>
  <c r="L95" i="16"/>
  <c r="J97" i="16"/>
  <c r="H99" i="16"/>
  <c r="F101" i="16"/>
  <c r="M102" i="16"/>
  <c r="K104" i="16"/>
  <c r="I106" i="16"/>
  <c r="E110" i="16"/>
  <c r="L111" i="16"/>
  <c r="J113" i="16"/>
  <c r="H115" i="16"/>
  <c r="F117" i="16"/>
  <c r="T93" i="16"/>
  <c r="O94" i="16"/>
  <c r="AE94" i="16"/>
  <c r="Z95" i="16"/>
  <c r="U96" i="16"/>
  <c r="P97" i="16"/>
  <c r="AF97" i="16"/>
  <c r="AA98" i="16"/>
  <c r="V99" i="16"/>
  <c r="Q100" i="16"/>
  <c r="AG100" i="16"/>
  <c r="AB101" i="16"/>
  <c r="W102" i="16"/>
  <c r="R103" i="16"/>
  <c r="AH103" i="16"/>
  <c r="AC104" i="16"/>
  <c r="X105" i="16"/>
  <c r="S106" i="16"/>
  <c r="N107" i="16"/>
  <c r="AD107" i="16"/>
  <c r="Y108" i="16"/>
  <c r="T109" i="16"/>
  <c r="O110" i="16"/>
  <c r="AE110" i="16"/>
  <c r="Z111" i="16"/>
  <c r="U112" i="16"/>
  <c r="P113" i="16"/>
  <c r="AF113" i="16"/>
  <c r="AA114" i="16"/>
  <c r="V115" i="16"/>
  <c r="Q116" i="16"/>
  <c r="AG116" i="16"/>
  <c r="AB117" i="16"/>
  <c r="C104" i="16"/>
  <c r="D96" i="16"/>
  <c r="D112" i="16"/>
  <c r="F94" i="16"/>
  <c r="M95" i="16"/>
  <c r="K97" i="16"/>
  <c r="I99" i="16"/>
  <c r="E103" i="16"/>
  <c r="L104" i="16"/>
  <c r="J106" i="16"/>
  <c r="H108" i="16"/>
  <c r="F110" i="16"/>
  <c r="M111" i="16"/>
  <c r="K113" i="16"/>
  <c r="I115" i="16"/>
  <c r="G117" i="16"/>
  <c r="U93" i="16"/>
  <c r="P94" i="16"/>
  <c r="AF94" i="16"/>
  <c r="AA95" i="16"/>
  <c r="V96" i="16"/>
  <c r="Q97" i="16"/>
  <c r="AG97" i="16"/>
  <c r="AB98" i="16"/>
  <c r="W99" i="16"/>
  <c r="R100" i="16"/>
  <c r="AH100" i="16"/>
  <c r="AC101" i="16"/>
  <c r="X102" i="16"/>
  <c r="S103" i="16"/>
  <c r="N104" i="16"/>
  <c r="AD104" i="16"/>
  <c r="Y105" i="16"/>
  <c r="T106" i="16"/>
  <c r="O107" i="16"/>
  <c r="AE107" i="16"/>
  <c r="Z108" i="16"/>
  <c r="U109" i="16"/>
  <c r="P110" i="16"/>
  <c r="AF110" i="16"/>
  <c r="AA111" i="16"/>
  <c r="V112" i="16"/>
  <c r="Q113" i="16"/>
  <c r="AG113" i="16"/>
  <c r="AB114" i="16"/>
  <c r="W115" i="16"/>
  <c r="R116" i="16"/>
  <c r="AH116" i="16"/>
  <c r="AC117" i="16"/>
  <c r="C105" i="16"/>
  <c r="D97" i="16"/>
  <c r="D113" i="16"/>
  <c r="C22" i="18" s="1"/>
  <c r="E96" i="16"/>
  <c r="L97" i="16"/>
  <c r="J99" i="16"/>
  <c r="H101" i="16"/>
  <c r="F103" i="16"/>
  <c r="M104" i="16"/>
  <c r="K106" i="16"/>
  <c r="I108" i="16"/>
  <c r="G110" i="16"/>
  <c r="E112" i="16"/>
  <c r="L113" i="16"/>
  <c r="J115" i="16"/>
  <c r="H117" i="16"/>
  <c r="V93" i="16"/>
  <c r="Q94" i="16"/>
  <c r="AG94" i="16"/>
  <c r="AB95" i="16"/>
  <c r="W96" i="16"/>
  <c r="R97" i="16"/>
  <c r="AH97" i="16"/>
  <c r="AC98" i="16"/>
  <c r="X99" i="16"/>
  <c r="S100" i="16"/>
  <c r="N101" i="16"/>
  <c r="AD101" i="16"/>
  <c r="Y102" i="16"/>
  <c r="T103" i="16"/>
  <c r="O104" i="16"/>
  <c r="AE104" i="16"/>
  <c r="Z105" i="16"/>
  <c r="U106" i="16"/>
  <c r="P107" i="16"/>
  <c r="AF107" i="16"/>
  <c r="AA108" i="16"/>
  <c r="V109" i="16"/>
  <c r="Q110" i="16"/>
  <c r="AG110" i="16"/>
  <c r="AB111" i="16"/>
  <c r="W112" i="16"/>
  <c r="R113" i="16"/>
  <c r="AH113" i="16"/>
  <c r="AC114" i="16"/>
  <c r="X115" i="16"/>
  <c r="S116" i="16"/>
  <c r="N117" i="16"/>
  <c r="AD117" i="16"/>
  <c r="C106" i="16"/>
  <c r="D98" i="16"/>
  <c r="D114" i="16"/>
  <c r="H94" i="16"/>
  <c r="F96" i="16"/>
  <c r="M97" i="16"/>
  <c r="K99" i="16"/>
  <c r="I101" i="16"/>
  <c r="E105" i="16"/>
  <c r="L106" i="16"/>
  <c r="J108" i="16"/>
  <c r="H110" i="16"/>
  <c r="F112" i="16"/>
  <c r="M113" i="16"/>
  <c r="K115" i="16"/>
  <c r="I117" i="16"/>
  <c r="W93" i="16"/>
  <c r="R94" i="16"/>
  <c r="AH94" i="16"/>
  <c r="AC95" i="16"/>
  <c r="X96" i="16"/>
  <c r="S97" i="16"/>
  <c r="N98" i="16"/>
  <c r="AD98" i="16"/>
  <c r="Y99" i="16"/>
  <c r="T100" i="16"/>
  <c r="O101" i="16"/>
  <c r="AE101" i="16"/>
  <c r="Z102" i="16"/>
  <c r="U103" i="16"/>
  <c r="P104" i="16"/>
  <c r="AF104" i="16"/>
  <c r="AA105" i="16"/>
  <c r="V106" i="16"/>
  <c r="Q107" i="16"/>
  <c r="AG107" i="16"/>
  <c r="AB108" i="16"/>
  <c r="W109" i="16"/>
  <c r="R110" i="16"/>
  <c r="AH110" i="16"/>
  <c r="AC111" i="16"/>
  <c r="X112" i="16"/>
  <c r="S113" i="16"/>
  <c r="N114" i="16"/>
  <c r="AD114" i="16"/>
  <c r="Y115" i="16"/>
  <c r="T116" i="16"/>
  <c r="O117" i="16"/>
  <c r="AE117" i="16"/>
  <c r="C107" i="16"/>
  <c r="D99" i="16"/>
  <c r="D115" i="16"/>
  <c r="I94" i="16"/>
  <c r="E98" i="16"/>
  <c r="L99" i="16"/>
  <c r="J101" i="16"/>
  <c r="H103" i="16"/>
  <c r="F105" i="16"/>
  <c r="M106" i="16"/>
  <c r="K108" i="16"/>
  <c r="I110" i="16"/>
  <c r="E114" i="16"/>
  <c r="L115" i="16"/>
  <c r="J117" i="16"/>
  <c r="X93" i="16"/>
  <c r="S94" i="16"/>
  <c r="N95" i="16"/>
  <c r="AD95" i="16"/>
  <c r="Y96" i="16"/>
  <c r="T97" i="16"/>
  <c r="O98" i="16"/>
  <c r="AE98" i="16"/>
  <c r="Z99" i="16"/>
  <c r="U100" i="16"/>
  <c r="P101" i="16"/>
  <c r="AF101" i="16"/>
  <c r="AA102" i="16"/>
  <c r="V103" i="16"/>
  <c r="Q104" i="16"/>
  <c r="AG104" i="16"/>
  <c r="AB105" i="16"/>
  <c r="W106" i="16"/>
  <c r="R107" i="16"/>
  <c r="AH107" i="16"/>
  <c r="AC108" i="16"/>
  <c r="X109" i="16"/>
  <c r="S110" i="16"/>
  <c r="N111" i="16"/>
  <c r="AD111" i="16"/>
  <c r="Y112" i="16"/>
  <c r="T113" i="16"/>
  <c r="O114" i="16"/>
  <c r="AE114" i="16"/>
  <c r="Z115" i="16"/>
  <c r="U116" i="16"/>
  <c r="P117" i="16"/>
  <c r="AF117" i="16"/>
  <c r="C108" i="16"/>
  <c r="D100" i="16"/>
  <c r="D116" i="16"/>
  <c r="C25" i="18" s="1"/>
  <c r="J94" i="16"/>
  <c r="H96" i="16"/>
  <c r="F98" i="16"/>
  <c r="M99" i="16"/>
  <c r="K101" i="16"/>
  <c r="I103" i="16"/>
  <c r="E107" i="16"/>
  <c r="L108" i="16"/>
  <c r="J110" i="16"/>
  <c r="H112" i="16"/>
  <c r="F114" i="16"/>
  <c r="M115" i="16"/>
  <c r="K117" i="16"/>
  <c r="Y93" i="16"/>
  <c r="T94" i="16"/>
  <c r="O95" i="16"/>
  <c r="AE95" i="16"/>
  <c r="Z96" i="16"/>
  <c r="U97" i="16"/>
  <c r="P98" i="16"/>
  <c r="AF98" i="16"/>
  <c r="AA99" i="16"/>
  <c r="V100" i="16"/>
  <c r="Q101" i="16"/>
  <c r="AG101" i="16"/>
  <c r="AB102" i="16"/>
  <c r="W103" i="16"/>
  <c r="R104" i="16"/>
  <c r="AH104" i="16"/>
  <c r="AC105" i="16"/>
  <c r="X106" i="16"/>
  <c r="S107" i="16"/>
  <c r="N108" i="16"/>
  <c r="AD108" i="16"/>
  <c r="Y109" i="16"/>
  <c r="T110" i="16"/>
  <c r="O111" i="16"/>
  <c r="AE111" i="16"/>
  <c r="Z112" i="16"/>
  <c r="U113" i="16"/>
  <c r="P114" i="16"/>
  <c r="AF114" i="16"/>
  <c r="AA115" i="16"/>
  <c r="V116" i="16"/>
  <c r="Q117" i="16"/>
  <c r="AG117" i="16"/>
  <c r="C6" i="18" l="1"/>
  <c r="C8" i="18"/>
  <c r="C20" i="18"/>
  <c r="C3" i="18"/>
  <c r="C18" i="18"/>
  <c r="C24" i="18"/>
  <c r="C9" i="18"/>
  <c r="C4" i="18"/>
  <c r="C23" i="18"/>
  <c r="C15" i="18"/>
  <c r="C7" i="18"/>
  <c r="C16" i="18"/>
  <c r="C14" i="18"/>
  <c r="C13" i="18"/>
  <c r="C21" i="18"/>
  <c r="C12" i="18"/>
  <c r="C2" i="18"/>
  <c r="C11" i="18"/>
  <c r="C5" i="18"/>
  <c r="C19" i="18"/>
  <c r="C26" i="18"/>
  <c r="C17" i="18"/>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 i="17"/>
  <c r="H33" i="17"/>
  <c r="I33" i="17" s="1"/>
  <c r="D33" i="17"/>
  <c r="D31" i="17"/>
  <c r="D30" i="17"/>
  <c r="H29" i="17"/>
  <c r="D29" i="17"/>
  <c r="H28" i="17"/>
  <c r="I28" i="17" s="1"/>
  <c r="H27" i="17"/>
  <c r="D27" i="17"/>
  <c r="H26" i="17"/>
  <c r="I26" i="17" s="1"/>
  <c r="H25" i="17"/>
  <c r="I25" i="17" s="1"/>
  <c r="H24" i="17"/>
  <c r="D24" i="17"/>
  <c r="H23" i="17"/>
  <c r="D23" i="17"/>
  <c r="H22" i="17"/>
  <c r="I22" i="17" s="1"/>
  <c r="D22" i="17"/>
  <c r="H21" i="17"/>
  <c r="D21" i="17"/>
  <c r="H20" i="17"/>
  <c r="D20" i="17"/>
  <c r="H19" i="17"/>
  <c r="D19" i="17"/>
  <c r="H18" i="17"/>
  <c r="I18" i="17" s="1"/>
  <c r="H17" i="17"/>
  <c r="I17" i="17" s="1"/>
  <c r="H16" i="17"/>
  <c r="I16" i="17" s="1"/>
  <c r="H15" i="17"/>
  <c r="I15" i="17" s="1"/>
  <c r="H14" i="17"/>
  <c r="I14" i="17" s="1"/>
  <c r="H13" i="17"/>
  <c r="D13" i="17"/>
  <c r="H12" i="17"/>
  <c r="I12" i="17" s="1"/>
  <c r="H11" i="17"/>
  <c r="D11" i="17"/>
  <c r="H10" i="17"/>
  <c r="D10" i="17"/>
  <c r="H9" i="17"/>
  <c r="I9" i="17" s="1"/>
  <c r="H8" i="17"/>
  <c r="I8" i="17" s="1"/>
  <c r="H7" i="17"/>
  <c r="D7" i="17"/>
  <c r="H6" i="17"/>
  <c r="D6" i="17"/>
  <c r="H5" i="17"/>
  <c r="I5" i="17" s="1"/>
  <c r="H4" i="17"/>
  <c r="I4" i="17" s="1"/>
  <c r="H3" i="17"/>
  <c r="I3" i="17" s="1"/>
  <c r="I13" i="17" l="1"/>
  <c r="I7" i="17"/>
  <c r="I27" i="17"/>
  <c r="I23" i="17"/>
  <c r="I19" i="17"/>
  <c r="I6" i="17"/>
  <c r="I10" i="17"/>
  <c r="I20" i="17"/>
  <c r="I29" i="17"/>
  <c r="I11" i="17"/>
  <c r="I21" i="17"/>
  <c r="I24" i="17"/>
  <c r="G47" i="16" l="1"/>
  <c r="G48" i="16"/>
  <c r="G94" i="16" s="1"/>
  <c r="G50" i="16"/>
  <c r="G51" i="16"/>
  <c r="G52" i="16"/>
  <c r="G55" i="16"/>
  <c r="G56" i="16"/>
  <c r="G97" i="16" s="1"/>
  <c r="G57" i="16"/>
  <c r="G58" i="16"/>
  <c r="G60" i="16"/>
  <c r="G98" i="16" s="1"/>
  <c r="G61" i="16"/>
  <c r="G62" i="16"/>
  <c r="G63" i="16"/>
  <c r="G99" i="16" s="1"/>
  <c r="G65" i="16"/>
  <c r="G66" i="16"/>
  <c r="G67" i="16"/>
  <c r="G68" i="16"/>
  <c r="G101" i="16" s="1"/>
  <c r="G69" i="16"/>
  <c r="G70" i="16"/>
  <c r="G71" i="16"/>
  <c r="G72" i="16"/>
  <c r="G103" i="16" s="1"/>
  <c r="G73" i="16"/>
  <c r="G104" i="16" s="1"/>
  <c r="G74" i="16"/>
  <c r="G106" i="16" s="1"/>
  <c r="G75" i="16"/>
  <c r="G107" i="16" s="1"/>
  <c r="G76" i="16"/>
  <c r="G108" i="16" s="1"/>
  <c r="G77" i="16"/>
  <c r="G114" i="16" s="1"/>
  <c r="G78" i="16"/>
  <c r="G105" i="16" s="1"/>
  <c r="G79" i="16"/>
  <c r="G112" i="16" s="1"/>
  <c r="G82" i="16"/>
  <c r="G109" i="16" s="1"/>
  <c r="G84" i="16"/>
  <c r="G111" i="16" s="1"/>
  <c r="G85" i="16"/>
  <c r="G116" i="16" s="1"/>
  <c r="G87" i="16"/>
  <c r="G88" i="16"/>
  <c r="G89" i="16"/>
  <c r="G115" i="16" s="1"/>
  <c r="G90" i="16"/>
  <c r="G46" i="16"/>
  <c r="G100" i="16" l="1"/>
  <c r="G96" i="16"/>
  <c r="G78" i="19"/>
  <c r="G102" i="16"/>
  <c r="G77" i="19"/>
  <c r="G121" i="19" s="1"/>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U11" i="3"/>
  <c r="U10" i="3"/>
  <c r="U9" i="3"/>
  <c r="U8" i="3"/>
  <c r="U7" i="3"/>
  <c r="U6" i="3"/>
  <c r="U5" i="3"/>
  <c r="U4" i="3"/>
  <c r="U3" i="3"/>
  <c r="U41" i="4"/>
  <c r="U40" i="4"/>
  <c r="U39" i="4"/>
  <c r="U38" i="4"/>
  <c r="U37" i="4"/>
  <c r="U36" i="4"/>
  <c r="U35" i="4"/>
  <c r="U34" i="4"/>
  <c r="U33" i="4"/>
  <c r="U32" i="4"/>
  <c r="U31" i="4"/>
  <c r="U30" i="4"/>
  <c r="U29" i="4"/>
  <c r="U28" i="4"/>
  <c r="U27" i="4"/>
  <c r="U26" i="4"/>
  <c r="U25" i="4"/>
  <c r="U24" i="4"/>
  <c r="U23" i="4"/>
  <c r="U22" i="4"/>
  <c r="U21" i="4"/>
  <c r="U20" i="4"/>
  <c r="U19" i="4"/>
  <c r="U18" i="4"/>
  <c r="U17" i="4"/>
  <c r="U16" i="4"/>
  <c r="U15" i="4"/>
  <c r="U14" i="4"/>
  <c r="U13" i="4"/>
  <c r="U12" i="4"/>
  <c r="U11" i="4"/>
  <c r="U10" i="4"/>
  <c r="U9" i="4"/>
  <c r="U8" i="4"/>
  <c r="U7" i="4"/>
  <c r="U6" i="4"/>
  <c r="U5" i="4"/>
  <c r="U4" i="4"/>
  <c r="U3" i="4"/>
  <c r="U41" i="9"/>
  <c r="U40" i="9"/>
  <c r="U39" i="9"/>
  <c r="U38" i="9"/>
  <c r="U37" i="9"/>
  <c r="U36" i="9"/>
  <c r="U35" i="9"/>
  <c r="U34" i="9"/>
  <c r="U33" i="9"/>
  <c r="U32" i="9"/>
  <c r="U31" i="9"/>
  <c r="U30" i="9"/>
  <c r="U29" i="9"/>
  <c r="U28" i="9"/>
  <c r="U27" i="9"/>
  <c r="U26" i="9"/>
  <c r="U25" i="9"/>
  <c r="U24" i="9"/>
  <c r="U23" i="9"/>
  <c r="U22" i="9"/>
  <c r="U21" i="9"/>
  <c r="U20" i="9"/>
  <c r="U19" i="9"/>
  <c r="U18" i="9"/>
  <c r="U17" i="9"/>
  <c r="U16" i="9"/>
  <c r="U15" i="9"/>
  <c r="U14" i="9"/>
  <c r="U13" i="9"/>
  <c r="U12" i="9"/>
  <c r="U11" i="9"/>
  <c r="U10" i="9"/>
  <c r="U9" i="9"/>
  <c r="U8" i="9"/>
  <c r="U7" i="9"/>
  <c r="U6" i="9"/>
  <c r="U5" i="9"/>
  <c r="U4" i="9"/>
  <c r="U3" i="9"/>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41" i="7"/>
  <c r="U40" i="7"/>
  <c r="U39" i="7"/>
  <c r="U38" i="7"/>
  <c r="U37" i="7"/>
  <c r="U36" i="7"/>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U5" i="7"/>
  <c r="U4" i="7"/>
  <c r="U3" i="7"/>
  <c r="U41" i="5"/>
  <c r="U40" i="5"/>
  <c r="U39" i="5"/>
  <c r="U38" i="5"/>
  <c r="U37" i="5"/>
  <c r="U36" i="5"/>
  <c r="U35" i="5"/>
  <c r="U34" i="5"/>
  <c r="U33" i="5"/>
  <c r="U32" i="5"/>
  <c r="U31" i="5"/>
  <c r="U30" i="5"/>
  <c r="U29" i="5"/>
  <c r="U28" i="5"/>
  <c r="U27" i="5"/>
  <c r="U26" i="5"/>
  <c r="U25" i="5"/>
  <c r="U24" i="5"/>
  <c r="U23" i="5"/>
  <c r="U22" i="5"/>
  <c r="U21" i="5"/>
  <c r="U20" i="5"/>
  <c r="U19" i="5"/>
  <c r="U18" i="5"/>
  <c r="U17" i="5"/>
  <c r="U16" i="5"/>
  <c r="U15" i="5"/>
  <c r="U14" i="5"/>
  <c r="U13" i="5"/>
  <c r="U12" i="5"/>
  <c r="U11" i="5"/>
  <c r="U10" i="5"/>
  <c r="U9" i="5"/>
  <c r="U8" i="5"/>
  <c r="U7" i="5"/>
  <c r="U6" i="5"/>
  <c r="U5" i="5"/>
  <c r="U4" i="5"/>
  <c r="U3" i="5"/>
  <c r="K43" i="5"/>
  <c r="K42" i="5"/>
  <c r="K41" i="5"/>
  <c r="K40" i="5"/>
  <c r="K39" i="5"/>
  <c r="K38" i="5"/>
  <c r="K37" i="5"/>
  <c r="K36" i="5"/>
  <c r="K35" i="5"/>
  <c r="K34" i="5"/>
  <c r="K33" i="5"/>
  <c r="K32" i="5"/>
  <c r="K31" i="5"/>
  <c r="K30" i="5"/>
  <c r="K29" i="5"/>
  <c r="K28" i="5"/>
  <c r="K27" i="5"/>
  <c r="K26" i="5"/>
  <c r="K25" i="5"/>
  <c r="K24" i="5"/>
  <c r="K23" i="5"/>
  <c r="K22" i="5"/>
  <c r="K21" i="5"/>
  <c r="K20" i="5"/>
  <c r="K19" i="5"/>
  <c r="K18" i="5"/>
  <c r="K17" i="5"/>
  <c r="K16" i="5"/>
  <c r="K15" i="5"/>
  <c r="K14" i="5"/>
  <c r="K13" i="5"/>
  <c r="K12" i="5"/>
  <c r="K11" i="5"/>
  <c r="K10" i="5"/>
  <c r="K9" i="5"/>
  <c r="K8" i="5"/>
  <c r="K7" i="5"/>
  <c r="K6" i="5"/>
  <c r="K5" i="5"/>
  <c r="K4" i="5"/>
  <c r="K3" i="5"/>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K4" i="7"/>
  <c r="K3" i="7"/>
  <c r="K43" i="8" l="1"/>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K11" i="4"/>
  <c r="K10" i="4"/>
  <c r="K9" i="4"/>
  <c r="K8" i="4"/>
  <c r="K7" i="4"/>
  <c r="K6" i="4"/>
  <c r="K5" i="4"/>
  <c r="K4" i="4"/>
  <c r="K3" i="4"/>
  <c r="K43" i="9"/>
  <c r="K42" i="9"/>
  <c r="K41" i="9"/>
  <c r="K40" i="9"/>
  <c r="K39" i="9"/>
  <c r="K38" i="9"/>
  <c r="K37" i="9"/>
  <c r="K36" i="9"/>
  <c r="K35" i="9"/>
  <c r="K34" i="9"/>
  <c r="K33" i="9"/>
  <c r="K32" i="9"/>
  <c r="K31" i="9"/>
  <c r="K30" i="9"/>
  <c r="K29" i="9"/>
  <c r="K28" i="9"/>
  <c r="K27" i="9"/>
  <c r="K26" i="9"/>
  <c r="K25" i="9"/>
  <c r="K24" i="9"/>
  <c r="K23" i="9"/>
  <c r="K22" i="9"/>
  <c r="K21" i="9"/>
  <c r="K20" i="9"/>
  <c r="K19" i="9"/>
  <c r="K18" i="9"/>
  <c r="K17" i="9"/>
  <c r="K16" i="9"/>
  <c r="K15" i="9"/>
  <c r="K14" i="9"/>
  <c r="K13" i="9"/>
  <c r="K12" i="9"/>
  <c r="K11" i="9"/>
  <c r="K10" i="9"/>
  <c r="K9" i="9"/>
  <c r="K8" i="9"/>
  <c r="K7" i="9"/>
  <c r="K6" i="9"/>
  <c r="K5" i="9"/>
  <c r="K4" i="9"/>
  <c r="K3" i="9"/>
  <c r="B69" i="10"/>
  <c r="C69" i="10"/>
  <c r="D69" i="10"/>
  <c r="E69" i="10"/>
  <c r="F69" i="10"/>
  <c r="G69" i="10"/>
  <c r="H69" i="10"/>
  <c r="I69" i="10"/>
  <c r="J69" i="10"/>
  <c r="K42" i="10"/>
  <c r="K43" i="10"/>
  <c r="K41" i="10"/>
  <c r="K40" i="10"/>
  <c r="K39" i="10"/>
  <c r="K38" i="10"/>
  <c r="K37" i="10"/>
  <c r="K36" i="10"/>
  <c r="K35" i="10"/>
  <c r="K34" i="10"/>
  <c r="K33" i="10"/>
  <c r="K32" i="10"/>
  <c r="K31" i="10"/>
  <c r="K30" i="10"/>
  <c r="K29" i="10"/>
  <c r="K28" i="10"/>
  <c r="K27" i="10"/>
  <c r="K26" i="10"/>
  <c r="K25" i="10"/>
  <c r="K24" i="10"/>
  <c r="K23" i="10"/>
  <c r="K22" i="10"/>
  <c r="K21" i="10"/>
  <c r="K20" i="10"/>
  <c r="K19" i="10"/>
  <c r="K18" i="10"/>
  <c r="K17" i="10"/>
  <c r="K16" i="10"/>
  <c r="K15" i="10"/>
  <c r="K14" i="10"/>
  <c r="K13" i="10"/>
  <c r="K12" i="10"/>
  <c r="K11" i="10"/>
  <c r="K10" i="10"/>
  <c r="K9" i="10"/>
  <c r="K8" i="10"/>
  <c r="K7" i="10"/>
  <c r="K6" i="10"/>
  <c r="K5" i="10"/>
  <c r="K4" i="10"/>
  <c r="K3" i="10"/>
  <c r="U3" i="6"/>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3" i="6"/>
  <c r="U4" i="6"/>
  <c r="U5"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AR65" i="19"/>
  <c r="AV65" i="19" s="1"/>
  <c r="AR66" i="19"/>
  <c r="AV66" i="19" s="1"/>
  <c r="G25" i="19" l="1"/>
  <c r="G73" i="19" s="1"/>
  <c r="G9" i="19"/>
  <c r="G57" i="19" s="1"/>
  <c r="G114" i="19" s="1"/>
  <c r="G48" i="19"/>
  <c r="G96" i="19" s="1"/>
  <c r="G24" i="19"/>
  <c r="G72" i="19" s="1"/>
  <c r="G8" i="19"/>
  <c r="G56" i="19" s="1"/>
  <c r="G35" i="19"/>
  <c r="G83" i="19" s="1"/>
  <c r="G126" i="19" s="1"/>
  <c r="G23" i="19"/>
  <c r="G71" i="19" s="1"/>
  <c r="G50" i="19"/>
  <c r="G98" i="19" s="1"/>
  <c r="G135" i="19" s="1"/>
  <c r="G7" i="19"/>
  <c r="G55" i="19" s="1"/>
  <c r="G22" i="19"/>
  <c r="G70" i="19" s="1"/>
  <c r="G34" i="19"/>
  <c r="G82" i="19" s="1"/>
  <c r="G124" i="19" s="1"/>
  <c r="G11" i="19"/>
  <c r="G59" i="19" s="1"/>
  <c r="G46" i="19"/>
  <c r="G94" i="19" s="1"/>
  <c r="G21" i="19"/>
  <c r="G69" i="19" s="1"/>
  <c r="G118" i="19" s="1"/>
  <c r="G33" i="19"/>
  <c r="G81" i="19" s="1"/>
  <c r="G123" i="19" s="1"/>
  <c r="G10" i="19"/>
  <c r="G58" i="19" s="1"/>
  <c r="G115" i="19" s="1"/>
  <c r="G44" i="19"/>
  <c r="G92" i="19" s="1"/>
  <c r="G20" i="19"/>
  <c r="G68" i="19" s="1"/>
  <c r="G32" i="19"/>
  <c r="G80" i="19" s="1"/>
  <c r="G122" i="19" s="1"/>
  <c r="G42" i="19"/>
  <c r="G90" i="19" s="1"/>
  <c r="G130" i="19" s="1"/>
  <c r="G19" i="19"/>
  <c r="G67" i="19" s="1"/>
  <c r="G31" i="19"/>
  <c r="G79" i="19" s="1"/>
  <c r="G39" i="19"/>
  <c r="G87" i="19" s="1"/>
  <c r="G125" i="19" s="1"/>
  <c r="G18" i="19"/>
  <c r="G66" i="19" s="1"/>
  <c r="G40" i="19"/>
  <c r="G88" i="19" s="1"/>
  <c r="G132" i="19" s="1"/>
  <c r="G51" i="19"/>
  <c r="G99" i="19" s="1"/>
  <c r="G17" i="19"/>
  <c r="G65" i="19" s="1"/>
  <c r="G43" i="19"/>
  <c r="G91" i="19" s="1"/>
  <c r="G129" i="19" s="1"/>
  <c r="G49" i="19"/>
  <c r="G97" i="19" s="1"/>
  <c r="G16" i="19"/>
  <c r="G64" i="19" s="1"/>
  <c r="G45" i="19"/>
  <c r="G93" i="19" s="1"/>
  <c r="G131" i="19" s="1"/>
  <c r="G37" i="19"/>
  <c r="G85" i="19" s="1"/>
  <c r="G128" i="19" s="1"/>
  <c r="G47" i="19"/>
  <c r="G95" i="19" s="1"/>
  <c r="G15" i="19"/>
  <c r="G63" i="19" s="1"/>
  <c r="G38" i="19"/>
  <c r="G86" i="19" s="1"/>
  <c r="G134" i="19" s="1"/>
  <c r="G41" i="19"/>
  <c r="G89" i="19" s="1"/>
  <c r="G133" i="19" s="1"/>
  <c r="G14" i="19"/>
  <c r="G62" i="19" s="1"/>
  <c r="G27" i="19"/>
  <c r="G75" i="19" s="1"/>
  <c r="G13" i="19"/>
  <c r="G61" i="19" s="1"/>
  <c r="G36" i="19"/>
  <c r="G84" i="19" s="1"/>
  <c r="G127" i="19" s="1"/>
  <c r="G28" i="19"/>
  <c r="G76" i="19" s="1"/>
  <c r="G12" i="19"/>
  <c r="G60" i="19" s="1"/>
  <c r="G26" i="19"/>
  <c r="G74" i="19" s="1"/>
  <c r="G120" i="19" l="1"/>
  <c r="G119" i="19"/>
  <c r="G136" i="19"/>
  <c r="G116" i="19"/>
  <c r="G117" i="19"/>
  <c r="G5" i="19"/>
</calcChain>
</file>

<file path=xl/sharedStrings.xml><?xml version="1.0" encoding="utf-8"?>
<sst xmlns="http://schemas.openxmlformats.org/spreadsheetml/2006/main" count="2651" uniqueCount="638">
  <si>
    <t>行 业</t>
  </si>
  <si>
    <t>化学原料和化学制品制造业</t>
  </si>
  <si>
    <t>煤炭开采和洗选业</t>
  </si>
  <si>
    <t>石油和天然气开采业</t>
  </si>
  <si>
    <t>黑色金属矿采选业</t>
  </si>
  <si>
    <t>有色金属矿采选业</t>
  </si>
  <si>
    <t>非金属矿采选业</t>
  </si>
  <si>
    <t>开采专业及辅助性活动</t>
  </si>
  <si>
    <t>其他采矿业</t>
  </si>
  <si>
    <t>农副食品加工业</t>
  </si>
  <si>
    <t>食品制造业</t>
  </si>
  <si>
    <t>酒、饮料和精制茶制造业</t>
  </si>
  <si>
    <t>烟草制品业</t>
  </si>
  <si>
    <t>纺织业</t>
  </si>
  <si>
    <t>纺织服装、服饰业</t>
  </si>
  <si>
    <t>皮革、毛皮、羽毛及其制品和制鞋业</t>
  </si>
  <si>
    <t>木材加工和木、竹、藤、棕、草制品业</t>
  </si>
  <si>
    <t>家具制造业</t>
  </si>
  <si>
    <t>造纸和纸制品业</t>
  </si>
  <si>
    <t>印刷和记录媒介复制业</t>
  </si>
  <si>
    <t>文教、工美、体育和娱乐用品制造业</t>
  </si>
  <si>
    <t>石油、煤炭及其他燃料加工业</t>
  </si>
  <si>
    <t>医药制造业</t>
  </si>
  <si>
    <t>化学纤维制造业</t>
  </si>
  <si>
    <t>橡胶和塑料制品业</t>
  </si>
  <si>
    <t>非金属矿物制品业</t>
  </si>
  <si>
    <t>黑色金属冶炼和压延加工业</t>
  </si>
  <si>
    <t>有色金属冶炼和压延加工业</t>
  </si>
  <si>
    <t>金属制品业</t>
  </si>
  <si>
    <t>通用设备制造业</t>
  </si>
  <si>
    <t>专用设备制造业</t>
  </si>
  <si>
    <t>汽车制造业</t>
  </si>
  <si>
    <t>铁路、船舶、航空航天和其他运输设备制造业</t>
  </si>
  <si>
    <t>电气机械和器材制造业</t>
  </si>
  <si>
    <t>计算机、通信和其他电子设备制造业</t>
  </si>
  <si>
    <t>仪器仪表制造业</t>
  </si>
  <si>
    <t>其他制造业</t>
  </si>
  <si>
    <t>废弃资源综合利用业</t>
  </si>
  <si>
    <t>金属制品、机械和设备修理业</t>
  </si>
  <si>
    <t>电力、热力生产和供应业</t>
  </si>
  <si>
    <t>燃气生产和供应业</t>
  </si>
  <si>
    <t>水的生产和供应业</t>
  </si>
  <si>
    <r>
      <t>煤合计_x000D_
(万吨)_x000D_
Coal Total_x000D_
(10</t>
    </r>
    <r>
      <rPr>
        <vertAlign val="superscript"/>
        <sz val="10"/>
        <rFont val="宋体"/>
        <family val="3"/>
        <charset val="134"/>
      </rPr>
      <t>4</t>
    </r>
    <r>
      <rPr>
        <sz val="10"/>
        <rFont val="宋体"/>
        <family val="3"/>
        <charset val="134"/>
      </rPr>
      <t xml:space="preserve"> tons)</t>
    </r>
  </si>
  <si>
    <r>
      <t>原煤_x000D_
(万吨)_x000D_
Raw Coal_x000D_
(10</t>
    </r>
    <r>
      <rPr>
        <vertAlign val="superscript"/>
        <sz val="10"/>
        <rFont val="宋体"/>
        <family val="3"/>
        <charset val="134"/>
      </rPr>
      <t>4</t>
    </r>
    <r>
      <rPr>
        <sz val="10"/>
        <rFont val="宋体"/>
        <family val="3"/>
        <charset val="134"/>
      </rPr>
      <t xml:space="preserve"> tons)</t>
    </r>
  </si>
  <si>
    <r>
      <t>洗精煤_x000D_
(万吨)_x000D_
Cleaned_x000D_
Coal_x000D_
(10</t>
    </r>
    <r>
      <rPr>
        <vertAlign val="superscript"/>
        <sz val="10"/>
        <rFont val="宋体"/>
        <family val="3"/>
        <charset val="134"/>
      </rPr>
      <t>4</t>
    </r>
    <r>
      <rPr>
        <sz val="10"/>
        <rFont val="宋体"/>
        <family val="3"/>
        <charset val="134"/>
      </rPr>
      <t xml:space="preserve"> tons)</t>
    </r>
  </si>
  <si>
    <r>
      <t>其他洗煤_x000D_
(万吨)_x000D_
Other_x000D_
Washed Coal_x000D_
(10</t>
    </r>
    <r>
      <rPr>
        <vertAlign val="superscript"/>
        <sz val="10"/>
        <rFont val="宋体"/>
        <family val="3"/>
        <charset val="134"/>
      </rPr>
      <t>4</t>
    </r>
    <r>
      <rPr>
        <sz val="10"/>
        <rFont val="宋体"/>
        <family val="3"/>
        <charset val="134"/>
      </rPr>
      <t xml:space="preserve"> tons)</t>
    </r>
  </si>
  <si>
    <r>
      <t>焦炭_x000D_
(万吨)_x000D_
Coke_x000D_
(10</t>
    </r>
    <r>
      <rPr>
        <vertAlign val="superscript"/>
        <sz val="10"/>
        <rFont val="宋体"/>
        <family val="3"/>
        <charset val="134"/>
      </rPr>
      <t>4</t>
    </r>
    <r>
      <rPr>
        <sz val="10"/>
        <rFont val="宋体"/>
        <family val="3"/>
        <charset val="134"/>
      </rPr>
      <t xml:space="preserve"> tons)</t>
    </r>
  </si>
  <si>
    <r>
      <t>焦炉煤气_x000D_
(亿立方米)_x000D_
Coke Oven_x000D_
Gas_x000D_
(10</t>
    </r>
    <r>
      <rPr>
        <vertAlign val="superscript"/>
        <sz val="10"/>
        <rFont val="宋体"/>
        <family val="3"/>
        <charset val="134"/>
      </rPr>
      <t>8</t>
    </r>
    <r>
      <rPr>
        <sz val="10"/>
        <rFont val="宋体"/>
        <family val="3"/>
        <charset val="134"/>
      </rPr>
      <t xml:space="preserve"> cu.m)</t>
    </r>
  </si>
  <si>
    <r>
      <t>高炉煤气_x000D_
(亿立方米)_x000D_
Blast Furnace_x000D_
Gas_x000D_
(10</t>
    </r>
    <r>
      <rPr>
        <vertAlign val="superscript"/>
        <sz val="10"/>
        <rFont val="宋体"/>
        <family val="3"/>
        <charset val="134"/>
      </rPr>
      <t>8</t>
    </r>
    <r>
      <rPr>
        <sz val="10"/>
        <rFont val="宋体"/>
        <family val="3"/>
        <charset val="134"/>
      </rPr>
      <t xml:space="preserve"> cu.m)</t>
    </r>
  </si>
  <si>
    <r>
      <t>转炉煤气_x000D_
(亿立方米)_x000D_
Converter_x000D_
Gas_x000D_
(10</t>
    </r>
    <r>
      <rPr>
        <vertAlign val="superscript"/>
        <sz val="10"/>
        <rFont val="宋体"/>
        <family val="3"/>
        <charset val="134"/>
      </rPr>
      <t>8</t>
    </r>
    <r>
      <rPr>
        <sz val="10"/>
        <rFont val="宋体"/>
        <family val="3"/>
        <charset val="134"/>
      </rPr>
      <t xml:space="preserve"> cu.m)</t>
    </r>
  </si>
  <si>
    <r>
      <t>其他煤气_x000D_
(亿立方米)_x000D_
Other Gas_x000D_
(10</t>
    </r>
    <r>
      <rPr>
        <vertAlign val="superscript"/>
        <sz val="10"/>
        <rFont val="宋体"/>
        <family val="3"/>
        <charset val="134"/>
      </rPr>
      <t>8</t>
    </r>
    <r>
      <rPr>
        <sz val="10"/>
        <rFont val="宋体"/>
        <family val="3"/>
        <charset val="134"/>
      </rPr>
      <t xml:space="preserve"> cu.m)</t>
    </r>
  </si>
  <si>
    <r>
      <t>其他焦化产品_x000D_
(万吨)_x000D_
Other Coking_x000D_
Products_x000D_
(10</t>
    </r>
    <r>
      <rPr>
        <vertAlign val="superscript"/>
        <sz val="10"/>
        <rFont val="宋体"/>
        <family val="3"/>
        <charset val="134"/>
      </rPr>
      <t>4</t>
    </r>
    <r>
      <rPr>
        <sz val="10"/>
        <rFont val="宋体"/>
        <family val="3"/>
        <charset val="134"/>
      </rPr>
      <t xml:space="preserve"> tons)</t>
    </r>
  </si>
  <si>
    <r>
      <t>油品合计_x000D_
(万吨)_x000D_
Petroleum_x000D_
Products Total_x000D_
(10</t>
    </r>
    <r>
      <rPr>
        <vertAlign val="superscript"/>
        <sz val="10"/>
        <rFont val="宋体"/>
        <family val="3"/>
        <charset val="134"/>
      </rPr>
      <t>4</t>
    </r>
    <r>
      <rPr>
        <sz val="10"/>
        <rFont val="宋体"/>
        <family val="3"/>
        <charset val="134"/>
      </rPr>
      <t xml:space="preserve"> tons)</t>
    </r>
  </si>
  <si>
    <r>
      <t>原油_x000D_
(万吨)_x000D_
Crude Oil_x000D_
(10</t>
    </r>
    <r>
      <rPr>
        <vertAlign val="superscript"/>
        <sz val="10"/>
        <rFont val="宋体"/>
        <family val="3"/>
        <charset val="134"/>
      </rPr>
      <t>4</t>
    </r>
    <r>
      <rPr>
        <sz val="10"/>
        <rFont val="宋体"/>
        <family val="3"/>
        <charset val="134"/>
      </rPr>
      <t xml:space="preserve"> tons)</t>
    </r>
  </si>
  <si>
    <r>
      <t>汽油_x000D_
(万吨)_x000D_
Gasoline_x000D_
(10</t>
    </r>
    <r>
      <rPr>
        <vertAlign val="superscript"/>
        <sz val="10"/>
        <rFont val="宋体"/>
        <family val="3"/>
        <charset val="134"/>
      </rPr>
      <t>4</t>
    </r>
    <r>
      <rPr>
        <sz val="10"/>
        <rFont val="宋体"/>
        <family val="3"/>
        <charset val="134"/>
      </rPr>
      <t xml:space="preserve"> tons)</t>
    </r>
  </si>
  <si>
    <r>
      <t>煤油_x000D_
(万吨)_x000D_
Kerosene_x000D_
(10</t>
    </r>
    <r>
      <rPr>
        <vertAlign val="superscript"/>
        <sz val="10"/>
        <rFont val="宋体"/>
        <family val="3"/>
        <charset val="134"/>
      </rPr>
      <t>4</t>
    </r>
    <r>
      <rPr>
        <sz val="10"/>
        <rFont val="宋体"/>
        <family val="3"/>
        <charset val="134"/>
      </rPr>
      <t xml:space="preserve"> tons)</t>
    </r>
  </si>
  <si>
    <r>
      <t>柴油_x000D_
(万吨)_x000D_
Diesel Oil_x000D_
(10</t>
    </r>
    <r>
      <rPr>
        <vertAlign val="superscript"/>
        <sz val="10"/>
        <rFont val="宋体"/>
        <family val="3"/>
        <charset val="134"/>
      </rPr>
      <t>4</t>
    </r>
    <r>
      <rPr>
        <sz val="10"/>
        <rFont val="宋体"/>
        <family val="3"/>
        <charset val="134"/>
      </rPr>
      <t xml:space="preserve"> tons)</t>
    </r>
  </si>
  <si>
    <r>
      <t>燃料油_x000D_
(万吨)_x000D_
Fuel Oil_x000D_
(10</t>
    </r>
    <r>
      <rPr>
        <vertAlign val="superscript"/>
        <sz val="10"/>
        <rFont val="宋体"/>
        <family val="3"/>
        <charset val="134"/>
      </rPr>
      <t>4</t>
    </r>
    <r>
      <rPr>
        <sz val="10"/>
        <rFont val="宋体"/>
        <family val="3"/>
        <charset val="134"/>
      </rPr>
      <t xml:space="preserve"> tons)</t>
    </r>
  </si>
  <si>
    <r>
      <t>石脑油_x000D_
(万吨)_x000D_
Naphtha_x000D_
(10</t>
    </r>
    <r>
      <rPr>
        <vertAlign val="superscript"/>
        <sz val="10"/>
        <rFont val="宋体"/>
        <family val="3"/>
        <charset val="134"/>
      </rPr>
      <t>4</t>
    </r>
    <r>
      <rPr>
        <sz val="10"/>
        <rFont val="宋体"/>
        <family val="3"/>
        <charset val="134"/>
      </rPr>
      <t xml:space="preserve"> tons)</t>
    </r>
  </si>
  <si>
    <r>
      <t>润滑油_x000D_
(万吨)_x000D_
Lubricants_x000D_
(10</t>
    </r>
    <r>
      <rPr>
        <vertAlign val="superscript"/>
        <sz val="10"/>
        <rFont val="宋体"/>
        <family val="3"/>
        <charset val="134"/>
      </rPr>
      <t>4</t>
    </r>
    <r>
      <rPr>
        <sz val="10"/>
        <rFont val="宋体"/>
        <family val="3"/>
        <charset val="134"/>
      </rPr>
      <t xml:space="preserve"> tons)</t>
    </r>
  </si>
  <si>
    <r>
      <t>石蜡_x000D_
(万吨)_x000D_
Paraffin_x000D_
Waxes_x000D_
(10</t>
    </r>
    <r>
      <rPr>
        <vertAlign val="superscript"/>
        <sz val="10"/>
        <rFont val="宋体"/>
        <family val="3"/>
        <charset val="134"/>
      </rPr>
      <t>4</t>
    </r>
    <r>
      <rPr>
        <sz val="10"/>
        <rFont val="宋体"/>
        <family val="3"/>
        <charset val="134"/>
      </rPr>
      <t xml:space="preserve"> tons)</t>
    </r>
  </si>
  <si>
    <r>
      <t>溶剂油_x000D_
(万吨)_x000D_
White Spirit_x000D_
(10</t>
    </r>
    <r>
      <rPr>
        <vertAlign val="superscript"/>
        <sz val="10"/>
        <rFont val="宋体"/>
        <family val="3"/>
        <charset val="134"/>
      </rPr>
      <t>4</t>
    </r>
    <r>
      <rPr>
        <sz val="10"/>
        <rFont val="宋体"/>
        <family val="3"/>
        <charset val="134"/>
      </rPr>
      <t xml:space="preserve"> tons)</t>
    </r>
  </si>
  <si>
    <r>
      <t>石油沥青_x000D_
(万吨)_x000D_
Bitumen_x000D_
Asphalt_x000D_
(10</t>
    </r>
    <r>
      <rPr>
        <vertAlign val="superscript"/>
        <sz val="10"/>
        <rFont val="宋体"/>
        <family val="3"/>
        <charset val="134"/>
      </rPr>
      <t>4</t>
    </r>
    <r>
      <rPr>
        <sz val="10"/>
        <rFont val="宋体"/>
        <family val="3"/>
        <charset val="134"/>
      </rPr>
      <t xml:space="preserve"> tons)</t>
    </r>
  </si>
  <si>
    <r>
      <t>石油焦_x000D_
(万吨)_x000D_
Petroleum_x000D_
Coke_x000D_
(10</t>
    </r>
    <r>
      <rPr>
        <vertAlign val="superscript"/>
        <sz val="10"/>
        <rFont val="宋体"/>
        <family val="3"/>
        <charset val="134"/>
      </rPr>
      <t>4</t>
    </r>
    <r>
      <rPr>
        <sz val="10"/>
        <rFont val="宋体"/>
        <family val="3"/>
        <charset val="134"/>
      </rPr>
      <t xml:space="preserve"> tons)</t>
    </r>
  </si>
  <si>
    <r>
      <t>液化石油气_x000D_
(万吨)_x000D_
Liquefied_x000D_
Petroleum Gas_x000D_
(10</t>
    </r>
    <r>
      <rPr>
        <vertAlign val="superscript"/>
        <sz val="10"/>
        <rFont val="宋体"/>
        <family val="3"/>
        <charset val="134"/>
      </rPr>
      <t>4</t>
    </r>
    <r>
      <rPr>
        <sz val="10"/>
        <rFont val="宋体"/>
        <family val="3"/>
        <charset val="134"/>
      </rPr>
      <t xml:space="preserve"> tons)</t>
    </r>
  </si>
  <si>
    <r>
      <t>炼厂干气_x000D_
(万吨)_x000D_
Refinery_x000D_
Gas_x000D_
(10</t>
    </r>
    <r>
      <rPr>
        <vertAlign val="superscript"/>
        <sz val="10"/>
        <rFont val="宋体"/>
        <family val="3"/>
        <charset val="134"/>
      </rPr>
      <t>4</t>
    </r>
    <r>
      <rPr>
        <sz val="10"/>
        <rFont val="宋体"/>
        <family val="3"/>
        <charset val="134"/>
      </rPr>
      <t xml:space="preserve"> tons)</t>
    </r>
  </si>
  <si>
    <r>
      <t>其他石油制品_x000D_
(万吨)_x000D_
Other Petroleum_x000D_
Products_x000D_
(10</t>
    </r>
    <r>
      <rPr>
        <vertAlign val="superscript"/>
        <sz val="10"/>
        <rFont val="宋体"/>
        <family val="3"/>
        <charset val="134"/>
      </rPr>
      <t>4</t>
    </r>
    <r>
      <rPr>
        <sz val="10"/>
        <rFont val="宋体"/>
        <family val="3"/>
        <charset val="134"/>
      </rPr>
      <t xml:space="preserve"> tons)</t>
    </r>
  </si>
  <si>
    <r>
      <t>天然气_x000D_
(亿立方米)_x000D_
Natural Gas_x000D_
(10</t>
    </r>
    <r>
      <rPr>
        <vertAlign val="superscript"/>
        <sz val="10"/>
        <rFont val="宋体"/>
        <family val="3"/>
        <charset val="134"/>
      </rPr>
      <t>8</t>
    </r>
    <r>
      <rPr>
        <sz val="10"/>
        <rFont val="宋体"/>
        <family val="3"/>
        <charset val="134"/>
      </rPr>
      <t xml:space="preserve"> cu.m)</t>
    </r>
  </si>
  <si>
    <r>
      <t>液化天然气_x000D_
(万吨)_x000D_
Liquefied_x000D_
Natural Gas_x000D_
(10</t>
    </r>
    <r>
      <rPr>
        <vertAlign val="superscript"/>
        <sz val="10"/>
        <rFont val="宋体"/>
        <family val="3"/>
        <charset val="134"/>
      </rPr>
      <t>4</t>
    </r>
    <r>
      <rPr>
        <sz val="10"/>
        <rFont val="宋体"/>
        <family val="3"/>
        <charset val="134"/>
      </rPr>
      <t xml:space="preserve"> tons)</t>
    </r>
  </si>
  <si>
    <r>
      <t>热力_x000D_
(万百万千焦)_x000D_
Heat_x000D_
(10</t>
    </r>
    <r>
      <rPr>
        <vertAlign val="superscript"/>
        <sz val="10"/>
        <rFont val="宋体"/>
        <family val="3"/>
        <charset val="134"/>
      </rPr>
      <t>10</t>
    </r>
    <r>
      <rPr>
        <sz val="10"/>
        <rFont val="宋体"/>
        <family val="3"/>
        <charset val="134"/>
      </rPr>
      <t xml:space="preserve"> kJ)</t>
    </r>
  </si>
  <si>
    <r>
      <t>电力_x000D_
(亿千瓦小时)_x000D_
Electricity_x000D_
(10</t>
    </r>
    <r>
      <rPr>
        <vertAlign val="superscript"/>
        <sz val="10"/>
        <rFont val="宋体"/>
        <family val="3"/>
        <charset val="134"/>
      </rPr>
      <t>8</t>
    </r>
    <r>
      <rPr>
        <sz val="10"/>
        <rFont val="宋体"/>
        <family val="3"/>
        <charset val="134"/>
      </rPr>
      <t xml:space="preserve"> kW·h)</t>
    </r>
  </si>
  <si>
    <r>
      <t>其他能源_x000D_
(万吨标准煤)_x000D_
Other Energy_x000D_
(10</t>
    </r>
    <r>
      <rPr>
        <vertAlign val="superscript"/>
        <sz val="10"/>
        <rFont val="宋体"/>
        <family val="3"/>
        <charset val="134"/>
      </rPr>
      <t>4</t>
    </r>
    <r>
      <rPr>
        <sz val="10"/>
        <rFont val="宋体"/>
        <family val="3"/>
        <charset val="134"/>
      </rPr>
      <t xml:space="preserve"> tce)</t>
    </r>
  </si>
  <si>
    <t>项 目</t>
  </si>
  <si>
    <r>
      <t>其他洗煤_x000D_
(万吨)_x000D_
Other_x000D_
Washed_x000D_
Coal_x000D_
(10</t>
    </r>
    <r>
      <rPr>
        <vertAlign val="superscript"/>
        <sz val="10"/>
        <rFont val="宋体"/>
        <family val="3"/>
        <charset val="134"/>
      </rPr>
      <t>4</t>
    </r>
    <r>
      <rPr>
        <sz val="10"/>
        <rFont val="宋体"/>
        <family val="3"/>
        <charset val="134"/>
      </rPr>
      <t xml:space="preserve"> tons)</t>
    </r>
  </si>
  <si>
    <r>
      <t>煤制品_x000D_
(万吨)_x000D_
Briquettes_x000D_
(10</t>
    </r>
    <r>
      <rPr>
        <vertAlign val="superscript"/>
        <sz val="10"/>
        <rFont val="宋体"/>
        <family val="3"/>
        <charset val="134"/>
      </rPr>
      <t>4</t>
    </r>
    <r>
      <rPr>
        <sz val="10"/>
        <rFont val="宋体"/>
        <family val="3"/>
        <charset val="134"/>
      </rPr>
      <t xml:space="preserve"> tons)</t>
    </r>
  </si>
  <si>
    <r>
      <t>煤矸石_x000D_
(万吨)_x000D_
Gangue_x000D_
(10</t>
    </r>
    <r>
      <rPr>
        <vertAlign val="superscript"/>
        <sz val="10"/>
        <rFont val="宋体"/>
        <family val="3"/>
        <charset val="134"/>
      </rPr>
      <t>4</t>
    </r>
    <r>
      <rPr>
        <sz val="10"/>
        <rFont val="宋体"/>
        <family val="3"/>
        <charset val="134"/>
      </rPr>
      <t xml:space="preserve"> tons)</t>
    </r>
  </si>
  <si>
    <t>一.可供本地区消费的能源量</t>
  </si>
  <si>
    <t xml:space="preserve">  1.一次能源生产量</t>
  </si>
  <si>
    <t xml:space="preserve">    水电</t>
  </si>
  <si>
    <t xml:space="preserve">    核电</t>
  </si>
  <si>
    <t xml:space="preserve">    风电</t>
  </si>
  <si>
    <t xml:space="preserve">  2.进口量</t>
  </si>
  <si>
    <t xml:space="preserve">  3.境内飞机和轮船在境外的加油量</t>
  </si>
  <si>
    <t xml:space="preserve">  4.出口量(-)</t>
  </si>
  <si>
    <t xml:space="preserve">  5.境外飞机和轮船在境内的加油量(-)</t>
  </si>
  <si>
    <t xml:space="preserve">  6.库存增(-)、减(+)量</t>
  </si>
  <si>
    <t>二.加工转换投入(-)产出(+)量</t>
  </si>
  <si>
    <t xml:space="preserve">  1.火力发电</t>
  </si>
  <si>
    <t xml:space="preserve">  2.供热</t>
  </si>
  <si>
    <t xml:space="preserve">  3.煤炭洗选</t>
  </si>
  <si>
    <t xml:space="preserve">  4.炼焦</t>
  </si>
  <si>
    <t xml:space="preserve">  5.炼油及煤制油</t>
  </si>
  <si>
    <t xml:space="preserve">    #油品再投入量(-)</t>
  </si>
  <si>
    <t xml:space="preserve">  6.制气</t>
  </si>
  <si>
    <t xml:space="preserve">    #焦炭再投入量(-)</t>
  </si>
  <si>
    <t xml:space="preserve">  7.天然气液化</t>
  </si>
  <si>
    <t xml:space="preserve">  8.煤制品加工</t>
  </si>
  <si>
    <t xml:space="preserve">  9.回收能</t>
  </si>
  <si>
    <t>三.损失量</t>
  </si>
  <si>
    <t>四.终端消费量</t>
  </si>
  <si>
    <t xml:space="preserve">  1.农、林、牧、渔业</t>
  </si>
  <si>
    <t xml:space="preserve">  2.工业</t>
  </si>
  <si>
    <t xml:space="preserve">    #用作原料、材料</t>
  </si>
  <si>
    <t xml:space="preserve">  3.建筑业</t>
  </si>
  <si>
    <t xml:space="preserve">  4.交通运输、仓储和邮政业</t>
  </si>
  <si>
    <t xml:space="preserve">  5.批发和零售业、住宿和餐饮业</t>
  </si>
  <si>
    <t xml:space="preserve">  6.其他</t>
  </si>
  <si>
    <t xml:space="preserve">  7.居民生活</t>
  </si>
  <si>
    <t xml:space="preserve">    城镇</t>
  </si>
  <si>
    <t xml:space="preserve">    乡村</t>
  </si>
  <si>
    <t>五.平衡差额</t>
  </si>
  <si>
    <t>六.消费量合计</t>
  </si>
  <si>
    <r>
      <t>其他焦化产品_x000D_
(万吨)_x000D_
Other_x000D_
Coking_x000D_
Products_x000D_
(10</t>
    </r>
    <r>
      <rPr>
        <vertAlign val="superscript"/>
        <sz val="10"/>
        <rFont val="宋体"/>
        <family val="3"/>
        <charset val="134"/>
      </rPr>
      <t>4</t>
    </r>
    <r>
      <rPr>
        <sz val="10"/>
        <rFont val="宋体"/>
        <family val="3"/>
        <charset val="134"/>
      </rPr>
      <t xml:space="preserve"> tons)</t>
    </r>
  </si>
  <si>
    <r>
      <t>油品合计_x000D_
(万吨)_x000D_
Petroleum_x000D_
Products_x000D_
Total_x000D_
(10</t>
    </r>
    <r>
      <rPr>
        <vertAlign val="superscript"/>
        <sz val="10"/>
        <rFont val="宋体"/>
        <family val="3"/>
        <charset val="134"/>
      </rPr>
      <t>4</t>
    </r>
    <r>
      <rPr>
        <sz val="10"/>
        <rFont val="宋体"/>
        <family val="3"/>
        <charset val="134"/>
      </rPr>
      <t xml:space="preserve"> tons)</t>
    </r>
  </si>
  <si>
    <t>-5,07</t>
  </si>
  <si>
    <r>
      <t>其他石油制品_x000D_
(万吨)_x000D_
Other_x000D_
Petroleum_x000D_
Products_x000D_
(10</t>
    </r>
    <r>
      <rPr>
        <vertAlign val="superscript"/>
        <sz val="10"/>
        <rFont val="宋体"/>
        <family val="3"/>
        <charset val="134"/>
      </rPr>
      <t>4</t>
    </r>
    <r>
      <rPr>
        <sz val="10"/>
        <rFont val="宋体"/>
        <family val="3"/>
        <charset val="134"/>
      </rPr>
      <t xml:space="preserve"> tons)</t>
    </r>
  </si>
  <si>
    <r>
      <t>其他能源_x000D_
(万吨标准煤)_x000D_
Other_x000D_
Energy_x000D_
(10</t>
    </r>
    <r>
      <rPr>
        <vertAlign val="superscript"/>
        <sz val="10"/>
        <rFont val="宋体"/>
        <family val="3"/>
        <charset val="134"/>
      </rPr>
      <t>4</t>
    </r>
    <r>
      <rPr>
        <sz val="10"/>
        <rFont val="宋体"/>
        <family val="3"/>
        <charset val="134"/>
      </rPr>
      <t xml:space="preserve"> tce)</t>
    </r>
  </si>
  <si>
    <t>可供消费的能源总量</t>
  </si>
  <si>
    <t xml:space="preserve">  一次能源生产总量</t>
  </si>
  <si>
    <t xml:space="preserve">  回收能</t>
  </si>
  <si>
    <t xml:space="preserve">  进口量</t>
  </si>
  <si>
    <t xml:space="preserve">  出口量(-)</t>
  </si>
  <si>
    <t xml:space="preserve">  年初年末库存差额</t>
  </si>
  <si>
    <t>能源消费总量</t>
  </si>
  <si>
    <t xml:space="preserve">  在总量中:</t>
  </si>
  <si>
    <t xml:space="preserve">        1.农、林、牧、渔业</t>
  </si>
  <si>
    <t xml:space="preserve">        2.工业</t>
  </si>
  <si>
    <t xml:space="preserve">        3.建筑业</t>
  </si>
  <si>
    <t xml:space="preserve">        4.交通运输、仓储和邮政业</t>
  </si>
  <si>
    <t xml:space="preserve">        5.批发和零售业、住宿和餐饮业</t>
  </si>
  <si>
    <t xml:space="preserve">        6.其他</t>
  </si>
  <si>
    <t xml:space="preserve">        7.居民生活</t>
  </si>
  <si>
    <t xml:space="preserve">        (一)终端消费</t>
  </si>
  <si>
    <t xml:space="preserve">          #工业</t>
  </si>
  <si>
    <t xml:space="preserve">        (二)加工转换损失量</t>
  </si>
  <si>
    <t xml:space="preserve">          #炼焦</t>
  </si>
  <si>
    <t xml:space="preserve">            炼油及煤制油</t>
  </si>
  <si>
    <t xml:space="preserve">        (三)回收能(-)</t>
  </si>
  <si>
    <t xml:space="preserve">        (四)损失量</t>
  </si>
  <si>
    <t>平衡差额</t>
  </si>
  <si>
    <t>可供量</t>
  </si>
  <si>
    <t xml:space="preserve">  生产量</t>
  </si>
  <si>
    <t>消费量</t>
  </si>
  <si>
    <t xml:space="preserve">  在消费量中:</t>
  </si>
  <si>
    <t xml:space="preserve">       1.农、林、牧、渔业</t>
  </si>
  <si>
    <t xml:space="preserve">       2.工业</t>
  </si>
  <si>
    <t xml:space="preserve">       3.建筑业</t>
  </si>
  <si>
    <t xml:space="preserve">       4.交通运输、仓储和邮政业</t>
  </si>
  <si>
    <t xml:space="preserve">       5.批发和零售业、住宿和餐饮业</t>
  </si>
  <si>
    <t xml:space="preserve">       6.其他</t>
  </si>
  <si>
    <t xml:space="preserve">       7.居民生活</t>
  </si>
  <si>
    <t xml:space="preserve">     在消费量中:</t>
  </si>
  <si>
    <t xml:space="preserve">       (一)终端消费</t>
  </si>
  <si>
    <t xml:space="preserve">          #工业</t>
    <phoneticPr fontId="7" type="noConversion"/>
  </si>
  <si>
    <t xml:space="preserve">       (二)中间消费</t>
  </si>
  <si>
    <t xml:space="preserve">           (用于加工转换)</t>
  </si>
  <si>
    <t xml:space="preserve">          #火力发电</t>
    <phoneticPr fontId="7" type="noConversion"/>
  </si>
  <si>
    <t xml:space="preserve">           供热</t>
  </si>
  <si>
    <t xml:space="preserve">           炼焦</t>
  </si>
  <si>
    <t xml:space="preserve">           煤制油</t>
  </si>
  <si>
    <t xml:space="preserve">           制气</t>
  </si>
  <si>
    <t xml:space="preserve">       (三)洗选损耗</t>
  </si>
  <si>
    <t xml:space="preserve">         #工业</t>
  </si>
  <si>
    <t xml:space="preserve">         (用于加工转换)</t>
  </si>
  <si>
    <t xml:space="preserve">         制气</t>
  </si>
  <si>
    <t xml:space="preserve">       (三)损失量</t>
  </si>
  <si>
    <t xml:space="preserve">         火力发电</t>
  </si>
  <si>
    <t xml:space="preserve">         供热</t>
  </si>
  <si>
    <t xml:space="preserve">         炼油</t>
  </si>
  <si>
    <t xml:space="preserve">       (三)油田原油损失量</t>
  </si>
  <si>
    <t xml:space="preserve">     1.农、林、牧、渔业</t>
  </si>
  <si>
    <t xml:space="preserve">     2.工业</t>
  </si>
  <si>
    <t xml:space="preserve">     3.建筑业</t>
  </si>
  <si>
    <t xml:space="preserve">     4.交通运输、仓储和邮政业</t>
  </si>
  <si>
    <t xml:space="preserve">     5.批发和零售业、住宿和餐饮业</t>
  </si>
  <si>
    <t xml:space="preserve">     6.其他</t>
  </si>
  <si>
    <t xml:space="preserve">     7.居民生活</t>
  </si>
  <si>
    <t xml:space="preserve">         #工 业</t>
  </si>
  <si>
    <t xml:space="preserve">         供 热</t>
  </si>
  <si>
    <t xml:space="preserve">         炼油再投入量</t>
  </si>
  <si>
    <t xml:space="preserve">         制 气</t>
  </si>
  <si>
    <t xml:space="preserve">    #水电</t>
  </si>
  <si>
    <t xml:space="preserve">      火电</t>
  </si>
  <si>
    <t xml:space="preserve">      核电</t>
  </si>
  <si>
    <t xml:space="preserve">      风电</t>
  </si>
  <si>
    <t xml:space="preserve">     (一)终端消费</t>
  </si>
  <si>
    <t xml:space="preserve">       #工业</t>
  </si>
  <si>
    <t xml:space="preserve">     (二)输配电损失量</t>
  </si>
  <si>
    <t>difference</t>
    <phoneticPr fontId="3" type="noConversion"/>
  </si>
  <si>
    <t>Sector Energy Consumption including Energy Conversion</t>
    <phoneticPr fontId="3" type="noConversion"/>
  </si>
  <si>
    <t>Sector Final Energy Consumption excluding Energy Conversion</t>
    <phoneticPr fontId="3" type="noConversion"/>
  </si>
  <si>
    <t># Energy Used as Material</t>
    <phoneticPr fontId="3" type="noConversion"/>
  </si>
  <si>
    <t>*losses</t>
    <phoneticPr fontId="3" type="noConversion"/>
  </si>
  <si>
    <t>Energy Consumption</t>
    <phoneticPr fontId="3" type="noConversion"/>
  </si>
  <si>
    <t>项 目</t>
    <phoneticPr fontId="3" type="noConversion"/>
  </si>
  <si>
    <t>Energy Conversion</t>
    <phoneticPr fontId="3" type="noConversion"/>
  </si>
  <si>
    <t>4.2.1. #用作原料、材料</t>
    <phoneticPr fontId="3" type="noConversion"/>
  </si>
  <si>
    <t>“准确界定原料用能范畴”一节是《通知》的重要内容。该节具体指出，对原料用能的基本定义是:</t>
    <phoneticPr fontId="3" type="noConversion"/>
  </si>
  <si>
    <t>“指用作原材料的能源消费，即能源产品不作为燃料、动力使用，而作为生产非能源产品的原料、材料使用。”</t>
    <phoneticPr fontId="3" type="noConversion"/>
  </si>
  <si>
    <t>具体范畴则表述为</t>
    <phoneticPr fontId="3" type="noConversion"/>
  </si>
  <si>
    <t>“用于生产非能源用途的烯烃、芳烃、炔烃、醇类、合成氨等产品的煤炭、石油、天然气及其制品等，属于原料用能范畴；若用作燃料、动力使用，不属于原料用能范畴”。</t>
  </si>
  <si>
    <t>Definition of "Energy Product used as Material"</t>
    <phoneticPr fontId="3" type="noConversion"/>
  </si>
  <si>
    <t>Definition of Energy Product not used as Fuel based on US EPS Model</t>
    <phoneticPr fontId="3" type="noConversion"/>
  </si>
  <si>
    <t>Coking Coal: Hard coal used in Iron and Steel Industry</t>
    <phoneticPr fontId="3" type="noConversion"/>
  </si>
  <si>
    <t>Petrochem: Natural Gas, Crude Oil,  in refined petroleum and coke</t>
    <phoneticPr fontId="3" type="noConversion"/>
  </si>
  <si>
    <t>Chemical: Natural as Feedstock, LPG propane or butane as Feedstock</t>
    <phoneticPr fontId="3" type="noConversion"/>
  </si>
  <si>
    <t>ISIC Code</t>
  </si>
  <si>
    <t>US EPS Sector Breakdown</t>
  </si>
  <si>
    <t>Shandong EPS Sector Breakdown</t>
  </si>
  <si>
    <r>
      <t>山东省</t>
    </r>
    <r>
      <rPr>
        <b/>
        <sz val="11"/>
        <color rgb="FF000000"/>
        <rFont val="Arial"/>
        <family val="2"/>
      </rPr>
      <t>EPS</t>
    </r>
    <r>
      <rPr>
        <b/>
        <sz val="11"/>
        <color rgb="FF000000"/>
        <rFont val="等线"/>
        <family val="3"/>
        <charset val="134"/>
      </rPr>
      <t>行业分类</t>
    </r>
  </si>
  <si>
    <t>ISIC 351</t>
  </si>
  <si>
    <t>Electric Power Generation Transmission and Distribution</t>
  </si>
  <si>
    <t>Production and Supply of Electric Power and Heat Power</t>
  </si>
  <si>
    <t>电力、热力的生产和供应</t>
  </si>
  <si>
    <t>ISIC 352T353</t>
  </si>
  <si>
    <t>Energy pipelines and gas processing</t>
  </si>
  <si>
    <t>Production and Supply of Gas</t>
  </si>
  <si>
    <t>燃气生产和供应</t>
  </si>
  <si>
    <t>ISIC 36T39</t>
  </si>
  <si>
    <t>Water and waste</t>
  </si>
  <si>
    <t>Production and Supply of Water</t>
  </si>
  <si>
    <t>ISIC 41T43</t>
  </si>
  <si>
    <t>Construction</t>
  </si>
  <si>
    <t>建筑</t>
  </si>
  <si>
    <t>ISIC 45T47</t>
  </si>
  <si>
    <t>Wholesale and Retail Trade</t>
  </si>
  <si>
    <t>Wholesale and Retail Trades</t>
  </si>
  <si>
    <t>批发和零售</t>
  </si>
  <si>
    <t>ISIC 49T53</t>
  </si>
  <si>
    <t>Transportation and Storage</t>
  </si>
  <si>
    <t>Transport, Storage and Post</t>
  </si>
  <si>
    <t>交通运输、仓储和邮政</t>
  </si>
  <si>
    <t>ISIC 55T56</t>
  </si>
  <si>
    <t>Accomodation and Food Services</t>
  </si>
  <si>
    <t>Hotels and Catering Services</t>
  </si>
  <si>
    <t>住宿和餐饮</t>
  </si>
  <si>
    <t>ISIC 58T60</t>
  </si>
  <si>
    <t>Publishing, audiovisual and broadcasting activities</t>
  </si>
  <si>
    <t>Information Transmission, Sofrware and Information Technology Services</t>
  </si>
  <si>
    <t>信息传输、软件和信息技术服务</t>
  </si>
  <si>
    <t>ISIC 61</t>
  </si>
  <si>
    <t>Telecommunications</t>
  </si>
  <si>
    <t>Leasing and Business Services</t>
  </si>
  <si>
    <t>租赁和商务服务</t>
  </si>
  <si>
    <t>ISIC 62T63</t>
  </si>
  <si>
    <t>IT and other information services</t>
  </si>
  <si>
    <t>Scientific Research, Technical Services</t>
  </si>
  <si>
    <t>研究和试验发展</t>
  </si>
  <si>
    <t>ISIC 64T66</t>
  </si>
  <si>
    <t>Financial and insurance activities</t>
  </si>
  <si>
    <t>Financial and Insurance Activities</t>
  </si>
  <si>
    <t>金融</t>
  </si>
  <si>
    <t>ISIC 68</t>
  </si>
  <si>
    <t>Real estate activities</t>
  </si>
  <si>
    <t>Real Estate Activities</t>
  </si>
  <si>
    <t>房地产</t>
  </si>
  <si>
    <t>ISIC 69T82</t>
  </si>
  <si>
    <t>Other business sector services</t>
  </si>
  <si>
    <t>General Technology Services</t>
  </si>
  <si>
    <t>综合技术服务</t>
  </si>
  <si>
    <t>ISIC 84</t>
  </si>
  <si>
    <t>Public administration and defence; compulsory social security</t>
  </si>
  <si>
    <t>Management of Water Conservancy, Environment and Public Facilities; Public Administration, Social Security, and Social Organization</t>
  </si>
  <si>
    <t>水利、环境和公共设施管理、公共管理、社会保障和社会组织</t>
  </si>
  <si>
    <t>ISIC 85</t>
  </si>
  <si>
    <t>Education</t>
  </si>
  <si>
    <t>教育</t>
  </si>
  <si>
    <t>ISIC 86T88</t>
  </si>
  <si>
    <t>Human health and social work</t>
  </si>
  <si>
    <t>Health and Social Work</t>
  </si>
  <si>
    <t>卫生和社会工作</t>
  </si>
  <si>
    <t>ISIC 90T96</t>
  </si>
  <si>
    <t>Arts, entertainment, recreation and other service activities</t>
  </si>
  <si>
    <t>Culture, Sports and Entertainment</t>
  </si>
  <si>
    <t>文化、体育和娱乐</t>
  </si>
  <si>
    <t>ISIC 97T98</t>
  </si>
  <si>
    <t>Private households with employed persons</t>
  </si>
  <si>
    <t>Residents Services and Other Services</t>
  </si>
  <si>
    <t>居民服务、修理和其他服务</t>
  </si>
  <si>
    <t>ISIC 01T03</t>
  </si>
  <si>
    <t>agriculture and forestry</t>
  </si>
  <si>
    <t>Agriculture, Forestry, Animal Husbandry and Fishery</t>
  </si>
  <si>
    <t>农林牧渔产品和服务</t>
  </si>
  <si>
    <t>ISIC 05</t>
  </si>
  <si>
    <t>coal mining</t>
  </si>
  <si>
    <t>Mining and Washing of Coal</t>
  </si>
  <si>
    <t>煤炭采选产品</t>
  </si>
  <si>
    <t>ISIC 06</t>
  </si>
  <si>
    <t>oil and gas extraction</t>
  </si>
  <si>
    <t>Extraction of Petroleum and Natural Gas</t>
  </si>
  <si>
    <t>石油和天然气开采产品</t>
  </si>
  <si>
    <t>ISIC 07T08</t>
  </si>
  <si>
    <t>other mining and quarrying</t>
  </si>
  <si>
    <t>Mining and Processing of Ferrous, Non-ferrous Metal and Nonmetal Ores</t>
  </si>
  <si>
    <r>
      <t>金属矿采选产品</t>
    </r>
    <r>
      <rPr>
        <sz val="11"/>
        <color rgb="FF000000"/>
        <rFont val="Arial"/>
        <family val="2"/>
      </rPr>
      <t>&amp;</t>
    </r>
    <r>
      <rPr>
        <sz val="11"/>
        <color rgb="FF000000"/>
        <rFont val="宋体"/>
        <family val="3"/>
        <charset val="134"/>
      </rPr>
      <t>非金属矿</t>
    </r>
  </si>
  <si>
    <t>ISIC 09</t>
  </si>
  <si>
    <t>Mining Support Service Activities</t>
  </si>
  <si>
    <t>Mining of Other Ores and Professional and Support Activities</t>
  </si>
  <si>
    <t>ISIC 10T12</t>
  </si>
  <si>
    <t>food beverage and tobacco</t>
  </si>
  <si>
    <t>Processing of Food from Agricultural Products; Manufacture of Foods, Liquor, Beverages, Refined Tea and Tobacco</t>
  </si>
  <si>
    <t>食品和烟草</t>
  </si>
  <si>
    <t>ISIC 13T15</t>
  </si>
  <si>
    <t>textiles apparel and leather</t>
  </si>
  <si>
    <t>Manufacture of Textile; Wearing Apparel and Accessories; Leather Fur, Feather and Related Products and Footwear</t>
  </si>
  <si>
    <t>纺织品、纺织服装鞋帽皮革羽绒及其制品</t>
  </si>
  <si>
    <t>ISIC 16</t>
  </si>
  <si>
    <t>wood products</t>
  </si>
  <si>
    <t>Processing of Timber, Manufacture of Wood, Bamboo, Rattanm Palm, and Straw Products; Manufacture of Furniture</t>
  </si>
  <si>
    <t>木材加工品和家具</t>
  </si>
  <si>
    <t>ISIC 17T18</t>
  </si>
  <si>
    <t>pulp paper and printing</t>
  </si>
  <si>
    <t>Manufacture of Paper and Paper Products; Printing and Reproduction of Recording Media; Manufacture of Articles for Culture, Education, Arts and Crafts, Sport and Entertainment Activity</t>
  </si>
  <si>
    <r>
      <t>造纸</t>
    </r>
    <r>
      <rPr>
        <sz val="11"/>
        <color rgb="FF000000"/>
        <rFont val="Arial"/>
        <family val="2"/>
      </rPr>
      <t>,</t>
    </r>
    <r>
      <rPr>
        <sz val="11"/>
        <color rgb="FF000000"/>
        <rFont val="宋体"/>
        <family val="3"/>
        <charset val="134"/>
      </rPr>
      <t>纸制品；印刷和文教体育用品</t>
    </r>
  </si>
  <si>
    <t>ISIC 19</t>
  </si>
  <si>
    <t>refined petroleum and coke</t>
  </si>
  <si>
    <t>Processing of Petroleum,Coal and Other Fuels</t>
  </si>
  <si>
    <t>石油、炼焦产品和核燃料加工品</t>
  </si>
  <si>
    <t>ISIC 20</t>
  </si>
  <si>
    <t>chemicals</t>
  </si>
  <si>
    <t>Manufacture of Raw Chemical Materials, Products; Chemical Fibers</t>
  </si>
  <si>
    <r>
      <t>化学原料和化学制品制造业</t>
    </r>
    <r>
      <rPr>
        <sz val="11"/>
        <color rgb="FFFF0000"/>
        <rFont val="Arial"/>
        <family val="2"/>
      </rPr>
      <t>&amp;</t>
    </r>
    <r>
      <rPr>
        <sz val="11"/>
        <color rgb="FFFF0000"/>
        <rFont val="宋体"/>
        <family val="3"/>
        <charset val="134"/>
      </rPr>
      <t>化学纤维制造业</t>
    </r>
  </si>
  <si>
    <t>ISIC 21</t>
  </si>
  <si>
    <t>Basic Pharmaceutical Products</t>
  </si>
  <si>
    <t>Manufacture of Medicines</t>
  </si>
  <si>
    <t>ISIC 22</t>
  </si>
  <si>
    <t>rubber and plastic products</t>
  </si>
  <si>
    <t>Manufacture of Rubber and Plastics Products</t>
  </si>
  <si>
    <t>ISIC 231</t>
  </si>
  <si>
    <t>glass and glass products</t>
  </si>
  <si>
    <t>Manufacture of Non-metallic Mineral Products</t>
  </si>
  <si>
    <t>非金属矿物制品</t>
  </si>
  <si>
    <t>ISIC 239</t>
  </si>
  <si>
    <t>cement and other nonmetallic minerals</t>
  </si>
  <si>
    <t>Manufacture of Special Purpose Machinery</t>
  </si>
  <si>
    <t>专用设备</t>
  </si>
  <si>
    <t>ISIC 241</t>
  </si>
  <si>
    <t>iron and steel smelting</t>
  </si>
  <si>
    <t>Smelting and Pressing of Ferrous Metals</t>
  </si>
  <si>
    <t>黑色金属冶炼和压延加工品</t>
  </si>
  <si>
    <t>ISIC 242</t>
  </si>
  <si>
    <t>other metals smelting</t>
  </si>
  <si>
    <t>Smelting and Pressing of Non-ferrous Metals</t>
  </si>
  <si>
    <t>有色金属冶炼和压延加工品</t>
  </si>
  <si>
    <t>ISIC 25</t>
  </si>
  <si>
    <t>metal products</t>
  </si>
  <si>
    <t>Manufacture of Metal Products</t>
  </si>
  <si>
    <t>金属制品</t>
  </si>
  <si>
    <t>ISIC 26</t>
  </si>
  <si>
    <t>computers and electronics</t>
  </si>
  <si>
    <t>Manufacture of Electrical Machinery and Apparatus; Manufacture of Measuring Instruments and Machinery</t>
  </si>
  <si>
    <r>
      <t>通信设备、计算机和其他电子设备</t>
    </r>
    <r>
      <rPr>
        <sz val="11"/>
        <color rgb="FF000000"/>
        <rFont val="Arial"/>
        <family val="2"/>
      </rPr>
      <t>&amp;</t>
    </r>
    <r>
      <rPr>
        <sz val="11"/>
        <color rgb="FF000000"/>
        <rFont val="宋体"/>
        <family val="3"/>
        <charset val="134"/>
      </rPr>
      <t>仪器仪表</t>
    </r>
  </si>
  <si>
    <t>ISIC 27</t>
  </si>
  <si>
    <t>appliances and electrical equipment</t>
  </si>
  <si>
    <t>Manufacture of Computers, Communication and Other Electronic Equipment</t>
  </si>
  <si>
    <t>电气机械和器材</t>
  </si>
  <si>
    <t>ISIC 28</t>
  </si>
  <si>
    <t>other machinery</t>
  </si>
  <si>
    <t>Manufacture of General Purpose Machinery</t>
  </si>
  <si>
    <t>通用设备</t>
  </si>
  <si>
    <t>ISIC 29</t>
  </si>
  <si>
    <t>road vehicles</t>
  </si>
  <si>
    <t>Manufacture of Automobiles</t>
  </si>
  <si>
    <t>ISIC 30</t>
  </si>
  <si>
    <t>nonroad vehicles</t>
  </si>
  <si>
    <t>Manufacture of Railway, Ship, Aerospace and Other Transport Equipment</t>
  </si>
  <si>
    <t>铁路、船舶、航空航天和其他运输设备</t>
  </si>
  <si>
    <t>ISIC 31T33</t>
  </si>
  <si>
    <t>other manufacturing</t>
  </si>
  <si>
    <t>Other Manufacture, Utilization of Waste Resources, Repair Service of Metal Products, Machinery and Equipment</t>
  </si>
  <si>
    <t>其他制造产品和废品废料、金属制品、机械和设备修理服务</t>
  </si>
  <si>
    <t>农业</t>
    <phoneticPr fontId="3" type="noConversion"/>
  </si>
  <si>
    <t>建筑业</t>
    <phoneticPr fontId="3" type="noConversion"/>
  </si>
  <si>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</si>
  <si>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</si>
  <si>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</si>
  <si>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</si>
  <si>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</si>
  <si>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</si>
  <si>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</si>
  <si>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</si>
  <si>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</si>
  <si>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</si>
  <si>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</si>
  <si>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</si>
  <si>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</si>
  <si>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</si>
  <si>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</si>
  <si>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</si>
  <si>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</si>
  <si>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</si>
  <si>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</si>
  <si>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</si>
  <si>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</si>
  <si>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</si>
  <si>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</si>
  <si>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</si>
  <si>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</si>
  <si>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其他矿采选产品 &amp; 开采专业及辅助性活动</t>
    <phoneticPr fontId="3" type="noConversion"/>
  </si>
  <si>
    <t>Mining Support Service Activities 09</t>
    <phoneticPr fontId="3" type="noConversion"/>
  </si>
  <si>
    <t>EPS Fuel</t>
  </si>
  <si>
    <t>Chinese Model Fuel</t>
  </si>
  <si>
    <t>crude oil</t>
  </si>
  <si>
    <t>Crude Oil</t>
  </si>
  <si>
    <t>原油</t>
  </si>
  <si>
    <t>electricity</t>
  </si>
  <si>
    <t>Electricity</t>
  </si>
  <si>
    <t>电力</t>
  </si>
  <si>
    <t>Raw Coal</t>
  </si>
  <si>
    <t>原煤</t>
  </si>
  <si>
    <t>Cleaned Coal</t>
  </si>
  <si>
    <t>洗精煤</t>
  </si>
  <si>
    <t>Briquettes</t>
  </si>
  <si>
    <t>煤制品</t>
  </si>
  <si>
    <t>heat</t>
  </si>
  <si>
    <t>Heat</t>
  </si>
  <si>
    <t>热力</t>
  </si>
  <si>
    <t>heavy fuel oil</t>
  </si>
  <si>
    <t>Fuel Oil</t>
  </si>
  <si>
    <t>燃料油</t>
  </si>
  <si>
    <t>White Spirit</t>
  </si>
  <si>
    <t>溶剂油</t>
  </si>
  <si>
    <t>Other Petroleum Products</t>
  </si>
  <si>
    <t>其他石油制品</t>
  </si>
  <si>
    <t>jet fuel or kerosene</t>
  </si>
  <si>
    <t>Kerosene</t>
  </si>
  <si>
    <t>煤油</t>
  </si>
  <si>
    <t>lignite</t>
  </si>
  <si>
    <t>Gangue</t>
  </si>
  <si>
    <t>煤矸石</t>
  </si>
  <si>
    <t>Other Washed Coal</t>
  </si>
  <si>
    <t>其他洗煤</t>
  </si>
  <si>
    <t>petroleum diesel</t>
  </si>
  <si>
    <t>Other Coking Products</t>
  </si>
  <si>
    <t>其他焦化产品</t>
  </si>
  <si>
    <t>Diesel Oil</t>
  </si>
  <si>
    <t>柴油</t>
  </si>
  <si>
    <t>Bitumen Asphalt</t>
  </si>
  <si>
    <t>石油沥青</t>
  </si>
  <si>
    <t>Petroleum Coke</t>
  </si>
  <si>
    <t>石油焦</t>
  </si>
  <si>
    <t>petroleum gasoline</t>
  </si>
  <si>
    <t>Gasoline</t>
  </si>
  <si>
    <t>汽油</t>
  </si>
  <si>
    <t>LPG propane or butane</t>
  </si>
  <si>
    <t>Coke Oven Gas</t>
  </si>
  <si>
    <t>焦炉煤气</t>
  </si>
  <si>
    <t>Blast Furnance Gas</t>
  </si>
  <si>
    <t>高炉煤气</t>
  </si>
  <si>
    <t>Converter Gas</t>
  </si>
  <si>
    <t>转炉煤气</t>
  </si>
  <si>
    <t>Other Gas</t>
  </si>
  <si>
    <t>其他煤气</t>
  </si>
  <si>
    <t>Naphtha</t>
  </si>
  <si>
    <t>石脑油</t>
  </si>
  <si>
    <t>Lubricant</t>
  </si>
  <si>
    <t>润滑油</t>
  </si>
  <si>
    <t>Paraffin Waxes</t>
  </si>
  <si>
    <t>石蜡</t>
  </si>
  <si>
    <t>Liquefied Petroleum Gas</t>
  </si>
  <si>
    <t>液化石油气</t>
  </si>
  <si>
    <t>Refinery Gas</t>
  </si>
  <si>
    <t>炼厂干气</t>
  </si>
  <si>
    <t>natural gas</t>
  </si>
  <si>
    <t>Natural Gas</t>
  </si>
  <si>
    <t>天然气</t>
  </si>
  <si>
    <t>Liquefied Natural Gas</t>
  </si>
  <si>
    <t>液化天然气</t>
  </si>
  <si>
    <t>biofuel gasoline</t>
  </si>
  <si>
    <t>生物质汽油</t>
  </si>
  <si>
    <t>biofuel diesel</t>
  </si>
  <si>
    <t>生物质柴油</t>
  </si>
  <si>
    <t>biomass</t>
  </si>
  <si>
    <t>生物质</t>
  </si>
  <si>
    <t>municipal solid waste</t>
  </si>
  <si>
    <t>城市生活垃圾</t>
  </si>
  <si>
    <t>Other Energy</t>
  </si>
  <si>
    <t>Coke</t>
  </si>
  <si>
    <t>焦炭</t>
  </si>
  <si>
    <t>其他能源</t>
  </si>
  <si>
    <t>工业</t>
  </si>
  <si>
    <t>(一)采矿业</t>
  </si>
  <si>
    <t xml:space="preserve">  煤炭开采和洗选业</t>
  </si>
  <si>
    <t xml:space="preserve">  石油和天然气开采业</t>
  </si>
  <si>
    <t xml:space="preserve">  黑色金属矿采选业</t>
  </si>
  <si>
    <t xml:space="preserve">  有色金属矿采选业</t>
  </si>
  <si>
    <t xml:space="preserve">  非金属矿采选业</t>
  </si>
  <si>
    <t xml:space="preserve">  开采专业及辅助性活动</t>
  </si>
  <si>
    <t xml:space="preserve">  其他采矿业</t>
  </si>
  <si>
    <t>(二)制造业</t>
  </si>
  <si>
    <t xml:space="preserve">  农副食品加工业</t>
  </si>
  <si>
    <t xml:space="preserve">  食品制造业</t>
  </si>
  <si>
    <t xml:space="preserve">  酒、饮料和精制茶制造业</t>
  </si>
  <si>
    <t xml:space="preserve">  烟草制品业</t>
  </si>
  <si>
    <t xml:space="preserve">  纺织业</t>
  </si>
  <si>
    <t xml:space="preserve">  纺织服装、服饰业</t>
  </si>
  <si>
    <t xml:space="preserve">  皮革、毛皮、羽毛及其制品和制鞋业</t>
  </si>
  <si>
    <t xml:space="preserve">  木材加工和木、竹、藤、棕、草制品业</t>
  </si>
  <si>
    <t xml:space="preserve">  家具制造业</t>
  </si>
  <si>
    <t xml:space="preserve">  造纸和纸制品业</t>
  </si>
  <si>
    <t xml:space="preserve">  印刷和记录媒介复制业</t>
  </si>
  <si>
    <t xml:space="preserve">  文教、工美、体育和娱乐用品制造业</t>
  </si>
  <si>
    <t xml:space="preserve">  石油、煤炭及其他燃料加工业</t>
  </si>
  <si>
    <t xml:space="preserve">  化学原料和化学制品制造业</t>
  </si>
  <si>
    <t xml:space="preserve">  医药制造业</t>
  </si>
  <si>
    <t xml:space="preserve">  化学纤维制造业</t>
  </si>
  <si>
    <t xml:space="preserve">  橡胶和塑料制品业</t>
  </si>
  <si>
    <t xml:space="preserve">  非金属矿物制品业</t>
  </si>
  <si>
    <t xml:space="preserve">  黑色金属冶炼和压延加工业</t>
  </si>
  <si>
    <t xml:space="preserve">  有色金属冶炼和压延加工业</t>
  </si>
  <si>
    <t xml:space="preserve">  金属制品业</t>
  </si>
  <si>
    <t xml:space="preserve">  通用设备制造业</t>
  </si>
  <si>
    <t xml:space="preserve">  专用设备制造业</t>
  </si>
  <si>
    <t xml:space="preserve">  汽车制造业</t>
  </si>
  <si>
    <t xml:space="preserve">  铁路、船舶、航空航天和其他运输设备制造业</t>
  </si>
  <si>
    <t xml:space="preserve">  电气机械和器材制造业</t>
  </si>
  <si>
    <t xml:space="preserve">  计算机、通信和其他电子设备制造业</t>
  </si>
  <si>
    <t xml:space="preserve">  仪器仪表制造业</t>
  </si>
  <si>
    <t xml:space="preserve">  其他制造业</t>
  </si>
  <si>
    <t xml:space="preserve">  废弃资源综合利用业</t>
  </si>
  <si>
    <t xml:space="preserve">  金属制品、机械和设备修理业</t>
  </si>
  <si>
    <t>(三)电力、热力、燃气及水生产和供应业</t>
  </si>
  <si>
    <t xml:space="preserve">  电力、热力生产和供应业</t>
  </si>
  <si>
    <t xml:space="preserve">  燃气生产和供应业</t>
  </si>
  <si>
    <t xml:space="preserve">  水的生产和供应业</t>
  </si>
  <si>
    <t xml:space="preserve">    #再投入量(-)</t>
  </si>
  <si>
    <t>5-1 全国能源平衡表(实物量)-2020</t>
  </si>
  <si>
    <t>4-2 工业分行业终端能源消费量(实物量)-2020</t>
  </si>
  <si>
    <t>能源名称</t>
  </si>
  <si>
    <t>实物量单位</t>
  </si>
  <si>
    <t>平均低位发热量</t>
  </si>
  <si>
    <t>折标准煤系数</t>
  </si>
  <si>
    <t>单位热值含碳量</t>
  </si>
  <si>
    <t>燃料碳氧化率</t>
  </si>
  <si>
    <t>排放因子1</t>
  </si>
  <si>
    <t>排放因子2</t>
  </si>
  <si>
    <t>数据来源</t>
    <phoneticPr fontId="3" type="noConversion"/>
  </si>
  <si>
    <t>TJ/单位</t>
  </si>
  <si>
    <t>万吨标煤/单位</t>
  </si>
  <si>
    <t>万吨碳/TJ</t>
  </si>
  <si>
    <t>%</t>
  </si>
  <si>
    <t>万tCO2/单位</t>
  </si>
  <si>
    <t>万tCO2/万吨标煤</t>
  </si>
  <si>
    <t>万吨</t>
  </si>
  <si>
    <t>能源统计年鉴2020</t>
    <phoneticPr fontId="3" type="noConversion"/>
  </si>
  <si>
    <t>型煤</t>
  </si>
  <si>
    <t>万吨</t>
    <phoneticPr fontId="3" type="noConversion"/>
  </si>
  <si>
    <t>2020中国区域电网二氧化碳基准线排放因子</t>
  </si>
  <si>
    <t>综合能耗计算通则GBT2589-2020</t>
    <phoneticPr fontId="3" type="noConversion"/>
  </si>
  <si>
    <t>亿立方米</t>
  </si>
  <si>
    <t>2021中国区域电网二氧化碳基准线排放因子</t>
  </si>
  <si>
    <t>2022中国区域电网二氧化碳基准线排放因子</t>
  </si>
  <si>
    <t>2023中国区域电网二氧化碳基准线排放因子</t>
  </si>
  <si>
    <t>2024中国区域电网二氧化碳基准线排放因子</t>
  </si>
  <si>
    <t>2025中国区域电网二氧化碳基准线排放因子</t>
  </si>
  <si>
    <t>万百万千焦</t>
    <phoneticPr fontId="3" type="noConversion"/>
  </si>
  <si>
    <t>排放清单缺省值</t>
    <phoneticPr fontId="3" type="noConversion"/>
  </si>
  <si>
    <t>亿千瓦时</t>
    <phoneticPr fontId="3" type="noConversion"/>
  </si>
  <si>
    <t>氢能源</t>
  </si>
  <si>
    <t>万吨标煤</t>
    <phoneticPr fontId="3" type="noConversion"/>
  </si>
  <si>
    <t>折EPS BTU 系数</t>
    <phoneticPr fontId="3" type="noConversion"/>
  </si>
  <si>
    <t>BTU/单位</t>
    <phoneticPr fontId="3" type="noConversion"/>
  </si>
  <si>
    <t>油品合计</t>
    <phoneticPr fontId="3" type="noConversion"/>
  </si>
  <si>
    <t>煤合计</t>
    <phoneticPr fontId="3" type="noConversion"/>
  </si>
  <si>
    <t>electricity</t>
    <phoneticPr fontId="3" type="noConversion"/>
  </si>
  <si>
    <t>coal</t>
    <phoneticPr fontId="3" type="noConversion"/>
  </si>
  <si>
    <t>natural gas</t>
    <phoneticPr fontId="3" type="noConversion"/>
  </si>
  <si>
    <t>biomass</t>
    <phoneticPr fontId="3" type="noConversion"/>
  </si>
  <si>
    <t>heat</t>
    <phoneticPr fontId="3" type="noConversion"/>
  </si>
  <si>
    <t>crude oil</t>
    <phoneticPr fontId="3" type="noConversion"/>
  </si>
  <si>
    <t>petroleum diesel</t>
    <phoneticPr fontId="3" type="noConversion"/>
  </si>
  <si>
    <t>LPG propane or butane</t>
    <phoneticPr fontId="3" type="noConversion"/>
  </si>
  <si>
    <t>hydrogen</t>
    <phoneticPr fontId="3" type="noConversion"/>
  </si>
  <si>
    <t>EPS Industrial Module Fuel</t>
    <phoneticPr fontId="3" type="noConversion"/>
  </si>
  <si>
    <t>other energy</t>
    <phoneticPr fontId="3" type="noConversion"/>
  </si>
  <si>
    <t>Energy Product with Overall High Percentage Use as Material</t>
    <phoneticPr fontId="3" type="noConversion"/>
  </si>
  <si>
    <t>Total Use</t>
    <phoneticPr fontId="3" type="noConversion"/>
  </si>
  <si>
    <t>Non Energy Use</t>
    <phoneticPr fontId="3" type="noConversion"/>
  </si>
  <si>
    <t>Ratio</t>
    <phoneticPr fontId="3" type="noConversion"/>
  </si>
  <si>
    <t>Concentrate Sector</t>
    <phoneticPr fontId="3" type="noConversion"/>
  </si>
  <si>
    <t>Sector Consumption</t>
    <phoneticPr fontId="3" type="noConversion"/>
  </si>
  <si>
    <t>Aditional Use</t>
    <phoneticPr fontId="3" type="noConversion"/>
  </si>
  <si>
    <t>Non Energy Ratio for Other Sectors</t>
    <phoneticPr fontId="3" type="noConversion"/>
  </si>
  <si>
    <t>Non Energy Ratio for Said Sector</t>
    <phoneticPr fontId="3" type="noConversion"/>
  </si>
  <si>
    <t>水的生产和供应, 废弃资源综合利用业</t>
    <phoneticPr fontId="3" type="noConversion"/>
  </si>
  <si>
    <t>Energy Product with High Consumption Concentration and Medium Useage as Material</t>
    <phoneticPr fontId="3" type="noConversion"/>
  </si>
  <si>
    <t>焦炭</t>
    <phoneticPr fontId="3" type="noConversion"/>
  </si>
  <si>
    <t>焦炭又可用于肥料工业， 利用焦炭与水蒸气、空气作用， 制成半水煤气， 然后再使氢与空气中的氮结合生成氨。焦炭还是生产乙炔、氰氨基钙、二硫化碳和电极等反应剂</t>
    <phoneticPr fontId="3" type="noConversion"/>
  </si>
  <si>
    <t>冶炼工业，少量用于制取碳化钙、二硫化碳、元素磷等。在钢铁联合企业中，焦粉还用作烧结的燃料。焦炭作为制备水煤气的原料制取合成用的原料气。</t>
    <phoneticPr fontId="3" type="noConversion"/>
  </si>
  <si>
    <t>煤炭</t>
    <phoneticPr fontId="3" type="noConversion"/>
  </si>
  <si>
    <t>煤化工产业链</t>
    <phoneticPr fontId="3" type="noConversion"/>
  </si>
  <si>
    <t>1.煤焦化，制焦炭，煤焦油，焦煤气，对应炼焦环节的原煤与洗精煤消费</t>
    <phoneticPr fontId="3" type="noConversion"/>
  </si>
  <si>
    <t>3.煤液化：直接液化制造甲醇，烯烃和汽油等液体燃料，属于石油，煤炭及其他燃料加工业</t>
    <phoneticPr fontId="3" type="noConversion"/>
  </si>
  <si>
    <t>2.煤气化：煤炭-合成气-制合成氨，水煤气，甲醇，属于石油，煤炭及其他燃料加工业</t>
    <phoneticPr fontId="3" type="noConversion"/>
  </si>
  <si>
    <t>化工领域，液化石油气可部分替代石脑油，生产汽油添加 剂和脱氢制丙烯等</t>
  </si>
  <si>
    <t>液化石油气</t>
    <phoneticPr fontId="3" type="noConversion"/>
  </si>
  <si>
    <t>基于工业企业数据库，烯烃生产同时分布于原油加工及石油制品制造业和有机化学原料制造业，固按照行业LPG使用量分配LPG非燃料使用</t>
    <phoneticPr fontId="3" type="noConversion"/>
  </si>
  <si>
    <t>基于工业企业数据库，甲醇生产主要分布于有机化学原料制造业，和专化学用品制造，以及炼焦及氮肥制造业的副产品，固按照行业煤炭使用量分配原煤和型煤的非燃料使用</t>
    <phoneticPr fontId="3" type="noConversion"/>
  </si>
  <si>
    <t>焦炭的非燃料使用全部分配至化工行业</t>
    <phoneticPr fontId="3" type="noConversion"/>
  </si>
  <si>
    <t>其他洗煤</t>
    <phoneticPr fontId="3" type="noConversion"/>
  </si>
  <si>
    <t>水泥厂水泥熟料的烧成是各多组成分、比较复杂的制造过程。在这个过程中，煤既可作为燃料，煤中的灰分起部分原料作用成为熟料的一部分参与物理化学反应，</t>
    <phoneticPr fontId="3" type="noConversion"/>
  </si>
  <si>
    <t>因而煤的灰分的高低及其灰分成分直接影响到配料，水泥熟料的烧成过程中，约有80％-100％的煤灰混入熟料中</t>
  </si>
  <si>
    <t>水泥生成过程中煤的烧制过程依然会有大量CO2释放，认为煤炭作为原材料使用并不恰当，应在后续过程中注意修改</t>
    <phoneticPr fontId="3" type="noConversion"/>
  </si>
  <si>
    <t>其他洗煤的第二大用类是煤炭采掘洗选业，但是作为洗选产物不应作为原材料使用。不考虑非能源使用分配</t>
    <phoneticPr fontId="3" type="noConversion"/>
  </si>
  <si>
    <t>Fuel</t>
  </si>
  <si>
    <t>Sector</t>
  </si>
  <si>
    <t>Estimate</t>
  </si>
  <si>
    <t>Std..Error</t>
  </si>
  <si>
    <t>t.value</t>
  </si>
  <si>
    <t>Pr...t..</t>
  </si>
  <si>
    <t>correlation</t>
  </si>
  <si>
    <t>石油煤炭及其他燃料加工业</t>
  </si>
  <si>
    <t>石油煤炭及其他燃料加工业</t>
    <phoneticPr fontId="3" type="noConversion"/>
  </si>
  <si>
    <t>化学原料和化学制品制造业</t>
    <phoneticPr fontId="3" type="noConversion"/>
  </si>
  <si>
    <t>橡胶和塑料制品业</t>
    <phoneticPr fontId="3" type="noConversion"/>
  </si>
  <si>
    <t>工业</t>
    <phoneticPr fontId="3" type="noConversion"/>
  </si>
  <si>
    <t>(Intercept)</t>
  </si>
  <si>
    <t>Energy Product Use based on Regression Analysis (see worksheet Non Energy Use Regression for Detail)</t>
    <phoneticPr fontId="3" type="noConversion"/>
  </si>
  <si>
    <t>Sector Non Energy Consumption</t>
    <phoneticPr fontId="3" type="noConversion"/>
  </si>
  <si>
    <t>Energy Product with No Clear Indication for source of of non Energy Use</t>
    <phoneticPr fontId="3" type="noConversion"/>
  </si>
  <si>
    <t>EnergyProductwithNoUseasMaterial</t>
  </si>
  <si>
    <t>NonEnergyRatioforOtherSectors</t>
  </si>
  <si>
    <t>NonEnergyUse</t>
  </si>
  <si>
    <t>Sector</t>
    <phoneticPr fontId="3" type="noConversion"/>
  </si>
  <si>
    <t>Fuel</t>
    <phoneticPr fontId="3" type="noConversion"/>
  </si>
  <si>
    <t>Non Energy Use Ratio</t>
    <phoneticPr fontId="3" type="noConversion"/>
  </si>
  <si>
    <t>Total Non Energy Use (w/o Energy Conversion)</t>
    <phoneticPr fontId="3" type="noConversion"/>
  </si>
  <si>
    <t>Total Non Energy Use (Energy Conversion)</t>
    <phoneticPr fontId="3" type="noConversion"/>
  </si>
  <si>
    <t>Start Year Industrial Fuel used not as Energy</t>
    <phoneticPr fontId="3" type="noConversion"/>
  </si>
  <si>
    <t>Start Year Industrial Fuel used</t>
    <phoneticPr fontId="3" type="noConversion"/>
  </si>
  <si>
    <t>Start Year Industrial Fuel used as Energy Percentage</t>
    <phoneticPr fontId="3" type="noConversion"/>
  </si>
  <si>
    <t>Unit: dimensionless (%)</t>
  </si>
  <si>
    <t>http://meeting.baiinfo.com/2020liqing/</t>
  </si>
  <si>
    <t>2021年沥青行业年会</t>
    <phoneticPr fontId="3" type="noConversion"/>
  </si>
  <si>
    <t>2021年沥青行业年会数据显示沥青表观消费量为3709万吨，与能源统计年鉴基本一致，可认为能源统计年鉴对沥青的全领域消费有较好覆盖</t>
    <phoneticPr fontId="3" type="noConversion"/>
  </si>
  <si>
    <t>2021年能源统计年鉴中，沥青的消费量合计值为3599万吨，其中工业领域消费350万吨，87%以上为非能源使用</t>
    <phoneticPr fontId="3" type="noConversion"/>
  </si>
  <si>
    <t>2020年沥青建筑业消费3018万吨，由于其主要用途为路面铺设与建筑物防水处理，故认为建筑业全部沥青作为原材料而非能源使用。</t>
    <phoneticPr fontId="3" type="noConversion"/>
  </si>
  <si>
    <t>Construction Alphalt Use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</si>
</sst>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 #,##0.00_ ;_ * \-#,##0.00_ ;_ * &quot;-&quot;??_ ;_ @_ "/>
    <numFmt numFmtId="176" formatCode="0.00_);[Red]\(0.00\)"/>
    <numFmt numFmtId="177" formatCode="0_);[Red]\(0\)"/>
    <numFmt numFmtId="178" formatCode="0.000_ "/>
    <numFmt numFmtId="179" formatCode="0.0000"/>
    <numFmt numFmtId="180" formatCode="0.00000"/>
    <numFmt numFmtId="181" formatCode="0.000"/>
    <numFmt numFmtId="182" formatCode="0.00_ "/>
    <numFmt numFmtId="183" formatCode="0.0%"/>
  </numFmts>
  <fonts count="57" x14ac:knownFonts="1">
    <font>
      <sz val="11"/>
      <color theme="1"/>
      <name val="等线"/>
      <family val="2"/>
      <charset val="134"/>
      <scheme val="minor"/>
    </font>
    <font>
      <sz val="11"/>
      <color theme="1"/>
      <name val="等线"/>
      <family val="2"/>
      <scheme val="minor"/>
    </font>
    <font>
      <sz val="10"/>
      <name val="宋体"/>
      <family val="3"/>
      <charset val="134"/>
    </font>
    <font>
      <sz val="9"/>
      <name val="等线"/>
      <family val="2"/>
      <charset val="134"/>
      <scheme val="minor"/>
    </font>
    <font>
      <sz val="10"/>
      <name val="宋体"/>
      <family val="3"/>
      <charset val="134"/>
    </font>
    <font>
      <b/>
      <sz val="10"/>
      <name val="宋体"/>
      <family val="3"/>
      <charset val="134"/>
    </font>
    <font>
      <vertAlign val="superscript"/>
      <sz val="10"/>
      <name val="宋体"/>
      <family val="3"/>
      <charset val="134"/>
    </font>
    <font>
      <sz val="9"/>
      <name val="宋体"/>
      <family val="3"/>
      <charset val="134"/>
    </font>
    <font>
      <b/>
      <sz val="10"/>
      <name val="宋体"/>
      <family val="3"/>
      <charset val="134"/>
    </font>
    <font>
      <sz val="11"/>
      <color indexed="8"/>
      <name val="等线"/>
      <family val="3"/>
      <charset val="134"/>
      <scheme val="minor"/>
    </font>
    <font>
      <sz val="12"/>
      <name val="宋体"/>
      <family val="3"/>
      <charset val="134"/>
    </font>
    <font>
      <sz val="11"/>
      <color rgb="FFFF0000"/>
      <name val="等线"/>
      <family val="2"/>
      <charset val="134"/>
      <scheme val="minor"/>
    </font>
    <font>
      <sz val="11"/>
      <name val="等线"/>
      <family val="3"/>
      <charset val="134"/>
      <scheme val="minor"/>
    </font>
    <font>
      <b/>
      <sz val="11"/>
      <color theme="1"/>
      <name val="等线"/>
      <family val="3"/>
      <charset val="134"/>
      <scheme val="minor"/>
    </font>
    <font>
      <b/>
      <sz val="11"/>
      <color rgb="FF000000"/>
      <name val="Arial"/>
      <family val="2"/>
    </font>
    <font>
      <b/>
      <sz val="11"/>
      <color rgb="FF000000"/>
      <name val="等线"/>
      <family val="3"/>
      <charset val="134"/>
    </font>
    <font>
      <sz val="11"/>
      <color rgb="FF000000"/>
      <name val="Arial"/>
      <family val="2"/>
    </font>
    <font>
      <sz val="11"/>
      <color rgb="FFFF0000"/>
      <name val="Arial"/>
      <family val="2"/>
    </font>
    <font>
      <sz val="11"/>
      <color rgb="FFFF0000"/>
      <name val="宋体"/>
      <family val="3"/>
      <charset val="134"/>
    </font>
    <font>
      <sz val="11"/>
      <color rgb="FF000000"/>
      <name val="宋体"/>
      <family val="3"/>
      <charset val="134"/>
    </font>
    <font>
      <b/>
      <sz val="11"/>
      <color rgb="FF000000"/>
      <name val="Calibri"/>
      <family val="2"/>
    </font>
    <font>
      <b/>
      <sz val="11"/>
      <color rgb="FFFFFFFF"/>
      <name val="Calibri"/>
      <family val="2"/>
    </font>
    <font>
      <sz val="11"/>
      <color rgb="FF000000"/>
      <name val="Calibri"/>
      <family val="2"/>
    </font>
    <font>
      <sz val="12"/>
      <name val="宋体"/>
      <family val="3"/>
      <charset val="134"/>
    </font>
    <font>
      <u/>
      <sz val="12"/>
      <color indexed="12"/>
      <name val="宋体"/>
      <family val="3"/>
      <charset val="134"/>
    </font>
    <font>
      <sz val="10"/>
      <color rgb="FFFF0000"/>
      <name val="宋体"/>
      <family val="3"/>
      <charset val="134"/>
    </font>
    <font>
      <sz val="11"/>
      <color theme="1"/>
      <name val="等线"/>
      <family val="3"/>
      <charset val="134"/>
      <scheme val="minor"/>
    </font>
    <font>
      <sz val="10"/>
      <name val="Arial"/>
      <family val="2"/>
    </font>
    <font>
      <sz val="11"/>
      <color rgb="FFFF0000"/>
      <name val="等线"/>
      <family val="3"/>
      <charset val="134"/>
      <scheme val="minor"/>
    </font>
    <font>
      <b/>
      <sz val="11"/>
      <color theme="1"/>
      <name val="等线"/>
      <family val="2"/>
      <scheme val="minor"/>
    </font>
    <font>
      <b/>
      <sz val="9"/>
      <color theme="1"/>
      <name val="等线"/>
      <family val="2"/>
      <scheme val="minor"/>
    </font>
    <font>
      <sz val="9"/>
      <color theme="1"/>
      <name val="等线"/>
      <family val="2"/>
      <scheme val="minor"/>
    </font>
    <font>
      <u/>
      <sz val="10"/>
      <color theme="4"/>
      <name val="等线"/>
      <family val="2"/>
      <scheme val="minor"/>
    </font>
    <font>
      <u/>
      <sz val="11"/>
      <color theme="6"/>
      <name val="Calibri"/>
      <family val="2"/>
    </font>
    <font>
      <b/>
      <sz val="12"/>
      <color theme="4"/>
      <name val="等线"/>
      <family val="2"/>
      <scheme val="minor"/>
    </font>
    <font>
      <sz val="12"/>
      <name val="Helv"/>
    </font>
    <font>
      <b/>
      <sz val="9"/>
      <color indexed="8"/>
      <name val="Calibri"/>
      <family val="2"/>
    </font>
    <font>
      <sz val="11"/>
      <color rgb="FFFF0000"/>
      <name val="等线"/>
      <family val="2"/>
      <scheme val="minor"/>
    </font>
    <font>
      <sz val="9"/>
      <color indexed="8"/>
      <name val="Calibri"/>
      <family val="2"/>
    </font>
    <font>
      <b/>
      <sz val="12"/>
      <color indexed="30"/>
      <name val="Calibri"/>
      <family val="2"/>
    </font>
    <font>
      <sz val="18"/>
      <color theme="3"/>
      <name val="等线 Light"/>
      <family val="2"/>
      <scheme val="major"/>
    </font>
    <font>
      <b/>
      <sz val="15"/>
      <color theme="3"/>
      <name val="等线"/>
      <family val="2"/>
      <scheme val="minor"/>
    </font>
    <font>
      <b/>
      <sz val="13"/>
      <color theme="3"/>
      <name val="等线"/>
      <family val="2"/>
      <scheme val="minor"/>
    </font>
    <font>
      <b/>
      <sz val="11"/>
      <color theme="3"/>
      <name val="等线"/>
      <family val="2"/>
      <scheme val="minor"/>
    </font>
    <font>
      <sz val="11"/>
      <color rgb="FF006100"/>
      <name val="等线"/>
      <family val="2"/>
      <scheme val="minor"/>
    </font>
    <font>
      <sz val="11"/>
      <color rgb="FF9C0006"/>
      <name val="等线"/>
      <family val="2"/>
      <scheme val="minor"/>
    </font>
    <font>
      <sz val="11"/>
      <color rgb="FF3F3F76"/>
      <name val="等线"/>
      <family val="2"/>
      <scheme val="minor"/>
    </font>
    <font>
      <b/>
      <sz val="11"/>
      <color rgb="FF3F3F3F"/>
      <name val="等线"/>
      <family val="2"/>
      <scheme val="minor"/>
    </font>
    <font>
      <b/>
      <sz val="11"/>
      <color rgb="FFFA7D00"/>
      <name val="等线"/>
      <family val="2"/>
      <scheme val="minor"/>
    </font>
    <font>
      <sz val="11"/>
      <color rgb="FFFA7D00"/>
      <name val="等线"/>
      <family val="2"/>
      <scheme val="minor"/>
    </font>
    <font>
      <b/>
      <sz val="11"/>
      <color theme="0"/>
      <name val="等线"/>
      <family val="2"/>
      <scheme val="minor"/>
    </font>
    <font>
      <i/>
      <sz val="11"/>
      <color rgb="FF7F7F7F"/>
      <name val="等线"/>
      <family val="2"/>
      <scheme val="minor"/>
    </font>
    <font>
      <sz val="11"/>
      <color theme="0"/>
      <name val="等线"/>
      <family val="2"/>
      <scheme val="minor"/>
    </font>
    <font>
      <sz val="11"/>
      <color rgb="FF9C6500"/>
      <name val="等线"/>
      <family val="2"/>
      <scheme val="minor"/>
    </font>
    <font>
      <sz val="10"/>
      <color theme="1"/>
      <name val="Calibri"/>
      <family val="2"/>
    </font>
    <font>
      <b/>
      <sz val="11"/>
      <color theme="4" tint="-0.249977111117893"/>
      <name val="Calibri"/>
      <family val="2"/>
    </font>
    <font>
      <sz val="12"/>
      <color rgb="FF333333"/>
      <name val="微软雅黑"/>
      <family val="2"/>
      <charset val="134"/>
    </font>
  </fonts>
  <fills count="62">
    <fill>
      <patternFill patternType="none"/>
    </fill>
    <fill>
      <patternFill patternType="gray125"/>
    </fill>
    <fill>
      <patternFill patternType="solid">
        <fgColor rgb="FFE7E6E6"/>
        <bgColor indexed="64"/>
      </patternFill>
    </fill>
    <fill>
      <patternFill patternType="solid">
        <fgColor rgb="FFE2EFDA"/>
        <bgColor indexed="64"/>
      </patternFill>
    </fill>
    <fill>
      <patternFill patternType="solid">
        <fgColor rgb="FFBFBFBF"/>
        <bgColor indexed="64"/>
      </patternFill>
    </fill>
    <fill>
      <patternFill patternType="solid">
        <fgColor rgb="FFF8CBAD"/>
        <bgColor indexed="64"/>
      </patternFill>
    </fill>
    <fill>
      <patternFill patternType="solid">
        <fgColor rgb="FFFFCCFF"/>
        <bgColor indexed="64"/>
      </patternFill>
    </fill>
    <fill>
      <patternFill patternType="solid">
        <fgColor rgb="FFDDEBF7"/>
        <bgColor indexed="64"/>
      </patternFill>
    </fill>
    <fill>
      <patternFill patternType="solid">
        <fgColor rgb="FFFFFF99"/>
        <bgColor indexed="64"/>
      </patternFill>
    </fill>
    <fill>
      <patternFill patternType="solid">
        <fgColor rgb="FFED7D31"/>
        <bgColor indexed="64"/>
      </patternFill>
    </fill>
    <fill>
      <patternFill patternType="solid">
        <fgColor rgb="FFF8D7CD"/>
        <bgColor indexed="64"/>
      </patternFill>
    </fill>
    <fill>
      <patternFill patternType="solid">
        <fgColor rgb="FFFCECE8"/>
        <bgColor indexed="64"/>
      </patternFill>
    </fill>
    <fill>
      <patternFill patternType="solid">
        <fgColor indexed="44"/>
        <bgColor indexed="64"/>
      </patternFill>
    </fill>
    <fill>
      <patternFill patternType="solid">
        <fgColor theme="0" tint="-0.249977111117893"/>
        <bgColor indexed="64"/>
      </patternFill>
    </fill>
    <fill>
      <patternFill patternType="solid">
        <fgColor theme="9"/>
        <bgColor indexed="64"/>
      </patternFill>
    </fill>
    <fill>
      <patternFill patternType="solid">
        <fgColor theme="4"/>
        <bgColor indexed="64"/>
      </patternFill>
    </fill>
    <fill>
      <patternFill patternType="solid">
        <fgColor rgb="FFC00000"/>
        <bgColor indexed="64"/>
      </patternFill>
    </fill>
    <fill>
      <patternFill patternType="solid">
        <fgColor theme="7"/>
        <bgColor indexed="64"/>
      </patternFill>
    </fill>
    <fill>
      <patternFill patternType="solid">
        <fgColor rgb="FF00B050"/>
        <bgColor indexed="64"/>
      </patternFill>
    </fill>
    <fill>
      <patternFill patternType="solid">
        <fgColor rgb="FF00B0F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6" tint="-0.249977111117893"/>
        <bgColor indexed="64"/>
      </patternFill>
    </fill>
    <fill>
      <patternFill patternType="solid">
        <fgColor theme="5" tint="0.39997558519241921"/>
        <bgColor indexed="64"/>
      </patternFill>
    </fill>
    <fill>
      <patternFill patternType="solid">
        <fgColor theme="5"/>
        <bgColor indexed="64"/>
      </patternFill>
    </fill>
    <fill>
      <patternFill patternType="solid">
        <fgColor rgb="FFFFFF00"/>
        <bgColor indexed="64"/>
      </patternFill>
    </fill>
    <fill>
      <patternFill patternType="solid">
        <fgColor rgb="FFFFC000"/>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FF0000"/>
        <bgColor indexed="64"/>
      </patternFill>
    </fill>
  </fills>
  <borders count="42">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bottom/>
      <diagonal/>
    </border>
    <border>
      <left style="dashDot">
        <color indexed="64"/>
      </left>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rgb="FFFFFFFF"/>
      </left>
      <right style="medium">
        <color rgb="FFFFFFFF"/>
      </right>
      <top style="medium">
        <color rgb="FFFFFFFF"/>
      </top>
      <bottom style="thick">
        <color rgb="FFFFFFFF"/>
      </bottom>
      <diagonal/>
    </border>
    <border>
      <left style="medium">
        <color rgb="FFFFFFFF"/>
      </left>
      <right/>
      <top style="medium">
        <color rgb="FFFFFFFF"/>
      </top>
      <bottom style="thick">
        <color rgb="FFFFFFFF"/>
      </bottom>
      <diagonal/>
    </border>
    <border>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s>
  <cellStyleXfs count="90">
    <xf numFmtId="0" fontId="0" fillId="0" borderId="0">
      <alignment vertical="center"/>
    </xf>
    <xf numFmtId="0" fontId="9" fillId="0" borderId="0">
      <alignment vertical="center"/>
    </xf>
    <xf numFmtId="0" fontId="10" fillId="0" borderId="0">
      <alignment vertical="center"/>
    </xf>
    <xf numFmtId="0" fontId="23" fillId="0" borderId="0">
      <alignment vertical="center"/>
    </xf>
    <xf numFmtId="0" fontId="24" fillId="0" borderId="0" applyNumberFormat="0" applyFill="0" applyBorder="0" applyAlignment="0" applyProtection="0">
      <alignment vertical="top"/>
      <protection locked="0"/>
    </xf>
    <xf numFmtId="0" fontId="27" fillId="0" borderId="0"/>
    <xf numFmtId="0" fontId="1" fillId="0" borderId="0"/>
    <xf numFmtId="0" fontId="30" fillId="0" borderId="23" applyNumberFormat="0" applyProtection="0">
      <alignment wrapText="1"/>
    </xf>
    <xf numFmtId="0" fontId="31" fillId="0" borderId="32" applyNumberFormat="0" applyFont="0" applyProtection="0">
      <alignment wrapText="1"/>
    </xf>
    <xf numFmtId="0" fontId="30" fillId="0" borderId="37" applyNumberFormat="0" applyProtection="0">
      <alignment horizontal="left" wrapText="1"/>
    </xf>
    <xf numFmtId="0" fontId="30" fillId="0" borderId="36" applyNumberFormat="0" applyFill="0" applyProtection="0">
      <alignment wrapText="1"/>
    </xf>
    <xf numFmtId="0" fontId="30" fillId="0" borderId="34" applyNumberFormat="0" applyProtection="0">
      <alignment wrapText="1"/>
    </xf>
    <xf numFmtId="0" fontId="31" fillId="0" borderId="33" applyNumberFormat="0" applyProtection="0">
      <alignment vertical="top" wrapText="1"/>
    </xf>
    <xf numFmtId="0" fontId="31" fillId="0" borderId="35" applyNumberFormat="0" applyFont="0" applyFill="0" applyProtection="0">
      <alignment wrapText="1"/>
    </xf>
    <xf numFmtId="0" fontId="31" fillId="0" borderId="0" applyNumberFormat="0" applyFill="0" applyBorder="0" applyAlignment="0" applyProtection="0"/>
    <xf numFmtId="0" fontId="32" fillId="0" borderId="0" applyNumberFormat="0" applyFill="0" applyBorder="0" applyAlignment="0" applyProtection="0">
      <alignment vertical="top"/>
      <protection locked="0"/>
    </xf>
    <xf numFmtId="0" fontId="33" fillId="0" borderId="0" applyNumberFormat="0" applyFill="0" applyBorder="0" applyAlignment="0" applyProtection="0">
      <alignment vertical="top"/>
      <protection locked="0"/>
    </xf>
    <xf numFmtId="0" fontId="31" fillId="0" borderId="0" applyNumberFormat="0" applyProtection="0">
      <alignment vertical="top" wrapText="1"/>
    </xf>
    <xf numFmtId="0" fontId="34" fillId="0" borderId="0" applyNumberFormat="0" applyProtection="0">
      <alignment horizontal="left"/>
    </xf>
    <xf numFmtId="0" fontId="35" fillId="0" borderId="0"/>
    <xf numFmtId="0" fontId="35" fillId="0" borderId="0"/>
    <xf numFmtId="0" fontId="35" fillId="0" borderId="0"/>
    <xf numFmtId="0" fontId="35" fillId="0" borderId="0"/>
    <xf numFmtId="0" fontId="1" fillId="0" borderId="0"/>
    <xf numFmtId="0" fontId="38" fillId="0" borderId="0"/>
    <xf numFmtId="0" fontId="38" fillId="0" borderId="0" applyNumberFormat="0" applyFill="0" applyBorder="0" applyAlignment="0" applyProtection="0"/>
    <xf numFmtId="0" fontId="36" fillId="0" borderId="40" applyNumberFormat="0" applyProtection="0">
      <alignment wrapText="1"/>
    </xf>
    <xf numFmtId="0" fontId="39" fillId="0" borderId="0" applyNumberFormat="0" applyProtection="0">
      <alignment horizontal="left"/>
    </xf>
    <xf numFmtId="0" fontId="36" fillId="0" borderId="39" applyNumberFormat="0" applyProtection="0">
      <alignment wrapText="1"/>
    </xf>
    <xf numFmtId="0" fontId="38" fillId="0" borderId="38" applyNumberFormat="0" applyFont="0" applyProtection="0">
      <alignment wrapText="1"/>
    </xf>
    <xf numFmtId="0" fontId="38" fillId="0" borderId="41" applyNumberFormat="0" applyProtection="0">
      <alignment wrapText="1"/>
    </xf>
    <xf numFmtId="0" fontId="40" fillId="0" borderId="0" applyNumberFormat="0" applyFill="0" applyBorder="0" applyAlignment="0" applyProtection="0"/>
    <xf numFmtId="0" fontId="41" fillId="0" borderId="23" applyNumberFormat="0" applyFill="0" applyAlignment="0" applyProtection="0"/>
    <xf numFmtId="0" fontId="42" fillId="0" borderId="24" applyNumberFormat="0" applyFill="0" applyAlignment="0" applyProtection="0"/>
    <xf numFmtId="0" fontId="43" fillId="0" borderId="25" applyNumberFormat="0" applyFill="0" applyAlignment="0" applyProtection="0"/>
    <xf numFmtId="0" fontId="43" fillId="0" borderId="0" applyNumberFormat="0" applyFill="0" applyBorder="0" applyAlignment="0" applyProtection="0"/>
    <xf numFmtId="0" fontId="44" fillId="20" borderId="0" applyNumberFormat="0" applyBorder="0" applyAlignment="0" applyProtection="0"/>
    <xf numFmtId="0" fontId="45" fillId="21" borderId="0" applyNumberFormat="0" applyBorder="0" applyAlignment="0" applyProtection="0"/>
    <xf numFmtId="0" fontId="46" fillId="23" borderId="26" applyNumberFormat="0" applyAlignment="0" applyProtection="0"/>
    <xf numFmtId="0" fontId="47" fillId="24" borderId="27" applyNumberFormat="0" applyAlignment="0" applyProtection="0"/>
    <xf numFmtId="0" fontId="48" fillId="24" borderId="26" applyNumberFormat="0" applyAlignment="0" applyProtection="0"/>
    <xf numFmtId="0" fontId="49" fillId="0" borderId="28" applyNumberFormat="0" applyFill="0" applyAlignment="0" applyProtection="0"/>
    <xf numFmtId="0" fontId="50" fillId="25" borderId="29" applyNumberFormat="0" applyAlignment="0" applyProtection="0"/>
    <xf numFmtId="0" fontId="37" fillId="0" borderId="0" applyNumberFormat="0" applyFill="0" applyBorder="0" applyAlignment="0" applyProtection="0"/>
    <xf numFmtId="0" fontId="1" fillId="26" borderId="30" applyNumberFormat="0" applyFont="0" applyAlignment="0" applyProtection="0"/>
    <xf numFmtId="0" fontId="51" fillId="0" borderId="0" applyNumberFormat="0" applyFill="0" applyBorder="0" applyAlignment="0" applyProtection="0"/>
    <xf numFmtId="0" fontId="29" fillId="0" borderId="31" applyNumberFormat="0" applyFill="0" applyAlignment="0" applyProtection="0"/>
    <xf numFmtId="0" fontId="5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5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5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2"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2"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2"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3" fillId="22" borderId="0" applyNumberFormat="0" applyBorder="0" applyAlignment="0" applyProtection="0"/>
    <xf numFmtId="0" fontId="52" fillId="30" borderId="0" applyNumberFormat="0" applyBorder="0" applyAlignment="0" applyProtection="0"/>
    <xf numFmtId="0" fontId="52" fillId="34" borderId="0" applyNumberFormat="0" applyBorder="0" applyAlignment="0" applyProtection="0"/>
    <xf numFmtId="0" fontId="52" fillId="38" borderId="0" applyNumberFormat="0" applyBorder="0" applyAlignment="0" applyProtection="0"/>
    <xf numFmtId="0" fontId="52" fillId="42" borderId="0" applyNumberFormat="0" applyBorder="0" applyAlignment="0" applyProtection="0"/>
    <xf numFmtId="0" fontId="52" fillId="46" borderId="0" applyNumberFormat="0" applyBorder="0" applyAlignment="0" applyProtection="0"/>
    <xf numFmtId="0" fontId="52" fillId="50" borderId="0" applyNumberFormat="0" applyBorder="0" applyAlignment="0" applyProtection="0"/>
    <xf numFmtId="0" fontId="1" fillId="26" borderId="30" applyNumberFormat="0" applyFont="0" applyAlignment="0" applyProtection="0"/>
    <xf numFmtId="0" fontId="1" fillId="28" borderId="0" applyNumberFormat="0" applyBorder="0" applyAlignment="0" applyProtection="0"/>
    <xf numFmtId="0" fontId="1" fillId="29"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4" fillId="0" borderId="0"/>
    <xf numFmtId="0" fontId="1" fillId="0" borderId="0"/>
    <xf numFmtId="0" fontId="1" fillId="0" borderId="0"/>
    <xf numFmtId="43" fontId="54" fillId="0" borderId="0" applyFont="0" applyFill="0" applyBorder="0" applyAlignment="0" applyProtection="0"/>
    <xf numFmtId="0" fontId="27" fillId="0" borderId="0"/>
  </cellStyleXfs>
  <cellXfs count="220">
    <xf numFmtId="0" fontId="0" fillId="0" borderId="0" xfId="0">
      <alignment vertical="center"/>
    </xf>
    <xf numFmtId="49" fontId="2" fillId="0" borderId="1" xfId="0" applyNumberFormat="1" applyFont="1" applyBorder="1" applyAlignment="1">
      <alignment horizontal="center" vertical="center"/>
    </xf>
    <xf numFmtId="49" fontId="2" fillId="0" borderId="0" xfId="0" applyNumberFormat="1" applyFont="1" applyAlignment="1">
      <alignment horizontal="right" vertical="center"/>
    </xf>
    <xf numFmtId="0" fontId="2" fillId="0" borderId="0" xfId="0" applyFont="1" applyAlignment="1">
      <alignment horizontal="right"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49" fontId="4" fillId="0" borderId="1" xfId="0" applyNumberFormat="1" applyFont="1" applyBorder="1" applyAlignment="1">
      <alignment horizontal="center" vertical="center"/>
    </xf>
    <xf numFmtId="49" fontId="5" fillId="0" borderId="4" xfId="0" applyNumberFormat="1" applyFont="1" applyBorder="1">
      <alignment vertical="center"/>
    </xf>
    <xf numFmtId="49" fontId="4" fillId="0" borderId="4" xfId="0" applyNumberFormat="1" applyFont="1" applyBorder="1" applyAlignment="1">
      <alignment horizontal="right" vertical="center"/>
    </xf>
    <xf numFmtId="49" fontId="5" fillId="0" borderId="0" xfId="0" applyNumberFormat="1" applyFont="1">
      <alignment vertical="center"/>
    </xf>
    <xf numFmtId="49" fontId="4" fillId="0" borderId="0" xfId="0" applyNumberFormat="1" applyFont="1" applyAlignment="1">
      <alignment horizontal="right" vertical="center"/>
    </xf>
    <xf numFmtId="49" fontId="4" fillId="0" borderId="0" xfId="0" applyNumberFormat="1" applyFont="1">
      <alignment vertical="center"/>
    </xf>
    <xf numFmtId="49" fontId="5" fillId="0" borderId="7" xfId="0" applyNumberFormat="1" applyFont="1" applyBorder="1">
      <alignment vertical="center"/>
    </xf>
    <xf numFmtId="49" fontId="4" fillId="0" borderId="7" xfId="0" applyNumberFormat="1" applyFont="1" applyBorder="1" applyAlignment="1">
      <alignment horizontal="right" vertical="center"/>
    </xf>
    <xf numFmtId="49" fontId="4" fillId="0" borderId="5" xfId="0" applyNumberFormat="1" applyFont="1" applyBorder="1" applyAlignment="1">
      <alignment horizontal="right" vertical="center"/>
    </xf>
    <xf numFmtId="49" fontId="4" fillId="0" borderId="6" xfId="0" applyNumberFormat="1" applyFont="1" applyBorder="1" applyAlignment="1">
      <alignment horizontal="right" vertical="center"/>
    </xf>
    <xf numFmtId="49" fontId="4" fillId="0" borderId="8" xfId="0" applyNumberFormat="1" applyFont="1" applyBorder="1" applyAlignment="1">
      <alignment horizontal="right" vertical="center"/>
    </xf>
    <xf numFmtId="0" fontId="4" fillId="0" borderId="0" xfId="0" applyFont="1" applyAlignment="1">
      <alignment horizontal="right" vertical="center"/>
    </xf>
    <xf numFmtId="49" fontId="4" fillId="0" borderId="9" xfId="0" applyNumberFormat="1" applyFont="1" applyBorder="1" applyAlignment="1">
      <alignment horizontal="left" vertical="center"/>
    </xf>
    <xf numFmtId="49" fontId="4" fillId="0" borderId="2" xfId="0" applyNumberFormat="1" applyFont="1" applyBorder="1" applyAlignment="1">
      <alignment horizontal="center" vertical="center" wrapText="1"/>
    </xf>
    <xf numFmtId="49" fontId="4" fillId="0" borderId="3" xfId="0" applyNumberFormat="1" applyFont="1" applyBorder="1" applyAlignment="1">
      <alignment horizontal="center" vertical="center" wrapText="1"/>
    </xf>
    <xf numFmtId="0" fontId="4" fillId="0" borderId="6" xfId="0" applyFont="1" applyBorder="1" applyAlignment="1">
      <alignment horizontal="right" vertical="center"/>
    </xf>
    <xf numFmtId="0" fontId="4" fillId="0" borderId="8" xfId="0" applyFont="1" applyBorder="1" applyAlignment="1">
      <alignment horizontal="right" vertical="center"/>
    </xf>
    <xf numFmtId="0" fontId="4" fillId="0" borderId="7" xfId="0" applyFont="1" applyBorder="1" applyAlignment="1">
      <alignment horizontal="right" vertical="center"/>
    </xf>
    <xf numFmtId="0" fontId="0" fillId="0" borderId="10" xfId="0" applyBorder="1">
      <alignment vertical="center"/>
    </xf>
    <xf numFmtId="0" fontId="4" fillId="0" borderId="5" xfId="0" applyFont="1" applyBorder="1" applyAlignment="1">
      <alignment horizontal="right" vertical="center"/>
    </xf>
    <xf numFmtId="0" fontId="4" fillId="0" borderId="4" xfId="0" applyFont="1" applyBorder="1" applyAlignment="1">
      <alignment horizontal="right" vertical="center"/>
    </xf>
    <xf numFmtId="49" fontId="8" fillId="0" borderId="4" xfId="0" applyNumberFormat="1" applyFont="1" applyBorder="1">
      <alignment vertical="center"/>
    </xf>
    <xf numFmtId="49" fontId="2" fillId="0" borderId="0" xfId="0" applyNumberFormat="1" applyFont="1">
      <alignment vertical="center"/>
    </xf>
    <xf numFmtId="49" fontId="8" fillId="0" borderId="0" xfId="0" applyNumberFormat="1" applyFont="1">
      <alignment vertical="center"/>
    </xf>
    <xf numFmtId="49" fontId="8" fillId="0" borderId="7" xfId="0" applyNumberFormat="1" applyFont="1" applyBorder="1">
      <alignment vertical="center"/>
    </xf>
    <xf numFmtId="0" fontId="2" fillId="0" borderId="0" xfId="2" applyFont="1" applyAlignment="1">
      <alignment horizontal="right" vertical="center" wrapText="1"/>
    </xf>
    <xf numFmtId="0" fontId="2" fillId="0" borderId="0" xfId="2" applyFont="1" applyAlignment="1">
      <alignment horizontal="right" vertical="center"/>
    </xf>
    <xf numFmtId="0" fontId="2" fillId="0" borderId="7" xfId="2" applyFont="1" applyBorder="1" applyAlignment="1">
      <alignment horizontal="right" vertical="center" wrapText="1"/>
    </xf>
    <xf numFmtId="0" fontId="2" fillId="0" borderId="2" xfId="2" applyFont="1" applyBorder="1" applyAlignment="1">
      <alignment horizontal="center" vertical="center" wrapText="1"/>
    </xf>
    <xf numFmtId="0" fontId="2" fillId="0" borderId="3" xfId="2" applyFont="1" applyBorder="1" applyAlignment="1">
      <alignment horizontal="center" vertical="center" wrapText="1"/>
    </xf>
    <xf numFmtId="0" fontId="2" fillId="0" borderId="4" xfId="0" applyFont="1" applyBorder="1" applyAlignment="1">
      <alignment horizontal="right" vertical="center"/>
    </xf>
    <xf numFmtId="0" fontId="2" fillId="0" borderId="7" xfId="0" applyFont="1" applyBorder="1" applyAlignment="1">
      <alignment horizontal="right" vertical="center"/>
    </xf>
    <xf numFmtId="177" fontId="4" fillId="0" borderId="0" xfId="0" applyNumberFormat="1" applyFont="1" applyAlignment="1">
      <alignment horizontal="right" vertical="center"/>
    </xf>
    <xf numFmtId="0" fontId="2" fillId="0" borderId="0" xfId="2" applyFont="1" applyAlignment="1">
      <alignment horizontal="center" vertical="center" wrapText="1"/>
    </xf>
    <xf numFmtId="0" fontId="4" fillId="0" borderId="1" xfId="2" applyFont="1" applyBorder="1" applyAlignment="1">
      <alignment horizontal="center" vertical="center" wrapText="1"/>
    </xf>
    <xf numFmtId="0" fontId="13" fillId="0" borderId="0" xfId="0" applyFont="1">
      <alignment vertical="center"/>
    </xf>
    <xf numFmtId="176" fontId="12" fillId="0" borderId="0" xfId="0" applyNumberFormat="1" applyFont="1" applyAlignment="1">
      <alignment horizontal="center" vertical="center"/>
    </xf>
    <xf numFmtId="0" fontId="2" fillId="0" borderId="4" xfId="2" applyFont="1" applyBorder="1" applyAlignment="1">
      <alignment horizontal="right" vertical="center" wrapText="1"/>
    </xf>
    <xf numFmtId="0" fontId="2" fillId="0" borderId="11" xfId="2" applyFont="1" applyBorder="1" applyAlignment="1">
      <alignment horizontal="right" vertical="center" wrapText="1"/>
    </xf>
    <xf numFmtId="0" fontId="2" fillId="0" borderId="12" xfId="2" applyFont="1" applyBorder="1" applyAlignment="1">
      <alignment horizontal="right" vertical="center" wrapText="1"/>
    </xf>
    <xf numFmtId="0" fontId="2" fillId="0" borderId="13" xfId="2" applyFont="1" applyBorder="1" applyAlignment="1">
      <alignment horizontal="right" vertical="center" wrapText="1"/>
    </xf>
    <xf numFmtId="49" fontId="4" fillId="0" borderId="2" xfId="0" applyNumberFormat="1" applyFont="1" applyBorder="1" applyAlignment="1">
      <alignment horizontal="left" vertical="center"/>
    </xf>
    <xf numFmtId="0" fontId="0" fillId="0" borderId="1" xfId="0" applyBorder="1">
      <alignment vertical="center"/>
    </xf>
    <xf numFmtId="0" fontId="0" fillId="0" borderId="14" xfId="0" applyBorder="1">
      <alignment vertical="center"/>
    </xf>
    <xf numFmtId="0" fontId="0" fillId="0" borderId="2" xfId="0" applyBorder="1">
      <alignment vertical="center"/>
    </xf>
    <xf numFmtId="49" fontId="8" fillId="0" borderId="15" xfId="0" applyNumberFormat="1" applyFont="1" applyBorder="1">
      <alignment vertical="center"/>
    </xf>
    <xf numFmtId="49" fontId="2" fillId="0" borderId="9" xfId="0" applyNumberFormat="1" applyFont="1" applyBorder="1">
      <alignment vertical="center"/>
    </xf>
    <xf numFmtId="49" fontId="8" fillId="0" borderId="9" xfId="0" applyNumberFormat="1" applyFont="1" applyBorder="1">
      <alignment vertical="center"/>
    </xf>
    <xf numFmtId="49" fontId="2" fillId="0" borderId="16" xfId="0" applyNumberFormat="1" applyFont="1" applyBorder="1">
      <alignment vertical="center"/>
    </xf>
    <xf numFmtId="0" fontId="2" fillId="0" borderId="5" xfId="0" applyFont="1" applyBorder="1" applyAlignment="1">
      <alignment horizontal="right" vertical="center"/>
    </xf>
    <xf numFmtId="0" fontId="2" fillId="0" borderId="6" xfId="0" applyFont="1" applyBorder="1" applyAlignment="1">
      <alignment horizontal="right" vertical="center"/>
    </xf>
    <xf numFmtId="49" fontId="2" fillId="0" borderId="6" xfId="0" applyNumberFormat="1" applyFont="1" applyBorder="1" applyAlignment="1">
      <alignment horizontal="right" vertical="center"/>
    </xf>
    <xf numFmtId="0" fontId="2" fillId="0" borderId="12" xfId="2" applyFont="1" applyBorder="1" applyAlignment="1">
      <alignment horizontal="right" vertical="center"/>
    </xf>
    <xf numFmtId="0" fontId="2" fillId="0" borderId="8" xfId="0" applyFont="1" applyBorder="1" applyAlignment="1">
      <alignment horizontal="right" vertical="center"/>
    </xf>
    <xf numFmtId="0" fontId="2" fillId="0" borderId="15" xfId="0" applyFont="1" applyBorder="1" applyAlignment="1">
      <alignment horizontal="center" vertical="center"/>
    </xf>
    <xf numFmtId="0" fontId="2" fillId="0" borderId="15" xfId="2" applyFont="1" applyBorder="1" applyAlignment="1">
      <alignment horizontal="center" vertical="center" wrapText="1"/>
    </xf>
    <xf numFmtId="176" fontId="12" fillId="0" borderId="8" xfId="0" applyNumberFormat="1" applyFont="1" applyBorder="1" applyAlignment="1">
      <alignment horizontal="center" vertical="center"/>
    </xf>
    <xf numFmtId="176" fontId="12" fillId="0" borderId="7" xfId="0" applyNumberFormat="1" applyFont="1" applyBorder="1" applyAlignment="1">
      <alignment horizontal="center" vertical="center"/>
    </xf>
    <xf numFmtId="176" fontId="12" fillId="0" borderId="13" xfId="0" applyNumberFormat="1" applyFont="1" applyBorder="1" applyAlignment="1">
      <alignment horizontal="center" vertical="center"/>
    </xf>
    <xf numFmtId="49" fontId="4" fillId="0" borderId="6" xfId="0" applyNumberFormat="1" applyFont="1" applyBorder="1" applyAlignment="1">
      <alignment horizontal="left" vertical="center"/>
    </xf>
    <xf numFmtId="0" fontId="0" fillId="0" borderId="7" xfId="0" applyBorder="1">
      <alignment vertical="center"/>
    </xf>
    <xf numFmtId="0" fontId="0" fillId="0" borderId="13" xfId="0" applyBorder="1">
      <alignment vertical="center"/>
    </xf>
    <xf numFmtId="176" fontId="4" fillId="0" borderId="5" xfId="0" applyNumberFormat="1" applyFont="1" applyBorder="1" applyAlignment="1">
      <alignment horizontal="right" vertical="center"/>
    </xf>
    <xf numFmtId="176" fontId="4" fillId="0" borderId="4" xfId="0" applyNumberFormat="1" applyFont="1" applyBorder="1" applyAlignment="1">
      <alignment horizontal="right" vertical="center"/>
    </xf>
    <xf numFmtId="176" fontId="2" fillId="0" borderId="4" xfId="2" applyNumberFormat="1" applyFont="1" applyBorder="1" applyAlignment="1">
      <alignment horizontal="right" vertical="center" wrapText="1"/>
    </xf>
    <xf numFmtId="176" fontId="2" fillId="0" borderId="11" xfId="2" applyNumberFormat="1" applyFont="1" applyBorder="1" applyAlignment="1">
      <alignment horizontal="right" vertical="center" wrapText="1"/>
    </xf>
    <xf numFmtId="176" fontId="2" fillId="0" borderId="0" xfId="2" applyNumberFormat="1" applyFont="1" applyAlignment="1">
      <alignment horizontal="right" vertical="center" wrapText="1"/>
    </xf>
    <xf numFmtId="176" fontId="4" fillId="0" borderId="6" xfId="0" applyNumberFormat="1" applyFont="1" applyBorder="1" applyAlignment="1">
      <alignment horizontal="right" vertical="center"/>
    </xf>
    <xf numFmtId="176" fontId="4" fillId="0" borderId="0" xfId="0" applyNumberFormat="1" applyFont="1" applyAlignment="1">
      <alignment horizontal="right" vertical="center"/>
    </xf>
    <xf numFmtId="176" fontId="2" fillId="0" borderId="12" xfId="2" applyNumberFormat="1" applyFont="1" applyBorder="1" applyAlignment="1">
      <alignment horizontal="right" vertical="center" wrapText="1"/>
    </xf>
    <xf numFmtId="176" fontId="4" fillId="0" borderId="8" xfId="0" applyNumberFormat="1" applyFont="1" applyBorder="1" applyAlignment="1">
      <alignment horizontal="right" vertical="center"/>
    </xf>
    <xf numFmtId="176" fontId="4" fillId="0" borderId="7" xfId="0" applyNumberFormat="1" applyFont="1" applyBorder="1" applyAlignment="1">
      <alignment horizontal="right" vertical="center"/>
    </xf>
    <xf numFmtId="176" fontId="2" fillId="0" borderId="7" xfId="2" applyNumberFormat="1" applyFont="1" applyBorder="1" applyAlignment="1">
      <alignment horizontal="right" vertical="center" wrapText="1"/>
    </xf>
    <xf numFmtId="176" fontId="2" fillId="0" borderId="13" xfId="2" applyNumberFormat="1" applyFont="1" applyBorder="1" applyAlignment="1">
      <alignment horizontal="right" vertical="center" wrapText="1"/>
    </xf>
    <xf numFmtId="176" fontId="0" fillId="0" borderId="0" xfId="0" applyNumberFormat="1">
      <alignment vertical="center"/>
    </xf>
    <xf numFmtId="0" fontId="0" fillId="0" borderId="3" xfId="0" applyBorder="1">
      <alignment vertical="center"/>
    </xf>
    <xf numFmtId="49" fontId="5" fillId="0" borderId="9" xfId="0" applyNumberFormat="1" applyFont="1" applyBorder="1" applyAlignment="1">
      <alignment horizontal="left" vertical="center"/>
    </xf>
    <xf numFmtId="2" fontId="2" fillId="0" borderId="4" xfId="0" applyNumberFormat="1" applyFont="1" applyBorder="1" applyAlignment="1">
      <alignment horizontal="right" vertical="center"/>
    </xf>
    <xf numFmtId="2" fontId="2" fillId="0" borderId="0" xfId="2" applyNumberFormat="1" applyFont="1" applyAlignment="1">
      <alignment horizontal="right" vertical="center" wrapText="1"/>
    </xf>
    <xf numFmtId="2" fontId="2" fillId="0" borderId="0" xfId="0" applyNumberFormat="1" applyFont="1" applyAlignment="1">
      <alignment horizontal="right" vertical="center"/>
    </xf>
    <xf numFmtId="2" fontId="2" fillId="0" borderId="0" xfId="2" applyNumberFormat="1" applyFont="1" applyAlignment="1">
      <alignment horizontal="right" vertical="center"/>
    </xf>
    <xf numFmtId="2" fontId="2" fillId="0" borderId="7" xfId="0" applyNumberFormat="1" applyFont="1" applyBorder="1" applyAlignment="1">
      <alignment horizontal="right" vertical="center"/>
    </xf>
    <xf numFmtId="2" fontId="2" fillId="0" borderId="7" xfId="2" applyNumberFormat="1" applyFont="1" applyBorder="1" applyAlignment="1">
      <alignment horizontal="right" vertical="center" wrapText="1"/>
    </xf>
    <xf numFmtId="176" fontId="4" fillId="0" borderId="3" xfId="0" applyNumberFormat="1" applyFont="1" applyBorder="1" applyAlignment="1">
      <alignment horizontal="right" vertical="center"/>
    </xf>
    <xf numFmtId="176" fontId="4" fillId="0" borderId="1" xfId="0" applyNumberFormat="1" applyFont="1" applyBorder="1" applyAlignment="1">
      <alignment horizontal="right" vertical="center"/>
    </xf>
    <xf numFmtId="176" fontId="4" fillId="0" borderId="14" xfId="0" applyNumberFormat="1" applyFont="1" applyBorder="1" applyAlignment="1">
      <alignment horizontal="right" vertical="center" wrapText="1"/>
    </xf>
    <xf numFmtId="176" fontId="12" fillId="0" borderId="5" xfId="0" applyNumberFormat="1" applyFont="1" applyBorder="1" applyAlignment="1">
      <alignment horizontal="right" vertical="center"/>
    </xf>
    <xf numFmtId="176" fontId="12" fillId="0" borderId="4" xfId="0" applyNumberFormat="1" applyFont="1" applyBorder="1" applyAlignment="1">
      <alignment horizontal="right" vertical="center"/>
    </xf>
    <xf numFmtId="176" fontId="12" fillId="0" borderId="11" xfId="0" applyNumberFormat="1" applyFont="1" applyBorder="1" applyAlignment="1">
      <alignment horizontal="right" vertical="center"/>
    </xf>
    <xf numFmtId="176" fontId="12" fillId="0" borderId="6" xfId="0" applyNumberFormat="1" applyFont="1" applyBorder="1" applyAlignment="1">
      <alignment horizontal="right" vertical="center"/>
    </xf>
    <xf numFmtId="176" fontId="12" fillId="0" borderId="0" xfId="0" applyNumberFormat="1" applyFont="1" applyAlignment="1">
      <alignment horizontal="right" vertical="center"/>
    </xf>
    <xf numFmtId="176" fontId="12" fillId="0" borderId="12" xfId="0" applyNumberFormat="1" applyFont="1" applyBorder="1" applyAlignment="1">
      <alignment horizontal="right" vertical="center"/>
    </xf>
    <xf numFmtId="176" fontId="12" fillId="0" borderId="8" xfId="0" applyNumberFormat="1" applyFont="1" applyBorder="1" applyAlignment="1">
      <alignment horizontal="right" vertical="center"/>
    </xf>
    <xf numFmtId="176" fontId="12" fillId="0" borderId="7" xfId="0" applyNumberFormat="1" applyFont="1" applyBorder="1" applyAlignment="1">
      <alignment horizontal="right" vertical="center"/>
    </xf>
    <xf numFmtId="176" fontId="12" fillId="0" borderId="13" xfId="0" applyNumberFormat="1" applyFont="1" applyBorder="1" applyAlignment="1">
      <alignment horizontal="right" vertical="center"/>
    </xf>
    <xf numFmtId="178" fontId="4" fillId="0" borderId="9" xfId="0" applyNumberFormat="1" applyFont="1" applyBorder="1" applyAlignment="1">
      <alignment horizontal="left" vertical="center"/>
    </xf>
    <xf numFmtId="178" fontId="4" fillId="0" borderId="2" xfId="0" applyNumberFormat="1" applyFont="1" applyBorder="1" applyAlignment="1">
      <alignment horizontal="left" vertical="center"/>
    </xf>
    <xf numFmtId="0" fontId="0" fillId="0" borderId="0" xfId="0" applyAlignment="1"/>
    <xf numFmtId="0" fontId="16" fillId="0" borderId="17" xfId="0" applyFont="1" applyBorder="1" applyAlignment="1">
      <alignment horizontal="left" readingOrder="1"/>
    </xf>
    <xf numFmtId="0" fontId="14" fillId="0" borderId="17" xfId="0" applyFont="1" applyBorder="1" applyAlignment="1">
      <alignment horizontal="center" vertical="center" readingOrder="1"/>
    </xf>
    <xf numFmtId="0" fontId="15" fillId="0" borderId="17" xfId="0" applyFont="1" applyBorder="1" applyAlignment="1">
      <alignment horizontal="center" vertical="center" readingOrder="1"/>
    </xf>
    <xf numFmtId="0" fontId="16" fillId="0" borderId="17" xfId="0" applyFont="1" applyBorder="1" applyAlignment="1">
      <alignment horizontal="center" vertical="center" readingOrder="1"/>
    </xf>
    <xf numFmtId="0" fontId="16" fillId="2" borderId="17" xfId="0" applyFont="1" applyFill="1" applyBorder="1" applyAlignment="1">
      <alignment horizontal="left" vertical="center" readingOrder="1"/>
    </xf>
    <xf numFmtId="0" fontId="16" fillId="0" borderId="17" xfId="0" applyFont="1" applyBorder="1" applyAlignment="1">
      <alignment horizontal="left" vertical="center" readingOrder="1"/>
    </xf>
    <xf numFmtId="0" fontId="19" fillId="0" borderId="17" xfId="0" applyFont="1" applyBorder="1" applyAlignment="1">
      <alignment horizontal="left" vertical="center" readingOrder="1"/>
    </xf>
    <xf numFmtId="0" fontId="17" fillId="2" borderId="17" xfId="0" applyFont="1" applyFill="1" applyBorder="1" applyAlignment="1">
      <alignment horizontal="left" vertical="center" readingOrder="1"/>
    </xf>
    <xf numFmtId="0" fontId="17" fillId="0" borderId="17" xfId="0" applyFont="1" applyBorder="1" applyAlignment="1">
      <alignment horizontal="left" vertical="center" readingOrder="1"/>
    </xf>
    <xf numFmtId="0" fontId="18" fillId="0" borderId="17" xfId="0" applyFont="1" applyBorder="1" applyAlignment="1">
      <alignment horizontal="left" vertical="center" readingOrder="1"/>
    </xf>
    <xf numFmtId="0" fontId="16" fillId="7" borderId="17" xfId="0" applyFont="1" applyFill="1" applyBorder="1" applyAlignment="1">
      <alignment horizontal="left" vertical="center" readingOrder="1"/>
    </xf>
    <xf numFmtId="0" fontId="19" fillId="7" borderId="17" xfId="0" applyFont="1" applyFill="1" applyBorder="1" applyAlignment="1">
      <alignment horizontal="left" vertical="center" readingOrder="1"/>
    </xf>
    <xf numFmtId="0" fontId="16" fillId="8" borderId="17" xfId="0" applyFont="1" applyFill="1" applyBorder="1" applyAlignment="1">
      <alignment horizontal="left" vertical="center" readingOrder="1"/>
    </xf>
    <xf numFmtId="0" fontId="19" fillId="8" borderId="17" xfId="0" applyFont="1" applyFill="1" applyBorder="1" applyAlignment="1">
      <alignment horizontal="left" vertical="center" readingOrder="1"/>
    </xf>
    <xf numFmtId="0" fontId="16" fillId="4" borderId="17" xfId="0" applyFont="1" applyFill="1" applyBorder="1" applyAlignment="1">
      <alignment horizontal="left" vertical="center" readingOrder="1"/>
    </xf>
    <xf numFmtId="0" fontId="16" fillId="3" borderId="17" xfId="0" applyFont="1" applyFill="1" applyBorder="1" applyAlignment="1">
      <alignment horizontal="left" vertical="center" readingOrder="1"/>
    </xf>
    <xf numFmtId="0" fontId="19" fillId="3" borderId="17" xfId="0" applyFont="1" applyFill="1" applyBorder="1" applyAlignment="1">
      <alignment horizontal="left" vertical="center" readingOrder="1"/>
    </xf>
    <xf numFmtId="0" fontId="17" fillId="8" borderId="17" xfId="0" applyFont="1" applyFill="1" applyBorder="1" applyAlignment="1">
      <alignment horizontal="left" vertical="center" readingOrder="1"/>
    </xf>
    <xf numFmtId="0" fontId="18" fillId="8" borderId="17" xfId="0" applyFont="1" applyFill="1" applyBorder="1" applyAlignment="1">
      <alignment horizontal="left" vertical="center" readingOrder="1"/>
    </xf>
    <xf numFmtId="0" fontId="16" fillId="4" borderId="17" xfId="0" applyFont="1" applyFill="1" applyBorder="1" applyAlignment="1">
      <alignment horizontal="left" readingOrder="1"/>
    </xf>
    <xf numFmtId="0" fontId="16" fillId="5" borderId="17" xfId="0" applyFont="1" applyFill="1" applyBorder="1" applyAlignment="1">
      <alignment horizontal="left" vertical="center" readingOrder="1"/>
    </xf>
    <xf numFmtId="0" fontId="19" fillId="5" borderId="17" xfId="0" applyFont="1" applyFill="1" applyBorder="1" applyAlignment="1">
      <alignment horizontal="left" vertical="center" readingOrder="1"/>
    </xf>
    <xf numFmtId="0" fontId="17" fillId="0" borderId="17" xfId="0" applyFont="1" applyBorder="1" applyAlignment="1">
      <alignment horizontal="left" readingOrder="1"/>
    </xf>
    <xf numFmtId="0" fontId="16" fillId="6" borderId="17" xfId="0" applyFont="1" applyFill="1" applyBorder="1" applyAlignment="1">
      <alignment horizontal="left" vertical="center" readingOrder="1"/>
    </xf>
    <xf numFmtId="0" fontId="19" fillId="6" borderId="17" xfId="0" applyFont="1" applyFill="1" applyBorder="1" applyAlignment="1">
      <alignment horizontal="left" vertical="center" readingOrder="1"/>
    </xf>
    <xf numFmtId="0" fontId="22" fillId="10" borderId="21" xfId="0" applyFont="1" applyFill="1" applyBorder="1" applyAlignment="1">
      <alignment horizontal="left" vertical="center" wrapText="1" readingOrder="1"/>
    </xf>
    <xf numFmtId="0" fontId="16" fillId="10" borderId="21" xfId="0" applyFont="1" applyFill="1" applyBorder="1" applyAlignment="1">
      <alignment horizontal="left" vertical="center" wrapText="1" readingOrder="1"/>
    </xf>
    <xf numFmtId="0" fontId="22" fillId="11" borderId="22" xfId="0" applyFont="1" applyFill="1" applyBorder="1" applyAlignment="1">
      <alignment horizontal="left" vertical="center" wrapText="1" readingOrder="1"/>
    </xf>
    <xf numFmtId="0" fontId="16" fillId="11" borderId="22" xfId="0" applyFont="1" applyFill="1" applyBorder="1" applyAlignment="1">
      <alignment horizontal="left" vertical="center" wrapText="1" readingOrder="1"/>
    </xf>
    <xf numFmtId="0" fontId="22" fillId="10" borderId="22" xfId="0" applyFont="1" applyFill="1" applyBorder="1" applyAlignment="1">
      <alignment horizontal="left" vertical="center" wrapText="1" readingOrder="1"/>
    </xf>
    <xf numFmtId="0" fontId="16" fillId="10" borderId="22" xfId="0" applyFont="1" applyFill="1" applyBorder="1" applyAlignment="1">
      <alignment horizontal="left" vertical="center" wrapText="1" readingOrder="1"/>
    </xf>
    <xf numFmtId="0" fontId="22" fillId="10" borderId="22" xfId="0" applyFont="1" applyFill="1" applyBorder="1" applyAlignment="1">
      <alignment horizontal="left" wrapText="1" readingOrder="1"/>
    </xf>
    <xf numFmtId="0" fontId="22" fillId="11" borderId="22" xfId="0" applyFont="1" applyFill="1" applyBorder="1" applyAlignment="1">
      <alignment horizontal="left" wrapText="1" readingOrder="1"/>
    </xf>
    <xf numFmtId="49" fontId="5" fillId="0" borderId="0" xfId="0" applyNumberFormat="1" applyFont="1" applyAlignment="1">
      <alignment horizontal="left" vertical="center"/>
    </xf>
    <xf numFmtId="49" fontId="4" fillId="0" borderId="0" xfId="0" applyNumberFormat="1" applyFont="1" applyAlignment="1">
      <alignment horizontal="left" vertical="center"/>
    </xf>
    <xf numFmtId="49" fontId="4" fillId="0" borderId="7" xfId="0" applyNumberFormat="1" applyFont="1" applyBorder="1" applyAlignment="1">
      <alignment horizontal="left" vertical="center"/>
    </xf>
    <xf numFmtId="0" fontId="4" fillId="0" borderId="0" xfId="3" applyFont="1" applyAlignment="1">
      <alignment horizontal="right" vertical="center"/>
    </xf>
    <xf numFmtId="49" fontId="5" fillId="0" borderId="0" xfId="3" applyNumberFormat="1" applyFont="1" applyAlignment="1">
      <alignment horizontal="left" vertical="center"/>
    </xf>
    <xf numFmtId="49" fontId="4" fillId="0" borderId="0" xfId="3" applyNumberFormat="1" applyFont="1" applyAlignment="1">
      <alignment horizontal="left" vertical="center"/>
    </xf>
    <xf numFmtId="49" fontId="5" fillId="0" borderId="7" xfId="3" applyNumberFormat="1" applyFont="1" applyBorder="1" applyAlignment="1">
      <alignment horizontal="left" vertical="center"/>
    </xf>
    <xf numFmtId="0" fontId="4" fillId="0" borderId="8" xfId="0" applyFont="1" applyBorder="1" applyAlignment="1">
      <alignment horizontal="right" vertical="center" wrapText="1"/>
    </xf>
    <xf numFmtId="0" fontId="4" fillId="0" borderId="0" xfId="0" applyFont="1" applyAlignment="1">
      <alignment horizontal="right" vertical="center" wrapText="1"/>
    </xf>
    <xf numFmtId="0" fontId="4" fillId="0" borderId="7" xfId="0" applyFont="1" applyBorder="1" applyAlignment="1">
      <alignment horizontal="right" vertical="center" wrapText="1"/>
    </xf>
    <xf numFmtId="0" fontId="4" fillId="0" borderId="0" xfId="3" applyFont="1" applyAlignment="1">
      <alignment horizontal="right" vertical="center" wrapText="1"/>
    </xf>
    <xf numFmtId="0" fontId="4" fillId="0" borderId="8" xfId="3" applyFont="1" applyBorder="1" applyAlignment="1">
      <alignment horizontal="right" vertical="center" wrapText="1"/>
    </xf>
    <xf numFmtId="0" fontId="4" fillId="0" borderId="7" xfId="3" applyFont="1" applyBorder="1" applyAlignment="1">
      <alignment horizontal="right" vertical="center" wrapText="1"/>
    </xf>
    <xf numFmtId="49" fontId="4" fillId="0" borderId="0" xfId="0" applyNumberFormat="1" applyFont="1" applyAlignment="1"/>
    <xf numFmtId="49" fontId="4" fillId="0" borderId="0" xfId="3" applyNumberFormat="1" applyFont="1" applyAlignment="1"/>
    <xf numFmtId="0" fontId="11" fillId="0" borderId="0" xfId="0" applyFont="1">
      <alignment vertical="center"/>
    </xf>
    <xf numFmtId="0" fontId="25" fillId="0" borderId="7" xfId="0" applyFont="1" applyBorder="1" applyAlignment="1">
      <alignment horizontal="right" vertical="center"/>
    </xf>
    <xf numFmtId="0" fontId="12" fillId="12" borderId="0" xfId="0" applyFont="1" applyFill="1" applyAlignment="1">
      <alignment horizontal="center" vertical="center"/>
    </xf>
    <xf numFmtId="0" fontId="26" fillId="13" borderId="0" xfId="0" applyFont="1" applyFill="1" applyAlignment="1"/>
    <xf numFmtId="2" fontId="26" fillId="0" borderId="0" xfId="0" applyNumberFormat="1" applyFont="1" applyAlignment="1"/>
    <xf numFmtId="179" fontId="26" fillId="0" borderId="0" xfId="0" applyNumberFormat="1" applyFont="1" applyAlignment="1"/>
    <xf numFmtId="180" fontId="26" fillId="0" borderId="0" xfId="0" applyNumberFormat="1" applyFont="1" applyAlignment="1"/>
    <xf numFmtId="9" fontId="26" fillId="0" borderId="0" xfId="0" applyNumberFormat="1" applyFont="1" applyAlignment="1"/>
    <xf numFmtId="181" fontId="26" fillId="0" borderId="0" xfId="0" applyNumberFormat="1" applyFont="1" applyAlignment="1"/>
    <xf numFmtId="0" fontId="12" fillId="0" borderId="0" xfId="5" applyFont="1"/>
    <xf numFmtId="2" fontId="28" fillId="0" borderId="0" xfId="0" applyNumberFormat="1" applyFont="1" applyAlignment="1"/>
    <xf numFmtId="179" fontId="28" fillId="0" borderId="0" xfId="0" applyNumberFormat="1" applyFont="1" applyAlignment="1"/>
    <xf numFmtId="180" fontId="28" fillId="0" borderId="0" xfId="0" applyNumberFormat="1" applyFont="1" applyAlignment="1"/>
    <xf numFmtId="0" fontId="26" fillId="14" borderId="0" xfId="0" applyFont="1" applyFill="1" applyAlignment="1"/>
    <xf numFmtId="0" fontId="26" fillId="0" borderId="0" xfId="0" applyFont="1" applyAlignment="1"/>
    <xf numFmtId="0" fontId="26" fillId="15" borderId="0" xfId="0" applyFont="1" applyFill="1" applyAlignment="1"/>
    <xf numFmtId="0" fontId="13" fillId="16" borderId="0" xfId="0" applyFont="1" applyFill="1" applyAlignment="1"/>
    <xf numFmtId="0" fontId="13" fillId="17" borderId="0" xfId="0" applyFont="1" applyFill="1" applyAlignment="1"/>
    <xf numFmtId="181" fontId="28" fillId="0" borderId="0" xfId="0" applyNumberFormat="1" applyFont="1" applyAlignment="1"/>
    <xf numFmtId="0" fontId="13" fillId="18" borderId="0" xfId="0" applyFont="1" applyFill="1" applyAlignment="1"/>
    <xf numFmtId="0" fontId="13" fillId="19" borderId="0" xfId="0" applyFont="1" applyFill="1" applyAlignment="1"/>
    <xf numFmtId="11" fontId="26" fillId="0" borderId="0" xfId="0" applyNumberFormat="1" applyFont="1" applyAlignment="1"/>
    <xf numFmtId="49" fontId="4" fillId="0" borderId="0" xfId="0" applyNumberFormat="1" applyFont="1" applyAlignment="1">
      <alignment horizontal="center" vertical="center"/>
    </xf>
    <xf numFmtId="49" fontId="2" fillId="0" borderId="1" xfId="3" applyNumberFormat="1" applyFont="1" applyBorder="1" applyAlignment="1">
      <alignment horizontal="center" vertical="center"/>
    </xf>
    <xf numFmtId="49" fontId="2" fillId="0" borderId="0" xfId="3" applyNumberFormat="1" applyFont="1" applyAlignment="1">
      <alignment horizontal="center" vertical="center"/>
    </xf>
    <xf numFmtId="0" fontId="1" fillId="0" borderId="0" xfId="6"/>
    <xf numFmtId="0" fontId="0" fillId="51" borderId="0" xfId="0" applyFill="1">
      <alignment vertical="center"/>
    </xf>
    <xf numFmtId="182" fontId="12" fillId="0" borderId="0" xfId="5" applyNumberFormat="1" applyFont="1"/>
    <xf numFmtId="0" fontId="21" fillId="52" borderId="22" xfId="0" applyFont="1" applyFill="1" applyBorder="1" applyAlignment="1">
      <alignment horizontal="left" wrapText="1" readingOrder="1"/>
    </xf>
    <xf numFmtId="0" fontId="21" fillId="53" borderId="21" xfId="0" applyFont="1" applyFill="1" applyBorder="1" applyAlignment="1">
      <alignment horizontal="left" wrapText="1" readingOrder="1"/>
    </xf>
    <xf numFmtId="0" fontId="21" fillId="53" borderId="22" xfId="0" applyFont="1" applyFill="1" applyBorder="1" applyAlignment="1">
      <alignment horizontal="left" wrapText="1" readingOrder="1"/>
    </xf>
    <xf numFmtId="0" fontId="21" fillId="53" borderId="22" xfId="0" applyFont="1" applyFill="1" applyBorder="1" applyAlignment="1">
      <alignment horizontal="left" vertical="center" wrapText="1" readingOrder="1"/>
    </xf>
    <xf numFmtId="0" fontId="20" fillId="54" borderId="18" xfId="0" applyFont="1" applyFill="1" applyBorder="1" applyAlignment="1">
      <alignment horizontal="center" vertical="center" wrapText="1" readingOrder="1"/>
    </xf>
    <xf numFmtId="0" fontId="55" fillId="54" borderId="22" xfId="0" applyFont="1" applyFill="1" applyBorder="1" applyAlignment="1">
      <alignment horizontal="left" wrapText="1" readingOrder="1"/>
    </xf>
    <xf numFmtId="0" fontId="55" fillId="54" borderId="22" xfId="0" applyFont="1" applyFill="1" applyBorder="1" applyAlignment="1">
      <alignment horizontal="left" vertical="center" wrapText="1" readingOrder="1"/>
    </xf>
    <xf numFmtId="0" fontId="0" fillId="55" borderId="0" xfId="0" applyFill="1">
      <alignment vertical="center"/>
    </xf>
    <xf numFmtId="49" fontId="4" fillId="55" borderId="0" xfId="3" applyNumberFormat="1" applyFont="1" applyFill="1" applyAlignment="1">
      <alignment horizontal="left" vertical="center"/>
    </xf>
    <xf numFmtId="0" fontId="4" fillId="55" borderId="0" xfId="3" applyFont="1" applyFill="1" applyAlignment="1">
      <alignment horizontal="right" vertical="center" wrapText="1"/>
    </xf>
    <xf numFmtId="0" fontId="4" fillId="55" borderId="0" xfId="3" applyFont="1" applyFill="1" applyAlignment="1">
      <alignment horizontal="right" vertical="center"/>
    </xf>
    <xf numFmtId="10" fontId="0" fillId="0" borderId="0" xfId="0" applyNumberFormat="1">
      <alignment vertical="center"/>
    </xf>
    <xf numFmtId="9" fontId="4" fillId="0" borderId="0" xfId="0" applyNumberFormat="1" applyFont="1" applyAlignment="1">
      <alignment horizontal="right" vertical="center" wrapText="1"/>
    </xf>
    <xf numFmtId="0" fontId="28" fillId="13" borderId="0" xfId="0" applyFont="1" applyFill="1" applyAlignment="1"/>
    <xf numFmtId="9" fontId="25" fillId="0" borderId="0" xfId="0" applyNumberFormat="1" applyFont="1" applyAlignment="1">
      <alignment horizontal="right" vertical="center" wrapText="1"/>
    </xf>
    <xf numFmtId="0" fontId="28" fillId="14" borderId="0" xfId="0" applyFont="1" applyFill="1" applyAlignment="1"/>
    <xf numFmtId="9" fontId="0" fillId="0" borderId="0" xfId="0" applyNumberFormat="1">
      <alignment vertical="center"/>
    </xf>
    <xf numFmtId="0" fontId="2" fillId="0" borderId="0" xfId="3" applyFont="1" applyAlignment="1">
      <alignment horizontal="right" vertical="center" wrapText="1"/>
    </xf>
    <xf numFmtId="183" fontId="0" fillId="0" borderId="0" xfId="0" applyNumberFormat="1">
      <alignment vertical="center"/>
    </xf>
    <xf numFmtId="49" fontId="2" fillId="0" borderId="0" xfId="0" applyNumberFormat="1" applyFont="1" applyAlignment="1">
      <alignment horizontal="left" vertical="center"/>
    </xf>
    <xf numFmtId="0" fontId="56" fillId="0" borderId="0" xfId="0" applyFont="1">
      <alignment vertical="center"/>
    </xf>
    <xf numFmtId="178" fontId="0" fillId="0" borderId="0" xfId="0" applyNumberFormat="1">
      <alignment vertical="center"/>
    </xf>
    <xf numFmtId="182" fontId="0" fillId="0" borderId="0" xfId="0" applyNumberFormat="1">
      <alignment vertical="center"/>
    </xf>
    <xf numFmtId="10" fontId="0" fillId="56" borderId="0" xfId="0" applyNumberFormat="1" applyFill="1">
      <alignment vertical="center"/>
    </xf>
    <xf numFmtId="10" fontId="0" fillId="57" borderId="0" xfId="0" applyNumberFormat="1" applyFill="1">
      <alignment vertical="center"/>
    </xf>
    <xf numFmtId="9" fontId="4" fillId="57" borderId="0" xfId="0" applyNumberFormat="1" applyFont="1" applyFill="1" applyAlignment="1">
      <alignment horizontal="right" vertical="center" wrapText="1"/>
    </xf>
    <xf numFmtId="0" fontId="0" fillId="58" borderId="0" xfId="0" applyFill="1">
      <alignment vertical="center"/>
    </xf>
    <xf numFmtId="10" fontId="0" fillId="58" borderId="0" xfId="0" applyNumberFormat="1" applyFill="1">
      <alignment vertical="center"/>
    </xf>
    <xf numFmtId="11" fontId="0" fillId="0" borderId="0" xfId="0" applyNumberFormat="1" applyAlignment="1">
      <alignment horizontal="center" vertical="center"/>
    </xf>
    <xf numFmtId="9" fontId="0" fillId="0" borderId="0" xfId="0" applyNumberFormat="1" applyAlignment="1">
      <alignment horizontal="center" vertical="center"/>
    </xf>
    <xf numFmtId="11"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6" applyFont="1" applyAlignment="1">
      <alignment horizontal="center" vertical="center" wrapText="1"/>
    </xf>
    <xf numFmtId="0" fontId="0" fillId="59" borderId="0" xfId="0" applyFill="1" applyAlignment="1">
      <alignment horizontal="center" vertical="center"/>
    </xf>
    <xf numFmtId="0" fontId="0" fillId="60" borderId="0" xfId="0" applyFill="1" applyAlignment="1">
      <alignment horizontal="center" vertical="center"/>
    </xf>
    <xf numFmtId="0" fontId="0" fillId="61" borderId="0" xfId="0" applyFill="1">
      <alignment vertical="center"/>
    </xf>
    <xf numFmtId="0" fontId="0" fillId="0" borderId="7" xfId="0" applyBorder="1" applyAlignment="1">
      <alignment horizontal="center" vertical="center"/>
    </xf>
    <xf numFmtId="0" fontId="13" fillId="0" borderId="7" xfId="0" applyFont="1" applyBorder="1" applyAlignment="1">
      <alignment horizontal="center" vertical="center"/>
    </xf>
    <xf numFmtId="0" fontId="20" fillId="9" borderId="19" xfId="0" applyFont="1" applyFill="1" applyBorder="1" applyAlignment="1">
      <alignment horizontal="center" vertical="center" wrapText="1" readingOrder="1"/>
    </xf>
    <xf numFmtId="0" fontId="20" fillId="9" borderId="20" xfId="0" applyFont="1" applyFill="1" applyBorder="1" applyAlignment="1">
      <alignment horizontal="center" vertical="center" wrapText="1" readingOrder="1"/>
    </xf>
  </cellXfs>
  <cellStyles count="90">
    <cellStyle name="20% - Accent1 2" xfId="73" xr:uid="{16CF7FCB-9793-4851-B895-1AC38AA81433}"/>
    <cellStyle name="20% - Accent2 2" xfId="75" xr:uid="{1623980A-EE98-413F-8520-3E57105DC807}"/>
    <cellStyle name="20% - Accent3 2" xfId="77" xr:uid="{BC8845BB-28D6-4371-A30C-0499EFC2827D}"/>
    <cellStyle name="20% - Accent4 2" xfId="79" xr:uid="{C05A4BE7-99ED-4D0B-8D3F-9D8A08D93611}"/>
    <cellStyle name="20% - Accent5 2" xfId="81" xr:uid="{8D36F107-A829-4982-B06B-5942AEBCD2C7}"/>
    <cellStyle name="20% - Accent6 2" xfId="83" xr:uid="{CB01920A-7F63-4E10-9060-A7DE1FA33E48}"/>
    <cellStyle name="20% - 着色 1 2" xfId="48" xr:uid="{39468FE6-4777-4E88-9BED-3B93A2D68F4F}"/>
    <cellStyle name="20% - 着色 2 2" xfId="51" xr:uid="{173D49F2-AABF-4716-B40B-33BD11B887A5}"/>
    <cellStyle name="20% - 着色 3 2" xfId="54" xr:uid="{DFCDE0EF-8B72-43DC-BEE3-99AF5A480BF5}"/>
    <cellStyle name="20% - 着色 4 2" xfId="57" xr:uid="{C48B4844-5840-4578-A7AB-7BE528F9097E}"/>
    <cellStyle name="20% - 着色 5 2" xfId="60" xr:uid="{1CFBA1E3-8432-44A3-B2EB-7A39936F4A8B}"/>
    <cellStyle name="20% - 着色 6 2" xfId="63" xr:uid="{12313A6A-35C6-4003-B717-D009AE79EF38}"/>
    <cellStyle name="40% - Accent1 2" xfId="74" xr:uid="{FC69F012-38AA-449B-9F9D-C9A83B25E696}"/>
    <cellStyle name="40% - Accent2 2" xfId="76" xr:uid="{5AB3D07E-2C8D-4EB7-BC8C-97184BAD01AB}"/>
    <cellStyle name="40% - Accent3 2" xfId="78" xr:uid="{CFEA88F5-63C6-4072-8E30-122B4B2EB442}"/>
    <cellStyle name="40% - Accent4 2" xfId="80" xr:uid="{4C1F9AA5-F74C-476B-B976-1A6CDEE430D1}"/>
    <cellStyle name="40% - Accent5 2" xfId="82" xr:uid="{DDB13812-DFDB-421E-AA81-984FEA08066D}"/>
    <cellStyle name="40% - Accent6 2" xfId="84" xr:uid="{2BFE376F-0C14-4EFC-8C87-9C15E9888CDB}"/>
    <cellStyle name="40% - 着色 1 2" xfId="49" xr:uid="{B5554A40-AC4C-4D5A-948C-CA4B375EE88A}"/>
    <cellStyle name="40% - 着色 2 2" xfId="52" xr:uid="{8859DAAE-C58E-4FFF-AD07-EF563AC24F6F}"/>
    <cellStyle name="40% - 着色 3 2" xfId="55" xr:uid="{55CF832B-8388-4277-8B26-532B0FDF488E}"/>
    <cellStyle name="40% - 着色 4 2" xfId="58" xr:uid="{068513BA-8778-4D68-9B20-09BD41C99907}"/>
    <cellStyle name="40% - 着色 5 2" xfId="61" xr:uid="{D6E0C689-9023-4079-9DC4-7A3CB6AE31B1}"/>
    <cellStyle name="40% - 着色 6 2" xfId="64" xr:uid="{94758226-02C4-448D-A60D-B110576C5343}"/>
    <cellStyle name="60% - Accent1 2" xfId="66" xr:uid="{4F477B90-BC96-418F-80FD-D19EC31CABA9}"/>
    <cellStyle name="60% - Accent2 2" xfId="67" xr:uid="{5BF0A414-9D9A-41F7-A9A2-80AD8ADDAEE4}"/>
    <cellStyle name="60% - Accent3 2" xfId="68" xr:uid="{D8821066-B55E-4848-A64B-CA3005F1D6AF}"/>
    <cellStyle name="60% - Accent4 2" xfId="69" xr:uid="{82BBF3F6-92BC-4E49-BFF9-56C06FFC81C0}"/>
    <cellStyle name="60% - Accent5 2" xfId="70" xr:uid="{A999112A-3678-432B-A13C-D115BF44EB3A}"/>
    <cellStyle name="60% - Accent6 2" xfId="71" xr:uid="{EBEFD689-D415-4C81-89CD-EF9B7FDF7223}"/>
    <cellStyle name="Body: normal cell" xfId="8" xr:uid="{E241528C-C343-4714-A4B2-CB3D10BAFA1B}"/>
    <cellStyle name="Body: normal cell 2" xfId="29" xr:uid="{35BAA717-AC5B-4DDB-96A8-EA8DE00EA135}"/>
    <cellStyle name="Comma 2" xfId="88" xr:uid="{A70EAA1E-C33E-439B-9F5B-D3B156554F6C}"/>
    <cellStyle name="Font: Calibri, 9pt regular" xfId="14" xr:uid="{6D6E935B-EB99-4FDB-A75E-87FC41B7B15E}"/>
    <cellStyle name="Font: Calibri, 9pt regular 2" xfId="25" xr:uid="{C1F44E02-325C-4389-B141-109B07ED5714}"/>
    <cellStyle name="Footnotes: all except top row" xfId="17" xr:uid="{944F6E97-8D76-43EC-A2C0-A4BBF06FD5ED}"/>
    <cellStyle name="Footnotes: top row" xfId="12" xr:uid="{A0EF55D1-F212-46AA-AC9D-F0883AF3803F}"/>
    <cellStyle name="Footnotes: top row 2" xfId="30" xr:uid="{14551F04-7347-4C88-AC23-7751D2E5E3B0}"/>
    <cellStyle name="Header: bottom row" xfId="7" xr:uid="{854073B1-F04D-42D4-9896-EF2D2781D85F}"/>
    <cellStyle name="Header: bottom row 2" xfId="26" xr:uid="{5513313D-A4B0-456D-A120-5FC0A10FA7DE}"/>
    <cellStyle name="Header: top rows" xfId="9" xr:uid="{78FE9128-B413-4CCD-905D-2CC9C55B5139}"/>
    <cellStyle name="Neutral 2" xfId="65" xr:uid="{0D7AF2ED-B569-4A0B-B42B-F149820AB315}"/>
    <cellStyle name="Normal 2" xfId="5" xr:uid="{AE309EEF-B474-447C-9306-105009DF0ACB}"/>
    <cellStyle name="Normal 2 2" xfId="86" xr:uid="{BC4962BD-44E6-4484-BB85-727FAEDD08D8}"/>
    <cellStyle name="Normal 2 3" xfId="24" xr:uid="{EA6D4AC8-7498-422D-867F-305F56FFE10F}"/>
    <cellStyle name="Normal 3" xfId="19" xr:uid="{A5A8B658-FBBA-4253-B200-C85940336F57}"/>
    <cellStyle name="Normal 3 2" xfId="85" xr:uid="{32A26315-662B-4F65-995B-BD0B823A27F5}"/>
    <cellStyle name="Normal 4" xfId="20" xr:uid="{4AAE2714-21FF-4562-9E8B-6BDC7EAFDA3C}"/>
    <cellStyle name="Normal 4 2 2" xfId="87" xr:uid="{A61CD137-D84D-490A-A107-6D4146D29C2E}"/>
    <cellStyle name="Normal 5" xfId="21" xr:uid="{75CD5909-2D3F-49D0-B1EB-2118FF8B8873}"/>
    <cellStyle name="Normal 58" xfId="23" xr:uid="{D1F23AB6-031E-4EAE-96A7-8DEBD4C2BF92}"/>
    <cellStyle name="Normal 6" xfId="22" xr:uid="{614A89EB-50BA-40CA-B2B3-D8A986193654}"/>
    <cellStyle name="Note 2" xfId="72" xr:uid="{AD6563BD-02A8-4D20-8D08-B2A0CEA6C7EE}"/>
    <cellStyle name="Parent row" xfId="11" xr:uid="{B69B0E65-5AA7-42DC-BDA7-95E60E5616EC}"/>
    <cellStyle name="Parent row 2" xfId="28" xr:uid="{A5814009-9CF0-4126-A85E-EDCC1A290D54}"/>
    <cellStyle name="Section Break" xfId="13" xr:uid="{EE24867D-9A89-4129-BDBE-D0335F6D0BA6}"/>
    <cellStyle name="Section Break: parent row" xfId="10" xr:uid="{8CBBAC58-4752-4A8B-898F-A98E800C0F13}"/>
    <cellStyle name="Table title" xfId="18" xr:uid="{86269DD2-0ED2-40C9-9EF0-6EBCABF1BE14}"/>
    <cellStyle name="Table title 2" xfId="27" xr:uid="{D30A6167-F113-4FA8-8CC5-766C6DC484F9}"/>
    <cellStyle name="标题 1 2" xfId="32" xr:uid="{817C7D19-0CAF-4FFA-8D9A-E461B15A1D60}"/>
    <cellStyle name="标题 2 2" xfId="33" xr:uid="{D737CC91-7148-4CF4-AA69-3B3D560FD80C}"/>
    <cellStyle name="标题 3 2" xfId="34" xr:uid="{18A9B362-E6A3-49F3-B8D2-A65B29A70219}"/>
    <cellStyle name="标题 4 2" xfId="35" xr:uid="{B4106395-17D0-4398-94BE-F1C3D3646C11}"/>
    <cellStyle name="标题 5" xfId="31" xr:uid="{615EFE89-3A5B-4D22-8DF4-93C79498BD4C}"/>
    <cellStyle name="差 2" xfId="37" xr:uid="{CCD0C9D2-42CD-4DEF-9949-549AFCA5126A}"/>
    <cellStyle name="常规" xfId="0" builtinId="0"/>
    <cellStyle name="常规 2" xfId="1" xr:uid="{B52188AC-8A2E-4DF0-8738-A391F41DA9EA}"/>
    <cellStyle name="常规 3" xfId="2" xr:uid="{1E2187EA-E297-459A-BE47-2D445B2A9B0A}"/>
    <cellStyle name="常规 4" xfId="3" xr:uid="{C1782E0D-640C-4966-8EEA-A7158871CCB9}"/>
    <cellStyle name="常规 5" xfId="6" xr:uid="{97CA537C-239F-46EF-B4A7-3F85336C4FC9}"/>
    <cellStyle name="常规 6" xfId="89" xr:uid="{D2D2BD56-C1FA-450A-9B07-617A276BBA0D}"/>
    <cellStyle name="超链接 2" xfId="4" xr:uid="{2242527A-64B5-44E2-9CDD-FD51986A3E9A}"/>
    <cellStyle name="超链接 3" xfId="15" xr:uid="{799C6558-4D77-422F-B88D-988841FF17E0}"/>
    <cellStyle name="好 2" xfId="36" xr:uid="{F49C938B-7271-4064-9BD7-213103739306}"/>
    <cellStyle name="汇总 2" xfId="46" xr:uid="{2C570657-5298-4B12-8631-B2DC110BB581}"/>
    <cellStyle name="计算 2" xfId="40" xr:uid="{6475D7BD-5352-4995-9240-6A0E51F59CAA}"/>
    <cellStyle name="检查单元格 2" xfId="42" xr:uid="{C4D9004F-9A8D-4BCC-9681-89CB8653F425}"/>
    <cellStyle name="解释性文本 2" xfId="45" xr:uid="{5FC7C3C5-1B26-4999-B05D-C94D0A67813B}"/>
    <cellStyle name="警告文本 2" xfId="43" xr:uid="{784D068C-583E-4779-868A-83C668F795B8}"/>
    <cellStyle name="链接单元格 2" xfId="41" xr:uid="{70572AFF-1A39-426B-97E1-9B7C14AE5C7A}"/>
    <cellStyle name="输出 2" xfId="39" xr:uid="{0029BA8F-60AD-4AAE-B2BD-9D30A5A18EDB}"/>
    <cellStyle name="输入 2" xfId="38" xr:uid="{498CA8A1-97F5-4C14-9760-7B13FFCAC569}"/>
    <cellStyle name="已访问的超链接 2" xfId="16" xr:uid="{D9979FDF-0931-4438-9248-C579E287E592}"/>
    <cellStyle name="着色 1 2" xfId="47" xr:uid="{7A453D4D-FDE1-4337-BFCC-869E3D1AE470}"/>
    <cellStyle name="着色 2 2" xfId="50" xr:uid="{C90247F7-E6A2-429B-914A-BB8943B34186}"/>
    <cellStyle name="着色 3 2" xfId="53" xr:uid="{48B0DD2C-D3D0-4723-ADC9-30E13643494D}"/>
    <cellStyle name="着色 4 2" xfId="56" xr:uid="{FB60A604-4896-4E9A-A9B6-8974C54F0B0D}"/>
    <cellStyle name="着色 5 2" xfId="59" xr:uid="{00706DF6-5549-44BE-9359-C4790542ACDE}"/>
    <cellStyle name="着色 6 2" xfId="62" xr:uid="{48A897E9-D8EE-4987-9950-8F54773A8DBF}"/>
    <cellStyle name="注释 2" xfId="44" xr:uid="{6F3EDD04-1B1B-410C-8F24-3432DA0B4E0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FAA707B5-050D-4343-8397-FD6E4C78A2F9}">
      <tableStyleElement type="wholeTable" dxfId="12"/>
      <tableStyleElement type="headerRow"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InputData"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Data"/>
    </sheetNames>
    <sheetDataSet>
      <sheetData sheetId="0"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83234-AAD5-4594-8C91-3E764F759FDE}">
  <sheetPr codeName="Sheet1"/>
  <dimension ref="B7:B17"/>
  <sheetViews>
    <sheetView workbookViewId="0">
      <selection activeCell="E39" sqref="E39"/>
    </sheetView>
  </sheetViews>
  <sheetFormatPr defaultRowHeight="14.25" x14ac:dyDescent="0.2"/>
  <sheetData>
    <row r="7" spans="2:2" x14ac:dyDescent="0.2">
      <c r="B7" s="41" t="s">
        <v>202</v>
      </c>
    </row>
    <row r="8" spans="2:2" x14ac:dyDescent="0.2">
      <c r="B8" t="s">
        <v>203</v>
      </c>
    </row>
    <row r="9" spans="2:2" x14ac:dyDescent="0.2">
      <c r="B9" t="s">
        <v>204</v>
      </c>
    </row>
    <row r="10" spans="2:2" x14ac:dyDescent="0.2">
      <c r="B10" t="s">
        <v>205</v>
      </c>
    </row>
    <row r="12" spans="2:2" x14ac:dyDescent="0.2">
      <c r="B12" s="41" t="s">
        <v>201</v>
      </c>
    </row>
    <row r="13" spans="2:2" x14ac:dyDescent="0.2">
      <c r="B13" t="s">
        <v>196</v>
      </c>
    </row>
    <row r="14" spans="2:2" x14ac:dyDescent="0.2">
      <c r="B14" t="s">
        <v>197</v>
      </c>
    </row>
    <row r="15" spans="2:2" x14ac:dyDescent="0.2">
      <c r="B15" t="s">
        <v>198</v>
      </c>
    </row>
    <row r="16" spans="2:2" x14ac:dyDescent="0.2">
      <c r="B16" t="s">
        <v>199</v>
      </c>
    </row>
    <row r="17" spans="2:2" x14ac:dyDescent="0.2">
      <c r="B17" t="s">
        <v>200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415B-8AE6-41D4-BFD1-5AFCE4E40EBD}">
  <sheetPr codeName="Sheet2"/>
  <dimension ref="A1:AE42"/>
  <sheetViews>
    <sheetView workbookViewId="0">
      <pane xSplit="1" ySplit="1" topLeftCell="B20" activePane="bottomRight" state="frozen"/>
      <selection pane="topRight" activeCell="B1" sqref="B1"/>
      <selection pane="bottomLeft" activeCell="A2" sqref="A2"/>
      <selection pane="bottomRight" activeCell="B46" sqref="B46"/>
    </sheetView>
  </sheetViews>
  <sheetFormatPr defaultRowHeight="14.25" x14ac:dyDescent="0.2"/>
  <cols>
    <col min="1" max="1" width="36.625" bestFit="1" customWidth="1"/>
    <col min="256" max="256" width="28" customWidth="1"/>
    <col min="257" max="257" width="76" customWidth="1"/>
    <col min="512" max="512" width="28" customWidth="1"/>
    <col min="513" max="513" width="76" customWidth="1"/>
    <col min="768" max="768" width="28" customWidth="1"/>
    <col min="769" max="769" width="76" customWidth="1"/>
    <col min="1024" max="1024" width="28" customWidth="1"/>
    <col min="1025" max="1025" width="76" customWidth="1"/>
    <col min="1280" max="1280" width="28" customWidth="1"/>
    <col min="1281" max="1281" width="76" customWidth="1"/>
    <col min="1536" max="1536" width="28" customWidth="1"/>
    <col min="1537" max="1537" width="76" customWidth="1"/>
    <col min="1792" max="1792" width="28" customWidth="1"/>
    <col min="1793" max="1793" width="76" customWidth="1"/>
    <col min="2048" max="2048" width="28" customWidth="1"/>
    <col min="2049" max="2049" width="76" customWidth="1"/>
    <col min="2304" max="2304" width="28" customWidth="1"/>
    <col min="2305" max="2305" width="76" customWidth="1"/>
    <col min="2560" max="2560" width="28" customWidth="1"/>
    <col min="2561" max="2561" width="76" customWidth="1"/>
    <col min="2816" max="2816" width="28" customWidth="1"/>
    <col min="2817" max="2817" width="76" customWidth="1"/>
    <col min="3072" max="3072" width="28" customWidth="1"/>
    <col min="3073" max="3073" width="76" customWidth="1"/>
    <col min="3328" max="3328" width="28" customWidth="1"/>
    <col min="3329" max="3329" width="76" customWidth="1"/>
    <col min="3584" max="3584" width="28" customWidth="1"/>
    <col min="3585" max="3585" width="76" customWidth="1"/>
    <col min="3840" max="3840" width="28" customWidth="1"/>
    <col min="3841" max="3841" width="76" customWidth="1"/>
    <col min="4096" max="4096" width="28" customWidth="1"/>
    <col min="4097" max="4097" width="76" customWidth="1"/>
    <col min="4352" max="4352" width="28" customWidth="1"/>
    <col min="4353" max="4353" width="76" customWidth="1"/>
    <col min="4608" max="4608" width="28" customWidth="1"/>
    <col min="4609" max="4609" width="76" customWidth="1"/>
    <col min="4864" max="4864" width="28" customWidth="1"/>
    <col min="4865" max="4865" width="76" customWidth="1"/>
    <col min="5120" max="5120" width="28" customWidth="1"/>
    <col min="5121" max="5121" width="76" customWidth="1"/>
    <col min="5376" max="5376" width="28" customWidth="1"/>
    <col min="5377" max="5377" width="76" customWidth="1"/>
    <col min="5632" max="5632" width="28" customWidth="1"/>
    <col min="5633" max="5633" width="76" customWidth="1"/>
    <col min="5888" max="5888" width="28" customWidth="1"/>
    <col min="5889" max="5889" width="76" customWidth="1"/>
    <col min="6144" max="6144" width="28" customWidth="1"/>
    <col min="6145" max="6145" width="76" customWidth="1"/>
    <col min="6400" max="6400" width="28" customWidth="1"/>
    <col min="6401" max="6401" width="76" customWidth="1"/>
    <col min="6656" max="6656" width="28" customWidth="1"/>
    <col min="6657" max="6657" width="76" customWidth="1"/>
    <col min="6912" max="6912" width="28" customWidth="1"/>
    <col min="6913" max="6913" width="76" customWidth="1"/>
    <col min="7168" max="7168" width="28" customWidth="1"/>
    <col min="7169" max="7169" width="76" customWidth="1"/>
    <col min="7424" max="7424" width="28" customWidth="1"/>
    <col min="7425" max="7425" width="76" customWidth="1"/>
    <col min="7680" max="7680" width="28" customWidth="1"/>
    <col min="7681" max="7681" width="76" customWidth="1"/>
    <col min="7936" max="7936" width="28" customWidth="1"/>
    <col min="7937" max="7937" width="76" customWidth="1"/>
    <col min="8192" max="8192" width="28" customWidth="1"/>
    <col min="8193" max="8193" width="76" customWidth="1"/>
    <col min="8448" max="8448" width="28" customWidth="1"/>
    <col min="8449" max="8449" width="76" customWidth="1"/>
    <col min="8704" max="8704" width="28" customWidth="1"/>
    <col min="8705" max="8705" width="76" customWidth="1"/>
    <col min="8960" max="8960" width="28" customWidth="1"/>
    <col min="8961" max="8961" width="76" customWidth="1"/>
    <col min="9216" max="9216" width="28" customWidth="1"/>
    <col min="9217" max="9217" width="76" customWidth="1"/>
    <col min="9472" max="9472" width="28" customWidth="1"/>
    <col min="9473" max="9473" width="76" customWidth="1"/>
    <col min="9728" max="9728" width="28" customWidth="1"/>
    <col min="9729" max="9729" width="76" customWidth="1"/>
    <col min="9984" max="9984" width="28" customWidth="1"/>
    <col min="9985" max="9985" width="76" customWidth="1"/>
    <col min="10240" max="10240" width="28" customWidth="1"/>
    <col min="10241" max="10241" width="76" customWidth="1"/>
    <col min="10496" max="10496" width="28" customWidth="1"/>
    <col min="10497" max="10497" width="76" customWidth="1"/>
    <col min="10752" max="10752" width="28" customWidth="1"/>
    <col min="10753" max="10753" width="76" customWidth="1"/>
    <col min="11008" max="11008" width="28" customWidth="1"/>
    <col min="11009" max="11009" width="76" customWidth="1"/>
    <col min="11264" max="11264" width="28" customWidth="1"/>
    <col min="11265" max="11265" width="76" customWidth="1"/>
    <col min="11520" max="11520" width="28" customWidth="1"/>
    <col min="11521" max="11521" width="76" customWidth="1"/>
    <col min="11776" max="11776" width="28" customWidth="1"/>
    <col min="11777" max="11777" width="76" customWidth="1"/>
    <col min="12032" max="12032" width="28" customWidth="1"/>
    <col min="12033" max="12033" width="76" customWidth="1"/>
    <col min="12288" max="12288" width="28" customWidth="1"/>
    <col min="12289" max="12289" width="76" customWidth="1"/>
    <col min="12544" max="12544" width="28" customWidth="1"/>
    <col min="12545" max="12545" width="76" customWidth="1"/>
    <col min="12800" max="12800" width="28" customWidth="1"/>
    <col min="12801" max="12801" width="76" customWidth="1"/>
    <col min="13056" max="13056" width="28" customWidth="1"/>
    <col min="13057" max="13057" width="76" customWidth="1"/>
    <col min="13312" max="13312" width="28" customWidth="1"/>
    <col min="13313" max="13313" width="76" customWidth="1"/>
    <col min="13568" max="13568" width="28" customWidth="1"/>
    <col min="13569" max="13569" width="76" customWidth="1"/>
    <col min="13824" max="13824" width="28" customWidth="1"/>
    <col min="13825" max="13825" width="76" customWidth="1"/>
    <col min="14080" max="14080" width="28" customWidth="1"/>
    <col min="14081" max="14081" width="76" customWidth="1"/>
    <col min="14336" max="14336" width="28" customWidth="1"/>
    <col min="14337" max="14337" width="76" customWidth="1"/>
    <col min="14592" max="14592" width="28" customWidth="1"/>
    <col min="14593" max="14593" width="76" customWidth="1"/>
    <col min="14848" max="14848" width="28" customWidth="1"/>
    <col min="14849" max="14849" width="76" customWidth="1"/>
    <col min="15104" max="15104" width="28" customWidth="1"/>
    <col min="15105" max="15105" width="76" customWidth="1"/>
    <col min="15360" max="15360" width="28" customWidth="1"/>
    <col min="15361" max="15361" width="76" customWidth="1"/>
    <col min="15616" max="15616" width="28" customWidth="1"/>
    <col min="15617" max="15617" width="76" customWidth="1"/>
    <col min="15872" max="15872" width="28" customWidth="1"/>
    <col min="15873" max="15873" width="76" customWidth="1"/>
    <col min="16128" max="16128" width="28" customWidth="1"/>
    <col min="16129" max="16129" width="76" customWidth="1"/>
  </cols>
  <sheetData>
    <row r="1" spans="1:31" ht="98.25" x14ac:dyDescent="0.2">
      <c r="A1" s="6" t="s">
        <v>0</v>
      </c>
      <c r="B1" s="19" t="s">
        <v>42</v>
      </c>
      <c r="C1" s="19" t="s">
        <v>43</v>
      </c>
      <c r="D1" s="19" t="s">
        <v>44</v>
      </c>
      <c r="E1" s="19" t="s">
        <v>45</v>
      </c>
      <c r="F1" s="19" t="s">
        <v>46</v>
      </c>
      <c r="G1" s="19" t="s">
        <v>47</v>
      </c>
      <c r="H1" s="19" t="s">
        <v>48</v>
      </c>
      <c r="I1" s="19" t="s">
        <v>49</v>
      </c>
      <c r="J1" s="19" t="s">
        <v>50</v>
      </c>
      <c r="K1" s="20" t="s">
        <v>51</v>
      </c>
      <c r="L1" s="19" t="s">
        <v>52</v>
      </c>
      <c r="M1" s="19" t="s">
        <v>53</v>
      </c>
      <c r="N1" s="19" t="s">
        <v>54</v>
      </c>
      <c r="O1" s="19" t="s">
        <v>55</v>
      </c>
      <c r="P1" s="19" t="s">
        <v>56</v>
      </c>
      <c r="Q1" s="19" t="s">
        <v>57</v>
      </c>
      <c r="R1" s="19" t="s">
        <v>58</v>
      </c>
      <c r="S1" s="19" t="s">
        <v>59</v>
      </c>
      <c r="T1" s="19" t="s">
        <v>60</v>
      </c>
      <c r="U1" s="20" t="s">
        <v>61</v>
      </c>
      <c r="V1" s="19" t="s">
        <v>62</v>
      </c>
      <c r="W1" s="19" t="s">
        <v>63</v>
      </c>
      <c r="X1" s="19" t="s">
        <v>64</v>
      </c>
      <c r="Y1" s="19" t="s">
        <v>65</v>
      </c>
      <c r="Z1" s="19" t="s">
        <v>66</v>
      </c>
      <c r="AA1" s="19" t="s">
        <v>67</v>
      </c>
      <c r="AB1" s="19" t="s">
        <v>68</v>
      </c>
      <c r="AC1" s="19" t="s">
        <v>69</v>
      </c>
      <c r="AD1" s="19" t="s">
        <v>70</v>
      </c>
      <c r="AE1" s="20" t="s">
        <v>71</v>
      </c>
    </row>
    <row r="2" spans="1:31" x14ac:dyDescent="0.2">
      <c r="A2" s="18" t="s">
        <v>2</v>
      </c>
      <c r="B2" s="21">
        <v>2931.16</v>
      </c>
      <c r="C2" s="17">
        <v>1628.55</v>
      </c>
      <c r="D2" s="10"/>
      <c r="E2" s="17">
        <v>1297.1099999999999</v>
      </c>
      <c r="F2" s="17">
        <v>48.92</v>
      </c>
      <c r="G2" s="17">
        <v>1.04</v>
      </c>
      <c r="H2" s="17">
        <v>25.03</v>
      </c>
      <c r="I2" s="17">
        <v>0.72</v>
      </c>
      <c r="J2" s="17">
        <v>1.42</v>
      </c>
      <c r="K2" s="17">
        <v>6.5</v>
      </c>
      <c r="L2" s="21">
        <v>351.52</v>
      </c>
      <c r="M2" s="17">
        <v>0.22</v>
      </c>
      <c r="N2" s="17">
        <v>4.95</v>
      </c>
      <c r="O2" s="17">
        <v>0.75</v>
      </c>
      <c r="P2" s="17">
        <v>152.6</v>
      </c>
      <c r="Q2" s="17">
        <v>0.27</v>
      </c>
      <c r="R2" s="17">
        <v>149.36000000000001</v>
      </c>
      <c r="S2" s="17">
        <v>1.01</v>
      </c>
      <c r="T2" s="10"/>
      <c r="U2" s="10"/>
      <c r="V2" s="21">
        <v>0.1</v>
      </c>
      <c r="W2" s="10"/>
      <c r="X2" s="17">
        <v>41.75</v>
      </c>
      <c r="Y2" s="10"/>
      <c r="Z2" s="17">
        <v>0.52</v>
      </c>
      <c r="AA2" s="17">
        <v>14.35</v>
      </c>
      <c r="AB2" s="17">
        <v>13.45</v>
      </c>
      <c r="AC2" s="17">
        <v>705.5</v>
      </c>
      <c r="AD2" s="17">
        <v>1026.76</v>
      </c>
      <c r="AE2" s="17">
        <v>2.88</v>
      </c>
    </row>
    <row r="3" spans="1:31" x14ac:dyDescent="0.2">
      <c r="A3" s="18" t="s">
        <v>3</v>
      </c>
      <c r="B3" s="21">
        <v>105.6</v>
      </c>
      <c r="C3" s="17">
        <v>105.6</v>
      </c>
      <c r="D3" s="10"/>
      <c r="E3" s="10"/>
      <c r="F3" s="10"/>
      <c r="G3" s="10"/>
      <c r="H3" s="10"/>
      <c r="I3" s="10"/>
      <c r="J3" s="10"/>
      <c r="K3" s="10"/>
      <c r="L3" s="21">
        <v>347.07</v>
      </c>
      <c r="M3" s="17">
        <v>268.2</v>
      </c>
      <c r="N3" s="17">
        <v>6.99</v>
      </c>
      <c r="O3" s="10"/>
      <c r="P3" s="17">
        <v>40.56</v>
      </c>
      <c r="Q3" s="17">
        <v>0.87</v>
      </c>
      <c r="R3" s="10"/>
      <c r="S3" s="17">
        <v>0.01</v>
      </c>
      <c r="T3" s="10"/>
      <c r="U3" s="10"/>
      <c r="V3" s="15"/>
      <c r="W3" s="10"/>
      <c r="X3" s="17">
        <v>0.13</v>
      </c>
      <c r="Y3" s="17">
        <v>12.82</v>
      </c>
      <c r="Z3" s="17">
        <v>17.510000000000002</v>
      </c>
      <c r="AA3" s="17">
        <v>132.38</v>
      </c>
      <c r="AB3" s="17">
        <v>4.59</v>
      </c>
      <c r="AC3" s="17">
        <v>2778.26</v>
      </c>
      <c r="AD3" s="17">
        <v>434.44</v>
      </c>
      <c r="AE3" s="10"/>
    </row>
    <row r="4" spans="1:31" x14ac:dyDescent="0.2">
      <c r="A4" s="18" t="s">
        <v>4</v>
      </c>
      <c r="B4" s="21">
        <v>175.95</v>
      </c>
      <c r="C4" s="17">
        <v>167.23</v>
      </c>
      <c r="D4" s="10"/>
      <c r="E4" s="17">
        <v>5.54</v>
      </c>
      <c r="F4" s="17">
        <v>147.75</v>
      </c>
      <c r="G4" s="17">
        <v>3.17</v>
      </c>
      <c r="H4" s="17">
        <v>18.22</v>
      </c>
      <c r="I4" s="17">
        <v>0.56000000000000005</v>
      </c>
      <c r="J4" s="10"/>
      <c r="K4" s="17">
        <v>0.17</v>
      </c>
      <c r="L4" s="21">
        <v>43.64</v>
      </c>
      <c r="M4" s="10"/>
      <c r="N4" s="17">
        <v>0.81</v>
      </c>
      <c r="O4" s="10"/>
      <c r="P4" s="17">
        <v>42.54</v>
      </c>
      <c r="Q4" s="17">
        <v>0.05</v>
      </c>
      <c r="R4" s="10"/>
      <c r="S4" s="17">
        <v>0.23</v>
      </c>
      <c r="T4" s="10"/>
      <c r="U4" s="10"/>
      <c r="V4" s="15"/>
      <c r="W4" s="10"/>
      <c r="X4" s="10"/>
      <c r="Y4" s="10"/>
      <c r="Z4" s="10"/>
      <c r="AA4" s="17">
        <v>0.02</v>
      </c>
      <c r="AB4" s="10"/>
      <c r="AC4" s="17">
        <v>162.15</v>
      </c>
      <c r="AD4" s="17">
        <v>419.28</v>
      </c>
      <c r="AE4" s="17">
        <v>1.04</v>
      </c>
    </row>
    <row r="5" spans="1:31" x14ac:dyDescent="0.2">
      <c r="A5" s="18" t="s">
        <v>5</v>
      </c>
      <c r="B5" s="21">
        <v>80.3</v>
      </c>
      <c r="C5" s="17">
        <v>77.930000000000007</v>
      </c>
      <c r="D5" s="10"/>
      <c r="E5" s="17">
        <v>1.84</v>
      </c>
      <c r="F5" s="17">
        <v>3.57</v>
      </c>
      <c r="G5" s="10"/>
      <c r="H5" s="10"/>
      <c r="I5" s="10"/>
      <c r="J5" s="10"/>
      <c r="K5" s="10"/>
      <c r="L5" s="21">
        <v>25.06</v>
      </c>
      <c r="M5" s="10"/>
      <c r="N5" s="17">
        <v>1.64</v>
      </c>
      <c r="O5" s="17">
        <v>0.46</v>
      </c>
      <c r="P5" s="17">
        <v>21.82</v>
      </c>
      <c r="Q5" s="17">
        <v>0.96</v>
      </c>
      <c r="R5" s="10"/>
      <c r="S5" s="17">
        <v>0.03</v>
      </c>
      <c r="T5" s="10"/>
      <c r="U5" s="10"/>
      <c r="V5" s="21">
        <v>0.15</v>
      </c>
      <c r="W5" s="10"/>
      <c r="X5" s="10"/>
      <c r="Y5" s="10"/>
      <c r="Z5" s="10"/>
      <c r="AA5" s="17">
        <v>0.66</v>
      </c>
      <c r="AB5" s="10"/>
      <c r="AC5" s="17">
        <v>0.09</v>
      </c>
      <c r="AD5" s="17">
        <v>386.17</v>
      </c>
      <c r="AE5" s="17">
        <v>2.41</v>
      </c>
    </row>
    <row r="6" spans="1:31" x14ac:dyDescent="0.2">
      <c r="A6" s="18" t="s">
        <v>6</v>
      </c>
      <c r="B6" s="21">
        <v>509.68</v>
      </c>
      <c r="C6" s="17">
        <v>247.69</v>
      </c>
      <c r="D6" s="10"/>
      <c r="E6" s="17">
        <v>256.97000000000003</v>
      </c>
      <c r="F6" s="17">
        <v>7.74</v>
      </c>
      <c r="G6" s="17">
        <v>1.1000000000000001</v>
      </c>
      <c r="H6" s="10"/>
      <c r="I6" s="17">
        <v>1.39</v>
      </c>
      <c r="J6" s="10"/>
      <c r="K6" s="10"/>
      <c r="L6" s="21">
        <v>57.14</v>
      </c>
      <c r="M6" s="10"/>
      <c r="N6" s="17">
        <v>1.05</v>
      </c>
      <c r="O6" s="17">
        <v>0.02</v>
      </c>
      <c r="P6" s="17">
        <v>53.79</v>
      </c>
      <c r="Q6" s="17">
        <v>0.04</v>
      </c>
      <c r="R6" s="10"/>
      <c r="S6" s="17">
        <v>0.05</v>
      </c>
      <c r="T6" s="10"/>
      <c r="U6" s="10"/>
      <c r="V6" s="21">
        <v>0.6</v>
      </c>
      <c r="W6" s="17">
        <v>1.53</v>
      </c>
      <c r="X6" s="17">
        <v>0.01</v>
      </c>
      <c r="Y6" s="10"/>
      <c r="Z6" s="17">
        <v>0.05</v>
      </c>
      <c r="AA6" s="17">
        <v>0.62</v>
      </c>
      <c r="AB6" s="17">
        <v>7.24</v>
      </c>
      <c r="AC6" s="17">
        <v>2247.71</v>
      </c>
      <c r="AD6" s="17">
        <v>257.36</v>
      </c>
      <c r="AE6" s="17">
        <v>0.19</v>
      </c>
    </row>
    <row r="7" spans="1:31" x14ac:dyDescent="0.2">
      <c r="A7" s="18" t="s">
        <v>7</v>
      </c>
      <c r="B7" s="21">
        <v>6.95</v>
      </c>
      <c r="C7" s="17">
        <v>6.95</v>
      </c>
      <c r="D7" s="10"/>
      <c r="E7" s="10"/>
      <c r="F7" s="10"/>
      <c r="G7" s="10"/>
      <c r="H7" s="10"/>
      <c r="I7" s="10"/>
      <c r="J7" s="10"/>
      <c r="K7" s="10"/>
      <c r="L7" s="21">
        <v>158.72</v>
      </c>
      <c r="M7" s="17">
        <v>0.1</v>
      </c>
      <c r="N7" s="17">
        <v>3.82</v>
      </c>
      <c r="O7" s="10"/>
      <c r="P7" s="17">
        <v>153.85</v>
      </c>
      <c r="Q7" s="17">
        <v>0.3</v>
      </c>
      <c r="R7" s="10"/>
      <c r="S7" s="17">
        <v>0.28000000000000003</v>
      </c>
      <c r="T7" s="10"/>
      <c r="U7" s="10"/>
      <c r="V7" s="15"/>
      <c r="W7" s="10"/>
      <c r="X7" s="17">
        <v>0.08</v>
      </c>
      <c r="Y7" s="10"/>
      <c r="Z7" s="17">
        <v>0.28999999999999998</v>
      </c>
      <c r="AA7" s="17">
        <v>2.38</v>
      </c>
      <c r="AB7" s="17">
        <v>0.38</v>
      </c>
      <c r="AC7" s="17">
        <v>277.93</v>
      </c>
      <c r="AD7" s="17">
        <v>41.3</v>
      </c>
      <c r="AE7" s="10"/>
    </row>
    <row r="8" spans="1:31" x14ac:dyDescent="0.2">
      <c r="A8" s="18" t="s">
        <v>8</v>
      </c>
      <c r="B8" s="21">
        <v>0.12</v>
      </c>
      <c r="C8" s="17">
        <v>0.12</v>
      </c>
      <c r="D8" s="10"/>
      <c r="E8" s="10"/>
      <c r="F8" s="10"/>
      <c r="G8" s="10"/>
      <c r="H8" s="10"/>
      <c r="I8" s="10"/>
      <c r="J8" s="10"/>
      <c r="K8" s="10"/>
      <c r="L8" s="21">
        <v>0.11</v>
      </c>
      <c r="M8" s="10"/>
      <c r="N8" s="10"/>
      <c r="O8" s="10"/>
      <c r="P8" s="17">
        <v>0.1</v>
      </c>
      <c r="Q8" s="10"/>
      <c r="R8" s="10"/>
      <c r="S8" s="10"/>
      <c r="T8" s="10"/>
      <c r="U8" s="10"/>
      <c r="V8" s="15"/>
      <c r="W8" s="10"/>
      <c r="X8" s="10"/>
      <c r="Y8" s="10"/>
      <c r="Z8" s="10"/>
      <c r="AA8" s="10"/>
      <c r="AB8" s="10"/>
      <c r="AC8" s="10"/>
      <c r="AD8" s="17">
        <v>211.62</v>
      </c>
      <c r="AE8" s="10"/>
    </row>
    <row r="9" spans="1:31" x14ac:dyDescent="0.2">
      <c r="A9" s="18" t="s">
        <v>9</v>
      </c>
      <c r="B9" s="21">
        <v>952.96</v>
      </c>
      <c r="C9" s="17">
        <v>929.67</v>
      </c>
      <c r="D9" s="10"/>
      <c r="E9" s="17">
        <v>21.32</v>
      </c>
      <c r="F9" s="17">
        <v>124.44</v>
      </c>
      <c r="G9" s="17">
        <v>0.03</v>
      </c>
      <c r="H9" s="17">
        <v>26.33</v>
      </c>
      <c r="I9" s="17">
        <v>2.1</v>
      </c>
      <c r="J9" s="17">
        <v>0.16</v>
      </c>
      <c r="K9" s="17">
        <v>0.01</v>
      </c>
      <c r="L9" s="21">
        <v>33.01</v>
      </c>
      <c r="M9" s="10"/>
      <c r="N9" s="17">
        <v>7.09</v>
      </c>
      <c r="O9" s="17">
        <v>0.09</v>
      </c>
      <c r="P9" s="17">
        <v>21.51</v>
      </c>
      <c r="Q9" s="17">
        <v>1.51</v>
      </c>
      <c r="R9" s="10"/>
      <c r="S9" s="17">
        <v>0.09</v>
      </c>
      <c r="T9" s="17">
        <v>0.03</v>
      </c>
      <c r="U9" s="17">
        <v>1.5</v>
      </c>
      <c r="V9" s="15"/>
      <c r="W9" s="10"/>
      <c r="X9" s="17">
        <v>0.95</v>
      </c>
      <c r="Y9" s="10"/>
      <c r="Z9" s="17">
        <v>0.24</v>
      </c>
      <c r="AA9" s="17">
        <v>3.86</v>
      </c>
      <c r="AB9" s="17">
        <v>198.52</v>
      </c>
      <c r="AC9" s="17">
        <v>7615.31</v>
      </c>
      <c r="AD9" s="17">
        <v>797.43</v>
      </c>
      <c r="AE9" s="17">
        <v>221.48</v>
      </c>
    </row>
    <row r="10" spans="1:31" x14ac:dyDescent="0.2">
      <c r="A10" s="18" t="s">
        <v>10</v>
      </c>
      <c r="B10" s="21">
        <v>912.52</v>
      </c>
      <c r="C10" s="17">
        <v>906.34</v>
      </c>
      <c r="D10" s="10"/>
      <c r="E10" s="17">
        <v>1.1299999999999999</v>
      </c>
      <c r="F10" s="17">
        <v>1.57</v>
      </c>
      <c r="G10" s="10"/>
      <c r="H10" s="10"/>
      <c r="I10" s="10"/>
      <c r="J10" s="10"/>
      <c r="K10" s="10"/>
      <c r="L10" s="21">
        <v>15.51</v>
      </c>
      <c r="M10" s="10"/>
      <c r="N10" s="17">
        <v>4.21</v>
      </c>
      <c r="O10" s="10"/>
      <c r="P10" s="17">
        <v>8.26</v>
      </c>
      <c r="Q10" s="17">
        <v>1.1200000000000001</v>
      </c>
      <c r="R10" s="10"/>
      <c r="S10" s="10"/>
      <c r="T10" s="17">
        <v>0.41</v>
      </c>
      <c r="U10" s="10"/>
      <c r="V10" s="15"/>
      <c r="W10" s="10"/>
      <c r="X10" s="17">
        <v>1.17</v>
      </c>
      <c r="Y10" s="10"/>
      <c r="Z10" s="17">
        <v>0.33</v>
      </c>
      <c r="AA10" s="17">
        <v>12.87</v>
      </c>
      <c r="AB10" s="17">
        <v>82.51</v>
      </c>
      <c r="AC10" s="17">
        <v>7297.6</v>
      </c>
      <c r="AD10" s="17">
        <v>301.94</v>
      </c>
      <c r="AE10" s="17">
        <v>39.14</v>
      </c>
    </row>
    <row r="11" spans="1:31" x14ac:dyDescent="0.2">
      <c r="A11" s="18" t="s">
        <v>11</v>
      </c>
      <c r="B11" s="21">
        <v>523.51</v>
      </c>
      <c r="C11" s="17">
        <v>516.79</v>
      </c>
      <c r="D11" s="10"/>
      <c r="E11" s="17">
        <v>5.74</v>
      </c>
      <c r="F11" s="17">
        <v>0.08</v>
      </c>
      <c r="G11" s="17">
        <v>0.03</v>
      </c>
      <c r="H11" s="10"/>
      <c r="I11" s="10"/>
      <c r="J11" s="10"/>
      <c r="K11" s="17">
        <v>0.01</v>
      </c>
      <c r="L11" s="21">
        <v>8.81</v>
      </c>
      <c r="M11" s="10"/>
      <c r="N11" s="17">
        <v>2.89</v>
      </c>
      <c r="O11" s="17">
        <v>0.06</v>
      </c>
      <c r="P11" s="17">
        <v>4.7699999999999996</v>
      </c>
      <c r="Q11" s="17">
        <v>0.36</v>
      </c>
      <c r="R11" s="10"/>
      <c r="S11" s="17">
        <v>0.01</v>
      </c>
      <c r="T11" s="10"/>
      <c r="U11" s="10"/>
      <c r="V11" s="15"/>
      <c r="W11" s="10"/>
      <c r="X11" s="17">
        <v>0.68</v>
      </c>
      <c r="Y11" s="10"/>
      <c r="Z11" s="17">
        <v>0.04</v>
      </c>
      <c r="AA11" s="17">
        <v>9.92</v>
      </c>
      <c r="AB11" s="17">
        <v>48.46</v>
      </c>
      <c r="AC11" s="17">
        <v>5461.59</v>
      </c>
      <c r="AD11" s="17">
        <v>173.56</v>
      </c>
      <c r="AE11" s="17">
        <v>13.23</v>
      </c>
    </row>
    <row r="12" spans="1:31" x14ac:dyDescent="0.2">
      <c r="A12" s="18" t="s">
        <v>12</v>
      </c>
      <c r="B12" s="21">
        <v>6.57</v>
      </c>
      <c r="C12" s="17">
        <v>6.09</v>
      </c>
      <c r="D12" s="10"/>
      <c r="E12" s="17">
        <v>0.44</v>
      </c>
      <c r="F12" s="10"/>
      <c r="G12" s="10"/>
      <c r="H12" s="10"/>
      <c r="I12" s="10"/>
      <c r="J12" s="10"/>
      <c r="K12" s="10"/>
      <c r="L12" s="21">
        <v>1.47</v>
      </c>
      <c r="M12" s="10"/>
      <c r="N12" s="17">
        <v>0.38</v>
      </c>
      <c r="O12" s="10"/>
      <c r="P12" s="17">
        <v>1.04</v>
      </c>
      <c r="Q12" s="10"/>
      <c r="R12" s="10"/>
      <c r="S12" s="10"/>
      <c r="T12" s="10"/>
      <c r="U12" s="10"/>
      <c r="V12" s="15"/>
      <c r="W12" s="10"/>
      <c r="X12" s="17">
        <v>0.05</v>
      </c>
      <c r="Y12" s="10"/>
      <c r="Z12" s="10"/>
      <c r="AA12" s="17">
        <v>1.21</v>
      </c>
      <c r="AB12" s="10"/>
      <c r="AC12" s="17">
        <v>257.7</v>
      </c>
      <c r="AD12" s="17">
        <v>52.91</v>
      </c>
      <c r="AE12" s="17">
        <v>2.52</v>
      </c>
    </row>
    <row r="13" spans="1:31" x14ac:dyDescent="0.2">
      <c r="A13" s="18" t="s">
        <v>13</v>
      </c>
      <c r="B13" s="21">
        <v>417.78</v>
      </c>
      <c r="C13" s="17">
        <v>374.64</v>
      </c>
      <c r="D13" s="10"/>
      <c r="E13" s="17">
        <v>6.41</v>
      </c>
      <c r="F13" s="17">
        <v>1.19</v>
      </c>
      <c r="G13" s="10"/>
      <c r="H13" s="10"/>
      <c r="I13" s="17">
        <v>0.01</v>
      </c>
      <c r="J13" s="10"/>
      <c r="K13" s="10"/>
      <c r="L13" s="21">
        <v>19.13</v>
      </c>
      <c r="M13" s="10"/>
      <c r="N13" s="17">
        <v>5.59</v>
      </c>
      <c r="O13" s="17">
        <v>0.03</v>
      </c>
      <c r="P13" s="17">
        <v>5.91</v>
      </c>
      <c r="Q13" s="17">
        <v>3.45</v>
      </c>
      <c r="R13" s="10"/>
      <c r="S13" s="17">
        <v>0.1</v>
      </c>
      <c r="T13" s="10"/>
      <c r="U13" s="10"/>
      <c r="V13" s="21">
        <v>1.56</v>
      </c>
      <c r="W13" s="10"/>
      <c r="X13" s="17">
        <v>1.54</v>
      </c>
      <c r="Y13" s="10"/>
      <c r="Z13" s="17">
        <v>0.95</v>
      </c>
      <c r="AA13" s="17">
        <v>14.83</v>
      </c>
      <c r="AB13" s="17">
        <v>217.53</v>
      </c>
      <c r="AC13" s="17">
        <v>32377.38</v>
      </c>
      <c r="AD13" s="17">
        <v>1760.15</v>
      </c>
      <c r="AE13" s="17">
        <v>65.489999999999995</v>
      </c>
    </row>
    <row r="14" spans="1:31" x14ac:dyDescent="0.2">
      <c r="A14" s="18" t="s">
        <v>14</v>
      </c>
      <c r="B14" s="21">
        <v>36.67</v>
      </c>
      <c r="C14" s="17">
        <v>35.950000000000003</v>
      </c>
      <c r="D14" s="10"/>
      <c r="E14" s="17">
        <v>0.43</v>
      </c>
      <c r="F14" s="17">
        <v>0.05</v>
      </c>
      <c r="G14" s="10"/>
      <c r="H14" s="10"/>
      <c r="I14" s="10"/>
      <c r="J14" s="10"/>
      <c r="K14" s="10"/>
      <c r="L14" s="21">
        <v>11.4</v>
      </c>
      <c r="M14" s="10"/>
      <c r="N14" s="17">
        <v>4.8899999999999997</v>
      </c>
      <c r="O14" s="17">
        <v>0.05</v>
      </c>
      <c r="P14" s="17">
        <v>5.37</v>
      </c>
      <c r="Q14" s="17">
        <v>0.49</v>
      </c>
      <c r="R14" s="10"/>
      <c r="S14" s="17">
        <v>0.01</v>
      </c>
      <c r="T14" s="10"/>
      <c r="U14" s="10"/>
      <c r="V14" s="15"/>
      <c r="W14" s="10"/>
      <c r="X14" s="17">
        <v>0.37</v>
      </c>
      <c r="Y14" s="10"/>
      <c r="Z14" s="17">
        <v>0.22</v>
      </c>
      <c r="AA14" s="17">
        <v>1.31</v>
      </c>
      <c r="AB14" s="17">
        <v>68.930000000000007</v>
      </c>
      <c r="AC14" s="17">
        <v>593.54</v>
      </c>
      <c r="AD14" s="17">
        <v>231.59</v>
      </c>
      <c r="AE14" s="17">
        <v>8.27</v>
      </c>
    </row>
    <row r="15" spans="1:31" x14ac:dyDescent="0.2">
      <c r="A15" s="18" t="s">
        <v>15</v>
      </c>
      <c r="B15" s="21">
        <v>21.78</v>
      </c>
      <c r="C15" s="17">
        <v>20.18</v>
      </c>
      <c r="D15" s="10"/>
      <c r="E15" s="17">
        <v>0.09</v>
      </c>
      <c r="F15" s="10"/>
      <c r="G15" s="10"/>
      <c r="H15" s="10"/>
      <c r="I15" s="10"/>
      <c r="J15" s="10"/>
      <c r="K15" s="10"/>
      <c r="L15" s="21">
        <v>5.7</v>
      </c>
      <c r="M15" s="10"/>
      <c r="N15" s="17">
        <v>2.86</v>
      </c>
      <c r="O15" s="17">
        <v>0.01</v>
      </c>
      <c r="P15" s="17">
        <v>1.94</v>
      </c>
      <c r="Q15" s="17">
        <v>0.34</v>
      </c>
      <c r="R15" s="17">
        <v>0.01</v>
      </c>
      <c r="S15" s="17">
        <v>0.05</v>
      </c>
      <c r="T15" s="17">
        <v>0.04</v>
      </c>
      <c r="U15" s="17">
        <v>0.12</v>
      </c>
      <c r="V15" s="15"/>
      <c r="W15" s="10"/>
      <c r="X15" s="17">
        <v>0.28999999999999998</v>
      </c>
      <c r="Y15" s="10"/>
      <c r="Z15" s="17">
        <v>0.04</v>
      </c>
      <c r="AA15" s="17">
        <v>0.12</v>
      </c>
      <c r="AB15" s="17">
        <v>14.82</v>
      </c>
      <c r="AC15" s="17">
        <v>227.8</v>
      </c>
      <c r="AD15" s="17">
        <v>156.81</v>
      </c>
      <c r="AE15" s="17">
        <v>9.6999999999999993</v>
      </c>
    </row>
    <row r="16" spans="1:31" x14ac:dyDescent="0.2">
      <c r="A16" s="18" t="s">
        <v>16</v>
      </c>
      <c r="B16" s="21">
        <v>48.66</v>
      </c>
      <c r="C16" s="17">
        <v>47.78</v>
      </c>
      <c r="D16" s="10"/>
      <c r="E16" s="17">
        <v>0.88</v>
      </c>
      <c r="F16" s="17">
        <v>0.05</v>
      </c>
      <c r="G16" s="10"/>
      <c r="H16" s="10"/>
      <c r="I16" s="10"/>
      <c r="J16" s="10"/>
      <c r="K16" s="10"/>
      <c r="L16" s="21">
        <v>9.07</v>
      </c>
      <c r="M16" s="10"/>
      <c r="N16" s="17">
        <v>1.7</v>
      </c>
      <c r="O16" s="10"/>
      <c r="P16" s="17">
        <v>5.21</v>
      </c>
      <c r="Q16" s="17">
        <v>0.21</v>
      </c>
      <c r="R16" s="10"/>
      <c r="S16" s="17">
        <v>0.04</v>
      </c>
      <c r="T16" s="17">
        <v>1.71</v>
      </c>
      <c r="U16" s="10"/>
      <c r="V16" s="15"/>
      <c r="W16" s="10"/>
      <c r="X16" s="17">
        <v>0.21</v>
      </c>
      <c r="Y16" s="10"/>
      <c r="Z16" s="10"/>
      <c r="AA16" s="17">
        <v>2.63</v>
      </c>
      <c r="AB16" s="17">
        <v>1.84</v>
      </c>
      <c r="AC16" s="17">
        <v>671.94</v>
      </c>
      <c r="AD16" s="17">
        <v>279.32</v>
      </c>
      <c r="AE16" s="17">
        <v>104.92</v>
      </c>
    </row>
    <row r="17" spans="1:31" x14ac:dyDescent="0.2">
      <c r="A17" s="18" t="s">
        <v>17</v>
      </c>
      <c r="B17" s="21">
        <v>2.09</v>
      </c>
      <c r="C17" s="17">
        <v>1.8</v>
      </c>
      <c r="D17" s="10"/>
      <c r="E17" s="17">
        <v>0.26</v>
      </c>
      <c r="F17" s="17">
        <v>0.54</v>
      </c>
      <c r="G17" s="10"/>
      <c r="H17" s="10"/>
      <c r="I17" s="10"/>
      <c r="J17" s="10"/>
      <c r="K17" s="10"/>
      <c r="L17" s="21">
        <v>5.82</v>
      </c>
      <c r="M17" s="10"/>
      <c r="N17" s="17">
        <v>2.4</v>
      </c>
      <c r="O17" s="10"/>
      <c r="P17" s="17">
        <v>2.99</v>
      </c>
      <c r="Q17" s="17">
        <v>0.14000000000000001</v>
      </c>
      <c r="R17" s="10"/>
      <c r="S17" s="17">
        <v>0.01</v>
      </c>
      <c r="T17" s="10"/>
      <c r="U17" s="10"/>
      <c r="V17" s="15"/>
      <c r="W17" s="10"/>
      <c r="X17" s="17">
        <v>0.27</v>
      </c>
      <c r="Y17" s="10"/>
      <c r="Z17" s="10"/>
      <c r="AA17" s="17">
        <v>1.35</v>
      </c>
      <c r="AB17" s="17">
        <v>2.34</v>
      </c>
      <c r="AC17" s="17">
        <v>60.67</v>
      </c>
      <c r="AD17" s="17">
        <v>115.36</v>
      </c>
      <c r="AE17" s="17">
        <v>5.01</v>
      </c>
    </row>
    <row r="18" spans="1:31" x14ac:dyDescent="0.2">
      <c r="A18" s="18" t="s">
        <v>18</v>
      </c>
      <c r="B18" s="21">
        <v>715.5</v>
      </c>
      <c r="C18" s="17">
        <v>654.91999999999996</v>
      </c>
      <c r="D18" s="10"/>
      <c r="E18" s="17">
        <v>39.31</v>
      </c>
      <c r="F18" s="17">
        <v>0.23</v>
      </c>
      <c r="G18" s="17">
        <v>0.09</v>
      </c>
      <c r="H18" s="10"/>
      <c r="I18" s="10"/>
      <c r="J18" s="10"/>
      <c r="K18" s="10"/>
      <c r="L18" s="21">
        <v>27.98</v>
      </c>
      <c r="M18" s="17">
        <v>0.03</v>
      </c>
      <c r="N18" s="17">
        <v>2.5099999999999998</v>
      </c>
      <c r="O18" s="17">
        <v>0.01</v>
      </c>
      <c r="P18" s="17">
        <v>14.99</v>
      </c>
      <c r="Q18" s="17">
        <v>8.01</v>
      </c>
      <c r="R18" s="10"/>
      <c r="S18" s="17">
        <v>0.1</v>
      </c>
      <c r="T18" s="17">
        <v>0.03</v>
      </c>
      <c r="U18" s="17">
        <v>0.3</v>
      </c>
      <c r="V18" s="15"/>
      <c r="W18" s="10"/>
      <c r="X18" s="17">
        <v>1.9</v>
      </c>
      <c r="Y18" s="10"/>
      <c r="Z18" s="17">
        <v>0.09</v>
      </c>
      <c r="AA18" s="17">
        <v>4.8600000000000003</v>
      </c>
      <c r="AB18" s="17">
        <v>123.83</v>
      </c>
      <c r="AC18" s="17">
        <v>21416.18</v>
      </c>
      <c r="AD18" s="17">
        <v>744.61</v>
      </c>
      <c r="AE18" s="17">
        <v>90.62</v>
      </c>
    </row>
    <row r="19" spans="1:31" x14ac:dyDescent="0.2">
      <c r="A19" s="18" t="s">
        <v>19</v>
      </c>
      <c r="B19" s="21">
        <v>15.39</v>
      </c>
      <c r="C19" s="17">
        <v>14.67</v>
      </c>
      <c r="D19" s="10"/>
      <c r="E19" s="17">
        <v>0.33</v>
      </c>
      <c r="F19" s="17">
        <v>0.02</v>
      </c>
      <c r="G19" s="17">
        <v>7.0000000000000007E-2</v>
      </c>
      <c r="H19" s="10"/>
      <c r="I19" s="10"/>
      <c r="J19" s="17">
        <v>0.09</v>
      </c>
      <c r="K19" s="10"/>
      <c r="L19" s="21">
        <v>9.06</v>
      </c>
      <c r="M19" s="10"/>
      <c r="N19" s="17">
        <v>3.59</v>
      </c>
      <c r="O19" s="17">
        <v>0.01</v>
      </c>
      <c r="P19" s="17">
        <v>4.22</v>
      </c>
      <c r="Q19" s="17">
        <v>0.4</v>
      </c>
      <c r="R19" s="10"/>
      <c r="S19" s="17">
        <v>0.03</v>
      </c>
      <c r="T19" s="10"/>
      <c r="U19" s="17">
        <v>0.05</v>
      </c>
      <c r="V19" s="15"/>
      <c r="W19" s="10"/>
      <c r="X19" s="17">
        <v>0.41</v>
      </c>
      <c r="Y19" s="10"/>
      <c r="Z19" s="17">
        <v>0.35</v>
      </c>
      <c r="AA19" s="17">
        <v>3.4</v>
      </c>
      <c r="AB19" s="17">
        <v>11.47</v>
      </c>
      <c r="AC19" s="17">
        <v>488.67</v>
      </c>
      <c r="AD19" s="17">
        <v>131.05000000000001</v>
      </c>
      <c r="AE19" s="17">
        <v>9.07</v>
      </c>
    </row>
    <row r="20" spans="1:31" x14ac:dyDescent="0.2">
      <c r="A20" s="18" t="s">
        <v>20</v>
      </c>
      <c r="B20" s="21">
        <v>14.47</v>
      </c>
      <c r="C20" s="17">
        <v>13.69</v>
      </c>
      <c r="D20" s="10"/>
      <c r="E20" s="17">
        <v>0.37</v>
      </c>
      <c r="F20" s="17">
        <v>0.43</v>
      </c>
      <c r="G20" s="10"/>
      <c r="H20" s="10"/>
      <c r="I20" s="10"/>
      <c r="J20" s="10"/>
      <c r="K20" s="10"/>
      <c r="L20" s="21">
        <v>20.34</v>
      </c>
      <c r="M20" s="10"/>
      <c r="N20" s="17">
        <v>3.31</v>
      </c>
      <c r="O20" s="17">
        <v>0.11</v>
      </c>
      <c r="P20" s="17">
        <v>3.49</v>
      </c>
      <c r="Q20" s="17">
        <v>0.46</v>
      </c>
      <c r="R20" s="17">
        <v>0.01</v>
      </c>
      <c r="S20" s="17">
        <v>0.02</v>
      </c>
      <c r="T20" s="17">
        <v>0.53</v>
      </c>
      <c r="U20" s="17">
        <v>0.01</v>
      </c>
      <c r="V20" s="15"/>
      <c r="W20" s="17">
        <v>11.56</v>
      </c>
      <c r="X20" s="17">
        <v>0.67</v>
      </c>
      <c r="Y20" s="10"/>
      <c r="Z20" s="17">
        <v>0.18</v>
      </c>
      <c r="AA20" s="17">
        <v>2.97</v>
      </c>
      <c r="AB20" s="17">
        <v>80.599999999999994</v>
      </c>
      <c r="AC20" s="17">
        <v>86.85</v>
      </c>
      <c r="AD20" s="17">
        <v>89.78</v>
      </c>
      <c r="AE20" s="17">
        <v>5.89</v>
      </c>
    </row>
    <row r="21" spans="1:31" x14ac:dyDescent="0.2">
      <c r="A21" s="18" t="s">
        <v>21</v>
      </c>
      <c r="B21" s="21">
        <v>2588.48</v>
      </c>
      <c r="C21" s="17">
        <v>1309.1099999999999</v>
      </c>
      <c r="D21" s="10"/>
      <c r="E21" s="17">
        <v>1151.3499999999999</v>
      </c>
      <c r="F21" s="17">
        <v>52.92</v>
      </c>
      <c r="G21" s="17">
        <v>208.3</v>
      </c>
      <c r="H21" s="17">
        <v>97.9</v>
      </c>
      <c r="I21" s="10"/>
      <c r="J21" s="17">
        <v>11.26</v>
      </c>
      <c r="K21" s="17">
        <v>143.22</v>
      </c>
      <c r="L21" s="21">
        <v>9293.1299999999992</v>
      </c>
      <c r="M21" s="17">
        <v>55.95</v>
      </c>
      <c r="N21" s="17">
        <v>1.42</v>
      </c>
      <c r="O21" s="17">
        <v>0.18</v>
      </c>
      <c r="P21" s="17">
        <v>22.54</v>
      </c>
      <c r="Q21" s="17">
        <v>27.38</v>
      </c>
      <c r="R21" s="17">
        <v>1390.01</v>
      </c>
      <c r="S21" s="17">
        <v>219.89</v>
      </c>
      <c r="T21" s="17">
        <v>0.06</v>
      </c>
      <c r="U21" s="17">
        <v>6.03</v>
      </c>
      <c r="V21" s="21">
        <v>4.87</v>
      </c>
      <c r="W21" s="17">
        <v>230.56</v>
      </c>
      <c r="X21" s="17">
        <v>1057.3900000000001</v>
      </c>
      <c r="Y21" s="17">
        <v>1739.05</v>
      </c>
      <c r="Z21" s="17">
        <v>4537.82</v>
      </c>
      <c r="AA21" s="17">
        <v>26.77</v>
      </c>
      <c r="AB21" s="17">
        <v>835.63</v>
      </c>
      <c r="AC21" s="17">
        <v>63440.85</v>
      </c>
      <c r="AD21" s="17">
        <v>1198.93</v>
      </c>
      <c r="AE21" s="17">
        <v>6.16</v>
      </c>
    </row>
    <row r="22" spans="1:31" x14ac:dyDescent="0.2">
      <c r="A22" s="18" t="s">
        <v>1</v>
      </c>
      <c r="B22" s="21">
        <v>11986.77</v>
      </c>
      <c r="C22" s="17">
        <v>11475.78</v>
      </c>
      <c r="D22" s="10"/>
      <c r="E22" s="17">
        <v>175.06</v>
      </c>
      <c r="F22" s="17">
        <v>3955.42</v>
      </c>
      <c r="G22" s="17">
        <v>79.540000000000006</v>
      </c>
      <c r="H22" s="17">
        <v>9</v>
      </c>
      <c r="I22" s="17">
        <v>10.06</v>
      </c>
      <c r="J22" s="17">
        <v>22.56</v>
      </c>
      <c r="K22" s="17">
        <v>624.80999999999995</v>
      </c>
      <c r="L22" s="21">
        <v>7269.24</v>
      </c>
      <c r="M22" s="17">
        <v>1.35</v>
      </c>
      <c r="N22" s="17">
        <v>12.09</v>
      </c>
      <c r="O22" s="17">
        <v>1.9</v>
      </c>
      <c r="P22" s="17">
        <v>37.97</v>
      </c>
      <c r="Q22" s="17">
        <v>44.02</v>
      </c>
      <c r="R22" s="17">
        <v>4207.62</v>
      </c>
      <c r="S22" s="17">
        <v>5.29</v>
      </c>
      <c r="T22" s="17">
        <v>252.74</v>
      </c>
      <c r="U22" s="17">
        <v>82.44</v>
      </c>
      <c r="V22" s="21">
        <v>1.52</v>
      </c>
      <c r="W22" s="17">
        <v>51.52</v>
      </c>
      <c r="X22" s="17">
        <v>1058.99</v>
      </c>
      <c r="Y22" s="17">
        <v>75.47</v>
      </c>
      <c r="Z22" s="17">
        <v>1436.3</v>
      </c>
      <c r="AA22" s="17">
        <v>206.99</v>
      </c>
      <c r="AB22" s="17">
        <v>1379.26</v>
      </c>
      <c r="AC22" s="17">
        <v>145178.14000000001</v>
      </c>
      <c r="AD22" s="17">
        <v>5427.38</v>
      </c>
      <c r="AE22" s="17">
        <v>90.95</v>
      </c>
    </row>
    <row r="23" spans="1:31" x14ac:dyDescent="0.2">
      <c r="A23" s="18" t="s">
        <v>22</v>
      </c>
      <c r="B23" s="21">
        <v>468.86</v>
      </c>
      <c r="C23" s="17">
        <v>461.02</v>
      </c>
      <c r="D23" s="10"/>
      <c r="E23" s="17">
        <v>1.92</v>
      </c>
      <c r="F23" s="17">
        <v>1.95</v>
      </c>
      <c r="G23" s="17">
        <v>0.37</v>
      </c>
      <c r="H23" s="10"/>
      <c r="I23" s="10"/>
      <c r="J23" s="10"/>
      <c r="K23" s="17">
        <v>0.08</v>
      </c>
      <c r="L23" s="21">
        <v>13.7</v>
      </c>
      <c r="M23" s="17">
        <v>0.03</v>
      </c>
      <c r="N23" s="17">
        <v>3.92</v>
      </c>
      <c r="O23" s="17">
        <v>0.01</v>
      </c>
      <c r="P23" s="17">
        <v>5.73</v>
      </c>
      <c r="Q23" s="17">
        <v>2.72</v>
      </c>
      <c r="R23" s="17">
        <v>0.03</v>
      </c>
      <c r="S23" s="10"/>
      <c r="T23" s="17">
        <v>0.03</v>
      </c>
      <c r="U23" s="17">
        <v>0.23</v>
      </c>
      <c r="V23" s="15"/>
      <c r="W23" s="10"/>
      <c r="X23" s="17">
        <v>0.21</v>
      </c>
      <c r="Y23" s="10"/>
      <c r="Z23" s="17">
        <v>0.78</v>
      </c>
      <c r="AA23" s="17">
        <v>7.46</v>
      </c>
      <c r="AB23" s="17">
        <v>53.64</v>
      </c>
      <c r="AC23" s="17">
        <v>10234.32</v>
      </c>
      <c r="AD23" s="17">
        <v>407.71</v>
      </c>
      <c r="AE23" s="17">
        <v>25.21</v>
      </c>
    </row>
    <row r="24" spans="1:31" x14ac:dyDescent="0.2">
      <c r="A24" s="18" t="s">
        <v>23</v>
      </c>
      <c r="B24" s="21">
        <v>584.87</v>
      </c>
      <c r="C24" s="17">
        <v>478.34</v>
      </c>
      <c r="D24" s="10"/>
      <c r="E24" s="17">
        <v>4.74</v>
      </c>
      <c r="F24" s="17">
        <v>18.57</v>
      </c>
      <c r="G24" s="10"/>
      <c r="H24" s="10"/>
      <c r="I24" s="10"/>
      <c r="J24" s="10"/>
      <c r="K24" s="10"/>
      <c r="L24" s="21">
        <v>2.87</v>
      </c>
      <c r="M24" s="10"/>
      <c r="N24" s="17">
        <v>0.61</v>
      </c>
      <c r="O24" s="17">
        <v>0.02</v>
      </c>
      <c r="P24" s="17">
        <v>1.64</v>
      </c>
      <c r="Q24" s="17">
        <v>0.38</v>
      </c>
      <c r="R24" s="10"/>
      <c r="S24" s="17">
        <v>0.05</v>
      </c>
      <c r="T24" s="10"/>
      <c r="U24" s="17">
        <v>0.04</v>
      </c>
      <c r="V24" s="15"/>
      <c r="W24" s="10"/>
      <c r="X24" s="17">
        <v>0.06</v>
      </c>
      <c r="Y24" s="10"/>
      <c r="Z24" s="17">
        <v>7.0000000000000007E-2</v>
      </c>
      <c r="AA24" s="17">
        <v>1.71</v>
      </c>
      <c r="AB24" s="17">
        <v>90.04</v>
      </c>
      <c r="AC24" s="17">
        <v>11473.54</v>
      </c>
      <c r="AD24" s="17">
        <v>455.15</v>
      </c>
      <c r="AE24" s="17">
        <v>12.62</v>
      </c>
    </row>
    <row r="25" spans="1:31" x14ac:dyDescent="0.2">
      <c r="A25" s="18" t="s">
        <v>24</v>
      </c>
      <c r="B25" s="21">
        <v>261.77</v>
      </c>
      <c r="C25" s="17">
        <v>244.32</v>
      </c>
      <c r="D25" s="10"/>
      <c r="E25" s="17">
        <v>2.5299999999999998</v>
      </c>
      <c r="F25" s="17">
        <v>0.03</v>
      </c>
      <c r="G25" s="17">
        <v>0.62</v>
      </c>
      <c r="H25" s="10"/>
      <c r="I25" s="10"/>
      <c r="J25" s="10"/>
      <c r="K25" s="17">
        <v>5.33</v>
      </c>
      <c r="L25" s="21">
        <v>32.619999999999997</v>
      </c>
      <c r="M25" s="17">
        <v>0.01</v>
      </c>
      <c r="N25" s="17">
        <v>9.4499999999999993</v>
      </c>
      <c r="O25" s="17">
        <v>0.06</v>
      </c>
      <c r="P25" s="17">
        <v>11.9</v>
      </c>
      <c r="Q25" s="17">
        <v>3.38</v>
      </c>
      <c r="R25" s="10"/>
      <c r="S25" s="17">
        <v>0.45</v>
      </c>
      <c r="T25" s="17">
        <v>0.43</v>
      </c>
      <c r="U25" s="17">
        <v>0.41</v>
      </c>
      <c r="V25" s="21">
        <v>1.54</v>
      </c>
      <c r="W25" s="10"/>
      <c r="X25" s="17">
        <v>2.2599999999999998</v>
      </c>
      <c r="Y25" s="10"/>
      <c r="Z25" s="17">
        <v>2.73</v>
      </c>
      <c r="AA25" s="17">
        <v>7.95</v>
      </c>
      <c r="AB25" s="17">
        <v>63.03</v>
      </c>
      <c r="AC25" s="17">
        <v>3139.12</v>
      </c>
      <c r="AD25" s="17">
        <v>1426.38</v>
      </c>
      <c r="AE25" s="17">
        <v>16.28</v>
      </c>
    </row>
    <row r="26" spans="1:31" x14ac:dyDescent="0.2">
      <c r="A26" s="18" t="s">
        <v>25</v>
      </c>
      <c r="B26" s="21">
        <v>22238.05</v>
      </c>
      <c r="C26" s="17">
        <v>13725.93</v>
      </c>
      <c r="D26" s="10"/>
      <c r="E26" s="17">
        <v>8413.7099999999991</v>
      </c>
      <c r="F26" s="17">
        <v>1340.43</v>
      </c>
      <c r="G26" s="17">
        <v>35.94</v>
      </c>
      <c r="H26" s="17">
        <v>42.5</v>
      </c>
      <c r="I26" s="17">
        <v>5.62</v>
      </c>
      <c r="J26" s="17">
        <v>8.56</v>
      </c>
      <c r="K26" s="17">
        <v>22.25</v>
      </c>
      <c r="L26" s="21">
        <v>3189.68</v>
      </c>
      <c r="M26" s="17">
        <v>0.1</v>
      </c>
      <c r="N26" s="17">
        <v>14.75</v>
      </c>
      <c r="O26" s="17">
        <v>0.83</v>
      </c>
      <c r="P26" s="17">
        <v>314.07</v>
      </c>
      <c r="Q26" s="17">
        <v>96.29</v>
      </c>
      <c r="R26" s="10"/>
      <c r="S26" s="17">
        <v>0.59</v>
      </c>
      <c r="T26" s="17">
        <v>0.73</v>
      </c>
      <c r="U26" s="17">
        <v>0.16</v>
      </c>
      <c r="V26" s="21">
        <v>241.25</v>
      </c>
      <c r="W26" s="17">
        <v>2446.5100000000002</v>
      </c>
      <c r="X26" s="17">
        <v>61.41</v>
      </c>
      <c r="Y26" s="17">
        <v>0.11</v>
      </c>
      <c r="Z26" s="17">
        <v>12.87</v>
      </c>
      <c r="AA26" s="17">
        <v>36.979999999999997</v>
      </c>
      <c r="AB26" s="17">
        <v>1024.69</v>
      </c>
      <c r="AC26" s="17">
        <v>2518.62</v>
      </c>
      <c r="AD26" s="17">
        <v>3760.64</v>
      </c>
      <c r="AE26" s="17">
        <v>90.04</v>
      </c>
    </row>
    <row r="27" spans="1:31" x14ac:dyDescent="0.2">
      <c r="A27" s="18" t="s">
        <v>26</v>
      </c>
      <c r="B27" s="21">
        <v>9211.61</v>
      </c>
      <c r="C27" s="17">
        <v>8451.73</v>
      </c>
      <c r="D27" s="10"/>
      <c r="E27" s="17">
        <v>669.94</v>
      </c>
      <c r="F27" s="17">
        <v>39247.4</v>
      </c>
      <c r="G27" s="17">
        <v>343.31</v>
      </c>
      <c r="H27" s="17">
        <v>8060.77</v>
      </c>
      <c r="I27" s="17">
        <v>556.61</v>
      </c>
      <c r="J27" s="17">
        <v>1.51</v>
      </c>
      <c r="K27" s="17">
        <v>304.58</v>
      </c>
      <c r="L27" s="21">
        <v>87.38</v>
      </c>
      <c r="M27" s="10"/>
      <c r="N27" s="17">
        <v>3.35</v>
      </c>
      <c r="O27" s="17">
        <v>0.02</v>
      </c>
      <c r="P27" s="17">
        <v>52.53</v>
      </c>
      <c r="Q27" s="17">
        <v>0.64</v>
      </c>
      <c r="R27" s="10"/>
      <c r="S27" s="17">
        <v>0.77</v>
      </c>
      <c r="T27" s="17">
        <v>0.02</v>
      </c>
      <c r="U27" s="10"/>
      <c r="V27" s="15"/>
      <c r="W27" s="17">
        <v>18.02</v>
      </c>
      <c r="X27" s="17">
        <v>9.6</v>
      </c>
      <c r="Y27" s="17">
        <v>1.58</v>
      </c>
      <c r="Z27" s="17">
        <v>0.85</v>
      </c>
      <c r="AA27" s="17">
        <v>46.6</v>
      </c>
      <c r="AB27" s="17">
        <v>654.5</v>
      </c>
      <c r="AC27" s="17">
        <v>19472.740000000002</v>
      </c>
      <c r="AD27" s="17">
        <v>6459.68</v>
      </c>
      <c r="AE27" s="17">
        <v>101.48</v>
      </c>
    </row>
    <row r="28" spans="1:31" x14ac:dyDescent="0.2">
      <c r="A28" s="18" t="s">
        <v>27</v>
      </c>
      <c r="B28" s="21">
        <v>2361.87</v>
      </c>
      <c r="C28" s="17">
        <v>2098.02</v>
      </c>
      <c r="D28" s="10"/>
      <c r="E28" s="17">
        <v>256.64</v>
      </c>
      <c r="F28" s="17">
        <v>406.15</v>
      </c>
      <c r="G28" s="17">
        <v>19.34</v>
      </c>
      <c r="H28" s="10"/>
      <c r="I28" s="17">
        <v>0.08</v>
      </c>
      <c r="J28" s="17">
        <v>89.53</v>
      </c>
      <c r="K28" s="17">
        <v>20.62</v>
      </c>
      <c r="L28" s="21">
        <v>332.3</v>
      </c>
      <c r="M28" s="17">
        <v>0.3</v>
      </c>
      <c r="N28" s="17">
        <v>3.39</v>
      </c>
      <c r="O28" s="17">
        <v>0.54</v>
      </c>
      <c r="P28" s="17">
        <v>33.380000000000003</v>
      </c>
      <c r="Q28" s="17">
        <v>13.82</v>
      </c>
      <c r="R28" s="10"/>
      <c r="S28" s="17">
        <v>0.42</v>
      </c>
      <c r="T28" s="10"/>
      <c r="U28" s="17">
        <v>0.1</v>
      </c>
      <c r="V28" s="21">
        <v>10.01</v>
      </c>
      <c r="W28" s="17">
        <v>262.08999999999997</v>
      </c>
      <c r="X28" s="17">
        <v>3.24</v>
      </c>
      <c r="Y28" s="10"/>
      <c r="Z28" s="17">
        <v>5.01</v>
      </c>
      <c r="AA28" s="17">
        <v>20.75</v>
      </c>
      <c r="AB28" s="17">
        <v>256.51</v>
      </c>
      <c r="AC28" s="17">
        <v>21858.02</v>
      </c>
      <c r="AD28" s="17">
        <v>6673.67</v>
      </c>
      <c r="AE28" s="17">
        <v>5.96</v>
      </c>
    </row>
    <row r="29" spans="1:31" x14ac:dyDescent="0.2">
      <c r="A29" s="18" t="s">
        <v>28</v>
      </c>
      <c r="B29" s="21">
        <v>255.08</v>
      </c>
      <c r="C29" s="17">
        <v>203.46</v>
      </c>
      <c r="D29" s="10"/>
      <c r="E29" s="17">
        <v>50.46</v>
      </c>
      <c r="F29" s="17">
        <v>469.08</v>
      </c>
      <c r="G29" s="17">
        <v>4.55</v>
      </c>
      <c r="H29" s="17">
        <v>48.79</v>
      </c>
      <c r="I29" s="17">
        <v>2.2200000000000002</v>
      </c>
      <c r="J29" s="17">
        <v>0.53</v>
      </c>
      <c r="K29" s="17">
        <v>2.61</v>
      </c>
      <c r="L29" s="21">
        <v>39.75</v>
      </c>
      <c r="M29" s="10"/>
      <c r="N29" s="17">
        <v>11.6</v>
      </c>
      <c r="O29" s="17">
        <v>0.45</v>
      </c>
      <c r="P29" s="17">
        <v>19.52</v>
      </c>
      <c r="Q29" s="17">
        <v>1.6</v>
      </c>
      <c r="R29" s="10"/>
      <c r="S29" s="17">
        <v>0.59</v>
      </c>
      <c r="T29" s="17">
        <v>0.02</v>
      </c>
      <c r="U29" s="17">
        <v>0.02</v>
      </c>
      <c r="V29" s="21">
        <v>0.32</v>
      </c>
      <c r="W29" s="10"/>
      <c r="X29" s="17">
        <v>4.33</v>
      </c>
      <c r="Y29" s="17">
        <v>0.01</v>
      </c>
      <c r="Z29" s="17">
        <v>1.28</v>
      </c>
      <c r="AA29" s="17">
        <v>11.68</v>
      </c>
      <c r="AB29" s="17">
        <v>372.68</v>
      </c>
      <c r="AC29" s="17">
        <v>637.35</v>
      </c>
      <c r="AD29" s="17">
        <v>1672.84</v>
      </c>
      <c r="AE29" s="17">
        <v>4.88</v>
      </c>
    </row>
    <row r="30" spans="1:31" x14ac:dyDescent="0.2">
      <c r="A30" s="18" t="s">
        <v>29</v>
      </c>
      <c r="B30" s="21">
        <v>18.989999999999998</v>
      </c>
      <c r="C30" s="17">
        <v>17.21</v>
      </c>
      <c r="D30" s="10"/>
      <c r="E30" s="17">
        <v>0.8</v>
      </c>
      <c r="F30" s="17">
        <v>244.56</v>
      </c>
      <c r="G30" s="17">
        <v>0.15</v>
      </c>
      <c r="H30" s="17">
        <v>0.08</v>
      </c>
      <c r="I30" s="17">
        <v>0.05</v>
      </c>
      <c r="J30" s="10"/>
      <c r="K30" s="10"/>
      <c r="L30" s="21">
        <v>46.46</v>
      </c>
      <c r="M30" s="10"/>
      <c r="N30" s="17">
        <v>15.29</v>
      </c>
      <c r="O30" s="17">
        <v>1.62</v>
      </c>
      <c r="P30" s="17">
        <v>21.25</v>
      </c>
      <c r="Q30" s="17">
        <v>0.7</v>
      </c>
      <c r="R30" s="17">
        <v>0.03</v>
      </c>
      <c r="S30" s="17">
        <v>2.92</v>
      </c>
      <c r="T30" s="17">
        <v>0.08</v>
      </c>
      <c r="U30" s="17">
        <v>0.04</v>
      </c>
      <c r="V30" s="15"/>
      <c r="W30" s="10"/>
      <c r="X30" s="17">
        <v>2.8</v>
      </c>
      <c r="Y30" s="10"/>
      <c r="Z30" s="17">
        <v>1.73</v>
      </c>
      <c r="AA30" s="17">
        <v>10.36</v>
      </c>
      <c r="AB30" s="17">
        <v>82.5</v>
      </c>
      <c r="AC30" s="17">
        <v>343.7</v>
      </c>
      <c r="AD30" s="17">
        <v>1007.43</v>
      </c>
      <c r="AE30" s="17">
        <v>5.1100000000000003</v>
      </c>
    </row>
    <row r="31" spans="1:31" x14ac:dyDescent="0.2">
      <c r="A31" s="18" t="s">
        <v>30</v>
      </c>
      <c r="B31" s="21">
        <v>20.010000000000002</v>
      </c>
      <c r="C31" s="17">
        <v>17.18</v>
      </c>
      <c r="D31" s="10"/>
      <c r="E31" s="17">
        <v>1.5</v>
      </c>
      <c r="F31" s="17">
        <v>6.54</v>
      </c>
      <c r="G31" s="17">
        <v>1.34</v>
      </c>
      <c r="H31" s="17">
        <v>2.34</v>
      </c>
      <c r="I31" s="10"/>
      <c r="J31" s="17">
        <v>3.51</v>
      </c>
      <c r="K31" s="17">
        <v>0.56999999999999995</v>
      </c>
      <c r="L31" s="21">
        <v>37.97</v>
      </c>
      <c r="M31" s="10"/>
      <c r="N31" s="17">
        <v>11.84</v>
      </c>
      <c r="O31" s="17">
        <v>0.77</v>
      </c>
      <c r="P31" s="17">
        <v>14.46</v>
      </c>
      <c r="Q31" s="17">
        <v>0.64</v>
      </c>
      <c r="R31" s="10"/>
      <c r="S31" s="17">
        <v>2.89</v>
      </c>
      <c r="T31" s="17">
        <v>0.04</v>
      </c>
      <c r="U31" s="17">
        <v>0.08</v>
      </c>
      <c r="V31" s="15"/>
      <c r="W31" s="10"/>
      <c r="X31" s="17">
        <v>3.62</v>
      </c>
      <c r="Y31" s="10"/>
      <c r="Z31" s="17">
        <v>3.64</v>
      </c>
      <c r="AA31" s="17">
        <v>4.8499999999999996</v>
      </c>
      <c r="AB31" s="17">
        <v>113.88</v>
      </c>
      <c r="AC31" s="17">
        <v>955.3</v>
      </c>
      <c r="AD31" s="17">
        <v>499.42</v>
      </c>
      <c r="AE31" s="17">
        <v>5.42</v>
      </c>
    </row>
    <row r="32" spans="1:31" x14ac:dyDescent="0.2">
      <c r="A32" s="18" t="s">
        <v>31</v>
      </c>
      <c r="B32" s="21">
        <v>21.53</v>
      </c>
      <c r="C32" s="17">
        <v>20.87</v>
      </c>
      <c r="D32" s="10"/>
      <c r="E32" s="17">
        <v>0.11</v>
      </c>
      <c r="F32" s="17">
        <v>14.23</v>
      </c>
      <c r="G32" s="17">
        <v>0.06</v>
      </c>
      <c r="H32" s="17">
        <v>0.03</v>
      </c>
      <c r="I32" s="17">
        <v>0.01</v>
      </c>
      <c r="J32" s="17">
        <v>0.18</v>
      </c>
      <c r="K32" s="10"/>
      <c r="L32" s="21">
        <v>65.680000000000007</v>
      </c>
      <c r="M32" s="17">
        <v>0.01</v>
      </c>
      <c r="N32" s="17">
        <v>24.72</v>
      </c>
      <c r="O32" s="17">
        <v>0.27</v>
      </c>
      <c r="P32" s="17">
        <v>26.95</v>
      </c>
      <c r="Q32" s="17">
        <v>0.32</v>
      </c>
      <c r="R32" s="17">
        <v>0.01</v>
      </c>
      <c r="S32" s="17">
        <v>9.25</v>
      </c>
      <c r="T32" s="17">
        <v>0.01</v>
      </c>
      <c r="U32" s="17">
        <v>0.13</v>
      </c>
      <c r="V32" s="21">
        <v>0.01</v>
      </c>
      <c r="W32" s="10"/>
      <c r="X32" s="17">
        <v>2.0699999999999998</v>
      </c>
      <c r="Y32" s="10"/>
      <c r="Z32" s="17">
        <v>1.94</v>
      </c>
      <c r="AA32" s="17">
        <v>7.29</v>
      </c>
      <c r="AB32" s="17">
        <v>140.31</v>
      </c>
      <c r="AC32" s="17">
        <v>2982.62</v>
      </c>
      <c r="AD32" s="17">
        <v>1031.4100000000001</v>
      </c>
      <c r="AE32" s="17">
        <v>3.01</v>
      </c>
    </row>
    <row r="33" spans="1:31" x14ac:dyDescent="0.2">
      <c r="A33" s="18" t="s">
        <v>32</v>
      </c>
      <c r="B33" s="21">
        <v>41.15</v>
      </c>
      <c r="C33" s="17">
        <v>20.350000000000001</v>
      </c>
      <c r="D33" s="10"/>
      <c r="E33" s="17">
        <v>20.8</v>
      </c>
      <c r="F33" s="17">
        <v>0.28000000000000003</v>
      </c>
      <c r="G33" s="17">
        <v>0.46</v>
      </c>
      <c r="H33" s="10"/>
      <c r="I33" s="10"/>
      <c r="J33" s="17">
        <v>0.01</v>
      </c>
      <c r="K33" s="10"/>
      <c r="L33" s="21">
        <v>19.079999999999998</v>
      </c>
      <c r="M33" s="17">
        <v>0.01</v>
      </c>
      <c r="N33" s="17">
        <v>3.5</v>
      </c>
      <c r="O33" s="17">
        <v>0.95</v>
      </c>
      <c r="P33" s="17">
        <v>11.25</v>
      </c>
      <c r="Q33" s="17">
        <v>1.39</v>
      </c>
      <c r="R33" s="10"/>
      <c r="S33" s="17">
        <v>0.23</v>
      </c>
      <c r="T33" s="10"/>
      <c r="U33" s="10"/>
      <c r="V33" s="15"/>
      <c r="W33" s="10"/>
      <c r="X33" s="17">
        <v>1.34</v>
      </c>
      <c r="Y33" s="10"/>
      <c r="Z33" s="17">
        <v>0.41</v>
      </c>
      <c r="AA33" s="17">
        <v>4.9800000000000004</v>
      </c>
      <c r="AB33" s="17">
        <v>123.53</v>
      </c>
      <c r="AC33" s="17">
        <v>666.6</v>
      </c>
      <c r="AD33" s="17">
        <v>166.18</v>
      </c>
      <c r="AE33" s="17">
        <v>0.3</v>
      </c>
    </row>
    <row r="34" spans="1:31" x14ac:dyDescent="0.2">
      <c r="A34" s="18" t="s">
        <v>33</v>
      </c>
      <c r="B34" s="21">
        <v>16.170000000000002</v>
      </c>
      <c r="C34" s="17">
        <v>16.05</v>
      </c>
      <c r="D34" s="10"/>
      <c r="E34" s="17">
        <v>7.0000000000000007E-2</v>
      </c>
      <c r="F34" s="17">
        <v>0.56000000000000005</v>
      </c>
      <c r="G34" s="17">
        <v>0.02</v>
      </c>
      <c r="H34" s="10"/>
      <c r="I34" s="10"/>
      <c r="J34" s="10"/>
      <c r="K34" s="10"/>
      <c r="L34" s="21">
        <v>35.46</v>
      </c>
      <c r="M34" s="10"/>
      <c r="N34" s="17">
        <v>14.94</v>
      </c>
      <c r="O34" s="17">
        <v>0.42</v>
      </c>
      <c r="P34" s="17">
        <v>10.72</v>
      </c>
      <c r="Q34" s="17">
        <v>2.0699999999999998</v>
      </c>
      <c r="R34" s="10"/>
      <c r="S34" s="17">
        <v>1.81</v>
      </c>
      <c r="T34" s="17">
        <v>0.15</v>
      </c>
      <c r="U34" s="17">
        <v>0.05</v>
      </c>
      <c r="V34" s="21">
        <v>0.04</v>
      </c>
      <c r="W34" s="17">
        <v>0.38</v>
      </c>
      <c r="X34" s="17">
        <v>3.4</v>
      </c>
      <c r="Y34" s="10"/>
      <c r="Z34" s="17">
        <v>1.48</v>
      </c>
      <c r="AA34" s="17">
        <v>3.42</v>
      </c>
      <c r="AB34" s="17">
        <v>61.56</v>
      </c>
      <c r="AC34" s="17">
        <v>1414.4</v>
      </c>
      <c r="AD34" s="17">
        <v>859.31</v>
      </c>
      <c r="AE34" s="17">
        <v>6.19</v>
      </c>
    </row>
    <row r="35" spans="1:31" x14ac:dyDescent="0.2">
      <c r="A35" s="18" t="s">
        <v>34</v>
      </c>
      <c r="B35" s="21">
        <v>17.03</v>
      </c>
      <c r="C35" s="17">
        <v>15.92</v>
      </c>
      <c r="D35" s="10"/>
      <c r="E35" s="17">
        <v>1.1100000000000001</v>
      </c>
      <c r="F35" s="10"/>
      <c r="G35" s="17">
        <v>0.01</v>
      </c>
      <c r="H35" s="17">
        <v>0.01</v>
      </c>
      <c r="I35" s="10"/>
      <c r="J35" s="10"/>
      <c r="K35" s="10"/>
      <c r="L35" s="21">
        <v>19.39</v>
      </c>
      <c r="M35" s="10"/>
      <c r="N35" s="17">
        <v>9.59</v>
      </c>
      <c r="O35" s="17">
        <v>0.15</v>
      </c>
      <c r="P35" s="17">
        <v>6.43</v>
      </c>
      <c r="Q35" s="17">
        <v>0.41</v>
      </c>
      <c r="R35" s="10"/>
      <c r="S35" s="17">
        <v>0.66</v>
      </c>
      <c r="T35" s="17">
        <v>0.02</v>
      </c>
      <c r="U35" s="17">
        <v>0.02</v>
      </c>
      <c r="V35" s="15"/>
      <c r="W35" s="10"/>
      <c r="X35" s="17">
        <v>1.96</v>
      </c>
      <c r="Y35" s="10"/>
      <c r="Z35" s="17">
        <v>0.14000000000000001</v>
      </c>
      <c r="AA35" s="17">
        <v>11.61</v>
      </c>
      <c r="AB35" s="17">
        <v>164.44</v>
      </c>
      <c r="AC35" s="17">
        <v>1558.86</v>
      </c>
      <c r="AD35" s="17">
        <v>1500.45</v>
      </c>
      <c r="AE35" s="17">
        <v>2.2599999999999998</v>
      </c>
    </row>
    <row r="36" spans="1:31" x14ac:dyDescent="0.2">
      <c r="A36" s="18" t="s">
        <v>35</v>
      </c>
      <c r="B36" s="21">
        <v>1.92</v>
      </c>
      <c r="C36" s="17">
        <v>1.92</v>
      </c>
      <c r="D36" s="10"/>
      <c r="E36" s="10"/>
      <c r="F36" s="17">
        <v>0.01</v>
      </c>
      <c r="G36" s="10"/>
      <c r="H36" s="10"/>
      <c r="I36" s="10"/>
      <c r="J36" s="10"/>
      <c r="K36" s="10"/>
      <c r="L36" s="21">
        <v>5.52</v>
      </c>
      <c r="M36" s="10"/>
      <c r="N36" s="17">
        <v>3.84</v>
      </c>
      <c r="O36" s="17">
        <v>0.12</v>
      </c>
      <c r="P36" s="17">
        <v>1.01</v>
      </c>
      <c r="Q36" s="17">
        <v>0.09</v>
      </c>
      <c r="R36" s="10"/>
      <c r="S36" s="17">
        <v>0.1</v>
      </c>
      <c r="T36" s="17">
        <v>0.03</v>
      </c>
      <c r="U36" s="10"/>
      <c r="V36" s="15"/>
      <c r="W36" s="10"/>
      <c r="X36" s="17">
        <v>0.17</v>
      </c>
      <c r="Y36" s="10"/>
      <c r="Z36" s="17">
        <v>0.15</v>
      </c>
      <c r="AA36" s="17">
        <v>0.52</v>
      </c>
      <c r="AB36" s="17">
        <v>3.94</v>
      </c>
      <c r="AC36" s="17">
        <v>57.44</v>
      </c>
      <c r="AD36" s="17">
        <v>74.53</v>
      </c>
      <c r="AE36" s="17">
        <v>1.47</v>
      </c>
    </row>
    <row r="37" spans="1:31" x14ac:dyDescent="0.2">
      <c r="A37" s="18" t="s">
        <v>36</v>
      </c>
      <c r="B37" s="21">
        <v>1.98</v>
      </c>
      <c r="C37" s="17">
        <v>1.45</v>
      </c>
      <c r="D37" s="10"/>
      <c r="E37" s="17">
        <v>0.17</v>
      </c>
      <c r="F37" s="10"/>
      <c r="G37" s="17">
        <v>0.01</v>
      </c>
      <c r="H37" s="10"/>
      <c r="I37" s="10"/>
      <c r="J37" s="10"/>
      <c r="K37" s="17">
        <v>0.75</v>
      </c>
      <c r="L37" s="21">
        <v>4.9400000000000004</v>
      </c>
      <c r="M37" s="10"/>
      <c r="N37" s="17">
        <v>0.68</v>
      </c>
      <c r="O37" s="17">
        <v>0.08</v>
      </c>
      <c r="P37" s="17">
        <v>1.1299999999999999</v>
      </c>
      <c r="Q37" s="10"/>
      <c r="R37" s="10"/>
      <c r="S37" s="10"/>
      <c r="T37" s="10"/>
      <c r="U37" s="10"/>
      <c r="V37" s="15"/>
      <c r="W37" s="10"/>
      <c r="X37" s="17">
        <v>3.04</v>
      </c>
      <c r="Y37" s="10"/>
      <c r="Z37" s="10"/>
      <c r="AA37" s="17">
        <v>0.04</v>
      </c>
      <c r="AB37" s="17">
        <v>31.96</v>
      </c>
      <c r="AC37" s="17">
        <v>68.84</v>
      </c>
      <c r="AD37" s="17">
        <v>578.41</v>
      </c>
      <c r="AE37" s="17">
        <v>1.04</v>
      </c>
    </row>
    <row r="38" spans="1:31" x14ac:dyDescent="0.2">
      <c r="A38" s="18" t="s">
        <v>37</v>
      </c>
      <c r="B38" s="21">
        <v>132.4</v>
      </c>
      <c r="C38" s="17">
        <v>105.97</v>
      </c>
      <c r="D38" s="10"/>
      <c r="E38" s="17">
        <v>19.47</v>
      </c>
      <c r="F38" s="17">
        <v>97.06</v>
      </c>
      <c r="G38" s="17">
        <v>0.51</v>
      </c>
      <c r="H38" s="17">
        <v>5.3</v>
      </c>
      <c r="I38" s="17">
        <v>2.1</v>
      </c>
      <c r="J38" s="10"/>
      <c r="K38" s="17">
        <v>1.17</v>
      </c>
      <c r="L38" s="21">
        <v>6.81</v>
      </c>
      <c r="M38" s="10"/>
      <c r="N38" s="17">
        <v>0.31</v>
      </c>
      <c r="O38" s="17">
        <v>0.02</v>
      </c>
      <c r="P38" s="17">
        <v>4.83</v>
      </c>
      <c r="Q38" s="17">
        <v>1.32</v>
      </c>
      <c r="R38" s="10"/>
      <c r="S38" s="17">
        <v>0.02</v>
      </c>
      <c r="T38" s="10"/>
      <c r="U38" s="10"/>
      <c r="V38" s="15"/>
      <c r="W38" s="10"/>
      <c r="X38" s="17">
        <v>0.31</v>
      </c>
      <c r="Y38" s="10"/>
      <c r="Z38" s="10"/>
      <c r="AA38" s="17">
        <v>2.19</v>
      </c>
      <c r="AB38" s="17">
        <v>123.44</v>
      </c>
      <c r="AC38" s="17">
        <v>19.73</v>
      </c>
      <c r="AD38" s="17">
        <v>57.94</v>
      </c>
      <c r="AE38" s="17">
        <v>5.87</v>
      </c>
    </row>
    <row r="39" spans="1:31" x14ac:dyDescent="0.2">
      <c r="A39" s="18" t="s">
        <v>38</v>
      </c>
      <c r="B39" s="21">
        <v>0.5</v>
      </c>
      <c r="C39" s="17">
        <v>0.5</v>
      </c>
      <c r="D39" s="10"/>
      <c r="E39" s="10"/>
      <c r="F39" s="10"/>
      <c r="G39" s="17">
        <v>7.0000000000000007E-2</v>
      </c>
      <c r="H39" s="17">
        <v>0.14000000000000001</v>
      </c>
      <c r="I39" s="10"/>
      <c r="J39" s="10"/>
      <c r="K39" s="10"/>
      <c r="L39" s="21">
        <v>6.17</v>
      </c>
      <c r="M39" s="17">
        <v>0.01</v>
      </c>
      <c r="N39" s="17">
        <v>0.44</v>
      </c>
      <c r="O39" s="17">
        <v>0.93</v>
      </c>
      <c r="P39" s="17">
        <v>4.4000000000000004</v>
      </c>
      <c r="Q39" s="17">
        <v>0.31</v>
      </c>
      <c r="R39" s="10"/>
      <c r="S39" s="17">
        <v>0.05</v>
      </c>
      <c r="T39" s="10"/>
      <c r="U39" s="10"/>
      <c r="V39" s="15"/>
      <c r="W39" s="10"/>
      <c r="X39" s="17">
        <v>0.02</v>
      </c>
      <c r="Y39" s="10"/>
      <c r="Z39" s="10"/>
      <c r="AA39" s="17">
        <v>0.21</v>
      </c>
      <c r="AB39" s="17">
        <v>2.98</v>
      </c>
      <c r="AC39" s="17">
        <v>14.9</v>
      </c>
      <c r="AD39" s="17">
        <v>16.559999999999999</v>
      </c>
      <c r="AE39" s="10"/>
    </row>
    <row r="40" spans="1:31" x14ac:dyDescent="0.2">
      <c r="A40" s="18" t="s">
        <v>39</v>
      </c>
      <c r="B40" s="21">
        <v>948.29</v>
      </c>
      <c r="C40" s="17">
        <v>945.4</v>
      </c>
      <c r="D40" s="10"/>
      <c r="E40" s="17">
        <v>2.29</v>
      </c>
      <c r="F40" s="17">
        <v>39.08</v>
      </c>
      <c r="G40" s="17">
        <v>0.82</v>
      </c>
      <c r="H40" s="17">
        <v>0.21</v>
      </c>
      <c r="I40" s="10"/>
      <c r="J40" s="17">
        <v>1.3</v>
      </c>
      <c r="K40" s="17">
        <v>0.43</v>
      </c>
      <c r="L40" s="21">
        <v>64.260000000000005</v>
      </c>
      <c r="M40" s="17">
        <v>0.17</v>
      </c>
      <c r="N40" s="17">
        <v>21.5</v>
      </c>
      <c r="O40" s="10"/>
      <c r="P40" s="17">
        <v>28.23</v>
      </c>
      <c r="Q40" s="17">
        <v>0.9</v>
      </c>
      <c r="R40" s="10"/>
      <c r="S40" s="17">
        <v>0.27</v>
      </c>
      <c r="T40" s="10"/>
      <c r="U40" s="10"/>
      <c r="V40" s="21">
        <v>2.4700000000000002</v>
      </c>
      <c r="W40" s="17">
        <v>8.8000000000000007</v>
      </c>
      <c r="X40" s="17">
        <v>0.03</v>
      </c>
      <c r="Y40" s="17">
        <v>1.51</v>
      </c>
      <c r="Z40" s="17">
        <v>0.38</v>
      </c>
      <c r="AA40" s="17">
        <v>1.25</v>
      </c>
      <c r="AB40" s="10"/>
      <c r="AC40" s="17">
        <v>9585.94</v>
      </c>
      <c r="AD40" s="17">
        <v>5703.13</v>
      </c>
      <c r="AE40" s="17">
        <v>10.76</v>
      </c>
    </row>
    <row r="41" spans="1:31" x14ac:dyDescent="0.2">
      <c r="A41" s="18" t="s">
        <v>40</v>
      </c>
      <c r="B41" s="21">
        <v>143.01</v>
      </c>
      <c r="C41" s="17">
        <v>143.01</v>
      </c>
      <c r="D41" s="10"/>
      <c r="E41" s="10"/>
      <c r="F41" s="10"/>
      <c r="G41" s="17">
        <v>0.9</v>
      </c>
      <c r="H41" s="17">
        <v>2.83</v>
      </c>
      <c r="I41" s="10"/>
      <c r="J41" s="17">
        <v>0.3</v>
      </c>
      <c r="K41" s="10"/>
      <c r="L41" s="21">
        <v>4.1100000000000003</v>
      </c>
      <c r="M41" s="10"/>
      <c r="N41" s="17">
        <v>2.5499999999999998</v>
      </c>
      <c r="O41" s="10"/>
      <c r="P41" s="17">
        <v>1.38</v>
      </c>
      <c r="Q41" s="17">
        <v>0.11</v>
      </c>
      <c r="R41" s="10"/>
      <c r="S41" s="17">
        <v>0.02</v>
      </c>
      <c r="T41" s="10"/>
      <c r="U41" s="10"/>
      <c r="V41" s="15"/>
      <c r="W41" s="10"/>
      <c r="X41" s="17">
        <v>0.04</v>
      </c>
      <c r="Y41" s="10"/>
      <c r="Z41" s="17">
        <v>0.01</v>
      </c>
      <c r="AA41" s="17">
        <v>7.25</v>
      </c>
      <c r="AB41" s="17">
        <v>53.33</v>
      </c>
      <c r="AC41" s="17">
        <v>2201.27</v>
      </c>
      <c r="AD41" s="17">
        <v>185.85</v>
      </c>
      <c r="AE41" s="10"/>
    </row>
    <row r="42" spans="1:31" x14ac:dyDescent="0.2">
      <c r="A42" s="18" t="s">
        <v>41</v>
      </c>
      <c r="B42" s="22">
        <v>4.3499999999999996</v>
      </c>
      <c r="C42" s="23">
        <v>4.3</v>
      </c>
      <c r="D42" s="13"/>
      <c r="E42" s="13"/>
      <c r="F42" s="13"/>
      <c r="G42" s="13"/>
      <c r="H42" s="13"/>
      <c r="I42" s="13"/>
      <c r="J42" s="13"/>
      <c r="K42" s="13"/>
      <c r="L42" s="22">
        <v>5.29</v>
      </c>
      <c r="M42" s="13"/>
      <c r="N42" s="23">
        <v>2.96</v>
      </c>
      <c r="O42" s="13"/>
      <c r="P42" s="23">
        <v>2</v>
      </c>
      <c r="Q42" s="23">
        <v>0.09</v>
      </c>
      <c r="R42" s="13"/>
      <c r="S42" s="13"/>
      <c r="T42" s="13"/>
      <c r="U42" s="13"/>
      <c r="V42" s="16"/>
      <c r="W42" s="13"/>
      <c r="X42" s="23">
        <v>0.23</v>
      </c>
      <c r="Y42" s="13"/>
      <c r="Z42" s="13"/>
      <c r="AA42" s="23">
        <v>0.43</v>
      </c>
      <c r="AB42" s="23">
        <v>0.11</v>
      </c>
      <c r="AC42" s="23">
        <v>147.34</v>
      </c>
      <c r="AD42" s="23">
        <v>593.76</v>
      </c>
      <c r="AE42"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625D-B8F8-4F3A-95BC-D907ABE9EDB2}">
  <sheetPr codeName="Sheet3"/>
  <dimension ref="A1:AG37"/>
  <sheetViews>
    <sheetView topLeftCell="M4" workbookViewId="0">
      <selection activeCell="X1" sqref="X1:X1048576"/>
    </sheetView>
  </sheetViews>
  <sheetFormatPr defaultRowHeight="14.25" x14ac:dyDescent="0.2"/>
  <cols>
    <col min="1" max="1" width="27" customWidth="1"/>
    <col min="2" max="13" width="9" customWidth="1"/>
    <col min="14" max="14" width="9" style="24" customWidth="1"/>
    <col min="15" max="33" width="9" customWidth="1"/>
    <col min="256" max="256" width="27" customWidth="1"/>
    <col min="257" max="257" width="64" customWidth="1"/>
    <col min="269" max="270" width="2.625" customWidth="1"/>
    <col min="512" max="512" width="27" customWidth="1"/>
    <col min="513" max="513" width="64" customWidth="1"/>
    <col min="525" max="526" width="2.625" customWidth="1"/>
    <col min="768" max="768" width="27" customWidth="1"/>
    <col min="769" max="769" width="64" customWidth="1"/>
    <col min="781" max="782" width="2.625" customWidth="1"/>
    <col min="1024" max="1024" width="27" customWidth="1"/>
    <col min="1025" max="1025" width="64" customWidth="1"/>
    <col min="1037" max="1038" width="2.625" customWidth="1"/>
    <col min="1280" max="1280" width="27" customWidth="1"/>
    <col min="1281" max="1281" width="64" customWidth="1"/>
    <col min="1293" max="1294" width="2.625" customWidth="1"/>
    <col min="1536" max="1536" width="27" customWidth="1"/>
    <col min="1537" max="1537" width="64" customWidth="1"/>
    <col min="1549" max="1550" width="2.625" customWidth="1"/>
    <col min="1792" max="1792" width="27" customWidth="1"/>
    <col min="1793" max="1793" width="64" customWidth="1"/>
    <col min="1805" max="1806" width="2.625" customWidth="1"/>
    <col min="2048" max="2048" width="27" customWidth="1"/>
    <col min="2049" max="2049" width="64" customWidth="1"/>
    <col min="2061" max="2062" width="2.625" customWidth="1"/>
    <col min="2304" max="2304" width="27" customWidth="1"/>
    <col min="2305" max="2305" width="64" customWidth="1"/>
    <col min="2317" max="2318" width="2.625" customWidth="1"/>
    <col min="2560" max="2560" width="27" customWidth="1"/>
    <col min="2561" max="2561" width="64" customWidth="1"/>
    <col min="2573" max="2574" width="2.625" customWidth="1"/>
    <col min="2816" max="2816" width="27" customWidth="1"/>
    <col min="2817" max="2817" width="64" customWidth="1"/>
    <col min="2829" max="2830" width="2.625" customWidth="1"/>
    <col min="3072" max="3072" width="27" customWidth="1"/>
    <col min="3073" max="3073" width="64" customWidth="1"/>
    <col min="3085" max="3086" width="2.625" customWidth="1"/>
    <col min="3328" max="3328" width="27" customWidth="1"/>
    <col min="3329" max="3329" width="64" customWidth="1"/>
    <col min="3341" max="3342" width="2.625" customWidth="1"/>
    <col min="3584" max="3584" width="27" customWidth="1"/>
    <col min="3585" max="3585" width="64" customWidth="1"/>
    <col min="3597" max="3598" width="2.625" customWidth="1"/>
    <col min="3840" max="3840" width="27" customWidth="1"/>
    <col min="3841" max="3841" width="64" customWidth="1"/>
    <col min="3853" max="3854" width="2.625" customWidth="1"/>
    <col min="4096" max="4096" width="27" customWidth="1"/>
    <col min="4097" max="4097" width="64" customWidth="1"/>
    <col min="4109" max="4110" width="2.625" customWidth="1"/>
    <col min="4352" max="4352" width="27" customWidth="1"/>
    <col min="4353" max="4353" width="64" customWidth="1"/>
    <col min="4365" max="4366" width="2.625" customWidth="1"/>
    <col min="4608" max="4608" width="27" customWidth="1"/>
    <col min="4609" max="4609" width="64" customWidth="1"/>
    <col min="4621" max="4622" width="2.625" customWidth="1"/>
    <col min="4864" max="4864" width="27" customWidth="1"/>
    <col min="4865" max="4865" width="64" customWidth="1"/>
    <col min="4877" max="4878" width="2.625" customWidth="1"/>
    <col min="5120" max="5120" width="27" customWidth="1"/>
    <col min="5121" max="5121" width="64" customWidth="1"/>
    <col min="5133" max="5134" width="2.625" customWidth="1"/>
    <col min="5376" max="5376" width="27" customWidth="1"/>
    <col min="5377" max="5377" width="64" customWidth="1"/>
    <col min="5389" max="5390" width="2.625" customWidth="1"/>
    <col min="5632" max="5632" width="27" customWidth="1"/>
    <col min="5633" max="5633" width="64" customWidth="1"/>
    <col min="5645" max="5646" width="2.625" customWidth="1"/>
    <col min="5888" max="5888" width="27" customWidth="1"/>
    <col min="5889" max="5889" width="64" customWidth="1"/>
    <col min="5901" max="5902" width="2.625" customWidth="1"/>
    <col min="6144" max="6144" width="27" customWidth="1"/>
    <col min="6145" max="6145" width="64" customWidth="1"/>
    <col min="6157" max="6158" width="2.625" customWidth="1"/>
    <col min="6400" max="6400" width="27" customWidth="1"/>
    <col min="6401" max="6401" width="64" customWidth="1"/>
    <col min="6413" max="6414" width="2.625" customWidth="1"/>
    <col min="6656" max="6656" width="27" customWidth="1"/>
    <col min="6657" max="6657" width="64" customWidth="1"/>
    <col min="6669" max="6670" width="2.625" customWidth="1"/>
    <col min="6912" max="6912" width="27" customWidth="1"/>
    <col min="6913" max="6913" width="64" customWidth="1"/>
    <col min="6925" max="6926" width="2.625" customWidth="1"/>
    <col min="7168" max="7168" width="27" customWidth="1"/>
    <col min="7169" max="7169" width="64" customWidth="1"/>
    <col min="7181" max="7182" width="2.625" customWidth="1"/>
    <col min="7424" max="7424" width="27" customWidth="1"/>
    <col min="7425" max="7425" width="64" customWidth="1"/>
    <col min="7437" max="7438" width="2.625" customWidth="1"/>
    <col min="7680" max="7680" width="27" customWidth="1"/>
    <col min="7681" max="7681" width="64" customWidth="1"/>
    <col min="7693" max="7694" width="2.625" customWidth="1"/>
    <col min="7936" max="7936" width="27" customWidth="1"/>
    <col min="7937" max="7937" width="64" customWidth="1"/>
    <col min="7949" max="7950" width="2.625" customWidth="1"/>
    <col min="8192" max="8192" width="27" customWidth="1"/>
    <col min="8193" max="8193" width="64" customWidth="1"/>
    <col min="8205" max="8206" width="2.625" customWidth="1"/>
    <col min="8448" max="8448" width="27" customWidth="1"/>
    <col min="8449" max="8449" width="64" customWidth="1"/>
    <col min="8461" max="8462" width="2.625" customWidth="1"/>
    <col min="8704" max="8704" width="27" customWidth="1"/>
    <col min="8705" max="8705" width="64" customWidth="1"/>
    <col min="8717" max="8718" width="2.625" customWidth="1"/>
    <col min="8960" max="8960" width="27" customWidth="1"/>
    <col min="8961" max="8961" width="64" customWidth="1"/>
    <col min="8973" max="8974" width="2.625" customWidth="1"/>
    <col min="9216" max="9216" width="27" customWidth="1"/>
    <col min="9217" max="9217" width="64" customWidth="1"/>
    <col min="9229" max="9230" width="2.625" customWidth="1"/>
    <col min="9472" max="9472" width="27" customWidth="1"/>
    <col min="9473" max="9473" width="64" customWidth="1"/>
    <col min="9485" max="9486" width="2.625" customWidth="1"/>
    <col min="9728" max="9728" width="27" customWidth="1"/>
    <col min="9729" max="9729" width="64" customWidth="1"/>
    <col min="9741" max="9742" width="2.625" customWidth="1"/>
    <col min="9984" max="9984" width="27" customWidth="1"/>
    <col min="9985" max="9985" width="64" customWidth="1"/>
    <col min="9997" max="9998" width="2.625" customWidth="1"/>
    <col min="10240" max="10240" width="27" customWidth="1"/>
    <col min="10241" max="10241" width="64" customWidth="1"/>
    <col min="10253" max="10254" width="2.625" customWidth="1"/>
    <col min="10496" max="10496" width="27" customWidth="1"/>
    <col min="10497" max="10497" width="64" customWidth="1"/>
    <col min="10509" max="10510" width="2.625" customWidth="1"/>
    <col min="10752" max="10752" width="27" customWidth="1"/>
    <col min="10753" max="10753" width="64" customWidth="1"/>
    <col min="10765" max="10766" width="2.625" customWidth="1"/>
    <col min="11008" max="11008" width="27" customWidth="1"/>
    <col min="11009" max="11009" width="64" customWidth="1"/>
    <col min="11021" max="11022" width="2.625" customWidth="1"/>
    <col min="11264" max="11264" width="27" customWidth="1"/>
    <col min="11265" max="11265" width="64" customWidth="1"/>
    <col min="11277" max="11278" width="2.625" customWidth="1"/>
    <col min="11520" max="11520" width="27" customWidth="1"/>
    <col min="11521" max="11521" width="64" customWidth="1"/>
    <col min="11533" max="11534" width="2.625" customWidth="1"/>
    <col min="11776" max="11776" width="27" customWidth="1"/>
    <col min="11777" max="11777" width="64" customWidth="1"/>
    <col min="11789" max="11790" width="2.625" customWidth="1"/>
    <col min="12032" max="12032" width="27" customWidth="1"/>
    <col min="12033" max="12033" width="64" customWidth="1"/>
    <col min="12045" max="12046" width="2.625" customWidth="1"/>
    <col min="12288" max="12288" width="27" customWidth="1"/>
    <col min="12289" max="12289" width="64" customWidth="1"/>
    <col min="12301" max="12302" width="2.625" customWidth="1"/>
    <col min="12544" max="12544" width="27" customWidth="1"/>
    <col min="12545" max="12545" width="64" customWidth="1"/>
    <col min="12557" max="12558" width="2.625" customWidth="1"/>
    <col min="12800" max="12800" width="27" customWidth="1"/>
    <col min="12801" max="12801" width="64" customWidth="1"/>
    <col min="12813" max="12814" width="2.625" customWidth="1"/>
    <col min="13056" max="13056" width="27" customWidth="1"/>
    <col min="13057" max="13057" width="64" customWidth="1"/>
    <col min="13069" max="13070" width="2.625" customWidth="1"/>
    <col min="13312" max="13312" width="27" customWidth="1"/>
    <col min="13313" max="13313" width="64" customWidth="1"/>
    <col min="13325" max="13326" width="2.625" customWidth="1"/>
    <col min="13568" max="13568" width="27" customWidth="1"/>
    <col min="13569" max="13569" width="64" customWidth="1"/>
    <col min="13581" max="13582" width="2.625" customWidth="1"/>
    <col min="13824" max="13824" width="27" customWidth="1"/>
    <col min="13825" max="13825" width="64" customWidth="1"/>
    <col min="13837" max="13838" width="2.625" customWidth="1"/>
    <col min="14080" max="14080" width="27" customWidth="1"/>
    <col min="14081" max="14081" width="64" customWidth="1"/>
    <col min="14093" max="14094" width="2.625" customWidth="1"/>
    <col min="14336" max="14336" width="27" customWidth="1"/>
    <col min="14337" max="14337" width="64" customWidth="1"/>
    <col min="14349" max="14350" width="2.625" customWidth="1"/>
    <col min="14592" max="14592" width="27" customWidth="1"/>
    <col min="14593" max="14593" width="64" customWidth="1"/>
    <col min="14605" max="14606" width="2.625" customWidth="1"/>
    <col min="14848" max="14848" width="27" customWidth="1"/>
    <col min="14849" max="14849" width="64" customWidth="1"/>
    <col min="14861" max="14862" width="2.625" customWidth="1"/>
    <col min="15104" max="15104" width="27" customWidth="1"/>
    <col min="15105" max="15105" width="64" customWidth="1"/>
    <col min="15117" max="15118" width="2.625" customWidth="1"/>
    <col min="15360" max="15360" width="27" customWidth="1"/>
    <col min="15361" max="15361" width="64" customWidth="1"/>
    <col min="15373" max="15374" width="2.625" customWidth="1"/>
    <col min="15616" max="15616" width="27" customWidth="1"/>
    <col min="15617" max="15617" width="64" customWidth="1"/>
    <col min="15629" max="15630" width="2.625" customWidth="1"/>
    <col min="15872" max="15872" width="27" customWidth="1"/>
    <col min="15873" max="15873" width="64" customWidth="1"/>
    <col min="15885" max="15886" width="2.625" customWidth="1"/>
    <col min="16128" max="16128" width="27" customWidth="1"/>
    <col min="16129" max="16129" width="64" customWidth="1"/>
    <col min="16141" max="16142" width="2.625" customWidth="1"/>
  </cols>
  <sheetData>
    <row r="1" spans="1:33" ht="98.25" x14ac:dyDescent="0.2">
      <c r="A1" s="6" t="s">
        <v>72</v>
      </c>
      <c r="B1" s="19" t="s">
        <v>42</v>
      </c>
      <c r="C1" s="19" t="s">
        <v>43</v>
      </c>
      <c r="D1" s="19" t="s">
        <v>44</v>
      </c>
      <c r="E1" s="19" t="s">
        <v>73</v>
      </c>
      <c r="F1" s="19" t="s">
        <v>74</v>
      </c>
      <c r="G1" s="19" t="s">
        <v>75</v>
      </c>
      <c r="H1" s="19" t="s">
        <v>46</v>
      </c>
      <c r="I1" s="19" t="s">
        <v>47</v>
      </c>
      <c r="J1" s="19" t="s">
        <v>48</v>
      </c>
      <c r="K1" s="19" t="s">
        <v>49</v>
      </c>
      <c r="L1" s="20" t="s">
        <v>50</v>
      </c>
      <c r="M1" s="19" t="s">
        <v>112</v>
      </c>
      <c r="N1" s="19" t="s">
        <v>113</v>
      </c>
      <c r="O1" s="19" t="s">
        <v>53</v>
      </c>
      <c r="P1" s="19" t="s">
        <v>54</v>
      </c>
      <c r="Q1" s="19" t="s">
        <v>55</v>
      </c>
      <c r="R1" s="19" t="s">
        <v>56</v>
      </c>
      <c r="S1" s="19" t="s">
        <v>57</v>
      </c>
      <c r="T1" s="19" t="s">
        <v>58</v>
      </c>
      <c r="U1" s="19" t="s">
        <v>59</v>
      </c>
      <c r="V1" s="19" t="s">
        <v>60</v>
      </c>
      <c r="W1" s="20" t="s">
        <v>61</v>
      </c>
      <c r="X1" s="19" t="s">
        <v>62</v>
      </c>
      <c r="Y1" s="19" t="s">
        <v>63</v>
      </c>
      <c r="Z1" s="19" t="s">
        <v>64</v>
      </c>
      <c r="AA1" s="19" t="s">
        <v>65</v>
      </c>
      <c r="AB1" s="19" t="s">
        <v>115</v>
      </c>
      <c r="AC1" s="19" t="s">
        <v>67</v>
      </c>
      <c r="AD1" s="19" t="s">
        <v>68</v>
      </c>
      <c r="AE1" s="19" t="s">
        <v>69</v>
      </c>
      <c r="AF1" s="19" t="s">
        <v>70</v>
      </c>
      <c r="AG1" s="20" t="s">
        <v>116</v>
      </c>
    </row>
    <row r="2" spans="1:33" x14ac:dyDescent="0.2">
      <c r="A2" s="7" t="s">
        <v>76</v>
      </c>
      <c r="B2" s="25">
        <v>405537.18</v>
      </c>
      <c r="C2" s="26">
        <v>404267.01</v>
      </c>
      <c r="D2" s="26">
        <v>1359.01</v>
      </c>
      <c r="E2" s="26">
        <v>-70</v>
      </c>
      <c r="F2" s="26">
        <v>-18.84</v>
      </c>
      <c r="G2" s="8"/>
      <c r="H2" s="26">
        <v>-762.13</v>
      </c>
      <c r="I2" s="8"/>
      <c r="J2" s="8"/>
      <c r="K2" s="8"/>
      <c r="L2" s="8"/>
      <c r="M2" s="14"/>
      <c r="N2" s="26">
        <v>66900.850000000006</v>
      </c>
      <c r="O2" s="26">
        <v>68007.48</v>
      </c>
      <c r="P2" s="26">
        <v>-1190.4100000000001</v>
      </c>
      <c r="Q2" s="26">
        <v>-1319.79</v>
      </c>
      <c r="R2" s="26">
        <v>-1948.68</v>
      </c>
      <c r="S2" s="26">
        <v>344.98</v>
      </c>
      <c r="T2" s="26">
        <v>657.9</v>
      </c>
      <c r="U2" s="26">
        <v>17.850000000000001</v>
      </c>
      <c r="V2" s="26">
        <v>-35.93</v>
      </c>
      <c r="W2" s="26">
        <v>4.32</v>
      </c>
      <c r="X2" s="25">
        <v>274.38</v>
      </c>
      <c r="Y2" s="26">
        <v>590.41999999999996</v>
      </c>
      <c r="Z2" s="26">
        <v>1950.61</v>
      </c>
      <c r="AA2" s="8"/>
      <c r="AB2" s="26">
        <v>-452.28</v>
      </c>
      <c r="AC2" s="26">
        <v>2227.84</v>
      </c>
      <c r="AD2" s="26">
        <v>6011.71</v>
      </c>
      <c r="AE2" s="8"/>
      <c r="AF2" s="26">
        <v>22664.83</v>
      </c>
      <c r="AG2" s="26">
        <v>7164.43</v>
      </c>
    </row>
    <row r="3" spans="1:33" x14ac:dyDescent="0.2">
      <c r="A3" s="11" t="s">
        <v>77</v>
      </c>
      <c r="B3" s="21">
        <v>384633.2</v>
      </c>
      <c r="C3" s="17">
        <v>384633.2</v>
      </c>
      <c r="D3" s="10"/>
      <c r="E3" s="10"/>
      <c r="F3" s="10"/>
      <c r="G3" s="10"/>
      <c r="H3" s="10"/>
      <c r="I3" s="10"/>
      <c r="J3" s="10"/>
      <c r="K3" s="10"/>
      <c r="L3" s="10"/>
      <c r="M3" s="15"/>
      <c r="N3" s="17">
        <v>19101.41</v>
      </c>
      <c r="O3" s="17">
        <v>19101.41</v>
      </c>
      <c r="P3" s="10"/>
      <c r="Q3" s="10"/>
      <c r="R3" s="10"/>
      <c r="S3" s="10"/>
      <c r="T3" s="10"/>
      <c r="U3" s="10"/>
      <c r="V3" s="10"/>
      <c r="W3" s="10"/>
      <c r="X3" s="15"/>
      <c r="Y3" s="10"/>
      <c r="Z3" s="10"/>
      <c r="AA3" s="10"/>
      <c r="AB3" s="10"/>
      <c r="AC3" s="17">
        <v>1761.74</v>
      </c>
      <c r="AD3" s="10"/>
      <c r="AE3" s="10"/>
      <c r="AF3" s="17">
        <v>22832.799999999999</v>
      </c>
      <c r="AG3" s="17">
        <v>7164.43</v>
      </c>
    </row>
    <row r="4" spans="1:33" x14ac:dyDescent="0.2">
      <c r="A4" s="11" t="s">
        <v>78</v>
      </c>
      <c r="B4" s="15"/>
      <c r="C4" s="10"/>
      <c r="D4" s="10"/>
      <c r="E4" s="10"/>
      <c r="F4" s="10"/>
      <c r="G4" s="10"/>
      <c r="H4" s="10"/>
      <c r="I4" s="10"/>
      <c r="J4" s="10"/>
      <c r="K4" s="10"/>
      <c r="L4" s="10"/>
      <c r="M4" s="15"/>
      <c r="N4" s="10"/>
      <c r="O4" s="10"/>
      <c r="P4" s="10"/>
      <c r="Q4" s="10"/>
      <c r="R4" s="10"/>
      <c r="S4" s="10"/>
      <c r="T4" s="10"/>
      <c r="U4" s="10"/>
      <c r="V4" s="10"/>
      <c r="W4" s="10"/>
      <c r="X4" s="15"/>
      <c r="Y4" s="10"/>
      <c r="Z4" s="10"/>
      <c r="AA4" s="10"/>
      <c r="AB4" s="10"/>
      <c r="AC4" s="10"/>
      <c r="AD4" s="10"/>
      <c r="AE4" s="10"/>
      <c r="AF4" s="17">
        <v>13044.38</v>
      </c>
      <c r="AG4" s="10"/>
    </row>
    <row r="5" spans="1:33" x14ac:dyDescent="0.2">
      <c r="A5" s="11" t="s">
        <v>79</v>
      </c>
      <c r="B5" s="15"/>
      <c r="C5" s="10"/>
      <c r="D5" s="10"/>
      <c r="E5" s="10"/>
      <c r="F5" s="10"/>
      <c r="G5" s="10"/>
      <c r="H5" s="10"/>
      <c r="I5" s="10"/>
      <c r="J5" s="10"/>
      <c r="K5" s="10"/>
      <c r="L5" s="10"/>
      <c r="M5" s="15"/>
      <c r="N5" s="10"/>
      <c r="O5" s="10"/>
      <c r="P5" s="10"/>
      <c r="Q5" s="10"/>
      <c r="R5" s="10"/>
      <c r="S5" s="10"/>
      <c r="T5" s="10"/>
      <c r="U5" s="10"/>
      <c r="V5" s="10"/>
      <c r="W5" s="10"/>
      <c r="X5" s="15"/>
      <c r="Y5" s="10"/>
      <c r="Z5" s="10"/>
      <c r="AA5" s="10"/>
      <c r="AB5" s="10"/>
      <c r="AC5" s="10"/>
      <c r="AD5" s="10"/>
      <c r="AE5" s="10"/>
      <c r="AF5" s="17">
        <v>3483.55</v>
      </c>
      <c r="AG5" s="10"/>
    </row>
    <row r="6" spans="1:33" x14ac:dyDescent="0.2">
      <c r="A6" s="11" t="s">
        <v>80</v>
      </c>
      <c r="B6" s="15"/>
      <c r="C6" s="10"/>
      <c r="D6" s="10"/>
      <c r="E6" s="10"/>
      <c r="F6" s="10"/>
      <c r="G6" s="10"/>
      <c r="H6" s="10"/>
      <c r="I6" s="10"/>
      <c r="J6" s="10"/>
      <c r="K6" s="10"/>
      <c r="L6" s="10"/>
      <c r="M6" s="15"/>
      <c r="N6" s="10"/>
      <c r="O6" s="10"/>
      <c r="P6" s="10"/>
      <c r="Q6" s="10"/>
      <c r="R6" s="10"/>
      <c r="S6" s="10"/>
      <c r="T6" s="10"/>
      <c r="U6" s="10"/>
      <c r="V6" s="10"/>
      <c r="W6" s="10"/>
      <c r="X6" s="15"/>
      <c r="Y6" s="10"/>
      <c r="Z6" s="10"/>
      <c r="AA6" s="10"/>
      <c r="AB6" s="10"/>
      <c r="AC6" s="10"/>
      <c r="AD6" s="10"/>
      <c r="AE6" s="10"/>
      <c r="AF6" s="17">
        <v>4060.32</v>
      </c>
      <c r="AG6" s="10"/>
    </row>
    <row r="7" spans="1:33" x14ac:dyDescent="0.2">
      <c r="A7" s="11" t="s">
        <v>81</v>
      </c>
      <c r="B7" s="21">
        <v>29976.880000000001</v>
      </c>
      <c r="C7" s="17">
        <v>29976.880000000001</v>
      </c>
      <c r="D7" s="10"/>
      <c r="E7" s="10"/>
      <c r="F7" s="10"/>
      <c r="G7" s="10"/>
      <c r="H7" s="17">
        <v>52.3</v>
      </c>
      <c r="I7" s="10"/>
      <c r="J7" s="10"/>
      <c r="K7" s="10"/>
      <c r="L7" s="10"/>
      <c r="M7" s="15"/>
      <c r="N7" s="17">
        <v>56970.47</v>
      </c>
      <c r="O7" s="17">
        <v>50567.6</v>
      </c>
      <c r="P7" s="17">
        <v>33.340000000000003</v>
      </c>
      <c r="Q7" s="17">
        <v>366.75</v>
      </c>
      <c r="R7" s="17">
        <v>119.02</v>
      </c>
      <c r="S7" s="17">
        <v>1485.51</v>
      </c>
      <c r="T7" s="17">
        <v>702.22</v>
      </c>
      <c r="U7" s="17">
        <v>29.16</v>
      </c>
      <c r="V7" s="17">
        <v>9.85</v>
      </c>
      <c r="W7" s="17">
        <v>3.77</v>
      </c>
      <c r="X7" s="21">
        <v>428.39</v>
      </c>
      <c r="Y7" s="17">
        <v>830.52</v>
      </c>
      <c r="Z7" s="17">
        <v>2109.33</v>
      </c>
      <c r="AA7" s="10"/>
      <c r="AB7" s="17">
        <v>285</v>
      </c>
      <c r="AC7" s="17">
        <v>501.14</v>
      </c>
      <c r="AD7" s="17">
        <v>6019.12</v>
      </c>
      <c r="AE7" s="10"/>
      <c r="AF7" s="17">
        <v>48.58</v>
      </c>
      <c r="AG7" s="10"/>
    </row>
    <row r="8" spans="1:33" x14ac:dyDescent="0.2">
      <c r="A8" s="11" t="s">
        <v>82</v>
      </c>
      <c r="B8" s="15"/>
      <c r="C8" s="10"/>
      <c r="D8" s="10"/>
      <c r="E8" s="10"/>
      <c r="F8" s="10"/>
      <c r="G8" s="10"/>
      <c r="H8" s="10"/>
      <c r="I8" s="10"/>
      <c r="J8" s="10"/>
      <c r="K8" s="10"/>
      <c r="L8" s="10"/>
      <c r="M8" s="15"/>
      <c r="N8" s="17">
        <v>1131.69</v>
      </c>
      <c r="O8" s="10"/>
      <c r="P8" s="10"/>
      <c r="Q8" s="17">
        <v>563.28</v>
      </c>
      <c r="R8" s="17">
        <v>25.44</v>
      </c>
      <c r="S8" s="17">
        <v>542.97</v>
      </c>
      <c r="T8" s="10"/>
      <c r="U8" s="10"/>
      <c r="V8" s="10"/>
      <c r="W8" s="10"/>
      <c r="X8" s="15"/>
      <c r="Y8" s="10"/>
      <c r="Z8" s="10"/>
      <c r="AA8" s="10"/>
      <c r="AB8" s="10"/>
      <c r="AC8" s="10"/>
      <c r="AD8" s="10"/>
      <c r="AE8" s="10"/>
      <c r="AF8" s="10"/>
      <c r="AG8" s="10"/>
    </row>
    <row r="9" spans="1:33" x14ac:dyDescent="0.2">
      <c r="A9" s="11" t="s">
        <v>83</v>
      </c>
      <c r="B9" s="21">
        <v>602.86</v>
      </c>
      <c r="C9" s="17">
        <v>599.37</v>
      </c>
      <c r="D9" s="10"/>
      <c r="E9" s="10"/>
      <c r="F9" s="17">
        <v>3.5</v>
      </c>
      <c r="G9" s="10"/>
      <c r="H9" s="17">
        <v>652.26</v>
      </c>
      <c r="I9" s="10"/>
      <c r="J9" s="10"/>
      <c r="K9" s="10"/>
      <c r="L9" s="10"/>
      <c r="M9" s="15"/>
      <c r="N9" s="17">
        <v>7251.41</v>
      </c>
      <c r="O9" s="17">
        <v>81</v>
      </c>
      <c r="P9" s="17">
        <v>1637.06</v>
      </c>
      <c r="Q9" s="17">
        <v>1761.48</v>
      </c>
      <c r="R9" s="17">
        <v>2138.2600000000002</v>
      </c>
      <c r="S9" s="17">
        <v>1117.6600000000001</v>
      </c>
      <c r="T9" s="10"/>
      <c r="U9" s="17">
        <v>11.25</v>
      </c>
      <c r="V9" s="17">
        <v>60.17</v>
      </c>
      <c r="W9" s="17">
        <v>0.26</v>
      </c>
      <c r="X9" s="21">
        <v>65.62</v>
      </c>
      <c r="Y9" s="17">
        <v>228.96</v>
      </c>
      <c r="Z9" s="17">
        <v>140.88999999999999</v>
      </c>
      <c r="AA9" s="10"/>
      <c r="AB9" s="17">
        <v>8.7899999999999991</v>
      </c>
      <c r="AC9" s="17">
        <v>35.03</v>
      </c>
      <c r="AD9" s="17">
        <v>7.4</v>
      </c>
      <c r="AE9" s="10"/>
      <c r="AF9" s="17">
        <v>216.55</v>
      </c>
      <c r="AG9" s="10"/>
    </row>
    <row r="10" spans="1:33" x14ac:dyDescent="0.2">
      <c r="A10" s="11" t="s">
        <v>84</v>
      </c>
      <c r="B10" s="15"/>
      <c r="C10" s="10"/>
      <c r="D10" s="10"/>
      <c r="E10" s="10"/>
      <c r="F10" s="10"/>
      <c r="G10" s="10"/>
      <c r="H10" s="10"/>
      <c r="I10" s="10"/>
      <c r="J10" s="10"/>
      <c r="K10" s="10"/>
      <c r="L10" s="10"/>
      <c r="M10" s="15"/>
      <c r="N10" s="17">
        <v>959.95</v>
      </c>
      <c r="O10" s="10"/>
      <c r="P10" s="10"/>
      <c r="Q10" s="17">
        <v>478.33</v>
      </c>
      <c r="R10" s="17">
        <v>50.81</v>
      </c>
      <c r="S10" s="17">
        <v>430.81</v>
      </c>
      <c r="T10" s="10"/>
      <c r="U10" s="10"/>
      <c r="V10" s="10"/>
      <c r="W10" s="10"/>
      <c r="X10" s="15"/>
      <c r="Y10" s="10"/>
      <c r="Z10" s="10"/>
      <c r="AA10" s="10"/>
      <c r="AB10" s="10"/>
      <c r="AC10" s="10"/>
      <c r="AD10" s="10"/>
      <c r="AE10" s="10"/>
      <c r="AF10" s="10"/>
      <c r="AG10" s="10"/>
    </row>
    <row r="11" spans="1:33" x14ac:dyDescent="0.2">
      <c r="A11" s="11" t="s">
        <v>85</v>
      </c>
      <c r="B11" s="21">
        <v>-8470.0400000000009</v>
      </c>
      <c r="C11" s="17">
        <v>-9743.7099999999991</v>
      </c>
      <c r="D11" s="17">
        <v>1359.01</v>
      </c>
      <c r="E11" s="17">
        <v>-70</v>
      </c>
      <c r="F11" s="17">
        <v>-15.34</v>
      </c>
      <c r="G11" s="10"/>
      <c r="H11" s="17">
        <v>-162.16999999999999</v>
      </c>
      <c r="I11" s="10"/>
      <c r="J11" s="10"/>
      <c r="K11" s="10"/>
      <c r="L11" s="10"/>
      <c r="M11" s="15"/>
      <c r="N11" s="17">
        <v>-2091.35</v>
      </c>
      <c r="O11" s="17">
        <v>-1580.53</v>
      </c>
      <c r="P11" s="17">
        <v>413.31</v>
      </c>
      <c r="Q11" s="17">
        <v>-10.02</v>
      </c>
      <c r="R11" s="17">
        <v>95.93</v>
      </c>
      <c r="S11" s="17">
        <v>-135.04</v>
      </c>
      <c r="T11" s="17">
        <v>-44.32</v>
      </c>
      <c r="U11" s="17">
        <v>-0.06</v>
      </c>
      <c r="V11" s="17">
        <v>14.39</v>
      </c>
      <c r="W11" s="17">
        <v>0.81</v>
      </c>
      <c r="X11" s="21">
        <v>-88.39</v>
      </c>
      <c r="Y11" s="17">
        <v>-11.13</v>
      </c>
      <c r="Z11" s="17">
        <v>-17.829999999999998</v>
      </c>
      <c r="AA11" s="10"/>
      <c r="AB11" s="17">
        <v>-728.49</v>
      </c>
      <c r="AC11" s="10"/>
      <c r="AD11" s="10"/>
      <c r="AE11" s="10"/>
      <c r="AF11" s="10"/>
      <c r="AG11" s="10"/>
    </row>
    <row r="12" spans="1:33" x14ac:dyDescent="0.2">
      <c r="A12" s="9" t="s">
        <v>86</v>
      </c>
      <c r="B12" s="21">
        <v>-328465.28999999998</v>
      </c>
      <c r="C12" s="17">
        <v>-341871.85</v>
      </c>
      <c r="D12" s="17">
        <v>-1847.3</v>
      </c>
      <c r="E12" s="17">
        <v>13863.38</v>
      </c>
      <c r="F12" s="17">
        <v>1390.48</v>
      </c>
      <c r="G12" s="17">
        <v>-16.05</v>
      </c>
      <c r="H12" s="17">
        <v>47206.48</v>
      </c>
      <c r="I12" s="17">
        <v>685.06</v>
      </c>
      <c r="J12" s="17">
        <v>8106.13</v>
      </c>
      <c r="K12" s="17">
        <v>587.04</v>
      </c>
      <c r="L12" s="17">
        <v>183.26</v>
      </c>
      <c r="M12" s="21">
        <v>1077.95</v>
      </c>
      <c r="N12" s="17">
        <v>-3453.63</v>
      </c>
      <c r="O12" s="17">
        <v>-66907.95</v>
      </c>
      <c r="P12" s="17">
        <v>14852.09</v>
      </c>
      <c r="Q12" s="17">
        <v>5322.59</v>
      </c>
      <c r="R12" s="17">
        <v>17195.939999999999</v>
      </c>
      <c r="S12" s="17">
        <v>2111.0700000000002</v>
      </c>
      <c r="T12" s="17">
        <v>5096.12</v>
      </c>
      <c r="U12" s="17">
        <v>230.11</v>
      </c>
      <c r="V12" s="17">
        <v>302.72000000000003</v>
      </c>
      <c r="W12" s="17">
        <v>8236</v>
      </c>
      <c r="X12" s="21">
        <v>2970.43</v>
      </c>
      <c r="Y12" s="17">
        <v>2425.3000000000002</v>
      </c>
      <c r="Z12" s="17">
        <v>3606.75</v>
      </c>
      <c r="AA12" s="17">
        <v>1846.02</v>
      </c>
      <c r="AB12" s="17">
        <v>7412.81</v>
      </c>
      <c r="AC12" s="17">
        <v>-676.86</v>
      </c>
      <c r="AD12" s="17">
        <v>900.26</v>
      </c>
      <c r="AE12" s="17">
        <v>550106.30000000005</v>
      </c>
      <c r="AF12" s="17">
        <v>52201.48</v>
      </c>
      <c r="AG12" s="17">
        <v>-967.2</v>
      </c>
    </row>
    <row r="13" spans="1:33" x14ac:dyDescent="0.2">
      <c r="A13" s="11" t="s">
        <v>87</v>
      </c>
      <c r="B13" s="21">
        <v>-210158.99</v>
      </c>
      <c r="C13" s="17">
        <v>-205517.23</v>
      </c>
      <c r="D13" s="10"/>
      <c r="E13" s="17">
        <v>-4641.7700000000004</v>
      </c>
      <c r="F13" s="10"/>
      <c r="G13" s="17">
        <v>-2467.0500000000002</v>
      </c>
      <c r="H13" s="17">
        <v>-25.3</v>
      </c>
      <c r="I13" s="17">
        <v>-208.01</v>
      </c>
      <c r="J13" s="17">
        <v>-2451.35</v>
      </c>
      <c r="K13" s="17">
        <v>-329.03</v>
      </c>
      <c r="L13" s="17">
        <v>-0.13</v>
      </c>
      <c r="M13" s="15"/>
      <c r="N13" s="17">
        <v>-308.27</v>
      </c>
      <c r="O13" s="17">
        <v>-16.010000000000002</v>
      </c>
      <c r="P13" s="10"/>
      <c r="Q13" s="10"/>
      <c r="R13" s="17">
        <v>-24.18</v>
      </c>
      <c r="S13" s="17">
        <v>-13.94</v>
      </c>
      <c r="T13" s="17">
        <v>-12.01</v>
      </c>
      <c r="U13" s="10"/>
      <c r="V13" s="10"/>
      <c r="W13" s="10"/>
      <c r="X13" s="15"/>
      <c r="Y13" s="17">
        <v>-181.18</v>
      </c>
      <c r="Z13" s="17">
        <v>-0.11</v>
      </c>
      <c r="AA13" s="17">
        <v>-52.59</v>
      </c>
      <c r="AB13" s="17">
        <v>-8.25</v>
      </c>
      <c r="AC13" s="17">
        <v>-391.87</v>
      </c>
      <c r="AD13" s="17">
        <v>-231.28</v>
      </c>
      <c r="AE13" s="17">
        <v>-111630.52</v>
      </c>
      <c r="AF13" s="17">
        <v>52201.48</v>
      </c>
      <c r="AG13" s="17">
        <v>-1567.97</v>
      </c>
    </row>
    <row r="14" spans="1:33" x14ac:dyDescent="0.2">
      <c r="A14" s="11" t="s">
        <v>88</v>
      </c>
      <c r="B14" s="21">
        <v>-34441.79</v>
      </c>
      <c r="C14" s="17">
        <v>-33027.910000000003</v>
      </c>
      <c r="D14" s="10"/>
      <c r="E14" s="17">
        <v>-1413.87</v>
      </c>
      <c r="F14" s="10"/>
      <c r="G14" s="17">
        <v>-646.29</v>
      </c>
      <c r="H14" s="17">
        <v>-47.51</v>
      </c>
      <c r="I14" s="17">
        <v>-62.54</v>
      </c>
      <c r="J14" s="17">
        <v>-573.41</v>
      </c>
      <c r="K14" s="17">
        <v>-45.52</v>
      </c>
      <c r="L14" s="17">
        <v>-1.2</v>
      </c>
      <c r="M14" s="15"/>
      <c r="N14" s="17">
        <v>-653.79</v>
      </c>
      <c r="O14" s="10"/>
      <c r="P14" s="17">
        <v>-0.05</v>
      </c>
      <c r="Q14" s="10"/>
      <c r="R14" s="17">
        <v>-5.3</v>
      </c>
      <c r="S14" s="17">
        <v>-60.21</v>
      </c>
      <c r="T14" s="17">
        <v>-163.1</v>
      </c>
      <c r="U14" s="10"/>
      <c r="V14" s="10"/>
      <c r="W14" s="10"/>
      <c r="X14" s="15"/>
      <c r="Y14" s="17">
        <v>-224.18</v>
      </c>
      <c r="Z14" s="17">
        <v>-4.05</v>
      </c>
      <c r="AA14" s="17">
        <v>-173.99</v>
      </c>
      <c r="AB14" s="17">
        <v>-22.9</v>
      </c>
      <c r="AC14" s="17">
        <v>-143.19</v>
      </c>
      <c r="AD14" s="17">
        <v>-33.51</v>
      </c>
      <c r="AE14" s="17">
        <v>565138.68000000005</v>
      </c>
      <c r="AF14" s="10"/>
      <c r="AG14" s="17">
        <v>-391.96</v>
      </c>
    </row>
    <row r="15" spans="1:33" x14ac:dyDescent="0.2">
      <c r="A15" s="11" t="s">
        <v>89</v>
      </c>
      <c r="B15" s="21">
        <v>-12213.46</v>
      </c>
      <c r="C15" s="17">
        <v>-87588.72</v>
      </c>
      <c r="D15" s="17">
        <v>53863.4</v>
      </c>
      <c r="E15" s="17">
        <v>21511.86</v>
      </c>
      <c r="F15" s="10"/>
      <c r="G15" s="17">
        <v>3097.3</v>
      </c>
      <c r="H15" s="10"/>
      <c r="I15" s="10"/>
      <c r="J15" s="10"/>
      <c r="K15" s="10"/>
      <c r="L15" s="10"/>
      <c r="M15" s="15"/>
      <c r="N15" s="10"/>
      <c r="O15" s="10"/>
      <c r="P15" s="10"/>
      <c r="Q15" s="10"/>
      <c r="R15" s="10"/>
      <c r="S15" s="10"/>
      <c r="T15" s="10"/>
      <c r="U15" s="10"/>
      <c r="V15" s="10"/>
      <c r="W15" s="10"/>
      <c r="X15" s="15"/>
      <c r="Y15" s="10"/>
      <c r="Z15" s="10"/>
      <c r="AA15" s="10"/>
      <c r="AB15" s="10"/>
      <c r="AC15" s="10"/>
      <c r="AD15" s="10"/>
      <c r="AE15" s="10"/>
      <c r="AF15" s="10"/>
      <c r="AG15" s="10"/>
    </row>
    <row r="16" spans="1:33" x14ac:dyDescent="0.2">
      <c r="A16" s="11" t="s">
        <v>90</v>
      </c>
      <c r="B16" s="21">
        <v>-65672.62</v>
      </c>
      <c r="C16" s="17">
        <v>-9961.92</v>
      </c>
      <c r="D16" s="17">
        <v>-55710.7</v>
      </c>
      <c r="E16" s="10"/>
      <c r="F16" s="10"/>
      <c r="G16" s="10"/>
      <c r="H16" s="17">
        <v>47295.8</v>
      </c>
      <c r="I16" s="17">
        <v>955.61</v>
      </c>
      <c r="J16" s="10"/>
      <c r="K16" s="10"/>
      <c r="L16" s="10"/>
      <c r="M16" s="21">
        <v>1387.39</v>
      </c>
      <c r="N16" s="10"/>
      <c r="O16" s="10"/>
      <c r="P16" s="10"/>
      <c r="Q16" s="10"/>
      <c r="R16" s="10"/>
      <c r="S16" s="10"/>
      <c r="T16" s="10"/>
      <c r="U16" s="10"/>
      <c r="V16" s="10"/>
      <c r="W16" s="10"/>
      <c r="X16" s="15"/>
      <c r="Y16" s="10"/>
      <c r="Z16" s="10"/>
      <c r="AA16" s="10"/>
      <c r="AB16" s="10"/>
      <c r="AC16" s="10"/>
      <c r="AD16" s="10"/>
      <c r="AE16" s="10"/>
      <c r="AF16" s="10"/>
      <c r="AG16" s="10"/>
    </row>
    <row r="17" spans="1:33" x14ac:dyDescent="0.2">
      <c r="A17" s="11" t="s">
        <v>91</v>
      </c>
      <c r="B17" s="21">
        <v>-3239.84</v>
      </c>
      <c r="C17" s="17">
        <v>-3087.01</v>
      </c>
      <c r="D17" s="10"/>
      <c r="E17" s="17">
        <v>-152.83000000000001</v>
      </c>
      <c r="F17" s="10"/>
      <c r="G17" s="10"/>
      <c r="H17" s="10"/>
      <c r="I17" s="10"/>
      <c r="J17" s="10"/>
      <c r="K17" s="10"/>
      <c r="L17" s="10"/>
      <c r="M17" s="21">
        <v>-309.44</v>
      </c>
      <c r="N17" s="17">
        <v>9842.42</v>
      </c>
      <c r="O17" s="17">
        <v>-66891.929999999993</v>
      </c>
      <c r="P17" s="17">
        <v>14880.68</v>
      </c>
      <c r="Q17" s="17">
        <v>5322.59</v>
      </c>
      <c r="R17" s="17">
        <v>17308.27</v>
      </c>
      <c r="S17" s="17">
        <v>4506.05</v>
      </c>
      <c r="T17" s="17">
        <v>6620.07</v>
      </c>
      <c r="U17" s="17">
        <v>232.36</v>
      </c>
      <c r="V17" s="17">
        <v>308.88</v>
      </c>
      <c r="W17" s="17">
        <v>82.36</v>
      </c>
      <c r="X17" s="21">
        <v>3313.86</v>
      </c>
      <c r="Y17" s="17">
        <v>2838.81</v>
      </c>
      <c r="Z17" s="17">
        <v>4210.01</v>
      </c>
      <c r="AA17" s="17">
        <v>2187.92</v>
      </c>
      <c r="AB17" s="17">
        <v>14922.52</v>
      </c>
      <c r="AC17" s="17">
        <v>-32.35</v>
      </c>
      <c r="AD17" s="10"/>
      <c r="AE17" s="10"/>
      <c r="AF17" s="10"/>
      <c r="AG17" s="17">
        <v>-138.97999999999999</v>
      </c>
    </row>
    <row r="18" spans="1:33" x14ac:dyDescent="0.2">
      <c r="A18" s="11" t="s">
        <v>92</v>
      </c>
      <c r="B18" s="15"/>
      <c r="C18" s="10"/>
      <c r="D18" s="10"/>
      <c r="E18" s="10"/>
      <c r="F18" s="10"/>
      <c r="G18" s="10"/>
      <c r="H18" s="10"/>
      <c r="I18" s="10"/>
      <c r="J18" s="10"/>
      <c r="K18" s="10"/>
      <c r="L18" s="10"/>
      <c r="M18" s="15"/>
      <c r="N18" s="17">
        <v>-12330.3</v>
      </c>
      <c r="O18" s="10"/>
      <c r="P18" s="17">
        <v>-28.54</v>
      </c>
      <c r="Q18" s="10"/>
      <c r="R18" s="17">
        <v>-82.86</v>
      </c>
      <c r="S18" s="17">
        <v>-2320.83</v>
      </c>
      <c r="T18" s="17">
        <v>-1348.83</v>
      </c>
      <c r="U18" s="17">
        <v>-2.25</v>
      </c>
      <c r="V18" s="17">
        <v>-6.15</v>
      </c>
      <c r="W18" s="10"/>
      <c r="X18" s="21">
        <v>-343.42</v>
      </c>
      <c r="Y18" s="17">
        <v>-8.15</v>
      </c>
      <c r="Z18" s="17">
        <v>-595.4</v>
      </c>
      <c r="AA18" s="17">
        <v>-115.31</v>
      </c>
      <c r="AB18" s="17">
        <v>-7478.56</v>
      </c>
      <c r="AC18" s="10"/>
      <c r="AD18" s="10"/>
      <c r="AE18" s="10"/>
      <c r="AF18" s="10"/>
      <c r="AG18" s="10"/>
    </row>
    <row r="19" spans="1:33" x14ac:dyDescent="0.2">
      <c r="A19" s="11" t="s">
        <v>93</v>
      </c>
      <c r="B19" s="21">
        <v>-2458.6999999999998</v>
      </c>
      <c r="C19" s="17">
        <v>-2293.81</v>
      </c>
      <c r="D19" s="10"/>
      <c r="E19" s="17">
        <v>-164.89</v>
      </c>
      <c r="F19" s="10"/>
      <c r="G19" s="10"/>
      <c r="H19" s="10"/>
      <c r="I19" s="10"/>
      <c r="J19" s="10"/>
      <c r="K19" s="10"/>
      <c r="L19" s="17">
        <v>184.58</v>
      </c>
      <c r="M19" s="15"/>
      <c r="N19" s="17">
        <v>-3.69</v>
      </c>
      <c r="O19" s="10"/>
      <c r="P19" s="10"/>
      <c r="Q19" s="10"/>
      <c r="R19" s="10"/>
      <c r="S19" s="10"/>
      <c r="T19" s="10"/>
      <c r="U19" s="10"/>
      <c r="V19" s="10"/>
      <c r="W19" s="10"/>
      <c r="X19" s="15"/>
      <c r="Y19" s="10"/>
      <c r="Z19" s="17">
        <v>-3.69</v>
      </c>
      <c r="AA19" s="10"/>
      <c r="AB19" s="10"/>
      <c r="AC19" s="17">
        <v>64.73</v>
      </c>
      <c r="AD19" s="10"/>
      <c r="AE19" s="10"/>
      <c r="AF19" s="10"/>
      <c r="AG19" s="10"/>
    </row>
    <row r="20" spans="1:33" x14ac:dyDescent="0.2">
      <c r="A20" s="11" t="s">
        <v>94</v>
      </c>
      <c r="B20" s="15"/>
      <c r="C20" s="10"/>
      <c r="D20" s="10"/>
      <c r="E20" s="10"/>
      <c r="F20" s="10"/>
      <c r="G20" s="10"/>
      <c r="H20" s="17">
        <v>-16.510000000000002</v>
      </c>
      <c r="I20" s="10"/>
      <c r="J20" s="10"/>
      <c r="K20" s="10"/>
      <c r="L20" s="10"/>
      <c r="M20" s="15"/>
      <c r="N20" s="10"/>
      <c r="O20" s="10"/>
      <c r="P20" s="10"/>
      <c r="Q20" s="10"/>
      <c r="R20" s="10"/>
      <c r="S20" s="10"/>
      <c r="T20" s="10"/>
      <c r="U20" s="10"/>
      <c r="V20" s="10"/>
      <c r="W20" s="10"/>
      <c r="X20" s="15"/>
      <c r="Y20" s="10"/>
      <c r="Z20" s="10"/>
      <c r="AA20" s="10"/>
      <c r="AB20" s="10"/>
      <c r="AC20" s="10"/>
      <c r="AD20" s="10"/>
      <c r="AE20" s="10"/>
      <c r="AF20" s="10"/>
      <c r="AG20" s="10"/>
    </row>
    <row r="21" spans="1:33" x14ac:dyDescent="0.2">
      <c r="A21" s="11" t="s">
        <v>95</v>
      </c>
      <c r="B21" s="15"/>
      <c r="C21" s="10"/>
      <c r="D21" s="10"/>
      <c r="E21" s="10"/>
      <c r="F21" s="10"/>
      <c r="G21" s="10"/>
      <c r="H21" s="10"/>
      <c r="I21" s="10"/>
      <c r="J21" s="10"/>
      <c r="K21" s="17">
        <v>-0.12</v>
      </c>
      <c r="L21" s="10"/>
      <c r="M21" s="15"/>
      <c r="N21" s="10"/>
      <c r="O21" s="10"/>
      <c r="P21" s="10"/>
      <c r="Q21" s="10"/>
      <c r="R21" s="10"/>
      <c r="S21" s="10"/>
      <c r="T21" s="10"/>
      <c r="U21" s="10"/>
      <c r="V21" s="10"/>
      <c r="W21" s="10"/>
      <c r="X21" s="15"/>
      <c r="Y21" s="10"/>
      <c r="Z21" s="10"/>
      <c r="AA21" s="10"/>
      <c r="AB21" s="10"/>
      <c r="AC21" s="17">
        <v>-174.19</v>
      </c>
      <c r="AD21" s="17">
        <v>1165.05</v>
      </c>
      <c r="AE21" s="10"/>
      <c r="AF21" s="10"/>
      <c r="AG21" s="10"/>
    </row>
    <row r="22" spans="1:33" x14ac:dyDescent="0.2">
      <c r="A22" s="11" t="s">
        <v>96</v>
      </c>
      <c r="B22" s="21">
        <v>-279.88</v>
      </c>
      <c r="C22" s="17">
        <v>-395.25</v>
      </c>
      <c r="D22" s="10"/>
      <c r="E22" s="17">
        <v>-1275.1099999999999</v>
      </c>
      <c r="F22" s="17">
        <v>1390.48</v>
      </c>
      <c r="G22" s="10"/>
      <c r="H22" s="10"/>
      <c r="I22" s="10"/>
      <c r="J22" s="10"/>
      <c r="K22" s="10"/>
      <c r="L22" s="10"/>
      <c r="M22" s="15"/>
      <c r="N22" s="10"/>
      <c r="O22" s="10"/>
      <c r="P22" s="10"/>
      <c r="Q22" s="10"/>
      <c r="R22" s="10"/>
      <c r="S22" s="10"/>
      <c r="T22" s="10"/>
      <c r="U22" s="10"/>
      <c r="V22" s="10"/>
      <c r="W22" s="10"/>
      <c r="X22" s="15"/>
      <c r="Y22" s="10"/>
      <c r="Z22" s="10"/>
      <c r="AA22" s="10"/>
      <c r="AB22" s="10"/>
      <c r="AC22" s="10"/>
      <c r="AD22" s="10"/>
      <c r="AE22" s="10"/>
      <c r="AF22" s="10"/>
      <c r="AG22" s="10"/>
    </row>
    <row r="23" spans="1:33" x14ac:dyDescent="0.2">
      <c r="A23" s="11" t="s">
        <v>97</v>
      </c>
      <c r="B23" s="15"/>
      <c r="C23" s="10"/>
      <c r="D23" s="10"/>
      <c r="E23" s="10"/>
      <c r="F23" s="10"/>
      <c r="G23" s="10"/>
      <c r="H23" s="10"/>
      <c r="I23" s="10"/>
      <c r="J23" s="17">
        <v>11130.88</v>
      </c>
      <c r="K23" s="17">
        <v>961.71</v>
      </c>
      <c r="L23" s="10"/>
      <c r="M23" s="15"/>
      <c r="N23" s="10"/>
      <c r="O23" s="10"/>
      <c r="P23" s="10"/>
      <c r="Q23" s="10"/>
      <c r="R23" s="10"/>
      <c r="S23" s="10"/>
      <c r="T23" s="10"/>
      <c r="U23" s="10"/>
      <c r="V23" s="10"/>
      <c r="W23" s="10"/>
      <c r="X23" s="15"/>
      <c r="Y23" s="10"/>
      <c r="Z23" s="10"/>
      <c r="AA23" s="10"/>
      <c r="AB23" s="10"/>
      <c r="AC23" s="10"/>
      <c r="AD23" s="10"/>
      <c r="AE23" s="17">
        <v>96598.13</v>
      </c>
      <c r="AF23" s="10"/>
      <c r="AG23" s="17">
        <v>1131.7</v>
      </c>
    </row>
    <row r="24" spans="1:33" x14ac:dyDescent="0.2">
      <c r="A24" s="9" t="s">
        <v>98</v>
      </c>
      <c r="B24" s="15"/>
      <c r="C24" s="10"/>
      <c r="D24" s="10"/>
      <c r="E24" s="10"/>
      <c r="F24" s="10"/>
      <c r="G24" s="10"/>
      <c r="H24" s="10"/>
      <c r="I24" s="10"/>
      <c r="J24" s="10"/>
      <c r="K24" s="10"/>
      <c r="L24" s="10"/>
      <c r="M24" s="15"/>
      <c r="N24" s="17">
        <v>34.46</v>
      </c>
      <c r="O24" s="17">
        <v>33.83</v>
      </c>
      <c r="P24" s="10"/>
      <c r="Q24" s="10"/>
      <c r="R24" s="10"/>
      <c r="S24" s="10"/>
      <c r="T24" s="10"/>
      <c r="U24" s="10"/>
      <c r="V24" s="10"/>
      <c r="W24" s="10"/>
      <c r="X24" s="15"/>
      <c r="Y24" s="10"/>
      <c r="Z24" s="17">
        <v>0.63</v>
      </c>
      <c r="AA24" s="10"/>
      <c r="AB24" s="10"/>
      <c r="AC24" s="17">
        <v>20.95</v>
      </c>
      <c r="AD24" s="17">
        <v>6.26</v>
      </c>
      <c r="AE24" s="17">
        <v>5297.62</v>
      </c>
      <c r="AF24" s="17">
        <v>3330.1</v>
      </c>
      <c r="AG24" s="10"/>
    </row>
    <row r="25" spans="1:33" x14ac:dyDescent="0.2">
      <c r="A25" s="9" t="s">
        <v>99</v>
      </c>
      <c r="B25" s="21">
        <v>73449.39</v>
      </c>
      <c r="C25" s="17">
        <v>58985.75</v>
      </c>
      <c r="D25" s="10"/>
      <c r="E25" s="17">
        <v>13101.54</v>
      </c>
      <c r="F25" s="17">
        <v>1362.1</v>
      </c>
      <c r="G25" s="10"/>
      <c r="H25" s="17">
        <v>46336.639999999999</v>
      </c>
      <c r="I25" s="17">
        <v>710.6</v>
      </c>
      <c r="J25" s="17">
        <v>8339.48</v>
      </c>
      <c r="K25" s="17">
        <v>581.53</v>
      </c>
      <c r="L25" s="17">
        <v>190.06</v>
      </c>
      <c r="M25" s="21">
        <v>1133.1199999999999</v>
      </c>
      <c r="N25" s="17">
        <v>61018.45</v>
      </c>
      <c r="O25" s="17">
        <v>326.5</v>
      </c>
      <c r="P25" s="17">
        <v>13599.38</v>
      </c>
      <c r="Q25" s="17">
        <v>3950.23</v>
      </c>
      <c r="R25" s="17">
        <v>14805.62</v>
      </c>
      <c r="S25" s="17">
        <v>2295.37</v>
      </c>
      <c r="T25" s="17">
        <v>5747.08</v>
      </c>
      <c r="U25" s="17">
        <v>248.37</v>
      </c>
      <c r="V25" s="17">
        <v>257.10000000000002</v>
      </c>
      <c r="W25" s="17">
        <v>91.74</v>
      </c>
      <c r="X25" s="21">
        <v>3256.43</v>
      </c>
      <c r="Y25" s="17">
        <v>3030.97</v>
      </c>
      <c r="Z25" s="17">
        <v>5462.48</v>
      </c>
      <c r="AA25" s="17">
        <v>1830.56</v>
      </c>
      <c r="AB25" s="17">
        <v>6116.62</v>
      </c>
      <c r="AC25" s="17">
        <v>1531.78</v>
      </c>
      <c r="AD25" s="17">
        <v>6909.09</v>
      </c>
      <c r="AE25" s="17">
        <v>54480839</v>
      </c>
      <c r="AF25" s="17">
        <v>71536.02</v>
      </c>
      <c r="AG25" s="17">
        <v>6091.03</v>
      </c>
    </row>
    <row r="26" spans="1:33" x14ac:dyDescent="0.2">
      <c r="A26" s="11" t="s">
        <v>100</v>
      </c>
      <c r="B26" s="21">
        <v>2202.0700000000002</v>
      </c>
      <c r="C26" s="17">
        <v>2110.86</v>
      </c>
      <c r="D26" s="10"/>
      <c r="E26" s="17">
        <v>91.21</v>
      </c>
      <c r="F26" s="10"/>
      <c r="G26" s="10"/>
      <c r="H26" s="17">
        <v>59.67</v>
      </c>
      <c r="I26" s="10"/>
      <c r="J26" s="10"/>
      <c r="K26" s="10"/>
      <c r="L26" s="10"/>
      <c r="M26" s="15"/>
      <c r="N26" s="17">
        <v>1748.2</v>
      </c>
      <c r="O26" s="10"/>
      <c r="P26" s="17">
        <v>253.18</v>
      </c>
      <c r="Q26" s="17">
        <v>10.95</v>
      </c>
      <c r="R26" s="17">
        <v>1475.05</v>
      </c>
      <c r="S26" s="17">
        <v>1.19</v>
      </c>
      <c r="T26" s="10"/>
      <c r="U26" s="10"/>
      <c r="V26" s="10"/>
      <c r="W26" s="10"/>
      <c r="X26" s="15"/>
      <c r="Y26" s="10"/>
      <c r="Z26" s="17">
        <v>7.82</v>
      </c>
      <c r="AA26" s="10"/>
      <c r="AB26" s="10"/>
      <c r="AC26" s="17">
        <v>1.24</v>
      </c>
      <c r="AD26" s="10"/>
      <c r="AE26" s="17">
        <v>69.88</v>
      </c>
      <c r="AF26" s="17">
        <v>1336.2</v>
      </c>
      <c r="AG26" s="17">
        <v>675.84</v>
      </c>
    </row>
    <row r="27" spans="1:33" x14ac:dyDescent="0.2">
      <c r="A27" s="11" t="s">
        <v>101</v>
      </c>
      <c r="B27" s="21">
        <v>58802.35</v>
      </c>
      <c r="C27" s="17">
        <v>45514.41</v>
      </c>
      <c r="D27" s="10"/>
      <c r="E27" s="17">
        <v>12410.86</v>
      </c>
      <c r="F27" s="17">
        <v>877.09</v>
      </c>
      <c r="G27" s="10"/>
      <c r="H27" s="17">
        <v>46230.86</v>
      </c>
      <c r="I27" s="17">
        <v>701.86</v>
      </c>
      <c r="J27" s="17">
        <v>8339.48</v>
      </c>
      <c r="K27" s="17">
        <v>581.53</v>
      </c>
      <c r="L27" s="17">
        <v>140.91999999999999</v>
      </c>
      <c r="M27" s="21">
        <v>1133.1199999999999</v>
      </c>
      <c r="N27" s="17">
        <v>21732.37</v>
      </c>
      <c r="O27" s="17">
        <v>326.5</v>
      </c>
      <c r="P27" s="17">
        <v>233.41</v>
      </c>
      <c r="Q27" s="17">
        <v>10.97</v>
      </c>
      <c r="R27" s="17">
        <v>1178.27</v>
      </c>
      <c r="S27" s="17">
        <v>217.56</v>
      </c>
      <c r="T27" s="17">
        <v>5747.08</v>
      </c>
      <c r="U27" s="17">
        <v>248.37</v>
      </c>
      <c r="V27" s="17">
        <v>257.10000000000002</v>
      </c>
      <c r="W27" s="17">
        <v>91.74</v>
      </c>
      <c r="X27" s="21">
        <v>264.42</v>
      </c>
      <c r="Y27" s="17">
        <v>3030.97</v>
      </c>
      <c r="Z27" s="17">
        <v>2266.9899999999998</v>
      </c>
      <c r="AA27" s="17">
        <v>1830.56</v>
      </c>
      <c r="AB27" s="17">
        <v>6028.41</v>
      </c>
      <c r="AC27" s="17">
        <v>631.02</v>
      </c>
      <c r="AD27" s="17">
        <v>6508.45</v>
      </c>
      <c r="AE27" s="17">
        <v>380696.5</v>
      </c>
      <c r="AF27" s="17">
        <v>47368.2</v>
      </c>
      <c r="AG27" s="17">
        <v>976.87</v>
      </c>
    </row>
    <row r="28" spans="1:33" x14ac:dyDescent="0.2">
      <c r="A28" s="11" t="s">
        <v>102</v>
      </c>
      <c r="B28" s="21">
        <v>12689.15</v>
      </c>
      <c r="C28" s="17">
        <v>10880.31</v>
      </c>
      <c r="D28" s="10"/>
      <c r="E28" s="17">
        <v>1738.76</v>
      </c>
      <c r="F28" s="17">
        <v>70.08</v>
      </c>
      <c r="G28" s="10"/>
      <c r="H28" s="17">
        <v>1474.76</v>
      </c>
      <c r="I28" s="10"/>
      <c r="J28" s="10"/>
      <c r="K28" s="10"/>
      <c r="L28" s="10"/>
      <c r="M28" s="21">
        <v>448.04</v>
      </c>
      <c r="N28" s="17">
        <v>11507.24</v>
      </c>
      <c r="O28" s="10"/>
      <c r="P28" s="17">
        <v>2.15</v>
      </c>
      <c r="Q28" s="17">
        <v>1.17</v>
      </c>
      <c r="R28" s="17">
        <v>17.399999999999999</v>
      </c>
      <c r="S28" s="17">
        <v>31.3</v>
      </c>
      <c r="T28" s="17">
        <v>5505.3</v>
      </c>
      <c r="U28" s="17">
        <v>227.2</v>
      </c>
      <c r="V28" s="17">
        <v>252.77</v>
      </c>
      <c r="W28" s="17">
        <v>88.61</v>
      </c>
      <c r="X28" s="21">
        <v>206.89</v>
      </c>
      <c r="Y28" s="17">
        <v>2276.35</v>
      </c>
      <c r="Z28" s="17">
        <v>503.89</v>
      </c>
      <c r="AA28" s="17">
        <v>50.35</v>
      </c>
      <c r="AB28" s="17">
        <v>2343.85</v>
      </c>
      <c r="AC28" s="17">
        <v>92.44</v>
      </c>
      <c r="AD28" s="17">
        <v>94.35</v>
      </c>
      <c r="AE28" s="10"/>
      <c r="AF28" s="10"/>
      <c r="AG28" s="10"/>
    </row>
    <row r="29" spans="1:33" x14ac:dyDescent="0.2">
      <c r="A29" s="11" t="s">
        <v>103</v>
      </c>
      <c r="B29" s="21">
        <v>639.80999999999995</v>
      </c>
      <c r="C29" s="17">
        <v>596.64</v>
      </c>
      <c r="D29" s="10"/>
      <c r="E29" s="17">
        <v>43.17</v>
      </c>
      <c r="F29" s="10"/>
      <c r="G29" s="10"/>
      <c r="H29" s="17">
        <v>9.6999999999999993</v>
      </c>
      <c r="I29" s="10"/>
      <c r="J29" s="10"/>
      <c r="K29" s="10"/>
      <c r="L29" s="10"/>
      <c r="M29" s="15"/>
      <c r="N29" s="17">
        <v>4055.13</v>
      </c>
      <c r="O29" s="10"/>
      <c r="P29" s="17">
        <v>499.89</v>
      </c>
      <c r="Q29" s="17">
        <v>16.03</v>
      </c>
      <c r="R29" s="17">
        <v>530.27</v>
      </c>
      <c r="S29" s="17">
        <v>31.84</v>
      </c>
      <c r="T29" s="10"/>
      <c r="U29" s="10"/>
      <c r="V29" s="10"/>
      <c r="W29" s="10"/>
      <c r="X29" s="21">
        <v>2874.87</v>
      </c>
      <c r="Y29" s="10"/>
      <c r="Z29" s="17">
        <v>14.03</v>
      </c>
      <c r="AA29" s="10"/>
      <c r="AB29" s="17">
        <v>88.21</v>
      </c>
      <c r="AC29" s="17">
        <v>2.81</v>
      </c>
      <c r="AD29" s="10"/>
      <c r="AE29" s="17">
        <v>2300.23</v>
      </c>
      <c r="AF29" s="17">
        <v>991.19</v>
      </c>
      <c r="AG29" s="17">
        <v>30.41</v>
      </c>
    </row>
    <row r="30" spans="1:33" x14ac:dyDescent="0.2">
      <c r="A30" s="11" t="s">
        <v>104</v>
      </c>
      <c r="B30" s="21">
        <v>282.61</v>
      </c>
      <c r="C30" s="17">
        <v>263.5</v>
      </c>
      <c r="D30" s="10"/>
      <c r="E30" s="17">
        <v>19.11</v>
      </c>
      <c r="F30" s="10"/>
      <c r="G30" s="10"/>
      <c r="H30" s="17">
        <v>0.36</v>
      </c>
      <c r="I30" s="10"/>
      <c r="J30" s="10"/>
      <c r="K30" s="10"/>
      <c r="L30" s="10"/>
      <c r="M30" s="15"/>
      <c r="N30" s="17">
        <v>22099.75</v>
      </c>
      <c r="O30" s="10"/>
      <c r="P30" s="17">
        <v>6244.92</v>
      </c>
      <c r="Q30" s="17">
        <v>3689.21</v>
      </c>
      <c r="R30" s="17">
        <v>9867.31</v>
      </c>
      <c r="S30" s="17">
        <v>2025.31</v>
      </c>
      <c r="T30" s="10"/>
      <c r="U30" s="10"/>
      <c r="V30" s="10"/>
      <c r="W30" s="10"/>
      <c r="X30" s="21">
        <v>117.14</v>
      </c>
      <c r="Y30" s="10"/>
      <c r="Z30" s="17">
        <v>155.85</v>
      </c>
      <c r="AA30" s="10"/>
      <c r="AB30" s="10"/>
      <c r="AC30" s="17">
        <v>274.62</v>
      </c>
      <c r="AD30" s="17">
        <v>400.64</v>
      </c>
      <c r="AE30" s="17">
        <v>4152.0200000000004</v>
      </c>
      <c r="AF30" s="17">
        <v>1752.34</v>
      </c>
      <c r="AG30" s="17">
        <v>1486.9</v>
      </c>
    </row>
    <row r="31" spans="1:33" x14ac:dyDescent="0.2">
      <c r="A31" s="11" t="s">
        <v>105</v>
      </c>
      <c r="B31" s="21">
        <v>2377.77</v>
      </c>
      <c r="C31" s="17">
        <v>2309.25</v>
      </c>
      <c r="D31" s="10"/>
      <c r="E31" s="17">
        <v>39.92</v>
      </c>
      <c r="F31" s="17">
        <v>28.59</v>
      </c>
      <c r="G31" s="10"/>
      <c r="H31" s="17">
        <v>16.91</v>
      </c>
      <c r="I31" s="17">
        <v>0.95</v>
      </c>
      <c r="J31" s="10"/>
      <c r="K31" s="10"/>
      <c r="L31" s="17">
        <v>9.43</v>
      </c>
      <c r="M31" s="15"/>
      <c r="N31" s="17">
        <v>608.41</v>
      </c>
      <c r="O31" s="10"/>
      <c r="P31" s="17">
        <v>287.95</v>
      </c>
      <c r="Q31" s="17">
        <v>15.47</v>
      </c>
      <c r="R31" s="17">
        <v>203.88</v>
      </c>
      <c r="S31" s="17">
        <v>10.220000000000001</v>
      </c>
      <c r="T31" s="10"/>
      <c r="U31" s="10"/>
      <c r="V31" s="10"/>
      <c r="W31" s="10"/>
      <c r="X31" s="15"/>
      <c r="Y31" s="10"/>
      <c r="Z31" s="17">
        <v>90.89</v>
      </c>
      <c r="AA31" s="10"/>
      <c r="AB31" s="10"/>
      <c r="AC31" s="17">
        <v>62.46</v>
      </c>
      <c r="AD31" s="10"/>
      <c r="AE31" s="17">
        <v>9533.06</v>
      </c>
      <c r="AF31" s="17">
        <v>3187.1</v>
      </c>
      <c r="AG31" s="17">
        <v>67.010000000000005</v>
      </c>
    </row>
    <row r="32" spans="1:33" x14ac:dyDescent="0.2">
      <c r="A32" s="11" t="s">
        <v>106</v>
      </c>
      <c r="B32" s="21">
        <v>2598.1799999999998</v>
      </c>
      <c r="C32" s="17">
        <v>2500.19</v>
      </c>
      <c r="D32" s="10"/>
      <c r="E32" s="17">
        <v>89.23</v>
      </c>
      <c r="F32" s="17">
        <v>8.76</v>
      </c>
      <c r="G32" s="10"/>
      <c r="H32" s="17">
        <v>6.32</v>
      </c>
      <c r="I32" s="17">
        <v>1.23</v>
      </c>
      <c r="J32" s="10"/>
      <c r="K32" s="10"/>
      <c r="L32" s="10"/>
      <c r="M32" s="15"/>
      <c r="N32" s="17">
        <v>3460.61</v>
      </c>
      <c r="O32" s="10"/>
      <c r="P32" s="17">
        <v>2240.92</v>
      </c>
      <c r="Q32" s="17">
        <v>184.17</v>
      </c>
      <c r="R32" s="17">
        <v>954.04</v>
      </c>
      <c r="S32" s="17">
        <v>9.25</v>
      </c>
      <c r="T32" s="10"/>
      <c r="U32" s="10"/>
      <c r="V32" s="10"/>
      <c r="W32" s="10"/>
      <c r="X32" s="15"/>
      <c r="Y32" s="10"/>
      <c r="Z32" s="17">
        <v>72.23</v>
      </c>
      <c r="AA32" s="10"/>
      <c r="AB32" s="10"/>
      <c r="AC32" s="17">
        <v>57.32</v>
      </c>
      <c r="AD32" s="10"/>
      <c r="AE32" s="17">
        <v>19224.64</v>
      </c>
      <c r="AF32" s="17">
        <v>6263.78</v>
      </c>
      <c r="AG32" s="17">
        <v>271.88</v>
      </c>
    </row>
    <row r="33" spans="1:33" x14ac:dyDescent="0.2">
      <c r="A33" s="11" t="s">
        <v>107</v>
      </c>
      <c r="B33" s="21">
        <v>6546.6</v>
      </c>
      <c r="C33" s="17">
        <v>5690.91</v>
      </c>
      <c r="D33" s="10"/>
      <c r="E33" s="17">
        <v>408.04</v>
      </c>
      <c r="F33" s="17">
        <v>447.65</v>
      </c>
      <c r="G33" s="10"/>
      <c r="H33" s="17">
        <v>12.81</v>
      </c>
      <c r="I33" s="17">
        <v>6.56</v>
      </c>
      <c r="J33" s="10"/>
      <c r="K33" s="10"/>
      <c r="L33" s="17">
        <v>39.71</v>
      </c>
      <c r="M33" s="15"/>
      <c r="N33" s="17">
        <v>7313.99</v>
      </c>
      <c r="O33" s="10"/>
      <c r="P33" s="17">
        <v>3839.1</v>
      </c>
      <c r="Q33" s="17">
        <v>23.43</v>
      </c>
      <c r="R33" s="17">
        <v>596.79</v>
      </c>
      <c r="S33" s="10"/>
      <c r="T33" s="10"/>
      <c r="U33" s="10"/>
      <c r="V33" s="10"/>
      <c r="W33" s="10"/>
      <c r="X33" s="15"/>
      <c r="Y33" s="10"/>
      <c r="Z33" s="17">
        <v>2854.67</v>
      </c>
      <c r="AA33" s="10"/>
      <c r="AB33" s="10"/>
      <c r="AC33" s="17">
        <v>502.32</v>
      </c>
      <c r="AD33" s="10"/>
      <c r="AE33" s="17">
        <v>128832.05</v>
      </c>
      <c r="AF33" s="17">
        <v>10637.21</v>
      </c>
      <c r="AG33" s="17">
        <v>2582.12</v>
      </c>
    </row>
    <row r="34" spans="1:33" x14ac:dyDescent="0.2">
      <c r="A34" s="11" t="s">
        <v>108</v>
      </c>
      <c r="B34" s="21">
        <v>800.99</v>
      </c>
      <c r="C34" s="17">
        <v>623.77</v>
      </c>
      <c r="D34" s="10"/>
      <c r="E34" s="17">
        <v>55.82</v>
      </c>
      <c r="F34" s="17">
        <v>121.4</v>
      </c>
      <c r="G34" s="10"/>
      <c r="H34" s="17">
        <v>2.9</v>
      </c>
      <c r="I34" s="17">
        <v>5.0199999999999996</v>
      </c>
      <c r="J34" s="10"/>
      <c r="K34" s="10"/>
      <c r="L34" s="17">
        <v>39.549999999999997</v>
      </c>
      <c r="M34" s="15"/>
      <c r="N34" s="17">
        <v>4960.3599999999997</v>
      </c>
      <c r="O34" s="10"/>
      <c r="P34" s="17">
        <v>2570.09</v>
      </c>
      <c r="Q34" s="17">
        <v>0.36</v>
      </c>
      <c r="R34" s="17">
        <v>274.45999999999998</v>
      </c>
      <c r="S34" s="10"/>
      <c r="T34" s="10"/>
      <c r="U34" s="10"/>
      <c r="V34" s="10"/>
      <c r="W34" s="10"/>
      <c r="X34" s="15"/>
      <c r="Y34" s="10"/>
      <c r="Z34" s="17">
        <v>2115.4499999999998</v>
      </c>
      <c r="AA34" s="10"/>
      <c r="AB34" s="10"/>
      <c r="AC34" s="17">
        <v>497.4</v>
      </c>
      <c r="AD34" s="10"/>
      <c r="AE34" s="17">
        <v>128832.05</v>
      </c>
      <c r="AF34" s="17">
        <v>5838.25</v>
      </c>
      <c r="AG34" s="17">
        <v>242.26</v>
      </c>
    </row>
    <row r="35" spans="1:33" x14ac:dyDescent="0.2">
      <c r="A35" s="11" t="s">
        <v>109</v>
      </c>
      <c r="B35" s="21">
        <v>5745.61</v>
      </c>
      <c r="C35" s="17">
        <v>5067.1400000000003</v>
      </c>
      <c r="D35" s="10"/>
      <c r="E35" s="17">
        <v>352.22</v>
      </c>
      <c r="F35" s="17">
        <v>326.25</v>
      </c>
      <c r="G35" s="10"/>
      <c r="H35" s="17">
        <v>9.91</v>
      </c>
      <c r="I35" s="17">
        <v>1.54</v>
      </c>
      <c r="J35" s="10"/>
      <c r="K35" s="10"/>
      <c r="L35" s="17">
        <v>0.16</v>
      </c>
      <c r="M35" s="15"/>
      <c r="N35" s="17">
        <v>2353.63</v>
      </c>
      <c r="O35" s="10"/>
      <c r="P35" s="17">
        <v>1269.01</v>
      </c>
      <c r="Q35" s="17">
        <v>23.07</v>
      </c>
      <c r="R35" s="17">
        <v>322.33</v>
      </c>
      <c r="S35" s="10"/>
      <c r="T35" s="10"/>
      <c r="U35" s="10"/>
      <c r="V35" s="10"/>
      <c r="W35" s="10"/>
      <c r="X35" s="15"/>
      <c r="Y35" s="10"/>
      <c r="Z35" s="17">
        <v>739.22</v>
      </c>
      <c r="AA35" s="10"/>
      <c r="AB35" s="10"/>
      <c r="AC35" s="17">
        <v>4.92</v>
      </c>
      <c r="AD35" s="10"/>
      <c r="AE35" s="10"/>
      <c r="AF35" s="17">
        <v>4798.96</v>
      </c>
      <c r="AG35" s="17">
        <v>2339.86</v>
      </c>
    </row>
    <row r="36" spans="1:33" x14ac:dyDescent="0.2">
      <c r="A36" s="9" t="s">
        <v>110</v>
      </c>
      <c r="B36" s="21">
        <v>3622.5</v>
      </c>
      <c r="C36" s="17">
        <v>3409.41</v>
      </c>
      <c r="D36" s="17">
        <v>-488.29</v>
      </c>
      <c r="E36" s="17">
        <v>691.85</v>
      </c>
      <c r="F36" s="17">
        <v>9.5399999999999991</v>
      </c>
      <c r="G36" s="17">
        <v>-16.05</v>
      </c>
      <c r="H36" s="17">
        <v>107.72</v>
      </c>
      <c r="I36" s="17">
        <v>-25.54</v>
      </c>
      <c r="J36" s="17">
        <v>-23336</v>
      </c>
      <c r="K36" s="17">
        <v>5.51</v>
      </c>
      <c r="L36" s="17">
        <v>-6.81</v>
      </c>
      <c r="M36" s="21">
        <v>-55.16</v>
      </c>
      <c r="N36" s="17">
        <v>2394.31</v>
      </c>
      <c r="O36" s="17">
        <v>739.21</v>
      </c>
      <c r="P36" s="17">
        <v>62.3</v>
      </c>
      <c r="Q36" s="17">
        <v>52.56</v>
      </c>
      <c r="R36" s="17">
        <v>441.65</v>
      </c>
      <c r="S36" s="17">
        <v>160.68</v>
      </c>
      <c r="T36" s="17">
        <v>6.93</v>
      </c>
      <c r="U36" s="17">
        <v>-0.41</v>
      </c>
      <c r="V36" s="17">
        <v>9.6999999999999993</v>
      </c>
      <c r="W36" s="10" t="s">
        <v>114</v>
      </c>
      <c r="X36" s="21">
        <v>-11.62</v>
      </c>
      <c r="Y36" s="17">
        <v>-15.24</v>
      </c>
      <c r="Z36" s="17">
        <v>94.25</v>
      </c>
      <c r="AA36" s="17">
        <v>15.46</v>
      </c>
      <c r="AB36" s="17">
        <v>843.91</v>
      </c>
      <c r="AC36" s="17">
        <v>-1.75</v>
      </c>
      <c r="AD36" s="17">
        <v>-338</v>
      </c>
      <c r="AE36" s="17">
        <v>0.28999999999999998</v>
      </c>
      <c r="AF36" s="17">
        <v>0.19</v>
      </c>
      <c r="AG36" s="17">
        <v>106.2</v>
      </c>
    </row>
    <row r="37" spans="1:33" x14ac:dyDescent="0.2">
      <c r="A37" s="12" t="s">
        <v>111</v>
      </c>
      <c r="B37" s="22">
        <v>401914.68</v>
      </c>
      <c r="C37" s="23">
        <v>400857.59999999998</v>
      </c>
      <c r="D37" s="23">
        <v>55710.7</v>
      </c>
      <c r="E37" s="23">
        <v>20750.009999999998</v>
      </c>
      <c r="F37" s="23">
        <v>1362.1</v>
      </c>
      <c r="G37" s="23">
        <v>3113.34</v>
      </c>
      <c r="H37" s="23">
        <v>46425.96</v>
      </c>
      <c r="I37" s="23">
        <v>981.15</v>
      </c>
      <c r="J37" s="23">
        <v>11364.24</v>
      </c>
      <c r="K37" s="23">
        <v>956.08</v>
      </c>
      <c r="L37" s="23">
        <v>19139</v>
      </c>
      <c r="M37" s="22">
        <v>1442.56</v>
      </c>
      <c r="N37" s="23">
        <v>64506.54</v>
      </c>
      <c r="O37" s="23">
        <v>67268.27</v>
      </c>
      <c r="P37" s="23">
        <v>13627.97</v>
      </c>
      <c r="Q37" s="23">
        <v>3950.23</v>
      </c>
      <c r="R37" s="23">
        <v>14917.95</v>
      </c>
      <c r="S37" s="23">
        <v>4690.34</v>
      </c>
      <c r="T37" s="23">
        <v>7271.04</v>
      </c>
      <c r="U37" s="23">
        <v>259.63</v>
      </c>
      <c r="V37" s="23">
        <v>263.25</v>
      </c>
      <c r="W37" s="23">
        <v>91.74</v>
      </c>
      <c r="X37" s="22">
        <v>3599.85</v>
      </c>
      <c r="Y37" s="23">
        <v>3444.47</v>
      </c>
      <c r="Z37" s="23">
        <v>6066.37</v>
      </c>
      <c r="AA37" s="23">
        <v>2172.4499999999998</v>
      </c>
      <c r="AB37" s="23">
        <v>1362633</v>
      </c>
      <c r="AC37" s="23">
        <v>2068.8200000000002</v>
      </c>
      <c r="AD37" s="23">
        <v>7180.14</v>
      </c>
      <c r="AE37" s="23">
        <v>661736.52</v>
      </c>
      <c r="AF37" s="23">
        <v>74866.12</v>
      </c>
      <c r="AG37" s="23">
        <v>8189.93</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EEA87-BFCB-4030-A837-5CE2F474968A}">
  <sheetPr codeName="Sheet4"/>
  <dimension ref="A1:J67"/>
  <sheetViews>
    <sheetView zoomScale="70" zoomScaleNormal="70" workbookViewId="0">
      <selection activeCell="O26" sqref="O26"/>
    </sheetView>
  </sheetViews>
  <sheetFormatPr defaultRowHeight="14.25" x14ac:dyDescent="0.2"/>
  <cols>
    <col min="1" max="1" width="36.625" bestFit="1" customWidth="1"/>
    <col min="2" max="10" width="10.625" customWidth="1"/>
  </cols>
  <sheetData>
    <row r="1" spans="1:10" x14ac:dyDescent="0.2">
      <c r="A1" s="1" t="s">
        <v>0</v>
      </c>
      <c r="B1" s="4">
        <v>2012</v>
      </c>
      <c r="C1" s="4">
        <v>2013</v>
      </c>
      <c r="D1" s="4">
        <v>2014</v>
      </c>
      <c r="E1" s="4">
        <v>2015</v>
      </c>
      <c r="F1" s="4">
        <v>2016</v>
      </c>
      <c r="G1" s="4">
        <v>2017</v>
      </c>
      <c r="H1" s="4">
        <v>2018</v>
      </c>
      <c r="I1" s="5">
        <v>2019</v>
      </c>
      <c r="J1" s="4">
        <v>2020</v>
      </c>
    </row>
    <row r="2" spans="1:10" x14ac:dyDescent="0.2">
      <c r="A2" s="18" t="s">
        <v>2</v>
      </c>
      <c r="B2" s="3">
        <v>15083</v>
      </c>
      <c r="C2" s="3">
        <v>14180</v>
      </c>
      <c r="D2" s="3">
        <v>11376</v>
      </c>
      <c r="E2" s="3">
        <v>10399</v>
      </c>
      <c r="F2" s="3">
        <v>9436</v>
      </c>
      <c r="G2" s="3">
        <v>9646</v>
      </c>
      <c r="H2" s="3">
        <v>9983</v>
      </c>
      <c r="I2" s="31">
        <v>10133</v>
      </c>
      <c r="J2" s="31">
        <v>8953</v>
      </c>
    </row>
    <row r="3" spans="1:10" x14ac:dyDescent="0.2">
      <c r="A3" s="18" t="s">
        <v>3</v>
      </c>
      <c r="B3" s="3">
        <v>3897</v>
      </c>
      <c r="C3" s="3">
        <v>4088</v>
      </c>
      <c r="D3" s="3">
        <v>4263</v>
      </c>
      <c r="E3" s="3">
        <v>4269</v>
      </c>
      <c r="F3" s="3">
        <v>3916</v>
      </c>
      <c r="G3" s="3">
        <v>3956</v>
      </c>
      <c r="H3" s="3">
        <v>3818</v>
      </c>
      <c r="I3" s="31">
        <v>3755</v>
      </c>
      <c r="J3" s="31">
        <v>3743</v>
      </c>
    </row>
    <row r="4" spans="1:10" x14ac:dyDescent="0.2">
      <c r="A4" s="18" t="s">
        <v>4</v>
      </c>
      <c r="B4" s="3">
        <v>2065</v>
      </c>
      <c r="C4" s="3">
        <v>2224</v>
      </c>
      <c r="D4" s="3">
        <v>2169</v>
      </c>
      <c r="E4" s="3">
        <v>1663</v>
      </c>
      <c r="F4" s="3">
        <v>1458</v>
      </c>
      <c r="G4" s="3">
        <v>1537</v>
      </c>
      <c r="H4" s="3">
        <v>1566</v>
      </c>
      <c r="I4" s="31">
        <v>1660</v>
      </c>
      <c r="J4" s="31">
        <v>1728</v>
      </c>
    </row>
    <row r="5" spans="1:10" x14ac:dyDescent="0.2">
      <c r="A5" s="18" t="s">
        <v>5</v>
      </c>
      <c r="B5" s="3">
        <v>1231</v>
      </c>
      <c r="C5" s="3">
        <v>1280</v>
      </c>
      <c r="D5" s="3">
        <v>1266</v>
      </c>
      <c r="E5" s="3">
        <v>1177</v>
      </c>
      <c r="F5" s="3">
        <v>1076</v>
      </c>
      <c r="G5" s="3">
        <v>1106</v>
      </c>
      <c r="H5" s="3">
        <v>1253</v>
      </c>
      <c r="I5" s="31">
        <v>1258</v>
      </c>
      <c r="J5" s="31">
        <v>1090</v>
      </c>
    </row>
    <row r="6" spans="1:10" x14ac:dyDescent="0.2">
      <c r="A6" s="18" t="s">
        <v>6</v>
      </c>
      <c r="B6" s="3">
        <v>1469</v>
      </c>
      <c r="C6" s="3">
        <v>1380</v>
      </c>
      <c r="D6" s="3">
        <v>1401</v>
      </c>
      <c r="E6" s="3">
        <v>1297</v>
      </c>
      <c r="F6" s="3">
        <v>1260</v>
      </c>
      <c r="G6" s="3">
        <v>1185</v>
      </c>
      <c r="H6" s="3">
        <v>1312</v>
      </c>
      <c r="I6" s="31">
        <v>1324</v>
      </c>
      <c r="J6" s="31">
        <v>1126</v>
      </c>
    </row>
    <row r="7" spans="1:10" x14ac:dyDescent="0.2">
      <c r="A7" s="18" t="s">
        <v>7</v>
      </c>
      <c r="B7" s="3">
        <v>481</v>
      </c>
      <c r="C7" s="3">
        <v>407</v>
      </c>
      <c r="D7" s="3">
        <v>397</v>
      </c>
      <c r="E7" s="3">
        <v>337</v>
      </c>
      <c r="F7" s="3">
        <v>286</v>
      </c>
      <c r="G7" s="3">
        <v>321</v>
      </c>
      <c r="H7" s="3">
        <v>464</v>
      </c>
      <c r="I7" s="31">
        <v>470</v>
      </c>
      <c r="J7" s="31">
        <v>322</v>
      </c>
    </row>
    <row r="8" spans="1:10" x14ac:dyDescent="0.2">
      <c r="A8" s="18" t="s">
        <v>8</v>
      </c>
      <c r="B8" s="3">
        <v>305</v>
      </c>
      <c r="C8" s="3">
        <v>365</v>
      </c>
      <c r="D8" s="3">
        <v>414</v>
      </c>
      <c r="E8" s="3">
        <v>348</v>
      </c>
      <c r="F8" s="3">
        <v>341</v>
      </c>
      <c r="G8" s="3">
        <v>347</v>
      </c>
      <c r="H8" s="3">
        <v>584</v>
      </c>
      <c r="I8" s="31">
        <v>633</v>
      </c>
      <c r="J8" s="31">
        <v>488</v>
      </c>
    </row>
    <row r="9" spans="1:10" x14ac:dyDescent="0.2">
      <c r="A9" s="18" t="s">
        <v>9</v>
      </c>
      <c r="B9" s="3">
        <v>3784</v>
      </c>
      <c r="C9" s="3">
        <v>3905</v>
      </c>
      <c r="D9" s="3">
        <v>4138</v>
      </c>
      <c r="E9" s="3">
        <v>4266</v>
      </c>
      <c r="F9" s="3">
        <v>4241</v>
      </c>
      <c r="G9" s="3">
        <v>4145</v>
      </c>
      <c r="H9" s="3">
        <v>4036</v>
      </c>
      <c r="I9" s="31">
        <v>4126</v>
      </c>
      <c r="J9" s="31">
        <v>4002</v>
      </c>
    </row>
    <row r="10" spans="1:10" x14ac:dyDescent="0.2">
      <c r="A10" s="18" t="s">
        <v>10</v>
      </c>
      <c r="B10" s="3">
        <v>1841</v>
      </c>
      <c r="C10" s="3">
        <v>1890</v>
      </c>
      <c r="D10" s="3">
        <v>1833</v>
      </c>
      <c r="E10" s="3">
        <v>1840</v>
      </c>
      <c r="F10" s="3">
        <v>1976</v>
      </c>
      <c r="G10" s="3">
        <v>1965</v>
      </c>
      <c r="H10" s="3">
        <v>1959</v>
      </c>
      <c r="I10" s="31">
        <v>2042</v>
      </c>
      <c r="J10" s="31">
        <v>2148</v>
      </c>
    </row>
    <row r="11" spans="1:10" x14ac:dyDescent="0.2">
      <c r="A11" s="18" t="s">
        <v>11</v>
      </c>
      <c r="B11" s="3">
        <v>1498</v>
      </c>
      <c r="C11" s="3">
        <v>1610</v>
      </c>
      <c r="D11" s="3">
        <v>1522</v>
      </c>
      <c r="E11" s="3">
        <v>1501</v>
      </c>
      <c r="F11" s="3">
        <v>1496</v>
      </c>
      <c r="G11" s="3">
        <v>1403</v>
      </c>
      <c r="H11" s="3">
        <v>1317</v>
      </c>
      <c r="I11" s="31">
        <v>1283</v>
      </c>
      <c r="J11" s="31">
        <v>1199</v>
      </c>
    </row>
    <row r="12" spans="1:10" x14ac:dyDescent="0.2">
      <c r="A12" s="18" t="s">
        <v>12</v>
      </c>
      <c r="B12" s="3">
        <v>257</v>
      </c>
      <c r="C12" s="3">
        <v>256</v>
      </c>
      <c r="D12" s="3">
        <v>238</v>
      </c>
      <c r="E12" s="3">
        <v>230</v>
      </c>
      <c r="F12" s="3">
        <v>206</v>
      </c>
      <c r="G12" s="3">
        <v>200</v>
      </c>
      <c r="H12" s="3">
        <v>198</v>
      </c>
      <c r="I12" s="31">
        <v>192</v>
      </c>
      <c r="J12" s="31">
        <v>180</v>
      </c>
    </row>
    <row r="13" spans="1:10" x14ac:dyDescent="0.2">
      <c r="A13" s="18" t="s">
        <v>13</v>
      </c>
      <c r="B13" s="3">
        <v>7290</v>
      </c>
      <c r="C13" s="3">
        <v>7366</v>
      </c>
      <c r="D13" s="3">
        <v>6962</v>
      </c>
      <c r="E13" s="3">
        <v>7159</v>
      </c>
      <c r="F13" s="3">
        <v>7303</v>
      </c>
      <c r="G13" s="3">
        <v>7518</v>
      </c>
      <c r="H13" s="3">
        <v>7372</v>
      </c>
      <c r="I13" s="31">
        <v>7398</v>
      </c>
      <c r="J13" s="31">
        <v>6982</v>
      </c>
    </row>
    <row r="14" spans="1:10" x14ac:dyDescent="0.2">
      <c r="A14" s="18" t="s">
        <v>14</v>
      </c>
      <c r="B14" s="3">
        <v>978</v>
      </c>
      <c r="C14" s="3">
        <v>971</v>
      </c>
      <c r="D14" s="3">
        <v>938</v>
      </c>
      <c r="E14" s="3">
        <v>923</v>
      </c>
      <c r="F14" s="3">
        <v>946</v>
      </c>
      <c r="G14" s="3">
        <v>882</v>
      </c>
      <c r="H14" s="3">
        <v>866</v>
      </c>
      <c r="I14" s="31">
        <v>905</v>
      </c>
      <c r="J14" s="31">
        <v>854</v>
      </c>
    </row>
    <row r="15" spans="1:10" x14ac:dyDescent="0.2">
      <c r="A15" s="18" t="s">
        <v>15</v>
      </c>
      <c r="B15" s="3">
        <v>679</v>
      </c>
      <c r="C15" s="3">
        <v>652</v>
      </c>
      <c r="D15" s="3">
        <v>619</v>
      </c>
      <c r="E15" s="3">
        <v>631</v>
      </c>
      <c r="F15" s="3">
        <v>607</v>
      </c>
      <c r="G15" s="3">
        <v>563</v>
      </c>
      <c r="H15" s="3">
        <v>546</v>
      </c>
      <c r="I15" s="31">
        <v>539</v>
      </c>
      <c r="J15" s="31">
        <v>489</v>
      </c>
    </row>
    <row r="16" spans="1:10" x14ac:dyDescent="0.2">
      <c r="A16" s="18" t="s">
        <v>16</v>
      </c>
      <c r="B16" s="3">
        <v>1575</v>
      </c>
      <c r="C16" s="3">
        <v>1522</v>
      </c>
      <c r="D16" s="3">
        <v>1409</v>
      </c>
      <c r="E16" s="3">
        <v>1306</v>
      </c>
      <c r="F16" s="3">
        <v>1194</v>
      </c>
      <c r="G16" s="3">
        <v>1082</v>
      </c>
      <c r="H16" s="3">
        <v>1059</v>
      </c>
      <c r="I16" s="31">
        <v>1036</v>
      </c>
      <c r="J16" s="31">
        <v>1007</v>
      </c>
    </row>
    <row r="17" spans="1:10" x14ac:dyDescent="0.2">
      <c r="A17" s="18" t="s">
        <v>17</v>
      </c>
      <c r="B17" s="3">
        <v>241</v>
      </c>
      <c r="C17" s="3">
        <v>247</v>
      </c>
      <c r="D17" s="3">
        <v>359</v>
      </c>
      <c r="E17" s="3">
        <v>376</v>
      </c>
      <c r="F17" s="3">
        <v>364</v>
      </c>
      <c r="G17" s="3">
        <v>353</v>
      </c>
      <c r="H17" s="3">
        <v>367</v>
      </c>
      <c r="I17" s="31">
        <v>383</v>
      </c>
      <c r="J17" s="31">
        <v>393</v>
      </c>
    </row>
    <row r="18" spans="1:10" x14ac:dyDescent="0.2">
      <c r="A18" s="18" t="s">
        <v>18</v>
      </c>
      <c r="B18" s="3">
        <v>4275</v>
      </c>
      <c r="C18" s="3">
        <v>4153</v>
      </c>
      <c r="D18" s="3">
        <v>4042</v>
      </c>
      <c r="E18" s="3">
        <v>4059</v>
      </c>
      <c r="F18" s="3">
        <v>4115</v>
      </c>
      <c r="G18" s="3">
        <v>4314</v>
      </c>
      <c r="H18" s="3">
        <v>4102</v>
      </c>
      <c r="I18" s="31">
        <v>3847</v>
      </c>
      <c r="J18" s="31">
        <v>3927</v>
      </c>
    </row>
    <row r="19" spans="1:10" x14ac:dyDescent="0.2">
      <c r="A19" s="18" t="s">
        <v>19</v>
      </c>
      <c r="B19" s="3">
        <v>428</v>
      </c>
      <c r="C19" s="3">
        <v>448</v>
      </c>
      <c r="D19" s="3">
        <v>466</v>
      </c>
      <c r="E19" s="3">
        <v>467</v>
      </c>
      <c r="F19" s="3">
        <v>481</v>
      </c>
      <c r="G19" s="3">
        <v>484</v>
      </c>
      <c r="H19" s="3">
        <v>517</v>
      </c>
      <c r="I19" s="31">
        <v>508</v>
      </c>
      <c r="J19" s="31">
        <v>498</v>
      </c>
    </row>
    <row r="20" spans="1:10" x14ac:dyDescent="0.2">
      <c r="A20" s="18" t="s">
        <v>20</v>
      </c>
      <c r="B20" s="3">
        <v>344</v>
      </c>
      <c r="C20" s="3">
        <v>368</v>
      </c>
      <c r="D20" s="3">
        <v>400</v>
      </c>
      <c r="E20" s="3">
        <v>393</v>
      </c>
      <c r="F20" s="3">
        <v>410</v>
      </c>
      <c r="G20" s="3">
        <v>435</v>
      </c>
      <c r="H20" s="3">
        <v>461</v>
      </c>
      <c r="I20" s="31">
        <v>493</v>
      </c>
      <c r="J20" s="31">
        <v>501</v>
      </c>
    </row>
    <row r="21" spans="1:10" x14ac:dyDescent="0.2">
      <c r="A21" s="18" t="s">
        <v>21</v>
      </c>
      <c r="B21" s="3">
        <v>18831</v>
      </c>
      <c r="C21" s="3">
        <v>19255</v>
      </c>
      <c r="D21" s="3">
        <v>20139</v>
      </c>
      <c r="E21" s="3">
        <v>24184</v>
      </c>
      <c r="F21" s="3">
        <v>24165</v>
      </c>
      <c r="G21" s="3">
        <v>26458</v>
      </c>
      <c r="H21" s="3">
        <v>28689</v>
      </c>
      <c r="I21" s="31">
        <v>32572</v>
      </c>
      <c r="J21" s="31">
        <v>35267</v>
      </c>
    </row>
    <row r="22" spans="1:10" x14ac:dyDescent="0.2">
      <c r="A22" s="18" t="s">
        <v>1</v>
      </c>
      <c r="B22" s="3">
        <v>42551</v>
      </c>
      <c r="C22" s="3">
        <v>44081</v>
      </c>
      <c r="D22" s="3">
        <v>47415</v>
      </c>
      <c r="E22" s="3">
        <v>49533</v>
      </c>
      <c r="F22" s="3">
        <v>49722</v>
      </c>
      <c r="G22" s="3">
        <v>49356</v>
      </c>
      <c r="H22" s="3">
        <v>51278</v>
      </c>
      <c r="I22" s="31">
        <v>53272</v>
      </c>
      <c r="J22" s="31">
        <v>56723</v>
      </c>
    </row>
    <row r="23" spans="1:10" x14ac:dyDescent="0.2">
      <c r="A23" s="18" t="s">
        <v>22</v>
      </c>
      <c r="B23" s="3">
        <v>2105</v>
      </c>
      <c r="C23" s="3">
        <v>2179</v>
      </c>
      <c r="D23" s="3">
        <v>2189</v>
      </c>
      <c r="E23" s="3">
        <v>2263</v>
      </c>
      <c r="F23" s="3">
        <v>2323</v>
      </c>
      <c r="G23" s="3">
        <v>2251</v>
      </c>
      <c r="H23" s="3">
        <v>2179</v>
      </c>
      <c r="I23" s="31">
        <v>2179</v>
      </c>
      <c r="J23" s="31">
        <v>2259</v>
      </c>
    </row>
    <row r="24" spans="1:10" x14ac:dyDescent="0.2">
      <c r="A24" s="18" t="s">
        <v>23</v>
      </c>
      <c r="B24" s="3">
        <v>1840</v>
      </c>
      <c r="C24" s="3">
        <v>1909</v>
      </c>
      <c r="D24" s="3">
        <v>1835</v>
      </c>
      <c r="E24" s="3">
        <v>1912</v>
      </c>
      <c r="F24" s="3">
        <v>2075</v>
      </c>
      <c r="G24" s="3">
        <v>2204</v>
      </c>
      <c r="H24" s="3">
        <v>2329</v>
      </c>
      <c r="I24" s="31">
        <v>2416</v>
      </c>
      <c r="J24" s="31">
        <v>2355</v>
      </c>
    </row>
    <row r="25" spans="1:10" x14ac:dyDescent="0.2">
      <c r="A25" s="18" t="s">
        <v>24</v>
      </c>
      <c r="B25" s="3">
        <v>4195</v>
      </c>
      <c r="C25" s="3">
        <v>4350</v>
      </c>
      <c r="D25" s="3">
        <v>4458</v>
      </c>
      <c r="E25" s="3">
        <v>4432</v>
      </c>
      <c r="F25" s="3">
        <v>4538</v>
      </c>
      <c r="G25" s="3">
        <v>4771</v>
      </c>
      <c r="H25" s="3">
        <v>4793</v>
      </c>
      <c r="I25" s="31">
        <v>4868</v>
      </c>
      <c r="J25" s="31">
        <v>4990</v>
      </c>
    </row>
    <row r="26" spans="1:10" x14ac:dyDescent="0.2">
      <c r="A26" s="18" t="s">
        <v>25</v>
      </c>
      <c r="B26" s="3">
        <v>37799</v>
      </c>
      <c r="C26" s="3">
        <v>36561</v>
      </c>
      <c r="D26" s="3">
        <v>37197</v>
      </c>
      <c r="E26" s="3">
        <v>35587</v>
      </c>
      <c r="F26" s="3">
        <v>34772</v>
      </c>
      <c r="G26" s="3">
        <v>33343</v>
      </c>
      <c r="H26" s="3">
        <v>32798</v>
      </c>
      <c r="I26" s="31">
        <v>33344</v>
      </c>
      <c r="J26" s="31">
        <v>35387</v>
      </c>
    </row>
    <row r="27" spans="1:10" x14ac:dyDescent="0.2">
      <c r="A27" s="18" t="s">
        <v>26</v>
      </c>
      <c r="B27" s="3">
        <v>67376</v>
      </c>
      <c r="C27" s="3">
        <v>68839</v>
      </c>
      <c r="D27" s="3">
        <v>69296</v>
      </c>
      <c r="E27" s="3">
        <v>64404</v>
      </c>
      <c r="F27" s="3">
        <v>62879</v>
      </c>
      <c r="G27" s="3">
        <v>62843</v>
      </c>
      <c r="H27" s="3">
        <v>62279</v>
      </c>
      <c r="I27" s="31">
        <v>65387</v>
      </c>
      <c r="J27" s="31">
        <v>66851</v>
      </c>
    </row>
    <row r="28" spans="1:10" x14ac:dyDescent="0.2">
      <c r="A28" s="18" t="s">
        <v>27</v>
      </c>
      <c r="B28" s="3">
        <v>15621</v>
      </c>
      <c r="C28" s="3">
        <v>16617</v>
      </c>
      <c r="D28" s="3">
        <v>21326</v>
      </c>
      <c r="E28" s="3">
        <v>20773</v>
      </c>
      <c r="F28" s="3">
        <v>21028</v>
      </c>
      <c r="G28" s="3">
        <v>23316</v>
      </c>
      <c r="H28" s="3">
        <v>24628</v>
      </c>
      <c r="I28" s="31">
        <v>24436</v>
      </c>
      <c r="J28" s="31">
        <v>25460</v>
      </c>
    </row>
    <row r="29" spans="1:10" x14ac:dyDescent="0.2">
      <c r="A29" s="18" t="s">
        <v>28</v>
      </c>
      <c r="B29" s="3">
        <v>4164</v>
      </c>
      <c r="C29" s="3">
        <v>4704</v>
      </c>
      <c r="D29" s="3">
        <v>4808</v>
      </c>
      <c r="E29" s="3">
        <v>4645</v>
      </c>
      <c r="F29" s="3">
        <v>4974</v>
      </c>
      <c r="G29" s="3">
        <v>6366</v>
      </c>
      <c r="H29" s="3">
        <v>6283</v>
      </c>
      <c r="I29" s="31">
        <v>6552</v>
      </c>
      <c r="J29" s="31">
        <v>6385</v>
      </c>
    </row>
    <row r="30" spans="1:10" x14ac:dyDescent="0.2">
      <c r="A30" s="18" t="s">
        <v>29</v>
      </c>
      <c r="B30" s="3">
        <v>3619</v>
      </c>
      <c r="C30" s="3">
        <v>3571</v>
      </c>
      <c r="D30" s="3">
        <v>3632</v>
      </c>
      <c r="E30" s="3">
        <v>3531</v>
      </c>
      <c r="F30" s="3">
        <v>3665</v>
      </c>
      <c r="G30" s="3">
        <v>3636</v>
      </c>
      <c r="H30" s="3">
        <v>3705</v>
      </c>
      <c r="I30" s="31">
        <v>3627</v>
      </c>
      <c r="J30" s="31">
        <v>3982</v>
      </c>
    </row>
    <row r="31" spans="1:10" x14ac:dyDescent="0.2">
      <c r="A31" s="18" t="s">
        <v>30</v>
      </c>
      <c r="B31" s="3">
        <v>1853</v>
      </c>
      <c r="C31" s="3">
        <v>1914</v>
      </c>
      <c r="D31" s="3">
        <v>1986</v>
      </c>
      <c r="E31" s="3">
        <v>1846</v>
      </c>
      <c r="F31" s="3">
        <v>1739</v>
      </c>
      <c r="G31" s="3">
        <v>1691</v>
      </c>
      <c r="H31" s="3">
        <v>1691</v>
      </c>
      <c r="I31" s="31">
        <v>1884</v>
      </c>
      <c r="J31" s="31">
        <v>1820</v>
      </c>
    </row>
    <row r="32" spans="1:10" x14ac:dyDescent="0.2">
      <c r="A32" s="18" t="s">
        <v>31</v>
      </c>
      <c r="B32" s="3">
        <v>2770</v>
      </c>
      <c r="C32" s="3">
        <v>3069</v>
      </c>
      <c r="D32" s="3">
        <v>3187</v>
      </c>
      <c r="E32" s="3">
        <v>3184</v>
      </c>
      <c r="F32" s="3">
        <v>3276</v>
      </c>
      <c r="G32" s="3">
        <v>3380</v>
      </c>
      <c r="H32" s="3">
        <v>3646</v>
      </c>
      <c r="I32" s="31">
        <v>3663</v>
      </c>
      <c r="J32" s="31">
        <v>4078</v>
      </c>
    </row>
    <row r="33" spans="1:10" x14ac:dyDescent="0.2">
      <c r="A33" s="18" t="s">
        <v>32</v>
      </c>
      <c r="B33" s="3">
        <v>1151</v>
      </c>
      <c r="C33" s="3">
        <v>1045</v>
      </c>
      <c r="D33" s="3">
        <v>863</v>
      </c>
      <c r="E33" s="3">
        <v>856</v>
      </c>
      <c r="F33" s="3">
        <v>867</v>
      </c>
      <c r="G33" s="3">
        <v>979</v>
      </c>
      <c r="H33" s="3">
        <v>1821</v>
      </c>
      <c r="I33" s="31">
        <v>853</v>
      </c>
      <c r="J33" s="31">
        <v>827</v>
      </c>
    </row>
    <row r="34" spans="1:10" x14ac:dyDescent="0.2">
      <c r="A34" s="18" t="s">
        <v>33</v>
      </c>
      <c r="B34" s="3">
        <v>2511</v>
      </c>
      <c r="C34" s="3">
        <v>2606</v>
      </c>
      <c r="D34" s="3">
        <v>2587</v>
      </c>
      <c r="E34" s="3">
        <v>2589</v>
      </c>
      <c r="F34" s="3">
        <v>2623</v>
      </c>
      <c r="G34" s="3">
        <v>2582</v>
      </c>
      <c r="H34" s="3">
        <v>2698</v>
      </c>
      <c r="I34" s="31">
        <v>2841</v>
      </c>
      <c r="J34" s="31">
        <v>3106</v>
      </c>
    </row>
    <row r="35" spans="1:10" x14ac:dyDescent="0.2">
      <c r="A35" s="18" t="s">
        <v>34</v>
      </c>
      <c r="B35" s="3">
        <v>2689</v>
      </c>
      <c r="C35" s="3">
        <v>2802</v>
      </c>
      <c r="D35" s="3">
        <v>2968</v>
      </c>
      <c r="E35" s="3">
        <v>3149</v>
      </c>
      <c r="F35" s="3">
        <v>3377</v>
      </c>
      <c r="G35" s="3">
        <v>3662</v>
      </c>
      <c r="H35" s="3">
        <v>4628</v>
      </c>
      <c r="I35" s="31">
        <v>5028</v>
      </c>
      <c r="J35" s="31">
        <v>5120</v>
      </c>
    </row>
    <row r="36" spans="1:10" x14ac:dyDescent="0.2">
      <c r="A36" s="18" t="s">
        <v>35</v>
      </c>
      <c r="B36" s="3">
        <v>326</v>
      </c>
      <c r="C36" s="3">
        <v>329</v>
      </c>
      <c r="D36" s="3">
        <v>318</v>
      </c>
      <c r="E36" s="3">
        <v>316</v>
      </c>
      <c r="F36" s="3">
        <v>309</v>
      </c>
      <c r="G36" s="3">
        <v>307</v>
      </c>
      <c r="H36" s="3">
        <v>277</v>
      </c>
      <c r="I36" s="31">
        <v>249</v>
      </c>
      <c r="J36" s="31">
        <v>252</v>
      </c>
    </row>
    <row r="37" spans="1:10" x14ac:dyDescent="0.2">
      <c r="A37" s="18" t="s">
        <v>36</v>
      </c>
      <c r="B37" s="3">
        <v>1714</v>
      </c>
      <c r="C37" s="3">
        <v>1597</v>
      </c>
      <c r="D37" s="3">
        <v>1597</v>
      </c>
      <c r="E37" s="3">
        <v>1666</v>
      </c>
      <c r="F37" s="3">
        <v>1708</v>
      </c>
      <c r="G37" s="3">
        <v>1672</v>
      </c>
      <c r="H37" s="3">
        <v>1620</v>
      </c>
      <c r="I37" s="31">
        <v>1799</v>
      </c>
      <c r="J37" s="31">
        <v>1857</v>
      </c>
    </row>
    <row r="38" spans="1:10" x14ac:dyDescent="0.2">
      <c r="A38" s="18" t="s">
        <v>37</v>
      </c>
      <c r="B38" s="3">
        <v>152</v>
      </c>
      <c r="C38" s="3">
        <v>169</v>
      </c>
      <c r="D38" s="3">
        <v>194</v>
      </c>
      <c r="E38" s="3">
        <v>187</v>
      </c>
      <c r="F38" s="3">
        <v>228</v>
      </c>
      <c r="G38" s="3">
        <v>222</v>
      </c>
      <c r="H38" s="3">
        <v>391</v>
      </c>
      <c r="I38" s="31">
        <v>635</v>
      </c>
      <c r="J38" s="31">
        <v>686</v>
      </c>
    </row>
    <row r="39" spans="1:10" x14ac:dyDescent="0.2">
      <c r="A39" s="18" t="s">
        <v>38</v>
      </c>
      <c r="B39" s="3">
        <v>83</v>
      </c>
      <c r="C39" s="3">
        <v>66</v>
      </c>
      <c r="D39" s="3">
        <v>54</v>
      </c>
      <c r="E39" s="3">
        <v>53</v>
      </c>
      <c r="F39" s="3">
        <v>52</v>
      </c>
      <c r="G39" s="3">
        <v>76</v>
      </c>
      <c r="H39" s="3">
        <v>72</v>
      </c>
      <c r="I39" s="31">
        <v>68</v>
      </c>
      <c r="J39" s="31">
        <v>63</v>
      </c>
    </row>
    <row r="40" spans="1:10" x14ac:dyDescent="0.2">
      <c r="A40" s="18" t="s">
        <v>39</v>
      </c>
      <c r="B40" s="3">
        <v>23837</v>
      </c>
      <c r="C40" s="3">
        <v>26295</v>
      </c>
      <c r="D40" s="3">
        <v>26241</v>
      </c>
      <c r="E40" s="3">
        <v>26191</v>
      </c>
      <c r="F40" s="3">
        <v>28080</v>
      </c>
      <c r="G40" s="3">
        <v>29258</v>
      </c>
      <c r="H40" s="3">
        <v>30832</v>
      </c>
      <c r="I40" s="31">
        <v>31759</v>
      </c>
      <c r="J40" s="31">
        <v>32076</v>
      </c>
    </row>
    <row r="41" spans="1:10" x14ac:dyDescent="0.2">
      <c r="A41" s="18" t="s">
        <v>40</v>
      </c>
      <c r="B41" s="3">
        <v>689</v>
      </c>
      <c r="C41" s="3">
        <v>697</v>
      </c>
      <c r="D41" s="3">
        <v>723</v>
      </c>
      <c r="E41" s="3">
        <v>718</v>
      </c>
      <c r="F41" s="3">
        <v>739</v>
      </c>
      <c r="G41" s="3">
        <v>994</v>
      </c>
      <c r="H41" s="3">
        <v>1148</v>
      </c>
      <c r="I41" s="31">
        <v>1309</v>
      </c>
      <c r="J41" s="31">
        <v>1525</v>
      </c>
    </row>
    <row r="42" spans="1:10" x14ac:dyDescent="0.2">
      <c r="A42" s="18" t="s">
        <v>41</v>
      </c>
      <c r="B42" s="3">
        <v>1114</v>
      </c>
      <c r="C42" s="3">
        <v>1161</v>
      </c>
      <c r="D42" s="3">
        <v>1225</v>
      </c>
      <c r="E42" s="3">
        <v>1291</v>
      </c>
      <c r="F42" s="3">
        <v>1365</v>
      </c>
      <c r="G42" s="3">
        <v>1495</v>
      </c>
      <c r="H42" s="3">
        <v>1587</v>
      </c>
      <c r="I42" s="31">
        <v>1775</v>
      </c>
      <c r="J42" s="31">
        <v>1923</v>
      </c>
    </row>
    <row r="44" spans="1:10" x14ac:dyDescent="0.2">
      <c r="A44" s="7" t="s">
        <v>117</v>
      </c>
      <c r="B44" s="26">
        <v>407594</v>
      </c>
      <c r="C44" s="26">
        <v>417415</v>
      </c>
      <c r="D44" s="26">
        <v>427430</v>
      </c>
      <c r="E44" s="26">
        <v>431636</v>
      </c>
      <c r="F44" s="26">
        <v>434121</v>
      </c>
      <c r="G44" s="26">
        <v>450444</v>
      </c>
      <c r="H44" s="26">
        <v>471686</v>
      </c>
      <c r="I44" s="31">
        <v>493178</v>
      </c>
      <c r="J44" s="31">
        <v>507479</v>
      </c>
    </row>
    <row r="45" spans="1:10" x14ac:dyDescent="0.2">
      <c r="A45" s="11" t="s">
        <v>118</v>
      </c>
      <c r="B45" s="17">
        <v>351041</v>
      </c>
      <c r="C45" s="17">
        <v>358784</v>
      </c>
      <c r="D45" s="17">
        <v>362212</v>
      </c>
      <c r="E45" s="17">
        <v>362193</v>
      </c>
      <c r="F45" s="17">
        <v>345954</v>
      </c>
      <c r="G45" s="17">
        <v>358867</v>
      </c>
      <c r="H45" s="17">
        <v>378859</v>
      </c>
      <c r="I45" s="31">
        <v>397317</v>
      </c>
      <c r="J45" s="31">
        <v>407295</v>
      </c>
    </row>
    <row r="46" spans="1:10" x14ac:dyDescent="0.2">
      <c r="A46" s="11" t="s">
        <v>119</v>
      </c>
      <c r="B46" s="10"/>
      <c r="C46" s="10"/>
      <c r="D46" s="10"/>
      <c r="E46" s="10"/>
      <c r="F46" s="10"/>
      <c r="G46" s="10"/>
      <c r="H46" s="10"/>
      <c r="I46" s="32"/>
      <c r="J46" s="32"/>
    </row>
    <row r="47" spans="1:10" x14ac:dyDescent="0.2">
      <c r="A47" s="11" t="s">
        <v>120</v>
      </c>
      <c r="B47" s="17">
        <v>68701</v>
      </c>
      <c r="C47" s="17">
        <v>73420</v>
      </c>
      <c r="D47" s="17">
        <v>78027</v>
      </c>
      <c r="E47" s="17">
        <v>77695</v>
      </c>
      <c r="F47" s="17">
        <v>90235</v>
      </c>
      <c r="G47" s="17">
        <v>100039</v>
      </c>
      <c r="H47" s="17">
        <v>110787</v>
      </c>
      <c r="I47" s="31">
        <v>119064</v>
      </c>
      <c r="J47" s="31">
        <v>124805</v>
      </c>
    </row>
    <row r="48" spans="1:10" x14ac:dyDescent="0.2">
      <c r="A48" s="11" t="s">
        <v>121</v>
      </c>
      <c r="B48" s="17">
        <v>7374</v>
      </c>
      <c r="C48" s="17">
        <v>8005</v>
      </c>
      <c r="D48" s="17">
        <v>8270</v>
      </c>
      <c r="E48" s="17">
        <v>9785</v>
      </c>
      <c r="F48" s="17">
        <v>11956</v>
      </c>
      <c r="G48" s="17">
        <v>12669</v>
      </c>
      <c r="H48" s="17">
        <v>13337</v>
      </c>
      <c r="I48" s="31">
        <v>14151</v>
      </c>
      <c r="J48" s="31">
        <v>12838</v>
      </c>
    </row>
    <row r="49" spans="1:10" x14ac:dyDescent="0.2">
      <c r="A49" s="11" t="s">
        <v>122</v>
      </c>
      <c r="B49" s="17">
        <v>-4773</v>
      </c>
      <c r="C49" s="17">
        <v>-6784</v>
      </c>
      <c r="D49" s="17">
        <v>-4540</v>
      </c>
      <c r="E49" s="17">
        <v>1532</v>
      </c>
      <c r="F49" s="17">
        <v>9888</v>
      </c>
      <c r="G49" s="17">
        <v>4206</v>
      </c>
      <c r="H49" s="17">
        <v>-4623</v>
      </c>
      <c r="I49" s="31">
        <v>-9052</v>
      </c>
      <c r="J49" s="31">
        <v>-11784</v>
      </c>
    </row>
    <row r="50" spans="1:10" x14ac:dyDescent="0.2">
      <c r="A50" s="9" t="s">
        <v>123</v>
      </c>
      <c r="B50" s="17">
        <v>402138</v>
      </c>
      <c r="C50" s="17">
        <v>416913</v>
      </c>
      <c r="D50" s="17">
        <v>428334</v>
      </c>
      <c r="E50" s="17">
        <v>434113</v>
      </c>
      <c r="F50" s="17">
        <v>441492</v>
      </c>
      <c r="G50" s="17">
        <v>455827</v>
      </c>
      <c r="H50" s="17">
        <v>471925</v>
      </c>
      <c r="I50" s="31">
        <v>487488</v>
      </c>
      <c r="J50" s="31">
        <v>498314</v>
      </c>
    </row>
    <row r="51" spans="1:10" x14ac:dyDescent="0.2">
      <c r="A51" s="11" t="s">
        <v>124</v>
      </c>
      <c r="B51" s="10"/>
      <c r="C51" s="10"/>
      <c r="D51" s="10"/>
      <c r="E51" s="10"/>
      <c r="F51" s="10"/>
      <c r="G51" s="10"/>
      <c r="H51" s="10"/>
      <c r="I51" s="32"/>
      <c r="J51" s="32"/>
    </row>
    <row r="52" spans="1:10" x14ac:dyDescent="0.2">
      <c r="A52" s="11" t="s">
        <v>125</v>
      </c>
      <c r="B52" s="17">
        <v>7804</v>
      </c>
      <c r="C52" s="17">
        <v>8055</v>
      </c>
      <c r="D52" s="17">
        <v>8020</v>
      </c>
      <c r="E52" s="17">
        <v>8271</v>
      </c>
      <c r="F52" s="17">
        <v>8585</v>
      </c>
      <c r="G52" s="17">
        <v>8945</v>
      </c>
      <c r="H52" s="17">
        <v>8781</v>
      </c>
      <c r="I52" s="31">
        <v>9018</v>
      </c>
      <c r="J52" s="31">
        <v>9263</v>
      </c>
    </row>
    <row r="53" spans="1:10" x14ac:dyDescent="0.2">
      <c r="A53" s="11" t="s">
        <v>126</v>
      </c>
      <c r="B53" s="17">
        <v>284712</v>
      </c>
      <c r="C53" s="17">
        <v>291130</v>
      </c>
      <c r="D53" s="17">
        <v>298449</v>
      </c>
      <c r="E53" s="17">
        <v>295953</v>
      </c>
      <c r="F53" s="17">
        <v>295615</v>
      </c>
      <c r="G53" s="17">
        <v>302308</v>
      </c>
      <c r="H53" s="17">
        <v>311151</v>
      </c>
      <c r="I53" s="31">
        <v>322503</v>
      </c>
      <c r="J53" s="31">
        <v>332625</v>
      </c>
    </row>
    <row r="54" spans="1:10" x14ac:dyDescent="0.2">
      <c r="A54" s="11" t="s">
        <v>127</v>
      </c>
      <c r="B54" s="17">
        <v>6337</v>
      </c>
      <c r="C54" s="17">
        <v>7017</v>
      </c>
      <c r="D54" s="17">
        <v>7377</v>
      </c>
      <c r="E54" s="17">
        <v>7545</v>
      </c>
      <c r="F54" s="17">
        <v>7847</v>
      </c>
      <c r="G54" s="17">
        <v>8243</v>
      </c>
      <c r="H54" s="17">
        <v>8685</v>
      </c>
      <c r="I54" s="31">
        <v>9142</v>
      </c>
      <c r="J54" s="31">
        <v>9320</v>
      </c>
    </row>
    <row r="55" spans="1:10" x14ac:dyDescent="0.2">
      <c r="A55" s="11" t="s">
        <v>128</v>
      </c>
      <c r="B55" s="17">
        <v>32561</v>
      </c>
      <c r="C55" s="17">
        <v>34819</v>
      </c>
      <c r="D55" s="17">
        <v>36343</v>
      </c>
      <c r="E55" s="17">
        <v>38510</v>
      </c>
      <c r="F55" s="17">
        <v>39883</v>
      </c>
      <c r="G55" s="17">
        <v>42140</v>
      </c>
      <c r="H55" s="17">
        <v>43617</v>
      </c>
      <c r="I55" s="31">
        <v>43909</v>
      </c>
      <c r="J55" s="31">
        <v>41309</v>
      </c>
    </row>
    <row r="56" spans="1:10" x14ac:dyDescent="0.2">
      <c r="A56" s="11" t="s">
        <v>129</v>
      </c>
      <c r="B56" s="17">
        <v>10012</v>
      </c>
      <c r="C56" s="17">
        <v>10598</v>
      </c>
      <c r="D56" s="17">
        <v>10864</v>
      </c>
      <c r="E56" s="17">
        <v>11447</v>
      </c>
      <c r="F56" s="17">
        <v>12042</v>
      </c>
      <c r="G56" s="17">
        <v>12456</v>
      </c>
      <c r="H56" s="17">
        <v>12994</v>
      </c>
      <c r="I56" s="31">
        <v>13624</v>
      </c>
      <c r="J56" s="31">
        <v>13171</v>
      </c>
    </row>
    <row r="57" spans="1:10" x14ac:dyDescent="0.2">
      <c r="A57" s="11" t="s">
        <v>130</v>
      </c>
      <c r="B57" s="17">
        <v>18407</v>
      </c>
      <c r="C57" s="17">
        <v>19763</v>
      </c>
      <c r="D57" s="17">
        <v>20069</v>
      </c>
      <c r="E57" s="17">
        <v>21925</v>
      </c>
      <c r="F57" s="17">
        <v>23185</v>
      </c>
      <c r="G57" s="17">
        <v>24277</v>
      </c>
      <c r="H57" s="17">
        <v>26262</v>
      </c>
      <c r="I57" s="31">
        <v>27582</v>
      </c>
      <c r="J57" s="31">
        <v>28245</v>
      </c>
    </row>
    <row r="58" spans="1:10" x14ac:dyDescent="0.2">
      <c r="A58" s="11" t="s">
        <v>131</v>
      </c>
      <c r="B58" s="17">
        <v>42306</v>
      </c>
      <c r="C58" s="17">
        <v>45531</v>
      </c>
      <c r="D58" s="17">
        <v>47211</v>
      </c>
      <c r="E58" s="17">
        <v>50461</v>
      </c>
      <c r="F58" s="17">
        <v>54336</v>
      </c>
      <c r="G58" s="17">
        <v>57459</v>
      </c>
      <c r="H58" s="17">
        <v>60436</v>
      </c>
      <c r="I58" s="31">
        <v>61709</v>
      </c>
      <c r="J58" s="31">
        <v>64380</v>
      </c>
    </row>
    <row r="59" spans="1:10" x14ac:dyDescent="0.2">
      <c r="A59" s="11" t="s">
        <v>124</v>
      </c>
      <c r="B59" s="10"/>
      <c r="C59" s="10"/>
      <c r="D59" s="10"/>
      <c r="E59" s="10"/>
      <c r="F59" s="10"/>
      <c r="G59" s="10"/>
      <c r="H59" s="10"/>
      <c r="I59" s="32"/>
      <c r="J59" s="32"/>
    </row>
    <row r="60" spans="1:10" x14ac:dyDescent="0.2">
      <c r="A60" s="11" t="s">
        <v>132</v>
      </c>
      <c r="B60" s="17">
        <v>386888</v>
      </c>
      <c r="C60" s="17">
        <v>403814</v>
      </c>
      <c r="D60" s="17">
        <v>415456</v>
      </c>
      <c r="E60" s="17">
        <v>420110</v>
      </c>
      <c r="F60" s="17">
        <v>428342</v>
      </c>
      <c r="G60" s="17">
        <v>442255</v>
      </c>
      <c r="H60" s="17">
        <v>461020</v>
      </c>
      <c r="I60" s="31">
        <v>476219</v>
      </c>
      <c r="J60" s="31">
        <v>488156</v>
      </c>
    </row>
    <row r="61" spans="1:10" x14ac:dyDescent="0.2">
      <c r="A61" s="11" t="s">
        <v>133</v>
      </c>
      <c r="B61" s="17">
        <v>269900</v>
      </c>
      <c r="C61" s="17">
        <v>278514</v>
      </c>
      <c r="D61" s="17">
        <v>285948</v>
      </c>
      <c r="E61" s="17">
        <v>282291</v>
      </c>
      <c r="F61" s="17">
        <v>282809</v>
      </c>
      <c r="G61" s="17">
        <v>289098</v>
      </c>
      <c r="H61" s="17">
        <v>300558</v>
      </c>
      <c r="I61" s="31">
        <v>311542</v>
      </c>
      <c r="J61" s="31">
        <v>322677</v>
      </c>
    </row>
    <row r="62" spans="1:10" x14ac:dyDescent="0.2">
      <c r="A62" s="11" t="s">
        <v>134</v>
      </c>
      <c r="B62" s="17">
        <v>16763</v>
      </c>
      <c r="C62" s="17">
        <v>15994</v>
      </c>
      <c r="D62" s="17">
        <v>17270</v>
      </c>
      <c r="E62" s="17">
        <v>18770</v>
      </c>
      <c r="F62" s="17">
        <v>18674</v>
      </c>
      <c r="G62" s="17">
        <v>19279</v>
      </c>
      <c r="H62" s="17">
        <v>20803</v>
      </c>
      <c r="I62" s="31">
        <v>22156</v>
      </c>
      <c r="J62" s="31">
        <v>23020</v>
      </c>
    </row>
    <row r="63" spans="1:10" x14ac:dyDescent="0.2">
      <c r="A63" s="11" t="s">
        <v>135</v>
      </c>
      <c r="B63" s="17">
        <v>2179</v>
      </c>
      <c r="C63" s="17">
        <v>2433</v>
      </c>
      <c r="D63" s="17">
        <v>3540</v>
      </c>
      <c r="E63" s="17">
        <v>4261</v>
      </c>
      <c r="F63" s="17">
        <v>3887</v>
      </c>
      <c r="G63" s="17">
        <v>3721</v>
      </c>
      <c r="H63" s="17">
        <v>4129</v>
      </c>
      <c r="I63" s="31">
        <v>4209</v>
      </c>
      <c r="J63" s="31">
        <v>3938</v>
      </c>
    </row>
    <row r="64" spans="1:10" x14ac:dyDescent="0.2">
      <c r="A64" s="11" t="s">
        <v>136</v>
      </c>
      <c r="B64" s="17">
        <v>2153</v>
      </c>
      <c r="C64" s="17">
        <v>1899</v>
      </c>
      <c r="D64" s="17">
        <v>2115</v>
      </c>
      <c r="E64" s="17">
        <v>2866</v>
      </c>
      <c r="F64" s="17">
        <v>3543</v>
      </c>
      <c r="G64" s="17">
        <v>4280</v>
      </c>
      <c r="H64" s="17">
        <v>5027</v>
      </c>
      <c r="I64" s="31">
        <v>5895</v>
      </c>
      <c r="J64" s="31">
        <v>6132</v>
      </c>
    </row>
    <row r="65" spans="1:10" x14ac:dyDescent="0.2">
      <c r="A65" s="11" t="s">
        <v>137</v>
      </c>
      <c r="B65" s="17">
        <v>11239</v>
      </c>
      <c r="C65" s="17">
        <v>13333</v>
      </c>
      <c r="D65" s="17">
        <v>14578</v>
      </c>
      <c r="E65" s="17">
        <v>14492</v>
      </c>
      <c r="F65" s="17">
        <v>15373</v>
      </c>
      <c r="G65" s="17">
        <v>15921</v>
      </c>
      <c r="H65" s="17">
        <v>20465</v>
      </c>
      <c r="I65" s="31">
        <v>21350</v>
      </c>
      <c r="J65" s="31">
        <v>23037</v>
      </c>
    </row>
    <row r="66" spans="1:10" x14ac:dyDescent="0.2">
      <c r="A66" s="11" t="s">
        <v>138</v>
      </c>
      <c r="B66" s="17">
        <v>9726</v>
      </c>
      <c r="C66" s="17">
        <v>10439</v>
      </c>
      <c r="D66" s="17">
        <v>10186</v>
      </c>
      <c r="E66" s="17">
        <v>9724</v>
      </c>
      <c r="F66" s="17">
        <v>9849</v>
      </c>
      <c r="G66" s="17">
        <v>10213</v>
      </c>
      <c r="H66" s="17">
        <v>10567</v>
      </c>
      <c r="I66" s="31">
        <v>10462</v>
      </c>
      <c r="J66" s="31">
        <v>10175</v>
      </c>
    </row>
    <row r="67" spans="1:10" x14ac:dyDescent="0.2">
      <c r="A67" s="12" t="s">
        <v>139</v>
      </c>
      <c r="B67" s="23">
        <v>5456</v>
      </c>
      <c r="C67" s="23">
        <v>502</v>
      </c>
      <c r="D67" s="23">
        <v>-904</v>
      </c>
      <c r="E67" s="23">
        <v>-2477</v>
      </c>
      <c r="F67" s="23">
        <v>-7371</v>
      </c>
      <c r="G67" s="23">
        <v>-5383</v>
      </c>
      <c r="H67" s="23">
        <v>-239</v>
      </c>
      <c r="I67" s="33">
        <v>5690</v>
      </c>
      <c r="J67" s="33">
        <v>9165</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2085C-05E4-4122-A9CE-BBA8F25BD3D5}">
  <sheetPr codeName="Sheet5"/>
  <dimension ref="A1:J69"/>
  <sheetViews>
    <sheetView zoomScale="85" zoomScaleNormal="85" workbookViewId="0">
      <selection activeCell="B26" sqref="B26"/>
    </sheetView>
  </sheetViews>
  <sheetFormatPr defaultRowHeight="14.25" x14ac:dyDescent="0.2"/>
  <cols>
    <col min="1" max="1" width="36.625" bestFit="1" customWidth="1"/>
    <col min="2" max="9" width="10.625" customWidth="1"/>
  </cols>
  <sheetData>
    <row r="1" spans="1:10" x14ac:dyDescent="0.2">
      <c r="A1" s="1" t="s">
        <v>0</v>
      </c>
      <c r="B1" s="4">
        <v>2012</v>
      </c>
      <c r="C1" s="4">
        <v>2013</v>
      </c>
      <c r="D1" s="4">
        <v>2014</v>
      </c>
      <c r="E1" s="4">
        <v>2015</v>
      </c>
      <c r="F1" s="4">
        <v>2016</v>
      </c>
      <c r="G1" s="4">
        <v>2017</v>
      </c>
      <c r="H1" s="4">
        <v>2018</v>
      </c>
      <c r="I1" s="4">
        <v>2019</v>
      </c>
      <c r="J1" s="4">
        <v>2020</v>
      </c>
    </row>
    <row r="2" spans="1:10" x14ac:dyDescent="0.2">
      <c r="A2" s="18" t="s">
        <v>2</v>
      </c>
      <c r="B2" s="3">
        <v>40786</v>
      </c>
      <c r="C2" s="3">
        <v>36772</v>
      </c>
      <c r="D2" s="3">
        <v>33174</v>
      </c>
      <c r="E2" s="3">
        <v>29103</v>
      </c>
      <c r="F2" s="3">
        <v>23793</v>
      </c>
      <c r="G2" s="3">
        <v>23874</v>
      </c>
      <c r="H2" s="3">
        <v>24234</v>
      </c>
      <c r="I2" s="31">
        <v>22140</v>
      </c>
      <c r="J2" s="31">
        <v>16886</v>
      </c>
    </row>
    <row r="3" spans="1:10" x14ac:dyDescent="0.2">
      <c r="A3" s="18" t="s">
        <v>3</v>
      </c>
      <c r="B3" s="3">
        <v>495</v>
      </c>
      <c r="C3" s="3">
        <v>481</v>
      </c>
      <c r="D3" s="3">
        <v>195</v>
      </c>
      <c r="E3" s="3">
        <v>186</v>
      </c>
      <c r="F3" s="3">
        <v>174</v>
      </c>
      <c r="G3" s="3">
        <v>131</v>
      </c>
      <c r="H3" s="3">
        <v>122</v>
      </c>
      <c r="I3" s="31">
        <v>112</v>
      </c>
      <c r="J3" s="31">
        <v>72</v>
      </c>
    </row>
    <row r="4" spans="1:10" x14ac:dyDescent="0.2">
      <c r="A4" s="18" t="s">
        <v>4</v>
      </c>
      <c r="B4" s="3">
        <v>438</v>
      </c>
      <c r="C4" s="3">
        <v>481</v>
      </c>
      <c r="D4" s="3">
        <v>440</v>
      </c>
      <c r="E4" s="3">
        <v>378</v>
      </c>
      <c r="F4" s="3">
        <v>283</v>
      </c>
      <c r="G4" s="3">
        <v>245</v>
      </c>
      <c r="H4" s="3">
        <v>222</v>
      </c>
      <c r="I4" s="31">
        <v>198</v>
      </c>
      <c r="J4" s="31">
        <v>205</v>
      </c>
    </row>
    <row r="5" spans="1:10" x14ac:dyDescent="0.2">
      <c r="A5" s="18" t="s">
        <v>5</v>
      </c>
      <c r="B5" s="3">
        <v>220</v>
      </c>
      <c r="C5" s="3">
        <v>206</v>
      </c>
      <c r="D5" s="3">
        <v>203</v>
      </c>
      <c r="E5" s="3">
        <v>199</v>
      </c>
      <c r="F5" s="3">
        <v>120</v>
      </c>
      <c r="G5" s="3">
        <v>105</v>
      </c>
      <c r="H5" s="3">
        <v>137</v>
      </c>
      <c r="I5" s="31">
        <v>93</v>
      </c>
      <c r="J5" s="31">
        <v>85</v>
      </c>
    </row>
    <row r="6" spans="1:10" x14ac:dyDescent="0.2">
      <c r="A6" s="18" t="s">
        <v>6</v>
      </c>
      <c r="B6" s="3">
        <v>973</v>
      </c>
      <c r="C6" s="3">
        <v>1037</v>
      </c>
      <c r="D6" s="3">
        <v>997</v>
      </c>
      <c r="E6" s="3">
        <v>819</v>
      </c>
      <c r="F6" s="3">
        <v>774</v>
      </c>
      <c r="G6" s="3">
        <v>662</v>
      </c>
      <c r="H6" s="3">
        <v>753</v>
      </c>
      <c r="I6" s="31">
        <v>742</v>
      </c>
      <c r="J6" s="31">
        <v>540</v>
      </c>
    </row>
    <row r="7" spans="1:10" x14ac:dyDescent="0.2">
      <c r="A7" s="18" t="s">
        <v>7</v>
      </c>
      <c r="B7" s="3">
        <v>186</v>
      </c>
      <c r="C7" s="3">
        <v>185</v>
      </c>
      <c r="D7" s="3">
        <v>159</v>
      </c>
      <c r="E7" s="3">
        <v>116</v>
      </c>
      <c r="F7" s="3">
        <v>97</v>
      </c>
      <c r="G7" s="3">
        <v>88</v>
      </c>
      <c r="H7" s="3">
        <v>595</v>
      </c>
      <c r="I7" s="31">
        <v>564</v>
      </c>
      <c r="J7" s="31">
        <v>63</v>
      </c>
    </row>
    <row r="8" spans="1:10" x14ac:dyDescent="0.2">
      <c r="A8" s="18" t="s">
        <v>8</v>
      </c>
      <c r="B8" s="3">
        <v>2</v>
      </c>
      <c r="C8" s="3">
        <v>3</v>
      </c>
      <c r="D8" s="3">
        <v>2</v>
      </c>
      <c r="E8" s="3">
        <v>2</v>
      </c>
      <c r="F8" s="3">
        <v>5</v>
      </c>
      <c r="G8" s="3">
        <v>1</v>
      </c>
      <c r="H8" s="2"/>
      <c r="I8" s="32"/>
      <c r="J8" s="31">
        <v>8</v>
      </c>
    </row>
    <row r="9" spans="1:10" x14ac:dyDescent="0.2">
      <c r="A9" s="18" t="s">
        <v>9</v>
      </c>
      <c r="B9" s="3">
        <v>3302</v>
      </c>
      <c r="C9" s="3">
        <v>3211</v>
      </c>
      <c r="D9" s="3">
        <v>2779</v>
      </c>
      <c r="E9" s="3">
        <v>2601</v>
      </c>
      <c r="F9" s="3">
        <v>2570</v>
      </c>
      <c r="G9" s="3">
        <v>2234</v>
      </c>
      <c r="H9" s="3">
        <v>1871</v>
      </c>
      <c r="I9" s="31">
        <v>1720</v>
      </c>
      <c r="J9" s="31">
        <v>1577</v>
      </c>
    </row>
    <row r="10" spans="1:10" x14ac:dyDescent="0.2">
      <c r="A10" s="18" t="s">
        <v>10</v>
      </c>
      <c r="B10" s="3">
        <v>1866</v>
      </c>
      <c r="C10" s="3">
        <v>1961</v>
      </c>
      <c r="D10" s="3">
        <v>1814</v>
      </c>
      <c r="E10" s="3">
        <v>1617</v>
      </c>
      <c r="F10" s="3">
        <v>1679</v>
      </c>
      <c r="G10" s="3">
        <v>1526</v>
      </c>
      <c r="H10" s="3">
        <v>1619</v>
      </c>
      <c r="I10" s="31">
        <v>1642</v>
      </c>
      <c r="J10" s="31">
        <v>1639</v>
      </c>
    </row>
    <row r="11" spans="1:10" x14ac:dyDescent="0.2">
      <c r="A11" s="18" t="s">
        <v>11</v>
      </c>
      <c r="B11" s="3">
        <v>1479</v>
      </c>
      <c r="C11" s="3">
        <v>1587</v>
      </c>
      <c r="D11" s="3">
        <v>1326</v>
      </c>
      <c r="E11" s="3">
        <v>1185</v>
      </c>
      <c r="F11" s="3">
        <v>1091</v>
      </c>
      <c r="G11" s="3">
        <v>956</v>
      </c>
      <c r="H11" s="3">
        <v>690</v>
      </c>
      <c r="I11" s="31">
        <v>619</v>
      </c>
      <c r="J11" s="31">
        <v>497</v>
      </c>
    </row>
    <row r="12" spans="1:10" x14ac:dyDescent="0.2">
      <c r="A12" s="18" t="s">
        <v>12</v>
      </c>
      <c r="B12" s="3">
        <v>67</v>
      </c>
      <c r="C12" s="3">
        <v>62</v>
      </c>
      <c r="D12" s="3">
        <v>52</v>
      </c>
      <c r="E12" s="3">
        <v>43</v>
      </c>
      <c r="F12" s="3">
        <v>28</v>
      </c>
      <c r="G12" s="3">
        <v>22</v>
      </c>
      <c r="H12" s="3">
        <v>15</v>
      </c>
      <c r="I12" s="31">
        <v>7</v>
      </c>
      <c r="J12" s="31">
        <v>5</v>
      </c>
    </row>
    <row r="13" spans="1:10" x14ac:dyDescent="0.2">
      <c r="A13" s="18" t="s">
        <v>13</v>
      </c>
      <c r="B13" s="3">
        <v>3053</v>
      </c>
      <c r="C13" s="3">
        <v>2896</v>
      </c>
      <c r="D13" s="3">
        <v>2460</v>
      </c>
      <c r="E13" s="3">
        <v>4729</v>
      </c>
      <c r="F13" s="3">
        <v>4211</v>
      </c>
      <c r="G13" s="3">
        <v>3308</v>
      </c>
      <c r="H13" s="3">
        <v>951</v>
      </c>
      <c r="I13" s="31">
        <v>790</v>
      </c>
      <c r="J13" s="31">
        <v>592</v>
      </c>
    </row>
    <row r="14" spans="1:10" x14ac:dyDescent="0.2">
      <c r="A14" s="18" t="s">
        <v>14</v>
      </c>
      <c r="B14" s="3">
        <v>347</v>
      </c>
      <c r="C14" s="3">
        <v>315</v>
      </c>
      <c r="D14" s="3">
        <v>297</v>
      </c>
      <c r="E14" s="3">
        <v>257</v>
      </c>
      <c r="F14" s="3">
        <v>214</v>
      </c>
      <c r="G14" s="3">
        <v>142</v>
      </c>
      <c r="H14" s="3">
        <v>57</v>
      </c>
      <c r="I14" s="31">
        <v>45</v>
      </c>
      <c r="J14" s="31">
        <v>49</v>
      </c>
    </row>
    <row r="15" spans="1:10" x14ac:dyDescent="0.2">
      <c r="A15" s="18" t="s">
        <v>15</v>
      </c>
      <c r="B15" s="3">
        <v>202</v>
      </c>
      <c r="C15" s="3">
        <v>185</v>
      </c>
      <c r="D15" s="3">
        <v>162</v>
      </c>
      <c r="E15" s="3">
        <v>155</v>
      </c>
      <c r="F15" s="3">
        <v>135</v>
      </c>
      <c r="G15" s="3">
        <v>94</v>
      </c>
      <c r="H15" s="3">
        <v>33</v>
      </c>
      <c r="I15" s="31">
        <v>22</v>
      </c>
      <c r="J15" s="31">
        <v>18</v>
      </c>
    </row>
    <row r="16" spans="1:10" x14ac:dyDescent="0.2">
      <c r="A16" s="18" t="s">
        <v>16</v>
      </c>
      <c r="B16" s="3">
        <v>662</v>
      </c>
      <c r="C16" s="3">
        <v>621</v>
      </c>
      <c r="D16" s="3">
        <v>520</v>
      </c>
      <c r="E16" s="3">
        <v>467</v>
      </c>
      <c r="F16" s="3">
        <v>326</v>
      </c>
      <c r="G16" s="3">
        <v>217</v>
      </c>
      <c r="H16" s="3">
        <v>108</v>
      </c>
      <c r="I16" s="31">
        <v>90</v>
      </c>
      <c r="J16" s="31">
        <v>40</v>
      </c>
    </row>
    <row r="17" spans="1:10" x14ac:dyDescent="0.2">
      <c r="A17" s="18" t="s">
        <v>17</v>
      </c>
      <c r="B17" s="3">
        <v>76</v>
      </c>
      <c r="C17" s="3">
        <v>71</v>
      </c>
      <c r="D17" s="3">
        <v>61</v>
      </c>
      <c r="E17" s="3">
        <v>57</v>
      </c>
      <c r="F17" s="3">
        <v>42</v>
      </c>
      <c r="G17" s="3">
        <v>17</v>
      </c>
      <c r="H17" s="3">
        <v>5</v>
      </c>
      <c r="I17" s="31">
        <v>2</v>
      </c>
      <c r="J17" s="31">
        <v>2</v>
      </c>
    </row>
    <row r="18" spans="1:10" x14ac:dyDescent="0.2">
      <c r="A18" s="18" t="s">
        <v>18</v>
      </c>
      <c r="B18" s="3">
        <v>5271</v>
      </c>
      <c r="C18" s="3">
        <v>5303</v>
      </c>
      <c r="D18" s="3">
        <v>4829</v>
      </c>
      <c r="E18" s="3">
        <v>4669</v>
      </c>
      <c r="F18" s="3">
        <v>4603</v>
      </c>
      <c r="G18" s="3">
        <v>4586</v>
      </c>
      <c r="H18" s="3">
        <v>4272</v>
      </c>
      <c r="I18" s="31">
        <v>3942</v>
      </c>
      <c r="J18" s="31">
        <v>3545</v>
      </c>
    </row>
    <row r="19" spans="1:10" x14ac:dyDescent="0.2">
      <c r="A19" s="18" t="s">
        <v>19</v>
      </c>
      <c r="B19" s="3">
        <v>64</v>
      </c>
      <c r="C19" s="3">
        <v>69</v>
      </c>
      <c r="D19" s="3">
        <v>82</v>
      </c>
      <c r="E19" s="3">
        <v>81</v>
      </c>
      <c r="F19" s="3">
        <v>84</v>
      </c>
      <c r="G19" s="3">
        <v>46</v>
      </c>
      <c r="H19" s="3">
        <v>66</v>
      </c>
      <c r="I19" s="31">
        <v>62</v>
      </c>
      <c r="J19" s="31">
        <v>60</v>
      </c>
    </row>
    <row r="20" spans="1:10" x14ac:dyDescent="0.2">
      <c r="A20" s="18" t="s">
        <v>20</v>
      </c>
      <c r="B20" s="3">
        <v>98</v>
      </c>
      <c r="C20" s="3">
        <v>110</v>
      </c>
      <c r="D20" s="3">
        <v>130</v>
      </c>
      <c r="E20" s="3">
        <v>124</v>
      </c>
      <c r="F20" s="3">
        <v>114</v>
      </c>
      <c r="G20" s="3">
        <v>75</v>
      </c>
      <c r="H20" s="3">
        <v>33</v>
      </c>
      <c r="I20" s="31">
        <v>14</v>
      </c>
      <c r="J20" s="31">
        <v>10</v>
      </c>
    </row>
    <row r="21" spans="1:10" x14ac:dyDescent="0.2">
      <c r="A21" s="18" t="s">
        <v>21</v>
      </c>
      <c r="B21" s="3">
        <v>41838</v>
      </c>
      <c r="C21" s="3">
        <v>47649</v>
      </c>
      <c r="D21" s="3">
        <v>47825</v>
      </c>
      <c r="E21" s="3">
        <v>48069</v>
      </c>
      <c r="F21" s="3">
        <v>46561</v>
      </c>
      <c r="G21" s="3">
        <v>45310</v>
      </c>
      <c r="H21" s="3">
        <v>48515</v>
      </c>
      <c r="I21" s="31">
        <v>53972</v>
      </c>
      <c r="J21" s="31">
        <v>55519</v>
      </c>
    </row>
    <row r="22" spans="1:10" x14ac:dyDescent="0.2">
      <c r="A22" s="18" t="s">
        <v>1</v>
      </c>
      <c r="B22" s="3">
        <v>25843</v>
      </c>
      <c r="C22" s="3">
        <v>25789</v>
      </c>
      <c r="D22" s="3">
        <v>27051</v>
      </c>
      <c r="E22" s="3">
        <v>30100</v>
      </c>
      <c r="F22" s="3">
        <v>26916</v>
      </c>
      <c r="G22" s="3">
        <v>24579</v>
      </c>
      <c r="H22" s="3">
        <v>23504</v>
      </c>
      <c r="I22" s="31">
        <v>22007</v>
      </c>
      <c r="J22" s="31">
        <v>23077</v>
      </c>
    </row>
    <row r="23" spans="1:10" x14ac:dyDescent="0.2">
      <c r="A23" s="18" t="s">
        <v>22</v>
      </c>
      <c r="B23" s="3">
        <v>1374</v>
      </c>
      <c r="C23" s="3">
        <v>1382</v>
      </c>
      <c r="D23" s="3">
        <v>1392</v>
      </c>
      <c r="E23" s="3">
        <v>1511</v>
      </c>
      <c r="F23" s="3">
        <v>1427</v>
      </c>
      <c r="G23" s="3">
        <v>1184</v>
      </c>
      <c r="H23" s="3">
        <v>913</v>
      </c>
      <c r="I23" s="31">
        <v>786</v>
      </c>
      <c r="J23" s="31">
        <v>735</v>
      </c>
    </row>
    <row r="24" spans="1:10" x14ac:dyDescent="0.2">
      <c r="A24" s="18" t="s">
        <v>23</v>
      </c>
      <c r="B24" s="3">
        <v>1049</v>
      </c>
      <c r="C24" s="3">
        <v>1123</v>
      </c>
      <c r="D24" s="3">
        <v>1070</v>
      </c>
      <c r="E24" s="3">
        <v>1090</v>
      </c>
      <c r="F24" s="3">
        <v>1370</v>
      </c>
      <c r="G24" s="3">
        <v>1329</v>
      </c>
      <c r="H24" s="3">
        <v>1330</v>
      </c>
      <c r="I24" s="31">
        <v>1318</v>
      </c>
      <c r="J24" s="31">
        <v>1142</v>
      </c>
    </row>
    <row r="25" spans="1:10" x14ac:dyDescent="0.2">
      <c r="A25" s="18" t="s">
        <v>24</v>
      </c>
      <c r="B25" s="3">
        <v>1145</v>
      </c>
      <c r="C25" s="3">
        <v>1143</v>
      </c>
      <c r="D25" s="3">
        <v>1027</v>
      </c>
      <c r="E25" s="3">
        <v>978</v>
      </c>
      <c r="F25" s="3">
        <v>868</v>
      </c>
      <c r="G25" s="3">
        <v>670</v>
      </c>
      <c r="H25" s="3">
        <v>501</v>
      </c>
      <c r="I25" s="31">
        <v>401</v>
      </c>
      <c r="J25" s="31">
        <v>280</v>
      </c>
    </row>
    <row r="26" spans="1:10" x14ac:dyDescent="0.2">
      <c r="A26" s="18" t="s">
        <v>25</v>
      </c>
      <c r="B26" s="3">
        <v>32205</v>
      </c>
      <c r="C26" s="3">
        <v>31633</v>
      </c>
      <c r="D26" s="3">
        <v>33016</v>
      </c>
      <c r="E26" s="3">
        <v>31696</v>
      </c>
      <c r="F26" s="3">
        <v>30691</v>
      </c>
      <c r="G26" s="3">
        <v>27039</v>
      </c>
      <c r="H26" s="3">
        <v>24321</v>
      </c>
      <c r="I26" s="31">
        <v>22608</v>
      </c>
      <c r="J26" s="31">
        <v>24705</v>
      </c>
    </row>
    <row r="27" spans="1:10" x14ac:dyDescent="0.2">
      <c r="A27" s="18" t="s">
        <v>26</v>
      </c>
      <c r="B27" s="3">
        <v>34104</v>
      </c>
      <c r="C27" s="3">
        <v>34531</v>
      </c>
      <c r="D27" s="3">
        <v>35527</v>
      </c>
      <c r="E27" s="3">
        <v>33896</v>
      </c>
      <c r="F27" s="3">
        <v>31184</v>
      </c>
      <c r="G27" s="3">
        <v>30443</v>
      </c>
      <c r="H27" s="3">
        <v>29308</v>
      </c>
      <c r="I27" s="31">
        <v>27987</v>
      </c>
      <c r="J27" s="31">
        <v>28217</v>
      </c>
    </row>
    <row r="28" spans="1:10" x14ac:dyDescent="0.2">
      <c r="A28" s="18" t="s">
        <v>27</v>
      </c>
      <c r="B28" s="3">
        <v>7368</v>
      </c>
      <c r="C28" s="3">
        <v>9378</v>
      </c>
      <c r="D28" s="3">
        <v>14448</v>
      </c>
      <c r="E28" s="3">
        <v>14769</v>
      </c>
      <c r="F28" s="3">
        <v>15656</v>
      </c>
      <c r="G28" s="3">
        <v>16761</v>
      </c>
      <c r="H28" s="3">
        <v>21888</v>
      </c>
      <c r="I28" s="31">
        <v>20765</v>
      </c>
      <c r="J28" s="31">
        <v>17138</v>
      </c>
    </row>
    <row r="29" spans="1:10" x14ac:dyDescent="0.2">
      <c r="A29" s="18" t="s">
        <v>28</v>
      </c>
      <c r="B29" s="3">
        <v>698</v>
      </c>
      <c r="C29" s="3">
        <v>646</v>
      </c>
      <c r="D29" s="3">
        <v>521</v>
      </c>
      <c r="E29" s="3">
        <v>460</v>
      </c>
      <c r="F29" s="3">
        <v>399</v>
      </c>
      <c r="G29" s="3">
        <v>256</v>
      </c>
      <c r="H29" s="3">
        <v>349</v>
      </c>
      <c r="I29" s="31">
        <v>333</v>
      </c>
      <c r="J29" s="31">
        <v>306</v>
      </c>
    </row>
    <row r="30" spans="1:10" x14ac:dyDescent="0.2">
      <c r="A30" s="18" t="s">
        <v>29</v>
      </c>
      <c r="B30" s="3">
        <v>452</v>
      </c>
      <c r="C30" s="3">
        <v>412</v>
      </c>
      <c r="D30" s="3">
        <v>348</v>
      </c>
      <c r="E30" s="3">
        <v>301</v>
      </c>
      <c r="F30" s="3">
        <v>244</v>
      </c>
      <c r="G30" s="3">
        <v>186</v>
      </c>
      <c r="H30" s="3">
        <v>97</v>
      </c>
      <c r="I30" s="31">
        <v>21</v>
      </c>
      <c r="J30" s="31">
        <v>16</v>
      </c>
    </row>
    <row r="31" spans="1:10" x14ac:dyDescent="0.2">
      <c r="A31" s="18" t="s">
        <v>30</v>
      </c>
      <c r="B31" s="3">
        <v>460</v>
      </c>
      <c r="C31" s="3">
        <v>390</v>
      </c>
      <c r="D31" s="3">
        <v>339</v>
      </c>
      <c r="E31" s="3">
        <v>287</v>
      </c>
      <c r="F31" s="3">
        <v>206</v>
      </c>
      <c r="G31" s="3">
        <v>141</v>
      </c>
      <c r="H31" s="3">
        <v>48</v>
      </c>
      <c r="I31" s="31">
        <v>32</v>
      </c>
      <c r="J31" s="31">
        <v>12</v>
      </c>
    </row>
    <row r="32" spans="1:10" x14ac:dyDescent="0.2">
      <c r="A32" s="18" t="s">
        <v>31</v>
      </c>
      <c r="B32" s="3">
        <v>583</v>
      </c>
      <c r="C32" s="3">
        <v>563</v>
      </c>
      <c r="D32" s="3">
        <v>470</v>
      </c>
      <c r="E32" s="3">
        <v>430</v>
      </c>
      <c r="F32" s="3">
        <v>366</v>
      </c>
      <c r="G32" s="3">
        <v>273</v>
      </c>
      <c r="H32" s="3">
        <v>179</v>
      </c>
      <c r="I32" s="31">
        <v>97</v>
      </c>
      <c r="J32" s="31">
        <v>85</v>
      </c>
    </row>
    <row r="33" spans="1:10" x14ac:dyDescent="0.2">
      <c r="A33" s="18" t="s">
        <v>32</v>
      </c>
      <c r="B33" s="3">
        <v>307</v>
      </c>
      <c r="C33" s="3">
        <v>285</v>
      </c>
      <c r="D33" s="3">
        <v>143</v>
      </c>
      <c r="E33" s="3">
        <v>118</v>
      </c>
      <c r="F33" s="3">
        <v>92</v>
      </c>
      <c r="G33" s="3">
        <v>159</v>
      </c>
      <c r="H33" s="3">
        <v>75</v>
      </c>
      <c r="I33" s="31">
        <v>41</v>
      </c>
      <c r="J33" s="31">
        <v>35</v>
      </c>
    </row>
    <row r="34" spans="1:10" x14ac:dyDescent="0.2">
      <c r="A34" s="18" t="s">
        <v>33</v>
      </c>
      <c r="B34" s="3">
        <v>701</v>
      </c>
      <c r="C34" s="3">
        <v>708</v>
      </c>
      <c r="D34" s="3">
        <v>660</v>
      </c>
      <c r="E34" s="3">
        <v>731</v>
      </c>
      <c r="F34" s="3">
        <v>560</v>
      </c>
      <c r="G34" s="3">
        <v>104</v>
      </c>
      <c r="H34" s="3">
        <v>37</v>
      </c>
      <c r="I34" s="31">
        <v>24</v>
      </c>
      <c r="J34" s="31">
        <v>20</v>
      </c>
    </row>
    <row r="35" spans="1:10" x14ac:dyDescent="0.2">
      <c r="A35" s="18" t="s">
        <v>34</v>
      </c>
      <c r="B35" s="3">
        <v>249</v>
      </c>
      <c r="C35" s="3">
        <v>161</v>
      </c>
      <c r="D35" s="3">
        <v>148</v>
      </c>
      <c r="E35" s="3">
        <v>150</v>
      </c>
      <c r="F35" s="3">
        <v>131</v>
      </c>
      <c r="G35" s="3">
        <v>108</v>
      </c>
      <c r="H35" s="3">
        <v>196</v>
      </c>
      <c r="I35" s="31">
        <v>411</v>
      </c>
      <c r="J35" s="31">
        <v>172</v>
      </c>
    </row>
    <row r="36" spans="1:10" x14ac:dyDescent="0.2">
      <c r="A36" s="18" t="s">
        <v>35</v>
      </c>
      <c r="B36" s="3">
        <v>45</v>
      </c>
      <c r="C36" s="3">
        <v>41</v>
      </c>
      <c r="D36" s="3">
        <v>30</v>
      </c>
      <c r="E36" s="3">
        <v>20</v>
      </c>
      <c r="F36" s="3">
        <v>20</v>
      </c>
      <c r="G36" s="3">
        <v>13</v>
      </c>
      <c r="H36" s="3">
        <v>4</v>
      </c>
      <c r="I36" s="31">
        <v>2</v>
      </c>
      <c r="J36" s="31">
        <v>2</v>
      </c>
    </row>
    <row r="37" spans="1:10" x14ac:dyDescent="0.2">
      <c r="A37" s="18" t="s">
        <v>36</v>
      </c>
      <c r="B37" s="3">
        <v>876</v>
      </c>
      <c r="C37" s="3">
        <v>850</v>
      </c>
      <c r="D37" s="3">
        <v>937</v>
      </c>
      <c r="E37" s="3">
        <v>687</v>
      </c>
      <c r="F37" s="3">
        <v>483</v>
      </c>
      <c r="G37" s="3">
        <v>365</v>
      </c>
      <c r="H37" s="3">
        <v>4</v>
      </c>
      <c r="I37" s="31">
        <v>2</v>
      </c>
      <c r="J37" s="31">
        <v>3</v>
      </c>
    </row>
    <row r="38" spans="1:10" x14ac:dyDescent="0.2">
      <c r="A38" s="18" t="s">
        <v>37</v>
      </c>
      <c r="B38" s="3">
        <v>68</v>
      </c>
      <c r="C38" s="3">
        <v>63</v>
      </c>
      <c r="D38" s="3">
        <v>65</v>
      </c>
      <c r="E38" s="3">
        <v>61</v>
      </c>
      <c r="F38" s="3">
        <v>68</v>
      </c>
      <c r="G38" s="3">
        <v>49</v>
      </c>
      <c r="H38" s="3">
        <v>60</v>
      </c>
      <c r="I38" s="31">
        <v>132</v>
      </c>
      <c r="J38" s="31">
        <v>333</v>
      </c>
    </row>
    <row r="39" spans="1:10" x14ac:dyDescent="0.2">
      <c r="A39" s="18" t="s">
        <v>38</v>
      </c>
      <c r="B39" s="3">
        <v>11</v>
      </c>
      <c r="C39" s="3">
        <v>13</v>
      </c>
      <c r="D39" s="3">
        <v>5</v>
      </c>
      <c r="E39" s="3">
        <v>5</v>
      </c>
      <c r="F39" s="3">
        <v>4</v>
      </c>
      <c r="G39" s="3">
        <v>3</v>
      </c>
      <c r="H39" s="2"/>
      <c r="I39" s="32"/>
      <c r="J39" s="31">
        <v>1</v>
      </c>
    </row>
    <row r="40" spans="1:10" x14ac:dyDescent="0.2">
      <c r="A40" s="18" t="s">
        <v>39</v>
      </c>
      <c r="B40" s="3">
        <v>181090</v>
      </c>
      <c r="C40" s="3">
        <v>189848</v>
      </c>
      <c r="D40" s="3">
        <v>177098</v>
      </c>
      <c r="E40" s="3">
        <v>165422</v>
      </c>
      <c r="F40" s="3">
        <v>169441</v>
      </c>
      <c r="G40" s="3">
        <v>183107</v>
      </c>
      <c r="H40" s="3">
        <v>192239</v>
      </c>
      <c r="I40" s="31">
        <v>201798</v>
      </c>
      <c r="J40" s="31">
        <v>211123</v>
      </c>
    </row>
    <row r="41" spans="1:10" x14ac:dyDescent="0.2">
      <c r="A41" s="18" t="s">
        <v>40</v>
      </c>
      <c r="B41" s="3">
        <v>1075</v>
      </c>
      <c r="C41" s="3">
        <v>935</v>
      </c>
      <c r="D41" s="3">
        <v>720</v>
      </c>
      <c r="E41" s="3">
        <v>570</v>
      </c>
      <c r="F41" s="3">
        <v>383</v>
      </c>
      <c r="G41" s="3">
        <v>730</v>
      </c>
      <c r="H41" s="3">
        <v>1318</v>
      </c>
      <c r="I41" s="31">
        <v>1707</v>
      </c>
      <c r="J41" s="31">
        <v>2057</v>
      </c>
    </row>
    <row r="42" spans="1:10" x14ac:dyDescent="0.2">
      <c r="A42" s="18" t="s">
        <v>41</v>
      </c>
      <c r="B42" s="3">
        <v>64</v>
      </c>
      <c r="C42" s="3">
        <v>57</v>
      </c>
      <c r="D42" s="3">
        <v>45</v>
      </c>
      <c r="E42" s="3">
        <v>51</v>
      </c>
      <c r="F42" s="3">
        <v>22</v>
      </c>
      <c r="G42" s="3">
        <v>23</v>
      </c>
      <c r="H42" s="3">
        <v>27</v>
      </c>
      <c r="I42" s="31">
        <v>20</v>
      </c>
      <c r="J42" s="31">
        <v>22</v>
      </c>
    </row>
    <row r="44" spans="1:10" x14ac:dyDescent="0.2">
      <c r="A44" s="7" t="s">
        <v>140</v>
      </c>
      <c r="B44" s="26">
        <v>418654</v>
      </c>
      <c r="C44" s="26">
        <v>425015</v>
      </c>
      <c r="D44" s="26">
        <v>411834</v>
      </c>
      <c r="E44" s="26">
        <v>397074</v>
      </c>
      <c r="F44" s="26">
        <v>378494</v>
      </c>
      <c r="G44" s="26">
        <v>383480</v>
      </c>
      <c r="H44" s="26">
        <v>394848</v>
      </c>
      <c r="I44" s="31">
        <v>405537</v>
      </c>
      <c r="J44" s="31">
        <v>414519</v>
      </c>
    </row>
    <row r="45" spans="1:10" x14ac:dyDescent="0.2">
      <c r="A45" s="11" t="s">
        <v>141</v>
      </c>
      <c r="B45" s="17">
        <v>394513</v>
      </c>
      <c r="C45" s="17">
        <v>397432</v>
      </c>
      <c r="D45" s="17">
        <v>387392</v>
      </c>
      <c r="E45" s="17">
        <v>374654</v>
      </c>
      <c r="F45" s="17">
        <v>341060</v>
      </c>
      <c r="G45" s="17">
        <v>352356</v>
      </c>
      <c r="H45" s="17">
        <v>369774</v>
      </c>
      <c r="I45" s="31">
        <v>384633</v>
      </c>
      <c r="J45" s="31">
        <v>390158</v>
      </c>
    </row>
    <row r="46" spans="1:10" x14ac:dyDescent="0.2">
      <c r="A46" s="11" t="s">
        <v>120</v>
      </c>
      <c r="B46" s="17">
        <v>28841</v>
      </c>
      <c r="C46" s="17">
        <v>32702</v>
      </c>
      <c r="D46" s="17">
        <v>29122</v>
      </c>
      <c r="E46" s="17">
        <v>20406</v>
      </c>
      <c r="F46" s="17">
        <v>25555</v>
      </c>
      <c r="G46" s="17">
        <v>27093</v>
      </c>
      <c r="H46" s="17">
        <v>28210</v>
      </c>
      <c r="I46" s="31">
        <v>29977</v>
      </c>
      <c r="J46" s="31">
        <v>30361</v>
      </c>
    </row>
    <row r="47" spans="1:10" x14ac:dyDescent="0.2">
      <c r="A47" s="11" t="s">
        <v>121</v>
      </c>
      <c r="B47" s="17">
        <v>927</v>
      </c>
      <c r="C47" s="17">
        <v>751</v>
      </c>
      <c r="D47" s="17">
        <v>574</v>
      </c>
      <c r="E47" s="17">
        <v>534</v>
      </c>
      <c r="F47" s="17">
        <v>879</v>
      </c>
      <c r="G47" s="17">
        <v>809</v>
      </c>
      <c r="H47" s="17">
        <v>494</v>
      </c>
      <c r="I47" s="31">
        <v>603</v>
      </c>
      <c r="J47" s="31">
        <v>319</v>
      </c>
    </row>
    <row r="48" spans="1:10" x14ac:dyDescent="0.2">
      <c r="A48" s="11" t="s">
        <v>122</v>
      </c>
      <c r="B48" s="17">
        <v>-3772</v>
      </c>
      <c r="C48" s="17">
        <v>-4368</v>
      </c>
      <c r="D48" s="17">
        <v>-4106</v>
      </c>
      <c r="E48" s="17">
        <v>2547</v>
      </c>
      <c r="F48" s="17">
        <v>12758</v>
      </c>
      <c r="G48" s="17">
        <v>4839</v>
      </c>
      <c r="H48" s="17">
        <v>-2642</v>
      </c>
      <c r="I48" s="31">
        <v>-8470</v>
      </c>
      <c r="J48" s="31">
        <v>-5680</v>
      </c>
    </row>
    <row r="49" spans="1:10" x14ac:dyDescent="0.2">
      <c r="A49" s="9" t="s">
        <v>142</v>
      </c>
      <c r="B49" s="17">
        <v>411727</v>
      </c>
      <c r="C49" s="17">
        <v>424426</v>
      </c>
      <c r="D49" s="17">
        <v>413633</v>
      </c>
      <c r="E49" s="17">
        <v>399834</v>
      </c>
      <c r="F49" s="17">
        <v>388820</v>
      </c>
      <c r="G49" s="17">
        <v>391403</v>
      </c>
      <c r="H49" s="17">
        <v>397452</v>
      </c>
      <c r="I49" s="31">
        <v>401915</v>
      </c>
      <c r="J49" s="31">
        <v>404860</v>
      </c>
    </row>
    <row r="50" spans="1:10" x14ac:dyDescent="0.2">
      <c r="A50" s="11" t="s">
        <v>143</v>
      </c>
      <c r="B50" s="10"/>
      <c r="C50" s="10"/>
      <c r="D50" s="10"/>
      <c r="E50" s="10"/>
      <c r="F50" s="10"/>
      <c r="G50" s="10"/>
      <c r="H50" s="10"/>
      <c r="I50" s="32"/>
      <c r="J50" s="32"/>
    </row>
    <row r="51" spans="1:10" x14ac:dyDescent="0.2">
      <c r="A51" s="11" t="s">
        <v>144</v>
      </c>
      <c r="B51" s="17">
        <v>2266</v>
      </c>
      <c r="C51" s="17">
        <v>2451</v>
      </c>
      <c r="D51" s="17">
        <v>2479</v>
      </c>
      <c r="E51" s="17">
        <v>2625</v>
      </c>
      <c r="F51" s="17">
        <v>2778</v>
      </c>
      <c r="G51" s="17">
        <v>2834</v>
      </c>
      <c r="H51" s="17">
        <v>2363</v>
      </c>
      <c r="I51" s="31">
        <v>2202</v>
      </c>
      <c r="J51" s="31">
        <v>2254</v>
      </c>
    </row>
    <row r="52" spans="1:10" x14ac:dyDescent="0.2">
      <c r="A52" s="11" t="s">
        <v>145</v>
      </c>
      <c r="B52" s="17">
        <v>391191</v>
      </c>
      <c r="C52" s="17">
        <v>403157</v>
      </c>
      <c r="D52" s="17">
        <v>392567</v>
      </c>
      <c r="E52" s="17">
        <v>378190</v>
      </c>
      <c r="F52" s="17">
        <v>367435</v>
      </c>
      <c r="G52" s="17">
        <v>371160</v>
      </c>
      <c r="H52" s="17">
        <v>380696</v>
      </c>
      <c r="I52" s="31">
        <v>387268</v>
      </c>
      <c r="J52" s="31">
        <v>390891</v>
      </c>
    </row>
    <row r="53" spans="1:10" x14ac:dyDescent="0.2">
      <c r="A53" s="11" t="s">
        <v>146</v>
      </c>
      <c r="B53" s="17">
        <v>767</v>
      </c>
      <c r="C53" s="17">
        <v>811</v>
      </c>
      <c r="D53" s="17">
        <v>914</v>
      </c>
      <c r="E53" s="17">
        <v>878</v>
      </c>
      <c r="F53" s="17">
        <v>805</v>
      </c>
      <c r="G53" s="17">
        <v>733</v>
      </c>
      <c r="H53" s="17">
        <v>650</v>
      </c>
      <c r="I53" s="31">
        <v>640</v>
      </c>
      <c r="J53" s="31">
        <v>639</v>
      </c>
    </row>
    <row r="54" spans="1:10" x14ac:dyDescent="0.2">
      <c r="A54" s="11" t="s">
        <v>147</v>
      </c>
      <c r="B54" s="17">
        <v>614</v>
      </c>
      <c r="C54" s="17">
        <v>615</v>
      </c>
      <c r="D54" s="17">
        <v>558</v>
      </c>
      <c r="E54" s="17">
        <v>492</v>
      </c>
      <c r="F54" s="17">
        <v>404</v>
      </c>
      <c r="G54" s="17">
        <v>353</v>
      </c>
      <c r="H54" s="17">
        <v>321</v>
      </c>
      <c r="I54" s="31">
        <v>283</v>
      </c>
      <c r="J54" s="31">
        <v>241</v>
      </c>
    </row>
    <row r="55" spans="1:10" x14ac:dyDescent="0.2">
      <c r="A55" s="11" t="s">
        <v>148</v>
      </c>
      <c r="B55" s="17">
        <v>3752</v>
      </c>
      <c r="C55" s="17">
        <v>3966</v>
      </c>
      <c r="D55" s="17">
        <v>3767</v>
      </c>
      <c r="E55" s="17">
        <v>3864</v>
      </c>
      <c r="F55" s="17">
        <v>3826</v>
      </c>
      <c r="G55" s="17">
        <v>3461</v>
      </c>
      <c r="H55" s="17">
        <v>2686</v>
      </c>
      <c r="I55" s="31">
        <v>2378</v>
      </c>
      <c r="J55" s="31">
        <v>1981</v>
      </c>
    </row>
    <row r="56" spans="1:10" x14ac:dyDescent="0.2">
      <c r="A56" s="11" t="s">
        <v>149</v>
      </c>
      <c r="B56" s="17">
        <v>3883</v>
      </c>
      <c r="C56" s="17">
        <v>4136</v>
      </c>
      <c r="D56" s="17">
        <v>4046</v>
      </c>
      <c r="E56" s="17">
        <v>4159</v>
      </c>
      <c r="F56" s="17">
        <v>4081</v>
      </c>
      <c r="G56" s="17">
        <v>3580</v>
      </c>
      <c r="H56" s="17">
        <v>3021</v>
      </c>
      <c r="I56" s="31">
        <v>2598</v>
      </c>
      <c r="J56" s="31">
        <v>2571</v>
      </c>
    </row>
    <row r="57" spans="1:10" x14ac:dyDescent="0.2">
      <c r="A57" s="11" t="s">
        <v>150</v>
      </c>
      <c r="B57" s="17">
        <v>9253</v>
      </c>
      <c r="C57" s="17">
        <v>9290</v>
      </c>
      <c r="D57" s="17">
        <v>9303</v>
      </c>
      <c r="E57" s="17">
        <v>9627</v>
      </c>
      <c r="F57" s="17">
        <v>9492</v>
      </c>
      <c r="G57" s="17">
        <v>9283</v>
      </c>
      <c r="H57" s="17">
        <v>7714</v>
      </c>
      <c r="I57" s="31">
        <v>6547</v>
      </c>
      <c r="J57" s="31">
        <v>6283</v>
      </c>
    </row>
    <row r="58" spans="1:10" x14ac:dyDescent="0.2">
      <c r="A58" s="11" t="s">
        <v>151</v>
      </c>
      <c r="B58" s="10"/>
      <c r="C58" s="10"/>
      <c r="D58" s="10"/>
      <c r="E58" s="10"/>
      <c r="F58" s="10"/>
      <c r="G58" s="10"/>
      <c r="H58" s="10"/>
      <c r="I58" s="32"/>
      <c r="J58" s="32"/>
    </row>
    <row r="59" spans="1:10" x14ac:dyDescent="0.2">
      <c r="A59" s="11" t="s">
        <v>152</v>
      </c>
      <c r="B59" s="17">
        <v>118957</v>
      </c>
      <c r="C59" s="17">
        <v>119491</v>
      </c>
      <c r="D59" s="17">
        <v>112804</v>
      </c>
      <c r="E59" s="17">
        <v>112975</v>
      </c>
      <c r="F59" s="17">
        <v>101569</v>
      </c>
      <c r="G59" s="17">
        <v>92841</v>
      </c>
      <c r="H59" s="17">
        <v>81171</v>
      </c>
      <c r="I59" s="31">
        <v>73449</v>
      </c>
      <c r="J59" s="31">
        <v>72426</v>
      </c>
    </row>
    <row r="60" spans="1:10" x14ac:dyDescent="0.2">
      <c r="A60" s="11" t="s">
        <v>153</v>
      </c>
      <c r="B60" s="17">
        <v>98421</v>
      </c>
      <c r="C60" s="17">
        <v>98222</v>
      </c>
      <c r="D60" s="17">
        <v>91738</v>
      </c>
      <c r="E60" s="17">
        <v>91331</v>
      </c>
      <c r="F60" s="17">
        <v>80183</v>
      </c>
      <c r="G60" s="17">
        <v>72598</v>
      </c>
      <c r="H60" s="17">
        <v>64415</v>
      </c>
      <c r="I60" s="31">
        <v>58802</v>
      </c>
      <c r="J60" s="31">
        <v>58457</v>
      </c>
    </row>
    <row r="61" spans="1:10" x14ac:dyDescent="0.2">
      <c r="A61" s="11" t="s">
        <v>154</v>
      </c>
      <c r="B61" s="10"/>
      <c r="C61" s="10"/>
      <c r="D61" s="10"/>
      <c r="E61" s="10"/>
      <c r="F61" s="10"/>
      <c r="G61" s="10"/>
      <c r="H61" s="10"/>
      <c r="I61" s="32"/>
      <c r="J61" s="32"/>
    </row>
    <row r="62" spans="1:10" x14ac:dyDescent="0.2">
      <c r="A62" s="11" t="s">
        <v>155</v>
      </c>
      <c r="B62" s="17">
        <v>266016</v>
      </c>
      <c r="C62" s="17">
        <v>282355</v>
      </c>
      <c r="D62" s="17">
        <v>277954</v>
      </c>
      <c r="E62" s="17">
        <v>267061</v>
      </c>
      <c r="F62" s="17">
        <v>272512</v>
      </c>
      <c r="G62" s="17">
        <v>285325</v>
      </c>
      <c r="H62" s="17">
        <v>303986</v>
      </c>
      <c r="I62" s="31">
        <v>316252</v>
      </c>
      <c r="J62" s="31">
        <v>321133</v>
      </c>
    </row>
    <row r="63" spans="1:10" x14ac:dyDescent="0.2">
      <c r="A63" s="11" t="s">
        <v>156</v>
      </c>
      <c r="B63" s="17">
        <v>183531</v>
      </c>
      <c r="C63" s="17">
        <v>195177</v>
      </c>
      <c r="D63" s="17">
        <v>189525</v>
      </c>
      <c r="E63" s="17">
        <v>179568</v>
      </c>
      <c r="F63" s="17">
        <v>182666</v>
      </c>
      <c r="G63" s="17">
        <v>193925</v>
      </c>
      <c r="H63" s="17">
        <v>205197</v>
      </c>
      <c r="I63" s="31">
        <v>210159</v>
      </c>
      <c r="J63" s="31">
        <v>211635</v>
      </c>
    </row>
    <row r="64" spans="1:10" x14ac:dyDescent="0.2">
      <c r="A64" s="11" t="s">
        <v>157</v>
      </c>
      <c r="B64" s="17">
        <v>23780</v>
      </c>
      <c r="C64" s="17">
        <v>22710</v>
      </c>
      <c r="D64" s="17">
        <v>22445</v>
      </c>
      <c r="E64" s="17">
        <v>24115</v>
      </c>
      <c r="F64" s="17">
        <v>26577</v>
      </c>
      <c r="G64" s="17">
        <v>28983</v>
      </c>
      <c r="H64" s="17">
        <v>32388</v>
      </c>
      <c r="I64" s="31">
        <v>34442</v>
      </c>
      <c r="J64" s="31">
        <v>36933</v>
      </c>
    </row>
    <row r="65" spans="1:10" x14ac:dyDescent="0.2">
      <c r="A65" s="11" t="s">
        <v>158</v>
      </c>
      <c r="B65" s="17">
        <v>56768</v>
      </c>
      <c r="C65" s="17">
        <v>62536</v>
      </c>
      <c r="D65" s="17">
        <v>63944</v>
      </c>
      <c r="E65" s="17">
        <v>60874</v>
      </c>
      <c r="F65" s="17">
        <v>60649</v>
      </c>
      <c r="G65" s="17">
        <v>58910</v>
      </c>
      <c r="H65" s="17">
        <v>61603</v>
      </c>
      <c r="I65" s="31">
        <v>65673</v>
      </c>
      <c r="J65" s="31">
        <v>65968</v>
      </c>
    </row>
    <row r="66" spans="1:10" x14ac:dyDescent="0.2">
      <c r="A66" s="11" t="s">
        <v>159</v>
      </c>
      <c r="B66" s="17">
        <v>378</v>
      </c>
      <c r="C66" s="17">
        <v>459</v>
      </c>
      <c r="D66" s="17">
        <v>650</v>
      </c>
      <c r="E66" s="17">
        <v>679</v>
      </c>
      <c r="F66" s="17">
        <v>1105</v>
      </c>
      <c r="G66" s="17">
        <v>1568</v>
      </c>
      <c r="H66" s="17">
        <v>2497</v>
      </c>
      <c r="I66" s="31">
        <v>3240</v>
      </c>
      <c r="J66" s="31">
        <v>3047</v>
      </c>
    </row>
    <row r="67" spans="1:10" x14ac:dyDescent="0.2">
      <c r="A67" s="11" t="s">
        <v>160</v>
      </c>
      <c r="B67" s="17">
        <v>849</v>
      </c>
      <c r="C67" s="17">
        <v>846</v>
      </c>
      <c r="D67" s="17">
        <v>858</v>
      </c>
      <c r="E67" s="17">
        <v>1320</v>
      </c>
      <c r="F67" s="17">
        <v>1212</v>
      </c>
      <c r="G67" s="17">
        <v>1663</v>
      </c>
      <c r="H67" s="17">
        <v>2010</v>
      </c>
      <c r="I67" s="31">
        <v>2459</v>
      </c>
      <c r="J67" s="31">
        <v>3309</v>
      </c>
    </row>
    <row r="68" spans="1:10" x14ac:dyDescent="0.2">
      <c r="A68" s="11" t="s">
        <v>161</v>
      </c>
      <c r="B68" s="17">
        <v>26754</v>
      </c>
      <c r="C68" s="17">
        <v>22579</v>
      </c>
      <c r="D68" s="17">
        <v>22875</v>
      </c>
      <c r="E68" s="17">
        <v>19798</v>
      </c>
      <c r="F68" s="17">
        <v>14740</v>
      </c>
      <c r="G68" s="17">
        <v>13237</v>
      </c>
      <c r="H68" s="17">
        <v>12295</v>
      </c>
      <c r="I68" s="31">
        <v>12213</v>
      </c>
      <c r="J68" s="31">
        <v>11301</v>
      </c>
    </row>
    <row r="69" spans="1:10" x14ac:dyDescent="0.2">
      <c r="A69" s="12" t="s">
        <v>139</v>
      </c>
      <c r="B69" s="23">
        <v>6928</v>
      </c>
      <c r="C69" s="23">
        <v>589</v>
      </c>
      <c r="D69" s="23">
        <v>-1800</v>
      </c>
      <c r="E69" s="23">
        <v>-2760</v>
      </c>
      <c r="F69" s="23">
        <v>-10326</v>
      </c>
      <c r="G69" s="23">
        <v>-7924</v>
      </c>
      <c r="H69" s="23">
        <v>-2604</v>
      </c>
      <c r="I69" s="33">
        <v>3623</v>
      </c>
      <c r="J69" s="33">
        <v>9659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97220-6ABF-4148-BDE4-78B17610B98A}">
  <sheetPr codeName="Sheet6"/>
  <dimension ref="A1:U68"/>
  <sheetViews>
    <sheetView zoomScale="85" zoomScaleNormal="85" workbookViewId="0">
      <selection activeCell="K20" sqref="K20"/>
    </sheetView>
  </sheetViews>
  <sheetFormatPr defaultRowHeight="14.25" x14ac:dyDescent="0.2"/>
  <cols>
    <col min="1" max="1" width="36.625" bestFit="1" customWidth="1"/>
    <col min="2" max="21" width="10" customWidth="1"/>
    <col min="249" max="249" width="28" customWidth="1"/>
    <col min="250" max="250" width="76" customWidth="1"/>
    <col min="251" max="264" width="13" customWidth="1"/>
    <col min="505" max="505" width="28" customWidth="1"/>
    <col min="506" max="506" width="76" customWidth="1"/>
    <col min="507" max="520" width="13" customWidth="1"/>
    <col min="761" max="761" width="28" customWidth="1"/>
    <col min="762" max="762" width="76" customWidth="1"/>
    <col min="763" max="776" width="13" customWidth="1"/>
    <col min="1017" max="1017" width="28" customWidth="1"/>
    <col min="1018" max="1018" width="76" customWidth="1"/>
    <col min="1019" max="1032" width="13" customWidth="1"/>
    <col min="1273" max="1273" width="28" customWidth="1"/>
    <col min="1274" max="1274" width="76" customWidth="1"/>
    <col min="1275" max="1288" width="13" customWidth="1"/>
    <col min="1529" max="1529" width="28" customWidth="1"/>
    <col min="1530" max="1530" width="76" customWidth="1"/>
    <col min="1531" max="1544" width="13" customWidth="1"/>
    <col min="1785" max="1785" width="28" customWidth="1"/>
    <col min="1786" max="1786" width="76" customWidth="1"/>
    <col min="1787" max="1800" width="13" customWidth="1"/>
    <col min="2041" max="2041" width="28" customWidth="1"/>
    <col min="2042" max="2042" width="76" customWidth="1"/>
    <col min="2043" max="2056" width="13" customWidth="1"/>
    <col min="2297" max="2297" width="28" customWidth="1"/>
    <col min="2298" max="2298" width="76" customWidth="1"/>
    <col min="2299" max="2312" width="13" customWidth="1"/>
    <col min="2553" max="2553" width="28" customWidth="1"/>
    <col min="2554" max="2554" width="76" customWidth="1"/>
    <col min="2555" max="2568" width="13" customWidth="1"/>
    <col min="2809" max="2809" width="28" customWidth="1"/>
    <col min="2810" max="2810" width="76" customWidth="1"/>
    <col min="2811" max="2824" width="13" customWidth="1"/>
    <col min="3065" max="3065" width="28" customWidth="1"/>
    <col min="3066" max="3066" width="76" customWidth="1"/>
    <col min="3067" max="3080" width="13" customWidth="1"/>
    <col min="3321" max="3321" width="28" customWidth="1"/>
    <col min="3322" max="3322" width="76" customWidth="1"/>
    <col min="3323" max="3336" width="13" customWidth="1"/>
    <col min="3577" max="3577" width="28" customWidth="1"/>
    <col min="3578" max="3578" width="76" customWidth="1"/>
    <col min="3579" max="3592" width="13" customWidth="1"/>
    <col min="3833" max="3833" width="28" customWidth="1"/>
    <col min="3834" max="3834" width="76" customWidth="1"/>
    <col min="3835" max="3848" width="13" customWidth="1"/>
    <col min="4089" max="4089" width="28" customWidth="1"/>
    <col min="4090" max="4090" width="76" customWidth="1"/>
    <col min="4091" max="4104" width="13" customWidth="1"/>
    <col min="4345" max="4345" width="28" customWidth="1"/>
    <col min="4346" max="4346" width="76" customWidth="1"/>
    <col min="4347" max="4360" width="13" customWidth="1"/>
    <col min="4601" max="4601" width="28" customWidth="1"/>
    <col min="4602" max="4602" width="76" customWidth="1"/>
    <col min="4603" max="4616" width="13" customWidth="1"/>
    <col min="4857" max="4857" width="28" customWidth="1"/>
    <col min="4858" max="4858" width="76" customWidth="1"/>
    <col min="4859" max="4872" width="13" customWidth="1"/>
    <col min="5113" max="5113" width="28" customWidth="1"/>
    <col min="5114" max="5114" width="76" customWidth="1"/>
    <col min="5115" max="5128" width="13" customWidth="1"/>
    <col min="5369" max="5369" width="28" customWidth="1"/>
    <col min="5370" max="5370" width="76" customWidth="1"/>
    <col min="5371" max="5384" width="13" customWidth="1"/>
    <col min="5625" max="5625" width="28" customWidth="1"/>
    <col min="5626" max="5626" width="76" customWidth="1"/>
    <col min="5627" max="5640" width="13" customWidth="1"/>
    <col min="5881" max="5881" width="28" customWidth="1"/>
    <col min="5882" max="5882" width="76" customWidth="1"/>
    <col min="5883" max="5896" width="13" customWidth="1"/>
    <col min="6137" max="6137" width="28" customWidth="1"/>
    <col min="6138" max="6138" width="76" customWidth="1"/>
    <col min="6139" max="6152" width="13" customWidth="1"/>
    <col min="6393" max="6393" width="28" customWidth="1"/>
    <col min="6394" max="6394" width="76" customWidth="1"/>
    <col min="6395" max="6408" width="13" customWidth="1"/>
    <col min="6649" max="6649" width="28" customWidth="1"/>
    <col min="6650" max="6650" width="76" customWidth="1"/>
    <col min="6651" max="6664" width="13" customWidth="1"/>
    <col min="6905" max="6905" width="28" customWidth="1"/>
    <col min="6906" max="6906" width="76" customWidth="1"/>
    <col min="6907" max="6920" width="13" customWidth="1"/>
    <col min="7161" max="7161" width="28" customWidth="1"/>
    <col min="7162" max="7162" width="76" customWidth="1"/>
    <col min="7163" max="7176" width="13" customWidth="1"/>
    <col min="7417" max="7417" width="28" customWidth="1"/>
    <col min="7418" max="7418" width="76" customWidth="1"/>
    <col min="7419" max="7432" width="13" customWidth="1"/>
    <col min="7673" max="7673" width="28" customWidth="1"/>
    <col min="7674" max="7674" width="76" customWidth="1"/>
    <col min="7675" max="7688" width="13" customWidth="1"/>
    <col min="7929" max="7929" width="28" customWidth="1"/>
    <col min="7930" max="7930" width="76" customWidth="1"/>
    <col min="7931" max="7944" width="13" customWidth="1"/>
    <col min="8185" max="8185" width="28" customWidth="1"/>
    <col min="8186" max="8186" width="76" customWidth="1"/>
    <col min="8187" max="8200" width="13" customWidth="1"/>
    <col min="8441" max="8441" width="28" customWidth="1"/>
    <col min="8442" max="8442" width="76" customWidth="1"/>
    <col min="8443" max="8456" width="13" customWidth="1"/>
    <col min="8697" max="8697" width="28" customWidth="1"/>
    <col min="8698" max="8698" width="76" customWidth="1"/>
    <col min="8699" max="8712" width="13" customWidth="1"/>
    <col min="8953" max="8953" width="28" customWidth="1"/>
    <col min="8954" max="8954" width="76" customWidth="1"/>
    <col min="8955" max="8968" width="13" customWidth="1"/>
    <col min="9209" max="9209" width="28" customWidth="1"/>
    <col min="9210" max="9210" width="76" customWidth="1"/>
    <col min="9211" max="9224" width="13" customWidth="1"/>
    <col min="9465" max="9465" width="28" customWidth="1"/>
    <col min="9466" max="9466" width="76" customWidth="1"/>
    <col min="9467" max="9480" width="13" customWidth="1"/>
    <col min="9721" max="9721" width="28" customWidth="1"/>
    <col min="9722" max="9722" width="76" customWidth="1"/>
    <col min="9723" max="9736" width="13" customWidth="1"/>
    <col min="9977" max="9977" width="28" customWidth="1"/>
    <col min="9978" max="9978" width="76" customWidth="1"/>
    <col min="9979" max="9992" width="13" customWidth="1"/>
    <col min="10233" max="10233" width="28" customWidth="1"/>
    <col min="10234" max="10234" width="76" customWidth="1"/>
    <col min="10235" max="10248" width="13" customWidth="1"/>
    <col min="10489" max="10489" width="28" customWidth="1"/>
    <col min="10490" max="10490" width="76" customWidth="1"/>
    <col min="10491" max="10504" width="13" customWidth="1"/>
    <col min="10745" max="10745" width="28" customWidth="1"/>
    <col min="10746" max="10746" width="76" customWidth="1"/>
    <col min="10747" max="10760" width="13" customWidth="1"/>
    <col min="11001" max="11001" width="28" customWidth="1"/>
    <col min="11002" max="11002" width="76" customWidth="1"/>
    <col min="11003" max="11016" width="13" customWidth="1"/>
    <col min="11257" max="11257" width="28" customWidth="1"/>
    <col min="11258" max="11258" width="76" customWidth="1"/>
    <col min="11259" max="11272" width="13" customWidth="1"/>
    <col min="11513" max="11513" width="28" customWidth="1"/>
    <col min="11514" max="11514" width="76" customWidth="1"/>
    <col min="11515" max="11528" width="13" customWidth="1"/>
    <col min="11769" max="11769" width="28" customWidth="1"/>
    <col min="11770" max="11770" width="76" customWidth="1"/>
    <col min="11771" max="11784" width="13" customWidth="1"/>
    <col min="12025" max="12025" width="28" customWidth="1"/>
    <col min="12026" max="12026" width="76" customWidth="1"/>
    <col min="12027" max="12040" width="13" customWidth="1"/>
    <col min="12281" max="12281" width="28" customWidth="1"/>
    <col min="12282" max="12282" width="76" customWidth="1"/>
    <col min="12283" max="12296" width="13" customWidth="1"/>
    <col min="12537" max="12537" width="28" customWidth="1"/>
    <col min="12538" max="12538" width="76" customWidth="1"/>
    <col min="12539" max="12552" width="13" customWidth="1"/>
    <col min="12793" max="12793" width="28" customWidth="1"/>
    <col min="12794" max="12794" width="76" customWidth="1"/>
    <col min="12795" max="12808" width="13" customWidth="1"/>
    <col min="13049" max="13049" width="28" customWidth="1"/>
    <col min="13050" max="13050" width="76" customWidth="1"/>
    <col min="13051" max="13064" width="13" customWidth="1"/>
    <col min="13305" max="13305" width="28" customWidth="1"/>
    <col min="13306" max="13306" width="76" customWidth="1"/>
    <col min="13307" max="13320" width="13" customWidth="1"/>
    <col min="13561" max="13561" width="28" customWidth="1"/>
    <col min="13562" max="13562" width="76" customWidth="1"/>
    <col min="13563" max="13576" width="13" customWidth="1"/>
    <col min="13817" max="13817" width="28" customWidth="1"/>
    <col min="13818" max="13818" width="76" customWidth="1"/>
    <col min="13819" max="13832" width="13" customWidth="1"/>
    <col min="14073" max="14073" width="28" customWidth="1"/>
    <col min="14074" max="14074" width="76" customWidth="1"/>
    <col min="14075" max="14088" width="13" customWidth="1"/>
    <col min="14329" max="14329" width="28" customWidth="1"/>
    <col min="14330" max="14330" width="76" customWidth="1"/>
    <col min="14331" max="14344" width="13" customWidth="1"/>
    <col min="14585" max="14585" width="28" customWidth="1"/>
    <col min="14586" max="14586" width="76" customWidth="1"/>
    <col min="14587" max="14600" width="13" customWidth="1"/>
    <col min="14841" max="14841" width="28" customWidth="1"/>
    <col min="14842" max="14842" width="76" customWidth="1"/>
    <col min="14843" max="14856" width="13" customWidth="1"/>
    <col min="15097" max="15097" width="28" customWidth="1"/>
    <col min="15098" max="15098" width="76" customWidth="1"/>
    <col min="15099" max="15112" width="13" customWidth="1"/>
    <col min="15353" max="15353" width="28" customWidth="1"/>
    <col min="15354" max="15354" width="76" customWidth="1"/>
    <col min="15355" max="15368" width="13" customWidth="1"/>
    <col min="15609" max="15609" width="28" customWidth="1"/>
    <col min="15610" max="15610" width="76" customWidth="1"/>
    <col min="15611" max="15624" width="13" customWidth="1"/>
    <col min="15865" max="15865" width="28" customWidth="1"/>
    <col min="15866" max="15866" width="76" customWidth="1"/>
    <col min="15867" max="15880" width="13" customWidth="1"/>
    <col min="16121" max="16121" width="28" customWidth="1"/>
    <col min="16122" max="16122" width="76" customWidth="1"/>
    <col min="16123" max="16136" width="13"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65</v>
      </c>
      <c r="C3" s="26">
        <v>80</v>
      </c>
      <c r="D3" s="26">
        <v>88</v>
      </c>
      <c r="E3" s="26">
        <v>63</v>
      </c>
      <c r="F3" s="26">
        <v>75</v>
      </c>
      <c r="G3" s="26">
        <v>75</v>
      </c>
      <c r="H3" s="26">
        <v>34</v>
      </c>
      <c r="I3" s="43">
        <v>49</v>
      </c>
      <c r="J3" s="44">
        <v>11</v>
      </c>
      <c r="K3" s="72">
        <f>SUM(B3:J3)/SUM(L3:T3)</f>
        <v>1.0103466985986116</v>
      </c>
      <c r="L3" s="92">
        <v>65.41</v>
      </c>
      <c r="M3" s="93">
        <v>80.45</v>
      </c>
      <c r="N3" s="93">
        <v>87.92</v>
      </c>
      <c r="O3" s="93">
        <v>63</v>
      </c>
      <c r="P3" s="93">
        <v>75.209999999999994</v>
      </c>
      <c r="Q3" s="93">
        <v>74.92</v>
      </c>
      <c r="R3" s="93">
        <v>33.729999999999997</v>
      </c>
      <c r="S3" s="93">
        <v>48.92</v>
      </c>
      <c r="T3" s="94">
        <v>4.91</v>
      </c>
      <c r="U3" s="101">
        <f t="shared" ref="U3:U41" si="0">CORREL(L$44:T$44,L3:T3)</f>
        <v>0.3341731934640248</v>
      </c>
    </row>
    <row r="4" spans="1:21" x14ac:dyDescent="0.2">
      <c r="A4" s="18" t="s">
        <v>3</v>
      </c>
      <c r="B4" s="21"/>
      <c r="C4" s="17"/>
      <c r="D4" s="17"/>
      <c r="E4" s="17"/>
      <c r="F4" s="17"/>
      <c r="G4" s="17"/>
      <c r="H4" s="17"/>
      <c r="I4" s="31"/>
      <c r="J4" s="45"/>
      <c r="K4" s="72" t="e">
        <f t="shared" ref="K4:K41" si="1">SUM(B4:J4)/SUM(L4:T4)</f>
        <v>#DIV/0!</v>
      </c>
      <c r="L4" s="95"/>
      <c r="M4" s="96"/>
      <c r="N4" s="96"/>
      <c r="O4" s="96"/>
      <c r="P4" s="96"/>
      <c r="Q4" s="96"/>
      <c r="R4" s="96"/>
      <c r="S4" s="96"/>
      <c r="T4" s="97"/>
      <c r="U4" s="101" t="e">
        <f t="shared" si="0"/>
        <v>#DIV/0!</v>
      </c>
    </row>
    <row r="5" spans="1:21" x14ac:dyDescent="0.2">
      <c r="A5" s="18" t="s">
        <v>4</v>
      </c>
      <c r="B5" s="21">
        <v>126</v>
      </c>
      <c r="C5" s="17">
        <v>180</v>
      </c>
      <c r="D5" s="17">
        <v>187</v>
      </c>
      <c r="E5" s="17">
        <v>158</v>
      </c>
      <c r="F5" s="17">
        <v>153</v>
      </c>
      <c r="G5" s="10">
        <v>116</v>
      </c>
      <c r="H5" s="17">
        <v>128</v>
      </c>
      <c r="I5" s="31">
        <v>148</v>
      </c>
      <c r="J5" s="45">
        <v>170</v>
      </c>
      <c r="K5" s="72">
        <f t="shared" si="1"/>
        <v>1.0004027976125087</v>
      </c>
      <c r="L5" s="95">
        <v>125.54</v>
      </c>
      <c r="M5" s="96">
        <v>180.04</v>
      </c>
      <c r="N5" s="96">
        <v>187.01</v>
      </c>
      <c r="O5" s="96">
        <v>157.54</v>
      </c>
      <c r="P5" s="96">
        <v>153.47999999999999</v>
      </c>
      <c r="Q5" s="96">
        <v>116.48</v>
      </c>
      <c r="R5" s="96">
        <v>127.98</v>
      </c>
      <c r="S5" s="96">
        <v>147.75</v>
      </c>
      <c r="T5" s="97">
        <v>169.63</v>
      </c>
      <c r="U5" s="101">
        <f t="shared" si="0"/>
        <v>0.43879013642101905</v>
      </c>
    </row>
    <row r="6" spans="1:21" x14ac:dyDescent="0.2">
      <c r="A6" s="18" t="s">
        <v>5</v>
      </c>
      <c r="B6" s="15">
        <v>14</v>
      </c>
      <c r="C6" s="17">
        <v>10</v>
      </c>
      <c r="D6" s="17">
        <v>10</v>
      </c>
      <c r="E6" s="17">
        <v>9</v>
      </c>
      <c r="F6" s="17">
        <v>5</v>
      </c>
      <c r="G6" s="17">
        <v>3</v>
      </c>
      <c r="H6" s="17">
        <v>4</v>
      </c>
      <c r="I6" s="31">
        <v>4</v>
      </c>
      <c r="J6" s="45">
        <v>4</v>
      </c>
      <c r="K6" s="72">
        <f t="shared" si="1"/>
        <v>1.021732079143691</v>
      </c>
      <c r="L6" s="95">
        <v>13.81</v>
      </c>
      <c r="M6" s="96">
        <v>10.220000000000001</v>
      </c>
      <c r="N6" s="96">
        <v>9.84</v>
      </c>
      <c r="O6" s="96">
        <v>8.67</v>
      </c>
      <c r="P6" s="96">
        <v>4.75</v>
      </c>
      <c r="Q6" s="96">
        <v>3.49</v>
      </c>
      <c r="R6" s="96">
        <v>3.66</v>
      </c>
      <c r="S6" s="96">
        <v>3.57</v>
      </c>
      <c r="T6" s="97">
        <v>3.65</v>
      </c>
      <c r="U6" s="101">
        <f t="shared" si="0"/>
        <v>4.5001359121577697E-2</v>
      </c>
    </row>
    <row r="7" spans="1:21" x14ac:dyDescent="0.2">
      <c r="A7" s="18" t="s">
        <v>6</v>
      </c>
      <c r="B7" s="21">
        <v>46</v>
      </c>
      <c r="C7" s="17">
        <v>11</v>
      </c>
      <c r="D7" s="17">
        <v>7</v>
      </c>
      <c r="E7" s="17">
        <v>7</v>
      </c>
      <c r="F7" s="17">
        <v>10</v>
      </c>
      <c r="G7" s="17">
        <v>8</v>
      </c>
      <c r="H7" s="17">
        <v>9</v>
      </c>
      <c r="I7" s="31">
        <v>8</v>
      </c>
      <c r="J7" s="45">
        <v>15</v>
      </c>
      <c r="K7" s="72">
        <f t="shared" si="1"/>
        <v>1.0032335627228255</v>
      </c>
      <c r="L7" s="95">
        <v>46.1</v>
      </c>
      <c r="M7" s="96">
        <v>11.05</v>
      </c>
      <c r="N7" s="96">
        <v>7.39</v>
      </c>
      <c r="O7" s="96">
        <v>7.03</v>
      </c>
      <c r="P7" s="96">
        <v>10.02</v>
      </c>
      <c r="Q7" s="96">
        <v>8.01</v>
      </c>
      <c r="R7" s="96">
        <v>8.5399999999999991</v>
      </c>
      <c r="S7" s="96">
        <v>7.74</v>
      </c>
      <c r="T7" s="97">
        <v>14.73</v>
      </c>
      <c r="U7" s="101">
        <f t="shared" si="0"/>
        <v>-0.16649574725622698</v>
      </c>
    </row>
    <row r="8" spans="1:21" x14ac:dyDescent="0.2">
      <c r="A8" s="18" t="s">
        <v>7</v>
      </c>
      <c r="B8" s="21"/>
      <c r="C8" s="17"/>
      <c r="D8" s="17"/>
      <c r="E8" s="17"/>
      <c r="F8" s="17"/>
      <c r="G8" s="17"/>
      <c r="H8" s="17"/>
      <c r="I8" s="31"/>
      <c r="J8" s="45"/>
      <c r="K8" s="72">
        <f t="shared" si="1"/>
        <v>0</v>
      </c>
      <c r="L8" s="95"/>
      <c r="M8" s="96">
        <v>0.02</v>
      </c>
      <c r="N8" s="96">
        <v>0.03</v>
      </c>
      <c r="O8" s="96">
        <v>0.03</v>
      </c>
      <c r="P8" s="96">
        <v>0.02</v>
      </c>
      <c r="Q8" s="96"/>
      <c r="R8" s="96"/>
      <c r="S8" s="96"/>
      <c r="T8" s="97"/>
      <c r="U8" s="101">
        <f t="shared" si="0"/>
        <v>-0.50711145185502571</v>
      </c>
    </row>
    <row r="9" spans="1:21" x14ac:dyDescent="0.2">
      <c r="A9" s="18" t="s">
        <v>8</v>
      </c>
      <c r="B9" s="15"/>
      <c r="C9" s="10"/>
      <c r="D9" s="10"/>
      <c r="E9" s="10"/>
      <c r="F9" s="10"/>
      <c r="G9" s="10"/>
      <c r="H9" s="10"/>
      <c r="I9" s="32"/>
      <c r="J9" s="58"/>
      <c r="K9" s="72" t="e">
        <f t="shared" si="1"/>
        <v>#DIV/0!</v>
      </c>
      <c r="L9" s="95"/>
      <c r="M9" s="96"/>
      <c r="N9" s="96"/>
      <c r="O9" s="96"/>
      <c r="P9" s="96"/>
      <c r="Q9" s="96"/>
      <c r="R9" s="96"/>
      <c r="S9" s="96"/>
      <c r="T9" s="97"/>
      <c r="U9" s="101" t="e">
        <f t="shared" si="0"/>
        <v>#DIV/0!</v>
      </c>
    </row>
    <row r="10" spans="1:21" x14ac:dyDescent="0.2">
      <c r="A10" s="18" t="s">
        <v>9</v>
      </c>
      <c r="B10" s="21">
        <v>12</v>
      </c>
      <c r="C10" s="17">
        <v>10</v>
      </c>
      <c r="D10" s="17">
        <v>10</v>
      </c>
      <c r="E10" s="17">
        <v>141</v>
      </c>
      <c r="F10" s="17">
        <v>143</v>
      </c>
      <c r="G10" s="17">
        <v>138</v>
      </c>
      <c r="H10" s="17">
        <v>137</v>
      </c>
      <c r="I10" s="31">
        <v>125</v>
      </c>
      <c r="J10" s="45">
        <v>16</v>
      </c>
      <c r="K10" s="72">
        <f t="shared" si="1"/>
        <v>1.0048595667572686</v>
      </c>
      <c r="L10" s="95">
        <v>11.52</v>
      </c>
      <c r="M10" s="96">
        <v>9.94</v>
      </c>
      <c r="N10" s="96">
        <v>9.8699999999999992</v>
      </c>
      <c r="O10" s="96">
        <v>141.25</v>
      </c>
      <c r="P10" s="96">
        <v>142.69999999999999</v>
      </c>
      <c r="Q10" s="96">
        <v>137.63999999999999</v>
      </c>
      <c r="R10" s="96">
        <v>137.1</v>
      </c>
      <c r="S10" s="96">
        <v>124.44</v>
      </c>
      <c r="T10" s="97">
        <v>14</v>
      </c>
      <c r="U10" s="101">
        <f t="shared" si="0"/>
        <v>5.2975524598335176E-2</v>
      </c>
    </row>
    <row r="11" spans="1:21" x14ac:dyDescent="0.2">
      <c r="A11" s="18" t="s">
        <v>10</v>
      </c>
      <c r="B11" s="21">
        <v>2</v>
      </c>
      <c r="C11" s="17">
        <v>2</v>
      </c>
      <c r="D11" s="17">
        <v>3</v>
      </c>
      <c r="E11" s="17">
        <v>3</v>
      </c>
      <c r="F11" s="17">
        <v>2</v>
      </c>
      <c r="G11" s="17">
        <v>2</v>
      </c>
      <c r="H11" s="17">
        <v>1</v>
      </c>
      <c r="I11" s="31">
        <v>2</v>
      </c>
      <c r="J11" s="45">
        <v>16</v>
      </c>
      <c r="K11" s="72">
        <f t="shared" si="1"/>
        <v>1.7286537454164483</v>
      </c>
      <c r="L11" s="95">
        <v>1.9</v>
      </c>
      <c r="M11" s="96">
        <v>2.27</v>
      </c>
      <c r="N11" s="96">
        <v>2.77</v>
      </c>
      <c r="O11" s="96">
        <v>3.09</v>
      </c>
      <c r="P11" s="96">
        <v>2.17</v>
      </c>
      <c r="Q11" s="96">
        <v>2.36</v>
      </c>
      <c r="R11" s="96">
        <v>1.1200000000000001</v>
      </c>
      <c r="S11" s="96">
        <v>1.57</v>
      </c>
      <c r="T11" s="97">
        <v>1.84</v>
      </c>
      <c r="U11" s="101">
        <f t="shared" si="0"/>
        <v>0.50048223051662455</v>
      </c>
    </row>
    <row r="12" spans="1:21" x14ac:dyDescent="0.2">
      <c r="A12" s="18" t="s">
        <v>11</v>
      </c>
      <c r="B12" s="21">
        <v>1</v>
      </c>
      <c r="C12" s="17">
        <v>1</v>
      </c>
      <c r="D12" s="17">
        <v>1</v>
      </c>
      <c r="E12" s="17">
        <v>1</v>
      </c>
      <c r="F12" s="17">
        <v>1</v>
      </c>
      <c r="G12" s="17">
        <v>1</v>
      </c>
      <c r="H12" s="17"/>
      <c r="I12" s="31"/>
      <c r="J12" s="45">
        <v>4</v>
      </c>
      <c r="K12" s="72">
        <f t="shared" si="1"/>
        <v>1.5503875968992249</v>
      </c>
      <c r="L12" s="95">
        <v>0.97</v>
      </c>
      <c r="M12" s="96">
        <v>0.9</v>
      </c>
      <c r="N12" s="96">
        <v>1.39</v>
      </c>
      <c r="O12" s="96">
        <v>1.18</v>
      </c>
      <c r="P12" s="96">
        <v>0.92</v>
      </c>
      <c r="Q12" s="96">
        <v>0.85</v>
      </c>
      <c r="R12" s="96">
        <v>0.15</v>
      </c>
      <c r="S12" s="96">
        <v>0.08</v>
      </c>
      <c r="T12" s="97">
        <v>0.01</v>
      </c>
      <c r="U12" s="101">
        <f t="shared" si="0"/>
        <v>0.43829399537413266</v>
      </c>
    </row>
    <row r="13" spans="1:21" x14ac:dyDescent="0.2">
      <c r="A13" s="18" t="s">
        <v>12</v>
      </c>
      <c r="B13" s="21"/>
      <c r="C13" s="17"/>
      <c r="D13" s="17"/>
      <c r="E13" s="17"/>
      <c r="F13" s="17"/>
      <c r="G13" s="17"/>
      <c r="H13" s="17"/>
      <c r="I13" s="31"/>
      <c r="J13" s="45"/>
      <c r="K13" s="72" t="e">
        <f t="shared" si="1"/>
        <v>#DIV/0!</v>
      </c>
      <c r="L13" s="95"/>
      <c r="M13" s="96"/>
      <c r="N13" s="96"/>
      <c r="O13" s="96"/>
      <c r="P13" s="96"/>
      <c r="Q13" s="96"/>
      <c r="R13" s="96"/>
      <c r="S13" s="96"/>
      <c r="T13" s="97"/>
      <c r="U13" s="101" t="e">
        <f t="shared" si="0"/>
        <v>#DIV/0!</v>
      </c>
    </row>
    <row r="14" spans="1:21" x14ac:dyDescent="0.2">
      <c r="A14" s="18" t="s">
        <v>13</v>
      </c>
      <c r="B14" s="21">
        <v>3</v>
      </c>
      <c r="C14" s="17">
        <v>3</v>
      </c>
      <c r="D14" s="17">
        <v>2</v>
      </c>
      <c r="E14" s="17">
        <v>2</v>
      </c>
      <c r="F14" s="17">
        <v>1</v>
      </c>
      <c r="G14" s="17">
        <v>1</v>
      </c>
      <c r="H14" s="17">
        <v>2</v>
      </c>
      <c r="I14" s="31">
        <v>3</v>
      </c>
      <c r="J14" s="45">
        <v>6</v>
      </c>
      <c r="K14" s="72">
        <f t="shared" si="1"/>
        <v>1.1575239053850024</v>
      </c>
      <c r="L14" s="95">
        <v>3.08</v>
      </c>
      <c r="M14" s="96">
        <v>2.81</v>
      </c>
      <c r="N14" s="96">
        <v>2.0699999999999998</v>
      </c>
      <c r="O14" s="96">
        <v>1.93</v>
      </c>
      <c r="P14" s="96">
        <v>1.42</v>
      </c>
      <c r="Q14" s="96">
        <v>1.39</v>
      </c>
      <c r="R14" s="96">
        <v>2.0499999999999998</v>
      </c>
      <c r="S14" s="96">
        <v>1.19</v>
      </c>
      <c r="T14" s="97">
        <v>3.93</v>
      </c>
      <c r="U14" s="101">
        <f t="shared" si="0"/>
        <v>-8.9380450198728187E-2</v>
      </c>
    </row>
    <row r="15" spans="1:21" x14ac:dyDescent="0.2">
      <c r="A15" s="18" t="s">
        <v>14</v>
      </c>
      <c r="B15" s="21">
        <v>3</v>
      </c>
      <c r="C15" s="17">
        <v>2</v>
      </c>
      <c r="D15" s="17">
        <v>1</v>
      </c>
      <c r="E15" s="17">
        <v>2</v>
      </c>
      <c r="F15" s="17">
        <v>2</v>
      </c>
      <c r="G15" s="17">
        <v>1</v>
      </c>
      <c r="H15" s="17"/>
      <c r="I15" s="31"/>
      <c r="J15" s="45"/>
      <c r="K15" s="72">
        <f t="shared" si="1"/>
        <v>1.1375387797311272</v>
      </c>
      <c r="L15" s="95">
        <v>2.69</v>
      </c>
      <c r="M15" s="96">
        <v>1.58</v>
      </c>
      <c r="N15" s="96">
        <v>1.1299999999999999</v>
      </c>
      <c r="O15" s="96">
        <v>1.59</v>
      </c>
      <c r="P15" s="96">
        <v>1.86</v>
      </c>
      <c r="Q15" s="96">
        <v>0.65</v>
      </c>
      <c r="R15" s="96">
        <v>0.08</v>
      </c>
      <c r="S15" s="96">
        <v>0.05</v>
      </c>
      <c r="T15" s="97">
        <v>0.04</v>
      </c>
      <c r="U15" s="101">
        <f t="shared" si="0"/>
        <v>0.44029024231806208</v>
      </c>
    </row>
    <row r="16" spans="1:21" x14ac:dyDescent="0.2">
      <c r="A16" s="18" t="s">
        <v>15</v>
      </c>
      <c r="B16" s="21">
        <v>1</v>
      </c>
      <c r="C16" s="17">
        <v>1</v>
      </c>
      <c r="D16" s="17">
        <v>1</v>
      </c>
      <c r="E16" s="17"/>
      <c r="F16" s="17"/>
      <c r="G16" s="17"/>
      <c r="H16" s="17"/>
      <c r="I16" s="31"/>
      <c r="J16" s="45"/>
      <c r="K16" s="72">
        <f t="shared" si="1"/>
        <v>0.96463022508038587</v>
      </c>
      <c r="L16" s="95">
        <v>0.8</v>
      </c>
      <c r="M16" s="96">
        <v>0.81</v>
      </c>
      <c r="N16" s="96">
        <v>0.74</v>
      </c>
      <c r="O16" s="96">
        <v>0.34</v>
      </c>
      <c r="P16" s="96">
        <v>0.35</v>
      </c>
      <c r="Q16" s="96">
        <v>7.0000000000000007E-2</v>
      </c>
      <c r="R16" s="96"/>
      <c r="S16" s="96"/>
      <c r="T16" s="97"/>
      <c r="U16" s="101">
        <f t="shared" si="0"/>
        <v>-0.18909803687241686</v>
      </c>
    </row>
    <row r="17" spans="1:21" x14ac:dyDescent="0.2">
      <c r="A17" s="18" t="s">
        <v>16</v>
      </c>
      <c r="B17" s="21"/>
      <c r="C17" s="17"/>
      <c r="D17" s="17">
        <v>1</v>
      </c>
      <c r="E17" s="17">
        <v>1</v>
      </c>
      <c r="F17" s="17">
        <v>1</v>
      </c>
      <c r="G17" s="17"/>
      <c r="H17" s="17"/>
      <c r="I17" s="31">
        <v>2</v>
      </c>
      <c r="J17" s="45"/>
      <c r="K17" s="72">
        <f t="shared" si="1"/>
        <v>0.959692898272553</v>
      </c>
      <c r="L17" s="95">
        <v>0.37</v>
      </c>
      <c r="M17" s="96">
        <v>0.39</v>
      </c>
      <c r="N17" s="96">
        <v>1.31</v>
      </c>
      <c r="O17" s="96">
        <v>1.43</v>
      </c>
      <c r="P17" s="96">
        <v>1.17</v>
      </c>
      <c r="Q17" s="96">
        <v>0.43</v>
      </c>
      <c r="R17" s="96">
        <v>0.05</v>
      </c>
      <c r="S17" s="96">
        <v>0.05</v>
      </c>
      <c r="T17" s="97">
        <v>0.01</v>
      </c>
      <c r="U17" s="101">
        <f t="shared" si="0"/>
        <v>0.66326200256068979</v>
      </c>
    </row>
    <row r="18" spans="1:21" x14ac:dyDescent="0.2">
      <c r="A18" s="18" t="s">
        <v>17</v>
      </c>
      <c r="B18" s="21">
        <v>4</v>
      </c>
      <c r="C18" s="17">
        <v>2</v>
      </c>
      <c r="D18" s="17">
        <v>2</v>
      </c>
      <c r="E18" s="17">
        <v>2</v>
      </c>
      <c r="F18" s="17">
        <v>1</v>
      </c>
      <c r="G18" s="17">
        <v>1</v>
      </c>
      <c r="H18" s="17">
        <v>1</v>
      </c>
      <c r="I18" s="31">
        <v>1</v>
      </c>
      <c r="J18" s="45"/>
      <c r="K18" s="72">
        <f t="shared" si="1"/>
        <v>1.0502625656414104</v>
      </c>
      <c r="L18" s="95">
        <v>3.79</v>
      </c>
      <c r="M18" s="96">
        <v>2.39</v>
      </c>
      <c r="N18" s="96">
        <v>1.67</v>
      </c>
      <c r="O18" s="96">
        <v>1.89</v>
      </c>
      <c r="P18" s="96">
        <v>1.43</v>
      </c>
      <c r="Q18" s="96">
        <v>0.74</v>
      </c>
      <c r="R18" s="96">
        <v>0.82</v>
      </c>
      <c r="S18" s="96">
        <v>0.54</v>
      </c>
      <c r="T18" s="97">
        <v>0.06</v>
      </c>
      <c r="U18" s="101">
        <f t="shared" si="0"/>
        <v>7.9442311706771865E-2</v>
      </c>
    </row>
    <row r="19" spans="1:21" x14ac:dyDescent="0.2">
      <c r="A19" s="18" t="s">
        <v>18</v>
      </c>
      <c r="B19" s="21">
        <v>1</v>
      </c>
      <c r="C19" s="17">
        <v>1</v>
      </c>
      <c r="D19" s="17">
        <v>1</v>
      </c>
      <c r="E19" s="17">
        <v>1</v>
      </c>
      <c r="F19" s="17">
        <v>1</v>
      </c>
      <c r="G19" s="17"/>
      <c r="H19" s="17"/>
      <c r="I19" s="31"/>
      <c r="J19" s="45">
        <v>30</v>
      </c>
      <c r="K19" s="72">
        <f t="shared" si="1"/>
        <v>2.8294260307194823</v>
      </c>
      <c r="L19" s="95">
        <v>0.51</v>
      </c>
      <c r="M19" s="96">
        <v>0.61</v>
      </c>
      <c r="N19" s="96">
        <v>0.83</v>
      </c>
      <c r="O19" s="96">
        <v>0.77</v>
      </c>
      <c r="P19" s="96">
        <v>0.99</v>
      </c>
      <c r="Q19" s="96">
        <v>0.47</v>
      </c>
      <c r="R19" s="96">
        <v>0.03</v>
      </c>
      <c r="S19" s="96">
        <v>0.23</v>
      </c>
      <c r="T19" s="97">
        <v>7.93</v>
      </c>
      <c r="U19" s="101">
        <f t="shared" si="0"/>
        <v>0.15662080987245658</v>
      </c>
    </row>
    <row r="20" spans="1:21" x14ac:dyDescent="0.2">
      <c r="A20" s="18" t="s">
        <v>19</v>
      </c>
      <c r="B20" s="21"/>
      <c r="C20" s="17"/>
      <c r="D20" s="17"/>
      <c r="E20" s="17"/>
      <c r="F20" s="17"/>
      <c r="G20" s="17"/>
      <c r="H20" s="17"/>
      <c r="I20" s="31"/>
      <c r="J20" s="45"/>
      <c r="K20" s="72">
        <f t="shared" si="1"/>
        <v>0</v>
      </c>
      <c r="L20" s="95">
        <v>0.33</v>
      </c>
      <c r="M20" s="96">
        <v>0.27</v>
      </c>
      <c r="N20" s="96">
        <v>0.46</v>
      </c>
      <c r="O20" s="96">
        <v>0.49</v>
      </c>
      <c r="P20" s="96">
        <v>0.48</v>
      </c>
      <c r="Q20" s="96">
        <v>0.36</v>
      </c>
      <c r="R20" s="96">
        <v>0.16</v>
      </c>
      <c r="S20" s="96">
        <v>0.02</v>
      </c>
      <c r="T20" s="97">
        <v>0.02</v>
      </c>
      <c r="U20" s="101">
        <f t="shared" si="0"/>
        <v>0.56131127723542862</v>
      </c>
    </row>
    <row r="21" spans="1:21" x14ac:dyDescent="0.2">
      <c r="A21" s="18" t="s">
        <v>20</v>
      </c>
      <c r="B21" s="21">
        <v>5</v>
      </c>
      <c r="C21" s="17">
        <v>4</v>
      </c>
      <c r="D21" s="17">
        <v>4</v>
      </c>
      <c r="E21" s="17">
        <v>3</v>
      </c>
      <c r="F21" s="17">
        <v>3</v>
      </c>
      <c r="G21" s="17">
        <v>4</v>
      </c>
      <c r="H21" s="17">
        <v>2</v>
      </c>
      <c r="I21" s="31"/>
      <c r="J21" s="45"/>
      <c r="K21" s="72">
        <f t="shared" si="1"/>
        <v>0.97427903351519884</v>
      </c>
      <c r="L21" s="95">
        <v>4.67</v>
      </c>
      <c r="M21" s="96">
        <v>4.08</v>
      </c>
      <c r="N21" s="96">
        <v>3.94</v>
      </c>
      <c r="O21" s="96">
        <v>3.33</v>
      </c>
      <c r="P21" s="96">
        <v>3.15</v>
      </c>
      <c r="Q21" s="96">
        <v>3.97</v>
      </c>
      <c r="R21" s="96">
        <v>1.65</v>
      </c>
      <c r="S21" s="96">
        <v>0.43</v>
      </c>
      <c r="T21" s="97">
        <v>0.44</v>
      </c>
      <c r="U21" s="101">
        <f t="shared" si="0"/>
        <v>0.22806458147616684</v>
      </c>
    </row>
    <row r="22" spans="1:21" x14ac:dyDescent="0.2">
      <c r="A22" s="18" t="s">
        <v>21</v>
      </c>
      <c r="B22" s="21">
        <v>74</v>
      </c>
      <c r="C22" s="17">
        <v>68</v>
      </c>
      <c r="D22" s="17">
        <v>46</v>
      </c>
      <c r="E22" s="17">
        <v>65</v>
      </c>
      <c r="F22" s="17">
        <v>32</v>
      </c>
      <c r="G22" s="17">
        <v>41</v>
      </c>
      <c r="H22" s="17">
        <v>56</v>
      </c>
      <c r="I22" s="31">
        <v>71</v>
      </c>
      <c r="J22" s="45">
        <v>59</v>
      </c>
      <c r="K22" s="72">
        <f t="shared" si="1"/>
        <v>1.0898254576415496</v>
      </c>
      <c r="L22" s="95">
        <v>73.650000000000006</v>
      </c>
      <c r="M22" s="96">
        <v>67.53</v>
      </c>
      <c r="N22" s="96">
        <v>46.39</v>
      </c>
      <c r="O22" s="96">
        <v>64.81</v>
      </c>
      <c r="P22" s="96">
        <v>31.66</v>
      </c>
      <c r="Q22" s="96">
        <v>41.33</v>
      </c>
      <c r="R22" s="96">
        <v>34.99</v>
      </c>
      <c r="S22" s="96">
        <v>52.92</v>
      </c>
      <c r="T22" s="97">
        <v>56.52</v>
      </c>
      <c r="U22" s="101">
        <f t="shared" si="0"/>
        <v>-0.20015250171811272</v>
      </c>
    </row>
    <row r="23" spans="1:21" x14ac:dyDescent="0.2">
      <c r="A23" s="18" t="s">
        <v>1</v>
      </c>
      <c r="B23" s="21">
        <v>3105</v>
      </c>
      <c r="C23" s="17">
        <v>3200</v>
      </c>
      <c r="D23" s="17">
        <v>3419</v>
      </c>
      <c r="E23" s="17">
        <v>3579</v>
      </c>
      <c r="F23" s="17">
        <v>3997</v>
      </c>
      <c r="G23" s="17">
        <v>3674</v>
      </c>
      <c r="H23" s="17">
        <v>3744</v>
      </c>
      <c r="I23" s="31">
        <v>4014</v>
      </c>
      <c r="J23" s="45">
        <v>4289</v>
      </c>
      <c r="K23" s="72">
        <f t="shared" si="1"/>
        <v>1.0099908950200938</v>
      </c>
      <c r="L23" s="95">
        <v>3104.777629286401</v>
      </c>
      <c r="M23" s="96">
        <v>3200.016510750721</v>
      </c>
      <c r="N23" s="96">
        <v>3382.02</v>
      </c>
      <c r="O23" s="96">
        <v>3576.25</v>
      </c>
      <c r="P23" s="96">
        <v>3997.23</v>
      </c>
      <c r="Q23" s="96">
        <v>3674.38</v>
      </c>
      <c r="R23" s="96">
        <v>3744.32</v>
      </c>
      <c r="S23" s="96">
        <v>3955.42</v>
      </c>
      <c r="T23" s="97">
        <v>4059.94</v>
      </c>
      <c r="U23" s="101">
        <f t="shared" si="0"/>
        <v>0.20989347068950573</v>
      </c>
    </row>
    <row r="24" spans="1:21" x14ac:dyDescent="0.2">
      <c r="A24" s="18" t="s">
        <v>22</v>
      </c>
      <c r="B24" s="21">
        <v>2</v>
      </c>
      <c r="C24" s="17">
        <v>1</v>
      </c>
      <c r="D24" s="17">
        <v>1</v>
      </c>
      <c r="E24" s="17">
        <v>1</v>
      </c>
      <c r="F24" s="17">
        <v>1</v>
      </c>
      <c r="G24" s="17">
        <v>2</v>
      </c>
      <c r="H24" s="17">
        <v>2</v>
      </c>
      <c r="I24" s="31">
        <v>3</v>
      </c>
      <c r="J24" s="45">
        <v>6</v>
      </c>
      <c r="K24" s="72">
        <f t="shared" si="1"/>
        <v>1.3808139534883723</v>
      </c>
      <c r="L24" s="95">
        <v>1.62</v>
      </c>
      <c r="M24" s="96">
        <v>0.99</v>
      </c>
      <c r="N24" s="96">
        <v>0.77</v>
      </c>
      <c r="O24" s="96">
        <v>0.79</v>
      </c>
      <c r="P24" s="96">
        <v>0.92</v>
      </c>
      <c r="Q24" s="96">
        <v>1.52</v>
      </c>
      <c r="R24" s="96">
        <v>1.74</v>
      </c>
      <c r="S24" s="96">
        <v>1.95</v>
      </c>
      <c r="T24" s="97">
        <v>3.46</v>
      </c>
      <c r="U24" s="101">
        <f t="shared" si="0"/>
        <v>-0.34120061361118809</v>
      </c>
    </row>
    <row r="25" spans="1:21" x14ac:dyDescent="0.2">
      <c r="A25" s="18" t="s">
        <v>23</v>
      </c>
      <c r="B25" s="21">
        <v>1</v>
      </c>
      <c r="C25" s="17"/>
      <c r="D25" s="17"/>
      <c r="E25" s="17"/>
      <c r="F25" s="17">
        <v>17</v>
      </c>
      <c r="G25" s="17">
        <v>17</v>
      </c>
      <c r="H25" s="17">
        <v>18</v>
      </c>
      <c r="I25" s="31">
        <v>20</v>
      </c>
      <c r="J25" s="45">
        <v>3</v>
      </c>
      <c r="K25" s="72">
        <f t="shared" si="1"/>
        <v>1.0614525139664805</v>
      </c>
      <c r="L25" s="95">
        <v>0.54</v>
      </c>
      <c r="M25" s="96">
        <v>0.25</v>
      </c>
      <c r="N25" s="96">
        <v>0.36</v>
      </c>
      <c r="O25" s="96">
        <v>0.32</v>
      </c>
      <c r="P25" s="96">
        <v>17.16</v>
      </c>
      <c r="Q25" s="96">
        <v>16.79</v>
      </c>
      <c r="R25" s="96">
        <v>17.54</v>
      </c>
      <c r="S25" s="96">
        <v>18.57</v>
      </c>
      <c r="T25" s="97">
        <v>7.0000000000000007E-2</v>
      </c>
      <c r="U25" s="101">
        <f t="shared" si="0"/>
        <v>-0.10830006930739641</v>
      </c>
    </row>
    <row r="26" spans="1:21" x14ac:dyDescent="0.2">
      <c r="A26" s="18" t="s">
        <v>24</v>
      </c>
      <c r="B26" s="21">
        <v>4</v>
      </c>
      <c r="C26" s="17">
        <v>3</v>
      </c>
      <c r="D26" s="17">
        <v>5</v>
      </c>
      <c r="E26" s="17">
        <v>3</v>
      </c>
      <c r="F26" s="17">
        <v>2</v>
      </c>
      <c r="G26" s="17">
        <v>1</v>
      </c>
      <c r="H26" s="17"/>
      <c r="I26" s="31"/>
      <c r="J26" s="45">
        <v>2</v>
      </c>
      <c r="K26" s="72">
        <f t="shared" si="1"/>
        <v>0.94831673779042203</v>
      </c>
      <c r="L26" s="95">
        <v>4.12</v>
      </c>
      <c r="M26" s="96">
        <v>3.32</v>
      </c>
      <c r="N26" s="96">
        <v>4.71</v>
      </c>
      <c r="O26" s="96">
        <v>3.46</v>
      </c>
      <c r="P26" s="96">
        <v>2.0499999999999998</v>
      </c>
      <c r="Q26" s="96">
        <v>1.22</v>
      </c>
      <c r="R26" s="96">
        <v>0.2</v>
      </c>
      <c r="S26" s="96">
        <v>0.03</v>
      </c>
      <c r="T26" s="97">
        <v>1.98</v>
      </c>
      <c r="U26" s="101">
        <f t="shared" si="0"/>
        <v>0.34783952268744361</v>
      </c>
    </row>
    <row r="27" spans="1:21" x14ac:dyDescent="0.2">
      <c r="A27" s="18" t="s">
        <v>25</v>
      </c>
      <c r="B27" s="21">
        <v>987</v>
      </c>
      <c r="C27" s="17">
        <v>1048</v>
      </c>
      <c r="D27" s="17">
        <v>1040</v>
      </c>
      <c r="E27" s="17">
        <v>904</v>
      </c>
      <c r="F27" s="17">
        <v>881</v>
      </c>
      <c r="G27" s="17">
        <v>773</v>
      </c>
      <c r="H27" s="17">
        <v>966</v>
      </c>
      <c r="I27" s="31">
        <v>1340</v>
      </c>
      <c r="J27" s="45">
        <v>1464</v>
      </c>
      <c r="K27" s="72">
        <f t="shared" si="1"/>
        <v>1.0000329692885759</v>
      </c>
      <c r="L27" s="95">
        <v>986.74</v>
      </c>
      <c r="M27" s="96">
        <v>1047.55</v>
      </c>
      <c r="N27" s="96">
        <v>1039.94</v>
      </c>
      <c r="O27" s="96">
        <v>904.24</v>
      </c>
      <c r="P27" s="96">
        <v>881.4</v>
      </c>
      <c r="Q27" s="96">
        <v>773.28</v>
      </c>
      <c r="R27" s="96">
        <v>965.96</v>
      </c>
      <c r="S27" s="96">
        <v>1340.43</v>
      </c>
      <c r="T27" s="97">
        <v>1463.15</v>
      </c>
      <c r="U27" s="101">
        <f t="shared" si="0"/>
        <v>-0.18923405032283883</v>
      </c>
    </row>
    <row r="28" spans="1:21" x14ac:dyDescent="0.2">
      <c r="A28" s="18" t="s">
        <v>26</v>
      </c>
      <c r="B28" s="21">
        <v>38367</v>
      </c>
      <c r="C28" s="17">
        <v>39313</v>
      </c>
      <c r="D28" s="17">
        <v>40146</v>
      </c>
      <c r="E28" s="17">
        <v>37336</v>
      </c>
      <c r="F28" s="17">
        <v>38439</v>
      </c>
      <c r="G28" s="17">
        <v>37521</v>
      </c>
      <c r="H28" s="17">
        <v>37152</v>
      </c>
      <c r="I28" s="31">
        <v>39247</v>
      </c>
      <c r="J28" s="45">
        <v>40335</v>
      </c>
      <c r="K28" s="72">
        <f t="shared" si="1"/>
        <v>1.0016121783804459</v>
      </c>
      <c r="L28" s="95">
        <v>38331.52299114177</v>
      </c>
      <c r="M28" s="96">
        <v>39294.19375007879</v>
      </c>
      <c r="N28" s="96">
        <v>39924.9</v>
      </c>
      <c r="O28" s="96">
        <v>37057.269999999997</v>
      </c>
      <c r="P28" s="96">
        <v>38433.089999999997</v>
      </c>
      <c r="Q28" s="96">
        <v>37520.6</v>
      </c>
      <c r="R28" s="96">
        <v>37151.72</v>
      </c>
      <c r="S28" s="96">
        <v>39247.4</v>
      </c>
      <c r="T28" s="97">
        <v>40335.4</v>
      </c>
      <c r="U28" s="101">
        <f t="shared" si="0"/>
        <v>0.17682806828992614</v>
      </c>
    </row>
    <row r="29" spans="1:21" x14ac:dyDescent="0.2">
      <c r="A29" s="18" t="s">
        <v>27</v>
      </c>
      <c r="B29" s="21">
        <v>617</v>
      </c>
      <c r="C29" s="17">
        <v>586</v>
      </c>
      <c r="D29" s="17">
        <v>622</v>
      </c>
      <c r="E29" s="17">
        <v>565</v>
      </c>
      <c r="F29" s="17">
        <v>528</v>
      </c>
      <c r="G29" s="17">
        <v>518</v>
      </c>
      <c r="H29" s="17">
        <v>403</v>
      </c>
      <c r="I29" s="31">
        <v>406</v>
      </c>
      <c r="J29" s="45">
        <v>490</v>
      </c>
      <c r="K29" s="72">
        <f t="shared" si="1"/>
        <v>1.035126532468214</v>
      </c>
      <c r="L29" s="95">
        <v>593.35</v>
      </c>
      <c r="M29" s="96">
        <v>574.33999999999992</v>
      </c>
      <c r="N29" s="96">
        <v>588.01</v>
      </c>
      <c r="O29" s="96">
        <v>564.52</v>
      </c>
      <c r="P29" s="96">
        <v>527.98</v>
      </c>
      <c r="Q29" s="96">
        <v>517.75</v>
      </c>
      <c r="R29" s="96">
        <v>402.56</v>
      </c>
      <c r="S29" s="96">
        <v>406.15</v>
      </c>
      <c r="T29" s="97">
        <v>399.66</v>
      </c>
      <c r="U29" s="101">
        <f t="shared" si="0"/>
        <v>0.37451069142886984</v>
      </c>
    </row>
    <row r="30" spans="1:21" x14ac:dyDescent="0.2">
      <c r="A30" s="18" t="s">
        <v>28</v>
      </c>
      <c r="B30" s="21">
        <v>104</v>
      </c>
      <c r="C30" s="17">
        <v>141</v>
      </c>
      <c r="D30" s="17">
        <v>100</v>
      </c>
      <c r="E30" s="17">
        <v>100</v>
      </c>
      <c r="F30" s="17">
        <v>66</v>
      </c>
      <c r="G30" s="17">
        <v>60</v>
      </c>
      <c r="H30" s="17">
        <v>450</v>
      </c>
      <c r="I30" s="31">
        <v>469</v>
      </c>
      <c r="J30" s="45">
        <v>589</v>
      </c>
      <c r="K30" s="72">
        <f t="shared" si="1"/>
        <v>0.99920217623254171</v>
      </c>
      <c r="L30" s="95">
        <v>104.25</v>
      </c>
      <c r="M30" s="96">
        <v>141.36000000000001</v>
      </c>
      <c r="N30" s="96">
        <v>100.19</v>
      </c>
      <c r="O30" s="96">
        <v>100.19</v>
      </c>
      <c r="P30" s="96">
        <v>66.2</v>
      </c>
      <c r="Q30" s="96">
        <v>60.38</v>
      </c>
      <c r="R30" s="96">
        <v>449.91</v>
      </c>
      <c r="S30" s="96">
        <v>469.08</v>
      </c>
      <c r="T30" s="97">
        <v>589.1</v>
      </c>
      <c r="U30" s="101">
        <f t="shared" si="0"/>
        <v>-0.44264888061667124</v>
      </c>
    </row>
    <row r="31" spans="1:21" x14ac:dyDescent="0.2">
      <c r="A31" s="18" t="s">
        <v>29</v>
      </c>
      <c r="B31" s="21">
        <v>839</v>
      </c>
      <c r="C31" s="17">
        <v>695</v>
      </c>
      <c r="D31" s="17">
        <v>699</v>
      </c>
      <c r="E31" s="17">
        <v>684</v>
      </c>
      <c r="F31" s="17">
        <v>686</v>
      </c>
      <c r="G31" s="17">
        <v>444</v>
      </c>
      <c r="H31" s="17">
        <v>328</v>
      </c>
      <c r="I31" s="31">
        <v>245</v>
      </c>
      <c r="J31" s="45">
        <v>412</v>
      </c>
      <c r="K31" s="72">
        <f t="shared" si="1"/>
        <v>1.0000655845872246</v>
      </c>
      <c r="L31" s="95">
        <v>838.92</v>
      </c>
      <c r="M31" s="96">
        <v>694.73</v>
      </c>
      <c r="N31" s="96">
        <v>698.51</v>
      </c>
      <c r="O31" s="96">
        <v>684.25</v>
      </c>
      <c r="P31" s="96">
        <v>686.2</v>
      </c>
      <c r="Q31" s="96">
        <v>444.39</v>
      </c>
      <c r="R31" s="96">
        <v>328.03</v>
      </c>
      <c r="S31" s="96">
        <v>244.56</v>
      </c>
      <c r="T31" s="97">
        <v>412.08</v>
      </c>
      <c r="U31" s="101">
        <f t="shared" si="0"/>
        <v>0.49823832744623253</v>
      </c>
    </row>
    <row r="32" spans="1:21" x14ac:dyDescent="0.2">
      <c r="A32" s="18" t="s">
        <v>30</v>
      </c>
      <c r="B32" s="21">
        <v>45</v>
      </c>
      <c r="C32" s="17">
        <v>54</v>
      </c>
      <c r="D32" s="17">
        <v>75</v>
      </c>
      <c r="E32" s="17">
        <v>68</v>
      </c>
      <c r="F32" s="17">
        <v>71</v>
      </c>
      <c r="G32" s="17">
        <v>64</v>
      </c>
      <c r="H32" s="17">
        <v>20</v>
      </c>
      <c r="I32" s="31">
        <v>7</v>
      </c>
      <c r="J32" s="45"/>
      <c r="K32" s="72">
        <f t="shared" si="1"/>
        <v>1.0017356806347633</v>
      </c>
      <c r="L32" s="95">
        <v>45.41</v>
      </c>
      <c r="M32" s="96">
        <v>53.5</v>
      </c>
      <c r="N32" s="96">
        <v>74.5</v>
      </c>
      <c r="O32" s="96">
        <v>67.91</v>
      </c>
      <c r="P32" s="96">
        <v>71.13</v>
      </c>
      <c r="Q32" s="96">
        <v>63.87</v>
      </c>
      <c r="R32" s="96">
        <v>20.440000000000001</v>
      </c>
      <c r="S32" s="96">
        <v>6.54</v>
      </c>
      <c r="T32" s="97"/>
      <c r="U32" s="101">
        <f t="shared" si="0"/>
        <v>0.69521186198353591</v>
      </c>
    </row>
    <row r="33" spans="1:21" x14ac:dyDescent="0.2">
      <c r="A33" s="18" t="s">
        <v>31</v>
      </c>
      <c r="B33" s="21">
        <v>185</v>
      </c>
      <c r="C33" s="17">
        <v>199</v>
      </c>
      <c r="D33" s="17">
        <v>162</v>
      </c>
      <c r="E33" s="17">
        <v>129</v>
      </c>
      <c r="F33" s="17">
        <v>123</v>
      </c>
      <c r="G33" s="17">
        <v>69</v>
      </c>
      <c r="H33" s="17">
        <v>31</v>
      </c>
      <c r="I33" s="31">
        <v>14</v>
      </c>
      <c r="J33" s="45">
        <v>12</v>
      </c>
      <c r="K33" s="72">
        <f t="shared" si="1"/>
        <v>0.99912414441885367</v>
      </c>
      <c r="L33" s="95">
        <v>185.01</v>
      </c>
      <c r="M33" s="96">
        <v>198.93</v>
      </c>
      <c r="N33" s="96">
        <v>162.38</v>
      </c>
      <c r="O33" s="96">
        <v>129.32</v>
      </c>
      <c r="P33" s="96">
        <v>123.4</v>
      </c>
      <c r="Q33" s="96">
        <v>69.2</v>
      </c>
      <c r="R33" s="96">
        <v>31.11</v>
      </c>
      <c r="S33" s="96">
        <v>14.23</v>
      </c>
      <c r="T33" s="97">
        <v>11.23</v>
      </c>
      <c r="U33" s="101">
        <f t="shared" si="0"/>
        <v>0.35256020356431106</v>
      </c>
    </row>
    <row r="34" spans="1:21" x14ac:dyDescent="0.2">
      <c r="A34" s="18" t="s">
        <v>32</v>
      </c>
      <c r="B34" s="21">
        <v>12</v>
      </c>
      <c r="C34" s="17">
        <v>8</v>
      </c>
      <c r="D34" s="17">
        <v>7</v>
      </c>
      <c r="E34" s="17">
        <v>3</v>
      </c>
      <c r="F34" s="17">
        <v>2</v>
      </c>
      <c r="G34" s="17">
        <v>1</v>
      </c>
      <c r="H34" s="17">
        <v>1</v>
      </c>
      <c r="I34" s="31"/>
      <c r="J34" s="45"/>
      <c r="K34" s="72">
        <f t="shared" si="1"/>
        <v>0.98981077147016028</v>
      </c>
      <c r="L34" s="95">
        <v>12.33</v>
      </c>
      <c r="M34" s="96">
        <v>8</v>
      </c>
      <c r="N34" s="96">
        <v>7.28</v>
      </c>
      <c r="O34" s="96">
        <v>2.72</v>
      </c>
      <c r="P34" s="96">
        <v>1.57</v>
      </c>
      <c r="Q34" s="96">
        <v>1.19</v>
      </c>
      <c r="R34" s="96">
        <v>0.57999999999999996</v>
      </c>
      <c r="S34" s="96">
        <v>0.28000000000000003</v>
      </c>
      <c r="T34" s="97">
        <v>0.4</v>
      </c>
      <c r="U34" s="101">
        <f t="shared" si="0"/>
        <v>-2.5091133631569205E-2</v>
      </c>
    </row>
    <row r="35" spans="1:21" x14ac:dyDescent="0.2">
      <c r="A35" s="18" t="s">
        <v>33</v>
      </c>
      <c r="B35" s="21">
        <v>18</v>
      </c>
      <c r="C35" s="17">
        <v>17</v>
      </c>
      <c r="D35" s="17">
        <v>14</v>
      </c>
      <c r="E35" s="17">
        <v>12</v>
      </c>
      <c r="F35" s="17">
        <v>7</v>
      </c>
      <c r="G35" s="17">
        <v>5</v>
      </c>
      <c r="H35" s="17">
        <v>2</v>
      </c>
      <c r="I35" s="31">
        <v>1</v>
      </c>
      <c r="J35" s="45">
        <v>1</v>
      </c>
      <c r="K35" s="72">
        <f t="shared" si="1"/>
        <v>1.0024736362452804</v>
      </c>
      <c r="L35" s="95">
        <v>17.899999999999999</v>
      </c>
      <c r="M35" s="96">
        <v>17.43</v>
      </c>
      <c r="N35" s="96">
        <v>14.13</v>
      </c>
      <c r="O35" s="96">
        <v>12</v>
      </c>
      <c r="P35" s="96">
        <v>6.91</v>
      </c>
      <c r="Q35" s="96">
        <v>5.43</v>
      </c>
      <c r="R35" s="96">
        <v>1.75</v>
      </c>
      <c r="S35" s="96">
        <v>0.56000000000000005</v>
      </c>
      <c r="T35" s="97">
        <v>0.7</v>
      </c>
      <c r="U35" s="101">
        <f t="shared" si="0"/>
        <v>0.19494577248390485</v>
      </c>
    </row>
    <row r="36" spans="1:21" x14ac:dyDescent="0.2">
      <c r="A36" s="18" t="s">
        <v>34</v>
      </c>
      <c r="B36" s="21">
        <v>9</v>
      </c>
      <c r="C36" s="17">
        <v>11</v>
      </c>
      <c r="D36" s="17">
        <v>12</v>
      </c>
      <c r="E36" s="17">
        <v>14</v>
      </c>
      <c r="F36" s="17">
        <v>14</v>
      </c>
      <c r="G36" s="17">
        <v>13</v>
      </c>
      <c r="H36" s="17"/>
      <c r="I36" s="31"/>
      <c r="J36" s="45"/>
      <c r="K36" s="72">
        <f t="shared" si="1"/>
        <v>0.99360283108751868</v>
      </c>
      <c r="L36" s="95">
        <v>8.64</v>
      </c>
      <c r="M36" s="96">
        <v>10.74</v>
      </c>
      <c r="N36" s="96">
        <v>12.4</v>
      </c>
      <c r="O36" s="96">
        <v>14.31</v>
      </c>
      <c r="P36" s="96">
        <v>14.31</v>
      </c>
      <c r="Q36" s="96">
        <v>13</v>
      </c>
      <c r="R36" s="96">
        <v>0.05</v>
      </c>
      <c r="S36" s="96"/>
      <c r="T36" s="97">
        <v>0.02</v>
      </c>
      <c r="U36" s="101">
        <f t="shared" si="0"/>
        <v>0.55562399386807082</v>
      </c>
    </row>
    <row r="37" spans="1:21" x14ac:dyDescent="0.2">
      <c r="A37" s="18" t="s">
        <v>35</v>
      </c>
      <c r="B37" s="21">
        <v>4</v>
      </c>
      <c r="C37" s="17">
        <v>5</v>
      </c>
      <c r="D37" s="17">
        <v>4</v>
      </c>
      <c r="E37" s="17">
        <v>3</v>
      </c>
      <c r="F37" s="17">
        <v>2</v>
      </c>
      <c r="G37" s="17">
        <v>1</v>
      </c>
      <c r="H37" s="17"/>
      <c r="I37" s="31"/>
      <c r="J37" s="45"/>
      <c r="K37" s="72">
        <f t="shared" si="1"/>
        <v>1.0106382978723403</v>
      </c>
      <c r="L37" s="95">
        <v>4.17</v>
      </c>
      <c r="M37" s="96">
        <v>5.25</v>
      </c>
      <c r="N37" s="96">
        <v>4.3499999999999996</v>
      </c>
      <c r="O37" s="96">
        <v>2.69</v>
      </c>
      <c r="P37" s="96">
        <v>1.75</v>
      </c>
      <c r="Q37" s="96">
        <v>0.51</v>
      </c>
      <c r="R37" s="96">
        <v>7.0000000000000007E-2</v>
      </c>
      <c r="S37" s="96">
        <v>0.01</v>
      </c>
      <c r="T37" s="97"/>
      <c r="U37" s="101">
        <f t="shared" si="0"/>
        <v>0.28534750709404438</v>
      </c>
    </row>
    <row r="38" spans="1:21" x14ac:dyDescent="0.2">
      <c r="A38" s="18" t="s">
        <v>36</v>
      </c>
      <c r="B38" s="21">
        <v>1</v>
      </c>
      <c r="C38" s="17"/>
      <c r="D38" s="17"/>
      <c r="E38" s="17"/>
      <c r="F38" s="17">
        <v>3</v>
      </c>
      <c r="G38" s="17">
        <v>2</v>
      </c>
      <c r="H38" s="17"/>
      <c r="I38" s="31"/>
      <c r="J38" s="45"/>
      <c r="K38" s="72">
        <f t="shared" si="1"/>
        <v>1.0000000000000002</v>
      </c>
      <c r="L38" s="95">
        <v>0.5</v>
      </c>
      <c r="M38" s="96">
        <v>0.33</v>
      </c>
      <c r="N38" s="96">
        <v>0.25</v>
      </c>
      <c r="O38" s="96">
        <v>0.25</v>
      </c>
      <c r="P38" s="96">
        <v>2.58</v>
      </c>
      <c r="Q38" s="96">
        <v>2.0299999999999998</v>
      </c>
      <c r="R38" s="96"/>
      <c r="S38" s="96"/>
      <c r="T38" s="97">
        <v>0.06</v>
      </c>
      <c r="U38" s="101">
        <f t="shared" si="0"/>
        <v>0.51570132654178857</v>
      </c>
    </row>
    <row r="39" spans="1:21" x14ac:dyDescent="0.2">
      <c r="A39" s="18" t="s">
        <v>37</v>
      </c>
      <c r="B39" s="21">
        <v>20</v>
      </c>
      <c r="C39" s="17">
        <v>26</v>
      </c>
      <c r="D39" s="17">
        <v>27</v>
      </c>
      <c r="E39" s="17">
        <v>22</v>
      </c>
      <c r="F39" s="17">
        <v>16</v>
      </c>
      <c r="G39" s="17">
        <v>10</v>
      </c>
      <c r="H39" s="17">
        <v>31</v>
      </c>
      <c r="I39" s="31">
        <v>97</v>
      </c>
      <c r="J39" s="45">
        <v>69</v>
      </c>
      <c r="K39" s="72">
        <f t="shared" si="1"/>
        <v>1.0030280090840273</v>
      </c>
      <c r="L39" s="95">
        <v>20.04</v>
      </c>
      <c r="M39" s="96">
        <v>25.65</v>
      </c>
      <c r="N39" s="96">
        <v>26.71</v>
      </c>
      <c r="O39" s="96">
        <v>21.67</v>
      </c>
      <c r="P39" s="96">
        <v>16.11</v>
      </c>
      <c r="Q39" s="96">
        <v>9.92</v>
      </c>
      <c r="R39" s="96">
        <v>31.03</v>
      </c>
      <c r="S39" s="96">
        <v>97.06</v>
      </c>
      <c r="T39" s="97">
        <v>68.849999999999994</v>
      </c>
      <c r="U39" s="101">
        <f t="shared" si="0"/>
        <v>-0.30635239303996403</v>
      </c>
    </row>
    <row r="40" spans="1:21" x14ac:dyDescent="0.2">
      <c r="A40" s="18" t="s">
        <v>38</v>
      </c>
      <c r="B40" s="21">
        <v>12</v>
      </c>
      <c r="C40" s="17"/>
      <c r="D40" s="17"/>
      <c r="E40" s="17"/>
      <c r="F40" s="17"/>
      <c r="G40" s="17"/>
      <c r="H40" s="17"/>
      <c r="I40" s="31"/>
      <c r="J40" s="45"/>
      <c r="K40" s="72">
        <f t="shared" si="1"/>
        <v>0.93750000000000011</v>
      </c>
      <c r="L40" s="95">
        <v>12.47</v>
      </c>
      <c r="M40" s="96">
        <v>0.12</v>
      </c>
      <c r="N40" s="96">
        <v>0.09</v>
      </c>
      <c r="O40" s="96">
        <v>0.05</v>
      </c>
      <c r="P40" s="96">
        <v>0.04</v>
      </c>
      <c r="Q40" s="96">
        <v>0.03</v>
      </c>
      <c r="R40" s="96"/>
      <c r="S40" s="96"/>
      <c r="T40" s="97"/>
      <c r="U40" s="101">
        <f t="shared" si="0"/>
        <v>-0.43753528262303609</v>
      </c>
    </row>
    <row r="41" spans="1:21" x14ac:dyDescent="0.2">
      <c r="A41" s="18" t="s">
        <v>39</v>
      </c>
      <c r="B41" s="21"/>
      <c r="C41" s="17">
        <v>7</v>
      </c>
      <c r="D41" s="17">
        <v>49</v>
      </c>
      <c r="E41" s="17">
        <v>39</v>
      </c>
      <c r="F41" s="17">
        <v>35</v>
      </c>
      <c r="G41" s="17">
        <v>39</v>
      </c>
      <c r="H41" s="17">
        <v>39</v>
      </c>
      <c r="I41" s="31">
        <v>44</v>
      </c>
      <c r="J41" s="45">
        <v>270</v>
      </c>
      <c r="K41" s="72">
        <f t="shared" si="1"/>
        <v>1.5129996231993272</v>
      </c>
      <c r="L41" s="95">
        <v>0.49</v>
      </c>
      <c r="M41" s="96">
        <v>6.6</v>
      </c>
      <c r="N41" s="96">
        <v>47.21</v>
      </c>
      <c r="O41" s="96">
        <v>38.56</v>
      </c>
      <c r="P41" s="96">
        <v>34.880000000000003</v>
      </c>
      <c r="Q41" s="96">
        <v>38.78</v>
      </c>
      <c r="R41" s="96">
        <v>38.93</v>
      </c>
      <c r="S41" s="96">
        <v>39.08</v>
      </c>
      <c r="T41" s="97">
        <v>100.48</v>
      </c>
      <c r="U41" s="101">
        <f t="shared" si="0"/>
        <v>7.774095006608607E-2</v>
      </c>
    </row>
    <row r="42" spans="1:21" x14ac:dyDescent="0.2">
      <c r="A42" s="18" t="s">
        <v>40</v>
      </c>
      <c r="B42" s="21">
        <v>7</v>
      </c>
      <c r="C42" s="17">
        <v>4</v>
      </c>
      <c r="D42" s="17">
        <v>2</v>
      </c>
      <c r="E42" s="17">
        <v>2</v>
      </c>
      <c r="F42" s="17">
        <v>2</v>
      </c>
      <c r="G42" s="17">
        <v>2</v>
      </c>
      <c r="H42" s="17">
        <v>2</v>
      </c>
      <c r="I42" s="31">
        <v>1</v>
      </c>
      <c r="J42" s="45">
        <v>1</v>
      </c>
      <c r="K42" s="72"/>
      <c r="L42" s="95">
        <v>0.14000000000000001</v>
      </c>
      <c r="M42" s="96">
        <v>0.85</v>
      </c>
      <c r="N42" s="96">
        <v>0.27</v>
      </c>
      <c r="O42" s="96"/>
      <c r="P42" s="96"/>
      <c r="Q42" s="96"/>
      <c r="R42" s="96"/>
      <c r="S42" s="96"/>
      <c r="T42" s="97"/>
      <c r="U42" s="101"/>
    </row>
    <row r="43" spans="1:21" x14ac:dyDescent="0.2">
      <c r="A43" s="18" t="s">
        <v>41</v>
      </c>
      <c r="B43" s="22"/>
      <c r="C43" s="23"/>
      <c r="D43" s="23"/>
      <c r="E43" s="23"/>
      <c r="F43" s="23"/>
      <c r="G43" s="23"/>
      <c r="H43" s="23"/>
      <c r="I43" s="33"/>
      <c r="J43" s="46"/>
      <c r="K43" s="72"/>
      <c r="L43" s="98">
        <v>0.04</v>
      </c>
      <c r="M43" s="99">
        <v>0.05</v>
      </c>
      <c r="N43" s="99">
        <v>0.02</v>
      </c>
      <c r="O43" s="99">
        <v>0.02</v>
      </c>
      <c r="P43" s="99">
        <v>0.01</v>
      </c>
      <c r="Q43" s="99"/>
      <c r="R43" s="99"/>
      <c r="S43" s="99"/>
      <c r="T43" s="100"/>
      <c r="U43" s="101"/>
    </row>
    <row r="44" spans="1:21" x14ac:dyDescent="0.2">
      <c r="A44" s="47" t="s">
        <v>191</v>
      </c>
      <c r="B44" s="81"/>
      <c r="C44" s="48"/>
      <c r="D44" s="48"/>
      <c r="E44" s="48"/>
      <c r="F44" s="48"/>
      <c r="G44" s="48"/>
      <c r="H44" s="48"/>
      <c r="I44" s="48"/>
      <c r="J44" s="49"/>
      <c r="K44" s="50"/>
      <c r="L44" s="89">
        <v>1562.21</v>
      </c>
      <c r="M44" s="90">
        <v>1826.69</v>
      </c>
      <c r="N44" s="90">
        <v>1858.15</v>
      </c>
      <c r="O44" s="90">
        <v>1920.12</v>
      </c>
      <c r="P44" s="90">
        <v>2583.0500000000002</v>
      </c>
      <c r="Q44" s="90">
        <v>1594.72</v>
      </c>
      <c r="R44" s="90">
        <v>1288.73</v>
      </c>
      <c r="S44" s="90">
        <v>1474.76</v>
      </c>
      <c r="T44" s="91">
        <v>1818.29</v>
      </c>
      <c r="U44" s="102"/>
    </row>
    <row r="45" spans="1:21" x14ac:dyDescent="0.2">
      <c r="A45" s="82" t="s">
        <v>195</v>
      </c>
      <c r="B45" s="66"/>
      <c r="C45" s="66"/>
      <c r="D45" s="66"/>
      <c r="E45" s="66"/>
      <c r="F45" s="66"/>
      <c r="G45" s="66"/>
      <c r="H45" s="66"/>
      <c r="I45" s="66"/>
      <c r="J45" s="66"/>
      <c r="L45" s="38"/>
      <c r="M45" s="38"/>
      <c r="N45" s="38"/>
      <c r="O45" s="38"/>
      <c r="P45" s="38"/>
      <c r="Q45" s="38"/>
      <c r="R45" s="38"/>
      <c r="S45" s="38"/>
      <c r="T45" s="38"/>
    </row>
    <row r="46" spans="1:21" x14ac:dyDescent="0.2">
      <c r="A46" s="1" t="s">
        <v>72</v>
      </c>
      <c r="B46" s="4">
        <v>2012</v>
      </c>
      <c r="C46" s="4">
        <v>2013</v>
      </c>
      <c r="D46" s="4">
        <v>2014</v>
      </c>
      <c r="E46" s="4">
        <v>2015</v>
      </c>
      <c r="F46" s="4">
        <v>2016</v>
      </c>
      <c r="G46" s="4">
        <v>2017</v>
      </c>
      <c r="H46" s="4">
        <v>2018</v>
      </c>
      <c r="I46" s="34">
        <v>2019</v>
      </c>
      <c r="J46" s="35">
        <v>2020</v>
      </c>
    </row>
    <row r="47" spans="1:21" x14ac:dyDescent="0.2">
      <c r="A47" s="7" t="s">
        <v>140</v>
      </c>
      <c r="B47" s="26">
        <v>44813.7</v>
      </c>
      <c r="C47" s="26">
        <v>45850.1</v>
      </c>
      <c r="D47" s="26">
        <v>46894.3</v>
      </c>
      <c r="E47" s="26">
        <v>44018.9</v>
      </c>
      <c r="F47" s="26">
        <v>45428.6</v>
      </c>
      <c r="G47" s="26">
        <v>43739.5</v>
      </c>
      <c r="H47" s="26">
        <v>43257.9</v>
      </c>
      <c r="I47" s="31">
        <v>46533.7</v>
      </c>
      <c r="J47" s="31">
        <v>47312</v>
      </c>
      <c r="K47" s="39"/>
    </row>
    <row r="48" spans="1:21" x14ac:dyDescent="0.2">
      <c r="A48" s="11" t="s">
        <v>141</v>
      </c>
      <c r="B48" s="17">
        <v>43831.4</v>
      </c>
      <c r="C48" s="17">
        <v>48347.8</v>
      </c>
      <c r="D48" s="17">
        <v>47980.9</v>
      </c>
      <c r="E48" s="17">
        <v>44822.5</v>
      </c>
      <c r="F48" s="17">
        <v>44911.5</v>
      </c>
      <c r="G48" s="17">
        <v>43168.4</v>
      </c>
      <c r="H48" s="17">
        <v>44751.4</v>
      </c>
      <c r="I48" s="31">
        <v>47295.8</v>
      </c>
      <c r="J48" s="31">
        <v>47188.2</v>
      </c>
      <c r="K48" s="31"/>
    </row>
    <row r="49" spans="1:11" x14ac:dyDescent="0.2">
      <c r="A49" s="11" t="s">
        <v>120</v>
      </c>
      <c r="B49" s="17">
        <v>7.6</v>
      </c>
      <c r="C49" s="17">
        <v>3.5</v>
      </c>
      <c r="D49" s="17">
        <v>0.2</v>
      </c>
      <c r="E49" s="17">
        <v>0.4</v>
      </c>
      <c r="F49" s="17">
        <v>0.1</v>
      </c>
      <c r="G49" s="17">
        <v>1</v>
      </c>
      <c r="H49" s="17">
        <v>9.1</v>
      </c>
      <c r="I49" s="31">
        <v>52.3</v>
      </c>
      <c r="J49" s="31">
        <v>297.89999999999998</v>
      </c>
      <c r="K49" s="31"/>
    </row>
    <row r="50" spans="1:11" x14ac:dyDescent="0.2">
      <c r="A50" s="11" t="s">
        <v>121</v>
      </c>
      <c r="B50" s="17">
        <v>102</v>
      </c>
      <c r="C50" s="17">
        <v>467.3</v>
      </c>
      <c r="D50" s="17">
        <v>850.7</v>
      </c>
      <c r="E50" s="17">
        <v>964.8</v>
      </c>
      <c r="F50" s="17">
        <v>1011.9</v>
      </c>
      <c r="G50" s="17">
        <v>807.9</v>
      </c>
      <c r="H50" s="17">
        <v>975.8</v>
      </c>
      <c r="I50" s="31">
        <v>652.29999999999995</v>
      </c>
      <c r="J50" s="31">
        <v>349.2</v>
      </c>
      <c r="K50" s="31"/>
    </row>
    <row r="51" spans="1:11" x14ac:dyDescent="0.2">
      <c r="A51" s="11" t="s">
        <v>122</v>
      </c>
      <c r="B51" s="17">
        <v>1076.7</v>
      </c>
      <c r="C51" s="17">
        <v>-2034</v>
      </c>
      <c r="D51" s="17">
        <v>-236</v>
      </c>
      <c r="E51" s="17">
        <v>160.80000000000001</v>
      </c>
      <c r="F51" s="17">
        <v>1529</v>
      </c>
      <c r="G51" s="17">
        <v>1378</v>
      </c>
      <c r="H51" s="17">
        <v>-526.79999999999995</v>
      </c>
      <c r="I51" s="31">
        <v>-162.19999999999999</v>
      </c>
      <c r="J51" s="31">
        <v>175.1</v>
      </c>
      <c r="K51" s="31"/>
    </row>
    <row r="52" spans="1:11" x14ac:dyDescent="0.2">
      <c r="A52" s="9" t="s">
        <v>142</v>
      </c>
      <c r="B52" s="17">
        <v>44805.2</v>
      </c>
      <c r="C52" s="17">
        <v>45851.9</v>
      </c>
      <c r="D52" s="17">
        <v>46884.9</v>
      </c>
      <c r="E52" s="17">
        <v>44058.7</v>
      </c>
      <c r="F52" s="17">
        <v>45462.400000000001</v>
      </c>
      <c r="G52" s="17">
        <v>43743.1</v>
      </c>
      <c r="H52" s="17">
        <v>43716.6</v>
      </c>
      <c r="I52" s="31">
        <v>46426</v>
      </c>
      <c r="J52" s="31">
        <v>48310.400000000001</v>
      </c>
      <c r="K52" s="31"/>
    </row>
    <row r="53" spans="1:11" x14ac:dyDescent="0.2">
      <c r="A53" s="11" t="s">
        <v>143</v>
      </c>
      <c r="B53" s="10"/>
      <c r="C53" s="10"/>
      <c r="D53" s="10"/>
      <c r="E53" s="10"/>
      <c r="F53" s="10"/>
      <c r="G53" s="10"/>
      <c r="H53" s="10"/>
      <c r="I53" s="32"/>
      <c r="J53" s="32"/>
      <c r="K53" s="31"/>
    </row>
    <row r="54" spans="1:11" x14ac:dyDescent="0.2">
      <c r="A54" s="11" t="s">
        <v>144</v>
      </c>
      <c r="B54" s="17">
        <v>57.5</v>
      </c>
      <c r="C54" s="17">
        <v>69.2</v>
      </c>
      <c r="D54" s="17">
        <v>34.9</v>
      </c>
      <c r="E54" s="17">
        <v>49.5</v>
      </c>
      <c r="F54" s="17">
        <v>53.1</v>
      </c>
      <c r="G54" s="17">
        <v>38.4</v>
      </c>
      <c r="H54" s="17">
        <v>103</v>
      </c>
      <c r="I54" s="31">
        <v>59.7</v>
      </c>
      <c r="J54" s="31">
        <v>23.2</v>
      </c>
      <c r="K54" s="32"/>
    </row>
    <row r="55" spans="1:11" x14ac:dyDescent="0.2">
      <c r="A55" s="11" t="s">
        <v>145</v>
      </c>
      <c r="B55" s="17">
        <v>44694.8</v>
      </c>
      <c r="C55" s="17">
        <v>45694</v>
      </c>
      <c r="D55" s="17">
        <v>46749.599999999999</v>
      </c>
      <c r="E55" s="17">
        <v>43923</v>
      </c>
      <c r="F55" s="17">
        <v>45324.7</v>
      </c>
      <c r="G55" s="17">
        <v>43609.1</v>
      </c>
      <c r="H55" s="17">
        <v>43560.9</v>
      </c>
      <c r="I55" s="31">
        <v>46320.2</v>
      </c>
      <c r="J55" s="31">
        <v>48272.2</v>
      </c>
      <c r="K55" s="31"/>
    </row>
    <row r="56" spans="1:11" x14ac:dyDescent="0.2">
      <c r="A56" s="11" t="s">
        <v>146</v>
      </c>
      <c r="B56" s="17">
        <v>6.3</v>
      </c>
      <c r="C56" s="17">
        <v>7.7</v>
      </c>
      <c r="D56" s="17">
        <v>9.6999999999999993</v>
      </c>
      <c r="E56" s="17">
        <v>6.7</v>
      </c>
      <c r="F56" s="17">
        <v>7.1</v>
      </c>
      <c r="G56" s="17">
        <v>12.6</v>
      </c>
      <c r="H56" s="17">
        <v>10.6</v>
      </c>
      <c r="I56" s="31">
        <v>9.6999999999999993</v>
      </c>
      <c r="J56" s="31">
        <v>3.6</v>
      </c>
      <c r="K56" s="31"/>
    </row>
    <row r="57" spans="1:11" x14ac:dyDescent="0.2">
      <c r="A57" s="11" t="s">
        <v>147</v>
      </c>
      <c r="B57" s="17">
        <v>0.1</v>
      </c>
      <c r="C57" s="17">
        <v>2.2000000000000002</v>
      </c>
      <c r="D57" s="17">
        <v>2.7</v>
      </c>
      <c r="E57" s="17">
        <v>3</v>
      </c>
      <c r="F57" s="17">
        <v>3.2</v>
      </c>
      <c r="G57" s="17">
        <v>6</v>
      </c>
      <c r="H57" s="17">
        <v>0.4</v>
      </c>
      <c r="I57" s="31">
        <v>0.4</v>
      </c>
      <c r="J57" s="32"/>
      <c r="K57" s="31"/>
    </row>
    <row r="58" spans="1:11" x14ac:dyDescent="0.2">
      <c r="A58" s="11" t="s">
        <v>148</v>
      </c>
      <c r="B58" s="17">
        <v>6.7</v>
      </c>
      <c r="C58" s="17">
        <v>35.799999999999997</v>
      </c>
      <c r="D58" s="17">
        <v>46.6</v>
      </c>
      <c r="E58" s="17">
        <v>40.1</v>
      </c>
      <c r="F58" s="17">
        <v>41.3</v>
      </c>
      <c r="G58" s="17">
        <v>49.4</v>
      </c>
      <c r="H58" s="17">
        <v>19</v>
      </c>
      <c r="I58" s="31">
        <v>16.899999999999999</v>
      </c>
      <c r="J58" s="32"/>
      <c r="K58" s="31"/>
    </row>
    <row r="59" spans="1:11" x14ac:dyDescent="0.2">
      <c r="A59" s="11" t="s">
        <v>149</v>
      </c>
      <c r="B59" s="17">
        <v>1.9</v>
      </c>
      <c r="C59" s="17">
        <v>5</v>
      </c>
      <c r="D59" s="17">
        <v>5.0999999999999996</v>
      </c>
      <c r="E59" s="17">
        <v>5.4</v>
      </c>
      <c r="F59" s="17">
        <v>5.6</v>
      </c>
      <c r="G59" s="17">
        <v>5.9</v>
      </c>
      <c r="H59" s="17">
        <v>6.3</v>
      </c>
      <c r="I59" s="31">
        <v>6.3</v>
      </c>
      <c r="J59" s="32"/>
      <c r="K59" s="31"/>
    </row>
    <row r="60" spans="1:11" x14ac:dyDescent="0.2">
      <c r="A60" s="11" t="s">
        <v>150</v>
      </c>
      <c r="B60" s="17">
        <v>37.9</v>
      </c>
      <c r="C60" s="17">
        <v>38</v>
      </c>
      <c r="D60" s="17">
        <v>36.4</v>
      </c>
      <c r="E60" s="17">
        <v>31.2</v>
      </c>
      <c r="F60" s="17">
        <v>27.4</v>
      </c>
      <c r="G60" s="17">
        <v>21.8</v>
      </c>
      <c r="H60" s="17">
        <v>16.399999999999999</v>
      </c>
      <c r="I60" s="31">
        <v>12.8</v>
      </c>
      <c r="J60" s="31">
        <v>11.4</v>
      </c>
      <c r="K60" s="31"/>
    </row>
    <row r="61" spans="1:11" x14ac:dyDescent="0.2">
      <c r="A61" s="11" t="s">
        <v>151</v>
      </c>
      <c r="B61" s="10"/>
      <c r="C61" s="10"/>
      <c r="D61" s="10"/>
      <c r="E61" s="10"/>
      <c r="F61" s="10"/>
      <c r="G61" s="10"/>
      <c r="H61" s="10"/>
      <c r="I61" s="32"/>
      <c r="J61" s="32"/>
      <c r="K61" s="31"/>
    </row>
    <row r="62" spans="1:11" x14ac:dyDescent="0.2">
      <c r="A62" s="11" t="s">
        <v>152</v>
      </c>
      <c r="B62" s="17">
        <v>44738.5</v>
      </c>
      <c r="C62" s="17">
        <v>45817.5</v>
      </c>
      <c r="D62" s="17">
        <v>46589.1</v>
      </c>
      <c r="E62" s="17">
        <v>43775</v>
      </c>
      <c r="F62" s="17">
        <v>45454.400000000001</v>
      </c>
      <c r="G62" s="17">
        <v>43741.5</v>
      </c>
      <c r="H62" s="17">
        <v>43693.7</v>
      </c>
      <c r="I62" s="31">
        <v>46336.6</v>
      </c>
      <c r="J62" s="31">
        <v>47762.5</v>
      </c>
      <c r="K62" s="31"/>
    </row>
    <row r="63" spans="1:11" x14ac:dyDescent="0.2">
      <c r="A63" s="11" t="s">
        <v>162</v>
      </c>
      <c r="B63" s="17">
        <v>44628.1</v>
      </c>
      <c r="C63" s="17">
        <v>45659.6</v>
      </c>
      <c r="D63" s="17">
        <v>46453.8</v>
      </c>
      <c r="E63" s="17">
        <v>43639.199999999997</v>
      </c>
      <c r="F63" s="17">
        <v>45316.7</v>
      </c>
      <c r="G63" s="17">
        <v>43607.4</v>
      </c>
      <c r="H63" s="17">
        <v>43538</v>
      </c>
      <c r="I63" s="31">
        <v>46230.9</v>
      </c>
      <c r="J63" s="31">
        <v>47724.3</v>
      </c>
    </row>
    <row r="64" spans="1:11" x14ac:dyDescent="0.2">
      <c r="A64" s="11" t="s">
        <v>154</v>
      </c>
      <c r="B64" s="10"/>
      <c r="C64" s="10"/>
      <c r="D64" s="10"/>
      <c r="E64" s="10"/>
      <c r="F64" s="10"/>
      <c r="G64" s="10"/>
      <c r="H64" s="10"/>
      <c r="I64" s="32"/>
      <c r="J64" s="32"/>
    </row>
    <row r="65" spans="1:10" x14ac:dyDescent="0.2">
      <c r="A65" s="11" t="s">
        <v>163</v>
      </c>
      <c r="B65" s="17">
        <v>66.7</v>
      </c>
      <c r="C65" s="17">
        <v>34.4</v>
      </c>
      <c r="D65" s="17">
        <v>295.8</v>
      </c>
      <c r="E65" s="17">
        <v>283.8</v>
      </c>
      <c r="F65" s="17">
        <v>8</v>
      </c>
      <c r="G65" s="17">
        <v>1.6</v>
      </c>
      <c r="H65" s="17">
        <v>22.8</v>
      </c>
      <c r="I65" s="31">
        <v>89.3</v>
      </c>
      <c r="J65" s="31">
        <v>547.9</v>
      </c>
    </row>
    <row r="66" spans="1:10" x14ac:dyDescent="0.2">
      <c r="A66" s="11" t="s">
        <v>164</v>
      </c>
      <c r="B66" s="17">
        <v>66.7</v>
      </c>
      <c r="C66" s="17">
        <v>34.4</v>
      </c>
      <c r="D66" s="17">
        <v>32.799999999999997</v>
      </c>
      <c r="E66" s="17">
        <v>1.8</v>
      </c>
      <c r="F66" s="17">
        <v>1.9</v>
      </c>
      <c r="G66" s="17">
        <v>1.6</v>
      </c>
      <c r="H66" s="17">
        <v>1.6</v>
      </c>
      <c r="I66" s="31">
        <v>16.5</v>
      </c>
      <c r="J66" s="31">
        <v>17.600000000000001</v>
      </c>
    </row>
    <row r="67" spans="1:10" x14ac:dyDescent="0.2">
      <c r="A67" s="11" t="s">
        <v>165</v>
      </c>
      <c r="B67" s="10"/>
      <c r="C67" s="10"/>
      <c r="D67" s="10"/>
      <c r="E67" s="10"/>
      <c r="F67" s="10"/>
      <c r="G67" s="10"/>
      <c r="H67" s="10"/>
      <c r="I67" s="32"/>
      <c r="J67" s="32"/>
    </row>
    <row r="68" spans="1:10" x14ac:dyDescent="0.2">
      <c r="A68" s="12" t="s">
        <v>139</v>
      </c>
      <c r="B68" s="23">
        <v>8.5</v>
      </c>
      <c r="C68" s="23">
        <v>-1.8</v>
      </c>
      <c r="D68" s="23">
        <v>9.4</v>
      </c>
      <c r="E68" s="23">
        <v>-39.799999999999997</v>
      </c>
      <c r="F68" s="23">
        <v>-33.799999999999997</v>
      </c>
      <c r="G68" s="23">
        <v>-3.6</v>
      </c>
      <c r="H68" s="23">
        <v>-458.6</v>
      </c>
      <c r="I68" s="33">
        <v>107.7</v>
      </c>
      <c r="J68" s="33">
        <v>-998.4</v>
      </c>
    </row>
  </sheetData>
  <mergeCells count="2">
    <mergeCell ref="B1:J1"/>
    <mergeCell ref="L1:T1"/>
  </mergeCells>
  <phoneticPr fontId="3" type="noConversion"/>
  <conditionalFormatting sqref="K3:K43">
    <cfRule type="cellIs" dxfId="10"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92E-FF33-4F15-95D8-165EFD3671BE}">
  <sheetPr codeName="Sheet7"/>
  <dimension ref="A1:U70"/>
  <sheetViews>
    <sheetView zoomScale="85" zoomScaleNormal="85" workbookViewId="0">
      <selection activeCell="A41" sqref="A41"/>
    </sheetView>
  </sheetViews>
  <sheetFormatPr defaultRowHeight="14.25" x14ac:dyDescent="0.2"/>
  <cols>
    <col min="1" max="1" width="36.625" bestFit="1" customWidth="1"/>
    <col min="2" max="21" width="10"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c r="C3" s="26">
        <v>0.04</v>
      </c>
      <c r="D3" s="26">
        <v>0.09</v>
      </c>
      <c r="E3" s="26">
        <v>0.03</v>
      </c>
      <c r="F3" s="26">
        <v>0.01</v>
      </c>
      <c r="G3" s="26">
        <v>0.06</v>
      </c>
      <c r="H3" s="26">
        <v>13.92</v>
      </c>
      <c r="I3" s="43">
        <v>0.22</v>
      </c>
      <c r="J3" s="44">
        <v>0.08</v>
      </c>
      <c r="K3" s="72">
        <f>SUM(B3:J3)/SUM(L3:T3)</f>
        <v>24.491525423728817</v>
      </c>
      <c r="L3" s="92"/>
      <c r="M3" s="93"/>
      <c r="N3" s="93"/>
      <c r="O3" s="93"/>
      <c r="P3" s="93">
        <v>0.01</v>
      </c>
      <c r="Q3" s="93">
        <v>0.06</v>
      </c>
      <c r="R3" s="93">
        <v>0.22</v>
      </c>
      <c r="S3" s="93">
        <v>0.22</v>
      </c>
      <c r="T3" s="94">
        <v>0.08</v>
      </c>
      <c r="U3" s="101" t="e">
        <f t="shared" ref="U3:U41" si="0">CORREL(L$44:T$44,L3:T3)</f>
        <v>#DIV/0!</v>
      </c>
    </row>
    <row r="4" spans="1:21" x14ac:dyDescent="0.2">
      <c r="A4" s="18" t="s">
        <v>3</v>
      </c>
      <c r="B4" s="21">
        <v>1050.4100000000001</v>
      </c>
      <c r="C4" s="17">
        <v>1034.6600000000001</v>
      </c>
      <c r="D4" s="17">
        <v>1034.6099999999999</v>
      </c>
      <c r="E4" s="17">
        <v>987.5</v>
      </c>
      <c r="F4" s="17">
        <v>740.82</v>
      </c>
      <c r="G4" s="17">
        <v>713.31</v>
      </c>
      <c r="H4" s="17">
        <v>612.23</v>
      </c>
      <c r="I4" s="31">
        <v>636.91</v>
      </c>
      <c r="J4" s="45">
        <v>609.94000000000005</v>
      </c>
      <c r="K4" s="72">
        <f t="shared" ref="K4:K43" si="1">SUM(B4:J4)/SUM(L4:T4)</f>
        <v>2.2715873642706041</v>
      </c>
      <c r="L4" s="95">
        <v>463.1</v>
      </c>
      <c r="M4" s="96">
        <v>482.34</v>
      </c>
      <c r="N4" s="96">
        <v>468.86</v>
      </c>
      <c r="O4" s="96">
        <v>440.4</v>
      </c>
      <c r="P4" s="96">
        <v>320.11</v>
      </c>
      <c r="Q4" s="96">
        <v>297.86</v>
      </c>
      <c r="R4" s="96">
        <v>278.23</v>
      </c>
      <c r="S4" s="96">
        <v>268.2</v>
      </c>
      <c r="T4" s="97">
        <v>247.51</v>
      </c>
      <c r="U4" s="101">
        <f t="shared" si="0"/>
        <v>0.4188471722865309</v>
      </c>
    </row>
    <row r="5" spans="1:21" x14ac:dyDescent="0.2">
      <c r="A5" s="18" t="s">
        <v>4</v>
      </c>
      <c r="B5" s="21">
        <v>0.01</v>
      </c>
      <c r="C5" s="17"/>
      <c r="D5" s="17"/>
      <c r="E5" s="17"/>
      <c r="F5" s="17"/>
      <c r="G5" s="10"/>
      <c r="H5" s="17"/>
      <c r="I5" s="31"/>
      <c r="J5" s="45"/>
      <c r="K5" s="72">
        <f t="shared" si="1"/>
        <v>1</v>
      </c>
      <c r="L5" s="95">
        <v>0.01</v>
      </c>
      <c r="M5" s="96"/>
      <c r="N5" s="96"/>
      <c r="O5" s="96"/>
      <c r="P5" s="96"/>
      <c r="Q5" s="96"/>
      <c r="R5" s="96"/>
      <c r="S5" s="96"/>
      <c r="T5" s="97"/>
      <c r="U5" s="101" t="e">
        <f t="shared" si="0"/>
        <v>#DIV/0!</v>
      </c>
    </row>
    <row r="6" spans="1:21" x14ac:dyDescent="0.2">
      <c r="A6" s="18" t="s">
        <v>5</v>
      </c>
      <c r="B6" s="15"/>
      <c r="C6" s="17"/>
      <c r="D6" s="17"/>
      <c r="E6" s="17"/>
      <c r="F6" s="17">
        <v>1.23</v>
      </c>
      <c r="G6" s="17"/>
      <c r="H6" s="17"/>
      <c r="I6" s="31"/>
      <c r="J6" s="45"/>
      <c r="K6" s="72">
        <f t="shared" si="1"/>
        <v>1</v>
      </c>
      <c r="L6" s="95"/>
      <c r="M6" s="96"/>
      <c r="N6" s="96"/>
      <c r="O6" s="96"/>
      <c r="P6" s="96">
        <v>1.23</v>
      </c>
      <c r="Q6" s="96"/>
      <c r="R6" s="96"/>
      <c r="S6" s="96"/>
      <c r="T6" s="97"/>
      <c r="U6" s="101" t="e">
        <f t="shared" si="0"/>
        <v>#DIV/0!</v>
      </c>
    </row>
    <row r="7" spans="1:21" x14ac:dyDescent="0.2">
      <c r="A7" s="18" t="s">
        <v>6</v>
      </c>
      <c r="B7" s="21"/>
      <c r="C7" s="17"/>
      <c r="D7" s="17"/>
      <c r="E7" s="17"/>
      <c r="F7" s="17"/>
      <c r="G7" s="17"/>
      <c r="H7" s="17"/>
      <c r="I7" s="31"/>
      <c r="J7" s="45"/>
      <c r="K7" s="72" t="e">
        <f t="shared" si="1"/>
        <v>#DIV/0!</v>
      </c>
      <c r="L7" s="95"/>
      <c r="M7" s="96"/>
      <c r="N7" s="96"/>
      <c r="O7" s="96"/>
      <c r="P7" s="96"/>
      <c r="Q7" s="96"/>
      <c r="R7" s="96"/>
      <c r="S7" s="96"/>
      <c r="T7" s="97"/>
      <c r="U7" s="101" t="e">
        <f t="shared" si="0"/>
        <v>#DIV/0!</v>
      </c>
    </row>
    <row r="8" spans="1:21" x14ac:dyDescent="0.2">
      <c r="A8" s="18" t="s">
        <v>7</v>
      </c>
      <c r="B8" s="21">
        <v>23.66</v>
      </c>
      <c r="C8" s="17">
        <v>24.51</v>
      </c>
      <c r="D8" s="17">
        <v>33.520000000000003</v>
      </c>
      <c r="E8" s="17">
        <v>36.64</v>
      </c>
      <c r="F8" s="17">
        <v>45.82</v>
      </c>
      <c r="G8" s="17">
        <v>26.59</v>
      </c>
      <c r="H8" s="17">
        <v>17.86</v>
      </c>
      <c r="I8" s="31">
        <v>0.1</v>
      </c>
      <c r="J8" s="45">
        <v>0.09</v>
      </c>
      <c r="K8" s="72">
        <f t="shared" si="1"/>
        <v>51.048899755501218</v>
      </c>
      <c r="L8" s="95">
        <v>0.9</v>
      </c>
      <c r="M8" s="96">
        <v>0.8</v>
      </c>
      <c r="N8" s="96">
        <v>1.28</v>
      </c>
      <c r="O8" s="96">
        <v>0.48</v>
      </c>
      <c r="P8" s="96">
        <v>0.16</v>
      </c>
      <c r="Q8" s="96">
        <v>0.16</v>
      </c>
      <c r="R8" s="96">
        <v>0.12</v>
      </c>
      <c r="S8" s="96">
        <v>0.1</v>
      </c>
      <c r="T8" s="97">
        <v>0.09</v>
      </c>
      <c r="U8" s="101">
        <f t="shared" si="0"/>
        <v>0.71356079862220145</v>
      </c>
    </row>
    <row r="9" spans="1:21" x14ac:dyDescent="0.2">
      <c r="A9" s="18" t="s">
        <v>8</v>
      </c>
      <c r="B9" s="15"/>
      <c r="C9" s="10"/>
      <c r="D9" s="10"/>
      <c r="E9" s="10"/>
      <c r="F9" s="10"/>
      <c r="G9" s="10"/>
      <c r="H9" s="10"/>
      <c r="I9" s="32"/>
      <c r="J9" s="58"/>
      <c r="K9" s="72" t="e">
        <f t="shared" si="1"/>
        <v>#DIV/0!</v>
      </c>
      <c r="L9" s="95"/>
      <c r="M9" s="96"/>
      <c r="N9" s="96"/>
      <c r="O9" s="96"/>
      <c r="P9" s="96"/>
      <c r="Q9" s="96"/>
      <c r="R9" s="96"/>
      <c r="S9" s="96"/>
      <c r="T9" s="97"/>
      <c r="U9" s="101" t="e">
        <f t="shared" si="0"/>
        <v>#DIV/0!</v>
      </c>
    </row>
    <row r="10" spans="1:21" x14ac:dyDescent="0.2">
      <c r="A10" s="18" t="s">
        <v>9</v>
      </c>
      <c r="B10" s="21">
        <v>7.0000000000000007E-2</v>
      </c>
      <c r="C10" s="17">
        <v>0.24</v>
      </c>
      <c r="D10" s="17">
        <v>0.02</v>
      </c>
      <c r="E10" s="17">
        <v>0.03</v>
      </c>
      <c r="F10" s="17">
        <v>0.02</v>
      </c>
      <c r="G10" s="17">
        <v>0.02</v>
      </c>
      <c r="H10" s="17">
        <v>0.06</v>
      </c>
      <c r="I10" s="31"/>
      <c r="J10" s="45"/>
      <c r="K10" s="72">
        <f t="shared" si="1"/>
        <v>1</v>
      </c>
      <c r="L10" s="95">
        <v>7.0000000000000007E-2</v>
      </c>
      <c r="M10" s="96">
        <v>0.24</v>
      </c>
      <c r="N10" s="96">
        <v>0.02</v>
      </c>
      <c r="O10" s="96">
        <v>0.03</v>
      </c>
      <c r="P10" s="96">
        <v>0.02</v>
      </c>
      <c r="Q10" s="96">
        <v>0.02</v>
      </c>
      <c r="R10" s="96">
        <v>0.06</v>
      </c>
      <c r="S10" s="96"/>
      <c r="T10" s="97"/>
      <c r="U10" s="101">
        <f t="shared" si="0"/>
        <v>-0.26621590370992787</v>
      </c>
    </row>
    <row r="11" spans="1:21" x14ac:dyDescent="0.2">
      <c r="A11" s="18" t="s">
        <v>10</v>
      </c>
      <c r="B11" s="21"/>
      <c r="C11" s="17"/>
      <c r="D11" s="17"/>
      <c r="E11" s="17"/>
      <c r="F11" s="17"/>
      <c r="G11" s="17"/>
      <c r="H11" s="17"/>
      <c r="I11" s="31"/>
      <c r="J11" s="45"/>
      <c r="K11" s="72" t="e">
        <f t="shared" si="1"/>
        <v>#DIV/0!</v>
      </c>
      <c r="L11" s="95"/>
      <c r="M11" s="96"/>
      <c r="N11" s="96"/>
      <c r="O11" s="96"/>
      <c r="P11" s="96"/>
      <c r="Q11" s="96"/>
      <c r="R11" s="96"/>
      <c r="S11" s="96"/>
      <c r="T11" s="97"/>
      <c r="U11" s="101" t="e">
        <f t="shared" si="0"/>
        <v>#DIV/0!</v>
      </c>
    </row>
    <row r="12" spans="1:21" x14ac:dyDescent="0.2">
      <c r="A12" s="18" t="s">
        <v>11</v>
      </c>
      <c r="B12" s="21">
        <v>0.01</v>
      </c>
      <c r="C12" s="17"/>
      <c r="D12" s="17"/>
      <c r="E12" s="17"/>
      <c r="F12" s="17"/>
      <c r="G12" s="17"/>
      <c r="H12" s="17"/>
      <c r="I12" s="31"/>
      <c r="J12" s="45"/>
      <c r="K12" s="72">
        <f t="shared" si="1"/>
        <v>1</v>
      </c>
      <c r="L12" s="95">
        <v>0.01</v>
      </c>
      <c r="M12" s="96"/>
      <c r="N12" s="96"/>
      <c r="O12" s="96"/>
      <c r="P12" s="96"/>
      <c r="Q12" s="96"/>
      <c r="R12" s="96"/>
      <c r="S12" s="96"/>
      <c r="T12" s="97"/>
      <c r="U12" s="101" t="e">
        <f t="shared" si="0"/>
        <v>#DIV/0!</v>
      </c>
    </row>
    <row r="13" spans="1:21" x14ac:dyDescent="0.2">
      <c r="A13" s="18" t="s">
        <v>12</v>
      </c>
      <c r="B13" s="21"/>
      <c r="C13" s="17"/>
      <c r="D13" s="17"/>
      <c r="E13" s="17"/>
      <c r="F13" s="17"/>
      <c r="G13" s="17"/>
      <c r="H13" s="17"/>
      <c r="I13" s="31"/>
      <c r="J13" s="45"/>
      <c r="K13" s="72" t="e">
        <f t="shared" si="1"/>
        <v>#DIV/0!</v>
      </c>
      <c r="L13" s="95"/>
      <c r="M13" s="96"/>
      <c r="N13" s="96"/>
      <c r="O13" s="96"/>
      <c r="P13" s="96"/>
      <c r="Q13" s="96"/>
      <c r="R13" s="96"/>
      <c r="S13" s="96"/>
      <c r="T13" s="97"/>
      <c r="U13" s="101" t="e">
        <f t="shared" si="0"/>
        <v>#DIV/0!</v>
      </c>
    </row>
    <row r="14" spans="1:21" x14ac:dyDescent="0.2">
      <c r="A14" s="18" t="s">
        <v>13</v>
      </c>
      <c r="B14" s="21"/>
      <c r="C14" s="17">
        <v>0.01</v>
      </c>
      <c r="D14" s="17"/>
      <c r="E14" s="17"/>
      <c r="F14" s="17"/>
      <c r="G14" s="17">
        <v>0.01</v>
      </c>
      <c r="H14" s="17">
        <v>7.0000000000000007E-2</v>
      </c>
      <c r="I14" s="31"/>
      <c r="J14" s="45"/>
      <c r="K14" s="72">
        <f t="shared" si="1"/>
        <v>1</v>
      </c>
      <c r="L14" s="95"/>
      <c r="M14" s="96">
        <v>0.01</v>
      </c>
      <c r="N14" s="96"/>
      <c r="O14" s="96"/>
      <c r="P14" s="96"/>
      <c r="Q14" s="96">
        <v>0.01</v>
      </c>
      <c r="R14" s="96">
        <v>7.0000000000000007E-2</v>
      </c>
      <c r="S14" s="96"/>
      <c r="T14" s="97"/>
      <c r="U14" s="101" t="e">
        <f t="shared" si="0"/>
        <v>#DIV/0!</v>
      </c>
    </row>
    <row r="15" spans="1:21" x14ac:dyDescent="0.2">
      <c r="A15" s="18" t="s">
        <v>14</v>
      </c>
      <c r="B15" s="21">
        <v>0.05</v>
      </c>
      <c r="C15" s="17">
        <v>0.02</v>
      </c>
      <c r="D15" s="17">
        <v>0.02</v>
      </c>
      <c r="E15" s="17">
        <v>0.01</v>
      </c>
      <c r="F15" s="17"/>
      <c r="G15" s="17">
        <v>0.01</v>
      </c>
      <c r="H15" s="17"/>
      <c r="I15" s="31"/>
      <c r="J15" s="45"/>
      <c r="K15" s="72">
        <f t="shared" si="1"/>
        <v>1</v>
      </c>
      <c r="L15" s="95">
        <v>0.05</v>
      </c>
      <c r="M15" s="96">
        <v>0.02</v>
      </c>
      <c r="N15" s="96">
        <v>0.02</v>
      </c>
      <c r="O15" s="96">
        <v>0.01</v>
      </c>
      <c r="P15" s="96"/>
      <c r="Q15" s="96">
        <v>0.01</v>
      </c>
      <c r="R15" s="96"/>
      <c r="S15" s="96"/>
      <c r="T15" s="97"/>
      <c r="U15" s="101">
        <f t="shared" si="0"/>
        <v>-0.4527015103901415</v>
      </c>
    </row>
    <row r="16" spans="1:21" x14ac:dyDescent="0.2">
      <c r="A16" s="18" t="s">
        <v>15</v>
      </c>
      <c r="B16" s="21">
        <v>0.1</v>
      </c>
      <c r="C16" s="17">
        <v>0.05</v>
      </c>
      <c r="D16" s="17">
        <v>0.01</v>
      </c>
      <c r="E16" s="17">
        <v>0.02</v>
      </c>
      <c r="F16" s="17">
        <v>0.02</v>
      </c>
      <c r="G16" s="17"/>
      <c r="H16" s="17"/>
      <c r="I16" s="31"/>
      <c r="J16" s="45"/>
      <c r="K16" s="72">
        <f t="shared" si="1"/>
        <v>1</v>
      </c>
      <c r="L16" s="95">
        <v>0.1</v>
      </c>
      <c r="M16" s="96">
        <v>0.05</v>
      </c>
      <c r="N16" s="96">
        <v>0.01</v>
      </c>
      <c r="O16" s="96">
        <v>0.02</v>
      </c>
      <c r="P16" s="96">
        <v>0.02</v>
      </c>
      <c r="Q16" s="96"/>
      <c r="R16" s="96"/>
      <c r="S16" s="96"/>
      <c r="T16" s="97"/>
      <c r="U16" s="101">
        <f t="shared" si="0"/>
        <v>-0.54872242837034968</v>
      </c>
    </row>
    <row r="17" spans="1:21" x14ac:dyDescent="0.2">
      <c r="A17" s="18" t="s">
        <v>16</v>
      </c>
      <c r="B17" s="21">
        <v>0.17</v>
      </c>
      <c r="C17" s="17">
        <v>0.16</v>
      </c>
      <c r="D17" s="17">
        <v>0.33</v>
      </c>
      <c r="E17" s="17">
        <v>0.04</v>
      </c>
      <c r="F17" s="17">
        <v>0.01</v>
      </c>
      <c r="G17" s="17"/>
      <c r="H17" s="17"/>
      <c r="I17" s="31"/>
      <c r="J17" s="45"/>
      <c r="K17" s="72">
        <f t="shared" si="1"/>
        <v>1</v>
      </c>
      <c r="L17" s="95">
        <v>0.17</v>
      </c>
      <c r="M17" s="96">
        <v>0.16</v>
      </c>
      <c r="N17" s="96">
        <v>0.33</v>
      </c>
      <c r="O17" s="96">
        <v>0.04</v>
      </c>
      <c r="P17" s="96">
        <v>0.01</v>
      </c>
      <c r="Q17" s="96"/>
      <c r="R17" s="96"/>
      <c r="S17" s="96"/>
      <c r="T17" s="97"/>
      <c r="U17" s="101">
        <f t="shared" si="0"/>
        <v>0.76795089514165826</v>
      </c>
    </row>
    <row r="18" spans="1:21" x14ac:dyDescent="0.2">
      <c r="A18" s="18" t="s">
        <v>17</v>
      </c>
      <c r="B18" s="21"/>
      <c r="C18" s="17">
        <v>0.01</v>
      </c>
      <c r="D18" s="17"/>
      <c r="E18" s="17">
        <v>0.01</v>
      </c>
      <c r="F18" s="17"/>
      <c r="G18" s="17"/>
      <c r="H18" s="17"/>
      <c r="I18" s="31"/>
      <c r="J18" s="45"/>
      <c r="K18" s="72">
        <f t="shared" si="1"/>
        <v>1</v>
      </c>
      <c r="L18" s="95"/>
      <c r="M18" s="96">
        <v>0.01</v>
      </c>
      <c r="N18" s="96"/>
      <c r="O18" s="96">
        <v>0.01</v>
      </c>
      <c r="P18" s="96"/>
      <c r="Q18" s="96"/>
      <c r="R18" s="96"/>
      <c r="S18" s="96"/>
      <c r="T18" s="97"/>
      <c r="U18" s="101" t="e">
        <f t="shared" si="0"/>
        <v>#DIV/0!</v>
      </c>
    </row>
    <row r="19" spans="1:21" x14ac:dyDescent="0.2">
      <c r="A19" s="18" t="s">
        <v>18</v>
      </c>
      <c r="B19" s="21">
        <v>0.1</v>
      </c>
      <c r="C19" s="17">
        <v>0.09</v>
      </c>
      <c r="D19" s="17">
        <v>0.05</v>
      </c>
      <c r="E19" s="17">
        <v>0.04</v>
      </c>
      <c r="F19" s="17">
        <v>0.04</v>
      </c>
      <c r="G19" s="17">
        <v>0.04</v>
      </c>
      <c r="H19" s="17">
        <v>0.03</v>
      </c>
      <c r="I19" s="31">
        <v>0.03</v>
      </c>
      <c r="J19" s="45">
        <v>0.03</v>
      </c>
      <c r="K19" s="72">
        <f t="shared" si="1"/>
        <v>1</v>
      </c>
      <c r="L19" s="95">
        <v>0.1</v>
      </c>
      <c r="M19" s="96">
        <v>0.09</v>
      </c>
      <c r="N19" s="96">
        <v>0.05</v>
      </c>
      <c r="O19" s="96">
        <v>0.04</v>
      </c>
      <c r="P19" s="96">
        <v>0.04</v>
      </c>
      <c r="Q19" s="96">
        <v>0.04</v>
      </c>
      <c r="R19" s="96">
        <v>0.03</v>
      </c>
      <c r="S19" s="96">
        <v>0.03</v>
      </c>
      <c r="T19" s="97">
        <v>0.03</v>
      </c>
      <c r="U19" s="101">
        <f t="shared" si="0"/>
        <v>-0.33924173214381131</v>
      </c>
    </row>
    <row r="20" spans="1:21" x14ac:dyDescent="0.2">
      <c r="A20" s="18" t="s">
        <v>19</v>
      </c>
      <c r="B20" s="21">
        <v>0.01</v>
      </c>
      <c r="C20" s="17"/>
      <c r="D20" s="17"/>
      <c r="E20" s="17"/>
      <c r="F20" s="17"/>
      <c r="G20" s="17"/>
      <c r="H20" s="17"/>
      <c r="I20" s="31"/>
      <c r="J20" s="45"/>
      <c r="K20" s="72">
        <f t="shared" si="1"/>
        <v>1</v>
      </c>
      <c r="L20" s="95">
        <v>0.01</v>
      </c>
      <c r="M20" s="96"/>
      <c r="N20" s="96"/>
      <c r="O20" s="96"/>
      <c r="P20" s="96"/>
      <c r="Q20" s="96"/>
      <c r="R20" s="96"/>
      <c r="S20" s="96"/>
      <c r="T20" s="97"/>
      <c r="U20" s="101" t="e">
        <f t="shared" si="0"/>
        <v>#DIV/0!</v>
      </c>
    </row>
    <row r="21" spans="1:21" x14ac:dyDescent="0.2">
      <c r="A21" s="18" t="s">
        <v>20</v>
      </c>
      <c r="B21" s="21">
        <v>0.01</v>
      </c>
      <c r="C21" s="17">
        <v>0.01</v>
      </c>
      <c r="D21" s="17">
        <v>0.01</v>
      </c>
      <c r="E21" s="17"/>
      <c r="F21" s="17">
        <v>0.01</v>
      </c>
      <c r="G21" s="17"/>
      <c r="H21" s="17"/>
      <c r="I21" s="31"/>
      <c r="J21" s="45"/>
      <c r="K21" s="72">
        <f t="shared" si="1"/>
        <v>1</v>
      </c>
      <c r="L21" s="95">
        <v>0.01</v>
      </c>
      <c r="M21" s="96">
        <v>0.01</v>
      </c>
      <c r="N21" s="96">
        <v>0.01</v>
      </c>
      <c r="O21" s="96"/>
      <c r="P21" s="96">
        <v>0.01</v>
      </c>
      <c r="Q21" s="96"/>
      <c r="R21" s="96"/>
      <c r="S21" s="96"/>
      <c r="T21" s="97"/>
      <c r="U21" s="101" t="e">
        <f t="shared" si="0"/>
        <v>#DIV/0!</v>
      </c>
    </row>
    <row r="22" spans="1:21" x14ac:dyDescent="0.2">
      <c r="A22" s="18" t="s">
        <v>21</v>
      </c>
      <c r="B22" s="21">
        <v>42413.38</v>
      </c>
      <c r="C22" s="17">
        <v>44315.76</v>
      </c>
      <c r="D22" s="17">
        <v>46825.64</v>
      </c>
      <c r="E22" s="17">
        <v>50191.16</v>
      </c>
      <c r="F22" s="17">
        <v>52431.24</v>
      </c>
      <c r="G22" s="17">
        <v>55431.9</v>
      </c>
      <c r="H22" s="17">
        <v>59673.27</v>
      </c>
      <c r="I22" s="31">
        <v>63223.31</v>
      </c>
      <c r="J22" s="45">
        <v>65073.919999999998</v>
      </c>
      <c r="K22" s="72">
        <f t="shared" si="1"/>
        <v>860.58747106429564</v>
      </c>
      <c r="L22" s="95">
        <v>52.77</v>
      </c>
      <c r="M22" s="96">
        <v>55.93</v>
      </c>
      <c r="N22" s="96">
        <v>72.19</v>
      </c>
      <c r="O22" s="96">
        <v>71.62</v>
      </c>
      <c r="P22" s="96">
        <v>66.33</v>
      </c>
      <c r="Q22" s="96">
        <v>63.45</v>
      </c>
      <c r="R22" s="96">
        <v>66.78</v>
      </c>
      <c r="S22" s="96">
        <v>55.95</v>
      </c>
      <c r="T22" s="97">
        <v>52.25</v>
      </c>
      <c r="U22" s="101">
        <f t="shared" si="0"/>
        <v>0.6286905011221029</v>
      </c>
    </row>
    <row r="23" spans="1:21" x14ac:dyDescent="0.2">
      <c r="A23" s="18" t="s">
        <v>1</v>
      </c>
      <c r="B23" s="21">
        <v>3060.77</v>
      </c>
      <c r="C23" s="17">
        <v>3123.7</v>
      </c>
      <c r="D23" s="17">
        <v>3656.93</v>
      </c>
      <c r="E23" s="17">
        <v>3536.22</v>
      </c>
      <c r="F23" s="17">
        <v>3883.65</v>
      </c>
      <c r="G23" s="17">
        <v>3220.7</v>
      </c>
      <c r="H23" s="17">
        <v>2676.96</v>
      </c>
      <c r="I23" s="31">
        <v>3397.86</v>
      </c>
      <c r="J23" s="45">
        <v>3791.64</v>
      </c>
      <c r="K23" s="72">
        <f t="shared" si="1"/>
        <v>28.518939999060279</v>
      </c>
      <c r="L23" s="95">
        <v>29.76</v>
      </c>
      <c r="M23" s="96">
        <v>87.66</v>
      </c>
      <c r="N23" s="96">
        <v>312.39999999999998</v>
      </c>
      <c r="O23" s="96">
        <v>269.39999999999998</v>
      </c>
      <c r="P23" s="96">
        <v>241.47</v>
      </c>
      <c r="Q23" s="96">
        <v>2.1800000000000002</v>
      </c>
      <c r="R23" s="96">
        <v>1.7</v>
      </c>
      <c r="S23" s="96">
        <v>1.35</v>
      </c>
      <c r="T23" s="97">
        <v>118.23</v>
      </c>
      <c r="U23" s="101">
        <f t="shared" si="0"/>
        <v>0.63727820745649932</v>
      </c>
    </row>
    <row r="24" spans="1:21" x14ac:dyDescent="0.2">
      <c r="A24" s="18" t="s">
        <v>22</v>
      </c>
      <c r="B24" s="21">
        <v>0.02</v>
      </c>
      <c r="C24" s="17"/>
      <c r="D24" s="17"/>
      <c r="E24" s="17"/>
      <c r="F24" s="17"/>
      <c r="G24" s="17"/>
      <c r="H24" s="17"/>
      <c r="I24" s="31">
        <v>0.03</v>
      </c>
      <c r="J24" s="45"/>
      <c r="K24" s="72">
        <f t="shared" si="1"/>
        <v>1</v>
      </c>
      <c r="L24" s="95">
        <v>0.02</v>
      </c>
      <c r="M24" s="96"/>
      <c r="N24" s="96"/>
      <c r="O24" s="96"/>
      <c r="P24" s="96"/>
      <c r="Q24" s="96"/>
      <c r="R24" s="96"/>
      <c r="S24" s="96">
        <v>0.03</v>
      </c>
      <c r="T24" s="97"/>
      <c r="U24" s="101" t="e">
        <f t="shared" si="0"/>
        <v>#DIV/0!</v>
      </c>
    </row>
    <row r="25" spans="1:21" x14ac:dyDescent="0.2">
      <c r="A25" s="18" t="s">
        <v>23</v>
      </c>
      <c r="B25" s="21"/>
      <c r="C25" s="17"/>
      <c r="D25" s="17"/>
      <c r="E25" s="17"/>
      <c r="F25" s="17"/>
      <c r="G25" s="17"/>
      <c r="H25" s="17"/>
      <c r="I25" s="31"/>
      <c r="J25" s="45"/>
      <c r="K25" s="72" t="e">
        <f t="shared" si="1"/>
        <v>#DIV/0!</v>
      </c>
      <c r="L25" s="95"/>
      <c r="M25" s="96"/>
      <c r="N25" s="96"/>
      <c r="O25" s="96"/>
      <c r="P25" s="96"/>
      <c r="Q25" s="96"/>
      <c r="R25" s="96"/>
      <c r="S25" s="96"/>
      <c r="T25" s="97"/>
      <c r="U25" s="101" t="e">
        <f t="shared" si="0"/>
        <v>#DIV/0!</v>
      </c>
    </row>
    <row r="26" spans="1:21" x14ac:dyDescent="0.2">
      <c r="A26" s="18" t="s">
        <v>24</v>
      </c>
      <c r="B26" s="21">
        <v>0.04</v>
      </c>
      <c r="C26" s="17">
        <v>0.02</v>
      </c>
      <c r="D26" s="17">
        <v>0.01</v>
      </c>
      <c r="E26" s="17">
        <v>0.04</v>
      </c>
      <c r="F26" s="17">
        <v>0.04</v>
      </c>
      <c r="G26" s="17"/>
      <c r="H26" s="17"/>
      <c r="I26" s="31">
        <v>0.01</v>
      </c>
      <c r="J26" s="45">
        <v>0.05</v>
      </c>
      <c r="K26" s="72">
        <f t="shared" si="1"/>
        <v>1</v>
      </c>
      <c r="L26" s="95">
        <v>0.04</v>
      </c>
      <c r="M26" s="96">
        <v>0.02</v>
      </c>
      <c r="N26" s="96">
        <v>0.01</v>
      </c>
      <c r="O26" s="96">
        <v>0.04</v>
      </c>
      <c r="P26" s="96">
        <v>0.04</v>
      </c>
      <c r="Q26" s="96"/>
      <c r="R26" s="96"/>
      <c r="S26" s="96">
        <v>0.01</v>
      </c>
      <c r="T26" s="97">
        <v>0.05</v>
      </c>
      <c r="U26" s="101">
        <f t="shared" si="0"/>
        <v>-0.79284659543558433</v>
      </c>
    </row>
    <row r="27" spans="1:21" x14ac:dyDescent="0.2">
      <c r="A27" s="18" t="s">
        <v>25</v>
      </c>
      <c r="B27" s="21">
        <v>7.78</v>
      </c>
      <c r="C27" s="17">
        <v>1.08</v>
      </c>
      <c r="D27" s="17">
        <v>0.17</v>
      </c>
      <c r="E27" s="17">
        <v>0.21</v>
      </c>
      <c r="F27" s="17">
        <v>0.21</v>
      </c>
      <c r="G27" s="17">
        <v>0.42</v>
      </c>
      <c r="H27" s="17">
        <v>0.46</v>
      </c>
      <c r="I27" s="31">
        <v>0.1</v>
      </c>
      <c r="J27" s="45">
        <v>0.37</v>
      </c>
      <c r="K27" s="72">
        <f t="shared" si="1"/>
        <v>1</v>
      </c>
      <c r="L27" s="95">
        <v>7.78</v>
      </c>
      <c r="M27" s="96">
        <v>1.08</v>
      </c>
      <c r="N27" s="96">
        <v>0.17</v>
      </c>
      <c r="O27" s="96">
        <v>0.21</v>
      </c>
      <c r="P27" s="96">
        <v>0.21</v>
      </c>
      <c r="Q27" s="96">
        <v>0.42</v>
      </c>
      <c r="R27" s="96">
        <v>0.46</v>
      </c>
      <c r="S27" s="96">
        <v>0.1</v>
      </c>
      <c r="T27" s="97">
        <v>0.37</v>
      </c>
      <c r="U27" s="101">
        <f t="shared" si="0"/>
        <v>-0.4148606349234743</v>
      </c>
    </row>
    <row r="28" spans="1:21" x14ac:dyDescent="0.2">
      <c r="A28" s="18" t="s">
        <v>26</v>
      </c>
      <c r="B28" s="21">
        <v>0.01</v>
      </c>
      <c r="C28" s="17">
        <v>0.02</v>
      </c>
      <c r="D28" s="17">
        <v>0.02</v>
      </c>
      <c r="E28" s="17">
        <v>0.02</v>
      </c>
      <c r="F28" s="17">
        <v>0.02</v>
      </c>
      <c r="G28" s="17">
        <v>0.01</v>
      </c>
      <c r="H28" s="17"/>
      <c r="I28" s="31"/>
      <c r="J28" s="45"/>
      <c r="K28" s="72">
        <f t="shared" si="1"/>
        <v>1</v>
      </c>
      <c r="L28" s="95">
        <v>0.01</v>
      </c>
      <c r="M28" s="96">
        <v>0.02</v>
      </c>
      <c r="N28" s="96">
        <v>0.02</v>
      </c>
      <c r="O28" s="96">
        <v>0.02</v>
      </c>
      <c r="P28" s="96">
        <v>0.02</v>
      </c>
      <c r="Q28" s="96">
        <v>0.01</v>
      </c>
      <c r="R28" s="96"/>
      <c r="S28" s="96"/>
      <c r="T28" s="97"/>
      <c r="U28" s="101">
        <f t="shared" si="0"/>
        <v>0.38183293848546757</v>
      </c>
    </row>
    <row r="29" spans="1:21" x14ac:dyDescent="0.2">
      <c r="A29" s="18" t="s">
        <v>27</v>
      </c>
      <c r="B29" s="21">
        <v>0.23</v>
      </c>
      <c r="C29" s="17">
        <v>0.24</v>
      </c>
      <c r="D29" s="17">
        <v>0.06</v>
      </c>
      <c r="E29" s="17">
        <v>0.01</v>
      </c>
      <c r="F29" s="17">
        <v>0.01</v>
      </c>
      <c r="G29" s="17"/>
      <c r="H29" s="17">
        <v>0.36</v>
      </c>
      <c r="I29" s="31">
        <v>0.3</v>
      </c>
      <c r="J29" s="45">
        <v>0.21</v>
      </c>
      <c r="K29" s="72">
        <f t="shared" si="1"/>
        <v>1</v>
      </c>
      <c r="L29" s="95">
        <v>0.23</v>
      </c>
      <c r="M29" s="96">
        <v>0.24</v>
      </c>
      <c r="N29" s="96">
        <v>0.06</v>
      </c>
      <c r="O29" s="96">
        <v>0.01</v>
      </c>
      <c r="P29" s="96">
        <v>0.01</v>
      </c>
      <c r="Q29" s="96"/>
      <c r="R29" s="96">
        <v>0.36</v>
      </c>
      <c r="S29" s="96">
        <v>0.3</v>
      </c>
      <c r="T29" s="97">
        <v>0.21</v>
      </c>
      <c r="U29" s="101">
        <f t="shared" si="0"/>
        <v>-0.29057647779384171</v>
      </c>
    </row>
    <row r="30" spans="1:21" x14ac:dyDescent="0.2">
      <c r="A30" s="18" t="s">
        <v>28</v>
      </c>
      <c r="B30" s="21">
        <v>0.01</v>
      </c>
      <c r="C30" s="17">
        <v>0.02</v>
      </c>
      <c r="D30" s="17">
        <v>0.01</v>
      </c>
      <c r="E30" s="17">
        <v>0.01</v>
      </c>
      <c r="F30" s="17">
        <v>0.01</v>
      </c>
      <c r="G30" s="17">
        <v>0.01</v>
      </c>
      <c r="H30" s="17">
        <v>0.01</v>
      </c>
      <c r="I30" s="31"/>
      <c r="J30" s="45"/>
      <c r="K30" s="72">
        <f t="shared" si="1"/>
        <v>1</v>
      </c>
      <c r="L30" s="95">
        <v>0.01</v>
      </c>
      <c r="M30" s="96">
        <v>0.02</v>
      </c>
      <c r="N30" s="96">
        <v>0.01</v>
      </c>
      <c r="O30" s="96">
        <v>0.01</v>
      </c>
      <c r="P30" s="96">
        <v>0.01</v>
      </c>
      <c r="Q30" s="96">
        <v>0.01</v>
      </c>
      <c r="R30" s="96">
        <v>0.01</v>
      </c>
      <c r="S30" s="96"/>
      <c r="T30" s="97"/>
      <c r="U30" s="101">
        <f t="shared" si="0"/>
        <v>-0.16849570289978841</v>
      </c>
    </row>
    <row r="31" spans="1:21" x14ac:dyDescent="0.2">
      <c r="A31" s="18" t="s">
        <v>29</v>
      </c>
      <c r="B31" s="21">
        <v>0.03</v>
      </c>
      <c r="C31" s="17">
        <v>7.0000000000000007E-2</v>
      </c>
      <c r="D31" s="17">
        <v>0.04</v>
      </c>
      <c r="E31" s="17">
        <v>0.03</v>
      </c>
      <c r="F31" s="17">
        <v>0.03</v>
      </c>
      <c r="G31" s="17">
        <v>0.01</v>
      </c>
      <c r="H31" s="17">
        <v>0.01</v>
      </c>
      <c r="I31" s="31"/>
      <c r="J31" s="45"/>
      <c r="K31" s="72">
        <f t="shared" si="1"/>
        <v>1</v>
      </c>
      <c r="L31" s="95">
        <v>0.03</v>
      </c>
      <c r="M31" s="96">
        <v>7.0000000000000007E-2</v>
      </c>
      <c r="N31" s="96">
        <v>0.04</v>
      </c>
      <c r="O31" s="96">
        <v>0.03</v>
      </c>
      <c r="P31" s="96">
        <v>0.03</v>
      </c>
      <c r="Q31" s="96">
        <v>0.01</v>
      </c>
      <c r="R31" s="96">
        <v>0.01</v>
      </c>
      <c r="S31" s="96"/>
      <c r="T31" s="97"/>
      <c r="U31" s="101">
        <f t="shared" si="0"/>
        <v>7.076750007147127E-2</v>
      </c>
    </row>
    <row r="32" spans="1:21" x14ac:dyDescent="0.2">
      <c r="A32" s="18" t="s">
        <v>30</v>
      </c>
      <c r="B32" s="21">
        <v>0.04</v>
      </c>
      <c r="C32" s="17">
        <v>0.15</v>
      </c>
      <c r="D32" s="17">
        <v>0.14000000000000001</v>
      </c>
      <c r="E32" s="17">
        <v>0.08</v>
      </c>
      <c r="F32" s="17">
        <v>0.08</v>
      </c>
      <c r="G32" s="17">
        <v>0.09</v>
      </c>
      <c r="H32" s="17"/>
      <c r="I32" s="31"/>
      <c r="J32" s="45">
        <v>0.01</v>
      </c>
      <c r="K32" s="72">
        <f t="shared" si="1"/>
        <v>1</v>
      </c>
      <c r="L32" s="95">
        <v>0.04</v>
      </c>
      <c r="M32" s="96">
        <v>0.15</v>
      </c>
      <c r="N32" s="96">
        <v>0.14000000000000001</v>
      </c>
      <c r="O32" s="96">
        <v>0.08</v>
      </c>
      <c r="P32" s="96">
        <v>0.08</v>
      </c>
      <c r="Q32" s="96">
        <v>0.09</v>
      </c>
      <c r="R32" s="96"/>
      <c r="S32" s="96"/>
      <c r="T32" s="97">
        <v>0.01</v>
      </c>
      <c r="U32" s="101">
        <f t="shared" si="0"/>
        <v>0.58629211771945478</v>
      </c>
    </row>
    <row r="33" spans="1:21" x14ac:dyDescent="0.2">
      <c r="A33" s="18" t="s">
        <v>31</v>
      </c>
      <c r="B33" s="21">
        <v>7.0000000000000007E-2</v>
      </c>
      <c r="C33" s="17">
        <v>0.16</v>
      </c>
      <c r="D33" s="17">
        <v>0.02</v>
      </c>
      <c r="E33" s="17">
        <v>0.02</v>
      </c>
      <c r="F33" s="17">
        <v>0.02</v>
      </c>
      <c r="G33" s="17">
        <v>0.06</v>
      </c>
      <c r="H33" s="17">
        <v>0.02</v>
      </c>
      <c r="I33" s="31">
        <v>0.01</v>
      </c>
      <c r="J33" s="45">
        <v>0.01</v>
      </c>
      <c r="K33" s="72">
        <f t="shared" si="1"/>
        <v>1</v>
      </c>
      <c r="L33" s="95">
        <v>7.0000000000000007E-2</v>
      </c>
      <c r="M33" s="96">
        <v>0.16</v>
      </c>
      <c r="N33" s="96">
        <v>0.02</v>
      </c>
      <c r="O33" s="96">
        <v>0.02</v>
      </c>
      <c r="P33" s="96">
        <v>0.02</v>
      </c>
      <c r="Q33" s="96">
        <v>0.06</v>
      </c>
      <c r="R33" s="96">
        <v>0.02</v>
      </c>
      <c r="S33" s="96">
        <v>0.01</v>
      </c>
      <c r="T33" s="97">
        <v>0.01</v>
      </c>
      <c r="U33" s="101">
        <f t="shared" si="0"/>
        <v>-0.3129526081887925</v>
      </c>
    </row>
    <row r="34" spans="1:21" x14ac:dyDescent="0.2">
      <c r="A34" s="18" t="s">
        <v>32</v>
      </c>
      <c r="B34" s="21">
        <v>0.01</v>
      </c>
      <c r="C34" s="17">
        <v>0.06</v>
      </c>
      <c r="D34" s="17">
        <v>0.01</v>
      </c>
      <c r="E34" s="17">
        <v>0.01</v>
      </c>
      <c r="F34" s="17">
        <v>0.01</v>
      </c>
      <c r="G34" s="17">
        <v>0.01</v>
      </c>
      <c r="H34" s="17">
        <v>0.01</v>
      </c>
      <c r="I34" s="31">
        <v>0.01</v>
      </c>
      <c r="J34" s="45"/>
      <c r="K34" s="72">
        <f t="shared" si="1"/>
        <v>1</v>
      </c>
      <c r="L34" s="95">
        <v>0.01</v>
      </c>
      <c r="M34" s="96">
        <v>0.06</v>
      </c>
      <c r="N34" s="96">
        <v>0.01</v>
      </c>
      <c r="O34" s="96">
        <v>0.01</v>
      </c>
      <c r="P34" s="96">
        <v>0.01</v>
      </c>
      <c r="Q34" s="96">
        <v>0.01</v>
      </c>
      <c r="R34" s="96">
        <v>0.01</v>
      </c>
      <c r="S34" s="96">
        <v>0.01</v>
      </c>
      <c r="T34" s="97"/>
      <c r="U34" s="101">
        <f t="shared" si="0"/>
        <v>-0.16849570289978841</v>
      </c>
    </row>
    <row r="35" spans="1:21" x14ac:dyDescent="0.2">
      <c r="A35" s="18" t="s">
        <v>33</v>
      </c>
      <c r="B35" s="21">
        <v>7.0000000000000007E-2</v>
      </c>
      <c r="C35" s="17">
        <v>7.0000000000000007E-2</v>
      </c>
      <c r="D35" s="17">
        <v>0.01</v>
      </c>
      <c r="E35" s="17"/>
      <c r="F35" s="17"/>
      <c r="G35" s="17">
        <v>0.02</v>
      </c>
      <c r="H35" s="17">
        <v>0.01</v>
      </c>
      <c r="I35" s="31"/>
      <c r="J35" s="45"/>
      <c r="K35" s="72">
        <f t="shared" si="1"/>
        <v>1</v>
      </c>
      <c r="L35" s="95">
        <v>7.0000000000000007E-2</v>
      </c>
      <c r="M35" s="96">
        <v>7.0000000000000007E-2</v>
      </c>
      <c r="N35" s="96">
        <v>0.01</v>
      </c>
      <c r="O35" s="96"/>
      <c r="P35" s="96"/>
      <c r="Q35" s="96">
        <v>0.02</v>
      </c>
      <c r="R35" s="96">
        <v>0.01</v>
      </c>
      <c r="S35" s="96"/>
      <c r="T35" s="97"/>
      <c r="U35" s="101">
        <f t="shared" si="0"/>
        <v>-0.98878510039470591</v>
      </c>
    </row>
    <row r="36" spans="1:21" x14ac:dyDescent="0.2">
      <c r="A36" s="18" t="s">
        <v>34</v>
      </c>
      <c r="B36" s="21"/>
      <c r="C36" s="17"/>
      <c r="D36" s="17"/>
      <c r="E36" s="17">
        <v>0.01</v>
      </c>
      <c r="F36" s="17">
        <v>0.01</v>
      </c>
      <c r="G36" s="17"/>
      <c r="H36" s="17"/>
      <c r="I36" s="31"/>
      <c r="J36" s="45"/>
      <c r="K36" s="72">
        <f t="shared" si="1"/>
        <v>1</v>
      </c>
      <c r="L36" s="95"/>
      <c r="M36" s="96"/>
      <c r="N36" s="96"/>
      <c r="O36" s="96">
        <v>0.01</v>
      </c>
      <c r="P36" s="96">
        <v>0.01</v>
      </c>
      <c r="Q36" s="96"/>
      <c r="R36" s="96"/>
      <c r="S36" s="96"/>
      <c r="T36" s="97"/>
      <c r="U36" s="101" t="e">
        <f t="shared" si="0"/>
        <v>#DIV/0!</v>
      </c>
    </row>
    <row r="37" spans="1:21" x14ac:dyDescent="0.2">
      <c r="A37" s="18" t="s">
        <v>35</v>
      </c>
      <c r="B37" s="21"/>
      <c r="C37" s="17">
        <v>0.01</v>
      </c>
      <c r="D37" s="17">
        <v>0.01</v>
      </c>
      <c r="E37" s="17">
        <v>0.01</v>
      </c>
      <c r="F37" s="17">
        <v>0.01</v>
      </c>
      <c r="G37" s="17">
        <v>0.01</v>
      </c>
      <c r="H37" s="17"/>
      <c r="I37" s="31"/>
      <c r="J37" s="45"/>
      <c r="K37" s="72">
        <f t="shared" si="1"/>
        <v>1</v>
      </c>
      <c r="L37" s="95"/>
      <c r="M37" s="96">
        <v>0.01</v>
      </c>
      <c r="N37" s="96">
        <v>0.01</v>
      </c>
      <c r="O37" s="96">
        <v>0.01</v>
      </c>
      <c r="P37" s="96">
        <v>0.01</v>
      </c>
      <c r="Q37" s="96">
        <v>0.01</v>
      </c>
      <c r="R37" s="96"/>
      <c r="S37" s="96"/>
      <c r="T37" s="97"/>
      <c r="U37" s="101" t="e">
        <f t="shared" si="0"/>
        <v>#DIV/0!</v>
      </c>
    </row>
    <row r="38" spans="1:21" x14ac:dyDescent="0.2">
      <c r="A38" s="18" t="s">
        <v>36</v>
      </c>
      <c r="B38" s="21"/>
      <c r="C38" s="17"/>
      <c r="D38" s="17"/>
      <c r="E38" s="17"/>
      <c r="F38" s="17"/>
      <c r="G38" s="17"/>
      <c r="H38" s="17"/>
      <c r="I38" s="31"/>
      <c r="J38" s="45"/>
      <c r="K38" s="72" t="e">
        <f t="shared" si="1"/>
        <v>#DIV/0!</v>
      </c>
      <c r="L38" s="95"/>
      <c r="M38" s="96"/>
      <c r="N38" s="96"/>
      <c r="O38" s="96"/>
      <c r="P38" s="96"/>
      <c r="Q38" s="96"/>
      <c r="R38" s="96"/>
      <c r="S38" s="96"/>
      <c r="T38" s="97"/>
      <c r="U38" s="101" t="e">
        <f t="shared" si="0"/>
        <v>#DIV/0!</v>
      </c>
    </row>
    <row r="39" spans="1:21" x14ac:dyDescent="0.2">
      <c r="A39" s="18" t="s">
        <v>37</v>
      </c>
      <c r="B39" s="21"/>
      <c r="C39" s="17"/>
      <c r="D39" s="17"/>
      <c r="E39" s="17"/>
      <c r="F39" s="17"/>
      <c r="G39" s="17"/>
      <c r="H39" s="17"/>
      <c r="I39" s="31"/>
      <c r="J39" s="45"/>
      <c r="K39" s="72" t="e">
        <f t="shared" si="1"/>
        <v>#DIV/0!</v>
      </c>
      <c r="L39" s="95"/>
      <c r="M39" s="96"/>
      <c r="N39" s="96"/>
      <c r="O39" s="96"/>
      <c r="P39" s="96"/>
      <c r="Q39" s="96"/>
      <c r="R39" s="96"/>
      <c r="S39" s="96"/>
      <c r="T39" s="97"/>
      <c r="U39" s="101" t="e">
        <f t="shared" si="0"/>
        <v>#DIV/0!</v>
      </c>
    </row>
    <row r="40" spans="1:21" x14ac:dyDescent="0.2">
      <c r="A40" s="18" t="s">
        <v>38</v>
      </c>
      <c r="B40" s="21"/>
      <c r="C40" s="17">
        <v>0.01</v>
      </c>
      <c r="D40" s="17">
        <v>0.01</v>
      </c>
      <c r="E40" s="17"/>
      <c r="F40" s="17"/>
      <c r="G40" s="17"/>
      <c r="H40" s="17"/>
      <c r="I40" s="31">
        <v>0.01</v>
      </c>
      <c r="J40" s="45"/>
      <c r="K40" s="72">
        <f t="shared" si="1"/>
        <v>1</v>
      </c>
      <c r="L40" s="95"/>
      <c r="M40" s="96">
        <v>0.01</v>
      </c>
      <c r="N40" s="96">
        <v>0.01</v>
      </c>
      <c r="O40" s="96"/>
      <c r="P40" s="96"/>
      <c r="Q40" s="96"/>
      <c r="R40" s="96"/>
      <c r="S40" s="96">
        <v>0.01</v>
      </c>
      <c r="T40" s="97"/>
      <c r="U40" s="101" t="e">
        <f t="shared" si="0"/>
        <v>#DIV/0!</v>
      </c>
    </row>
    <row r="41" spans="1:21" x14ac:dyDescent="0.2">
      <c r="A41" s="18" t="s">
        <v>39</v>
      </c>
      <c r="B41" s="21">
        <v>2.46</v>
      </c>
      <c r="C41" s="17">
        <v>2.25</v>
      </c>
      <c r="D41" s="17">
        <v>0.33</v>
      </c>
      <c r="E41" s="17">
        <v>0.27</v>
      </c>
      <c r="F41" s="17">
        <v>0.26</v>
      </c>
      <c r="G41" s="17">
        <v>0.2</v>
      </c>
      <c r="H41" s="17">
        <v>0.21</v>
      </c>
      <c r="I41" s="31">
        <v>0.17</v>
      </c>
      <c r="J41" s="45">
        <v>0.16</v>
      </c>
      <c r="K41" s="72">
        <f t="shared" si="1"/>
        <v>3.9437500000000005</v>
      </c>
      <c r="L41" s="95">
        <v>0.12</v>
      </c>
      <c r="M41" s="96">
        <v>0.15</v>
      </c>
      <c r="N41" s="96">
        <v>0.15</v>
      </c>
      <c r="O41" s="96">
        <v>0.18</v>
      </c>
      <c r="P41" s="96">
        <v>0.26</v>
      </c>
      <c r="Q41" s="96">
        <v>0.2</v>
      </c>
      <c r="R41" s="96">
        <v>0.21</v>
      </c>
      <c r="S41" s="96">
        <v>0.17</v>
      </c>
      <c r="T41" s="97">
        <v>0.16</v>
      </c>
      <c r="U41" s="101">
        <f t="shared" si="0"/>
        <v>-0.2845389718076875</v>
      </c>
    </row>
    <row r="42" spans="1:21" x14ac:dyDescent="0.2">
      <c r="A42" s="18" t="s">
        <v>40</v>
      </c>
      <c r="B42" s="21"/>
      <c r="C42" s="17"/>
      <c r="D42" s="17"/>
      <c r="E42" s="17"/>
      <c r="F42" s="17"/>
      <c r="G42" s="17"/>
      <c r="H42" s="17"/>
      <c r="I42" s="31"/>
      <c r="J42" s="45"/>
      <c r="K42" s="72" t="e">
        <f t="shared" si="1"/>
        <v>#DIV/0!</v>
      </c>
      <c r="L42" s="95"/>
      <c r="M42" s="96"/>
      <c r="N42" s="96"/>
      <c r="O42" s="96"/>
      <c r="P42" s="96"/>
      <c r="Q42" s="96"/>
      <c r="R42" s="96"/>
      <c r="S42" s="96"/>
      <c r="T42" s="97"/>
      <c r="U42" s="101"/>
    </row>
    <row r="43" spans="1:21" x14ac:dyDescent="0.2">
      <c r="A43" s="18" t="s">
        <v>41</v>
      </c>
      <c r="B43" s="22"/>
      <c r="C43" s="23"/>
      <c r="D43" s="23"/>
      <c r="E43" s="23"/>
      <c r="F43" s="23"/>
      <c r="G43" s="23"/>
      <c r="H43" s="23"/>
      <c r="I43" s="33"/>
      <c r="J43" s="46">
        <v>0.03</v>
      </c>
      <c r="K43" s="72">
        <f t="shared" si="1"/>
        <v>0.96103170493522316</v>
      </c>
      <c r="L43" s="98">
        <v>6.082259544299332E-4</v>
      </c>
      <c r="M43" s="99">
        <v>6.082259544299332E-4</v>
      </c>
      <c r="N43" s="99"/>
      <c r="O43" s="99"/>
      <c r="P43" s="99"/>
      <c r="Q43" s="99"/>
      <c r="R43" s="99"/>
      <c r="S43" s="99"/>
      <c r="T43" s="100">
        <v>0.03</v>
      </c>
      <c r="U43" s="101"/>
    </row>
    <row r="44" spans="1:21" x14ac:dyDescent="0.2">
      <c r="A44" s="47" t="s">
        <v>191</v>
      </c>
      <c r="B44" s="81"/>
      <c r="C44" s="48"/>
      <c r="D44" s="48"/>
      <c r="E44" s="48"/>
      <c r="F44" s="48"/>
      <c r="G44" s="48"/>
      <c r="H44" s="48"/>
      <c r="I44" s="48"/>
      <c r="J44" s="49"/>
      <c r="K44" s="50"/>
      <c r="L44" s="89">
        <v>36.380000000000003</v>
      </c>
      <c r="M44" s="90">
        <v>88.78</v>
      </c>
      <c r="N44" s="90">
        <v>363.03</v>
      </c>
      <c r="O44" s="90">
        <v>135.66</v>
      </c>
      <c r="P44" s="90">
        <v>26.98</v>
      </c>
      <c r="Q44" s="90"/>
      <c r="R44" s="90"/>
      <c r="S44" s="90"/>
      <c r="T44" s="91"/>
      <c r="U44" s="102"/>
    </row>
    <row r="45" spans="1:21" x14ac:dyDescent="0.2">
      <c r="A45" s="82" t="s">
        <v>195</v>
      </c>
      <c r="B45" s="66"/>
      <c r="C45" s="66"/>
      <c r="D45" s="66"/>
      <c r="E45" s="66"/>
      <c r="F45" s="66"/>
      <c r="G45" s="66"/>
      <c r="H45" s="66"/>
      <c r="I45" s="66"/>
      <c r="J45" s="66"/>
      <c r="L45" s="38"/>
      <c r="M45" s="38"/>
      <c r="N45" s="38"/>
      <c r="O45" s="38"/>
      <c r="P45" s="38"/>
      <c r="Q45" s="38"/>
      <c r="R45" s="38"/>
      <c r="S45" s="38"/>
      <c r="T45" s="38"/>
    </row>
    <row r="46" spans="1:21" x14ac:dyDescent="0.2">
      <c r="A46" s="1" t="s">
        <v>72</v>
      </c>
      <c r="B46" s="4">
        <v>2012</v>
      </c>
      <c r="C46" s="4">
        <v>2013</v>
      </c>
      <c r="D46" s="4">
        <v>2014</v>
      </c>
      <c r="E46" s="4">
        <v>2015</v>
      </c>
      <c r="F46" s="4">
        <v>2016</v>
      </c>
      <c r="G46" s="4">
        <v>2017</v>
      </c>
      <c r="H46" s="4">
        <v>2018</v>
      </c>
      <c r="I46" s="34">
        <v>2019</v>
      </c>
      <c r="J46" s="35">
        <v>2020</v>
      </c>
    </row>
    <row r="47" spans="1:21" x14ac:dyDescent="0.2">
      <c r="A47" s="27" t="s">
        <v>140</v>
      </c>
      <c r="B47" s="36">
        <v>46684.7</v>
      </c>
      <c r="C47" s="36">
        <v>48670.9</v>
      </c>
      <c r="D47" s="36">
        <v>51744.6</v>
      </c>
      <c r="E47" s="36">
        <v>54593.5</v>
      </c>
      <c r="F47" s="36">
        <v>57332.3</v>
      </c>
      <c r="G47" s="36">
        <v>59969</v>
      </c>
      <c r="H47" s="36">
        <v>63849.2</v>
      </c>
      <c r="I47" s="31">
        <v>68007.5</v>
      </c>
      <c r="J47" s="31">
        <v>69969.600000000006</v>
      </c>
    </row>
    <row r="48" spans="1:21" x14ac:dyDescent="0.2">
      <c r="A48" s="28" t="s">
        <v>141</v>
      </c>
      <c r="B48" s="3">
        <v>20747.8</v>
      </c>
      <c r="C48" s="3">
        <v>20991.9</v>
      </c>
      <c r="D48" s="3">
        <v>21142.9</v>
      </c>
      <c r="E48" s="3">
        <v>21455.599999999999</v>
      </c>
      <c r="F48" s="3">
        <v>19968.5</v>
      </c>
      <c r="G48" s="3">
        <v>19150.599999999999</v>
      </c>
      <c r="H48" s="3">
        <v>18932.400000000001</v>
      </c>
      <c r="I48" s="31">
        <v>19101.400000000001</v>
      </c>
      <c r="J48" s="31">
        <v>19476.900000000001</v>
      </c>
    </row>
    <row r="49" spans="1:10" x14ac:dyDescent="0.2">
      <c r="A49" s="28" t="s">
        <v>120</v>
      </c>
      <c r="B49" s="3">
        <v>27102.7</v>
      </c>
      <c r="C49" s="3">
        <v>28174.2</v>
      </c>
      <c r="D49" s="3">
        <v>30837.4</v>
      </c>
      <c r="E49" s="3">
        <v>33548.300000000003</v>
      </c>
      <c r="F49" s="3">
        <v>38100.699999999997</v>
      </c>
      <c r="G49" s="3">
        <v>41946.2</v>
      </c>
      <c r="H49" s="3">
        <v>46188.5</v>
      </c>
      <c r="I49" s="31">
        <v>50567.6</v>
      </c>
      <c r="J49" s="31">
        <v>54200.7</v>
      </c>
    </row>
    <row r="50" spans="1:10" x14ac:dyDescent="0.2">
      <c r="A50" s="28" t="s">
        <v>121</v>
      </c>
      <c r="B50" s="3">
        <v>243.2</v>
      </c>
      <c r="C50" s="3">
        <v>161.69999999999999</v>
      </c>
      <c r="D50" s="3">
        <v>60</v>
      </c>
      <c r="E50" s="3">
        <v>286.60000000000002</v>
      </c>
      <c r="F50" s="3">
        <v>294.10000000000002</v>
      </c>
      <c r="G50" s="3">
        <v>486.1</v>
      </c>
      <c r="H50" s="3">
        <v>262.7</v>
      </c>
      <c r="I50" s="31">
        <v>81</v>
      </c>
      <c r="J50" s="31">
        <v>163.80000000000001</v>
      </c>
    </row>
    <row r="51" spans="1:10" x14ac:dyDescent="0.2">
      <c r="A51" s="28" t="s">
        <v>122</v>
      </c>
      <c r="B51" s="3">
        <v>-922.6</v>
      </c>
      <c r="C51" s="3">
        <v>-333.4</v>
      </c>
      <c r="D51" s="3">
        <v>-175.7</v>
      </c>
      <c r="E51" s="3">
        <v>-123.8</v>
      </c>
      <c r="F51" s="3">
        <v>-442.8</v>
      </c>
      <c r="G51" s="3">
        <v>-641.79999999999995</v>
      </c>
      <c r="H51" s="3">
        <v>-1009.1</v>
      </c>
      <c r="I51" s="31">
        <v>-1580.5</v>
      </c>
      <c r="J51" s="31">
        <v>-3544.1</v>
      </c>
    </row>
    <row r="52" spans="1:10" x14ac:dyDescent="0.2">
      <c r="A52" s="29" t="s">
        <v>142</v>
      </c>
      <c r="B52" s="3">
        <v>46678.9</v>
      </c>
      <c r="C52" s="3">
        <v>48652.2</v>
      </c>
      <c r="D52" s="3">
        <v>51597</v>
      </c>
      <c r="E52" s="3">
        <v>54788.3</v>
      </c>
      <c r="F52" s="3">
        <v>57125.9</v>
      </c>
      <c r="G52" s="3">
        <v>59402.2</v>
      </c>
      <c r="H52" s="3">
        <v>63004.3</v>
      </c>
      <c r="I52" s="31">
        <v>67268.3</v>
      </c>
      <c r="J52" s="31">
        <v>69477.100000000006</v>
      </c>
    </row>
    <row r="53" spans="1:10" x14ac:dyDescent="0.2">
      <c r="A53" s="28" t="s">
        <v>143</v>
      </c>
      <c r="B53" s="2"/>
      <c r="C53" s="2"/>
      <c r="D53" s="2"/>
      <c r="E53" s="2"/>
      <c r="F53" s="2"/>
      <c r="G53" s="2"/>
      <c r="H53" s="2"/>
      <c r="I53" s="32"/>
      <c r="J53" s="32"/>
    </row>
    <row r="54" spans="1:10" x14ac:dyDescent="0.2">
      <c r="A54" s="28" t="s">
        <v>144</v>
      </c>
      <c r="B54" s="2"/>
      <c r="C54" s="2"/>
      <c r="D54" s="2"/>
      <c r="E54" s="2"/>
      <c r="F54" s="2"/>
      <c r="G54" s="2"/>
      <c r="H54" s="2"/>
      <c r="I54" s="32"/>
      <c r="J54" s="32"/>
    </row>
    <row r="55" spans="1:10" x14ac:dyDescent="0.2">
      <c r="A55" s="28" t="s">
        <v>145</v>
      </c>
      <c r="B55" s="3">
        <v>46559.5</v>
      </c>
      <c r="C55" s="3">
        <v>48503.4</v>
      </c>
      <c r="D55" s="3">
        <v>51552.1</v>
      </c>
      <c r="E55" s="3">
        <v>54752.4</v>
      </c>
      <c r="F55" s="3">
        <v>57103.6</v>
      </c>
      <c r="G55" s="3">
        <v>59393.5</v>
      </c>
      <c r="H55" s="3">
        <v>62995.5</v>
      </c>
      <c r="I55" s="31">
        <v>67259.100000000006</v>
      </c>
      <c r="J55" s="31">
        <v>69476.5</v>
      </c>
    </row>
    <row r="56" spans="1:10" x14ac:dyDescent="0.2">
      <c r="A56" s="28" t="s">
        <v>146</v>
      </c>
      <c r="B56" s="2"/>
      <c r="C56" s="2"/>
      <c r="D56" s="2"/>
      <c r="E56" s="2"/>
      <c r="F56" s="2"/>
      <c r="G56" s="2"/>
      <c r="H56" s="2"/>
      <c r="I56" s="32"/>
      <c r="J56" s="32"/>
    </row>
    <row r="57" spans="1:10" x14ac:dyDescent="0.2">
      <c r="A57" s="28" t="s">
        <v>147</v>
      </c>
      <c r="B57" s="3">
        <v>119.4</v>
      </c>
      <c r="C57" s="3">
        <v>148.69999999999999</v>
      </c>
      <c r="D57" s="3">
        <v>44.9</v>
      </c>
      <c r="E57" s="3">
        <v>35.9</v>
      </c>
      <c r="F57" s="3">
        <v>22.3</v>
      </c>
      <c r="G57" s="3">
        <v>8.6999999999999993</v>
      </c>
      <c r="H57" s="3">
        <v>8.8000000000000007</v>
      </c>
      <c r="I57" s="31">
        <v>9.1999999999999993</v>
      </c>
      <c r="J57" s="31">
        <v>0.6</v>
      </c>
    </row>
    <row r="58" spans="1:10" x14ac:dyDescent="0.2">
      <c r="A58" s="28" t="s">
        <v>148</v>
      </c>
      <c r="B58" s="2"/>
      <c r="C58" s="2"/>
      <c r="D58" s="2"/>
      <c r="E58" s="2"/>
      <c r="F58" s="2"/>
      <c r="G58" s="2"/>
      <c r="H58" s="2"/>
      <c r="I58" s="32"/>
      <c r="J58" s="32"/>
    </row>
    <row r="59" spans="1:10" x14ac:dyDescent="0.2">
      <c r="A59" s="28" t="s">
        <v>149</v>
      </c>
      <c r="B59" s="2"/>
      <c r="C59" s="2"/>
      <c r="D59" s="2"/>
      <c r="E59" s="2"/>
      <c r="F59" s="2"/>
      <c r="G59" s="2"/>
      <c r="H59" s="2"/>
      <c r="I59" s="32"/>
      <c r="J59" s="32"/>
    </row>
    <row r="60" spans="1:10" x14ac:dyDescent="0.2">
      <c r="A60" s="28" t="s">
        <v>150</v>
      </c>
      <c r="B60" s="2"/>
      <c r="C60" s="2"/>
      <c r="D60" s="2"/>
      <c r="E60" s="2"/>
      <c r="F60" s="2"/>
      <c r="G60" s="2"/>
      <c r="H60" s="2"/>
      <c r="I60" s="32"/>
      <c r="J60" s="32"/>
    </row>
    <row r="61" spans="1:10" x14ac:dyDescent="0.2">
      <c r="A61" s="28" t="s">
        <v>151</v>
      </c>
      <c r="B61" s="2"/>
      <c r="C61" s="2"/>
      <c r="D61" s="2"/>
      <c r="E61" s="2"/>
      <c r="F61" s="2"/>
      <c r="G61" s="2"/>
      <c r="H61" s="2"/>
      <c r="I61" s="32"/>
      <c r="J61" s="32"/>
    </row>
    <row r="62" spans="1:10" x14ac:dyDescent="0.2">
      <c r="A62" s="28" t="s">
        <v>152</v>
      </c>
      <c r="B62" s="3">
        <v>555.5</v>
      </c>
      <c r="C62" s="3">
        <v>629.4</v>
      </c>
      <c r="D62" s="3">
        <v>855.9</v>
      </c>
      <c r="E62" s="3">
        <v>782.7</v>
      </c>
      <c r="F62" s="3">
        <v>630.1</v>
      </c>
      <c r="G62" s="3">
        <v>364.7</v>
      </c>
      <c r="H62" s="3">
        <v>348.3</v>
      </c>
      <c r="I62" s="31">
        <v>326.5</v>
      </c>
      <c r="J62" s="31">
        <v>419</v>
      </c>
    </row>
    <row r="63" spans="1:10" x14ac:dyDescent="0.2">
      <c r="A63" s="28" t="s">
        <v>162</v>
      </c>
      <c r="B63" s="3">
        <v>555.5</v>
      </c>
      <c r="C63" s="3">
        <v>629.4</v>
      </c>
      <c r="D63" s="3">
        <v>855.9</v>
      </c>
      <c r="E63" s="3">
        <v>782.7</v>
      </c>
      <c r="F63" s="3">
        <v>630.1</v>
      </c>
      <c r="G63" s="3">
        <v>364.7</v>
      </c>
      <c r="H63" s="3">
        <v>348.3</v>
      </c>
      <c r="I63" s="31">
        <v>326.5</v>
      </c>
      <c r="J63" s="31">
        <v>419</v>
      </c>
    </row>
    <row r="64" spans="1:10" x14ac:dyDescent="0.2">
      <c r="A64" s="28" t="s">
        <v>154</v>
      </c>
      <c r="B64" s="2"/>
      <c r="C64" s="2"/>
      <c r="D64" s="2"/>
      <c r="E64" s="2"/>
      <c r="F64" s="2"/>
      <c r="G64" s="2"/>
      <c r="H64" s="2"/>
      <c r="I64" s="32"/>
      <c r="J64" s="32"/>
    </row>
    <row r="65" spans="1:10" x14ac:dyDescent="0.2">
      <c r="A65" s="28" t="s">
        <v>163</v>
      </c>
      <c r="B65" s="3">
        <v>45945.7</v>
      </c>
      <c r="C65" s="3">
        <v>47810.5</v>
      </c>
      <c r="D65" s="3">
        <v>50633.3</v>
      </c>
      <c r="E65" s="3">
        <v>53918.400000000001</v>
      </c>
      <c r="F65" s="3">
        <v>56455.4</v>
      </c>
      <c r="G65" s="3">
        <v>58991.5</v>
      </c>
      <c r="H65" s="3">
        <v>62627.7</v>
      </c>
      <c r="I65" s="31">
        <v>66907.899999999994</v>
      </c>
      <c r="J65" s="31">
        <v>69040.5</v>
      </c>
    </row>
    <row r="66" spans="1:10" x14ac:dyDescent="0.2">
      <c r="A66" s="28" t="s">
        <v>166</v>
      </c>
      <c r="B66" s="3">
        <v>10.9</v>
      </c>
      <c r="C66" s="3">
        <v>10.4</v>
      </c>
      <c r="D66" s="3">
        <v>8.9</v>
      </c>
      <c r="E66" s="3">
        <v>12.5</v>
      </c>
      <c r="F66" s="3">
        <v>13.1</v>
      </c>
      <c r="G66" s="3">
        <v>14.2</v>
      </c>
      <c r="H66" s="3">
        <v>15.3</v>
      </c>
      <c r="I66" s="31">
        <v>16</v>
      </c>
      <c r="J66" s="31">
        <v>16.5</v>
      </c>
    </row>
    <row r="67" spans="1:10" x14ac:dyDescent="0.2">
      <c r="A67" s="28" t="s">
        <v>167</v>
      </c>
      <c r="B67" s="3">
        <v>1.4</v>
      </c>
      <c r="C67" s="3">
        <v>3.4</v>
      </c>
      <c r="D67" s="3">
        <v>7</v>
      </c>
      <c r="E67" s="3">
        <v>6.7</v>
      </c>
      <c r="F67" s="2"/>
      <c r="G67" s="2"/>
      <c r="H67" s="2"/>
      <c r="I67" s="32"/>
      <c r="J67" s="32"/>
    </row>
    <row r="68" spans="1:10" x14ac:dyDescent="0.2">
      <c r="A68" s="28" t="s">
        <v>168</v>
      </c>
      <c r="B68" s="3">
        <v>45933.5</v>
      </c>
      <c r="C68" s="3">
        <v>47796.7</v>
      </c>
      <c r="D68" s="3">
        <v>50617.4</v>
      </c>
      <c r="E68" s="3">
        <v>53899.199999999997</v>
      </c>
      <c r="F68" s="3">
        <v>56442.3</v>
      </c>
      <c r="G68" s="3">
        <v>58977.3</v>
      </c>
      <c r="H68" s="3">
        <v>62612.4</v>
      </c>
      <c r="I68" s="31">
        <v>66891.899999999994</v>
      </c>
      <c r="J68" s="31">
        <v>69023.899999999994</v>
      </c>
    </row>
    <row r="69" spans="1:10" x14ac:dyDescent="0.2">
      <c r="A69" s="28" t="s">
        <v>169</v>
      </c>
      <c r="B69" s="3">
        <v>177.7</v>
      </c>
      <c r="C69" s="3">
        <v>212.2</v>
      </c>
      <c r="D69" s="3">
        <v>107.8</v>
      </c>
      <c r="E69" s="3">
        <v>87.2</v>
      </c>
      <c r="F69" s="3">
        <v>40.4</v>
      </c>
      <c r="G69" s="3">
        <v>46</v>
      </c>
      <c r="H69" s="3">
        <v>28.3</v>
      </c>
      <c r="I69" s="31">
        <v>33.799999999999997</v>
      </c>
      <c r="J69" s="31">
        <v>17.600000000000001</v>
      </c>
    </row>
    <row r="70" spans="1:10" x14ac:dyDescent="0.2">
      <c r="A70" s="30" t="s">
        <v>139</v>
      </c>
      <c r="B70" s="37">
        <v>5.8</v>
      </c>
      <c r="C70" s="37">
        <v>18.7</v>
      </c>
      <c r="D70" s="37">
        <v>147.69999999999999</v>
      </c>
      <c r="E70" s="37">
        <v>-194.8</v>
      </c>
      <c r="F70" s="37">
        <v>206.4</v>
      </c>
      <c r="G70" s="37">
        <v>566.79999999999995</v>
      </c>
      <c r="H70" s="37">
        <v>844.8</v>
      </c>
      <c r="I70" s="33">
        <v>739.2</v>
      </c>
      <c r="J70" s="33">
        <v>492.5</v>
      </c>
    </row>
  </sheetData>
  <mergeCells count="2">
    <mergeCell ref="B1:J1"/>
    <mergeCell ref="L1:T1"/>
  </mergeCells>
  <phoneticPr fontId="3" type="noConversion"/>
  <conditionalFormatting sqref="K3:K43">
    <cfRule type="cellIs" dxfId="9"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589EB-74E9-4C89-B1ED-59871A2A7D14}">
  <sheetPr codeName="Sheet8"/>
  <dimension ref="A1:U61"/>
  <sheetViews>
    <sheetView zoomScale="85" zoomScaleNormal="85" workbookViewId="0">
      <selection sqref="A1:XFD2"/>
    </sheetView>
  </sheetViews>
  <sheetFormatPr defaultRowHeight="14.25" x14ac:dyDescent="0.2"/>
  <cols>
    <col min="1" max="1" width="36.625" bestFit="1" customWidth="1"/>
    <col min="2" max="21" width="10" customWidth="1"/>
    <col min="233" max="233" width="28" customWidth="1"/>
    <col min="234" max="234" width="76" customWidth="1"/>
    <col min="235" max="236" width="14" customWidth="1"/>
    <col min="237" max="248" width="15" customWidth="1"/>
    <col min="489" max="489" width="28" customWidth="1"/>
    <col min="490" max="490" width="76" customWidth="1"/>
    <col min="491" max="492" width="14" customWidth="1"/>
    <col min="493" max="504" width="15" customWidth="1"/>
    <col min="745" max="745" width="28" customWidth="1"/>
    <col min="746" max="746" width="76" customWidth="1"/>
    <col min="747" max="748" width="14" customWidth="1"/>
    <col min="749" max="760" width="15" customWidth="1"/>
    <col min="1001" max="1001" width="28" customWidth="1"/>
    <col min="1002" max="1002" width="76" customWidth="1"/>
    <col min="1003" max="1004" width="14" customWidth="1"/>
    <col min="1005" max="1016" width="15" customWidth="1"/>
    <col min="1257" max="1257" width="28" customWidth="1"/>
    <col min="1258" max="1258" width="76" customWidth="1"/>
    <col min="1259" max="1260" width="14" customWidth="1"/>
    <col min="1261" max="1272" width="15" customWidth="1"/>
    <col min="1513" max="1513" width="28" customWidth="1"/>
    <col min="1514" max="1514" width="76" customWidth="1"/>
    <col min="1515" max="1516" width="14" customWidth="1"/>
    <col min="1517" max="1528" width="15" customWidth="1"/>
    <col min="1769" max="1769" width="28" customWidth="1"/>
    <col min="1770" max="1770" width="76" customWidth="1"/>
    <col min="1771" max="1772" width="14" customWidth="1"/>
    <col min="1773" max="1784" width="15" customWidth="1"/>
    <col min="2025" max="2025" width="28" customWidth="1"/>
    <col min="2026" max="2026" width="76" customWidth="1"/>
    <col min="2027" max="2028" width="14" customWidth="1"/>
    <col min="2029" max="2040" width="15" customWidth="1"/>
    <col min="2281" max="2281" width="28" customWidth="1"/>
    <col min="2282" max="2282" width="76" customWidth="1"/>
    <col min="2283" max="2284" width="14" customWidth="1"/>
    <col min="2285" max="2296" width="15" customWidth="1"/>
    <col min="2537" max="2537" width="28" customWidth="1"/>
    <col min="2538" max="2538" width="76" customWidth="1"/>
    <col min="2539" max="2540" width="14" customWidth="1"/>
    <col min="2541" max="2552" width="15" customWidth="1"/>
    <col min="2793" max="2793" width="28" customWidth="1"/>
    <col min="2794" max="2794" width="76" customWidth="1"/>
    <col min="2795" max="2796" width="14" customWidth="1"/>
    <col min="2797" max="2808" width="15" customWidth="1"/>
    <col min="3049" max="3049" width="28" customWidth="1"/>
    <col min="3050" max="3050" width="76" customWidth="1"/>
    <col min="3051" max="3052" width="14" customWidth="1"/>
    <col min="3053" max="3064" width="15" customWidth="1"/>
    <col min="3305" max="3305" width="28" customWidth="1"/>
    <col min="3306" max="3306" width="76" customWidth="1"/>
    <col min="3307" max="3308" width="14" customWidth="1"/>
    <col min="3309" max="3320" width="15" customWidth="1"/>
    <col min="3561" max="3561" width="28" customWidth="1"/>
    <col min="3562" max="3562" width="76" customWidth="1"/>
    <col min="3563" max="3564" width="14" customWidth="1"/>
    <col min="3565" max="3576" width="15" customWidth="1"/>
    <col min="3817" max="3817" width="28" customWidth="1"/>
    <col min="3818" max="3818" width="76" customWidth="1"/>
    <col min="3819" max="3820" width="14" customWidth="1"/>
    <col min="3821" max="3832" width="15" customWidth="1"/>
    <col min="4073" max="4073" width="28" customWidth="1"/>
    <col min="4074" max="4074" width="76" customWidth="1"/>
    <col min="4075" max="4076" width="14" customWidth="1"/>
    <col min="4077" max="4088" width="15" customWidth="1"/>
    <col min="4329" max="4329" width="28" customWidth="1"/>
    <col min="4330" max="4330" width="76" customWidth="1"/>
    <col min="4331" max="4332" width="14" customWidth="1"/>
    <col min="4333" max="4344" width="15" customWidth="1"/>
    <col min="4585" max="4585" width="28" customWidth="1"/>
    <col min="4586" max="4586" width="76" customWidth="1"/>
    <col min="4587" max="4588" width="14" customWidth="1"/>
    <col min="4589" max="4600" width="15" customWidth="1"/>
    <col min="4841" max="4841" width="28" customWidth="1"/>
    <col min="4842" max="4842" width="76" customWidth="1"/>
    <col min="4843" max="4844" width="14" customWidth="1"/>
    <col min="4845" max="4856" width="15" customWidth="1"/>
    <col min="5097" max="5097" width="28" customWidth="1"/>
    <col min="5098" max="5098" width="76" customWidth="1"/>
    <col min="5099" max="5100" width="14" customWidth="1"/>
    <col min="5101" max="5112" width="15" customWidth="1"/>
    <col min="5353" max="5353" width="28" customWidth="1"/>
    <col min="5354" max="5354" width="76" customWidth="1"/>
    <col min="5355" max="5356" width="14" customWidth="1"/>
    <col min="5357" max="5368" width="15" customWidth="1"/>
    <col min="5609" max="5609" width="28" customWidth="1"/>
    <col min="5610" max="5610" width="76" customWidth="1"/>
    <col min="5611" max="5612" width="14" customWidth="1"/>
    <col min="5613" max="5624" width="15" customWidth="1"/>
    <col min="5865" max="5865" width="28" customWidth="1"/>
    <col min="5866" max="5866" width="76" customWidth="1"/>
    <col min="5867" max="5868" width="14" customWidth="1"/>
    <col min="5869" max="5880" width="15" customWidth="1"/>
    <col min="6121" max="6121" width="28" customWidth="1"/>
    <col min="6122" max="6122" width="76" customWidth="1"/>
    <col min="6123" max="6124" width="14" customWidth="1"/>
    <col min="6125" max="6136" width="15" customWidth="1"/>
    <col min="6377" max="6377" width="28" customWidth="1"/>
    <col min="6378" max="6378" width="76" customWidth="1"/>
    <col min="6379" max="6380" width="14" customWidth="1"/>
    <col min="6381" max="6392" width="15" customWidth="1"/>
    <col min="6633" max="6633" width="28" customWidth="1"/>
    <col min="6634" max="6634" width="76" customWidth="1"/>
    <col min="6635" max="6636" width="14" customWidth="1"/>
    <col min="6637" max="6648" width="15" customWidth="1"/>
    <col min="6889" max="6889" width="28" customWidth="1"/>
    <col min="6890" max="6890" width="76" customWidth="1"/>
    <col min="6891" max="6892" width="14" customWidth="1"/>
    <col min="6893" max="6904" width="15" customWidth="1"/>
    <col min="7145" max="7145" width="28" customWidth="1"/>
    <col min="7146" max="7146" width="76" customWidth="1"/>
    <col min="7147" max="7148" width="14" customWidth="1"/>
    <col min="7149" max="7160" width="15" customWidth="1"/>
    <col min="7401" max="7401" width="28" customWidth="1"/>
    <col min="7402" max="7402" width="76" customWidth="1"/>
    <col min="7403" max="7404" width="14" customWidth="1"/>
    <col min="7405" max="7416" width="15" customWidth="1"/>
    <col min="7657" max="7657" width="28" customWidth="1"/>
    <col min="7658" max="7658" width="76" customWidth="1"/>
    <col min="7659" max="7660" width="14" customWidth="1"/>
    <col min="7661" max="7672" width="15" customWidth="1"/>
    <col min="7913" max="7913" width="28" customWidth="1"/>
    <col min="7914" max="7914" width="76" customWidth="1"/>
    <col min="7915" max="7916" width="14" customWidth="1"/>
    <col min="7917" max="7928" width="15" customWidth="1"/>
    <col min="8169" max="8169" width="28" customWidth="1"/>
    <col min="8170" max="8170" width="76" customWidth="1"/>
    <col min="8171" max="8172" width="14" customWidth="1"/>
    <col min="8173" max="8184" width="15" customWidth="1"/>
    <col min="8425" max="8425" width="28" customWidth="1"/>
    <col min="8426" max="8426" width="76" customWidth="1"/>
    <col min="8427" max="8428" width="14" customWidth="1"/>
    <col min="8429" max="8440" width="15" customWidth="1"/>
    <col min="8681" max="8681" width="28" customWidth="1"/>
    <col min="8682" max="8682" width="76" customWidth="1"/>
    <col min="8683" max="8684" width="14" customWidth="1"/>
    <col min="8685" max="8696" width="15" customWidth="1"/>
    <col min="8937" max="8937" width="28" customWidth="1"/>
    <col min="8938" max="8938" width="76" customWidth="1"/>
    <col min="8939" max="8940" width="14" customWidth="1"/>
    <col min="8941" max="8952" width="15" customWidth="1"/>
    <col min="9193" max="9193" width="28" customWidth="1"/>
    <col min="9194" max="9194" width="76" customWidth="1"/>
    <col min="9195" max="9196" width="14" customWidth="1"/>
    <col min="9197" max="9208" width="15" customWidth="1"/>
    <col min="9449" max="9449" width="28" customWidth="1"/>
    <col min="9450" max="9450" width="76" customWidth="1"/>
    <col min="9451" max="9452" width="14" customWidth="1"/>
    <col min="9453" max="9464" width="15" customWidth="1"/>
    <col min="9705" max="9705" width="28" customWidth="1"/>
    <col min="9706" max="9706" width="76" customWidth="1"/>
    <col min="9707" max="9708" width="14" customWidth="1"/>
    <col min="9709" max="9720" width="15" customWidth="1"/>
    <col min="9961" max="9961" width="28" customWidth="1"/>
    <col min="9962" max="9962" width="76" customWidth="1"/>
    <col min="9963" max="9964" width="14" customWidth="1"/>
    <col min="9965" max="9976" width="15" customWidth="1"/>
    <col min="10217" max="10217" width="28" customWidth="1"/>
    <col min="10218" max="10218" width="76" customWidth="1"/>
    <col min="10219" max="10220" width="14" customWidth="1"/>
    <col min="10221" max="10232" width="15" customWidth="1"/>
    <col min="10473" max="10473" width="28" customWidth="1"/>
    <col min="10474" max="10474" width="76" customWidth="1"/>
    <col min="10475" max="10476" width="14" customWidth="1"/>
    <col min="10477" max="10488" width="15" customWidth="1"/>
    <col min="10729" max="10729" width="28" customWidth="1"/>
    <col min="10730" max="10730" width="76" customWidth="1"/>
    <col min="10731" max="10732" width="14" customWidth="1"/>
    <col min="10733" max="10744" width="15" customWidth="1"/>
    <col min="10985" max="10985" width="28" customWidth="1"/>
    <col min="10986" max="10986" width="76" customWidth="1"/>
    <col min="10987" max="10988" width="14" customWidth="1"/>
    <col min="10989" max="11000" width="15" customWidth="1"/>
    <col min="11241" max="11241" width="28" customWidth="1"/>
    <col min="11242" max="11242" width="76" customWidth="1"/>
    <col min="11243" max="11244" width="14" customWidth="1"/>
    <col min="11245" max="11256" width="15" customWidth="1"/>
    <col min="11497" max="11497" width="28" customWidth="1"/>
    <col min="11498" max="11498" width="76" customWidth="1"/>
    <col min="11499" max="11500" width="14" customWidth="1"/>
    <col min="11501" max="11512" width="15" customWidth="1"/>
    <col min="11753" max="11753" width="28" customWidth="1"/>
    <col min="11754" max="11754" width="76" customWidth="1"/>
    <col min="11755" max="11756" width="14" customWidth="1"/>
    <col min="11757" max="11768" width="15" customWidth="1"/>
    <col min="12009" max="12009" width="28" customWidth="1"/>
    <col min="12010" max="12010" width="76" customWidth="1"/>
    <col min="12011" max="12012" width="14" customWidth="1"/>
    <col min="12013" max="12024" width="15" customWidth="1"/>
    <col min="12265" max="12265" width="28" customWidth="1"/>
    <col min="12266" max="12266" width="76" customWidth="1"/>
    <col min="12267" max="12268" width="14" customWidth="1"/>
    <col min="12269" max="12280" width="15" customWidth="1"/>
    <col min="12521" max="12521" width="28" customWidth="1"/>
    <col min="12522" max="12522" width="76" customWidth="1"/>
    <col min="12523" max="12524" width="14" customWidth="1"/>
    <col min="12525" max="12536" width="15" customWidth="1"/>
    <col min="12777" max="12777" width="28" customWidth="1"/>
    <col min="12778" max="12778" width="76" customWidth="1"/>
    <col min="12779" max="12780" width="14" customWidth="1"/>
    <col min="12781" max="12792" width="15" customWidth="1"/>
    <col min="13033" max="13033" width="28" customWidth="1"/>
    <col min="13034" max="13034" width="76" customWidth="1"/>
    <col min="13035" max="13036" width="14" customWidth="1"/>
    <col min="13037" max="13048" width="15" customWidth="1"/>
    <col min="13289" max="13289" width="28" customWidth="1"/>
    <col min="13290" max="13290" width="76" customWidth="1"/>
    <col min="13291" max="13292" width="14" customWidth="1"/>
    <col min="13293" max="13304" width="15" customWidth="1"/>
    <col min="13545" max="13545" width="28" customWidth="1"/>
    <col min="13546" max="13546" width="76" customWidth="1"/>
    <col min="13547" max="13548" width="14" customWidth="1"/>
    <col min="13549" max="13560" width="15" customWidth="1"/>
    <col min="13801" max="13801" width="28" customWidth="1"/>
    <col min="13802" max="13802" width="76" customWidth="1"/>
    <col min="13803" max="13804" width="14" customWidth="1"/>
    <col min="13805" max="13816" width="15" customWidth="1"/>
    <col min="14057" max="14057" width="28" customWidth="1"/>
    <col min="14058" max="14058" width="76" customWidth="1"/>
    <col min="14059" max="14060" width="14" customWidth="1"/>
    <col min="14061" max="14072" width="15" customWidth="1"/>
    <col min="14313" max="14313" width="28" customWidth="1"/>
    <col min="14314" max="14314" width="76" customWidth="1"/>
    <col min="14315" max="14316" width="14" customWidth="1"/>
    <col min="14317" max="14328" width="15" customWidth="1"/>
    <col min="14569" max="14569" width="28" customWidth="1"/>
    <col min="14570" max="14570" width="76" customWidth="1"/>
    <col min="14571" max="14572" width="14" customWidth="1"/>
    <col min="14573" max="14584" width="15" customWidth="1"/>
    <col min="14825" max="14825" width="28" customWidth="1"/>
    <col min="14826" max="14826" width="76" customWidth="1"/>
    <col min="14827" max="14828" width="14" customWidth="1"/>
    <col min="14829" max="14840" width="15" customWidth="1"/>
    <col min="15081" max="15081" width="28" customWidth="1"/>
    <col min="15082" max="15082" width="76" customWidth="1"/>
    <col min="15083" max="15084" width="14" customWidth="1"/>
    <col min="15085" max="15096" width="15" customWidth="1"/>
    <col min="15337" max="15337" width="28" customWidth="1"/>
    <col min="15338" max="15338" width="76" customWidth="1"/>
    <col min="15339" max="15340" width="14" customWidth="1"/>
    <col min="15341" max="15352" width="15" customWidth="1"/>
    <col min="15593" max="15593" width="28" customWidth="1"/>
    <col min="15594" max="15594" width="76" customWidth="1"/>
    <col min="15595" max="15596" width="14" customWidth="1"/>
    <col min="15597" max="15608" width="15" customWidth="1"/>
    <col min="15849" max="15849" width="28" customWidth="1"/>
    <col min="15850" max="15850" width="76" customWidth="1"/>
    <col min="15851" max="15852" width="14" customWidth="1"/>
    <col min="15853" max="15864" width="15" customWidth="1"/>
    <col min="16105" max="16105" width="28" customWidth="1"/>
    <col min="16106" max="16106" width="76" customWidth="1"/>
    <col min="16107" max="16108" width="14" customWidth="1"/>
    <col min="16109" max="16120" width="15"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2.16</v>
      </c>
      <c r="C3" s="26">
        <v>2.4300000000000002</v>
      </c>
      <c r="D3" s="26">
        <v>1.89</v>
      </c>
      <c r="E3" s="26">
        <v>1.72</v>
      </c>
      <c r="F3" s="26">
        <v>1.59</v>
      </c>
      <c r="G3" s="26">
        <v>0.81</v>
      </c>
      <c r="H3" s="26">
        <v>0.67</v>
      </c>
      <c r="I3" s="43">
        <v>0.75</v>
      </c>
      <c r="J3" s="44">
        <v>0.61</v>
      </c>
      <c r="K3" s="72">
        <f>SUM(B3:J3)/SUM(L3:T3)</f>
        <v>1</v>
      </c>
      <c r="L3" s="92">
        <v>2.16</v>
      </c>
      <c r="M3" s="93">
        <v>2.4300000000000002</v>
      </c>
      <c r="N3" s="93">
        <v>1.89</v>
      </c>
      <c r="O3" s="93">
        <v>1.72</v>
      </c>
      <c r="P3" s="93">
        <v>1.59</v>
      </c>
      <c r="Q3" s="93">
        <v>0.81</v>
      </c>
      <c r="R3" s="93">
        <v>0.67</v>
      </c>
      <c r="S3" s="93">
        <v>0.75</v>
      </c>
      <c r="T3" s="94">
        <v>0.61</v>
      </c>
      <c r="U3" s="101">
        <f t="shared" ref="U3:U41" si="0">CORREL(L$44:T$44,L3:T3)</f>
        <v>0.85222943776565396</v>
      </c>
    </row>
    <row r="4" spans="1:21" x14ac:dyDescent="0.2">
      <c r="A4" s="18" t="s">
        <v>3</v>
      </c>
      <c r="B4" s="21"/>
      <c r="C4" s="17"/>
      <c r="D4" s="17">
        <v>0.01</v>
      </c>
      <c r="E4" s="17"/>
      <c r="F4" s="17"/>
      <c r="G4" s="17"/>
      <c r="H4" s="17"/>
      <c r="I4" s="31"/>
      <c r="J4" s="45"/>
      <c r="K4" s="72">
        <f t="shared" ref="K4:K41" si="1">SUM(B4:J4)/SUM(L4:T4)</f>
        <v>1</v>
      </c>
      <c r="L4" s="95"/>
      <c r="M4" s="96"/>
      <c r="N4" s="96">
        <v>0.01</v>
      </c>
      <c r="O4" s="96"/>
      <c r="P4" s="96"/>
      <c r="Q4" s="96"/>
      <c r="R4" s="96"/>
      <c r="S4" s="96"/>
      <c r="T4" s="97"/>
      <c r="U4" s="101" t="e">
        <f t="shared" si="0"/>
        <v>#DIV/0!</v>
      </c>
    </row>
    <row r="5" spans="1:21" x14ac:dyDescent="0.2">
      <c r="A5" s="18" t="s">
        <v>4</v>
      </c>
      <c r="B5" s="21">
        <v>0.03</v>
      </c>
      <c r="C5" s="17">
        <v>0.04</v>
      </c>
      <c r="D5" s="17">
        <v>0.02</v>
      </c>
      <c r="E5" s="17">
        <v>7.0000000000000007E-2</v>
      </c>
      <c r="F5" s="17">
        <v>0.05</v>
      </c>
      <c r="G5" s="10">
        <v>0.02</v>
      </c>
      <c r="H5" s="17"/>
      <c r="I5" s="31"/>
      <c r="J5" s="45">
        <v>0.01</v>
      </c>
      <c r="K5" s="72">
        <f t="shared" si="1"/>
        <v>1</v>
      </c>
      <c r="L5" s="95">
        <v>0.03</v>
      </c>
      <c r="M5" s="96">
        <v>0.04</v>
      </c>
      <c r="N5" s="96">
        <v>0.02</v>
      </c>
      <c r="O5" s="96">
        <v>7.0000000000000007E-2</v>
      </c>
      <c r="P5" s="96">
        <v>0.05</v>
      </c>
      <c r="Q5" s="96">
        <v>0.02</v>
      </c>
      <c r="R5" s="96"/>
      <c r="S5" s="96"/>
      <c r="T5" s="97">
        <v>0.01</v>
      </c>
      <c r="U5" s="101">
        <f t="shared" si="0"/>
        <v>0.27140529433895016</v>
      </c>
    </row>
    <row r="6" spans="1:21" x14ac:dyDescent="0.2">
      <c r="A6" s="18" t="s">
        <v>5</v>
      </c>
      <c r="B6" s="15">
        <v>0.41</v>
      </c>
      <c r="C6" s="17">
        <v>0.4</v>
      </c>
      <c r="D6" s="17">
        <v>0.39</v>
      </c>
      <c r="E6" s="17">
        <v>0.43</v>
      </c>
      <c r="F6" s="17">
        <v>0.37</v>
      </c>
      <c r="G6" s="17">
        <v>0.43</v>
      </c>
      <c r="H6" s="17">
        <v>0.39</v>
      </c>
      <c r="I6" s="31">
        <v>0.46</v>
      </c>
      <c r="J6" s="45">
        <v>0.4</v>
      </c>
      <c r="K6" s="72">
        <f t="shared" si="1"/>
        <v>1</v>
      </c>
      <c r="L6" s="95">
        <v>0.41</v>
      </c>
      <c r="M6" s="96">
        <v>0.4</v>
      </c>
      <c r="N6" s="96">
        <v>0.39</v>
      </c>
      <c r="O6" s="96">
        <v>0.43</v>
      </c>
      <c r="P6" s="96">
        <v>0.37</v>
      </c>
      <c r="Q6" s="96">
        <v>0.43</v>
      </c>
      <c r="R6" s="96">
        <v>0.39</v>
      </c>
      <c r="S6" s="96">
        <v>0.46</v>
      </c>
      <c r="T6" s="97">
        <v>0.4</v>
      </c>
      <c r="U6" s="101">
        <f t="shared" si="0"/>
        <v>-0.43325260877732213</v>
      </c>
    </row>
    <row r="7" spans="1:21" x14ac:dyDescent="0.2">
      <c r="A7" s="18" t="s">
        <v>6</v>
      </c>
      <c r="B7" s="21">
        <v>0.04</v>
      </c>
      <c r="C7" s="17">
        <v>7.0000000000000007E-2</v>
      </c>
      <c r="D7" s="17">
        <v>0.21</v>
      </c>
      <c r="E7" s="17">
        <v>0.22</v>
      </c>
      <c r="F7" s="17">
        <v>0.14000000000000001</v>
      </c>
      <c r="G7" s="17">
        <v>0.03</v>
      </c>
      <c r="H7" s="17">
        <v>0.02</v>
      </c>
      <c r="I7" s="31">
        <v>0.02</v>
      </c>
      <c r="J7" s="45">
        <v>0.01</v>
      </c>
      <c r="K7" s="72">
        <f t="shared" si="1"/>
        <v>1</v>
      </c>
      <c r="L7" s="95">
        <v>0.04</v>
      </c>
      <c r="M7" s="96">
        <v>7.0000000000000007E-2</v>
      </c>
      <c r="N7" s="96">
        <v>0.21</v>
      </c>
      <c r="O7" s="96">
        <v>0.22</v>
      </c>
      <c r="P7" s="96">
        <v>0.14000000000000001</v>
      </c>
      <c r="Q7" s="96">
        <v>0.03</v>
      </c>
      <c r="R7" s="96">
        <v>0.02</v>
      </c>
      <c r="S7" s="96">
        <v>0.02</v>
      </c>
      <c r="T7" s="97">
        <v>0.01</v>
      </c>
      <c r="U7" s="101">
        <f t="shared" si="0"/>
        <v>0.30294670591248346</v>
      </c>
    </row>
    <row r="8" spans="1:21" x14ac:dyDescent="0.2">
      <c r="A8" s="18" t="s">
        <v>7</v>
      </c>
      <c r="B8" s="21"/>
      <c r="C8" s="17"/>
      <c r="D8" s="17"/>
      <c r="E8" s="17"/>
      <c r="F8" s="17">
        <v>0.01</v>
      </c>
      <c r="G8" s="17"/>
      <c r="H8" s="17"/>
      <c r="I8" s="31"/>
      <c r="J8" s="45"/>
      <c r="K8" s="72">
        <f t="shared" si="1"/>
        <v>1</v>
      </c>
      <c r="L8" s="95"/>
      <c r="M8" s="96"/>
      <c r="N8" s="96"/>
      <c r="O8" s="96"/>
      <c r="P8" s="96">
        <v>0.01</v>
      </c>
      <c r="Q8" s="96"/>
      <c r="R8" s="96"/>
      <c r="S8" s="96"/>
      <c r="T8" s="97"/>
      <c r="U8" s="101" t="e">
        <f t="shared" si="0"/>
        <v>#DIV/0!</v>
      </c>
    </row>
    <row r="9" spans="1:21" x14ac:dyDescent="0.2">
      <c r="A9" s="18" t="s">
        <v>8</v>
      </c>
      <c r="B9" s="15"/>
      <c r="C9" s="10"/>
      <c r="D9" s="10"/>
      <c r="E9" s="10"/>
      <c r="F9" s="10"/>
      <c r="G9" s="10"/>
      <c r="H9" s="10"/>
      <c r="I9" s="32"/>
      <c r="J9" s="58"/>
      <c r="K9" s="72" t="e">
        <f t="shared" si="1"/>
        <v>#DIV/0!</v>
      </c>
      <c r="L9" s="95"/>
      <c r="M9" s="96"/>
      <c r="N9" s="96"/>
      <c r="O9" s="96"/>
      <c r="P9" s="96"/>
      <c r="Q9" s="96"/>
      <c r="R9" s="96"/>
      <c r="S9" s="96"/>
      <c r="T9" s="97"/>
      <c r="U9" s="101" t="e">
        <f t="shared" si="0"/>
        <v>#DIV/0!</v>
      </c>
    </row>
    <row r="10" spans="1:21" x14ac:dyDescent="0.2">
      <c r="A10" s="18" t="s">
        <v>9</v>
      </c>
      <c r="B10" s="21">
        <v>0.12</v>
      </c>
      <c r="C10" s="17">
        <v>0.18</v>
      </c>
      <c r="D10" s="17">
        <v>0.21</v>
      </c>
      <c r="E10" s="17">
        <v>0.5</v>
      </c>
      <c r="F10" s="17">
        <v>0.35</v>
      </c>
      <c r="G10" s="17">
        <v>0.2</v>
      </c>
      <c r="H10" s="17">
        <v>0.14000000000000001</v>
      </c>
      <c r="I10" s="31">
        <v>0.09</v>
      </c>
      <c r="J10" s="45">
        <v>0.04</v>
      </c>
      <c r="K10" s="72">
        <f t="shared" si="1"/>
        <v>1</v>
      </c>
      <c r="L10" s="95">
        <v>0.12</v>
      </c>
      <c r="M10" s="96">
        <v>0.18</v>
      </c>
      <c r="N10" s="96">
        <v>0.21</v>
      </c>
      <c r="O10" s="96">
        <v>0.5</v>
      </c>
      <c r="P10" s="96">
        <v>0.35</v>
      </c>
      <c r="Q10" s="96">
        <v>0.2</v>
      </c>
      <c r="R10" s="96">
        <v>0.14000000000000001</v>
      </c>
      <c r="S10" s="96">
        <v>0.09</v>
      </c>
      <c r="T10" s="97">
        <v>0.04</v>
      </c>
      <c r="U10" s="101">
        <f t="shared" si="0"/>
        <v>0.23318222547028195</v>
      </c>
    </row>
    <row r="11" spans="1:21" x14ac:dyDescent="0.2">
      <c r="A11" s="18" t="s">
        <v>10</v>
      </c>
      <c r="B11" s="21">
        <v>0.03</v>
      </c>
      <c r="C11" s="17">
        <v>0.04</v>
      </c>
      <c r="D11" s="17">
        <v>0.02</v>
      </c>
      <c r="E11" s="17">
        <v>0.05</v>
      </c>
      <c r="F11" s="17">
        <v>0.1</v>
      </c>
      <c r="G11" s="17">
        <v>0.01</v>
      </c>
      <c r="H11" s="17"/>
      <c r="I11" s="31"/>
      <c r="J11" s="45">
        <v>0.01</v>
      </c>
      <c r="K11" s="72">
        <f t="shared" si="1"/>
        <v>1</v>
      </c>
      <c r="L11" s="95">
        <v>0.03</v>
      </c>
      <c r="M11" s="96">
        <v>0.04</v>
      </c>
      <c r="N11" s="96">
        <v>0.02</v>
      </c>
      <c r="O11" s="96">
        <v>0.05</v>
      </c>
      <c r="P11" s="96">
        <v>0.1</v>
      </c>
      <c r="Q11" s="96">
        <v>0.01</v>
      </c>
      <c r="R11" s="96"/>
      <c r="S11" s="96"/>
      <c r="T11" s="97">
        <v>0.01</v>
      </c>
      <c r="U11" s="101">
        <f t="shared" si="0"/>
        <v>0.44268640742828214</v>
      </c>
    </row>
    <row r="12" spans="1:21" x14ac:dyDescent="0.2">
      <c r="A12" s="18" t="s">
        <v>11</v>
      </c>
      <c r="B12" s="21">
        <v>0.01</v>
      </c>
      <c r="C12" s="17">
        <v>0.01</v>
      </c>
      <c r="D12" s="17">
        <v>0.02</v>
      </c>
      <c r="E12" s="17">
        <v>0.08</v>
      </c>
      <c r="F12" s="17">
        <v>0.04</v>
      </c>
      <c r="G12" s="17">
        <v>0.05</v>
      </c>
      <c r="H12" s="17">
        <v>0.06</v>
      </c>
      <c r="I12" s="31">
        <v>0.06</v>
      </c>
      <c r="J12" s="45"/>
      <c r="K12" s="72">
        <f t="shared" si="1"/>
        <v>1</v>
      </c>
      <c r="L12" s="95">
        <v>0.01</v>
      </c>
      <c r="M12" s="96">
        <v>0.01</v>
      </c>
      <c r="N12" s="96">
        <v>0.02</v>
      </c>
      <c r="O12" s="96">
        <v>0.08</v>
      </c>
      <c r="P12" s="96">
        <v>0.04</v>
      </c>
      <c r="Q12" s="96">
        <v>0.05</v>
      </c>
      <c r="R12" s="96">
        <v>0.06</v>
      </c>
      <c r="S12" s="96">
        <v>0.06</v>
      </c>
      <c r="T12" s="97"/>
      <c r="U12" s="101">
        <f t="shared" si="0"/>
        <v>-0.7107339087353185</v>
      </c>
    </row>
    <row r="13" spans="1:21" x14ac:dyDescent="0.2">
      <c r="A13" s="18" t="s">
        <v>12</v>
      </c>
      <c r="B13" s="21"/>
      <c r="C13" s="17"/>
      <c r="D13" s="17"/>
      <c r="E13" s="17"/>
      <c r="F13" s="17"/>
      <c r="G13" s="17"/>
      <c r="H13" s="17"/>
      <c r="I13" s="31"/>
      <c r="J13" s="45"/>
      <c r="K13" s="72" t="e">
        <f t="shared" si="1"/>
        <v>#DIV/0!</v>
      </c>
      <c r="L13" s="95"/>
      <c r="M13" s="96"/>
      <c r="N13" s="96"/>
      <c r="O13" s="96"/>
      <c r="P13" s="96"/>
      <c r="Q13" s="96"/>
      <c r="R13" s="96"/>
      <c r="S13" s="96"/>
      <c r="T13" s="97"/>
      <c r="U13" s="101" t="e">
        <f t="shared" si="0"/>
        <v>#DIV/0!</v>
      </c>
    </row>
    <row r="14" spans="1:21" x14ac:dyDescent="0.2">
      <c r="A14" s="18" t="s">
        <v>13</v>
      </c>
      <c r="B14" s="21">
        <v>0.12</v>
      </c>
      <c r="C14" s="17">
        <v>0.16</v>
      </c>
      <c r="D14" s="17">
        <v>7.0000000000000007E-2</v>
      </c>
      <c r="E14" s="17">
        <v>0.15</v>
      </c>
      <c r="F14" s="17">
        <v>7.0000000000000007E-2</v>
      </c>
      <c r="G14" s="17">
        <v>0.05</v>
      </c>
      <c r="H14" s="17">
        <v>0.02</v>
      </c>
      <c r="I14" s="31">
        <v>0.03</v>
      </c>
      <c r="J14" s="45">
        <v>0.01</v>
      </c>
      <c r="K14" s="72">
        <f t="shared" si="1"/>
        <v>1</v>
      </c>
      <c r="L14" s="95">
        <v>0.12</v>
      </c>
      <c r="M14" s="96">
        <v>0.16</v>
      </c>
      <c r="N14" s="96">
        <v>7.0000000000000007E-2</v>
      </c>
      <c r="O14" s="96">
        <v>0.15</v>
      </c>
      <c r="P14" s="96">
        <v>7.0000000000000007E-2</v>
      </c>
      <c r="Q14" s="96">
        <v>0.05</v>
      </c>
      <c r="R14" s="96">
        <v>0.02</v>
      </c>
      <c r="S14" s="96">
        <v>0.03</v>
      </c>
      <c r="T14" s="97">
        <v>0.01</v>
      </c>
      <c r="U14" s="101">
        <f t="shared" si="0"/>
        <v>0.71994892267292698</v>
      </c>
    </row>
    <row r="15" spans="1:21" x14ac:dyDescent="0.2">
      <c r="A15" s="18" t="s">
        <v>14</v>
      </c>
      <c r="B15" s="21">
        <v>0.41</v>
      </c>
      <c r="C15" s="17">
        <v>0.06</v>
      </c>
      <c r="D15" s="17">
        <v>0.04</v>
      </c>
      <c r="E15" s="17">
        <v>0.04</v>
      </c>
      <c r="F15" s="17">
        <v>0.02</v>
      </c>
      <c r="G15" s="17"/>
      <c r="H15" s="17"/>
      <c r="I15" s="31">
        <v>0.05</v>
      </c>
      <c r="J15" s="45"/>
      <c r="K15" s="72">
        <f t="shared" si="1"/>
        <v>1</v>
      </c>
      <c r="L15" s="95">
        <v>0.41</v>
      </c>
      <c r="M15" s="96">
        <v>0.06</v>
      </c>
      <c r="N15" s="96">
        <v>0.04</v>
      </c>
      <c r="O15" s="96">
        <v>0.04</v>
      </c>
      <c r="P15" s="96">
        <v>0.02</v>
      </c>
      <c r="Q15" s="96"/>
      <c r="R15" s="96"/>
      <c r="S15" s="96">
        <v>0.05</v>
      </c>
      <c r="T15" s="97"/>
      <c r="U15" s="101">
        <f t="shared" si="0"/>
        <v>0.4917120667293105</v>
      </c>
    </row>
    <row r="16" spans="1:21" x14ac:dyDescent="0.2">
      <c r="A16" s="18" t="s">
        <v>15</v>
      </c>
      <c r="B16" s="21">
        <v>0.21</v>
      </c>
      <c r="C16" s="17">
        <v>0.11</v>
      </c>
      <c r="D16" s="17">
        <v>0.08</v>
      </c>
      <c r="E16" s="17">
        <v>0.12</v>
      </c>
      <c r="F16" s="17">
        <v>0.16</v>
      </c>
      <c r="G16" s="17">
        <v>0.08</v>
      </c>
      <c r="H16" s="17">
        <v>0.01</v>
      </c>
      <c r="I16" s="31">
        <v>0.01</v>
      </c>
      <c r="J16" s="45"/>
      <c r="K16" s="72">
        <f t="shared" si="1"/>
        <v>1</v>
      </c>
      <c r="L16" s="95">
        <v>0.21</v>
      </c>
      <c r="M16" s="96">
        <v>0.11</v>
      </c>
      <c r="N16" s="96">
        <v>0.08</v>
      </c>
      <c r="O16" s="96">
        <v>0.12</v>
      </c>
      <c r="P16" s="96">
        <v>0.16</v>
      </c>
      <c r="Q16" s="96">
        <v>0.08</v>
      </c>
      <c r="R16" s="96">
        <v>0.01</v>
      </c>
      <c r="S16" s="96">
        <v>0.01</v>
      </c>
      <c r="T16" s="97"/>
      <c r="U16" s="101">
        <f t="shared" si="0"/>
        <v>0.91616773620315217</v>
      </c>
    </row>
    <row r="17" spans="1:21" x14ac:dyDescent="0.2">
      <c r="A17" s="18" t="s">
        <v>16</v>
      </c>
      <c r="B17" s="21">
        <v>0.08</v>
      </c>
      <c r="C17" s="17">
        <v>0.12</v>
      </c>
      <c r="D17" s="17">
        <v>0.09</v>
      </c>
      <c r="E17" s="17">
        <v>0.52</v>
      </c>
      <c r="F17" s="17">
        <v>0.14000000000000001</v>
      </c>
      <c r="G17" s="17">
        <v>0.02</v>
      </c>
      <c r="H17" s="17">
        <v>0.01</v>
      </c>
      <c r="I17" s="31"/>
      <c r="J17" s="45"/>
      <c r="K17" s="72">
        <f t="shared" si="1"/>
        <v>1</v>
      </c>
      <c r="L17" s="95">
        <v>0.08</v>
      </c>
      <c r="M17" s="96">
        <v>0.12</v>
      </c>
      <c r="N17" s="96">
        <v>0.09</v>
      </c>
      <c r="O17" s="96">
        <v>0.52</v>
      </c>
      <c r="P17" s="96">
        <v>0.14000000000000001</v>
      </c>
      <c r="Q17" s="96">
        <v>0.02</v>
      </c>
      <c r="R17" s="96">
        <v>0.01</v>
      </c>
      <c r="S17" s="96"/>
      <c r="T17" s="97"/>
      <c r="U17" s="101">
        <f t="shared" si="0"/>
        <v>0.13532340205717025</v>
      </c>
    </row>
    <row r="18" spans="1:21" x14ac:dyDescent="0.2">
      <c r="A18" s="18" t="s">
        <v>17</v>
      </c>
      <c r="B18" s="21">
        <v>0.05</v>
      </c>
      <c r="C18" s="17">
        <v>0.05</v>
      </c>
      <c r="D18" s="17">
        <v>0.01</v>
      </c>
      <c r="E18" s="17">
        <v>0.01</v>
      </c>
      <c r="F18" s="17">
        <v>0.01</v>
      </c>
      <c r="G18" s="17"/>
      <c r="H18" s="17">
        <v>0.01</v>
      </c>
      <c r="I18" s="31"/>
      <c r="J18" s="45">
        <v>0.02</v>
      </c>
      <c r="K18" s="72">
        <f t="shared" si="1"/>
        <v>1</v>
      </c>
      <c r="L18" s="95">
        <v>0.05</v>
      </c>
      <c r="M18" s="96">
        <v>0.05</v>
      </c>
      <c r="N18" s="96">
        <v>0.01</v>
      </c>
      <c r="O18" s="96">
        <v>0.01</v>
      </c>
      <c r="P18" s="96">
        <v>0.01</v>
      </c>
      <c r="Q18" s="96"/>
      <c r="R18" s="96">
        <v>0.01</v>
      </c>
      <c r="S18" s="96"/>
      <c r="T18" s="97">
        <v>0.02</v>
      </c>
      <c r="U18" s="101">
        <f t="shared" si="0"/>
        <v>0.70298598534402923</v>
      </c>
    </row>
    <row r="19" spans="1:21" x14ac:dyDescent="0.2">
      <c r="A19" s="18" t="s">
        <v>18</v>
      </c>
      <c r="B19" s="21">
        <v>0.09</v>
      </c>
      <c r="C19" s="17">
        <v>0.13</v>
      </c>
      <c r="D19" s="17">
        <v>0.02</v>
      </c>
      <c r="E19" s="17">
        <v>0.05</v>
      </c>
      <c r="F19" s="17">
        <v>0.39</v>
      </c>
      <c r="G19" s="17">
        <v>0.02</v>
      </c>
      <c r="H19" s="17"/>
      <c r="I19" s="31">
        <v>0.01</v>
      </c>
      <c r="J19" s="45"/>
      <c r="K19" s="72">
        <f t="shared" si="1"/>
        <v>1</v>
      </c>
      <c r="L19" s="95">
        <v>0.09</v>
      </c>
      <c r="M19" s="96">
        <v>0.13</v>
      </c>
      <c r="N19" s="96">
        <v>0.02</v>
      </c>
      <c r="O19" s="96">
        <v>0.05</v>
      </c>
      <c r="P19" s="96">
        <v>0.39</v>
      </c>
      <c r="Q19" s="96">
        <v>0.02</v>
      </c>
      <c r="R19" s="96"/>
      <c r="S19" s="96">
        <v>0.01</v>
      </c>
      <c r="T19" s="97"/>
      <c r="U19" s="101">
        <f t="shared" si="0"/>
        <v>0.50744037957730692</v>
      </c>
    </row>
    <row r="20" spans="1:21" x14ac:dyDescent="0.2">
      <c r="A20" s="18" t="s">
        <v>19</v>
      </c>
      <c r="B20" s="21">
        <v>0.08</v>
      </c>
      <c r="C20" s="17">
        <v>0.13</v>
      </c>
      <c r="D20" s="17">
        <v>0.03</v>
      </c>
      <c r="E20" s="17">
        <v>0.05</v>
      </c>
      <c r="F20" s="17">
        <v>0.04</v>
      </c>
      <c r="G20" s="17">
        <v>0.03</v>
      </c>
      <c r="H20" s="17">
        <v>0.01</v>
      </c>
      <c r="I20" s="31">
        <v>0.01</v>
      </c>
      <c r="J20" s="45">
        <v>0.01</v>
      </c>
      <c r="K20" s="72">
        <f t="shared" si="1"/>
        <v>1</v>
      </c>
      <c r="L20" s="95">
        <v>0.08</v>
      </c>
      <c r="M20" s="96">
        <v>0.13</v>
      </c>
      <c r="N20" s="96">
        <v>0.03</v>
      </c>
      <c r="O20" s="96">
        <v>0.05</v>
      </c>
      <c r="P20" s="96">
        <v>0.04</v>
      </c>
      <c r="Q20" s="96">
        <v>0.03</v>
      </c>
      <c r="R20" s="96">
        <v>0.01</v>
      </c>
      <c r="S20" s="96">
        <v>0.01</v>
      </c>
      <c r="T20" s="97">
        <v>0.01</v>
      </c>
      <c r="U20" s="101">
        <f t="shared" si="0"/>
        <v>0.79176789444858009</v>
      </c>
    </row>
    <row r="21" spans="1:21" x14ac:dyDescent="0.2">
      <c r="A21" s="18" t="s">
        <v>20</v>
      </c>
      <c r="B21" s="21">
        <v>0.23</v>
      </c>
      <c r="C21" s="17">
        <v>0.06</v>
      </c>
      <c r="D21" s="17">
        <v>0.04</v>
      </c>
      <c r="E21" s="17">
        <v>0.05</v>
      </c>
      <c r="F21" s="17">
        <v>0.04</v>
      </c>
      <c r="G21" s="17">
        <v>0.04</v>
      </c>
      <c r="H21" s="17">
        <v>0.1</v>
      </c>
      <c r="I21" s="31">
        <v>0.11</v>
      </c>
      <c r="J21" s="45"/>
      <c r="K21" s="72">
        <f t="shared" si="1"/>
        <v>1</v>
      </c>
      <c r="L21" s="95">
        <v>0.23</v>
      </c>
      <c r="M21" s="96">
        <v>0.06</v>
      </c>
      <c r="N21" s="96">
        <v>0.04</v>
      </c>
      <c r="O21" s="96">
        <v>0.05</v>
      </c>
      <c r="P21" s="96">
        <v>0.04</v>
      </c>
      <c r="Q21" s="96">
        <v>0.04</v>
      </c>
      <c r="R21" s="96">
        <v>0.1</v>
      </c>
      <c r="S21" s="96">
        <v>0.11</v>
      </c>
      <c r="T21" s="97"/>
      <c r="U21" s="101">
        <f t="shared" si="0"/>
        <v>0.1957239522235277</v>
      </c>
    </row>
    <row r="22" spans="1:21" x14ac:dyDescent="0.2">
      <c r="A22" s="18" t="s">
        <v>21</v>
      </c>
      <c r="B22" s="21">
        <v>0.21</v>
      </c>
      <c r="C22" s="17">
        <v>0.17</v>
      </c>
      <c r="D22" s="17">
        <v>0.21</v>
      </c>
      <c r="E22" s="17">
        <v>0.15</v>
      </c>
      <c r="F22" s="17">
        <v>0.19</v>
      </c>
      <c r="G22" s="17">
        <v>0.25</v>
      </c>
      <c r="H22" s="17">
        <v>7.0000000000000007E-2</v>
      </c>
      <c r="I22" s="31">
        <v>0.18</v>
      </c>
      <c r="J22" s="45">
        <v>0.03</v>
      </c>
      <c r="K22" s="72">
        <f t="shared" si="1"/>
        <v>1.140625</v>
      </c>
      <c r="L22" s="95">
        <v>0.21</v>
      </c>
      <c r="M22" s="96">
        <v>0.17</v>
      </c>
      <c r="N22" s="96">
        <v>0.21</v>
      </c>
      <c r="O22" s="96">
        <v>0.15</v>
      </c>
      <c r="P22" s="96">
        <v>0.19</v>
      </c>
      <c r="Q22" s="96">
        <v>7.0000000000000007E-2</v>
      </c>
      <c r="R22" s="96">
        <v>7.0000000000000007E-2</v>
      </c>
      <c r="S22" s="96">
        <v>0.18</v>
      </c>
      <c r="T22" s="97">
        <v>0.03</v>
      </c>
      <c r="U22" s="101">
        <f t="shared" si="0"/>
        <v>0.50132494369758684</v>
      </c>
    </row>
    <row r="23" spans="1:21" x14ac:dyDescent="0.2">
      <c r="A23" s="18" t="s">
        <v>1</v>
      </c>
      <c r="B23" s="21">
        <v>3.56</v>
      </c>
      <c r="C23" s="17">
        <v>3.22</v>
      </c>
      <c r="D23" s="17">
        <v>3.09</v>
      </c>
      <c r="E23" s="17">
        <v>3.44</v>
      </c>
      <c r="F23" s="17">
        <v>3.13</v>
      </c>
      <c r="G23" s="17">
        <v>2.17</v>
      </c>
      <c r="H23" s="17">
        <v>1.92</v>
      </c>
      <c r="I23" s="31">
        <v>1.9</v>
      </c>
      <c r="J23" s="45">
        <v>2</v>
      </c>
      <c r="K23" s="72">
        <f t="shared" si="1"/>
        <v>1.0004095004095004</v>
      </c>
      <c r="L23" s="95">
        <v>3.56</v>
      </c>
      <c r="M23" s="96">
        <v>3.22</v>
      </c>
      <c r="N23" s="96">
        <v>3.08</v>
      </c>
      <c r="O23" s="96">
        <v>3.44</v>
      </c>
      <c r="P23" s="96">
        <v>3.13</v>
      </c>
      <c r="Q23" s="96">
        <v>2.17</v>
      </c>
      <c r="R23" s="96">
        <v>1.92</v>
      </c>
      <c r="S23" s="96">
        <v>1.9</v>
      </c>
      <c r="T23" s="97">
        <v>2</v>
      </c>
      <c r="U23" s="101">
        <f t="shared" si="0"/>
        <v>0.85369983005253713</v>
      </c>
    </row>
    <row r="24" spans="1:21" x14ac:dyDescent="0.2">
      <c r="A24" s="18" t="s">
        <v>22</v>
      </c>
      <c r="B24" s="21">
        <v>0.27</v>
      </c>
      <c r="C24" s="17">
        <v>0.3</v>
      </c>
      <c r="D24" s="17">
        <v>0.16</v>
      </c>
      <c r="E24" s="17">
        <v>0.16</v>
      </c>
      <c r="F24" s="17">
        <v>0.04</v>
      </c>
      <c r="G24" s="17">
        <v>0.05</v>
      </c>
      <c r="H24" s="17">
        <v>0.02</v>
      </c>
      <c r="I24" s="31">
        <v>0.01</v>
      </c>
      <c r="J24" s="45">
        <v>0.01</v>
      </c>
      <c r="K24" s="72">
        <f t="shared" si="1"/>
        <v>1</v>
      </c>
      <c r="L24" s="95">
        <v>0.27</v>
      </c>
      <c r="M24" s="96">
        <v>0.3</v>
      </c>
      <c r="N24" s="96">
        <v>0.16</v>
      </c>
      <c r="O24" s="96">
        <v>0.16</v>
      </c>
      <c r="P24" s="96">
        <v>0.04</v>
      </c>
      <c r="Q24" s="96">
        <v>0.05</v>
      </c>
      <c r="R24" s="96">
        <v>0.02</v>
      </c>
      <c r="S24" s="96">
        <v>0.01</v>
      </c>
      <c r="T24" s="97">
        <v>0.01</v>
      </c>
      <c r="U24" s="101">
        <f t="shared" si="0"/>
        <v>0.77311624535242618</v>
      </c>
    </row>
    <row r="25" spans="1:21" x14ac:dyDescent="0.2">
      <c r="A25" s="18" t="s">
        <v>23</v>
      </c>
      <c r="B25" s="21"/>
      <c r="C25" s="17"/>
      <c r="D25" s="17">
        <v>0.02</v>
      </c>
      <c r="E25" s="17">
        <v>7.0000000000000007E-2</v>
      </c>
      <c r="F25" s="17">
        <v>0.05</v>
      </c>
      <c r="G25" s="17">
        <v>0.06</v>
      </c>
      <c r="H25" s="17">
        <v>0.02</v>
      </c>
      <c r="I25" s="31">
        <v>0.02</v>
      </c>
      <c r="J25" s="45">
        <v>0.02</v>
      </c>
      <c r="K25" s="72">
        <f t="shared" si="1"/>
        <v>1</v>
      </c>
      <c r="L25" s="95"/>
      <c r="M25" s="96"/>
      <c r="N25" s="96">
        <v>0.02</v>
      </c>
      <c r="O25" s="96">
        <v>7.0000000000000007E-2</v>
      </c>
      <c r="P25" s="96">
        <v>0.05</v>
      </c>
      <c r="Q25" s="96">
        <v>0.06</v>
      </c>
      <c r="R25" s="96">
        <v>0.02</v>
      </c>
      <c r="S25" s="96">
        <v>0.02</v>
      </c>
      <c r="T25" s="97">
        <v>0.02</v>
      </c>
      <c r="U25" s="101">
        <f t="shared" si="0"/>
        <v>0.46988380156709952</v>
      </c>
    </row>
    <row r="26" spans="1:21" x14ac:dyDescent="0.2">
      <c r="A26" s="18" t="s">
        <v>24</v>
      </c>
      <c r="B26" s="21">
        <v>0.14000000000000001</v>
      </c>
      <c r="C26" s="17">
        <v>0.1</v>
      </c>
      <c r="D26" s="17">
        <v>0.27</v>
      </c>
      <c r="E26" s="17">
        <v>0.27</v>
      </c>
      <c r="F26" s="17">
        <v>0.26</v>
      </c>
      <c r="G26" s="17">
        <v>0.24</v>
      </c>
      <c r="H26" s="17">
        <v>0.04</v>
      </c>
      <c r="I26" s="31">
        <v>0.06</v>
      </c>
      <c r="J26" s="45">
        <v>0.05</v>
      </c>
      <c r="K26" s="72">
        <f t="shared" si="1"/>
        <v>1</v>
      </c>
      <c r="L26" s="95">
        <v>0.14000000000000001</v>
      </c>
      <c r="M26" s="96">
        <v>0.1</v>
      </c>
      <c r="N26" s="96">
        <v>0.27</v>
      </c>
      <c r="O26" s="96">
        <v>0.27</v>
      </c>
      <c r="P26" s="96">
        <v>0.26</v>
      </c>
      <c r="Q26" s="96">
        <v>0.24</v>
      </c>
      <c r="R26" s="96">
        <v>0.04</v>
      </c>
      <c r="S26" s="96">
        <v>0.06</v>
      </c>
      <c r="T26" s="97">
        <v>0.05</v>
      </c>
      <c r="U26" s="101">
        <f t="shared" si="0"/>
        <v>0.36071128205563668</v>
      </c>
    </row>
    <row r="27" spans="1:21" x14ac:dyDescent="0.2">
      <c r="A27" s="18" t="s">
        <v>25</v>
      </c>
      <c r="B27" s="21">
        <v>4.6900000000000004</v>
      </c>
      <c r="C27" s="17">
        <v>1.27</v>
      </c>
      <c r="D27" s="17">
        <v>1.0900000000000001</v>
      </c>
      <c r="E27" s="17">
        <v>2.46</v>
      </c>
      <c r="F27" s="17">
        <v>1.58</v>
      </c>
      <c r="G27" s="17">
        <v>1</v>
      </c>
      <c r="H27" s="17">
        <v>0.82</v>
      </c>
      <c r="I27" s="31">
        <v>0.83</v>
      </c>
      <c r="J27" s="45">
        <v>0.53</v>
      </c>
      <c r="K27" s="72">
        <f t="shared" si="1"/>
        <v>1</v>
      </c>
      <c r="L27" s="95">
        <v>4.6900000000000004</v>
      </c>
      <c r="M27" s="96">
        <v>1.27</v>
      </c>
      <c r="N27" s="96">
        <v>1.0900000000000001</v>
      </c>
      <c r="O27" s="96">
        <v>2.46</v>
      </c>
      <c r="P27" s="96">
        <v>1.58</v>
      </c>
      <c r="Q27" s="96">
        <v>1</v>
      </c>
      <c r="R27" s="96">
        <v>0.82</v>
      </c>
      <c r="S27" s="96">
        <v>0.83</v>
      </c>
      <c r="T27" s="97">
        <v>0.53</v>
      </c>
      <c r="U27" s="101">
        <f t="shared" si="0"/>
        <v>0.62890579964306825</v>
      </c>
    </row>
    <row r="28" spans="1:21" x14ac:dyDescent="0.2">
      <c r="A28" s="18" t="s">
        <v>26</v>
      </c>
      <c r="B28" s="21">
        <v>0.22</v>
      </c>
      <c r="C28" s="17">
        <v>0.22</v>
      </c>
      <c r="D28" s="17">
        <v>0.17</v>
      </c>
      <c r="E28" s="17">
        <v>0.24</v>
      </c>
      <c r="F28" s="17">
        <v>0.2</v>
      </c>
      <c r="G28" s="17">
        <v>0.09</v>
      </c>
      <c r="H28" s="17">
        <v>0.02</v>
      </c>
      <c r="I28" s="31">
        <v>0.02</v>
      </c>
      <c r="J28" s="45">
        <v>0.02</v>
      </c>
      <c r="K28" s="72">
        <f t="shared" si="1"/>
        <v>1</v>
      </c>
      <c r="L28" s="95">
        <v>0.22</v>
      </c>
      <c r="M28" s="96">
        <v>0.22</v>
      </c>
      <c r="N28" s="96">
        <v>0.17</v>
      </c>
      <c r="O28" s="96">
        <v>0.24</v>
      </c>
      <c r="P28" s="96">
        <v>0.2</v>
      </c>
      <c r="Q28" s="96">
        <v>0.09</v>
      </c>
      <c r="R28" s="96">
        <v>0.02</v>
      </c>
      <c r="S28" s="96">
        <v>0.02</v>
      </c>
      <c r="T28" s="97">
        <v>0.02</v>
      </c>
      <c r="U28" s="101">
        <f t="shared" si="0"/>
        <v>0.83593379903929255</v>
      </c>
    </row>
    <row r="29" spans="1:21" x14ac:dyDescent="0.2">
      <c r="A29" s="18" t="s">
        <v>27</v>
      </c>
      <c r="B29" s="21">
        <v>2.35</v>
      </c>
      <c r="C29" s="17">
        <v>1.35</v>
      </c>
      <c r="D29" s="17">
        <v>0.89</v>
      </c>
      <c r="E29" s="17">
        <v>0.73</v>
      </c>
      <c r="F29" s="17">
        <v>0.94</v>
      </c>
      <c r="G29" s="17">
        <v>1.08</v>
      </c>
      <c r="H29" s="17">
        <v>0.84</v>
      </c>
      <c r="I29" s="31">
        <v>0.54</v>
      </c>
      <c r="J29" s="45">
        <v>0.37</v>
      </c>
      <c r="K29" s="72">
        <f t="shared" si="1"/>
        <v>1</v>
      </c>
      <c r="L29" s="95">
        <v>2.35</v>
      </c>
      <c r="M29" s="96">
        <v>1.35</v>
      </c>
      <c r="N29" s="96">
        <v>0.89</v>
      </c>
      <c r="O29" s="96">
        <v>0.73</v>
      </c>
      <c r="P29" s="96">
        <v>0.94</v>
      </c>
      <c r="Q29" s="96">
        <v>1.08</v>
      </c>
      <c r="R29" s="96">
        <v>0.84</v>
      </c>
      <c r="S29" s="96">
        <v>0.54</v>
      </c>
      <c r="T29" s="97">
        <v>0.37</v>
      </c>
      <c r="U29" s="101">
        <f t="shared" si="0"/>
        <v>0.68176415146378055</v>
      </c>
    </row>
    <row r="30" spans="1:21" x14ac:dyDescent="0.2">
      <c r="A30" s="18" t="s">
        <v>28</v>
      </c>
      <c r="B30" s="21">
        <v>1.33</v>
      </c>
      <c r="C30" s="17">
        <v>1.1200000000000001</v>
      </c>
      <c r="D30" s="17">
        <v>0.98</v>
      </c>
      <c r="E30" s="17">
        <v>0.92</v>
      </c>
      <c r="F30" s="17">
        <v>0.76</v>
      </c>
      <c r="G30" s="17">
        <v>0.63</v>
      </c>
      <c r="H30" s="17">
        <v>0.56000000000000005</v>
      </c>
      <c r="I30" s="31">
        <v>0.45</v>
      </c>
      <c r="J30" s="45">
        <v>0.3</v>
      </c>
      <c r="K30" s="72">
        <f t="shared" si="1"/>
        <v>1</v>
      </c>
      <c r="L30" s="95">
        <v>1.33</v>
      </c>
      <c r="M30" s="96">
        <v>1.1200000000000001</v>
      </c>
      <c r="N30" s="96">
        <v>0.98</v>
      </c>
      <c r="O30" s="96">
        <v>0.92</v>
      </c>
      <c r="P30" s="96">
        <v>0.76</v>
      </c>
      <c r="Q30" s="96">
        <v>0.63</v>
      </c>
      <c r="R30" s="96">
        <v>0.56000000000000005</v>
      </c>
      <c r="S30" s="96">
        <v>0.45</v>
      </c>
      <c r="T30" s="97">
        <v>0.3</v>
      </c>
      <c r="U30" s="101">
        <f t="shared" si="0"/>
        <v>0.78393293182077117</v>
      </c>
    </row>
    <row r="31" spans="1:21" x14ac:dyDescent="0.2">
      <c r="A31" s="18" t="s">
        <v>29</v>
      </c>
      <c r="B31" s="21">
        <v>2.71</v>
      </c>
      <c r="C31" s="17">
        <v>2.52</v>
      </c>
      <c r="D31" s="17">
        <v>2.2400000000000002</v>
      </c>
      <c r="E31" s="17">
        <v>2.5</v>
      </c>
      <c r="F31" s="17">
        <v>2.4</v>
      </c>
      <c r="G31" s="17">
        <v>2.11</v>
      </c>
      <c r="H31" s="17">
        <v>1.95</v>
      </c>
      <c r="I31" s="31">
        <v>1.62</v>
      </c>
      <c r="J31" s="45">
        <v>1.44</v>
      </c>
      <c r="K31" s="72">
        <f t="shared" si="1"/>
        <v>1</v>
      </c>
      <c r="L31" s="95">
        <v>2.71</v>
      </c>
      <c r="M31" s="96">
        <v>2.52</v>
      </c>
      <c r="N31" s="96">
        <v>2.2400000000000002</v>
      </c>
      <c r="O31" s="96">
        <v>2.5</v>
      </c>
      <c r="P31" s="96">
        <v>2.4</v>
      </c>
      <c r="Q31" s="96">
        <v>2.11</v>
      </c>
      <c r="R31" s="96">
        <v>1.95</v>
      </c>
      <c r="S31" s="96">
        <v>1.62</v>
      </c>
      <c r="T31" s="97">
        <v>1.44</v>
      </c>
      <c r="U31" s="101">
        <f t="shared" si="0"/>
        <v>0.75647227633450664</v>
      </c>
    </row>
    <row r="32" spans="1:21" x14ac:dyDescent="0.2">
      <c r="A32" s="18" t="s">
        <v>30</v>
      </c>
      <c r="B32" s="21">
        <v>0.35</v>
      </c>
      <c r="C32" s="17">
        <v>0.63</v>
      </c>
      <c r="D32" s="17">
        <v>0.59</v>
      </c>
      <c r="E32" s="17">
        <v>0.9</v>
      </c>
      <c r="F32" s="17">
        <v>0.92</v>
      </c>
      <c r="G32" s="17">
        <v>0.93</v>
      </c>
      <c r="H32" s="17">
        <v>0.78</v>
      </c>
      <c r="I32" s="31">
        <v>0.77</v>
      </c>
      <c r="J32" s="45">
        <v>0.88</v>
      </c>
      <c r="K32" s="72">
        <f t="shared" si="1"/>
        <v>1</v>
      </c>
      <c r="L32" s="95">
        <v>0.35</v>
      </c>
      <c r="M32" s="96">
        <v>0.63</v>
      </c>
      <c r="N32" s="96">
        <v>0.59</v>
      </c>
      <c r="O32" s="96">
        <v>0.9</v>
      </c>
      <c r="P32" s="96">
        <v>0.92</v>
      </c>
      <c r="Q32" s="96">
        <v>0.93</v>
      </c>
      <c r="R32" s="96">
        <v>0.78</v>
      </c>
      <c r="S32" s="96">
        <v>0.77</v>
      </c>
      <c r="T32" s="97">
        <v>0.88</v>
      </c>
      <c r="U32" s="101">
        <f t="shared" si="0"/>
        <v>-0.47963155763365617</v>
      </c>
    </row>
    <row r="33" spans="1:21" x14ac:dyDescent="0.2">
      <c r="A33" s="18" t="s">
        <v>31</v>
      </c>
      <c r="B33" s="21">
        <v>0.96</v>
      </c>
      <c r="C33" s="17">
        <v>0.92</v>
      </c>
      <c r="D33" s="17">
        <v>0.65</v>
      </c>
      <c r="E33" s="17">
        <v>0.61</v>
      </c>
      <c r="F33" s="17">
        <v>0.5</v>
      </c>
      <c r="G33" s="17">
        <v>0.43</v>
      </c>
      <c r="H33" s="17">
        <v>0.4</v>
      </c>
      <c r="I33" s="31">
        <v>0.27</v>
      </c>
      <c r="J33" s="45">
        <v>0.24</v>
      </c>
      <c r="K33" s="72">
        <f t="shared" si="1"/>
        <v>1</v>
      </c>
      <c r="L33" s="95">
        <v>0.96</v>
      </c>
      <c r="M33" s="96">
        <v>0.92</v>
      </c>
      <c r="N33" s="96">
        <v>0.65</v>
      </c>
      <c r="O33" s="96">
        <v>0.61</v>
      </c>
      <c r="P33" s="96">
        <v>0.5</v>
      </c>
      <c r="Q33" s="96">
        <v>0.43</v>
      </c>
      <c r="R33" s="96">
        <v>0.4</v>
      </c>
      <c r="S33" s="96">
        <v>0.27</v>
      </c>
      <c r="T33" s="97">
        <v>0.24</v>
      </c>
      <c r="U33" s="101">
        <f t="shared" si="0"/>
        <v>0.8136761482478736</v>
      </c>
    </row>
    <row r="34" spans="1:21" x14ac:dyDescent="0.2">
      <c r="A34" s="18" t="s">
        <v>32</v>
      </c>
      <c r="B34" s="21">
        <v>8.34</v>
      </c>
      <c r="C34" s="17">
        <v>8.74</v>
      </c>
      <c r="D34" s="17">
        <v>1.98</v>
      </c>
      <c r="E34" s="17">
        <v>1.89</v>
      </c>
      <c r="F34" s="17">
        <v>2.61</v>
      </c>
      <c r="G34" s="17">
        <v>1.82</v>
      </c>
      <c r="H34" s="17">
        <v>13.06</v>
      </c>
      <c r="I34" s="31">
        <v>0.95</v>
      </c>
      <c r="J34" s="45">
        <v>1.3</v>
      </c>
      <c r="K34" s="72">
        <f t="shared" si="1"/>
        <v>1</v>
      </c>
      <c r="L34" s="95">
        <v>8.34</v>
      </c>
      <c r="M34" s="96">
        <v>8.74</v>
      </c>
      <c r="N34" s="96">
        <v>1.98</v>
      </c>
      <c r="O34" s="96">
        <v>1.89</v>
      </c>
      <c r="P34" s="96">
        <v>2.61</v>
      </c>
      <c r="Q34" s="96">
        <v>1.82</v>
      </c>
      <c r="R34" s="96">
        <v>13.06</v>
      </c>
      <c r="S34" s="96">
        <v>0.95</v>
      </c>
      <c r="T34" s="97">
        <v>1.3</v>
      </c>
      <c r="U34" s="101">
        <f t="shared" si="0"/>
        <v>9.2300584951091585E-2</v>
      </c>
    </row>
    <row r="35" spans="1:21" x14ac:dyDescent="0.2">
      <c r="A35" s="18" t="s">
        <v>33</v>
      </c>
      <c r="B35" s="21">
        <v>0.46</v>
      </c>
      <c r="C35" s="17">
        <v>0.41</v>
      </c>
      <c r="D35" s="17">
        <v>0.3</v>
      </c>
      <c r="E35" s="17">
        <v>0.72</v>
      </c>
      <c r="F35" s="17">
        <v>0.7</v>
      </c>
      <c r="G35" s="17">
        <v>0.69</v>
      </c>
      <c r="H35" s="17">
        <v>0.44</v>
      </c>
      <c r="I35" s="31">
        <v>0.42</v>
      </c>
      <c r="J35" s="45">
        <v>0.12</v>
      </c>
      <c r="K35" s="72">
        <f t="shared" si="1"/>
        <v>1</v>
      </c>
      <c r="L35" s="95">
        <v>0.46</v>
      </c>
      <c r="M35" s="96">
        <v>0.41</v>
      </c>
      <c r="N35" s="96">
        <v>0.3</v>
      </c>
      <c r="O35" s="96">
        <v>0.72</v>
      </c>
      <c r="P35" s="96">
        <v>0.7</v>
      </c>
      <c r="Q35" s="96">
        <v>0.69</v>
      </c>
      <c r="R35" s="96">
        <v>0.44</v>
      </c>
      <c r="S35" s="96">
        <v>0.42</v>
      </c>
      <c r="T35" s="97">
        <v>0.12</v>
      </c>
      <c r="U35" s="101">
        <f t="shared" si="0"/>
        <v>0.10416235520776833</v>
      </c>
    </row>
    <row r="36" spans="1:21" x14ac:dyDescent="0.2">
      <c r="A36" s="18" t="s">
        <v>34</v>
      </c>
      <c r="B36" s="21">
        <v>0.31</v>
      </c>
      <c r="C36" s="17">
        <v>0.35</v>
      </c>
      <c r="D36" s="17">
        <v>0.13</v>
      </c>
      <c r="E36" s="17">
        <v>0.27</v>
      </c>
      <c r="F36" s="17">
        <v>0.2</v>
      </c>
      <c r="G36" s="17">
        <v>0.19</v>
      </c>
      <c r="H36" s="17">
        <v>0.25</v>
      </c>
      <c r="I36" s="31">
        <v>0.15</v>
      </c>
      <c r="J36" s="45">
        <v>0.02</v>
      </c>
      <c r="K36" s="72">
        <f t="shared" si="1"/>
        <v>1</v>
      </c>
      <c r="L36" s="95">
        <v>0.31</v>
      </c>
      <c r="M36" s="96">
        <v>0.35</v>
      </c>
      <c r="N36" s="96">
        <v>0.13</v>
      </c>
      <c r="O36" s="96">
        <v>0.27</v>
      </c>
      <c r="P36" s="96">
        <v>0.2</v>
      </c>
      <c r="Q36" s="96">
        <v>0.19</v>
      </c>
      <c r="R36" s="96">
        <v>0.25</v>
      </c>
      <c r="S36" s="96">
        <v>0.15</v>
      </c>
      <c r="T36" s="97">
        <v>0.02</v>
      </c>
      <c r="U36" s="101">
        <f t="shared" si="0"/>
        <v>0.44333534525783802</v>
      </c>
    </row>
    <row r="37" spans="1:21" x14ac:dyDescent="0.2">
      <c r="A37" s="18" t="s">
        <v>35</v>
      </c>
      <c r="B37" s="21">
        <v>0.2</v>
      </c>
      <c r="C37" s="17">
        <v>0.16</v>
      </c>
      <c r="D37" s="17">
        <v>0.14000000000000001</v>
      </c>
      <c r="E37" s="17">
        <v>0.42</v>
      </c>
      <c r="F37" s="17">
        <v>0.28000000000000003</v>
      </c>
      <c r="G37" s="17">
        <v>0.25</v>
      </c>
      <c r="H37" s="17">
        <v>0.16</v>
      </c>
      <c r="I37" s="31">
        <v>0.12</v>
      </c>
      <c r="J37" s="45">
        <v>0.04</v>
      </c>
      <c r="K37" s="72">
        <f t="shared" si="1"/>
        <v>1</v>
      </c>
      <c r="L37" s="95">
        <v>0.2</v>
      </c>
      <c r="M37" s="96">
        <v>0.16</v>
      </c>
      <c r="N37" s="96">
        <v>0.14000000000000001</v>
      </c>
      <c r="O37" s="96">
        <v>0.42</v>
      </c>
      <c r="P37" s="96">
        <v>0.28000000000000003</v>
      </c>
      <c r="Q37" s="96">
        <v>0.25</v>
      </c>
      <c r="R37" s="96">
        <v>0.16</v>
      </c>
      <c r="S37" s="96">
        <v>0.12</v>
      </c>
      <c r="T37" s="97">
        <v>0.04</v>
      </c>
      <c r="U37" s="101">
        <f t="shared" si="0"/>
        <v>0.22169196891099444</v>
      </c>
    </row>
    <row r="38" spans="1:21" x14ac:dyDescent="0.2">
      <c r="A38" s="18" t="s">
        <v>36</v>
      </c>
      <c r="B38" s="21">
        <v>0.02</v>
      </c>
      <c r="C38" s="17">
        <v>0.06</v>
      </c>
      <c r="D38" s="17">
        <v>0.69</v>
      </c>
      <c r="E38" s="17">
        <v>0.72</v>
      </c>
      <c r="F38" s="17">
        <v>0.94</v>
      </c>
      <c r="G38" s="17">
        <v>0.02</v>
      </c>
      <c r="H38" s="17">
        <v>0.08</v>
      </c>
      <c r="I38" s="31">
        <v>0.08</v>
      </c>
      <c r="J38" s="45">
        <v>0.09</v>
      </c>
      <c r="K38" s="72">
        <f t="shared" si="1"/>
        <v>1</v>
      </c>
      <c r="L38" s="95">
        <v>0.02</v>
      </c>
      <c r="M38" s="96">
        <v>0.06</v>
      </c>
      <c r="N38" s="96">
        <v>0.69</v>
      </c>
      <c r="O38" s="96">
        <v>0.72</v>
      </c>
      <c r="P38" s="96">
        <v>0.94</v>
      </c>
      <c r="Q38" s="96">
        <v>0.02</v>
      </c>
      <c r="R38" s="96">
        <v>0.08</v>
      </c>
      <c r="S38" s="96">
        <v>0.08</v>
      </c>
      <c r="T38" s="97">
        <v>0.09</v>
      </c>
      <c r="U38" s="101">
        <f t="shared" si="0"/>
        <v>0.23001890568924757</v>
      </c>
    </row>
    <row r="39" spans="1:21" x14ac:dyDescent="0.2">
      <c r="A39" s="18" t="s">
        <v>37</v>
      </c>
      <c r="B39" s="21">
        <v>0.01</v>
      </c>
      <c r="C39" s="17">
        <v>0.01</v>
      </c>
      <c r="D39" s="17">
        <v>0.02</v>
      </c>
      <c r="E39" s="17">
        <v>0.02</v>
      </c>
      <c r="F39" s="17">
        <v>0.02</v>
      </c>
      <c r="G39" s="17">
        <v>0.03</v>
      </c>
      <c r="H39" s="17">
        <v>0.09</v>
      </c>
      <c r="I39" s="31">
        <v>0.02</v>
      </c>
      <c r="J39" s="45">
        <v>0.01</v>
      </c>
      <c r="K39" s="72">
        <f t="shared" si="1"/>
        <v>1</v>
      </c>
      <c r="L39" s="95">
        <v>0.01</v>
      </c>
      <c r="M39" s="96">
        <v>0.01</v>
      </c>
      <c r="N39" s="96">
        <v>0.02</v>
      </c>
      <c r="O39" s="96">
        <v>0.02</v>
      </c>
      <c r="P39" s="96">
        <v>0.02</v>
      </c>
      <c r="Q39" s="96">
        <v>0.03</v>
      </c>
      <c r="R39" s="96">
        <v>0.09</v>
      </c>
      <c r="S39" s="96">
        <v>0.02</v>
      </c>
      <c r="T39" s="97">
        <v>0.01</v>
      </c>
      <c r="U39" s="101">
        <f t="shared" si="0"/>
        <v>-0.62466500192449481</v>
      </c>
    </row>
    <row r="40" spans="1:21" x14ac:dyDescent="0.2">
      <c r="A40" s="18" t="s">
        <v>38</v>
      </c>
      <c r="B40" s="21">
        <v>1.81</v>
      </c>
      <c r="C40" s="17">
        <v>1.81</v>
      </c>
      <c r="D40" s="17">
        <v>0.52</v>
      </c>
      <c r="E40" s="17">
        <v>0.53</v>
      </c>
      <c r="F40" s="17">
        <v>0.65</v>
      </c>
      <c r="G40" s="17">
        <v>0.67</v>
      </c>
      <c r="H40" s="17">
        <v>0.66</v>
      </c>
      <c r="I40" s="31">
        <v>0.93</v>
      </c>
      <c r="J40" s="45">
        <v>0.79</v>
      </c>
      <c r="K40" s="72">
        <f t="shared" si="1"/>
        <v>1</v>
      </c>
      <c r="L40" s="95">
        <v>1.81</v>
      </c>
      <c r="M40" s="96">
        <v>1.81</v>
      </c>
      <c r="N40" s="96">
        <v>0.52</v>
      </c>
      <c r="O40" s="96">
        <v>0.53</v>
      </c>
      <c r="P40" s="96">
        <v>0.65</v>
      </c>
      <c r="Q40" s="96">
        <v>0.67</v>
      </c>
      <c r="R40" s="96">
        <v>0.66</v>
      </c>
      <c r="S40" s="96">
        <v>0.93</v>
      </c>
      <c r="T40" s="97">
        <v>0.79</v>
      </c>
      <c r="U40" s="101">
        <f t="shared" si="0"/>
        <v>0.59861219201301752</v>
      </c>
    </row>
    <row r="41" spans="1:21" x14ac:dyDescent="0.2">
      <c r="A41" s="18" t="s">
        <v>39</v>
      </c>
      <c r="B41" s="21">
        <v>0.03</v>
      </c>
      <c r="C41" s="17">
        <v>0.06</v>
      </c>
      <c r="D41" s="17">
        <v>0.05</v>
      </c>
      <c r="E41" s="17">
        <v>0.08</v>
      </c>
      <c r="F41" s="17">
        <v>7.0000000000000007E-2</v>
      </c>
      <c r="G41" s="17">
        <v>0.04</v>
      </c>
      <c r="H41" s="17">
        <v>1.29</v>
      </c>
      <c r="I41" s="31"/>
      <c r="J41" s="45"/>
      <c r="K41" s="72">
        <f t="shared" si="1"/>
        <v>1.0384615384615385</v>
      </c>
      <c r="L41" s="95">
        <v>0.03</v>
      </c>
      <c r="M41" s="96">
        <v>0.04</v>
      </c>
      <c r="N41" s="96">
        <v>0.03</v>
      </c>
      <c r="O41" s="96">
        <v>0.08</v>
      </c>
      <c r="P41" s="96">
        <v>0.06</v>
      </c>
      <c r="Q41" s="96">
        <v>0.03</v>
      </c>
      <c r="R41" s="96">
        <v>1.29</v>
      </c>
      <c r="S41" s="96"/>
      <c r="T41" s="97"/>
      <c r="U41" s="101">
        <f t="shared" si="0"/>
        <v>-0.74113306784411548</v>
      </c>
    </row>
    <row r="42" spans="1:21" x14ac:dyDescent="0.2">
      <c r="A42" s="18" t="s">
        <v>40</v>
      </c>
      <c r="B42" s="21"/>
      <c r="C42" s="17"/>
      <c r="D42" s="17"/>
      <c r="E42" s="17"/>
      <c r="F42" s="17"/>
      <c r="G42" s="17"/>
      <c r="H42" s="17"/>
      <c r="I42" s="31"/>
      <c r="J42" s="45"/>
      <c r="K42" s="72"/>
      <c r="L42" s="95"/>
      <c r="M42" s="96"/>
      <c r="N42" s="96"/>
      <c r="O42" s="96"/>
      <c r="P42" s="96"/>
      <c r="Q42" s="96"/>
      <c r="R42" s="96"/>
      <c r="S42" s="96"/>
      <c r="T42" s="97"/>
      <c r="U42" s="101"/>
    </row>
    <row r="43" spans="1:21" x14ac:dyDescent="0.2">
      <c r="A43" s="18" t="s">
        <v>41</v>
      </c>
      <c r="B43" s="22"/>
      <c r="C43" s="23"/>
      <c r="D43" s="23"/>
      <c r="E43" s="23"/>
      <c r="F43" s="23"/>
      <c r="G43" s="23"/>
      <c r="H43" s="23"/>
      <c r="I43" s="33"/>
      <c r="J43" s="46"/>
      <c r="K43" s="72"/>
      <c r="L43" s="98"/>
      <c r="M43" s="99"/>
      <c r="N43" s="99"/>
      <c r="O43" s="99"/>
      <c r="P43" s="99"/>
      <c r="Q43" s="99"/>
      <c r="R43" s="99"/>
      <c r="S43" s="99"/>
      <c r="T43" s="100"/>
      <c r="U43" s="101"/>
    </row>
    <row r="44" spans="1:21" x14ac:dyDescent="0.2">
      <c r="A44" s="47" t="s">
        <v>191</v>
      </c>
      <c r="B44" s="81"/>
      <c r="C44" s="48"/>
      <c r="D44" s="48"/>
      <c r="E44" s="48"/>
      <c r="F44" s="48"/>
      <c r="G44" s="48"/>
      <c r="H44" s="48"/>
      <c r="I44" s="48"/>
      <c r="J44" s="49"/>
      <c r="K44" s="50"/>
      <c r="L44" s="89">
        <v>2.66</v>
      </c>
      <c r="M44" s="90">
        <v>2.5299999999999998</v>
      </c>
      <c r="N44" s="90">
        <v>1.98</v>
      </c>
      <c r="O44" s="90">
        <v>1.94</v>
      </c>
      <c r="P44" s="90">
        <v>2.34</v>
      </c>
      <c r="Q44" s="90">
        <v>1.68</v>
      </c>
      <c r="R44" s="90">
        <v>1.18</v>
      </c>
      <c r="S44" s="90">
        <v>1.17</v>
      </c>
      <c r="T44" s="91">
        <v>1.82</v>
      </c>
      <c r="U44" s="102"/>
    </row>
    <row r="45" spans="1:21" x14ac:dyDescent="0.2">
      <c r="A45" s="82" t="s">
        <v>195</v>
      </c>
      <c r="B45" s="66"/>
      <c r="C45" s="66"/>
      <c r="D45" s="66"/>
      <c r="E45" s="66"/>
      <c r="F45" s="66"/>
      <c r="G45" s="66"/>
      <c r="H45" s="66"/>
      <c r="I45" s="66"/>
      <c r="J45" s="66"/>
      <c r="L45" s="42"/>
      <c r="M45" s="42"/>
      <c r="N45" s="42"/>
      <c r="O45" s="42"/>
      <c r="P45" s="42"/>
      <c r="Q45" s="42"/>
      <c r="R45" s="42"/>
      <c r="S45" s="42"/>
      <c r="T45" s="42"/>
    </row>
    <row r="46" spans="1:21" x14ac:dyDescent="0.2">
      <c r="A46" s="1" t="s">
        <v>72</v>
      </c>
      <c r="B46" s="4">
        <v>2012</v>
      </c>
      <c r="C46" s="4">
        <v>2013</v>
      </c>
      <c r="D46" s="4">
        <v>2014</v>
      </c>
      <c r="E46" s="4">
        <v>2015</v>
      </c>
      <c r="F46" s="4">
        <v>2016</v>
      </c>
      <c r="G46" s="4">
        <v>2017</v>
      </c>
      <c r="H46" s="4">
        <v>2018</v>
      </c>
      <c r="I46" s="34">
        <v>2019</v>
      </c>
      <c r="J46" s="35">
        <v>2020</v>
      </c>
      <c r="K46" s="31"/>
    </row>
    <row r="47" spans="1:21" x14ac:dyDescent="0.2">
      <c r="A47" s="27" t="s">
        <v>140</v>
      </c>
      <c r="B47" s="36">
        <v>1959.1</v>
      </c>
      <c r="C47" s="36">
        <v>2189.1</v>
      </c>
      <c r="D47" s="36">
        <v>2336.4</v>
      </c>
      <c r="E47" s="36">
        <v>2732.6</v>
      </c>
      <c r="F47" s="36">
        <v>3020.7</v>
      </c>
      <c r="G47" s="36">
        <v>3332.8</v>
      </c>
      <c r="H47" s="36">
        <v>3714.3</v>
      </c>
      <c r="I47" s="31">
        <v>4002.8</v>
      </c>
      <c r="J47" s="31">
        <v>3412.4</v>
      </c>
      <c r="K47" s="31"/>
    </row>
    <row r="48" spans="1:21" x14ac:dyDescent="0.2">
      <c r="A48" s="28" t="s">
        <v>141</v>
      </c>
      <c r="B48" s="3">
        <v>2164</v>
      </c>
      <c r="C48" s="3">
        <v>2523.9</v>
      </c>
      <c r="D48" s="3">
        <v>3081</v>
      </c>
      <c r="E48" s="3">
        <v>3658.6</v>
      </c>
      <c r="F48" s="3">
        <v>3983.9</v>
      </c>
      <c r="G48" s="3">
        <v>4230.8999999999996</v>
      </c>
      <c r="H48" s="3">
        <v>4770.3</v>
      </c>
      <c r="I48" s="31">
        <v>5322.6</v>
      </c>
      <c r="J48" s="31">
        <v>4129.3999999999996</v>
      </c>
      <c r="K48" s="31"/>
    </row>
    <row r="49" spans="1:11" x14ac:dyDescent="0.2">
      <c r="A49" s="28" t="s">
        <v>120</v>
      </c>
      <c r="B49" s="3">
        <v>877.3</v>
      </c>
      <c r="C49" s="3">
        <v>945.2</v>
      </c>
      <c r="D49" s="3">
        <v>721</v>
      </c>
      <c r="E49" s="3">
        <v>716.4</v>
      </c>
      <c r="F49" s="3">
        <v>776.7</v>
      </c>
      <c r="G49" s="3">
        <v>852.3</v>
      </c>
      <c r="H49" s="3">
        <v>942.3</v>
      </c>
      <c r="I49" s="31">
        <v>930</v>
      </c>
      <c r="J49" s="31">
        <v>514</v>
      </c>
      <c r="K49" s="31"/>
    </row>
    <row r="50" spans="1:11" x14ac:dyDescent="0.2">
      <c r="A50" s="28" t="s">
        <v>121</v>
      </c>
      <c r="B50" s="3">
        <v>1085.9000000000001</v>
      </c>
      <c r="C50" s="3">
        <v>1280.5999999999999</v>
      </c>
      <c r="D50" s="3">
        <v>1455.8</v>
      </c>
      <c r="E50" s="3">
        <v>1626.6</v>
      </c>
      <c r="F50" s="3">
        <v>1721.7</v>
      </c>
      <c r="G50" s="3">
        <v>1765.2</v>
      </c>
      <c r="H50" s="3">
        <v>1947</v>
      </c>
      <c r="I50" s="31">
        <v>2239.8000000000002</v>
      </c>
      <c r="J50" s="31">
        <v>1226.3</v>
      </c>
      <c r="K50" s="31"/>
    </row>
    <row r="51" spans="1:11" x14ac:dyDescent="0.2">
      <c r="A51" s="28" t="s">
        <v>122</v>
      </c>
      <c r="B51" s="3">
        <v>3.7</v>
      </c>
      <c r="C51" s="3">
        <v>0.6</v>
      </c>
      <c r="D51" s="3">
        <v>-9.6999999999999993</v>
      </c>
      <c r="E51" s="3">
        <v>-15.8</v>
      </c>
      <c r="F51" s="3">
        <v>-18.2</v>
      </c>
      <c r="G51" s="3">
        <v>14.8</v>
      </c>
      <c r="H51" s="3">
        <v>-51.3</v>
      </c>
      <c r="I51" s="31">
        <v>-10</v>
      </c>
      <c r="J51" s="31">
        <v>-4.8</v>
      </c>
      <c r="K51" s="31"/>
    </row>
    <row r="52" spans="1:11" x14ac:dyDescent="0.2">
      <c r="A52" s="29" t="s">
        <v>142</v>
      </c>
      <c r="B52" s="3">
        <v>1956.6</v>
      </c>
      <c r="C52" s="3">
        <v>2164.1</v>
      </c>
      <c r="D52" s="3">
        <v>2335.4</v>
      </c>
      <c r="E52" s="3">
        <v>2663.7</v>
      </c>
      <c r="F52" s="3">
        <v>2970.7</v>
      </c>
      <c r="G52" s="3">
        <v>3326.4</v>
      </c>
      <c r="H52" s="3">
        <v>3653.5</v>
      </c>
      <c r="I52" s="31">
        <v>3950.2</v>
      </c>
      <c r="J52" s="31">
        <v>3352.1</v>
      </c>
      <c r="K52" s="32"/>
    </row>
    <row r="53" spans="1:11" x14ac:dyDescent="0.2">
      <c r="A53" s="28" t="s">
        <v>143</v>
      </c>
      <c r="B53" s="2"/>
      <c r="C53" s="2"/>
      <c r="D53" s="2"/>
      <c r="E53" s="2"/>
      <c r="F53" s="2"/>
      <c r="G53" s="2"/>
      <c r="H53" s="2"/>
      <c r="I53" s="32"/>
      <c r="J53" s="32"/>
      <c r="K53" s="31"/>
    </row>
    <row r="54" spans="1:11" x14ac:dyDescent="0.2">
      <c r="A54" s="28" t="s">
        <v>170</v>
      </c>
      <c r="B54" s="3">
        <v>1.2</v>
      </c>
      <c r="C54" s="3">
        <v>1.2</v>
      </c>
      <c r="D54" s="3">
        <v>0.8</v>
      </c>
      <c r="E54" s="3">
        <v>1.1000000000000001</v>
      </c>
      <c r="F54" s="3">
        <v>2.2000000000000002</v>
      </c>
      <c r="G54" s="3">
        <v>1.5</v>
      </c>
      <c r="H54" s="3">
        <v>4.9000000000000004</v>
      </c>
      <c r="I54" s="31">
        <v>11</v>
      </c>
      <c r="J54" s="31">
        <v>11</v>
      </c>
      <c r="K54" s="31"/>
    </row>
    <row r="55" spans="1:11" x14ac:dyDescent="0.2">
      <c r="A55" s="28" t="s">
        <v>171</v>
      </c>
      <c r="B55" s="3">
        <v>32</v>
      </c>
      <c r="C55" s="3">
        <v>27.4</v>
      </c>
      <c r="D55" s="3">
        <v>17.399999999999999</v>
      </c>
      <c r="E55" s="3">
        <v>21.2</v>
      </c>
      <c r="F55" s="3">
        <v>20</v>
      </c>
      <c r="G55" s="3">
        <v>14.5</v>
      </c>
      <c r="H55" s="3">
        <v>24.9</v>
      </c>
      <c r="I55" s="31">
        <v>11</v>
      </c>
      <c r="J55" s="31">
        <v>9.4</v>
      </c>
      <c r="K55" s="31"/>
    </row>
    <row r="56" spans="1:11" x14ac:dyDescent="0.2">
      <c r="A56" s="28" t="s">
        <v>172</v>
      </c>
      <c r="B56" s="3">
        <v>7.9</v>
      </c>
      <c r="C56" s="3">
        <v>11.4</v>
      </c>
      <c r="D56" s="3">
        <v>10.4</v>
      </c>
      <c r="E56" s="3">
        <v>12.5</v>
      </c>
      <c r="F56" s="3">
        <v>10</v>
      </c>
      <c r="G56" s="3">
        <v>9.6999999999999993</v>
      </c>
      <c r="H56" s="3">
        <v>17.3</v>
      </c>
      <c r="I56" s="31">
        <v>16</v>
      </c>
      <c r="J56" s="31">
        <v>10.8</v>
      </c>
      <c r="K56" s="31"/>
    </row>
    <row r="57" spans="1:11" x14ac:dyDescent="0.2">
      <c r="A57" s="28" t="s">
        <v>173</v>
      </c>
      <c r="B57" s="3">
        <v>1787.1</v>
      </c>
      <c r="C57" s="3">
        <v>1998.2</v>
      </c>
      <c r="D57" s="3">
        <v>2216</v>
      </c>
      <c r="E57" s="3">
        <v>2504.9</v>
      </c>
      <c r="F57" s="3">
        <v>2814.9</v>
      </c>
      <c r="G57" s="3">
        <v>3173.3</v>
      </c>
      <c r="H57" s="3">
        <v>3462.5</v>
      </c>
      <c r="I57" s="31">
        <v>3689.2</v>
      </c>
      <c r="J57" s="31">
        <v>3110.8</v>
      </c>
      <c r="K57" s="31"/>
    </row>
    <row r="58" spans="1:11" x14ac:dyDescent="0.2">
      <c r="A58" s="28" t="s">
        <v>174</v>
      </c>
      <c r="B58" s="3">
        <v>28.6</v>
      </c>
      <c r="C58" s="3">
        <v>13.4</v>
      </c>
      <c r="D58" s="3">
        <v>11.3</v>
      </c>
      <c r="E58" s="3">
        <v>11.7</v>
      </c>
      <c r="F58" s="3">
        <v>11.2</v>
      </c>
      <c r="G58" s="3">
        <v>11.3</v>
      </c>
      <c r="H58" s="3">
        <v>15.5</v>
      </c>
      <c r="I58" s="31">
        <v>15.5</v>
      </c>
      <c r="J58" s="31">
        <v>14.8</v>
      </c>
      <c r="K58" s="31"/>
    </row>
    <row r="59" spans="1:11" x14ac:dyDescent="0.2">
      <c r="A59" s="28" t="s">
        <v>175</v>
      </c>
      <c r="B59" s="3">
        <v>74.2</v>
      </c>
      <c r="C59" s="3">
        <v>84.6</v>
      </c>
      <c r="D59" s="3">
        <v>50.7</v>
      </c>
      <c r="E59" s="3">
        <v>83.3</v>
      </c>
      <c r="F59" s="3">
        <v>85.9</v>
      </c>
      <c r="G59" s="3">
        <v>88.4</v>
      </c>
      <c r="H59" s="3">
        <v>103.8</v>
      </c>
      <c r="I59" s="31">
        <v>184.2</v>
      </c>
      <c r="J59" s="31">
        <v>183</v>
      </c>
      <c r="K59" s="31"/>
    </row>
    <row r="60" spans="1:11" x14ac:dyDescent="0.2">
      <c r="A60" s="28" t="s">
        <v>176</v>
      </c>
      <c r="B60" s="3">
        <v>25.6</v>
      </c>
      <c r="C60" s="3">
        <v>27.9</v>
      </c>
      <c r="D60" s="3">
        <v>28.9</v>
      </c>
      <c r="E60" s="3">
        <v>29.1</v>
      </c>
      <c r="F60" s="3">
        <v>26.4</v>
      </c>
      <c r="G60" s="3">
        <v>27.6</v>
      </c>
      <c r="H60" s="3">
        <v>24.6</v>
      </c>
      <c r="I60" s="31">
        <v>23.4</v>
      </c>
      <c r="J60" s="31">
        <v>12.4</v>
      </c>
      <c r="K60" s="31"/>
    </row>
    <row r="61" spans="1:11" x14ac:dyDescent="0.2">
      <c r="A61" s="30" t="s">
        <v>139</v>
      </c>
      <c r="B61" s="37">
        <v>2.4</v>
      </c>
      <c r="C61" s="37">
        <v>25</v>
      </c>
      <c r="D61" s="37">
        <v>1</v>
      </c>
      <c r="E61" s="37">
        <v>68.900000000000006</v>
      </c>
      <c r="F61" s="37">
        <v>50</v>
      </c>
      <c r="G61" s="37">
        <v>6.4</v>
      </c>
      <c r="H61" s="37">
        <v>60.8</v>
      </c>
      <c r="I61" s="33">
        <v>52.6</v>
      </c>
      <c r="J61" s="33">
        <v>60.3</v>
      </c>
    </row>
  </sheetData>
  <autoFilter ref="L2:U2" xr:uid="{EE8589EB-74E9-4C89-B1ED-59871A2A7D14}"/>
  <mergeCells count="2">
    <mergeCell ref="B1:J1"/>
    <mergeCell ref="L1:T1"/>
  </mergeCells>
  <phoneticPr fontId="3" type="noConversion"/>
  <conditionalFormatting sqref="K3:K43">
    <cfRule type="cellIs" dxfId="8"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CA7B2-FB2C-4C25-9D6F-FA0C42C5DF86}">
  <sheetPr codeName="Sheet9"/>
  <dimension ref="A1:U61"/>
  <sheetViews>
    <sheetView zoomScale="85" zoomScaleNormal="85" workbookViewId="0">
      <selection activeCell="U1" sqref="U1:U1048576"/>
    </sheetView>
  </sheetViews>
  <sheetFormatPr defaultRowHeight="14.25" x14ac:dyDescent="0.2"/>
  <cols>
    <col min="1" max="1" width="36.625" bestFit="1" customWidth="1"/>
    <col min="2" max="21" width="10" customWidth="1"/>
    <col min="250" max="250" width="28" customWidth="1"/>
    <col min="251" max="251" width="76" customWidth="1"/>
    <col min="252" max="260" width="15" customWidth="1"/>
    <col min="261" max="265" width="16" customWidth="1"/>
    <col min="506" max="506" width="28" customWidth="1"/>
    <col min="507" max="507" width="76" customWidth="1"/>
    <col min="508" max="516" width="15" customWidth="1"/>
    <col min="517" max="521" width="16" customWidth="1"/>
    <col min="762" max="762" width="28" customWidth="1"/>
    <col min="763" max="763" width="76" customWidth="1"/>
    <col min="764" max="772" width="15" customWidth="1"/>
    <col min="773" max="777" width="16" customWidth="1"/>
    <col min="1018" max="1018" width="28" customWidth="1"/>
    <col min="1019" max="1019" width="76" customWidth="1"/>
    <col min="1020" max="1028" width="15" customWidth="1"/>
    <col min="1029" max="1033" width="16" customWidth="1"/>
    <col min="1274" max="1274" width="28" customWidth="1"/>
    <col min="1275" max="1275" width="76" customWidth="1"/>
    <col min="1276" max="1284" width="15" customWidth="1"/>
    <col min="1285" max="1289" width="16" customWidth="1"/>
    <col min="1530" max="1530" width="28" customWidth="1"/>
    <col min="1531" max="1531" width="76" customWidth="1"/>
    <col min="1532" max="1540" width="15" customWidth="1"/>
    <col min="1541" max="1545" width="16" customWidth="1"/>
    <col min="1786" max="1786" width="28" customWidth="1"/>
    <col min="1787" max="1787" width="76" customWidth="1"/>
    <col min="1788" max="1796" width="15" customWidth="1"/>
    <col min="1797" max="1801" width="16" customWidth="1"/>
    <col min="2042" max="2042" width="28" customWidth="1"/>
    <col min="2043" max="2043" width="76" customWidth="1"/>
    <col min="2044" max="2052" width="15" customWidth="1"/>
    <col min="2053" max="2057" width="16" customWidth="1"/>
    <col min="2298" max="2298" width="28" customWidth="1"/>
    <col min="2299" max="2299" width="76" customWidth="1"/>
    <col min="2300" max="2308" width="15" customWidth="1"/>
    <col min="2309" max="2313" width="16" customWidth="1"/>
    <col min="2554" max="2554" width="28" customWidth="1"/>
    <col min="2555" max="2555" width="76" customWidth="1"/>
    <col min="2556" max="2564" width="15" customWidth="1"/>
    <col min="2565" max="2569" width="16" customWidth="1"/>
    <col min="2810" max="2810" width="28" customWidth="1"/>
    <col min="2811" max="2811" width="76" customWidth="1"/>
    <col min="2812" max="2820" width="15" customWidth="1"/>
    <col min="2821" max="2825" width="16" customWidth="1"/>
    <col min="3066" max="3066" width="28" customWidth="1"/>
    <col min="3067" max="3067" width="76" customWidth="1"/>
    <col min="3068" max="3076" width="15" customWidth="1"/>
    <col min="3077" max="3081" width="16" customWidth="1"/>
    <col min="3322" max="3322" width="28" customWidth="1"/>
    <col min="3323" max="3323" width="76" customWidth="1"/>
    <col min="3324" max="3332" width="15" customWidth="1"/>
    <col min="3333" max="3337" width="16" customWidth="1"/>
    <col min="3578" max="3578" width="28" customWidth="1"/>
    <col min="3579" max="3579" width="76" customWidth="1"/>
    <col min="3580" max="3588" width="15" customWidth="1"/>
    <col min="3589" max="3593" width="16" customWidth="1"/>
    <col min="3834" max="3834" width="28" customWidth="1"/>
    <col min="3835" max="3835" width="76" customWidth="1"/>
    <col min="3836" max="3844" width="15" customWidth="1"/>
    <col min="3845" max="3849" width="16" customWidth="1"/>
    <col min="4090" max="4090" width="28" customWidth="1"/>
    <col min="4091" max="4091" width="76" customWidth="1"/>
    <col min="4092" max="4100" width="15" customWidth="1"/>
    <col min="4101" max="4105" width="16" customWidth="1"/>
    <col min="4346" max="4346" width="28" customWidth="1"/>
    <col min="4347" max="4347" width="76" customWidth="1"/>
    <col min="4348" max="4356" width="15" customWidth="1"/>
    <col min="4357" max="4361" width="16" customWidth="1"/>
    <col min="4602" max="4602" width="28" customWidth="1"/>
    <col min="4603" max="4603" width="76" customWidth="1"/>
    <col min="4604" max="4612" width="15" customWidth="1"/>
    <col min="4613" max="4617" width="16" customWidth="1"/>
    <col min="4858" max="4858" width="28" customWidth="1"/>
    <col min="4859" max="4859" width="76" customWidth="1"/>
    <col min="4860" max="4868" width="15" customWidth="1"/>
    <col min="4869" max="4873" width="16" customWidth="1"/>
    <col min="5114" max="5114" width="28" customWidth="1"/>
    <col min="5115" max="5115" width="76" customWidth="1"/>
    <col min="5116" max="5124" width="15" customWidth="1"/>
    <col min="5125" max="5129" width="16" customWidth="1"/>
    <col min="5370" max="5370" width="28" customWidth="1"/>
    <col min="5371" max="5371" width="76" customWidth="1"/>
    <col min="5372" max="5380" width="15" customWidth="1"/>
    <col min="5381" max="5385" width="16" customWidth="1"/>
    <col min="5626" max="5626" width="28" customWidth="1"/>
    <col min="5627" max="5627" width="76" customWidth="1"/>
    <col min="5628" max="5636" width="15" customWidth="1"/>
    <col min="5637" max="5641" width="16" customWidth="1"/>
    <col min="5882" max="5882" width="28" customWidth="1"/>
    <col min="5883" max="5883" width="76" customWidth="1"/>
    <col min="5884" max="5892" width="15" customWidth="1"/>
    <col min="5893" max="5897" width="16" customWidth="1"/>
    <col min="6138" max="6138" width="28" customWidth="1"/>
    <col min="6139" max="6139" width="76" customWidth="1"/>
    <col min="6140" max="6148" width="15" customWidth="1"/>
    <col min="6149" max="6153" width="16" customWidth="1"/>
    <col min="6394" max="6394" width="28" customWidth="1"/>
    <col min="6395" max="6395" width="76" customWidth="1"/>
    <col min="6396" max="6404" width="15" customWidth="1"/>
    <col min="6405" max="6409" width="16" customWidth="1"/>
    <col min="6650" max="6650" width="28" customWidth="1"/>
    <col min="6651" max="6651" width="76" customWidth="1"/>
    <col min="6652" max="6660" width="15" customWidth="1"/>
    <col min="6661" max="6665" width="16" customWidth="1"/>
    <col min="6906" max="6906" width="28" customWidth="1"/>
    <col min="6907" max="6907" width="76" customWidth="1"/>
    <col min="6908" max="6916" width="15" customWidth="1"/>
    <col min="6917" max="6921" width="16" customWidth="1"/>
    <col min="7162" max="7162" width="28" customWidth="1"/>
    <col min="7163" max="7163" width="76" customWidth="1"/>
    <col min="7164" max="7172" width="15" customWidth="1"/>
    <col min="7173" max="7177" width="16" customWidth="1"/>
    <col min="7418" max="7418" width="28" customWidth="1"/>
    <col min="7419" max="7419" width="76" customWidth="1"/>
    <col min="7420" max="7428" width="15" customWidth="1"/>
    <col min="7429" max="7433" width="16" customWidth="1"/>
    <col min="7674" max="7674" width="28" customWidth="1"/>
    <col min="7675" max="7675" width="76" customWidth="1"/>
    <col min="7676" max="7684" width="15" customWidth="1"/>
    <col min="7685" max="7689" width="16" customWidth="1"/>
    <col min="7930" max="7930" width="28" customWidth="1"/>
    <col min="7931" max="7931" width="76" customWidth="1"/>
    <col min="7932" max="7940" width="15" customWidth="1"/>
    <col min="7941" max="7945" width="16" customWidth="1"/>
    <col min="8186" max="8186" width="28" customWidth="1"/>
    <col min="8187" max="8187" width="76" customWidth="1"/>
    <col min="8188" max="8196" width="15" customWidth="1"/>
    <col min="8197" max="8201" width="16" customWidth="1"/>
    <col min="8442" max="8442" width="28" customWidth="1"/>
    <col min="8443" max="8443" width="76" customWidth="1"/>
    <col min="8444" max="8452" width="15" customWidth="1"/>
    <col min="8453" max="8457" width="16" customWidth="1"/>
    <col min="8698" max="8698" width="28" customWidth="1"/>
    <col min="8699" max="8699" width="76" customWidth="1"/>
    <col min="8700" max="8708" width="15" customWidth="1"/>
    <col min="8709" max="8713" width="16" customWidth="1"/>
    <col min="8954" max="8954" width="28" customWidth="1"/>
    <col min="8955" max="8955" width="76" customWidth="1"/>
    <col min="8956" max="8964" width="15" customWidth="1"/>
    <col min="8965" max="8969" width="16" customWidth="1"/>
    <col min="9210" max="9210" width="28" customWidth="1"/>
    <col min="9211" max="9211" width="76" customWidth="1"/>
    <col min="9212" max="9220" width="15" customWidth="1"/>
    <col min="9221" max="9225" width="16" customWidth="1"/>
    <col min="9466" max="9466" width="28" customWidth="1"/>
    <col min="9467" max="9467" width="76" customWidth="1"/>
    <col min="9468" max="9476" width="15" customWidth="1"/>
    <col min="9477" max="9481" width="16" customWidth="1"/>
    <col min="9722" max="9722" width="28" customWidth="1"/>
    <col min="9723" max="9723" width="76" customWidth="1"/>
    <col min="9724" max="9732" width="15" customWidth="1"/>
    <col min="9733" max="9737" width="16" customWidth="1"/>
    <col min="9978" max="9978" width="28" customWidth="1"/>
    <col min="9979" max="9979" width="76" customWidth="1"/>
    <col min="9980" max="9988" width="15" customWidth="1"/>
    <col min="9989" max="9993" width="16" customWidth="1"/>
    <col min="10234" max="10234" width="28" customWidth="1"/>
    <col min="10235" max="10235" width="76" customWidth="1"/>
    <col min="10236" max="10244" width="15" customWidth="1"/>
    <col min="10245" max="10249" width="16" customWidth="1"/>
    <col min="10490" max="10490" width="28" customWidth="1"/>
    <col min="10491" max="10491" width="76" customWidth="1"/>
    <col min="10492" max="10500" width="15" customWidth="1"/>
    <col min="10501" max="10505" width="16" customWidth="1"/>
    <col min="10746" max="10746" width="28" customWidth="1"/>
    <col min="10747" max="10747" width="76" customWidth="1"/>
    <col min="10748" max="10756" width="15" customWidth="1"/>
    <col min="10757" max="10761" width="16" customWidth="1"/>
    <col min="11002" max="11002" width="28" customWidth="1"/>
    <col min="11003" max="11003" width="76" customWidth="1"/>
    <col min="11004" max="11012" width="15" customWidth="1"/>
    <col min="11013" max="11017" width="16" customWidth="1"/>
    <col min="11258" max="11258" width="28" customWidth="1"/>
    <col min="11259" max="11259" width="76" customWidth="1"/>
    <col min="11260" max="11268" width="15" customWidth="1"/>
    <col min="11269" max="11273" width="16" customWidth="1"/>
    <col min="11514" max="11514" width="28" customWidth="1"/>
    <col min="11515" max="11515" width="76" customWidth="1"/>
    <col min="11516" max="11524" width="15" customWidth="1"/>
    <col min="11525" max="11529" width="16" customWidth="1"/>
    <col min="11770" max="11770" width="28" customWidth="1"/>
    <col min="11771" max="11771" width="76" customWidth="1"/>
    <col min="11772" max="11780" width="15" customWidth="1"/>
    <col min="11781" max="11785" width="16" customWidth="1"/>
    <col min="12026" max="12026" width="28" customWidth="1"/>
    <col min="12027" max="12027" width="76" customWidth="1"/>
    <col min="12028" max="12036" width="15" customWidth="1"/>
    <col min="12037" max="12041" width="16" customWidth="1"/>
    <col min="12282" max="12282" width="28" customWidth="1"/>
    <col min="12283" max="12283" width="76" customWidth="1"/>
    <col min="12284" max="12292" width="15" customWidth="1"/>
    <col min="12293" max="12297" width="16" customWidth="1"/>
    <col min="12538" max="12538" width="28" customWidth="1"/>
    <col min="12539" max="12539" width="76" customWidth="1"/>
    <col min="12540" max="12548" width="15" customWidth="1"/>
    <col min="12549" max="12553" width="16" customWidth="1"/>
    <col min="12794" max="12794" width="28" customWidth="1"/>
    <col min="12795" max="12795" width="76" customWidth="1"/>
    <col min="12796" max="12804" width="15" customWidth="1"/>
    <col min="12805" max="12809" width="16" customWidth="1"/>
    <col min="13050" max="13050" width="28" customWidth="1"/>
    <col min="13051" max="13051" width="76" customWidth="1"/>
    <col min="13052" max="13060" width="15" customWidth="1"/>
    <col min="13061" max="13065" width="16" customWidth="1"/>
    <col min="13306" max="13306" width="28" customWidth="1"/>
    <col min="13307" max="13307" width="76" customWidth="1"/>
    <col min="13308" max="13316" width="15" customWidth="1"/>
    <col min="13317" max="13321" width="16" customWidth="1"/>
    <col min="13562" max="13562" width="28" customWidth="1"/>
    <col min="13563" max="13563" width="76" customWidth="1"/>
    <col min="13564" max="13572" width="15" customWidth="1"/>
    <col min="13573" max="13577" width="16" customWidth="1"/>
    <col min="13818" max="13818" width="28" customWidth="1"/>
    <col min="13819" max="13819" width="76" customWidth="1"/>
    <col min="13820" max="13828" width="15" customWidth="1"/>
    <col min="13829" max="13833" width="16" customWidth="1"/>
    <col min="14074" max="14074" width="28" customWidth="1"/>
    <col min="14075" max="14075" width="76" customWidth="1"/>
    <col min="14076" max="14084" width="15" customWidth="1"/>
    <col min="14085" max="14089" width="16" customWidth="1"/>
    <col min="14330" max="14330" width="28" customWidth="1"/>
    <col min="14331" max="14331" width="76" customWidth="1"/>
    <col min="14332" max="14340" width="15" customWidth="1"/>
    <col min="14341" max="14345" width="16" customWidth="1"/>
    <col min="14586" max="14586" width="28" customWidth="1"/>
    <col min="14587" max="14587" width="76" customWidth="1"/>
    <col min="14588" max="14596" width="15" customWidth="1"/>
    <col min="14597" max="14601" width="16" customWidth="1"/>
    <col min="14842" max="14842" width="28" customWidth="1"/>
    <col min="14843" max="14843" width="76" customWidth="1"/>
    <col min="14844" max="14852" width="15" customWidth="1"/>
    <col min="14853" max="14857" width="16" customWidth="1"/>
    <col min="15098" max="15098" width="28" customWidth="1"/>
    <col min="15099" max="15099" width="76" customWidth="1"/>
    <col min="15100" max="15108" width="15" customWidth="1"/>
    <col min="15109" max="15113" width="16" customWidth="1"/>
    <col min="15354" max="15354" width="28" customWidth="1"/>
    <col min="15355" max="15355" width="76" customWidth="1"/>
    <col min="15356" max="15364" width="15" customWidth="1"/>
    <col min="15365" max="15369" width="16" customWidth="1"/>
    <col min="15610" max="15610" width="28" customWidth="1"/>
    <col min="15611" max="15611" width="76" customWidth="1"/>
    <col min="15612" max="15620" width="15" customWidth="1"/>
    <col min="15621" max="15625" width="16" customWidth="1"/>
    <col min="15866" max="15866" width="28" customWidth="1"/>
    <col min="15867" max="15867" width="76" customWidth="1"/>
    <col min="15868" max="15876" width="15" customWidth="1"/>
    <col min="15877" max="15881" width="16" customWidth="1"/>
    <col min="16122" max="16122" width="28" customWidth="1"/>
    <col min="16123" max="16123" width="76" customWidth="1"/>
    <col min="16124" max="16132" width="15" customWidth="1"/>
    <col min="16133" max="16137" width="16"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16.329999999999998</v>
      </c>
      <c r="C3" s="26">
        <v>14.41</v>
      </c>
      <c r="D3" s="26">
        <v>12.49</v>
      </c>
      <c r="E3" s="26">
        <v>10.64</v>
      </c>
      <c r="F3" s="26">
        <v>8.8800000000000008</v>
      </c>
      <c r="G3" s="26">
        <v>7.22</v>
      </c>
      <c r="H3" s="26">
        <v>6.15</v>
      </c>
      <c r="I3" s="43">
        <v>4.95</v>
      </c>
      <c r="J3" s="44">
        <v>3.22</v>
      </c>
      <c r="K3" s="72">
        <f>SUM(B3:J3)/SUM(L3:T3)</f>
        <v>1</v>
      </c>
      <c r="L3" s="92">
        <v>16.329999999999998</v>
      </c>
      <c r="M3" s="93">
        <v>14.41</v>
      </c>
      <c r="N3" s="93">
        <v>12.49</v>
      </c>
      <c r="O3" s="93">
        <v>10.64</v>
      </c>
      <c r="P3" s="93">
        <v>8.8800000000000008</v>
      </c>
      <c r="Q3" s="93">
        <v>7.22</v>
      </c>
      <c r="R3" s="93">
        <v>6.15</v>
      </c>
      <c r="S3" s="93">
        <v>4.95</v>
      </c>
      <c r="T3" s="94">
        <v>3.22</v>
      </c>
      <c r="U3" s="101">
        <f t="shared" ref="U3:U41" si="0">CORREL(L$44:T$44,L3:T3)</f>
        <v>0.53603450121203633</v>
      </c>
    </row>
    <row r="4" spans="1:21" x14ac:dyDescent="0.2">
      <c r="A4" s="18" t="s">
        <v>3</v>
      </c>
      <c r="B4" s="21">
        <v>14.24</v>
      </c>
      <c r="C4" s="17">
        <v>13.92</v>
      </c>
      <c r="D4" s="17">
        <v>12.67</v>
      </c>
      <c r="E4" s="17">
        <v>11.29</v>
      </c>
      <c r="F4" s="17">
        <v>9.91</v>
      </c>
      <c r="G4" s="17">
        <v>8.9</v>
      </c>
      <c r="H4" s="17">
        <v>7.77</v>
      </c>
      <c r="I4" s="31">
        <v>6.99</v>
      </c>
      <c r="J4" s="45">
        <v>5.65</v>
      </c>
      <c r="K4" s="72">
        <f t="shared" ref="K4:K43" si="1">SUM(B4:J4)/SUM(L4:T4)</f>
        <v>1.0001094930471917</v>
      </c>
      <c r="L4" s="95">
        <v>14.23</v>
      </c>
      <c r="M4" s="96">
        <v>13.92</v>
      </c>
      <c r="N4" s="96">
        <v>12.67</v>
      </c>
      <c r="O4" s="96">
        <v>11.29</v>
      </c>
      <c r="P4" s="96">
        <v>9.91</v>
      </c>
      <c r="Q4" s="96">
        <v>8.9</v>
      </c>
      <c r="R4" s="96">
        <v>7.77</v>
      </c>
      <c r="S4" s="96">
        <v>6.99</v>
      </c>
      <c r="T4" s="97">
        <v>5.65</v>
      </c>
      <c r="U4" s="101">
        <f t="shared" si="0"/>
        <v>0.59063229525137317</v>
      </c>
    </row>
    <row r="5" spans="1:21" x14ac:dyDescent="0.2">
      <c r="A5" s="18" t="s">
        <v>4</v>
      </c>
      <c r="B5" s="21">
        <v>6.32</v>
      </c>
      <c r="C5" s="17">
        <v>5.54</v>
      </c>
      <c r="D5" s="17">
        <v>4.78</v>
      </c>
      <c r="E5" s="17">
        <v>3.73</v>
      </c>
      <c r="F5" s="17">
        <v>3.27</v>
      </c>
      <c r="G5" s="10">
        <v>2.12</v>
      </c>
      <c r="H5" s="17">
        <v>1.17</v>
      </c>
      <c r="I5" s="31">
        <v>0.81</v>
      </c>
      <c r="J5" s="45">
        <v>0.6</v>
      </c>
      <c r="K5" s="72">
        <f t="shared" si="1"/>
        <v>1</v>
      </c>
      <c r="L5" s="95">
        <v>6.32</v>
      </c>
      <c r="M5" s="96">
        <v>5.54</v>
      </c>
      <c r="N5" s="96">
        <v>4.78</v>
      </c>
      <c r="O5" s="96">
        <v>3.73</v>
      </c>
      <c r="P5" s="96">
        <v>3.27</v>
      </c>
      <c r="Q5" s="96">
        <v>2.12</v>
      </c>
      <c r="R5" s="96">
        <v>1.17</v>
      </c>
      <c r="S5" s="96">
        <v>0.81</v>
      </c>
      <c r="T5" s="97">
        <v>0.6</v>
      </c>
      <c r="U5" s="101">
        <f t="shared" si="0"/>
        <v>0.56687473339870087</v>
      </c>
    </row>
    <row r="6" spans="1:21" x14ac:dyDescent="0.2">
      <c r="A6" s="18" t="s">
        <v>5</v>
      </c>
      <c r="B6" s="15">
        <v>8.0399999999999991</v>
      </c>
      <c r="C6" s="17">
        <v>7.15</v>
      </c>
      <c r="D6" s="17">
        <v>6.9</v>
      </c>
      <c r="E6" s="17">
        <v>7.03</v>
      </c>
      <c r="F6" s="17">
        <v>6.95</v>
      </c>
      <c r="G6" s="17">
        <v>4.5</v>
      </c>
      <c r="H6" s="17">
        <v>1.89</v>
      </c>
      <c r="I6" s="31">
        <v>1.64</v>
      </c>
      <c r="J6" s="45">
        <v>1.07</v>
      </c>
      <c r="K6" s="72">
        <f t="shared" si="1"/>
        <v>1</v>
      </c>
      <c r="L6" s="95">
        <v>8.0399999999999991</v>
      </c>
      <c r="M6" s="96">
        <v>7.15</v>
      </c>
      <c r="N6" s="96">
        <v>6.9</v>
      </c>
      <c r="O6" s="96">
        <v>7.03</v>
      </c>
      <c r="P6" s="96">
        <v>6.95</v>
      </c>
      <c r="Q6" s="96">
        <v>4.5</v>
      </c>
      <c r="R6" s="96">
        <v>1.89</v>
      </c>
      <c r="S6" s="96">
        <v>1.64</v>
      </c>
      <c r="T6" s="97">
        <v>1.07</v>
      </c>
      <c r="U6" s="101">
        <f t="shared" si="0"/>
        <v>0.75150426649939228</v>
      </c>
    </row>
    <row r="7" spans="1:21" x14ac:dyDescent="0.2">
      <c r="A7" s="18" t="s">
        <v>6</v>
      </c>
      <c r="B7" s="21">
        <v>5.32</v>
      </c>
      <c r="C7" s="17">
        <v>5.43</v>
      </c>
      <c r="D7" s="17">
        <v>4.1900000000000004</v>
      </c>
      <c r="E7" s="17">
        <v>3.49</v>
      </c>
      <c r="F7" s="17">
        <v>3.24</v>
      </c>
      <c r="G7" s="17">
        <v>2.72</v>
      </c>
      <c r="H7" s="17">
        <v>1.5</v>
      </c>
      <c r="I7" s="31">
        <v>1.05</v>
      </c>
      <c r="J7" s="45">
        <v>0.77</v>
      </c>
      <c r="K7" s="72">
        <f t="shared" si="1"/>
        <v>1</v>
      </c>
      <c r="L7" s="95">
        <v>5.32</v>
      </c>
      <c r="M7" s="96">
        <v>5.43</v>
      </c>
      <c r="N7" s="96">
        <v>4.1900000000000004</v>
      </c>
      <c r="O7" s="96">
        <v>3.49</v>
      </c>
      <c r="P7" s="96">
        <v>3.24</v>
      </c>
      <c r="Q7" s="96">
        <v>2.72</v>
      </c>
      <c r="R7" s="96">
        <v>1.5</v>
      </c>
      <c r="S7" s="96">
        <v>1.05</v>
      </c>
      <c r="T7" s="97">
        <v>0.77</v>
      </c>
      <c r="U7" s="101">
        <f t="shared" si="0"/>
        <v>0.63367610676511543</v>
      </c>
    </row>
    <row r="8" spans="1:21" x14ac:dyDescent="0.2">
      <c r="A8" s="18" t="s">
        <v>7</v>
      </c>
      <c r="B8" s="21">
        <v>7.69</v>
      </c>
      <c r="C8" s="17">
        <v>5.51</v>
      </c>
      <c r="D8" s="17">
        <v>4.6900000000000004</v>
      </c>
      <c r="E8" s="17">
        <v>4.13</v>
      </c>
      <c r="F8" s="17">
        <v>3.92</v>
      </c>
      <c r="G8" s="17">
        <v>4.03</v>
      </c>
      <c r="H8" s="17">
        <v>3.84</v>
      </c>
      <c r="I8" s="31">
        <v>3.82</v>
      </c>
      <c r="J8" s="45">
        <v>2.59</v>
      </c>
      <c r="K8" s="72">
        <f t="shared" si="1"/>
        <v>1</v>
      </c>
      <c r="L8" s="95">
        <v>7.69</v>
      </c>
      <c r="M8" s="96">
        <v>5.51</v>
      </c>
      <c r="N8" s="96">
        <v>4.6900000000000004</v>
      </c>
      <c r="O8" s="96">
        <v>4.13</v>
      </c>
      <c r="P8" s="96">
        <v>3.92</v>
      </c>
      <c r="Q8" s="96">
        <v>4.03</v>
      </c>
      <c r="R8" s="96">
        <v>3.84</v>
      </c>
      <c r="S8" s="96">
        <v>3.82</v>
      </c>
      <c r="T8" s="97">
        <v>2.59</v>
      </c>
      <c r="U8" s="101">
        <f t="shared" si="0"/>
        <v>0.25433976326748292</v>
      </c>
    </row>
    <row r="9" spans="1:21" x14ac:dyDescent="0.2">
      <c r="A9" s="18" t="s">
        <v>8</v>
      </c>
      <c r="B9" s="15">
        <v>0.08</v>
      </c>
      <c r="C9" s="10">
        <v>0.08</v>
      </c>
      <c r="D9" s="10">
        <v>0.22</v>
      </c>
      <c r="E9" s="10">
        <v>0.08</v>
      </c>
      <c r="F9" s="10">
        <v>0.09</v>
      </c>
      <c r="G9" s="10">
        <v>0.03</v>
      </c>
      <c r="H9" s="10"/>
      <c r="I9" s="32"/>
      <c r="J9" s="58"/>
      <c r="K9" s="72">
        <f t="shared" si="1"/>
        <v>1</v>
      </c>
      <c r="L9" s="95">
        <v>0.08</v>
      </c>
      <c r="M9" s="96">
        <v>0.08</v>
      </c>
      <c r="N9" s="96">
        <v>0.22</v>
      </c>
      <c r="O9" s="96">
        <v>0.08</v>
      </c>
      <c r="P9" s="96">
        <v>0.09</v>
      </c>
      <c r="Q9" s="96">
        <v>0.03</v>
      </c>
      <c r="R9" s="96"/>
      <c r="S9" s="96"/>
      <c r="T9" s="97"/>
      <c r="U9" s="101">
        <f t="shared" si="0"/>
        <v>0.13352501632396763</v>
      </c>
    </row>
    <row r="10" spans="1:21" x14ac:dyDescent="0.2">
      <c r="A10" s="18" t="s">
        <v>9</v>
      </c>
      <c r="B10" s="21">
        <v>31.08</v>
      </c>
      <c r="C10" s="17">
        <v>32.979999999999997</v>
      </c>
      <c r="D10" s="17">
        <v>30.25</v>
      </c>
      <c r="E10" s="17">
        <v>28.48</v>
      </c>
      <c r="F10" s="17">
        <v>23.61</v>
      </c>
      <c r="G10" s="17">
        <v>17.55</v>
      </c>
      <c r="H10" s="17">
        <v>9.9</v>
      </c>
      <c r="I10" s="31">
        <v>7.09</v>
      </c>
      <c r="J10" s="45">
        <v>4.8499999999999996</v>
      </c>
      <c r="K10" s="72">
        <f t="shared" si="1"/>
        <v>1</v>
      </c>
      <c r="L10" s="95">
        <v>31.08</v>
      </c>
      <c r="M10" s="96">
        <v>32.979999999999997</v>
      </c>
      <c r="N10" s="96">
        <v>30.25</v>
      </c>
      <c r="O10" s="96">
        <v>28.48</v>
      </c>
      <c r="P10" s="96">
        <v>23.61</v>
      </c>
      <c r="Q10" s="96">
        <v>17.55</v>
      </c>
      <c r="R10" s="96">
        <v>9.9</v>
      </c>
      <c r="S10" s="96">
        <v>7.09</v>
      </c>
      <c r="T10" s="97">
        <v>4.8499999999999996</v>
      </c>
      <c r="U10" s="101">
        <f t="shared" si="0"/>
        <v>0.71380380689785994</v>
      </c>
    </row>
    <row r="11" spans="1:21" x14ac:dyDescent="0.2">
      <c r="A11" s="18" t="s">
        <v>10</v>
      </c>
      <c r="B11" s="21">
        <v>10.48</v>
      </c>
      <c r="C11" s="17">
        <v>12.59</v>
      </c>
      <c r="D11" s="17">
        <v>10.29</v>
      </c>
      <c r="E11" s="17">
        <v>10.130000000000001</v>
      </c>
      <c r="F11" s="17">
        <v>9.5</v>
      </c>
      <c r="G11" s="17">
        <v>7.91</v>
      </c>
      <c r="H11" s="17">
        <v>4.8</v>
      </c>
      <c r="I11" s="31">
        <v>4.21</v>
      </c>
      <c r="J11" s="45">
        <v>3.69</v>
      </c>
      <c r="K11" s="72">
        <f t="shared" si="1"/>
        <v>1</v>
      </c>
      <c r="L11" s="95">
        <v>10.48</v>
      </c>
      <c r="M11" s="96">
        <v>12.59</v>
      </c>
      <c r="N11" s="96">
        <v>10.29</v>
      </c>
      <c r="O11" s="96">
        <v>10.130000000000001</v>
      </c>
      <c r="P11" s="96">
        <v>9.5</v>
      </c>
      <c r="Q11" s="96">
        <v>7.91</v>
      </c>
      <c r="R11" s="96">
        <v>4.8</v>
      </c>
      <c r="S11" s="96">
        <v>4.21</v>
      </c>
      <c r="T11" s="97">
        <v>3.69</v>
      </c>
      <c r="U11" s="101">
        <f t="shared" si="0"/>
        <v>0.76048494807318623</v>
      </c>
    </row>
    <row r="12" spans="1:21" x14ac:dyDescent="0.2">
      <c r="A12" s="18" t="s">
        <v>11</v>
      </c>
      <c r="B12" s="21">
        <v>8.58</v>
      </c>
      <c r="C12" s="17">
        <v>7.53</v>
      </c>
      <c r="D12" s="17">
        <v>6.92</v>
      </c>
      <c r="E12" s="17">
        <v>6.63</v>
      </c>
      <c r="F12" s="17">
        <v>6.74</v>
      </c>
      <c r="G12" s="17">
        <v>5.04</v>
      </c>
      <c r="H12" s="17">
        <v>4.1500000000000004</v>
      </c>
      <c r="I12" s="31">
        <v>2.89</v>
      </c>
      <c r="J12" s="45">
        <v>1.82</v>
      </c>
      <c r="K12" s="72">
        <f t="shared" si="1"/>
        <v>1</v>
      </c>
      <c r="L12" s="95">
        <v>8.58</v>
      </c>
      <c r="M12" s="96">
        <v>7.53</v>
      </c>
      <c r="N12" s="96">
        <v>6.92</v>
      </c>
      <c r="O12" s="96">
        <v>6.63</v>
      </c>
      <c r="P12" s="96">
        <v>6.74</v>
      </c>
      <c r="Q12" s="96">
        <v>5.04</v>
      </c>
      <c r="R12" s="96">
        <v>4.1500000000000004</v>
      </c>
      <c r="S12" s="96">
        <v>2.89</v>
      </c>
      <c r="T12" s="97">
        <v>1.82</v>
      </c>
      <c r="U12" s="101">
        <f t="shared" si="0"/>
        <v>0.73527117257450036</v>
      </c>
    </row>
    <row r="13" spans="1:21" x14ac:dyDescent="0.2">
      <c r="A13" s="18" t="s">
        <v>12</v>
      </c>
      <c r="B13" s="21">
        <v>0.86</v>
      </c>
      <c r="C13" s="17">
        <v>0.74</v>
      </c>
      <c r="D13" s="17">
        <v>0.56999999999999995</v>
      </c>
      <c r="E13" s="17">
        <v>0.63</v>
      </c>
      <c r="F13" s="17">
        <v>0.56000000000000005</v>
      </c>
      <c r="G13" s="17">
        <v>0.52</v>
      </c>
      <c r="H13" s="17">
        <v>0.44</v>
      </c>
      <c r="I13" s="31">
        <v>0.38</v>
      </c>
      <c r="J13" s="45">
        <v>0.08</v>
      </c>
      <c r="K13" s="72">
        <f t="shared" si="1"/>
        <v>1</v>
      </c>
      <c r="L13" s="95">
        <v>0.86</v>
      </c>
      <c r="M13" s="96">
        <v>0.74</v>
      </c>
      <c r="N13" s="96">
        <v>0.56999999999999995</v>
      </c>
      <c r="O13" s="96">
        <v>0.63</v>
      </c>
      <c r="P13" s="96">
        <v>0.56000000000000005</v>
      </c>
      <c r="Q13" s="96">
        <v>0.52</v>
      </c>
      <c r="R13" s="96">
        <v>0.44</v>
      </c>
      <c r="S13" s="96">
        <v>0.38</v>
      </c>
      <c r="T13" s="97">
        <v>0.08</v>
      </c>
      <c r="U13" s="101">
        <f t="shared" si="0"/>
        <v>0.60146529009265948</v>
      </c>
    </row>
    <row r="14" spans="1:21" x14ac:dyDescent="0.2">
      <c r="A14" s="18" t="s">
        <v>13</v>
      </c>
      <c r="B14" s="21">
        <v>16.89</v>
      </c>
      <c r="C14" s="17">
        <v>15.45</v>
      </c>
      <c r="D14" s="17">
        <v>14.23</v>
      </c>
      <c r="E14" s="17">
        <v>13.89</v>
      </c>
      <c r="F14" s="17">
        <v>11.99</v>
      </c>
      <c r="G14" s="17">
        <v>13.07</v>
      </c>
      <c r="H14" s="17">
        <v>7.02</v>
      </c>
      <c r="I14" s="31">
        <v>5.59</v>
      </c>
      <c r="J14" s="45">
        <v>3.27</v>
      </c>
      <c r="K14" s="72">
        <f t="shared" si="1"/>
        <v>1.0000986290561198</v>
      </c>
      <c r="L14" s="95">
        <v>16.89</v>
      </c>
      <c r="M14" s="96">
        <v>15.45</v>
      </c>
      <c r="N14" s="96">
        <v>14.23</v>
      </c>
      <c r="O14" s="96">
        <v>13.89</v>
      </c>
      <c r="P14" s="96">
        <v>11.99</v>
      </c>
      <c r="Q14" s="96">
        <v>13.07</v>
      </c>
      <c r="R14" s="96">
        <v>7.01</v>
      </c>
      <c r="S14" s="96">
        <v>5.59</v>
      </c>
      <c r="T14" s="97">
        <v>3.27</v>
      </c>
      <c r="U14" s="101">
        <f t="shared" si="0"/>
        <v>0.69961038716504664</v>
      </c>
    </row>
    <row r="15" spans="1:21" x14ac:dyDescent="0.2">
      <c r="A15" s="18" t="s">
        <v>14</v>
      </c>
      <c r="B15" s="21">
        <v>17.03</v>
      </c>
      <c r="C15" s="17">
        <v>13.94</v>
      </c>
      <c r="D15" s="17">
        <v>12.25</v>
      </c>
      <c r="E15" s="17">
        <v>11.89</v>
      </c>
      <c r="F15" s="17">
        <v>10.92</v>
      </c>
      <c r="G15" s="17">
        <v>8.9600000000000009</v>
      </c>
      <c r="H15" s="17">
        <v>5.76</v>
      </c>
      <c r="I15" s="31">
        <v>4.8899999999999997</v>
      </c>
      <c r="J15" s="45">
        <v>2.89</v>
      </c>
      <c r="K15" s="72">
        <f t="shared" si="1"/>
        <v>1</v>
      </c>
      <c r="L15" s="95">
        <v>17.03</v>
      </c>
      <c r="M15" s="96">
        <v>13.94</v>
      </c>
      <c r="N15" s="96">
        <v>12.25</v>
      </c>
      <c r="O15" s="96">
        <v>11.89</v>
      </c>
      <c r="P15" s="96">
        <v>10.92</v>
      </c>
      <c r="Q15" s="96">
        <v>8.9600000000000009</v>
      </c>
      <c r="R15" s="96">
        <v>5.76</v>
      </c>
      <c r="S15" s="96">
        <v>4.8899999999999997</v>
      </c>
      <c r="T15" s="97">
        <v>2.89</v>
      </c>
      <c r="U15" s="101">
        <f t="shared" si="0"/>
        <v>0.62522642813765139</v>
      </c>
    </row>
    <row r="16" spans="1:21" x14ac:dyDescent="0.2">
      <c r="A16" s="18" t="s">
        <v>15</v>
      </c>
      <c r="B16" s="21">
        <v>7.94</v>
      </c>
      <c r="C16" s="17">
        <v>7.55</v>
      </c>
      <c r="D16" s="17">
        <v>7.07</v>
      </c>
      <c r="E16" s="17">
        <v>6.87</v>
      </c>
      <c r="F16" s="17">
        <v>6.27</v>
      </c>
      <c r="G16" s="17">
        <v>5.18</v>
      </c>
      <c r="H16" s="17">
        <v>3.59</v>
      </c>
      <c r="I16" s="31">
        <v>2.86</v>
      </c>
      <c r="J16" s="45">
        <v>1.56</v>
      </c>
      <c r="K16" s="72">
        <f t="shared" si="1"/>
        <v>1</v>
      </c>
      <c r="L16" s="95">
        <v>7.94</v>
      </c>
      <c r="M16" s="96">
        <v>7.55</v>
      </c>
      <c r="N16" s="96">
        <v>7.07</v>
      </c>
      <c r="O16" s="96">
        <v>6.87</v>
      </c>
      <c r="P16" s="96">
        <v>6.27</v>
      </c>
      <c r="Q16" s="96">
        <v>5.18</v>
      </c>
      <c r="R16" s="96">
        <v>3.59</v>
      </c>
      <c r="S16" s="96">
        <v>2.86</v>
      </c>
      <c r="T16" s="97">
        <v>1.56</v>
      </c>
      <c r="U16" s="101">
        <f t="shared" si="0"/>
        <v>0.7365609627770302</v>
      </c>
    </row>
    <row r="17" spans="1:21" x14ac:dyDescent="0.2">
      <c r="A17" s="18" t="s">
        <v>16</v>
      </c>
      <c r="B17" s="21">
        <v>7.47</v>
      </c>
      <c r="C17" s="17">
        <v>7.66</v>
      </c>
      <c r="D17" s="17">
        <v>6.85</v>
      </c>
      <c r="E17" s="17">
        <v>7.06</v>
      </c>
      <c r="F17" s="17">
        <v>5.94</v>
      </c>
      <c r="G17" s="17">
        <v>4.7300000000000004</v>
      </c>
      <c r="H17" s="17">
        <v>2.14</v>
      </c>
      <c r="I17" s="31">
        <v>1.7</v>
      </c>
      <c r="J17" s="45">
        <v>1.27</v>
      </c>
      <c r="K17" s="72">
        <f t="shared" si="1"/>
        <v>1</v>
      </c>
      <c r="L17" s="95">
        <v>7.47</v>
      </c>
      <c r="M17" s="96">
        <v>7.66</v>
      </c>
      <c r="N17" s="96">
        <v>6.85</v>
      </c>
      <c r="O17" s="96">
        <v>7.06</v>
      </c>
      <c r="P17" s="96">
        <v>5.94</v>
      </c>
      <c r="Q17" s="96">
        <v>4.7300000000000004</v>
      </c>
      <c r="R17" s="96">
        <v>2.14</v>
      </c>
      <c r="S17" s="96">
        <v>1.7</v>
      </c>
      <c r="T17" s="97">
        <v>1.27</v>
      </c>
      <c r="U17" s="101">
        <f t="shared" si="0"/>
        <v>0.73001962840159529</v>
      </c>
    </row>
    <row r="18" spans="1:21" x14ac:dyDescent="0.2">
      <c r="A18" s="18" t="s">
        <v>17</v>
      </c>
      <c r="B18" s="21">
        <v>5.28</v>
      </c>
      <c r="C18" s="17">
        <v>5.27</v>
      </c>
      <c r="D18" s="17">
        <v>4.92</v>
      </c>
      <c r="E18" s="17">
        <v>5.19</v>
      </c>
      <c r="F18" s="17">
        <v>4.59</v>
      </c>
      <c r="G18" s="17">
        <v>4.62</v>
      </c>
      <c r="H18" s="17">
        <v>3.18</v>
      </c>
      <c r="I18" s="31">
        <v>2.4</v>
      </c>
      <c r="J18" s="45">
        <v>1.63</v>
      </c>
      <c r="K18" s="72">
        <f t="shared" si="1"/>
        <v>1</v>
      </c>
      <c r="L18" s="95">
        <v>5.28</v>
      </c>
      <c r="M18" s="96">
        <v>5.27</v>
      </c>
      <c r="N18" s="96">
        <v>4.92</v>
      </c>
      <c r="O18" s="96">
        <v>5.19</v>
      </c>
      <c r="P18" s="96">
        <v>4.59</v>
      </c>
      <c r="Q18" s="96">
        <v>4.62</v>
      </c>
      <c r="R18" s="96">
        <v>3.18</v>
      </c>
      <c r="S18" s="96">
        <v>2.4</v>
      </c>
      <c r="T18" s="97">
        <v>1.63</v>
      </c>
      <c r="U18" s="101">
        <f t="shared" si="0"/>
        <v>0.78593329067221473</v>
      </c>
    </row>
    <row r="19" spans="1:21" x14ac:dyDescent="0.2">
      <c r="A19" s="18" t="s">
        <v>18</v>
      </c>
      <c r="B19" s="21">
        <v>9.0500000000000007</v>
      </c>
      <c r="C19" s="17">
        <v>8.2899999999999991</v>
      </c>
      <c r="D19" s="17">
        <v>6.52</v>
      </c>
      <c r="E19" s="17">
        <v>6.14</v>
      </c>
      <c r="F19" s="17">
        <v>5.44</v>
      </c>
      <c r="G19" s="17">
        <v>4.8</v>
      </c>
      <c r="H19" s="17">
        <v>3.1</v>
      </c>
      <c r="I19" s="31">
        <v>2.5099999999999998</v>
      </c>
      <c r="J19" s="45">
        <v>1.63</v>
      </c>
      <c r="K19" s="72">
        <f t="shared" si="1"/>
        <v>1</v>
      </c>
      <c r="L19" s="95">
        <v>9.0500000000000007</v>
      </c>
      <c r="M19" s="96">
        <v>8.2899999999999991</v>
      </c>
      <c r="N19" s="96">
        <v>6.52</v>
      </c>
      <c r="O19" s="96">
        <v>6.14</v>
      </c>
      <c r="P19" s="96">
        <v>5.44</v>
      </c>
      <c r="Q19" s="96">
        <v>4.8</v>
      </c>
      <c r="R19" s="96">
        <v>3.1</v>
      </c>
      <c r="S19" s="96">
        <v>2.5099999999999998</v>
      </c>
      <c r="T19" s="97">
        <v>1.63</v>
      </c>
      <c r="U19" s="101">
        <f t="shared" si="0"/>
        <v>0.60438850794551269</v>
      </c>
    </row>
    <row r="20" spans="1:21" x14ac:dyDescent="0.2">
      <c r="A20" s="18" t="s">
        <v>19</v>
      </c>
      <c r="B20" s="21">
        <v>6.18</v>
      </c>
      <c r="C20" s="17">
        <v>6.29</v>
      </c>
      <c r="D20" s="17">
        <v>6.66</v>
      </c>
      <c r="E20" s="17">
        <v>6.56</v>
      </c>
      <c r="F20" s="17">
        <v>6.45</v>
      </c>
      <c r="G20" s="17">
        <v>6.25</v>
      </c>
      <c r="H20" s="17">
        <v>4.09</v>
      </c>
      <c r="I20" s="31">
        <v>3.59</v>
      </c>
      <c r="J20" s="45">
        <v>2.83</v>
      </c>
      <c r="K20" s="72">
        <f t="shared" si="1"/>
        <v>1</v>
      </c>
      <c r="L20" s="95">
        <v>6.18</v>
      </c>
      <c r="M20" s="96">
        <v>6.29</v>
      </c>
      <c r="N20" s="96">
        <v>6.66</v>
      </c>
      <c r="O20" s="96">
        <v>6.56</v>
      </c>
      <c r="P20" s="96">
        <v>6.45</v>
      </c>
      <c r="Q20" s="96">
        <v>6.25</v>
      </c>
      <c r="R20" s="96">
        <v>4.09</v>
      </c>
      <c r="S20" s="96">
        <v>3.59</v>
      </c>
      <c r="T20" s="97">
        <v>2.83</v>
      </c>
      <c r="U20" s="101">
        <f t="shared" si="0"/>
        <v>0.84573830270257977</v>
      </c>
    </row>
    <row r="21" spans="1:21" x14ac:dyDescent="0.2">
      <c r="A21" s="18" t="s">
        <v>20</v>
      </c>
      <c r="B21" s="21">
        <v>7.71</v>
      </c>
      <c r="C21" s="17">
        <v>7.77</v>
      </c>
      <c r="D21" s="17">
        <v>8.2200000000000006</v>
      </c>
      <c r="E21" s="17">
        <v>8.18</v>
      </c>
      <c r="F21" s="17">
        <v>7.11</v>
      </c>
      <c r="G21" s="17">
        <v>6.64</v>
      </c>
      <c r="H21" s="17">
        <v>4.1399999999999997</v>
      </c>
      <c r="I21" s="31">
        <v>3.31</v>
      </c>
      <c r="J21" s="45">
        <v>2.06</v>
      </c>
      <c r="K21" s="72">
        <f t="shared" si="1"/>
        <v>1</v>
      </c>
      <c r="L21" s="95">
        <v>7.71</v>
      </c>
      <c r="M21" s="96">
        <v>7.77</v>
      </c>
      <c r="N21" s="96">
        <v>8.2200000000000006</v>
      </c>
      <c r="O21" s="96">
        <v>8.18</v>
      </c>
      <c r="P21" s="96">
        <v>7.11</v>
      </c>
      <c r="Q21" s="96">
        <v>6.64</v>
      </c>
      <c r="R21" s="96">
        <v>4.1399999999999997</v>
      </c>
      <c r="S21" s="96">
        <v>3.31</v>
      </c>
      <c r="T21" s="97">
        <v>2.06</v>
      </c>
      <c r="U21" s="101">
        <f t="shared" si="0"/>
        <v>0.79302514622113784</v>
      </c>
    </row>
    <row r="22" spans="1:21" x14ac:dyDescent="0.2">
      <c r="A22" s="18" t="s">
        <v>21</v>
      </c>
      <c r="B22" s="21">
        <v>40.82</v>
      </c>
      <c r="C22" s="17">
        <v>4.34</v>
      </c>
      <c r="D22" s="17">
        <v>5.03</v>
      </c>
      <c r="E22" s="17">
        <v>3.26</v>
      </c>
      <c r="F22" s="17">
        <v>3.97</v>
      </c>
      <c r="G22" s="17">
        <v>3.69</v>
      </c>
      <c r="H22" s="17">
        <v>19.739999999999998</v>
      </c>
      <c r="I22" s="31">
        <v>27.88</v>
      </c>
      <c r="J22" s="45">
        <v>16.510000000000002</v>
      </c>
      <c r="K22" s="72">
        <f t="shared" si="1"/>
        <v>2.0086607858861267</v>
      </c>
      <c r="L22" s="95">
        <v>40.800000000000004</v>
      </c>
      <c r="M22" s="96">
        <v>4.3</v>
      </c>
      <c r="N22" s="96">
        <v>4.33</v>
      </c>
      <c r="O22" s="96">
        <v>2.95</v>
      </c>
      <c r="P22" s="96">
        <v>2.93</v>
      </c>
      <c r="Q22" s="96">
        <v>2.58</v>
      </c>
      <c r="R22" s="96">
        <v>1.85</v>
      </c>
      <c r="S22" s="96">
        <v>1.42</v>
      </c>
      <c r="T22" s="97">
        <v>1.19</v>
      </c>
      <c r="U22" s="101">
        <f t="shared" si="0"/>
        <v>-1.7154660930901653E-2</v>
      </c>
    </row>
    <row r="23" spans="1:21" x14ac:dyDescent="0.2">
      <c r="A23" s="18" t="s">
        <v>1</v>
      </c>
      <c r="B23" s="21">
        <v>42.72</v>
      </c>
      <c r="C23" s="17">
        <v>39.47</v>
      </c>
      <c r="D23" s="17">
        <v>37.83</v>
      </c>
      <c r="E23" s="17">
        <v>35.520000000000003</v>
      </c>
      <c r="F23" s="17">
        <v>35.06</v>
      </c>
      <c r="G23" s="17">
        <v>28.47</v>
      </c>
      <c r="H23" s="17">
        <v>18.77</v>
      </c>
      <c r="I23" s="31">
        <v>14.16</v>
      </c>
      <c r="J23" s="45">
        <v>17.07</v>
      </c>
      <c r="K23" s="72">
        <f t="shared" si="1"/>
        <v>1.0400448378493294</v>
      </c>
      <c r="L23" s="95">
        <v>42.72</v>
      </c>
      <c r="M23" s="96">
        <v>39.47</v>
      </c>
      <c r="N23" s="96">
        <v>37.83</v>
      </c>
      <c r="O23" s="96">
        <v>35.520000000000003</v>
      </c>
      <c r="P23" s="96">
        <v>35.06</v>
      </c>
      <c r="Q23" s="96">
        <v>28.47</v>
      </c>
      <c r="R23" s="96">
        <v>18.760000000000002</v>
      </c>
      <c r="S23" s="96">
        <v>12.09</v>
      </c>
      <c r="T23" s="97">
        <v>8.7899999999999991</v>
      </c>
      <c r="U23" s="101">
        <f t="shared" si="0"/>
        <v>0.7738154873366041</v>
      </c>
    </row>
    <row r="24" spans="1:21" x14ac:dyDescent="0.2">
      <c r="A24" s="18" t="s">
        <v>22</v>
      </c>
      <c r="B24" s="21">
        <v>11.38</v>
      </c>
      <c r="C24" s="17">
        <v>11.46</v>
      </c>
      <c r="D24" s="17">
        <v>10.79</v>
      </c>
      <c r="E24" s="17">
        <v>10.82</v>
      </c>
      <c r="F24" s="17">
        <v>9.8000000000000007</v>
      </c>
      <c r="G24" s="17">
        <v>8.16</v>
      </c>
      <c r="H24" s="17">
        <v>5.82</v>
      </c>
      <c r="I24" s="31">
        <v>3.92</v>
      </c>
      <c r="J24" s="45">
        <v>2.98</v>
      </c>
      <c r="K24" s="72">
        <f t="shared" si="1"/>
        <v>1</v>
      </c>
      <c r="L24" s="95">
        <v>11.38</v>
      </c>
      <c r="M24" s="96">
        <v>11.46</v>
      </c>
      <c r="N24" s="96">
        <v>10.79</v>
      </c>
      <c r="O24" s="96">
        <v>10.82</v>
      </c>
      <c r="P24" s="96">
        <v>9.8000000000000007</v>
      </c>
      <c r="Q24" s="96">
        <v>8.16</v>
      </c>
      <c r="R24" s="96">
        <v>5.82</v>
      </c>
      <c r="S24" s="96">
        <v>3.92</v>
      </c>
      <c r="T24" s="97">
        <v>2.98</v>
      </c>
      <c r="U24" s="101">
        <f t="shared" si="0"/>
        <v>0.78576900978074093</v>
      </c>
    </row>
    <row r="25" spans="1:21" x14ac:dyDescent="0.2">
      <c r="A25" s="18" t="s">
        <v>23</v>
      </c>
      <c r="B25" s="21">
        <v>1.1000000000000001</v>
      </c>
      <c r="C25" s="17">
        <v>1.03</v>
      </c>
      <c r="D25" s="17">
        <v>0.98</v>
      </c>
      <c r="E25" s="17">
        <v>0.95</v>
      </c>
      <c r="F25" s="17">
        <v>1.32</v>
      </c>
      <c r="G25" s="17">
        <v>1.1299999999999999</v>
      </c>
      <c r="H25" s="17">
        <v>0.8</v>
      </c>
      <c r="I25" s="31">
        <v>0.61</v>
      </c>
      <c r="J25" s="45">
        <v>0.37</v>
      </c>
      <c r="K25" s="72">
        <f t="shared" si="1"/>
        <v>1</v>
      </c>
      <c r="L25" s="95">
        <v>1.1000000000000001</v>
      </c>
      <c r="M25" s="96">
        <v>1.03</v>
      </c>
      <c r="N25" s="96">
        <v>0.98</v>
      </c>
      <c r="O25" s="96">
        <v>0.95</v>
      </c>
      <c r="P25" s="96">
        <v>1.32</v>
      </c>
      <c r="Q25" s="96">
        <v>1.1299999999999999</v>
      </c>
      <c r="R25" s="96">
        <v>0.8</v>
      </c>
      <c r="S25" s="96">
        <v>0.61</v>
      </c>
      <c r="T25" s="97">
        <v>0.37</v>
      </c>
      <c r="U25" s="101">
        <f t="shared" si="0"/>
        <v>0.89297419814420609</v>
      </c>
    </row>
    <row r="26" spans="1:21" x14ac:dyDescent="0.2">
      <c r="A26" s="18" t="s">
        <v>24</v>
      </c>
      <c r="B26" s="21">
        <v>24.71</v>
      </c>
      <c r="C26" s="17">
        <v>24.06</v>
      </c>
      <c r="D26" s="17">
        <v>22.03</v>
      </c>
      <c r="E26" s="17">
        <v>20.88</v>
      </c>
      <c r="F26" s="17">
        <v>19.89</v>
      </c>
      <c r="G26" s="17">
        <v>17.04</v>
      </c>
      <c r="H26" s="17">
        <v>12.66</v>
      </c>
      <c r="I26" s="31">
        <v>9.4499999999999993</v>
      </c>
      <c r="J26" s="45">
        <v>5.92</v>
      </c>
      <c r="K26" s="72">
        <f t="shared" si="1"/>
        <v>1</v>
      </c>
      <c r="L26" s="95">
        <v>24.71</v>
      </c>
      <c r="M26" s="96">
        <v>24.06</v>
      </c>
      <c r="N26" s="96">
        <v>22.03</v>
      </c>
      <c r="O26" s="96">
        <v>20.88</v>
      </c>
      <c r="P26" s="96">
        <v>19.89</v>
      </c>
      <c r="Q26" s="96">
        <v>17.04</v>
      </c>
      <c r="R26" s="96">
        <v>12.66</v>
      </c>
      <c r="S26" s="96">
        <v>9.4499999999999993</v>
      </c>
      <c r="T26" s="97">
        <v>5.92</v>
      </c>
      <c r="U26" s="101">
        <f t="shared" si="0"/>
        <v>0.75356551672901251</v>
      </c>
    </row>
    <row r="27" spans="1:21" x14ac:dyDescent="0.2">
      <c r="A27" s="18" t="s">
        <v>25</v>
      </c>
      <c r="B27" s="21">
        <v>33.159999999999997</v>
      </c>
      <c r="C27" s="17">
        <v>33.15</v>
      </c>
      <c r="D27" s="17">
        <v>29.46</v>
      </c>
      <c r="E27" s="17">
        <v>30.08</v>
      </c>
      <c r="F27" s="17">
        <v>27.04</v>
      </c>
      <c r="G27" s="17">
        <v>23.92</v>
      </c>
      <c r="H27" s="17">
        <v>17.079999999999998</v>
      </c>
      <c r="I27" s="31">
        <v>14.75</v>
      </c>
      <c r="J27" s="45">
        <v>12.92</v>
      </c>
      <c r="K27" s="72">
        <f t="shared" si="1"/>
        <v>1</v>
      </c>
      <c r="L27" s="95">
        <v>33.159999999999997</v>
      </c>
      <c r="M27" s="96">
        <v>33.15</v>
      </c>
      <c r="N27" s="96">
        <v>29.46</v>
      </c>
      <c r="O27" s="96">
        <v>30.08</v>
      </c>
      <c r="P27" s="96">
        <v>27.04</v>
      </c>
      <c r="Q27" s="96">
        <v>23.92</v>
      </c>
      <c r="R27" s="96">
        <v>17.079999999999998</v>
      </c>
      <c r="S27" s="96">
        <v>14.75</v>
      </c>
      <c r="T27" s="97">
        <v>12.92</v>
      </c>
      <c r="U27" s="101">
        <f t="shared" si="0"/>
        <v>0.71991036094963223</v>
      </c>
    </row>
    <row r="28" spans="1:21" x14ac:dyDescent="0.2">
      <c r="A28" s="18" t="s">
        <v>26</v>
      </c>
      <c r="B28" s="21">
        <v>13.89</v>
      </c>
      <c r="C28" s="17">
        <v>13.96</v>
      </c>
      <c r="D28" s="17">
        <v>13.09</v>
      </c>
      <c r="E28" s="17">
        <v>11.32</v>
      </c>
      <c r="F28" s="17">
        <v>8.34</v>
      </c>
      <c r="G28" s="17">
        <v>6.61</v>
      </c>
      <c r="H28" s="17">
        <v>3.49</v>
      </c>
      <c r="I28" s="31">
        <v>3.35</v>
      </c>
      <c r="J28" s="45">
        <v>2.5</v>
      </c>
      <c r="K28" s="72">
        <f t="shared" si="1"/>
        <v>1</v>
      </c>
      <c r="L28" s="95">
        <v>13.89</v>
      </c>
      <c r="M28" s="96">
        <v>13.96</v>
      </c>
      <c r="N28" s="96">
        <v>13.09</v>
      </c>
      <c r="O28" s="96">
        <v>11.32</v>
      </c>
      <c r="P28" s="96">
        <v>8.34</v>
      </c>
      <c r="Q28" s="96">
        <v>6.61</v>
      </c>
      <c r="R28" s="96">
        <v>3.49</v>
      </c>
      <c r="S28" s="96">
        <v>3.35</v>
      </c>
      <c r="T28" s="97">
        <v>2.5</v>
      </c>
      <c r="U28" s="101">
        <f t="shared" si="0"/>
        <v>0.59860826897188602</v>
      </c>
    </row>
    <row r="29" spans="1:21" x14ac:dyDescent="0.2">
      <c r="A29" s="18" t="s">
        <v>27</v>
      </c>
      <c r="B29" s="21">
        <v>7.71</v>
      </c>
      <c r="C29" s="17">
        <v>7.83</v>
      </c>
      <c r="D29" s="17">
        <v>7.12</v>
      </c>
      <c r="E29" s="17">
        <v>6.67</v>
      </c>
      <c r="F29" s="17">
        <v>5.95</v>
      </c>
      <c r="G29" s="17">
        <v>4.9400000000000004</v>
      </c>
      <c r="H29" s="17">
        <v>4.28</v>
      </c>
      <c r="I29" s="31">
        <v>3.39</v>
      </c>
      <c r="J29" s="45">
        <v>2.48</v>
      </c>
      <c r="K29" s="72">
        <f t="shared" si="1"/>
        <v>1</v>
      </c>
      <c r="L29" s="95">
        <v>7.71</v>
      </c>
      <c r="M29" s="96">
        <v>7.83</v>
      </c>
      <c r="N29" s="96">
        <v>7.12</v>
      </c>
      <c r="O29" s="96">
        <v>6.67</v>
      </c>
      <c r="P29" s="96">
        <v>5.95</v>
      </c>
      <c r="Q29" s="96">
        <v>4.9400000000000004</v>
      </c>
      <c r="R29" s="96">
        <v>4.28</v>
      </c>
      <c r="S29" s="96">
        <v>3.39</v>
      </c>
      <c r="T29" s="97">
        <v>2.48</v>
      </c>
      <c r="U29" s="101">
        <f t="shared" si="0"/>
        <v>0.69863798114057674</v>
      </c>
    </row>
    <row r="30" spans="1:21" x14ac:dyDescent="0.2">
      <c r="A30" s="18" t="s">
        <v>28</v>
      </c>
      <c r="B30" s="21">
        <v>22.88</v>
      </c>
      <c r="C30" s="17">
        <v>22.86</v>
      </c>
      <c r="D30" s="17">
        <v>21.85</v>
      </c>
      <c r="E30" s="17">
        <v>22.33</v>
      </c>
      <c r="F30" s="17">
        <v>19.78</v>
      </c>
      <c r="G30" s="17">
        <v>17.29</v>
      </c>
      <c r="H30" s="17">
        <v>13.09</v>
      </c>
      <c r="I30" s="31">
        <v>11.6</v>
      </c>
      <c r="J30" s="45">
        <v>8.24</v>
      </c>
      <c r="K30" s="72">
        <f t="shared" si="1"/>
        <v>1</v>
      </c>
      <c r="L30" s="95">
        <v>22.88</v>
      </c>
      <c r="M30" s="96">
        <v>22.86</v>
      </c>
      <c r="N30" s="96">
        <v>21.85</v>
      </c>
      <c r="O30" s="96">
        <v>22.33</v>
      </c>
      <c r="P30" s="96">
        <v>19.78</v>
      </c>
      <c r="Q30" s="96">
        <v>17.29</v>
      </c>
      <c r="R30" s="96">
        <v>13.09</v>
      </c>
      <c r="S30" s="96">
        <v>11.6</v>
      </c>
      <c r="T30" s="97">
        <v>8.24</v>
      </c>
      <c r="U30" s="101">
        <f t="shared" si="0"/>
        <v>0.749249853691632</v>
      </c>
    </row>
    <row r="31" spans="1:21" x14ac:dyDescent="0.2">
      <c r="A31" s="18" t="s">
        <v>29</v>
      </c>
      <c r="B31" s="21">
        <v>39.229999999999997</v>
      </c>
      <c r="C31" s="17">
        <v>34.729999999999997</v>
      </c>
      <c r="D31" s="17">
        <v>32.049999999999997</v>
      </c>
      <c r="E31" s="17">
        <v>31.19</v>
      </c>
      <c r="F31" s="17">
        <v>26.27</v>
      </c>
      <c r="G31" s="17">
        <v>23.86</v>
      </c>
      <c r="H31" s="17">
        <v>17.399999999999999</v>
      </c>
      <c r="I31" s="31">
        <v>15.29</v>
      </c>
      <c r="J31" s="45">
        <v>10.88</v>
      </c>
      <c r="K31" s="72">
        <f t="shared" si="1"/>
        <v>1</v>
      </c>
      <c r="L31" s="95">
        <v>39.229999999999997</v>
      </c>
      <c r="M31" s="96">
        <v>34.729999999999997</v>
      </c>
      <c r="N31" s="96">
        <v>32.049999999999997</v>
      </c>
      <c r="O31" s="96">
        <v>31.19</v>
      </c>
      <c r="P31" s="96">
        <v>26.27</v>
      </c>
      <c r="Q31" s="96">
        <v>23.86</v>
      </c>
      <c r="R31" s="96">
        <v>17.399999999999999</v>
      </c>
      <c r="S31" s="96">
        <v>15.29</v>
      </c>
      <c r="T31" s="97">
        <v>10.88</v>
      </c>
      <c r="U31" s="101">
        <f t="shared" si="0"/>
        <v>0.62250565368392086</v>
      </c>
    </row>
    <row r="32" spans="1:21" x14ac:dyDescent="0.2">
      <c r="A32" s="18" t="s">
        <v>30</v>
      </c>
      <c r="B32" s="21">
        <v>24.88</v>
      </c>
      <c r="C32" s="17">
        <v>26.77</v>
      </c>
      <c r="D32" s="17">
        <v>26.32</v>
      </c>
      <c r="E32" s="17">
        <v>25.93</v>
      </c>
      <c r="F32" s="17">
        <v>22.78</v>
      </c>
      <c r="G32" s="17">
        <v>20.420000000000002</v>
      </c>
      <c r="H32" s="17">
        <v>14.05</v>
      </c>
      <c r="I32" s="31">
        <v>11.84</v>
      </c>
      <c r="J32" s="45">
        <v>8.3000000000000007</v>
      </c>
      <c r="K32" s="72">
        <f t="shared" si="1"/>
        <v>1</v>
      </c>
      <c r="L32" s="95">
        <v>24.88</v>
      </c>
      <c r="M32" s="96">
        <v>26.77</v>
      </c>
      <c r="N32" s="96">
        <v>26.32</v>
      </c>
      <c r="O32" s="96">
        <v>25.93</v>
      </c>
      <c r="P32" s="96">
        <v>22.78</v>
      </c>
      <c r="Q32" s="96">
        <v>20.420000000000002</v>
      </c>
      <c r="R32" s="96">
        <v>14.05</v>
      </c>
      <c r="S32" s="96">
        <v>11.84</v>
      </c>
      <c r="T32" s="97">
        <v>8.3000000000000007</v>
      </c>
      <c r="U32" s="101">
        <f t="shared" si="0"/>
        <v>0.78383979510680202</v>
      </c>
    </row>
    <row r="33" spans="1:21" x14ac:dyDescent="0.2">
      <c r="A33" s="18" t="s">
        <v>31</v>
      </c>
      <c r="B33" s="21">
        <v>37.630000000000003</v>
      </c>
      <c r="C33" s="17">
        <v>32.08</v>
      </c>
      <c r="D33" s="17">
        <v>32.92</v>
      </c>
      <c r="E33" s="17">
        <v>35.33</v>
      </c>
      <c r="F33" s="17">
        <v>36.07</v>
      </c>
      <c r="G33" s="17">
        <v>34.65</v>
      </c>
      <c r="H33" s="17">
        <v>27.77</v>
      </c>
      <c r="I33" s="31">
        <v>24.72</v>
      </c>
      <c r="J33" s="45">
        <v>13.62</v>
      </c>
      <c r="K33" s="72">
        <f t="shared" si="1"/>
        <v>1</v>
      </c>
      <c r="L33" s="95">
        <v>37.630000000000003</v>
      </c>
      <c r="M33" s="96">
        <v>32.08</v>
      </c>
      <c r="N33" s="96">
        <v>32.92</v>
      </c>
      <c r="O33" s="96">
        <v>35.33</v>
      </c>
      <c r="P33" s="96">
        <v>36.07</v>
      </c>
      <c r="Q33" s="96">
        <v>34.65</v>
      </c>
      <c r="R33" s="96">
        <v>27.77</v>
      </c>
      <c r="S33" s="96">
        <v>24.72</v>
      </c>
      <c r="T33" s="97">
        <v>13.62</v>
      </c>
      <c r="U33" s="101">
        <f t="shared" si="0"/>
        <v>0.76191455945058995</v>
      </c>
    </row>
    <row r="34" spans="1:21" x14ac:dyDescent="0.2">
      <c r="A34" s="18" t="s">
        <v>32</v>
      </c>
      <c r="B34" s="21">
        <v>9.24</v>
      </c>
      <c r="C34" s="17">
        <v>8.9700000000000006</v>
      </c>
      <c r="D34" s="17">
        <v>7.56</v>
      </c>
      <c r="E34" s="17">
        <v>7.12</v>
      </c>
      <c r="F34" s="17">
        <v>6.39</v>
      </c>
      <c r="G34" s="17">
        <v>5.89</v>
      </c>
      <c r="H34" s="17">
        <v>7.48</v>
      </c>
      <c r="I34" s="31">
        <v>3.5</v>
      </c>
      <c r="J34" s="45">
        <v>2.71</v>
      </c>
      <c r="K34" s="72">
        <f t="shared" si="1"/>
        <v>1</v>
      </c>
      <c r="L34" s="95">
        <v>9.24</v>
      </c>
      <c r="M34" s="96">
        <v>8.9700000000000006</v>
      </c>
      <c r="N34" s="96">
        <v>7.56</v>
      </c>
      <c r="O34" s="96">
        <v>7.12</v>
      </c>
      <c r="P34" s="96">
        <v>6.39</v>
      </c>
      <c r="Q34" s="96">
        <v>5.89</v>
      </c>
      <c r="R34" s="96">
        <v>7.48</v>
      </c>
      <c r="S34" s="96">
        <v>3.5</v>
      </c>
      <c r="T34" s="97">
        <v>2.71</v>
      </c>
      <c r="U34" s="101">
        <f t="shared" si="0"/>
        <v>0.65190543005796897</v>
      </c>
    </row>
    <row r="35" spans="1:21" x14ac:dyDescent="0.2">
      <c r="A35" s="18" t="s">
        <v>33</v>
      </c>
      <c r="B35" s="21">
        <v>27.96</v>
      </c>
      <c r="C35" s="17">
        <v>27.97</v>
      </c>
      <c r="D35" s="17">
        <v>26.61</v>
      </c>
      <c r="E35" s="17">
        <v>26.45</v>
      </c>
      <c r="F35" s="17">
        <v>24.86</v>
      </c>
      <c r="G35" s="17">
        <v>21.25</v>
      </c>
      <c r="H35" s="17">
        <v>17.45</v>
      </c>
      <c r="I35" s="31">
        <v>14.94</v>
      </c>
      <c r="J35" s="45">
        <v>10.26</v>
      </c>
      <c r="K35" s="72">
        <f t="shared" si="1"/>
        <v>1</v>
      </c>
      <c r="L35" s="95">
        <v>27.96</v>
      </c>
      <c r="M35" s="96">
        <v>27.97</v>
      </c>
      <c r="N35" s="96">
        <v>26.61</v>
      </c>
      <c r="O35" s="96">
        <v>26.45</v>
      </c>
      <c r="P35" s="96">
        <v>24.86</v>
      </c>
      <c r="Q35" s="96">
        <v>21.25</v>
      </c>
      <c r="R35" s="96">
        <v>17.45</v>
      </c>
      <c r="S35" s="96">
        <v>14.94</v>
      </c>
      <c r="T35" s="97">
        <v>10.26</v>
      </c>
      <c r="U35" s="101">
        <f t="shared" si="0"/>
        <v>0.77320802079533257</v>
      </c>
    </row>
    <row r="36" spans="1:21" x14ac:dyDescent="0.2">
      <c r="A36" s="18" t="s">
        <v>34</v>
      </c>
      <c r="B36" s="21">
        <v>13.92</v>
      </c>
      <c r="C36" s="17">
        <v>13.83</v>
      </c>
      <c r="D36" s="17">
        <v>14.09</v>
      </c>
      <c r="E36" s="17">
        <v>14.54</v>
      </c>
      <c r="F36" s="17">
        <v>14.09</v>
      </c>
      <c r="G36" s="17">
        <v>13.86</v>
      </c>
      <c r="H36" s="17">
        <v>10.94</v>
      </c>
      <c r="I36" s="31">
        <v>9.59</v>
      </c>
      <c r="J36" s="45">
        <v>6.29</v>
      </c>
      <c r="K36" s="72">
        <f t="shared" si="1"/>
        <v>1</v>
      </c>
      <c r="L36" s="95">
        <v>13.92</v>
      </c>
      <c r="M36" s="96">
        <v>13.83</v>
      </c>
      <c r="N36" s="96">
        <v>14.09</v>
      </c>
      <c r="O36" s="96">
        <v>14.54</v>
      </c>
      <c r="P36" s="96">
        <v>14.09</v>
      </c>
      <c r="Q36" s="96">
        <v>13.86</v>
      </c>
      <c r="R36" s="96">
        <v>10.94</v>
      </c>
      <c r="S36" s="96">
        <v>9.59</v>
      </c>
      <c r="T36" s="97">
        <v>6.29</v>
      </c>
      <c r="U36" s="101">
        <f t="shared" si="0"/>
        <v>0.82663170054750967</v>
      </c>
    </row>
    <row r="37" spans="1:21" x14ac:dyDescent="0.2">
      <c r="A37" s="18" t="s">
        <v>35</v>
      </c>
      <c r="B37" s="21">
        <v>4.97</v>
      </c>
      <c r="C37" s="17">
        <v>5.48</v>
      </c>
      <c r="D37" s="17">
        <v>5</v>
      </c>
      <c r="E37" s="17">
        <v>5.84</v>
      </c>
      <c r="F37" s="17">
        <v>4.91</v>
      </c>
      <c r="G37" s="17">
        <v>4.74</v>
      </c>
      <c r="H37" s="17">
        <v>4.18</v>
      </c>
      <c r="I37" s="31">
        <v>3.84</v>
      </c>
      <c r="J37" s="45">
        <v>2.65</v>
      </c>
      <c r="K37" s="72">
        <f t="shared" si="1"/>
        <v>1</v>
      </c>
      <c r="L37" s="95">
        <v>4.97</v>
      </c>
      <c r="M37" s="96">
        <v>5.48</v>
      </c>
      <c r="N37" s="96">
        <v>5</v>
      </c>
      <c r="O37" s="96">
        <v>5.84</v>
      </c>
      <c r="P37" s="96">
        <v>4.91</v>
      </c>
      <c r="Q37" s="96">
        <v>4.74</v>
      </c>
      <c r="R37" s="96">
        <v>4.18</v>
      </c>
      <c r="S37" s="96">
        <v>3.84</v>
      </c>
      <c r="T37" s="97">
        <v>2.65</v>
      </c>
      <c r="U37" s="101">
        <f t="shared" si="0"/>
        <v>0.75009545266663347</v>
      </c>
    </row>
    <row r="38" spans="1:21" x14ac:dyDescent="0.2">
      <c r="A38" s="18" t="s">
        <v>36</v>
      </c>
      <c r="B38" s="21">
        <v>1.84</v>
      </c>
      <c r="C38" s="17">
        <v>1.78</v>
      </c>
      <c r="D38" s="17">
        <v>1.36</v>
      </c>
      <c r="E38" s="17">
        <v>1.7</v>
      </c>
      <c r="F38" s="17">
        <v>1.78</v>
      </c>
      <c r="G38" s="17">
        <v>1.43</v>
      </c>
      <c r="H38" s="17">
        <v>0.88</v>
      </c>
      <c r="I38" s="31">
        <v>0.68</v>
      </c>
      <c r="J38" s="45">
        <v>0.45</v>
      </c>
      <c r="K38" s="72">
        <f t="shared" si="1"/>
        <v>1</v>
      </c>
      <c r="L38" s="95">
        <v>1.84</v>
      </c>
      <c r="M38" s="96">
        <v>1.78</v>
      </c>
      <c r="N38" s="96">
        <v>1.36</v>
      </c>
      <c r="O38" s="96">
        <v>1.7</v>
      </c>
      <c r="P38" s="96">
        <v>1.78</v>
      </c>
      <c r="Q38" s="96">
        <v>1.43</v>
      </c>
      <c r="R38" s="96">
        <v>0.88</v>
      </c>
      <c r="S38" s="96">
        <v>0.68</v>
      </c>
      <c r="T38" s="97">
        <v>0.45</v>
      </c>
      <c r="U38" s="101">
        <f t="shared" si="0"/>
        <v>0.81138396890160336</v>
      </c>
    </row>
    <row r="39" spans="1:21" x14ac:dyDescent="0.2">
      <c r="A39" s="18" t="s">
        <v>37</v>
      </c>
      <c r="B39" s="21">
        <v>0.64</v>
      </c>
      <c r="C39" s="17">
        <v>0.63</v>
      </c>
      <c r="D39" s="17">
        <v>0.77</v>
      </c>
      <c r="E39" s="17">
        <v>0.81</v>
      </c>
      <c r="F39" s="17">
        <v>0.67</v>
      </c>
      <c r="G39" s="17">
        <v>0.59</v>
      </c>
      <c r="H39" s="17">
        <v>0.44</v>
      </c>
      <c r="I39" s="31">
        <v>0.31</v>
      </c>
      <c r="J39" s="45">
        <v>0.24</v>
      </c>
      <c r="K39" s="72">
        <f t="shared" si="1"/>
        <v>1</v>
      </c>
      <c r="L39" s="95">
        <v>0.64</v>
      </c>
      <c r="M39" s="96">
        <v>0.63</v>
      </c>
      <c r="N39" s="96">
        <v>0.77</v>
      </c>
      <c r="O39" s="96">
        <v>0.81</v>
      </c>
      <c r="P39" s="96">
        <v>0.67</v>
      </c>
      <c r="Q39" s="96">
        <v>0.59</v>
      </c>
      <c r="R39" s="96">
        <v>0.44</v>
      </c>
      <c r="S39" s="96">
        <v>0.31</v>
      </c>
      <c r="T39" s="97">
        <v>0.24</v>
      </c>
      <c r="U39" s="101">
        <f t="shared" si="0"/>
        <v>0.80510660908453791</v>
      </c>
    </row>
    <row r="40" spans="1:21" x14ac:dyDescent="0.2">
      <c r="A40" s="18" t="s">
        <v>38</v>
      </c>
      <c r="B40" s="21">
        <v>1.91</v>
      </c>
      <c r="C40" s="17">
        <v>1.1100000000000001</v>
      </c>
      <c r="D40" s="17">
        <v>0.95</v>
      </c>
      <c r="E40" s="17">
        <v>0.99</v>
      </c>
      <c r="F40" s="17">
        <v>0.83</v>
      </c>
      <c r="G40" s="17">
        <v>0.85</v>
      </c>
      <c r="H40" s="17">
        <v>0.53</v>
      </c>
      <c r="I40" s="31">
        <v>0.44</v>
      </c>
      <c r="J40" s="45">
        <v>0.42</v>
      </c>
      <c r="K40" s="72">
        <f t="shared" si="1"/>
        <v>1</v>
      </c>
      <c r="L40" s="95">
        <v>1.91</v>
      </c>
      <c r="M40" s="96">
        <v>1.1100000000000001</v>
      </c>
      <c r="N40" s="96">
        <v>0.95</v>
      </c>
      <c r="O40" s="96">
        <v>0.99</v>
      </c>
      <c r="P40" s="96">
        <v>0.83</v>
      </c>
      <c r="Q40" s="96">
        <v>0.85</v>
      </c>
      <c r="R40" s="96">
        <v>0.53</v>
      </c>
      <c r="S40" s="96">
        <v>0.44</v>
      </c>
      <c r="T40" s="97">
        <v>0.42</v>
      </c>
      <c r="U40" s="101">
        <f t="shared" si="0"/>
        <v>0.36195441571163828</v>
      </c>
    </row>
    <row r="41" spans="1:21" x14ac:dyDescent="0.2">
      <c r="A41" s="18" t="s">
        <v>39</v>
      </c>
      <c r="B41" s="21">
        <v>27.76</v>
      </c>
      <c r="C41" s="17">
        <v>27.28</v>
      </c>
      <c r="D41" s="17">
        <v>26.01</v>
      </c>
      <c r="E41" s="17">
        <v>25.97</v>
      </c>
      <c r="F41" s="17">
        <v>23.88</v>
      </c>
      <c r="G41" s="17">
        <v>21.88</v>
      </c>
      <c r="H41" s="17">
        <v>19.07</v>
      </c>
      <c r="I41" s="31">
        <v>21.55</v>
      </c>
      <c r="J41" s="45">
        <v>13.6</v>
      </c>
      <c r="K41" s="72">
        <f t="shared" si="1"/>
        <v>1.0035877048385533</v>
      </c>
      <c r="L41" s="95">
        <v>27.69</v>
      </c>
      <c r="M41" s="96">
        <v>27.17</v>
      </c>
      <c r="N41" s="96">
        <v>25.92</v>
      </c>
      <c r="O41" s="96">
        <v>25.73</v>
      </c>
      <c r="P41" s="96">
        <v>23.79</v>
      </c>
      <c r="Q41" s="96">
        <v>21.85</v>
      </c>
      <c r="R41" s="96">
        <v>19.010000000000002</v>
      </c>
      <c r="S41" s="96">
        <v>21.5</v>
      </c>
      <c r="T41" s="97">
        <v>13.6</v>
      </c>
      <c r="U41" s="101">
        <f t="shared" si="0"/>
        <v>0.60342493785668594</v>
      </c>
    </row>
    <row r="42" spans="1:21" x14ac:dyDescent="0.2">
      <c r="A42" s="18" t="s">
        <v>40</v>
      </c>
      <c r="B42" s="21">
        <v>2.64</v>
      </c>
      <c r="C42" s="17">
        <v>2.92</v>
      </c>
      <c r="D42" s="17">
        <v>3.04</v>
      </c>
      <c r="E42" s="17">
        <v>3.39</v>
      </c>
      <c r="F42" s="17">
        <v>3.08</v>
      </c>
      <c r="G42" s="17">
        <v>2.87</v>
      </c>
      <c r="H42" s="17">
        <v>2.62</v>
      </c>
      <c r="I42" s="31">
        <v>2.5499999999999998</v>
      </c>
      <c r="J42" s="45">
        <v>2.2799999999999998</v>
      </c>
      <c r="K42" s="72">
        <f t="shared" si="1"/>
        <v>1</v>
      </c>
      <c r="L42" s="95">
        <v>2.64</v>
      </c>
      <c r="M42" s="96">
        <v>2.92</v>
      </c>
      <c r="N42" s="96">
        <v>3.04</v>
      </c>
      <c r="O42" s="96">
        <v>3.39</v>
      </c>
      <c r="P42" s="96">
        <v>3.08</v>
      </c>
      <c r="Q42" s="96">
        <v>2.87</v>
      </c>
      <c r="R42" s="96">
        <v>2.62</v>
      </c>
      <c r="S42" s="96">
        <v>2.5499999999999998</v>
      </c>
      <c r="T42" s="97">
        <v>2.2799999999999998</v>
      </c>
      <c r="U42" s="101"/>
    </row>
    <row r="43" spans="1:21" x14ac:dyDescent="0.2">
      <c r="A43" s="18" t="s">
        <v>41</v>
      </c>
      <c r="B43" s="22">
        <v>3.5</v>
      </c>
      <c r="C43" s="23">
        <v>3.57</v>
      </c>
      <c r="D43" s="23">
        <v>3.47</v>
      </c>
      <c r="E43" s="23">
        <v>3.94</v>
      </c>
      <c r="F43" s="23">
        <v>4.1900000000000004</v>
      </c>
      <c r="G43" s="23">
        <v>3.77</v>
      </c>
      <c r="H43" s="23">
        <v>3.32</v>
      </c>
      <c r="I43" s="33">
        <v>2.96</v>
      </c>
      <c r="J43" s="46">
        <v>1.79</v>
      </c>
      <c r="K43" s="72">
        <f t="shared" si="1"/>
        <v>1</v>
      </c>
      <c r="L43" s="98">
        <v>3.5</v>
      </c>
      <c r="M43" s="99">
        <v>3.57</v>
      </c>
      <c r="N43" s="99">
        <v>3.47</v>
      </c>
      <c r="O43" s="99">
        <v>3.94</v>
      </c>
      <c r="P43" s="99">
        <v>4.1900000000000004</v>
      </c>
      <c r="Q43" s="99">
        <v>3.77</v>
      </c>
      <c r="R43" s="99">
        <v>3.32</v>
      </c>
      <c r="S43" s="99">
        <v>2.96</v>
      </c>
      <c r="T43" s="100">
        <v>1.79</v>
      </c>
      <c r="U43" s="101"/>
    </row>
    <row r="44" spans="1:21" x14ac:dyDescent="0.2">
      <c r="A44" s="47" t="s">
        <v>191</v>
      </c>
      <c r="B44" s="81"/>
      <c r="C44" s="48"/>
      <c r="D44" s="48"/>
      <c r="E44" s="48"/>
      <c r="F44" s="48"/>
      <c r="G44" s="48"/>
      <c r="H44" s="48"/>
      <c r="I44" s="48"/>
      <c r="J44" s="49"/>
      <c r="K44" s="50"/>
      <c r="L44" s="89">
        <v>7.35</v>
      </c>
      <c r="M44" s="90">
        <v>11.04</v>
      </c>
      <c r="N44" s="90">
        <v>10.35</v>
      </c>
      <c r="O44" s="90">
        <v>9.33</v>
      </c>
      <c r="P44" s="90">
        <v>14.36</v>
      </c>
      <c r="Q44" s="90">
        <v>9.27</v>
      </c>
      <c r="R44" s="90">
        <v>7.7</v>
      </c>
      <c r="S44" s="90">
        <v>2.15</v>
      </c>
      <c r="T44" s="91">
        <v>2.4700000000000002</v>
      </c>
      <c r="U44" s="102"/>
    </row>
    <row r="45" spans="1:21" x14ac:dyDescent="0.2">
      <c r="A45" s="82" t="s">
        <v>195</v>
      </c>
      <c r="B45" s="66"/>
      <c r="C45" s="66"/>
      <c r="D45" s="66"/>
      <c r="E45" s="66"/>
      <c r="F45" s="66"/>
      <c r="G45" s="66"/>
      <c r="H45" s="66"/>
      <c r="I45" s="66"/>
      <c r="J45" s="66"/>
      <c r="L45" s="42"/>
      <c r="M45" s="42"/>
      <c r="N45" s="42"/>
      <c r="O45" s="42"/>
      <c r="P45" s="42"/>
      <c r="Q45" s="42"/>
      <c r="R45" s="42"/>
      <c r="S45" s="42"/>
      <c r="T45" s="42"/>
    </row>
    <row r="46" spans="1:21" x14ac:dyDescent="0.2">
      <c r="A46" s="1" t="s">
        <v>72</v>
      </c>
      <c r="B46" s="4">
        <v>2012</v>
      </c>
      <c r="C46" s="4">
        <v>2013</v>
      </c>
      <c r="D46" s="4">
        <v>2014</v>
      </c>
      <c r="E46" s="4">
        <v>2015</v>
      </c>
      <c r="F46" s="4">
        <v>2016</v>
      </c>
      <c r="G46" s="4">
        <v>2017</v>
      </c>
      <c r="H46" s="4">
        <v>2018</v>
      </c>
      <c r="I46" s="34">
        <v>2019</v>
      </c>
      <c r="J46" s="35">
        <v>2020</v>
      </c>
    </row>
    <row r="47" spans="1:21" x14ac:dyDescent="0.2">
      <c r="A47" s="27" t="s">
        <v>140</v>
      </c>
      <c r="B47" s="36">
        <v>8164.5</v>
      </c>
      <c r="C47" s="36">
        <v>9369.5</v>
      </c>
      <c r="D47" s="36">
        <v>9770.7000000000007</v>
      </c>
      <c r="E47" s="36">
        <v>11385</v>
      </c>
      <c r="F47" s="36">
        <v>11829.4</v>
      </c>
      <c r="G47" s="36">
        <v>12200.5</v>
      </c>
      <c r="H47" s="36">
        <v>13035.3</v>
      </c>
      <c r="I47" s="31">
        <v>13690.3</v>
      </c>
      <c r="J47" s="31">
        <v>12829</v>
      </c>
    </row>
    <row r="48" spans="1:21" x14ac:dyDescent="0.2">
      <c r="A48" s="28" t="s">
        <v>141</v>
      </c>
      <c r="B48" s="3">
        <v>8976.1</v>
      </c>
      <c r="C48" s="3">
        <v>9834</v>
      </c>
      <c r="D48" s="3">
        <v>11029.9</v>
      </c>
      <c r="E48" s="3">
        <v>12103.6</v>
      </c>
      <c r="F48" s="3">
        <v>12932</v>
      </c>
      <c r="G48" s="3">
        <v>13276.2</v>
      </c>
      <c r="H48" s="3">
        <v>14264.7</v>
      </c>
      <c r="I48" s="31">
        <v>14880.7</v>
      </c>
      <c r="J48" s="31">
        <v>14256.7</v>
      </c>
    </row>
    <row r="49" spans="1:10" x14ac:dyDescent="0.2">
      <c r="A49" s="28" t="s">
        <v>120</v>
      </c>
      <c r="B49" s="3">
        <v>0.5</v>
      </c>
      <c r="C49" s="2"/>
      <c r="D49" s="3">
        <v>3.4</v>
      </c>
      <c r="E49" s="3">
        <v>17</v>
      </c>
      <c r="F49" s="3">
        <v>20.8</v>
      </c>
      <c r="G49" s="3">
        <v>1.6</v>
      </c>
      <c r="H49" s="3">
        <v>44.5</v>
      </c>
      <c r="I49" s="31">
        <v>33.299999999999997</v>
      </c>
      <c r="J49" s="31">
        <v>48</v>
      </c>
    </row>
    <row r="50" spans="1:10" x14ac:dyDescent="0.2">
      <c r="A50" s="28" t="s">
        <v>121</v>
      </c>
      <c r="B50" s="3">
        <v>291.7</v>
      </c>
      <c r="C50" s="3">
        <v>468.7</v>
      </c>
      <c r="D50" s="3">
        <v>507.5</v>
      </c>
      <c r="E50" s="3">
        <v>589.29999999999995</v>
      </c>
      <c r="F50" s="3">
        <v>969.3</v>
      </c>
      <c r="G50" s="3">
        <v>1051.4000000000001</v>
      </c>
      <c r="H50" s="3">
        <v>1287.9000000000001</v>
      </c>
      <c r="I50" s="31">
        <v>1637.1</v>
      </c>
      <c r="J50" s="31">
        <v>1600</v>
      </c>
    </row>
    <row r="51" spans="1:10" x14ac:dyDescent="0.2">
      <c r="A51" s="28" t="s">
        <v>122</v>
      </c>
      <c r="B51" s="3">
        <v>-520.29999999999995</v>
      </c>
      <c r="C51" s="3">
        <v>4.2</v>
      </c>
      <c r="D51" s="3">
        <v>-755</v>
      </c>
      <c r="E51" s="3">
        <v>-146.30000000000001</v>
      </c>
      <c r="F51" s="3">
        <v>-154.19999999999999</v>
      </c>
      <c r="G51" s="3">
        <v>-26</v>
      </c>
      <c r="H51" s="3">
        <v>13.9</v>
      </c>
      <c r="I51" s="31">
        <v>413.3</v>
      </c>
      <c r="J51" s="31">
        <v>124.3</v>
      </c>
    </row>
    <row r="52" spans="1:10" x14ac:dyDescent="0.2">
      <c r="A52" s="29" t="s">
        <v>142</v>
      </c>
      <c r="B52" s="3">
        <v>8165.9</v>
      </c>
      <c r="C52" s="3">
        <v>9366.4</v>
      </c>
      <c r="D52" s="3">
        <v>9776.4</v>
      </c>
      <c r="E52" s="3">
        <v>11368.5</v>
      </c>
      <c r="F52" s="3">
        <v>11866</v>
      </c>
      <c r="G52" s="3">
        <v>12296.3</v>
      </c>
      <c r="H52" s="3">
        <v>13055.3</v>
      </c>
      <c r="I52" s="31">
        <v>13628</v>
      </c>
      <c r="J52" s="31">
        <v>12767.2</v>
      </c>
    </row>
    <row r="53" spans="1:10" x14ac:dyDescent="0.2">
      <c r="A53" s="28" t="s">
        <v>143</v>
      </c>
      <c r="B53" s="2"/>
      <c r="C53" s="2"/>
      <c r="D53" s="2"/>
      <c r="E53" s="2"/>
      <c r="F53" s="2"/>
      <c r="G53" s="2"/>
      <c r="H53" s="2"/>
      <c r="I53" s="32"/>
      <c r="J53" s="32"/>
    </row>
    <row r="54" spans="1:10" x14ac:dyDescent="0.2">
      <c r="A54" s="28" t="s">
        <v>170</v>
      </c>
      <c r="B54" s="3">
        <v>192.9</v>
      </c>
      <c r="C54" s="3">
        <v>198.7</v>
      </c>
      <c r="D54" s="3">
        <v>216.6</v>
      </c>
      <c r="E54" s="3">
        <v>231.3</v>
      </c>
      <c r="F54" s="3">
        <v>224.4</v>
      </c>
      <c r="G54" s="3">
        <v>229.6</v>
      </c>
      <c r="H54" s="3">
        <v>242.9</v>
      </c>
      <c r="I54" s="31">
        <v>253.2</v>
      </c>
      <c r="J54" s="31">
        <v>257.3</v>
      </c>
    </row>
    <row r="55" spans="1:10" x14ac:dyDescent="0.2">
      <c r="A55" s="28" t="s">
        <v>171</v>
      </c>
      <c r="B55" s="3">
        <v>581.1</v>
      </c>
      <c r="C55" s="3">
        <v>523.4</v>
      </c>
      <c r="D55" s="3">
        <v>489</v>
      </c>
      <c r="E55" s="3">
        <v>477.1</v>
      </c>
      <c r="F55" s="3">
        <v>436.3</v>
      </c>
      <c r="G55" s="3">
        <v>382.1</v>
      </c>
      <c r="H55" s="3">
        <v>296.5</v>
      </c>
      <c r="I55" s="31">
        <v>262</v>
      </c>
      <c r="J55" s="31">
        <v>184</v>
      </c>
    </row>
    <row r="56" spans="1:10" x14ac:dyDescent="0.2">
      <c r="A56" s="28" t="s">
        <v>172</v>
      </c>
      <c r="B56" s="3">
        <v>286.89999999999998</v>
      </c>
      <c r="C56" s="3">
        <v>326.5</v>
      </c>
      <c r="D56" s="3">
        <v>331</v>
      </c>
      <c r="E56" s="3">
        <v>408.6</v>
      </c>
      <c r="F56" s="3">
        <v>437.3</v>
      </c>
      <c r="G56" s="3">
        <v>452.3</v>
      </c>
      <c r="H56" s="3">
        <v>505</v>
      </c>
      <c r="I56" s="31">
        <v>499.9</v>
      </c>
      <c r="J56" s="31">
        <v>508.4</v>
      </c>
    </row>
    <row r="57" spans="1:10" x14ac:dyDescent="0.2">
      <c r="A57" s="28" t="s">
        <v>173</v>
      </c>
      <c r="B57" s="3">
        <v>3778</v>
      </c>
      <c r="C57" s="3">
        <v>4381.8</v>
      </c>
      <c r="D57" s="3">
        <v>4665</v>
      </c>
      <c r="E57" s="3">
        <v>5306.6</v>
      </c>
      <c r="F57" s="3">
        <v>5511.1</v>
      </c>
      <c r="G57" s="3">
        <v>5698.5</v>
      </c>
      <c r="H57" s="3">
        <v>6067.6</v>
      </c>
      <c r="I57" s="31">
        <v>6244.9</v>
      </c>
      <c r="J57" s="31">
        <v>5573.6</v>
      </c>
    </row>
    <row r="58" spans="1:10" x14ac:dyDescent="0.2">
      <c r="A58" s="28" t="s">
        <v>174</v>
      </c>
      <c r="B58" s="3">
        <v>200.1</v>
      </c>
      <c r="C58" s="3">
        <v>220.9</v>
      </c>
      <c r="D58" s="3">
        <v>217.8</v>
      </c>
      <c r="E58" s="3">
        <v>243.3</v>
      </c>
      <c r="F58" s="3">
        <v>240.9</v>
      </c>
      <c r="G58" s="3">
        <v>244.5</v>
      </c>
      <c r="H58" s="3">
        <v>275.5</v>
      </c>
      <c r="I58" s="31">
        <v>287.89999999999998</v>
      </c>
      <c r="J58" s="31">
        <v>273.2</v>
      </c>
    </row>
    <row r="59" spans="1:10" x14ac:dyDescent="0.2">
      <c r="A59" s="28" t="s">
        <v>175</v>
      </c>
      <c r="B59" s="3">
        <v>1460.5</v>
      </c>
      <c r="C59" s="3">
        <v>1818.7</v>
      </c>
      <c r="D59" s="3">
        <v>1738.1</v>
      </c>
      <c r="E59" s="3">
        <v>2108.5</v>
      </c>
      <c r="F59" s="3">
        <v>2046.4</v>
      </c>
      <c r="G59" s="3">
        <v>2075</v>
      </c>
      <c r="H59" s="3">
        <v>2163.6</v>
      </c>
      <c r="I59" s="31">
        <v>2240.9</v>
      </c>
      <c r="J59" s="31">
        <v>2253.1</v>
      </c>
    </row>
    <row r="60" spans="1:10" x14ac:dyDescent="0.2">
      <c r="A60" s="28" t="s">
        <v>176</v>
      </c>
      <c r="B60" s="3">
        <v>1666.5</v>
      </c>
      <c r="C60" s="3">
        <v>1896.4</v>
      </c>
      <c r="D60" s="3">
        <v>2118.8000000000002</v>
      </c>
      <c r="E60" s="3">
        <v>2593.1</v>
      </c>
      <c r="F60" s="3">
        <v>2969.7</v>
      </c>
      <c r="G60" s="3">
        <v>3214.2</v>
      </c>
      <c r="H60" s="3">
        <v>3504.2</v>
      </c>
      <c r="I60" s="31">
        <v>3839.1</v>
      </c>
      <c r="J60" s="31">
        <v>3717.6</v>
      </c>
    </row>
    <row r="61" spans="1:10" x14ac:dyDescent="0.2">
      <c r="A61" s="30" t="s">
        <v>139</v>
      </c>
      <c r="B61" s="37">
        <v>-1.4</v>
      </c>
      <c r="C61" s="37">
        <v>3.2</v>
      </c>
      <c r="D61" s="37">
        <v>-5.7</v>
      </c>
      <c r="E61" s="37">
        <v>16.600000000000001</v>
      </c>
      <c r="F61" s="37">
        <v>-36.700000000000003</v>
      </c>
      <c r="G61" s="37">
        <v>-95.8</v>
      </c>
      <c r="H61" s="37">
        <v>-20</v>
      </c>
      <c r="I61" s="33">
        <v>62.3</v>
      </c>
      <c r="J61" s="33">
        <v>61.9</v>
      </c>
    </row>
  </sheetData>
  <mergeCells count="2">
    <mergeCell ref="B1:J1"/>
    <mergeCell ref="L1:T1"/>
  </mergeCells>
  <phoneticPr fontId="3" type="noConversion"/>
  <conditionalFormatting sqref="K3:K43">
    <cfRule type="cellIs" dxfId="7"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1E324-10D9-4D69-BA5F-B4D82B89340C}">
  <sheetPr codeName="Sheet10"/>
  <dimension ref="A1:U69"/>
  <sheetViews>
    <sheetView topLeftCell="A4" zoomScale="85" zoomScaleNormal="85" workbookViewId="0">
      <selection activeCell="B2" sqref="B1:U1048576"/>
    </sheetView>
  </sheetViews>
  <sheetFormatPr defaultRowHeight="14.25" x14ac:dyDescent="0.2"/>
  <cols>
    <col min="1" max="1" width="36.625" bestFit="1" customWidth="1"/>
    <col min="2" max="21" width="10"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215.21</v>
      </c>
      <c r="C3" s="26">
        <v>211.58</v>
      </c>
      <c r="D3" s="26">
        <v>196.37</v>
      </c>
      <c r="E3" s="26">
        <v>165.03</v>
      </c>
      <c r="F3" s="26">
        <v>153.04</v>
      </c>
      <c r="G3" s="26">
        <v>155.83000000000001</v>
      </c>
      <c r="H3" s="26">
        <v>163.16</v>
      </c>
      <c r="I3" s="43">
        <v>152.71</v>
      </c>
      <c r="J3" s="44">
        <v>147.53</v>
      </c>
      <c r="K3" s="72">
        <f>SUM(B3:J3)/SUM(L3:T3)</f>
        <v>1.0008915571462476</v>
      </c>
      <c r="L3" s="92">
        <v>214.98</v>
      </c>
      <c r="M3" s="93">
        <v>211.45</v>
      </c>
      <c r="N3" s="93">
        <v>196.25</v>
      </c>
      <c r="O3" s="93">
        <v>164.84</v>
      </c>
      <c r="P3" s="93">
        <v>152.94999999999999</v>
      </c>
      <c r="Q3" s="93">
        <v>155.51</v>
      </c>
      <c r="R3" s="93">
        <v>163.07</v>
      </c>
      <c r="S3" s="93">
        <v>152.6</v>
      </c>
      <c r="T3" s="94">
        <v>147.41999999999999</v>
      </c>
      <c r="U3" s="101">
        <f t="shared" ref="U3:U41" si="0">CORREL(L$44:T$44,L3:T3)</f>
        <v>2.3949304113284751E-2</v>
      </c>
    </row>
    <row r="4" spans="1:21" x14ac:dyDescent="0.2">
      <c r="A4" s="18" t="s">
        <v>3</v>
      </c>
      <c r="B4" s="21">
        <v>63.41</v>
      </c>
      <c r="C4" s="17">
        <v>61.01</v>
      </c>
      <c r="D4" s="17">
        <v>53.91</v>
      </c>
      <c r="E4" s="17">
        <v>47.5</v>
      </c>
      <c r="F4" s="17">
        <v>49.32</v>
      </c>
      <c r="G4" s="17">
        <v>41.34</v>
      </c>
      <c r="H4" s="17">
        <v>40.86</v>
      </c>
      <c r="I4" s="31">
        <v>40.590000000000003</v>
      </c>
      <c r="J4" s="45">
        <v>25.03</v>
      </c>
      <c r="K4" s="72">
        <f t="shared" ref="K4:K43" si="1">SUM(B4:J4)/SUM(L4:T4)</f>
        <v>1.0009939652112179</v>
      </c>
      <c r="L4" s="95">
        <v>63.23</v>
      </c>
      <c r="M4" s="96">
        <v>60.88</v>
      </c>
      <c r="N4" s="96">
        <v>53.91</v>
      </c>
      <c r="O4" s="96">
        <v>47.5</v>
      </c>
      <c r="P4" s="96">
        <v>49.32</v>
      </c>
      <c r="Q4" s="96">
        <v>41.34</v>
      </c>
      <c r="R4" s="96">
        <v>40.81</v>
      </c>
      <c r="S4" s="96">
        <v>40.56</v>
      </c>
      <c r="T4" s="97">
        <v>25</v>
      </c>
      <c r="U4" s="101">
        <f t="shared" si="0"/>
        <v>0.22785838379794685</v>
      </c>
    </row>
    <row r="5" spans="1:21" x14ac:dyDescent="0.2">
      <c r="A5" s="18" t="s">
        <v>4</v>
      </c>
      <c r="B5" s="21">
        <v>112.98</v>
      </c>
      <c r="C5" s="17">
        <v>109.96</v>
      </c>
      <c r="D5" s="17">
        <v>105.69</v>
      </c>
      <c r="E5" s="17">
        <v>82.87</v>
      </c>
      <c r="F5" s="17">
        <v>62.74</v>
      </c>
      <c r="G5" s="10">
        <v>56.43</v>
      </c>
      <c r="H5" s="17">
        <v>50.15</v>
      </c>
      <c r="I5" s="31">
        <v>42.54</v>
      </c>
      <c r="J5" s="45">
        <v>34.909999999999997</v>
      </c>
      <c r="K5" s="72">
        <f t="shared" si="1"/>
        <v>1.0004711532615964</v>
      </c>
      <c r="L5" s="95">
        <v>112.8</v>
      </c>
      <c r="M5" s="96">
        <v>109.85</v>
      </c>
      <c r="N5" s="96">
        <v>105.69</v>
      </c>
      <c r="O5" s="96">
        <v>82.87</v>
      </c>
      <c r="P5" s="96">
        <v>62.74</v>
      </c>
      <c r="Q5" s="96">
        <v>56.43</v>
      </c>
      <c r="R5" s="96">
        <v>50.15</v>
      </c>
      <c r="S5" s="96">
        <v>42.54</v>
      </c>
      <c r="T5" s="97">
        <v>34.89</v>
      </c>
      <c r="U5" s="101">
        <f t="shared" si="0"/>
        <v>0.17439726983779827</v>
      </c>
    </row>
    <row r="6" spans="1:21" x14ac:dyDescent="0.2">
      <c r="A6" s="18" t="s">
        <v>5</v>
      </c>
      <c r="B6" s="15">
        <v>35.36</v>
      </c>
      <c r="C6" s="17">
        <v>35.090000000000003</v>
      </c>
      <c r="D6" s="17">
        <v>31.73</v>
      </c>
      <c r="E6" s="17">
        <v>30.6</v>
      </c>
      <c r="F6" s="17">
        <v>32.22</v>
      </c>
      <c r="G6" s="17">
        <v>27.65</v>
      </c>
      <c r="H6" s="17">
        <v>24.33</v>
      </c>
      <c r="I6" s="31">
        <v>21.82</v>
      </c>
      <c r="J6" s="45">
        <v>16.57</v>
      </c>
      <c r="K6" s="72">
        <f t="shared" si="1"/>
        <v>1.0004701273261509</v>
      </c>
      <c r="L6" s="95">
        <v>35.299999999999997</v>
      </c>
      <c r="M6" s="96">
        <v>35.03</v>
      </c>
      <c r="N6" s="96">
        <v>31.73</v>
      </c>
      <c r="O6" s="96">
        <v>30.6</v>
      </c>
      <c r="P6" s="96">
        <v>32.22</v>
      </c>
      <c r="Q6" s="96">
        <v>27.65</v>
      </c>
      <c r="R6" s="96">
        <v>24.33</v>
      </c>
      <c r="S6" s="96">
        <v>21.82</v>
      </c>
      <c r="T6" s="97">
        <v>16.57</v>
      </c>
      <c r="U6" s="101">
        <f t="shared" si="0"/>
        <v>0.3405407055124231</v>
      </c>
    </row>
    <row r="7" spans="1:21" x14ac:dyDescent="0.2">
      <c r="A7" s="18" t="s">
        <v>6</v>
      </c>
      <c r="B7" s="21">
        <v>65.78</v>
      </c>
      <c r="C7" s="17">
        <v>71.67</v>
      </c>
      <c r="D7" s="17">
        <v>68.27</v>
      </c>
      <c r="E7" s="17">
        <v>70.8</v>
      </c>
      <c r="F7" s="17">
        <v>64.930000000000007</v>
      </c>
      <c r="G7" s="17">
        <v>56.29</v>
      </c>
      <c r="H7" s="17">
        <v>52.28</v>
      </c>
      <c r="I7" s="31">
        <v>53.82</v>
      </c>
      <c r="J7" s="45">
        <v>47.86</v>
      </c>
      <c r="K7" s="72">
        <f t="shared" si="1"/>
        <v>1.0003807865963117</v>
      </c>
      <c r="L7" s="95">
        <v>65.77</v>
      </c>
      <c r="M7" s="96">
        <v>71.66</v>
      </c>
      <c r="N7" s="96">
        <v>68.27</v>
      </c>
      <c r="O7" s="96">
        <v>70.8</v>
      </c>
      <c r="P7" s="96">
        <v>64.930000000000007</v>
      </c>
      <c r="Q7" s="96">
        <v>56.2</v>
      </c>
      <c r="R7" s="96">
        <v>52.25</v>
      </c>
      <c r="S7" s="96">
        <v>53.79</v>
      </c>
      <c r="T7" s="97">
        <v>47.82</v>
      </c>
      <c r="U7" s="101">
        <f t="shared" si="0"/>
        <v>0.38000195822193183</v>
      </c>
    </row>
    <row r="8" spans="1:21" x14ac:dyDescent="0.2">
      <c r="A8" s="18" t="s">
        <v>7</v>
      </c>
      <c r="B8" s="21">
        <v>139.01</v>
      </c>
      <c r="C8" s="17">
        <v>107.61</v>
      </c>
      <c r="D8" s="17">
        <v>117.65</v>
      </c>
      <c r="E8" s="17">
        <v>93.6</v>
      </c>
      <c r="F8" s="17">
        <v>73.819999999999993</v>
      </c>
      <c r="G8" s="17">
        <v>100.87</v>
      </c>
      <c r="H8" s="17">
        <v>136.51</v>
      </c>
      <c r="I8" s="31">
        <v>153.85</v>
      </c>
      <c r="J8" s="45">
        <v>105.17</v>
      </c>
      <c r="K8" s="72">
        <f t="shared" si="1"/>
        <v>1</v>
      </c>
      <c r="L8" s="95">
        <v>139.01</v>
      </c>
      <c r="M8" s="96">
        <v>107.61</v>
      </c>
      <c r="N8" s="96">
        <v>117.65</v>
      </c>
      <c r="O8" s="96">
        <v>93.6</v>
      </c>
      <c r="P8" s="96">
        <v>73.819999999999993</v>
      </c>
      <c r="Q8" s="96">
        <v>100.87</v>
      </c>
      <c r="R8" s="96">
        <v>136.51</v>
      </c>
      <c r="S8" s="96">
        <v>153.85</v>
      </c>
      <c r="T8" s="97">
        <v>105.17</v>
      </c>
      <c r="U8" s="101">
        <f t="shared" si="0"/>
        <v>-0.43998887435157341</v>
      </c>
    </row>
    <row r="9" spans="1:21" x14ac:dyDescent="0.2">
      <c r="A9" s="18" t="s">
        <v>8</v>
      </c>
      <c r="B9" s="15">
        <v>0.02</v>
      </c>
      <c r="C9" s="10">
        <v>0.28999999999999998</v>
      </c>
      <c r="D9" s="10">
        <v>0.42</v>
      </c>
      <c r="E9" s="10">
        <v>0.13</v>
      </c>
      <c r="F9" s="10">
        <v>0.13</v>
      </c>
      <c r="G9" s="10">
        <v>0.42</v>
      </c>
      <c r="H9" s="10">
        <v>0.08</v>
      </c>
      <c r="I9" s="32">
        <v>0.1</v>
      </c>
      <c r="J9" s="58">
        <v>0.23</v>
      </c>
      <c r="K9" s="72">
        <f t="shared" si="1"/>
        <v>1</v>
      </c>
      <c r="L9" s="95">
        <v>0.02</v>
      </c>
      <c r="M9" s="96">
        <v>0.28999999999999998</v>
      </c>
      <c r="N9" s="96">
        <v>0.42</v>
      </c>
      <c r="O9" s="96">
        <v>0.13</v>
      </c>
      <c r="P9" s="96">
        <v>0.13</v>
      </c>
      <c r="Q9" s="96">
        <v>0.42</v>
      </c>
      <c r="R9" s="96">
        <v>0.08</v>
      </c>
      <c r="S9" s="96">
        <v>0.1</v>
      </c>
      <c r="T9" s="97">
        <v>0.23</v>
      </c>
      <c r="U9" s="101">
        <f t="shared" si="0"/>
        <v>-0.23396238640677336</v>
      </c>
    </row>
    <row r="10" spans="1:21" x14ac:dyDescent="0.2">
      <c r="A10" s="18" t="s">
        <v>9</v>
      </c>
      <c r="B10" s="21">
        <v>50.83</v>
      </c>
      <c r="C10" s="17">
        <v>51.17</v>
      </c>
      <c r="D10" s="17">
        <v>49.36</v>
      </c>
      <c r="E10" s="17">
        <v>47.78</v>
      </c>
      <c r="F10" s="17">
        <v>42</v>
      </c>
      <c r="G10" s="17">
        <v>36.35</v>
      </c>
      <c r="H10" s="17">
        <v>25.59</v>
      </c>
      <c r="I10" s="31">
        <v>21.55</v>
      </c>
      <c r="J10" s="45">
        <v>12.34</v>
      </c>
      <c r="K10" s="72">
        <f t="shared" si="1"/>
        <v>1.0011289699634569</v>
      </c>
      <c r="L10" s="95">
        <v>50.78</v>
      </c>
      <c r="M10" s="96">
        <v>51.13</v>
      </c>
      <c r="N10" s="96">
        <v>49.3</v>
      </c>
      <c r="O10" s="96">
        <v>47.72</v>
      </c>
      <c r="P10" s="96">
        <v>41.95</v>
      </c>
      <c r="Q10" s="96">
        <v>36.31</v>
      </c>
      <c r="R10" s="96">
        <v>25.56</v>
      </c>
      <c r="S10" s="96">
        <v>21.51</v>
      </c>
      <c r="T10" s="97">
        <v>12.33</v>
      </c>
      <c r="U10" s="101">
        <f t="shared" si="0"/>
        <v>0.30696866141604184</v>
      </c>
    </row>
    <row r="11" spans="1:21" x14ac:dyDescent="0.2">
      <c r="A11" s="18" t="s">
        <v>10</v>
      </c>
      <c r="B11" s="21">
        <v>22.62</v>
      </c>
      <c r="C11" s="17">
        <v>20.65</v>
      </c>
      <c r="D11" s="17">
        <v>16.82</v>
      </c>
      <c r="E11" s="17">
        <v>15.99</v>
      </c>
      <c r="F11" s="17">
        <v>14.5</v>
      </c>
      <c r="G11" s="17">
        <v>13.31</v>
      </c>
      <c r="H11" s="17">
        <v>9.52</v>
      </c>
      <c r="I11" s="31">
        <v>8.26</v>
      </c>
      <c r="J11" s="45">
        <v>5.01</v>
      </c>
      <c r="K11" s="72">
        <f t="shared" si="1"/>
        <v>1.0003948511411198</v>
      </c>
      <c r="L11" s="95">
        <v>22.62</v>
      </c>
      <c r="M11" s="96">
        <v>20.65</v>
      </c>
      <c r="N11" s="96">
        <v>16.82</v>
      </c>
      <c r="O11" s="96">
        <v>15.99</v>
      </c>
      <c r="P11" s="96">
        <v>14.45</v>
      </c>
      <c r="Q11" s="96">
        <v>13.31</v>
      </c>
      <c r="R11" s="96">
        <v>9.52</v>
      </c>
      <c r="S11" s="96">
        <v>8.26</v>
      </c>
      <c r="T11" s="97">
        <v>5.01</v>
      </c>
      <c r="U11" s="101">
        <f t="shared" si="0"/>
        <v>0.15976277548771428</v>
      </c>
    </row>
    <row r="12" spans="1:21" x14ac:dyDescent="0.2">
      <c r="A12" s="18" t="s">
        <v>11</v>
      </c>
      <c r="B12" s="21">
        <v>13.9</v>
      </c>
      <c r="C12" s="17">
        <v>12.1</v>
      </c>
      <c r="D12" s="17">
        <v>11.25</v>
      </c>
      <c r="E12" s="17">
        <v>11.22</v>
      </c>
      <c r="F12" s="17">
        <v>10.34</v>
      </c>
      <c r="G12" s="17">
        <v>8.24</v>
      </c>
      <c r="H12" s="17">
        <v>6.13</v>
      </c>
      <c r="I12" s="31">
        <v>4.7699999999999996</v>
      </c>
      <c r="J12" s="45">
        <v>2.89</v>
      </c>
      <c r="K12" s="72">
        <f t="shared" si="1"/>
        <v>1</v>
      </c>
      <c r="L12" s="95">
        <v>13.9</v>
      </c>
      <c r="M12" s="96">
        <v>12.1</v>
      </c>
      <c r="N12" s="96">
        <v>11.25</v>
      </c>
      <c r="O12" s="96">
        <v>11.22</v>
      </c>
      <c r="P12" s="96">
        <v>10.34</v>
      </c>
      <c r="Q12" s="96">
        <v>8.24</v>
      </c>
      <c r="R12" s="96">
        <v>6.13</v>
      </c>
      <c r="S12" s="96">
        <v>4.7699999999999996</v>
      </c>
      <c r="T12" s="97">
        <v>2.89</v>
      </c>
      <c r="U12" s="101">
        <f t="shared" si="0"/>
        <v>0.2986761834303166</v>
      </c>
    </row>
    <row r="13" spans="1:21" x14ac:dyDescent="0.2">
      <c r="A13" s="18" t="s">
        <v>12</v>
      </c>
      <c r="B13" s="21">
        <v>3.36</v>
      </c>
      <c r="C13" s="17">
        <v>3.18</v>
      </c>
      <c r="D13" s="17">
        <v>2.2599999999999998</v>
      </c>
      <c r="E13" s="17">
        <v>1.78</v>
      </c>
      <c r="F13" s="17">
        <v>1.31</v>
      </c>
      <c r="G13" s="17">
        <v>1.32</v>
      </c>
      <c r="H13" s="17">
        <v>1.66</v>
      </c>
      <c r="I13" s="31">
        <v>1.04</v>
      </c>
      <c r="J13" s="45">
        <v>0.55000000000000004</v>
      </c>
      <c r="K13" s="72">
        <f t="shared" si="1"/>
        <v>1</v>
      </c>
      <c r="L13" s="95">
        <v>3.36</v>
      </c>
      <c r="M13" s="96">
        <v>3.18</v>
      </c>
      <c r="N13" s="96">
        <v>2.2599999999999998</v>
      </c>
      <c r="O13" s="96">
        <v>1.78</v>
      </c>
      <c r="P13" s="96">
        <v>1.31</v>
      </c>
      <c r="Q13" s="96">
        <v>1.32</v>
      </c>
      <c r="R13" s="96">
        <v>1.66</v>
      </c>
      <c r="S13" s="96">
        <v>1.04</v>
      </c>
      <c r="T13" s="97">
        <v>0.55000000000000004</v>
      </c>
      <c r="U13" s="101">
        <f t="shared" si="0"/>
        <v>9.5441266219315479E-2</v>
      </c>
    </row>
    <row r="14" spans="1:21" x14ac:dyDescent="0.2">
      <c r="A14" s="18" t="s">
        <v>13</v>
      </c>
      <c r="B14" s="21">
        <v>20.2</v>
      </c>
      <c r="C14" s="17">
        <v>17.670000000000002</v>
      </c>
      <c r="D14" s="17">
        <v>15.75</v>
      </c>
      <c r="E14" s="17">
        <v>14.76</v>
      </c>
      <c r="F14" s="17">
        <v>12.92</v>
      </c>
      <c r="G14" s="17">
        <v>21.29</v>
      </c>
      <c r="H14" s="17">
        <v>7.28</v>
      </c>
      <c r="I14" s="31">
        <v>6</v>
      </c>
      <c r="J14" s="45">
        <v>3.9</v>
      </c>
      <c r="K14" s="72">
        <f t="shared" si="1"/>
        <v>1.0185389914108343</v>
      </c>
      <c r="L14" s="95">
        <v>19.920000000000002</v>
      </c>
      <c r="M14" s="96">
        <v>17.329999999999998</v>
      </c>
      <c r="N14" s="96">
        <v>15.49</v>
      </c>
      <c r="O14" s="96">
        <v>14.47</v>
      </c>
      <c r="P14" s="96">
        <v>12.65</v>
      </c>
      <c r="Q14" s="96">
        <v>20.9</v>
      </c>
      <c r="R14" s="96">
        <v>7.12</v>
      </c>
      <c r="S14" s="96">
        <v>5.91</v>
      </c>
      <c r="T14" s="97">
        <v>3.8</v>
      </c>
      <c r="U14" s="101">
        <f t="shared" si="0"/>
        <v>-9.7458660236749414E-2</v>
      </c>
    </row>
    <row r="15" spans="1:21" x14ac:dyDescent="0.2">
      <c r="A15" s="18" t="s">
        <v>14</v>
      </c>
      <c r="B15" s="21">
        <v>20.85</v>
      </c>
      <c r="C15" s="17">
        <v>17.510000000000002</v>
      </c>
      <c r="D15" s="17">
        <v>14.53</v>
      </c>
      <c r="E15" s="17">
        <v>13.82</v>
      </c>
      <c r="F15" s="17">
        <v>12</v>
      </c>
      <c r="G15" s="17">
        <v>9.83</v>
      </c>
      <c r="H15" s="17">
        <v>5.45</v>
      </c>
      <c r="I15" s="31">
        <v>5.37</v>
      </c>
      <c r="J15" s="45">
        <v>2.1800000000000002</v>
      </c>
      <c r="K15" s="72">
        <f t="shared" si="1"/>
        <v>1.0001970055161546</v>
      </c>
      <c r="L15" s="95">
        <v>20.85</v>
      </c>
      <c r="M15" s="96">
        <v>17.510000000000002</v>
      </c>
      <c r="N15" s="96">
        <v>14.53</v>
      </c>
      <c r="O15" s="96">
        <v>13.82</v>
      </c>
      <c r="P15" s="96">
        <v>12</v>
      </c>
      <c r="Q15" s="96">
        <v>9.83</v>
      </c>
      <c r="R15" s="96">
        <v>5.45</v>
      </c>
      <c r="S15" s="96">
        <v>5.37</v>
      </c>
      <c r="T15" s="97">
        <v>2.16</v>
      </c>
      <c r="U15" s="101">
        <f t="shared" si="0"/>
        <v>0.1608449675401081</v>
      </c>
    </row>
    <row r="16" spans="1:21" x14ac:dyDescent="0.2">
      <c r="A16" s="18" t="s">
        <v>15</v>
      </c>
      <c r="B16" s="21">
        <v>8.69</v>
      </c>
      <c r="C16" s="17">
        <v>7.25</v>
      </c>
      <c r="D16" s="17">
        <v>5.77</v>
      </c>
      <c r="E16" s="17">
        <v>5.37</v>
      </c>
      <c r="F16" s="17">
        <v>4.47</v>
      </c>
      <c r="G16" s="17">
        <v>4.04</v>
      </c>
      <c r="H16" s="17">
        <v>2.2000000000000002</v>
      </c>
      <c r="I16" s="31">
        <v>1.94</v>
      </c>
      <c r="J16" s="45">
        <v>1</v>
      </c>
      <c r="K16" s="72">
        <f t="shared" si="1"/>
        <v>1</v>
      </c>
      <c r="L16" s="95">
        <v>8.69</v>
      </c>
      <c r="M16" s="96">
        <v>7.25</v>
      </c>
      <c r="N16" s="96">
        <v>5.77</v>
      </c>
      <c r="O16" s="96">
        <v>5.37</v>
      </c>
      <c r="P16" s="96">
        <v>4.47</v>
      </c>
      <c r="Q16" s="96">
        <v>4.04</v>
      </c>
      <c r="R16" s="96">
        <v>2.2000000000000002</v>
      </c>
      <c r="S16" s="96">
        <v>1.94</v>
      </c>
      <c r="T16" s="97">
        <v>1</v>
      </c>
      <c r="U16" s="101">
        <f t="shared" si="0"/>
        <v>0.11579107372264019</v>
      </c>
    </row>
    <row r="17" spans="1:21" x14ac:dyDescent="0.2">
      <c r="A17" s="18" t="s">
        <v>16</v>
      </c>
      <c r="B17" s="21">
        <v>14.32</v>
      </c>
      <c r="C17" s="17">
        <v>13.84</v>
      </c>
      <c r="D17" s="17">
        <v>12.19</v>
      </c>
      <c r="E17" s="17">
        <v>11.86</v>
      </c>
      <c r="F17" s="17">
        <v>10.23</v>
      </c>
      <c r="G17" s="17">
        <v>8.73</v>
      </c>
      <c r="H17" s="17">
        <v>5.74</v>
      </c>
      <c r="I17" s="31">
        <v>5.21</v>
      </c>
      <c r="J17" s="45">
        <v>3.88</v>
      </c>
      <c r="K17" s="72">
        <f t="shared" si="1"/>
        <v>1</v>
      </c>
      <c r="L17" s="95">
        <v>14.32</v>
      </c>
      <c r="M17" s="96">
        <v>13.84</v>
      </c>
      <c r="N17" s="96">
        <v>12.19</v>
      </c>
      <c r="O17" s="96">
        <v>11.86</v>
      </c>
      <c r="P17" s="96">
        <v>10.23</v>
      </c>
      <c r="Q17" s="96">
        <v>8.73</v>
      </c>
      <c r="R17" s="96">
        <v>5.74</v>
      </c>
      <c r="S17" s="96">
        <v>5.21</v>
      </c>
      <c r="T17" s="97">
        <v>3.88</v>
      </c>
      <c r="U17" s="101">
        <f t="shared" si="0"/>
        <v>0.22676048429861242</v>
      </c>
    </row>
    <row r="18" spans="1:21" x14ac:dyDescent="0.2">
      <c r="A18" s="18" t="s">
        <v>17</v>
      </c>
      <c r="B18" s="21">
        <v>7.68</v>
      </c>
      <c r="C18" s="17">
        <v>7.61</v>
      </c>
      <c r="D18" s="17">
        <v>7.31</v>
      </c>
      <c r="E18" s="17">
        <v>7.26</v>
      </c>
      <c r="F18" s="17">
        <v>5.89</v>
      </c>
      <c r="G18" s="17">
        <v>4.96</v>
      </c>
      <c r="H18" s="17">
        <v>3.83</v>
      </c>
      <c r="I18" s="31">
        <v>2.99</v>
      </c>
      <c r="J18" s="45">
        <v>1.88</v>
      </c>
      <c r="K18" s="72">
        <f t="shared" si="1"/>
        <v>1</v>
      </c>
      <c r="L18" s="95">
        <v>7.68</v>
      </c>
      <c r="M18" s="96">
        <v>7.61</v>
      </c>
      <c r="N18" s="96">
        <v>7.31</v>
      </c>
      <c r="O18" s="96">
        <v>7.26</v>
      </c>
      <c r="P18" s="96">
        <v>5.89</v>
      </c>
      <c r="Q18" s="96">
        <v>4.96</v>
      </c>
      <c r="R18" s="96">
        <v>3.83</v>
      </c>
      <c r="S18" s="96">
        <v>2.99</v>
      </c>
      <c r="T18" s="97">
        <v>1.88</v>
      </c>
      <c r="U18" s="101">
        <f t="shared" si="0"/>
        <v>0.31643484602347943</v>
      </c>
    </row>
    <row r="19" spans="1:21" x14ac:dyDescent="0.2">
      <c r="A19" s="18" t="s">
        <v>18</v>
      </c>
      <c r="B19" s="21">
        <v>20.71</v>
      </c>
      <c r="C19" s="17">
        <v>19.899999999999999</v>
      </c>
      <c r="D19" s="17">
        <v>19.23</v>
      </c>
      <c r="E19" s="17">
        <v>17.79</v>
      </c>
      <c r="F19" s="17">
        <v>17.32</v>
      </c>
      <c r="G19" s="17">
        <v>15.89</v>
      </c>
      <c r="H19" s="17">
        <v>15.29</v>
      </c>
      <c r="I19" s="31">
        <v>15.49</v>
      </c>
      <c r="J19" s="45">
        <v>10.38</v>
      </c>
      <c r="K19" s="72">
        <f t="shared" si="1"/>
        <v>1.032819188693348</v>
      </c>
      <c r="L19" s="95">
        <v>20.16</v>
      </c>
      <c r="M19" s="96">
        <v>19.420000000000002</v>
      </c>
      <c r="N19" s="96">
        <v>18.79</v>
      </c>
      <c r="O19" s="96">
        <v>17.489999999999998</v>
      </c>
      <c r="P19" s="96">
        <v>16.899999999999999</v>
      </c>
      <c r="Q19" s="96">
        <v>15.59</v>
      </c>
      <c r="R19" s="96">
        <v>14.6</v>
      </c>
      <c r="S19" s="96">
        <v>14.99</v>
      </c>
      <c r="T19" s="97">
        <v>9.23</v>
      </c>
      <c r="U19" s="101">
        <f t="shared" si="0"/>
        <v>0.22448072386126455</v>
      </c>
    </row>
    <row r="20" spans="1:21" x14ac:dyDescent="0.2">
      <c r="A20" s="18" t="s">
        <v>19</v>
      </c>
      <c r="B20" s="21">
        <v>6.18</v>
      </c>
      <c r="C20" s="17">
        <v>6.45</v>
      </c>
      <c r="D20" s="17">
        <v>6.94</v>
      </c>
      <c r="E20" s="17">
        <v>6.58</v>
      </c>
      <c r="F20" s="17">
        <v>5.99</v>
      </c>
      <c r="G20" s="17">
        <v>5.82</v>
      </c>
      <c r="H20" s="17">
        <v>4.38</v>
      </c>
      <c r="I20" s="31">
        <v>4.22</v>
      </c>
      <c r="J20" s="45">
        <v>3.12</v>
      </c>
      <c r="K20" s="72">
        <f t="shared" si="1"/>
        <v>1</v>
      </c>
      <c r="L20" s="95">
        <v>6.18</v>
      </c>
      <c r="M20" s="96">
        <v>6.45</v>
      </c>
      <c r="N20" s="96">
        <v>6.94</v>
      </c>
      <c r="O20" s="96">
        <v>6.58</v>
      </c>
      <c r="P20" s="96">
        <v>5.99</v>
      </c>
      <c r="Q20" s="96">
        <v>5.82</v>
      </c>
      <c r="R20" s="96">
        <v>4.38</v>
      </c>
      <c r="S20" s="96">
        <v>4.22</v>
      </c>
      <c r="T20" s="97">
        <v>3.12</v>
      </c>
      <c r="U20" s="101">
        <f t="shared" si="0"/>
        <v>0.30172947871505157</v>
      </c>
    </row>
    <row r="21" spans="1:21" x14ac:dyDescent="0.2">
      <c r="A21" s="18" t="s">
        <v>20</v>
      </c>
      <c r="B21" s="21">
        <v>9.3800000000000008</v>
      </c>
      <c r="C21" s="17">
        <v>9.2899999999999991</v>
      </c>
      <c r="D21" s="17">
        <v>8.59</v>
      </c>
      <c r="E21" s="17">
        <v>7.86</v>
      </c>
      <c r="F21" s="17">
        <v>7.88</v>
      </c>
      <c r="G21" s="17">
        <v>6.55</v>
      </c>
      <c r="H21" s="17">
        <v>4.42</v>
      </c>
      <c r="I21" s="31">
        <v>3.49</v>
      </c>
      <c r="J21" s="45">
        <v>1.98</v>
      </c>
      <c r="K21" s="72">
        <f t="shared" si="1"/>
        <v>1</v>
      </c>
      <c r="L21" s="95">
        <v>9.3800000000000008</v>
      </c>
      <c r="M21" s="96">
        <v>9.2899999999999991</v>
      </c>
      <c r="N21" s="96">
        <v>8.59</v>
      </c>
      <c r="O21" s="96">
        <v>7.86</v>
      </c>
      <c r="P21" s="96">
        <v>7.88</v>
      </c>
      <c r="Q21" s="96">
        <v>6.55</v>
      </c>
      <c r="R21" s="96">
        <v>4.42</v>
      </c>
      <c r="S21" s="96">
        <v>3.49</v>
      </c>
      <c r="T21" s="97">
        <v>1.98</v>
      </c>
      <c r="U21" s="101">
        <f t="shared" si="0"/>
        <v>0.30905042797551102</v>
      </c>
    </row>
    <row r="22" spans="1:21" x14ac:dyDescent="0.2">
      <c r="A22" s="18" t="s">
        <v>21</v>
      </c>
      <c r="B22" s="21">
        <v>20.87</v>
      </c>
      <c r="C22" s="17">
        <v>20.32</v>
      </c>
      <c r="D22" s="17">
        <v>19.14</v>
      </c>
      <c r="E22" s="17">
        <v>18.309999999999999</v>
      </c>
      <c r="F22" s="17">
        <v>36.6</v>
      </c>
      <c r="G22" s="17">
        <v>148.78</v>
      </c>
      <c r="H22" s="17">
        <v>61.13</v>
      </c>
      <c r="I22" s="31">
        <v>107.79</v>
      </c>
      <c r="J22" s="45">
        <v>121.94</v>
      </c>
      <c r="K22" s="72">
        <f t="shared" si="1"/>
        <v>3.3807347834033998</v>
      </c>
      <c r="L22" s="95">
        <v>20.25</v>
      </c>
      <c r="M22" s="96">
        <v>19.96</v>
      </c>
      <c r="N22" s="96">
        <v>17.649999999999999</v>
      </c>
      <c r="O22" s="96">
        <v>15.54</v>
      </c>
      <c r="P22" s="96">
        <v>19.190000000000001</v>
      </c>
      <c r="Q22" s="96">
        <v>17.71</v>
      </c>
      <c r="R22" s="96">
        <v>19.57</v>
      </c>
      <c r="S22" s="96">
        <v>22.54</v>
      </c>
      <c r="T22" s="97">
        <v>11.72</v>
      </c>
      <c r="U22" s="101">
        <f t="shared" si="0"/>
        <v>-1.1634651055648138E-2</v>
      </c>
    </row>
    <row r="23" spans="1:21" x14ac:dyDescent="0.2">
      <c r="A23" s="18" t="s">
        <v>1</v>
      </c>
      <c r="B23" s="21">
        <v>97.63</v>
      </c>
      <c r="C23" s="17">
        <v>73.11</v>
      </c>
      <c r="D23" s="17">
        <v>69.91</v>
      </c>
      <c r="E23" s="17">
        <v>113.3</v>
      </c>
      <c r="F23" s="17">
        <v>118.15</v>
      </c>
      <c r="G23" s="17">
        <v>88.84</v>
      </c>
      <c r="H23" s="17">
        <v>40.520000000000003</v>
      </c>
      <c r="I23" s="31">
        <v>39.36</v>
      </c>
      <c r="J23" s="45">
        <v>32.67</v>
      </c>
      <c r="K23" s="72">
        <f t="shared" si="1"/>
        <v>1.4310088390277069</v>
      </c>
      <c r="L23" s="95">
        <v>69.739999999999995</v>
      </c>
      <c r="M23" s="96">
        <v>67.06</v>
      </c>
      <c r="N23" s="96">
        <v>62.54</v>
      </c>
      <c r="O23" s="96">
        <v>61.09</v>
      </c>
      <c r="P23" s="96">
        <v>56.84</v>
      </c>
      <c r="Q23" s="96">
        <v>50.34</v>
      </c>
      <c r="R23" s="96">
        <v>39.57</v>
      </c>
      <c r="S23" s="96">
        <v>37.97</v>
      </c>
      <c r="T23" s="97">
        <v>25.49</v>
      </c>
      <c r="U23" s="101">
        <f t="shared" si="0"/>
        <v>0.25927025188043046</v>
      </c>
    </row>
    <row r="24" spans="1:21" x14ac:dyDescent="0.2">
      <c r="A24" s="18" t="s">
        <v>22</v>
      </c>
      <c r="B24" s="21">
        <v>13.63</v>
      </c>
      <c r="C24" s="17">
        <v>11.39</v>
      </c>
      <c r="D24" s="17">
        <v>10.38</v>
      </c>
      <c r="E24" s="17">
        <v>10.51</v>
      </c>
      <c r="F24" s="17">
        <v>9.81</v>
      </c>
      <c r="G24" s="17">
        <v>9.64</v>
      </c>
      <c r="H24" s="17">
        <v>9.94</v>
      </c>
      <c r="I24" s="31">
        <v>5.75</v>
      </c>
      <c r="J24" s="45">
        <v>3.76</v>
      </c>
      <c r="K24" s="72">
        <f t="shared" si="1"/>
        <v>1.0002358768722726</v>
      </c>
      <c r="L24" s="95">
        <v>13.63</v>
      </c>
      <c r="M24" s="96">
        <v>11.39</v>
      </c>
      <c r="N24" s="96">
        <v>10.38</v>
      </c>
      <c r="O24" s="96">
        <v>10.51</v>
      </c>
      <c r="P24" s="96">
        <v>9.81</v>
      </c>
      <c r="Q24" s="96">
        <v>9.64</v>
      </c>
      <c r="R24" s="96">
        <v>9.94</v>
      </c>
      <c r="S24" s="96">
        <v>5.73</v>
      </c>
      <c r="T24" s="97">
        <v>3.76</v>
      </c>
      <c r="U24" s="101">
        <f t="shared" si="0"/>
        <v>0.31321675242583913</v>
      </c>
    </row>
    <row r="25" spans="1:21" x14ac:dyDescent="0.2">
      <c r="A25" s="18" t="s">
        <v>23</v>
      </c>
      <c r="B25" s="21">
        <v>2.41</v>
      </c>
      <c r="C25" s="17">
        <v>1.74</v>
      </c>
      <c r="D25" s="17">
        <v>1.68</v>
      </c>
      <c r="E25" s="17">
        <v>2.0299999999999998</v>
      </c>
      <c r="F25" s="17">
        <v>2.33</v>
      </c>
      <c r="G25" s="17">
        <v>2.16</v>
      </c>
      <c r="H25" s="17">
        <v>2.04</v>
      </c>
      <c r="I25" s="31">
        <v>1.67</v>
      </c>
      <c r="J25" s="45">
        <v>1.1100000000000001</v>
      </c>
      <c r="K25" s="72">
        <f t="shared" si="1"/>
        <v>1.0076291079812205</v>
      </c>
      <c r="L25" s="95">
        <v>2.4</v>
      </c>
      <c r="M25" s="96">
        <v>1.73</v>
      </c>
      <c r="N25" s="96">
        <v>1.68</v>
      </c>
      <c r="O25" s="96">
        <v>2.0299999999999998</v>
      </c>
      <c r="P25" s="96">
        <v>2.33</v>
      </c>
      <c r="Q25" s="96">
        <v>2.13</v>
      </c>
      <c r="R25" s="96">
        <v>1.99</v>
      </c>
      <c r="S25" s="96">
        <v>1.64</v>
      </c>
      <c r="T25" s="97">
        <v>1.1100000000000001</v>
      </c>
      <c r="U25" s="101">
        <f t="shared" si="0"/>
        <v>0.30667333849091455</v>
      </c>
    </row>
    <row r="26" spans="1:21" x14ac:dyDescent="0.2">
      <c r="A26" s="18" t="s">
        <v>24</v>
      </c>
      <c r="B26" s="21">
        <v>29.28</v>
      </c>
      <c r="C26" s="17">
        <v>28.08</v>
      </c>
      <c r="D26" s="17">
        <v>25.74</v>
      </c>
      <c r="E26" s="17">
        <v>25.03</v>
      </c>
      <c r="F26" s="17">
        <v>22.47</v>
      </c>
      <c r="G26" s="17">
        <v>21.18</v>
      </c>
      <c r="H26" s="17">
        <v>16.53</v>
      </c>
      <c r="I26" s="31">
        <v>11.9</v>
      </c>
      <c r="J26" s="45">
        <v>7.69</v>
      </c>
      <c r="K26" s="72">
        <f t="shared" si="1"/>
        <v>1</v>
      </c>
      <c r="L26" s="95">
        <v>29.28</v>
      </c>
      <c r="M26" s="96">
        <v>28.08</v>
      </c>
      <c r="N26" s="96">
        <v>25.74</v>
      </c>
      <c r="O26" s="96">
        <v>25.03</v>
      </c>
      <c r="P26" s="96">
        <v>22.47</v>
      </c>
      <c r="Q26" s="96">
        <v>21.18</v>
      </c>
      <c r="R26" s="96">
        <v>16.53</v>
      </c>
      <c r="S26" s="96">
        <v>11.9</v>
      </c>
      <c r="T26" s="97">
        <v>7.69</v>
      </c>
      <c r="U26" s="101">
        <f t="shared" si="0"/>
        <v>0.27884692918518678</v>
      </c>
    </row>
    <row r="27" spans="1:21" x14ac:dyDescent="0.2">
      <c r="A27" s="18" t="s">
        <v>25</v>
      </c>
      <c r="B27" s="21">
        <v>260.67</v>
      </c>
      <c r="C27" s="17">
        <v>282.38</v>
      </c>
      <c r="D27" s="17">
        <v>294.02999999999997</v>
      </c>
      <c r="E27" s="17">
        <v>293.05</v>
      </c>
      <c r="F27" s="17">
        <v>287.61</v>
      </c>
      <c r="G27" s="17">
        <v>280.25</v>
      </c>
      <c r="H27" s="17">
        <v>283.27</v>
      </c>
      <c r="I27" s="31">
        <v>314.20999999999998</v>
      </c>
      <c r="J27" s="45">
        <v>232.3</v>
      </c>
      <c r="K27" s="72">
        <f t="shared" si="1"/>
        <v>1.000201799577408</v>
      </c>
      <c r="L27" s="95">
        <v>260.66999999999996</v>
      </c>
      <c r="M27" s="96">
        <v>282.3</v>
      </c>
      <c r="N27" s="96">
        <v>293.93</v>
      </c>
      <c r="O27" s="96">
        <v>293.05</v>
      </c>
      <c r="P27" s="96">
        <v>287.58</v>
      </c>
      <c r="Q27" s="96">
        <v>280.25</v>
      </c>
      <c r="R27" s="96">
        <v>283.14</v>
      </c>
      <c r="S27" s="96">
        <v>314.07</v>
      </c>
      <c r="T27" s="97">
        <v>232.27</v>
      </c>
      <c r="U27" s="101">
        <f t="shared" si="0"/>
        <v>0.15027640240046733</v>
      </c>
    </row>
    <row r="28" spans="1:21" x14ac:dyDescent="0.2">
      <c r="A28" s="18" t="s">
        <v>26</v>
      </c>
      <c r="B28" s="21">
        <v>89.92</v>
      </c>
      <c r="C28" s="17">
        <v>80.930000000000007</v>
      </c>
      <c r="D28" s="17">
        <v>75.209999999999994</v>
      </c>
      <c r="E28" s="17">
        <v>68.11</v>
      </c>
      <c r="F28" s="17">
        <v>60.4</v>
      </c>
      <c r="G28" s="17">
        <v>60.26</v>
      </c>
      <c r="H28" s="17">
        <v>51.19</v>
      </c>
      <c r="I28" s="31">
        <v>52.9</v>
      </c>
      <c r="J28" s="45">
        <v>41.28</v>
      </c>
      <c r="K28" s="72">
        <f t="shared" si="1"/>
        <v>1.0064529558701079</v>
      </c>
      <c r="L28" s="95">
        <v>89.4</v>
      </c>
      <c r="M28" s="96">
        <v>80.48</v>
      </c>
      <c r="N28" s="96">
        <v>74.84</v>
      </c>
      <c r="O28" s="96">
        <v>67.62</v>
      </c>
      <c r="P28" s="96">
        <v>59.94</v>
      </c>
      <c r="Q28" s="96">
        <v>59.91</v>
      </c>
      <c r="R28" s="96">
        <v>50.81</v>
      </c>
      <c r="S28" s="96">
        <v>52.53</v>
      </c>
      <c r="T28" s="97">
        <v>40.950000000000003</v>
      </c>
      <c r="U28" s="101">
        <f t="shared" si="0"/>
        <v>6.0901297029013424E-2</v>
      </c>
    </row>
    <row r="29" spans="1:21" x14ac:dyDescent="0.2">
      <c r="A29" s="18" t="s">
        <v>27</v>
      </c>
      <c r="B29" s="21">
        <v>55.94</v>
      </c>
      <c r="C29" s="17">
        <v>50.63</v>
      </c>
      <c r="D29" s="17">
        <v>47.66</v>
      </c>
      <c r="E29" s="17">
        <v>44.94</v>
      </c>
      <c r="F29" s="17">
        <v>39.619999999999997</v>
      </c>
      <c r="G29" s="17">
        <v>38.93</v>
      </c>
      <c r="H29" s="17">
        <v>36.71</v>
      </c>
      <c r="I29" s="31">
        <v>33.76</v>
      </c>
      <c r="J29" s="45">
        <v>24.89</v>
      </c>
      <c r="K29" s="72">
        <f t="shared" si="1"/>
        <v>1.0113583995228927</v>
      </c>
      <c r="L29" s="95">
        <v>55.53</v>
      </c>
      <c r="M29" s="96">
        <v>50.19</v>
      </c>
      <c r="N29" s="96">
        <v>47.3</v>
      </c>
      <c r="O29" s="96">
        <v>44.4</v>
      </c>
      <c r="P29" s="96">
        <v>39.119999999999997</v>
      </c>
      <c r="Q29" s="96">
        <v>38.4</v>
      </c>
      <c r="R29" s="96">
        <v>36.33</v>
      </c>
      <c r="S29" s="96">
        <v>33.380000000000003</v>
      </c>
      <c r="T29" s="97">
        <v>24.24</v>
      </c>
      <c r="U29" s="101">
        <f t="shared" si="0"/>
        <v>0.16186229894264503</v>
      </c>
    </row>
    <row r="30" spans="1:21" x14ac:dyDescent="0.2">
      <c r="A30" s="18" t="s">
        <v>28</v>
      </c>
      <c r="B30" s="21">
        <v>38.83</v>
      </c>
      <c r="C30" s="17">
        <v>36.92</v>
      </c>
      <c r="D30" s="17">
        <v>31.15</v>
      </c>
      <c r="E30" s="17">
        <v>29.93</v>
      </c>
      <c r="F30" s="17">
        <v>25.28</v>
      </c>
      <c r="G30" s="17">
        <v>22.26</v>
      </c>
      <c r="H30" s="17">
        <v>23.64</v>
      </c>
      <c r="I30" s="31">
        <v>19.52</v>
      </c>
      <c r="J30" s="45">
        <v>13.18</v>
      </c>
      <c r="K30" s="72">
        <f t="shared" si="1"/>
        <v>1.0002908909574468</v>
      </c>
      <c r="L30" s="95">
        <v>38.83</v>
      </c>
      <c r="M30" s="96">
        <v>36.92</v>
      </c>
      <c r="N30" s="96">
        <v>31.15</v>
      </c>
      <c r="O30" s="96">
        <v>29.93</v>
      </c>
      <c r="P30" s="96">
        <v>25.28</v>
      </c>
      <c r="Q30" s="96">
        <v>22.26</v>
      </c>
      <c r="R30" s="96">
        <v>23.64</v>
      </c>
      <c r="S30" s="96">
        <v>19.52</v>
      </c>
      <c r="T30" s="97">
        <v>13.11</v>
      </c>
      <c r="U30" s="101">
        <f t="shared" si="0"/>
        <v>0.22200251880360811</v>
      </c>
    </row>
    <row r="31" spans="1:21" x14ac:dyDescent="0.2">
      <c r="A31" s="18" t="s">
        <v>29</v>
      </c>
      <c r="B31" s="21">
        <v>44.09</v>
      </c>
      <c r="C31" s="17">
        <v>42.27</v>
      </c>
      <c r="D31" s="17">
        <v>38.5</v>
      </c>
      <c r="E31" s="17">
        <v>36.17</v>
      </c>
      <c r="F31" s="17">
        <v>30.98</v>
      </c>
      <c r="G31" s="17">
        <v>29.58</v>
      </c>
      <c r="H31" s="17">
        <v>25.07</v>
      </c>
      <c r="I31" s="31">
        <v>21.25</v>
      </c>
      <c r="J31" s="45">
        <v>14.68</v>
      </c>
      <c r="K31" s="72">
        <f t="shared" si="1"/>
        <v>1</v>
      </c>
      <c r="L31" s="95">
        <v>44.09</v>
      </c>
      <c r="M31" s="96">
        <v>42.27</v>
      </c>
      <c r="N31" s="96">
        <v>38.5</v>
      </c>
      <c r="O31" s="96">
        <v>36.17</v>
      </c>
      <c r="P31" s="96">
        <v>30.98</v>
      </c>
      <c r="Q31" s="96">
        <v>29.58</v>
      </c>
      <c r="R31" s="96">
        <v>25.07</v>
      </c>
      <c r="S31" s="96">
        <v>21.25</v>
      </c>
      <c r="T31" s="97">
        <v>14.68</v>
      </c>
      <c r="U31" s="101">
        <f t="shared" si="0"/>
        <v>0.21355226967285934</v>
      </c>
    </row>
    <row r="32" spans="1:21" x14ac:dyDescent="0.2">
      <c r="A32" s="18" t="s">
        <v>30</v>
      </c>
      <c r="B32" s="21">
        <v>34.53</v>
      </c>
      <c r="C32" s="17">
        <v>56.96</v>
      </c>
      <c r="D32" s="17">
        <v>53.04</v>
      </c>
      <c r="E32" s="17">
        <v>47.01</v>
      </c>
      <c r="F32" s="17">
        <v>39.93</v>
      </c>
      <c r="G32" s="17">
        <v>21.77</v>
      </c>
      <c r="H32" s="17">
        <v>16.760000000000002</v>
      </c>
      <c r="I32" s="31">
        <v>14.46</v>
      </c>
      <c r="J32" s="45">
        <v>15.01</v>
      </c>
      <c r="K32" s="72">
        <f t="shared" si="1"/>
        <v>1</v>
      </c>
      <c r="L32" s="95">
        <v>34.53</v>
      </c>
      <c r="M32" s="96">
        <v>56.96</v>
      </c>
      <c r="N32" s="96">
        <v>53.04</v>
      </c>
      <c r="O32" s="96">
        <v>47.01</v>
      </c>
      <c r="P32" s="96">
        <v>39.93</v>
      </c>
      <c r="Q32" s="96">
        <v>21.77</v>
      </c>
      <c r="R32" s="96">
        <v>16.760000000000002</v>
      </c>
      <c r="S32" s="96">
        <v>14.46</v>
      </c>
      <c r="T32" s="97">
        <v>15.01</v>
      </c>
      <c r="U32" s="101">
        <f t="shared" si="0"/>
        <v>0.43705643796137744</v>
      </c>
    </row>
    <row r="33" spans="1:21" x14ac:dyDescent="0.2">
      <c r="A33" s="18" t="s">
        <v>31</v>
      </c>
      <c r="B33" s="21">
        <v>45.01</v>
      </c>
      <c r="C33" s="17">
        <v>39.049999999999997</v>
      </c>
      <c r="D33" s="17">
        <v>41</v>
      </c>
      <c r="E33" s="17">
        <v>37.97</v>
      </c>
      <c r="F33" s="17">
        <v>37</v>
      </c>
      <c r="G33" s="17">
        <v>37.799999999999997</v>
      </c>
      <c r="H33" s="17">
        <v>30.01</v>
      </c>
      <c r="I33" s="31">
        <v>26.95</v>
      </c>
      <c r="J33" s="45">
        <v>16.329999999999998</v>
      </c>
      <c r="K33" s="72">
        <f t="shared" si="1"/>
        <v>1.0009329858765241</v>
      </c>
      <c r="L33" s="95">
        <v>44.95</v>
      </c>
      <c r="M33" s="96">
        <v>38.979999999999997</v>
      </c>
      <c r="N33" s="96">
        <v>40.950000000000003</v>
      </c>
      <c r="O33" s="96">
        <v>37.94</v>
      </c>
      <c r="P33" s="96">
        <v>36.97</v>
      </c>
      <c r="Q33" s="96">
        <v>37.76</v>
      </c>
      <c r="R33" s="96">
        <v>30</v>
      </c>
      <c r="S33" s="96">
        <v>26.95</v>
      </c>
      <c r="T33" s="97">
        <v>16.329999999999998</v>
      </c>
      <c r="U33" s="101">
        <f t="shared" si="0"/>
        <v>0.21208012899524911</v>
      </c>
    </row>
    <row r="34" spans="1:21" x14ac:dyDescent="0.2">
      <c r="A34" s="18" t="s">
        <v>32</v>
      </c>
      <c r="B34" s="21">
        <v>37.659999999999997</v>
      </c>
      <c r="C34" s="17">
        <v>28.92</v>
      </c>
      <c r="D34" s="17">
        <v>20.59</v>
      </c>
      <c r="E34" s="17">
        <v>19.809999999999999</v>
      </c>
      <c r="F34" s="17">
        <v>16.71</v>
      </c>
      <c r="G34" s="17">
        <v>16.04</v>
      </c>
      <c r="H34" s="17">
        <v>16.98</v>
      </c>
      <c r="I34" s="31">
        <v>11.25</v>
      </c>
      <c r="J34" s="45">
        <v>7.59</v>
      </c>
      <c r="K34" s="72">
        <f t="shared" si="1"/>
        <v>1</v>
      </c>
      <c r="L34" s="95">
        <v>37.659999999999997</v>
      </c>
      <c r="M34" s="96">
        <v>28.92</v>
      </c>
      <c r="N34" s="96">
        <v>20.59</v>
      </c>
      <c r="O34" s="96">
        <v>19.809999999999999</v>
      </c>
      <c r="P34" s="96">
        <v>16.71</v>
      </c>
      <c r="Q34" s="96">
        <v>16.04</v>
      </c>
      <c r="R34" s="96">
        <v>16.98</v>
      </c>
      <c r="S34" s="96">
        <v>11.25</v>
      </c>
      <c r="T34" s="97">
        <v>7.59</v>
      </c>
      <c r="U34" s="101">
        <f t="shared" si="0"/>
        <v>7.8952267006936833E-2</v>
      </c>
    </row>
    <row r="35" spans="1:21" x14ac:dyDescent="0.2">
      <c r="A35" s="18" t="s">
        <v>33</v>
      </c>
      <c r="B35" s="21">
        <v>32.409999999999997</v>
      </c>
      <c r="C35" s="17">
        <v>28.88</v>
      </c>
      <c r="D35" s="17">
        <v>25.82</v>
      </c>
      <c r="E35" s="17">
        <v>24.63</v>
      </c>
      <c r="F35" s="17">
        <v>20.67</v>
      </c>
      <c r="G35" s="17">
        <v>17.07</v>
      </c>
      <c r="H35" s="17">
        <v>13.45</v>
      </c>
      <c r="I35" s="31">
        <v>10.72</v>
      </c>
      <c r="J35" s="45">
        <v>6.49</v>
      </c>
      <c r="K35" s="72">
        <f t="shared" si="1"/>
        <v>1.0026159069405018</v>
      </c>
      <c r="L35" s="95">
        <v>32.270000000000003</v>
      </c>
      <c r="M35" s="96">
        <v>28.76</v>
      </c>
      <c r="N35" s="96">
        <v>25.77</v>
      </c>
      <c r="O35" s="96">
        <v>24.56</v>
      </c>
      <c r="P35" s="96">
        <v>20.58</v>
      </c>
      <c r="Q35" s="96">
        <v>17.07</v>
      </c>
      <c r="R35" s="96">
        <v>13.45</v>
      </c>
      <c r="S35" s="96">
        <v>10.72</v>
      </c>
      <c r="T35" s="97">
        <v>6.49</v>
      </c>
      <c r="U35" s="101">
        <f t="shared" si="0"/>
        <v>0.23678682432959297</v>
      </c>
    </row>
    <row r="36" spans="1:21" x14ac:dyDescent="0.2">
      <c r="A36" s="18" t="s">
        <v>34</v>
      </c>
      <c r="B36" s="21">
        <v>19.71</v>
      </c>
      <c r="C36" s="17">
        <v>16.7</v>
      </c>
      <c r="D36" s="17">
        <v>14.09</v>
      </c>
      <c r="E36" s="17">
        <v>13.25</v>
      </c>
      <c r="F36" s="17">
        <v>12.28</v>
      </c>
      <c r="G36" s="17">
        <v>11.12</v>
      </c>
      <c r="H36" s="17">
        <v>8.4700000000000006</v>
      </c>
      <c r="I36" s="31">
        <v>6.43</v>
      </c>
      <c r="J36" s="45">
        <v>3.52</v>
      </c>
      <c r="K36" s="72">
        <f t="shared" si="1"/>
        <v>1.0002842524161455</v>
      </c>
      <c r="L36" s="95">
        <v>19.68</v>
      </c>
      <c r="M36" s="96">
        <v>16.7</v>
      </c>
      <c r="N36" s="96">
        <v>14.09</v>
      </c>
      <c r="O36" s="96">
        <v>13.25</v>
      </c>
      <c r="P36" s="96">
        <v>12.28</v>
      </c>
      <c r="Q36" s="96">
        <v>11.12</v>
      </c>
      <c r="R36" s="96">
        <v>8.4700000000000006</v>
      </c>
      <c r="S36" s="96">
        <v>6.43</v>
      </c>
      <c r="T36" s="97">
        <v>3.52</v>
      </c>
      <c r="U36" s="101">
        <f t="shared" si="0"/>
        <v>0.18739089373776147</v>
      </c>
    </row>
    <row r="37" spans="1:21" x14ac:dyDescent="0.2">
      <c r="A37" s="18" t="s">
        <v>35</v>
      </c>
      <c r="B37" s="21">
        <v>5.09</v>
      </c>
      <c r="C37" s="17">
        <v>4.91</v>
      </c>
      <c r="D37" s="17">
        <v>4.2699999999999996</v>
      </c>
      <c r="E37" s="17">
        <v>4.3600000000000003</v>
      </c>
      <c r="F37" s="17">
        <v>3.3</v>
      </c>
      <c r="G37" s="17">
        <v>2.67</v>
      </c>
      <c r="H37" s="17">
        <v>1.48</v>
      </c>
      <c r="I37" s="31">
        <v>1.01</v>
      </c>
      <c r="J37" s="45">
        <v>0.7</v>
      </c>
      <c r="K37" s="72">
        <f t="shared" si="1"/>
        <v>1</v>
      </c>
      <c r="L37" s="95">
        <v>5.09</v>
      </c>
      <c r="M37" s="96">
        <v>4.91</v>
      </c>
      <c r="N37" s="96">
        <v>4.2699999999999996</v>
      </c>
      <c r="O37" s="96">
        <v>4.3600000000000003</v>
      </c>
      <c r="P37" s="96">
        <v>3.3</v>
      </c>
      <c r="Q37" s="96">
        <v>2.67</v>
      </c>
      <c r="R37" s="96">
        <v>1.48</v>
      </c>
      <c r="S37" s="96">
        <v>1.01</v>
      </c>
      <c r="T37" s="97">
        <v>0.7</v>
      </c>
      <c r="U37" s="101">
        <f t="shared" si="0"/>
        <v>0.25096497558497727</v>
      </c>
    </row>
    <row r="38" spans="1:21" x14ac:dyDescent="0.2">
      <c r="A38" s="18" t="s">
        <v>36</v>
      </c>
      <c r="B38" s="21">
        <v>3.77</v>
      </c>
      <c r="C38" s="17">
        <v>3.35</v>
      </c>
      <c r="D38" s="17">
        <v>2.14</v>
      </c>
      <c r="E38" s="17">
        <v>1.63</v>
      </c>
      <c r="F38" s="17">
        <v>1.54</v>
      </c>
      <c r="G38" s="17">
        <v>1.56</v>
      </c>
      <c r="H38" s="17">
        <v>1.28</v>
      </c>
      <c r="I38" s="31">
        <v>1.1299999999999999</v>
      </c>
      <c r="J38" s="45">
        <v>0.83</v>
      </c>
      <c r="K38" s="72">
        <f t="shared" si="1"/>
        <v>1.0005807200929153</v>
      </c>
      <c r="L38" s="95">
        <v>3.77</v>
      </c>
      <c r="M38" s="96">
        <v>3.35</v>
      </c>
      <c r="N38" s="96">
        <v>2.13</v>
      </c>
      <c r="O38" s="96">
        <v>1.63</v>
      </c>
      <c r="P38" s="96">
        <v>1.54</v>
      </c>
      <c r="Q38" s="96">
        <v>1.56</v>
      </c>
      <c r="R38" s="96">
        <v>1.28</v>
      </c>
      <c r="S38" s="96">
        <v>1.1299999999999999</v>
      </c>
      <c r="T38" s="97">
        <v>0.83</v>
      </c>
      <c r="U38" s="101">
        <f t="shared" si="0"/>
        <v>-2.6106481036596511E-2</v>
      </c>
    </row>
    <row r="39" spans="1:21" x14ac:dyDescent="0.2">
      <c r="A39" s="18" t="s">
        <v>37</v>
      </c>
      <c r="B39" s="21">
        <v>3.58</v>
      </c>
      <c r="C39" s="17">
        <v>5.14</v>
      </c>
      <c r="D39" s="17">
        <v>4.29</v>
      </c>
      <c r="E39" s="17">
        <v>4.2</v>
      </c>
      <c r="F39" s="17">
        <v>4.33</v>
      </c>
      <c r="G39" s="17">
        <v>4.63</v>
      </c>
      <c r="H39" s="17">
        <v>5.08</v>
      </c>
      <c r="I39" s="31">
        <v>4.84</v>
      </c>
      <c r="J39" s="45">
        <v>4.1900000000000004</v>
      </c>
      <c r="K39" s="72">
        <f t="shared" si="1"/>
        <v>1.0032378580323784</v>
      </c>
      <c r="L39" s="95">
        <v>3.58</v>
      </c>
      <c r="M39" s="96">
        <v>5.14</v>
      </c>
      <c r="N39" s="96">
        <v>4.29</v>
      </c>
      <c r="O39" s="96">
        <v>4.2</v>
      </c>
      <c r="P39" s="96">
        <v>4.33</v>
      </c>
      <c r="Q39" s="96">
        <v>4.62</v>
      </c>
      <c r="R39" s="96">
        <v>5.07</v>
      </c>
      <c r="S39" s="96">
        <v>4.83</v>
      </c>
      <c r="T39" s="97">
        <v>4.09</v>
      </c>
      <c r="U39" s="101">
        <f t="shared" si="0"/>
        <v>2.433279869093186E-2</v>
      </c>
    </row>
    <row r="40" spans="1:21" x14ac:dyDescent="0.2">
      <c r="A40" s="18" t="s">
        <v>38</v>
      </c>
      <c r="B40" s="21">
        <v>3.95</v>
      </c>
      <c r="C40" s="17">
        <v>3.1</v>
      </c>
      <c r="D40" s="17">
        <v>3.98</v>
      </c>
      <c r="E40" s="17">
        <v>4.17</v>
      </c>
      <c r="F40" s="17">
        <v>3.69</v>
      </c>
      <c r="G40" s="17">
        <v>7.47</v>
      </c>
      <c r="H40" s="17">
        <v>4.7300000000000004</v>
      </c>
      <c r="I40" s="31">
        <v>4.4000000000000004</v>
      </c>
      <c r="J40" s="45">
        <v>4.59</v>
      </c>
      <c r="K40" s="72">
        <f t="shared" si="1"/>
        <v>1</v>
      </c>
      <c r="L40" s="95">
        <v>3.95</v>
      </c>
      <c r="M40" s="96">
        <v>3.1</v>
      </c>
      <c r="N40" s="96">
        <v>3.98</v>
      </c>
      <c r="O40" s="96">
        <v>4.17</v>
      </c>
      <c r="P40" s="96">
        <v>3.69</v>
      </c>
      <c r="Q40" s="96">
        <v>7.47</v>
      </c>
      <c r="R40" s="96">
        <v>4.7300000000000004</v>
      </c>
      <c r="S40" s="96">
        <v>4.4000000000000004</v>
      </c>
      <c r="T40" s="97">
        <v>4.59</v>
      </c>
      <c r="U40" s="101">
        <f t="shared" si="0"/>
        <v>-0.52788625187803784</v>
      </c>
    </row>
    <row r="41" spans="1:21" x14ac:dyDescent="0.2">
      <c r="A41" s="18" t="s">
        <v>39</v>
      </c>
      <c r="B41" s="21">
        <v>74.17</v>
      </c>
      <c r="C41" s="17">
        <v>73.540000000000006</v>
      </c>
      <c r="D41" s="17">
        <v>65.16</v>
      </c>
      <c r="E41" s="17">
        <v>60.74</v>
      </c>
      <c r="F41" s="17">
        <v>55</v>
      </c>
      <c r="G41" s="17">
        <v>58.91</v>
      </c>
      <c r="H41" s="17">
        <v>48.68</v>
      </c>
      <c r="I41" s="31">
        <v>52.15</v>
      </c>
      <c r="J41" s="45">
        <v>45.28</v>
      </c>
      <c r="K41" s="72">
        <f t="shared" si="1"/>
        <v>1.8140807723687791</v>
      </c>
      <c r="L41" s="95">
        <v>40.04</v>
      </c>
      <c r="M41" s="96">
        <v>38.53</v>
      </c>
      <c r="N41" s="96">
        <v>37.57</v>
      </c>
      <c r="O41" s="96">
        <v>37.82</v>
      </c>
      <c r="P41" s="96">
        <v>33.06</v>
      </c>
      <c r="Q41" s="96">
        <v>36.479999999999997</v>
      </c>
      <c r="R41" s="96">
        <v>23.62</v>
      </c>
      <c r="S41" s="96">
        <v>28.23</v>
      </c>
      <c r="T41" s="97">
        <v>18.809999999999999</v>
      </c>
      <c r="U41" s="101">
        <f t="shared" si="0"/>
        <v>2.5947349440864288E-2</v>
      </c>
    </row>
    <row r="42" spans="1:21" x14ac:dyDescent="0.2">
      <c r="A42" s="18" t="s">
        <v>40</v>
      </c>
      <c r="B42" s="21">
        <v>2.33</v>
      </c>
      <c r="C42" s="17">
        <v>1.97</v>
      </c>
      <c r="D42" s="17">
        <v>1.91</v>
      </c>
      <c r="E42" s="17">
        <v>2.54</v>
      </c>
      <c r="F42" s="17">
        <v>2.0299999999999998</v>
      </c>
      <c r="G42" s="17">
        <v>1.57</v>
      </c>
      <c r="H42" s="17">
        <v>1.58</v>
      </c>
      <c r="I42" s="31">
        <v>1.38</v>
      </c>
      <c r="J42" s="45">
        <v>0.74</v>
      </c>
      <c r="K42" s="72">
        <f t="shared" si="1"/>
        <v>1</v>
      </c>
      <c r="L42" s="95">
        <v>2.33</v>
      </c>
      <c r="M42" s="96">
        <v>1.97</v>
      </c>
      <c r="N42" s="96">
        <v>1.91</v>
      </c>
      <c r="O42" s="96">
        <v>2.54</v>
      </c>
      <c r="P42" s="96">
        <v>2.0299999999999998</v>
      </c>
      <c r="Q42" s="96">
        <v>1.57</v>
      </c>
      <c r="R42" s="96">
        <v>1.58</v>
      </c>
      <c r="S42" s="96">
        <v>1.38</v>
      </c>
      <c r="T42" s="97">
        <v>0.74</v>
      </c>
      <c r="U42" s="101"/>
    </row>
    <row r="43" spans="1:21" x14ac:dyDescent="0.2">
      <c r="A43" s="18" t="s">
        <v>41</v>
      </c>
      <c r="B43" s="22">
        <v>1.73</v>
      </c>
      <c r="C43" s="23">
        <v>1.76</v>
      </c>
      <c r="D43" s="23">
        <v>1.58</v>
      </c>
      <c r="E43" s="23">
        <v>2.13</v>
      </c>
      <c r="F43" s="23">
        <v>2.14</v>
      </c>
      <c r="G43" s="23">
        <v>2.27</v>
      </c>
      <c r="H43" s="23">
        <v>2.08</v>
      </c>
      <c r="I43" s="33">
        <v>2</v>
      </c>
      <c r="J43" s="46">
        <v>0.94</v>
      </c>
      <c r="K43" s="72">
        <f t="shared" si="1"/>
        <v>1.0018072289156625</v>
      </c>
      <c r="L43" s="98">
        <v>1.7</v>
      </c>
      <c r="M43" s="99">
        <v>1.76</v>
      </c>
      <c r="N43" s="99">
        <v>1.58</v>
      </c>
      <c r="O43" s="99">
        <v>2.13</v>
      </c>
      <c r="P43" s="99">
        <v>2.14</v>
      </c>
      <c r="Q43" s="99">
        <v>2.27</v>
      </c>
      <c r="R43" s="99">
        <v>2.08</v>
      </c>
      <c r="S43" s="99">
        <v>2</v>
      </c>
      <c r="T43" s="100">
        <v>0.94</v>
      </c>
      <c r="U43" s="101"/>
    </row>
    <row r="44" spans="1:21" x14ac:dyDescent="0.2">
      <c r="A44" s="47" t="s">
        <v>191</v>
      </c>
      <c r="B44" s="81"/>
      <c r="C44" s="48"/>
      <c r="D44" s="48"/>
      <c r="E44" s="48"/>
      <c r="F44" s="48"/>
      <c r="G44" s="48"/>
      <c r="H44" s="48"/>
      <c r="I44" s="48"/>
      <c r="J44" s="49"/>
      <c r="K44" s="50"/>
      <c r="L44" s="89">
        <v>21.45</v>
      </c>
      <c r="M44" s="90">
        <v>23.97</v>
      </c>
      <c r="N44" s="90">
        <v>27.48</v>
      </c>
      <c r="O44" s="90">
        <v>27.5</v>
      </c>
      <c r="P44" s="90">
        <v>34.35</v>
      </c>
      <c r="Q44" s="90">
        <v>16.13</v>
      </c>
      <c r="R44" s="90">
        <v>30.09</v>
      </c>
      <c r="S44" s="90">
        <v>17.399999999999999</v>
      </c>
      <c r="T44" s="91">
        <v>20.75</v>
      </c>
      <c r="U44" s="102"/>
    </row>
    <row r="45" spans="1:21" x14ac:dyDescent="0.2">
      <c r="A45" s="82" t="s">
        <v>195</v>
      </c>
      <c r="B45" s="66"/>
      <c r="C45" s="66"/>
      <c r="D45" s="66"/>
      <c r="E45" s="66"/>
      <c r="F45" s="66"/>
      <c r="G45" s="66"/>
      <c r="H45" s="66"/>
      <c r="I45" s="66"/>
      <c r="J45" s="66"/>
      <c r="L45" s="42"/>
      <c r="M45" s="42"/>
      <c r="N45" s="42"/>
      <c r="O45" s="42"/>
      <c r="P45" s="42"/>
      <c r="Q45" s="42"/>
      <c r="R45" s="42"/>
      <c r="S45" s="42"/>
      <c r="T45" s="42"/>
    </row>
    <row r="46" spans="1:21" x14ac:dyDescent="0.2">
      <c r="A46" s="1" t="s">
        <v>72</v>
      </c>
      <c r="B46" s="4">
        <v>2012</v>
      </c>
      <c r="C46" s="4">
        <v>2013</v>
      </c>
      <c r="D46" s="4">
        <v>2014</v>
      </c>
      <c r="E46" s="4">
        <v>2015</v>
      </c>
      <c r="F46" s="4">
        <v>2016</v>
      </c>
      <c r="G46" s="4">
        <v>2017</v>
      </c>
      <c r="H46" s="4">
        <v>2018</v>
      </c>
      <c r="I46" s="34">
        <v>2019</v>
      </c>
      <c r="J46" s="35">
        <v>2020</v>
      </c>
    </row>
    <row r="47" spans="1:21" x14ac:dyDescent="0.2">
      <c r="A47" s="27" t="s">
        <v>140</v>
      </c>
      <c r="B47" s="36">
        <v>16966.900000000001</v>
      </c>
      <c r="C47" s="36">
        <v>17105.900000000001</v>
      </c>
      <c r="D47" s="36">
        <v>17172.900000000001</v>
      </c>
      <c r="E47" s="36">
        <v>17353.599999999999</v>
      </c>
      <c r="F47" s="36">
        <v>16765.2</v>
      </c>
      <c r="G47" s="36">
        <v>16994.5</v>
      </c>
      <c r="H47" s="36">
        <v>16567.3</v>
      </c>
      <c r="I47" s="31">
        <v>15359.6</v>
      </c>
      <c r="J47" s="31">
        <v>14459.7</v>
      </c>
    </row>
    <row r="48" spans="1:21" x14ac:dyDescent="0.2">
      <c r="A48" s="28" t="s">
        <v>141</v>
      </c>
      <c r="B48" s="3">
        <v>17063.8</v>
      </c>
      <c r="C48" s="3">
        <v>17275.7</v>
      </c>
      <c r="D48" s="3">
        <v>17635.3</v>
      </c>
      <c r="E48" s="3">
        <v>18007.900000000001</v>
      </c>
      <c r="F48" s="3">
        <v>17917.7</v>
      </c>
      <c r="G48" s="3">
        <v>18667.900000000001</v>
      </c>
      <c r="H48" s="3">
        <v>18360.099999999999</v>
      </c>
      <c r="I48" s="31">
        <v>17308.3</v>
      </c>
      <c r="J48" s="31">
        <v>16529.900000000001</v>
      </c>
    </row>
    <row r="49" spans="1:10" x14ac:dyDescent="0.2">
      <c r="A49" s="28" t="s">
        <v>120</v>
      </c>
      <c r="B49" s="3">
        <v>99.9</v>
      </c>
      <c r="C49" s="3">
        <v>35.299999999999997</v>
      </c>
      <c r="D49" s="3">
        <v>55</v>
      </c>
      <c r="E49" s="3">
        <v>71.5</v>
      </c>
      <c r="F49" s="3">
        <v>116.1</v>
      </c>
      <c r="G49" s="3">
        <v>107.6</v>
      </c>
      <c r="H49" s="3">
        <v>89</v>
      </c>
      <c r="I49" s="31">
        <v>144.5</v>
      </c>
      <c r="J49" s="31">
        <v>137.5</v>
      </c>
    </row>
    <row r="50" spans="1:10" x14ac:dyDescent="0.2">
      <c r="A50" s="28" t="s">
        <v>121</v>
      </c>
      <c r="B50" s="3">
        <v>205.7</v>
      </c>
      <c r="C50" s="3">
        <v>294.39999999999998</v>
      </c>
      <c r="D50" s="3">
        <v>423.9</v>
      </c>
      <c r="E50" s="3">
        <v>731.3</v>
      </c>
      <c r="F50" s="3">
        <v>1556.9</v>
      </c>
      <c r="G50" s="3">
        <v>1736.8</v>
      </c>
      <c r="H50" s="3">
        <v>1872.8</v>
      </c>
      <c r="I50" s="31">
        <v>2189.1</v>
      </c>
      <c r="J50" s="31">
        <v>2011.2</v>
      </c>
    </row>
    <row r="51" spans="1:10" x14ac:dyDescent="0.2">
      <c r="A51" s="28" t="s">
        <v>122</v>
      </c>
      <c r="B51" s="3">
        <v>8.9</v>
      </c>
      <c r="C51" s="3">
        <v>89.4</v>
      </c>
      <c r="D51" s="3">
        <v>-93.7</v>
      </c>
      <c r="E51" s="3">
        <v>5.5</v>
      </c>
      <c r="F51" s="3">
        <v>288.3</v>
      </c>
      <c r="G51" s="3">
        <v>-44.2</v>
      </c>
      <c r="H51" s="3">
        <v>-9</v>
      </c>
      <c r="I51" s="31">
        <v>95.9</v>
      </c>
      <c r="J51" s="31">
        <v>-196.5</v>
      </c>
    </row>
    <row r="52" spans="1:10" x14ac:dyDescent="0.2">
      <c r="A52" s="29" t="s">
        <v>142</v>
      </c>
      <c r="B52" s="3">
        <v>16966</v>
      </c>
      <c r="C52" s="3">
        <v>17150.599999999999</v>
      </c>
      <c r="D52" s="3">
        <v>17165.3</v>
      </c>
      <c r="E52" s="3">
        <v>17360.3</v>
      </c>
      <c r="F52" s="3">
        <v>16839</v>
      </c>
      <c r="G52" s="3">
        <v>16916.5</v>
      </c>
      <c r="H52" s="3">
        <v>16409.599999999999</v>
      </c>
      <c r="I52" s="31">
        <v>14917.9</v>
      </c>
      <c r="J52" s="31">
        <v>14282.7</v>
      </c>
    </row>
    <row r="53" spans="1:10" x14ac:dyDescent="0.2">
      <c r="A53" s="28" t="s">
        <v>143</v>
      </c>
      <c r="B53" s="2"/>
      <c r="C53" s="2"/>
      <c r="D53" s="2"/>
      <c r="E53" s="2"/>
      <c r="F53" s="2"/>
      <c r="G53" s="2"/>
      <c r="H53" s="2"/>
      <c r="I53" s="32"/>
      <c r="J53" s="32"/>
    </row>
    <row r="54" spans="1:10" x14ac:dyDescent="0.2">
      <c r="A54" s="28" t="s">
        <v>144</v>
      </c>
      <c r="B54" s="3">
        <v>1335.5</v>
      </c>
      <c r="C54" s="3">
        <v>1441.5</v>
      </c>
      <c r="D54" s="3">
        <v>1492</v>
      </c>
      <c r="E54" s="3">
        <v>1492.9</v>
      </c>
      <c r="F54" s="3">
        <v>1495.9</v>
      </c>
      <c r="G54" s="3">
        <v>1546.8</v>
      </c>
      <c r="H54" s="3">
        <v>1468.2</v>
      </c>
      <c r="I54" s="31">
        <v>1475.1</v>
      </c>
      <c r="J54" s="31">
        <v>1497.2</v>
      </c>
    </row>
    <row r="55" spans="1:10" x14ac:dyDescent="0.2">
      <c r="A55" s="28" t="s">
        <v>145</v>
      </c>
      <c r="B55" s="3">
        <v>1747.7</v>
      </c>
      <c r="C55" s="3">
        <v>1675.9</v>
      </c>
      <c r="D55" s="3">
        <v>1595.3</v>
      </c>
      <c r="E55" s="3">
        <v>1516.4</v>
      </c>
      <c r="F55" s="3">
        <v>1412.9</v>
      </c>
      <c r="G55" s="3">
        <v>1459.9</v>
      </c>
      <c r="H55" s="3">
        <v>1259.5</v>
      </c>
      <c r="I55" s="31">
        <v>1290.5999999999999</v>
      </c>
      <c r="J55" s="31">
        <v>1026.0999999999999</v>
      </c>
    </row>
    <row r="56" spans="1:10" x14ac:dyDescent="0.2">
      <c r="A56" s="28" t="s">
        <v>146</v>
      </c>
      <c r="B56" s="3">
        <v>518</v>
      </c>
      <c r="C56" s="3">
        <v>557</v>
      </c>
      <c r="D56" s="3">
        <v>552</v>
      </c>
      <c r="E56" s="3">
        <v>555.70000000000005</v>
      </c>
      <c r="F56" s="3">
        <v>561.29999999999995</v>
      </c>
      <c r="G56" s="3">
        <v>596.1</v>
      </c>
      <c r="H56" s="3">
        <v>543.4</v>
      </c>
      <c r="I56" s="31">
        <v>530.29999999999995</v>
      </c>
      <c r="J56" s="31">
        <v>503.9</v>
      </c>
    </row>
    <row r="57" spans="1:10" x14ac:dyDescent="0.2">
      <c r="A57" s="28" t="s">
        <v>147</v>
      </c>
      <c r="B57" s="3">
        <v>10727</v>
      </c>
      <c r="C57" s="3">
        <v>10920.5</v>
      </c>
      <c r="D57" s="3">
        <v>11042.8</v>
      </c>
      <c r="E57" s="3">
        <v>11162.8</v>
      </c>
      <c r="F57" s="3">
        <v>11068.5</v>
      </c>
      <c r="G57" s="3">
        <v>11173.7</v>
      </c>
      <c r="H57" s="3">
        <v>11166.9</v>
      </c>
      <c r="I57" s="31">
        <v>9867.2999999999993</v>
      </c>
      <c r="J57" s="31">
        <v>9532</v>
      </c>
    </row>
    <row r="58" spans="1:10" x14ac:dyDescent="0.2">
      <c r="A58" s="28" t="s">
        <v>148</v>
      </c>
      <c r="B58" s="3">
        <v>229</v>
      </c>
      <c r="C58" s="3">
        <v>233.5</v>
      </c>
      <c r="D58" s="3">
        <v>230.1</v>
      </c>
      <c r="E58" s="3">
        <v>257.7</v>
      </c>
      <c r="F58" s="3">
        <v>232</v>
      </c>
      <c r="G58" s="3">
        <v>233.8</v>
      </c>
      <c r="H58" s="3">
        <v>211.8</v>
      </c>
      <c r="I58" s="31">
        <v>203.9</v>
      </c>
      <c r="J58" s="31">
        <v>197.6</v>
      </c>
    </row>
    <row r="59" spans="1:10" x14ac:dyDescent="0.2">
      <c r="A59" s="28" t="s">
        <v>149</v>
      </c>
      <c r="B59" s="3">
        <v>1444.7</v>
      </c>
      <c r="C59" s="3">
        <v>1339.8</v>
      </c>
      <c r="D59" s="3">
        <v>1268.7</v>
      </c>
      <c r="E59" s="3">
        <v>1384.2</v>
      </c>
      <c r="F59" s="3">
        <v>1307.2</v>
      </c>
      <c r="G59" s="3">
        <v>1233.3</v>
      </c>
      <c r="H59" s="3">
        <v>1107.4000000000001</v>
      </c>
      <c r="I59" s="31">
        <v>954</v>
      </c>
      <c r="J59" s="31">
        <v>946.2</v>
      </c>
    </row>
    <row r="60" spans="1:10" x14ac:dyDescent="0.2">
      <c r="A60" s="28" t="s">
        <v>150</v>
      </c>
      <c r="B60" s="3">
        <v>964.1</v>
      </c>
      <c r="C60" s="3">
        <v>982.5</v>
      </c>
      <c r="D60" s="3">
        <v>984.4</v>
      </c>
      <c r="E60" s="3">
        <v>990.7</v>
      </c>
      <c r="F60" s="3">
        <v>761.3</v>
      </c>
      <c r="G60" s="3">
        <v>673</v>
      </c>
      <c r="H60" s="3">
        <v>652.29999999999995</v>
      </c>
      <c r="I60" s="31">
        <v>596.79999999999995</v>
      </c>
      <c r="J60" s="31">
        <v>579.79999999999995</v>
      </c>
    </row>
    <row r="61" spans="1:10" x14ac:dyDescent="0.2">
      <c r="A61" s="28" t="s">
        <v>151</v>
      </c>
      <c r="B61" s="2"/>
      <c r="C61" s="2"/>
      <c r="D61" s="2"/>
      <c r="E61" s="2"/>
      <c r="F61" s="2"/>
      <c r="G61" s="2"/>
      <c r="H61" s="2"/>
      <c r="I61" s="32"/>
      <c r="J61" s="32"/>
    </row>
    <row r="62" spans="1:10" x14ac:dyDescent="0.2">
      <c r="A62" s="28" t="s">
        <v>152</v>
      </c>
      <c r="B62" s="3">
        <v>16900.7</v>
      </c>
      <c r="C62" s="3">
        <v>17106.8</v>
      </c>
      <c r="D62" s="3">
        <v>17127</v>
      </c>
      <c r="E62" s="3">
        <v>17280.400000000001</v>
      </c>
      <c r="F62" s="3">
        <v>16736.400000000001</v>
      </c>
      <c r="G62" s="3">
        <v>16722.400000000001</v>
      </c>
      <c r="H62" s="3">
        <v>16340</v>
      </c>
      <c r="I62" s="31">
        <v>14805.6</v>
      </c>
      <c r="J62" s="31">
        <v>14136.2</v>
      </c>
    </row>
    <row r="63" spans="1:10" x14ac:dyDescent="0.2">
      <c r="A63" s="28" t="s">
        <v>177</v>
      </c>
      <c r="B63" s="3">
        <v>1682.3</v>
      </c>
      <c r="C63" s="3">
        <v>1632</v>
      </c>
      <c r="D63" s="3">
        <v>1557</v>
      </c>
      <c r="E63" s="3">
        <v>1436.5</v>
      </c>
      <c r="F63" s="3">
        <v>1310.3</v>
      </c>
      <c r="G63" s="3">
        <v>1265.8</v>
      </c>
      <c r="H63" s="3">
        <v>1189.9000000000001</v>
      </c>
      <c r="I63" s="31">
        <v>1178.3</v>
      </c>
      <c r="J63" s="31">
        <v>879.6</v>
      </c>
    </row>
    <row r="64" spans="1:10" x14ac:dyDescent="0.2">
      <c r="A64" s="28" t="s">
        <v>154</v>
      </c>
      <c r="B64" s="2"/>
      <c r="C64" s="2"/>
      <c r="D64" s="2"/>
      <c r="E64" s="2"/>
      <c r="F64" s="2"/>
      <c r="G64" s="2"/>
      <c r="H64" s="2"/>
      <c r="I64" s="32"/>
      <c r="J64" s="32"/>
    </row>
    <row r="65" spans="1:10" x14ac:dyDescent="0.2">
      <c r="A65" s="28" t="s">
        <v>163</v>
      </c>
      <c r="B65" s="3">
        <v>65.400000000000006</v>
      </c>
      <c r="C65" s="3">
        <v>43.9</v>
      </c>
      <c r="D65" s="3">
        <v>38.299999999999997</v>
      </c>
      <c r="E65" s="3">
        <v>79.900000000000006</v>
      </c>
      <c r="F65" s="3">
        <v>102.7</v>
      </c>
      <c r="G65" s="3">
        <v>194.1</v>
      </c>
      <c r="H65" s="3">
        <v>69.599999999999994</v>
      </c>
      <c r="I65" s="31">
        <v>112.3</v>
      </c>
      <c r="J65" s="31">
        <v>146.5</v>
      </c>
    </row>
    <row r="66" spans="1:10" x14ac:dyDescent="0.2">
      <c r="A66" s="28" t="s">
        <v>166</v>
      </c>
      <c r="B66" s="3">
        <v>35.6</v>
      </c>
      <c r="C66" s="3">
        <v>35.6</v>
      </c>
      <c r="D66" s="3">
        <v>25.8</v>
      </c>
      <c r="E66" s="3">
        <v>22.4</v>
      </c>
      <c r="F66" s="3">
        <v>29.2</v>
      </c>
      <c r="G66" s="3">
        <v>23.9</v>
      </c>
      <c r="H66" s="3">
        <v>26.4</v>
      </c>
      <c r="I66" s="31">
        <v>24.2</v>
      </c>
      <c r="J66" s="31">
        <v>27.6</v>
      </c>
    </row>
    <row r="67" spans="1:10" x14ac:dyDescent="0.2">
      <c r="A67" s="28" t="s">
        <v>178</v>
      </c>
      <c r="B67" s="3">
        <v>2.4</v>
      </c>
      <c r="C67" s="3">
        <v>2.6</v>
      </c>
      <c r="D67" s="3">
        <v>4.7</v>
      </c>
      <c r="E67" s="3">
        <v>6.2</v>
      </c>
      <c r="F67" s="3">
        <v>6.1</v>
      </c>
      <c r="G67" s="3">
        <v>5.9</v>
      </c>
      <c r="H67" s="3">
        <v>5.2</v>
      </c>
      <c r="I67" s="31">
        <v>5.3</v>
      </c>
      <c r="J67" s="31">
        <v>2.9</v>
      </c>
    </row>
    <row r="68" spans="1:10" x14ac:dyDescent="0.2">
      <c r="A68" s="28" t="s">
        <v>165</v>
      </c>
      <c r="B68" s="2"/>
      <c r="C68" s="2"/>
      <c r="D68" s="2"/>
      <c r="E68" s="2"/>
      <c r="F68" s="2"/>
      <c r="G68" s="2"/>
      <c r="H68" s="2"/>
      <c r="I68" s="32"/>
      <c r="J68" s="32"/>
    </row>
    <row r="69" spans="1:10" x14ac:dyDescent="0.2">
      <c r="A69" s="30" t="s">
        <v>139</v>
      </c>
      <c r="B69" s="37">
        <v>0.9</v>
      </c>
      <c r="C69" s="37">
        <v>-44.7</v>
      </c>
      <c r="D69" s="37">
        <v>7.6</v>
      </c>
      <c r="E69" s="37">
        <v>-6.7</v>
      </c>
      <c r="F69" s="37">
        <v>-73.900000000000006</v>
      </c>
      <c r="G69" s="37">
        <v>78</v>
      </c>
      <c r="H69" s="37">
        <v>157.80000000000001</v>
      </c>
      <c r="I69" s="33">
        <v>441.6</v>
      </c>
      <c r="J69" s="33">
        <v>177</v>
      </c>
    </row>
  </sheetData>
  <mergeCells count="2">
    <mergeCell ref="B1:J1"/>
    <mergeCell ref="L1:T1"/>
  </mergeCells>
  <phoneticPr fontId="3" type="noConversion"/>
  <conditionalFormatting sqref="K3:K43">
    <cfRule type="cellIs" dxfId="6"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591C4-B931-4F1D-A614-9D5F3BA149E9}">
  <sheetPr codeName="Sheet11"/>
  <dimension ref="A1:U71"/>
  <sheetViews>
    <sheetView zoomScale="85" zoomScaleNormal="85" workbookViewId="0">
      <selection activeCell="U1" sqref="U1:U1048576"/>
    </sheetView>
  </sheetViews>
  <sheetFormatPr defaultRowHeight="14.25" x14ac:dyDescent="0.2"/>
  <cols>
    <col min="1" max="1" width="37.75" bestFit="1" customWidth="1"/>
    <col min="2" max="21" width="10" customWidth="1"/>
    <col min="250" max="250" width="28" customWidth="1"/>
    <col min="251" max="251" width="76" customWidth="1"/>
    <col min="252" max="265" width="15" customWidth="1"/>
    <col min="506" max="506" width="28" customWidth="1"/>
    <col min="507" max="507" width="76" customWidth="1"/>
    <col min="508" max="521" width="15" customWidth="1"/>
    <col min="762" max="762" width="28" customWidth="1"/>
    <col min="763" max="763" width="76" customWidth="1"/>
    <col min="764" max="777" width="15" customWidth="1"/>
    <col min="1018" max="1018" width="28" customWidth="1"/>
    <col min="1019" max="1019" width="76" customWidth="1"/>
    <col min="1020" max="1033" width="15" customWidth="1"/>
    <col min="1274" max="1274" width="28" customWidth="1"/>
    <col min="1275" max="1275" width="76" customWidth="1"/>
    <col min="1276" max="1289" width="15" customWidth="1"/>
    <col min="1530" max="1530" width="28" customWidth="1"/>
    <col min="1531" max="1531" width="76" customWidth="1"/>
    <col min="1532" max="1545" width="15" customWidth="1"/>
    <col min="1786" max="1786" width="28" customWidth="1"/>
    <col min="1787" max="1787" width="76" customWidth="1"/>
    <col min="1788" max="1801" width="15" customWidth="1"/>
    <col min="2042" max="2042" width="28" customWidth="1"/>
    <col min="2043" max="2043" width="76" customWidth="1"/>
    <col min="2044" max="2057" width="15" customWidth="1"/>
    <col min="2298" max="2298" width="28" customWidth="1"/>
    <col min="2299" max="2299" width="76" customWidth="1"/>
    <col min="2300" max="2313" width="15" customWidth="1"/>
    <col min="2554" max="2554" width="28" customWidth="1"/>
    <col min="2555" max="2555" width="76" customWidth="1"/>
    <col min="2556" max="2569" width="15" customWidth="1"/>
    <col min="2810" max="2810" width="28" customWidth="1"/>
    <col min="2811" max="2811" width="76" customWidth="1"/>
    <col min="2812" max="2825" width="15" customWidth="1"/>
    <col min="3066" max="3066" width="28" customWidth="1"/>
    <col min="3067" max="3067" width="76" customWidth="1"/>
    <col min="3068" max="3081" width="15" customWidth="1"/>
    <col min="3322" max="3322" width="28" customWidth="1"/>
    <col min="3323" max="3323" width="76" customWidth="1"/>
    <col min="3324" max="3337" width="15" customWidth="1"/>
    <col min="3578" max="3578" width="28" customWidth="1"/>
    <col min="3579" max="3579" width="76" customWidth="1"/>
    <col min="3580" max="3593" width="15" customWidth="1"/>
    <col min="3834" max="3834" width="28" customWidth="1"/>
    <col min="3835" max="3835" width="76" customWidth="1"/>
    <col min="3836" max="3849" width="15" customWidth="1"/>
    <col min="4090" max="4090" width="28" customWidth="1"/>
    <col min="4091" max="4091" width="76" customWidth="1"/>
    <col min="4092" max="4105" width="15" customWidth="1"/>
    <col min="4346" max="4346" width="28" customWidth="1"/>
    <col min="4347" max="4347" width="76" customWidth="1"/>
    <col min="4348" max="4361" width="15" customWidth="1"/>
    <col min="4602" max="4602" width="28" customWidth="1"/>
    <col min="4603" max="4603" width="76" customWidth="1"/>
    <col min="4604" max="4617" width="15" customWidth="1"/>
    <col min="4858" max="4858" width="28" customWidth="1"/>
    <col min="4859" max="4859" width="76" customWidth="1"/>
    <col min="4860" max="4873" width="15" customWidth="1"/>
    <col min="5114" max="5114" width="28" customWidth="1"/>
    <col min="5115" max="5115" width="76" customWidth="1"/>
    <col min="5116" max="5129" width="15" customWidth="1"/>
    <col min="5370" max="5370" width="28" customWidth="1"/>
    <col min="5371" max="5371" width="76" customWidth="1"/>
    <col min="5372" max="5385" width="15" customWidth="1"/>
    <col min="5626" max="5626" width="28" customWidth="1"/>
    <col min="5627" max="5627" width="76" customWidth="1"/>
    <col min="5628" max="5641" width="15" customWidth="1"/>
    <col min="5882" max="5882" width="28" customWidth="1"/>
    <col min="5883" max="5883" width="76" customWidth="1"/>
    <col min="5884" max="5897" width="15" customWidth="1"/>
    <col min="6138" max="6138" width="28" customWidth="1"/>
    <col min="6139" max="6139" width="76" customWidth="1"/>
    <col min="6140" max="6153" width="15" customWidth="1"/>
    <col min="6394" max="6394" width="28" customWidth="1"/>
    <col min="6395" max="6395" width="76" customWidth="1"/>
    <col min="6396" max="6409" width="15" customWidth="1"/>
    <col min="6650" max="6650" width="28" customWidth="1"/>
    <col min="6651" max="6651" width="76" customWidth="1"/>
    <col min="6652" max="6665" width="15" customWidth="1"/>
    <col min="6906" max="6906" width="28" customWidth="1"/>
    <col min="6907" max="6907" width="76" customWidth="1"/>
    <col min="6908" max="6921" width="15" customWidth="1"/>
    <col min="7162" max="7162" width="28" customWidth="1"/>
    <col min="7163" max="7163" width="76" customWidth="1"/>
    <col min="7164" max="7177" width="15" customWidth="1"/>
    <col min="7418" max="7418" width="28" customWidth="1"/>
    <col min="7419" max="7419" width="76" customWidth="1"/>
    <col min="7420" max="7433" width="15" customWidth="1"/>
    <col min="7674" max="7674" width="28" customWidth="1"/>
    <col min="7675" max="7675" width="76" customWidth="1"/>
    <col min="7676" max="7689" width="15" customWidth="1"/>
    <col min="7930" max="7930" width="28" customWidth="1"/>
    <col min="7931" max="7931" width="76" customWidth="1"/>
    <col min="7932" max="7945" width="15" customWidth="1"/>
    <col min="8186" max="8186" width="28" customWidth="1"/>
    <col min="8187" max="8187" width="76" customWidth="1"/>
    <col min="8188" max="8201" width="15" customWidth="1"/>
    <col min="8442" max="8442" width="28" customWidth="1"/>
    <col min="8443" max="8443" width="76" customWidth="1"/>
    <col min="8444" max="8457" width="15" customWidth="1"/>
    <col min="8698" max="8698" width="28" customWidth="1"/>
    <col min="8699" max="8699" width="76" customWidth="1"/>
    <col min="8700" max="8713" width="15" customWidth="1"/>
    <col min="8954" max="8954" width="28" customWidth="1"/>
    <col min="8955" max="8955" width="76" customWidth="1"/>
    <col min="8956" max="8969" width="15" customWidth="1"/>
    <col min="9210" max="9210" width="28" customWidth="1"/>
    <col min="9211" max="9211" width="76" customWidth="1"/>
    <col min="9212" max="9225" width="15" customWidth="1"/>
    <col min="9466" max="9466" width="28" customWidth="1"/>
    <col min="9467" max="9467" width="76" customWidth="1"/>
    <col min="9468" max="9481" width="15" customWidth="1"/>
    <col min="9722" max="9722" width="28" customWidth="1"/>
    <col min="9723" max="9723" width="76" customWidth="1"/>
    <col min="9724" max="9737" width="15" customWidth="1"/>
    <col min="9978" max="9978" width="28" customWidth="1"/>
    <col min="9979" max="9979" width="76" customWidth="1"/>
    <col min="9980" max="9993" width="15" customWidth="1"/>
    <col min="10234" max="10234" width="28" customWidth="1"/>
    <col min="10235" max="10235" width="76" customWidth="1"/>
    <col min="10236" max="10249" width="15" customWidth="1"/>
    <col min="10490" max="10490" width="28" customWidth="1"/>
    <col min="10491" max="10491" width="76" customWidth="1"/>
    <col min="10492" max="10505" width="15" customWidth="1"/>
    <col min="10746" max="10746" width="28" customWidth="1"/>
    <col min="10747" max="10747" width="76" customWidth="1"/>
    <col min="10748" max="10761" width="15" customWidth="1"/>
    <col min="11002" max="11002" width="28" customWidth="1"/>
    <col min="11003" max="11003" width="76" customWidth="1"/>
    <col min="11004" max="11017" width="15" customWidth="1"/>
    <col min="11258" max="11258" width="28" customWidth="1"/>
    <col min="11259" max="11259" width="76" customWidth="1"/>
    <col min="11260" max="11273" width="15" customWidth="1"/>
    <col min="11514" max="11514" width="28" customWidth="1"/>
    <col min="11515" max="11515" width="76" customWidth="1"/>
    <col min="11516" max="11529" width="15" customWidth="1"/>
    <col min="11770" max="11770" width="28" customWidth="1"/>
    <col min="11771" max="11771" width="76" customWidth="1"/>
    <col min="11772" max="11785" width="15" customWidth="1"/>
    <col min="12026" max="12026" width="28" customWidth="1"/>
    <col min="12027" max="12027" width="76" customWidth="1"/>
    <col min="12028" max="12041" width="15" customWidth="1"/>
    <col min="12282" max="12282" width="28" customWidth="1"/>
    <col min="12283" max="12283" width="76" customWidth="1"/>
    <col min="12284" max="12297" width="15" customWidth="1"/>
    <col min="12538" max="12538" width="28" customWidth="1"/>
    <col min="12539" max="12539" width="76" customWidth="1"/>
    <col min="12540" max="12553" width="15" customWidth="1"/>
    <col min="12794" max="12794" width="28" customWidth="1"/>
    <col min="12795" max="12795" width="76" customWidth="1"/>
    <col min="12796" max="12809" width="15" customWidth="1"/>
    <col min="13050" max="13050" width="28" customWidth="1"/>
    <col min="13051" max="13051" width="76" customWidth="1"/>
    <col min="13052" max="13065" width="15" customWidth="1"/>
    <col min="13306" max="13306" width="28" customWidth="1"/>
    <col min="13307" max="13307" width="76" customWidth="1"/>
    <col min="13308" max="13321" width="15" customWidth="1"/>
    <col min="13562" max="13562" width="28" customWidth="1"/>
    <col min="13563" max="13563" width="76" customWidth="1"/>
    <col min="13564" max="13577" width="15" customWidth="1"/>
    <col min="13818" max="13818" width="28" customWidth="1"/>
    <col min="13819" max="13819" width="76" customWidth="1"/>
    <col min="13820" max="13833" width="15" customWidth="1"/>
    <col min="14074" max="14074" width="28" customWidth="1"/>
    <col min="14075" max="14075" width="76" customWidth="1"/>
    <col min="14076" max="14089" width="15" customWidth="1"/>
    <col min="14330" max="14330" width="28" customWidth="1"/>
    <col min="14331" max="14331" width="76" customWidth="1"/>
    <col min="14332" max="14345" width="15" customWidth="1"/>
    <col min="14586" max="14586" width="28" customWidth="1"/>
    <col min="14587" max="14587" width="76" customWidth="1"/>
    <col min="14588" max="14601" width="15" customWidth="1"/>
    <col min="14842" max="14842" width="28" customWidth="1"/>
    <col min="14843" max="14843" width="76" customWidth="1"/>
    <col min="14844" max="14857" width="15" customWidth="1"/>
    <col min="15098" max="15098" width="28" customWidth="1"/>
    <col min="15099" max="15099" width="76" customWidth="1"/>
    <col min="15100" max="15113" width="15" customWidth="1"/>
    <col min="15354" max="15354" width="28" customWidth="1"/>
    <col min="15355" max="15355" width="76" customWidth="1"/>
    <col min="15356" max="15369" width="15" customWidth="1"/>
    <col min="15610" max="15610" width="28" customWidth="1"/>
    <col min="15611" max="15611" width="76" customWidth="1"/>
    <col min="15612" max="15625" width="15" customWidth="1"/>
    <col min="15866" max="15866" width="28" customWidth="1"/>
    <col min="15867" max="15867" width="76" customWidth="1"/>
    <col min="15868" max="15881" width="15" customWidth="1"/>
    <col min="16122" max="16122" width="28" customWidth="1"/>
    <col min="16123" max="16123" width="76" customWidth="1"/>
    <col min="16124" max="16137" width="15" customWidth="1"/>
  </cols>
  <sheetData>
    <row r="1" spans="1:21" ht="15.75" customHeight="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0.92</v>
      </c>
      <c r="C3" s="26">
        <v>0.71</v>
      </c>
      <c r="D3" s="26">
        <v>0.47</v>
      </c>
      <c r="E3" s="26">
        <v>0.43</v>
      </c>
      <c r="F3" s="26">
        <v>0.5</v>
      </c>
      <c r="G3" s="26">
        <v>0.36</v>
      </c>
      <c r="H3" s="26">
        <v>0.26</v>
      </c>
      <c r="I3" s="43">
        <v>0.32</v>
      </c>
      <c r="J3" s="44">
        <v>0.22</v>
      </c>
      <c r="K3" s="72">
        <f>SUM(B3:J3)/SUM(L3:T3)</f>
        <v>1.0826873385012916</v>
      </c>
      <c r="L3" s="92">
        <v>0.89</v>
      </c>
      <c r="M3" s="93">
        <v>0.69</v>
      </c>
      <c r="N3" s="93">
        <v>0.45</v>
      </c>
      <c r="O3" s="93">
        <v>0.4</v>
      </c>
      <c r="P3" s="93">
        <v>0.47</v>
      </c>
      <c r="Q3" s="93">
        <v>0.28000000000000003</v>
      </c>
      <c r="R3" s="93">
        <v>0.22</v>
      </c>
      <c r="S3" s="93">
        <v>0.27</v>
      </c>
      <c r="T3" s="94">
        <v>0.2</v>
      </c>
      <c r="U3" s="101">
        <f t="shared" ref="U3:U41" si="0">CORREL(L$44:T$44,L3:T3)</f>
        <v>0.16582522819116505</v>
      </c>
    </row>
    <row r="4" spans="1:21" x14ac:dyDescent="0.2">
      <c r="A4" s="18" t="s">
        <v>3</v>
      </c>
      <c r="B4" s="21">
        <v>13.27</v>
      </c>
      <c r="C4" s="17">
        <v>19.2</v>
      </c>
      <c r="D4" s="17">
        <v>20.89</v>
      </c>
      <c r="E4" s="17">
        <v>28.47</v>
      </c>
      <c r="F4" s="17">
        <v>37.28</v>
      </c>
      <c r="G4" s="17">
        <v>28.67</v>
      </c>
      <c r="H4" s="17">
        <v>25.14</v>
      </c>
      <c r="I4" s="31">
        <v>5.95</v>
      </c>
      <c r="J4" s="45">
        <v>0.39</v>
      </c>
      <c r="K4" s="72">
        <f t="shared" ref="K4:K43" si="1">SUM(B4:J4)/SUM(L4:T4)</f>
        <v>1.3502561012353118</v>
      </c>
      <c r="L4" s="95">
        <v>12.77</v>
      </c>
      <c r="M4" s="96">
        <v>10.67</v>
      </c>
      <c r="N4" s="96">
        <v>12.68</v>
      </c>
      <c r="O4" s="96">
        <v>22.39</v>
      </c>
      <c r="P4" s="96">
        <v>33.5</v>
      </c>
      <c r="Q4" s="96">
        <v>22.41</v>
      </c>
      <c r="R4" s="96">
        <v>17.170000000000002</v>
      </c>
      <c r="S4" s="96">
        <v>0.87</v>
      </c>
      <c r="T4" s="97">
        <v>0.3</v>
      </c>
      <c r="U4" s="101">
        <f t="shared" si="0"/>
        <v>0.45871722242991841</v>
      </c>
    </row>
    <row r="5" spans="1:21" x14ac:dyDescent="0.2">
      <c r="A5" s="18" t="s">
        <v>4</v>
      </c>
      <c r="B5" s="21">
        <v>0.04</v>
      </c>
      <c r="C5" s="17">
        <v>0.03</v>
      </c>
      <c r="D5" s="17">
        <v>0.06</v>
      </c>
      <c r="E5" s="17">
        <v>0.04</v>
      </c>
      <c r="F5" s="17">
        <v>0.04</v>
      </c>
      <c r="G5" s="10">
        <v>0.02</v>
      </c>
      <c r="H5" s="17">
        <v>0.05</v>
      </c>
      <c r="I5" s="31">
        <v>0.05</v>
      </c>
      <c r="J5" s="45">
        <v>0.01</v>
      </c>
      <c r="K5" s="72">
        <f t="shared" si="1"/>
        <v>1</v>
      </c>
      <c r="L5" s="95">
        <v>0.04</v>
      </c>
      <c r="M5" s="96">
        <v>0.03</v>
      </c>
      <c r="N5" s="96">
        <v>0.06</v>
      </c>
      <c r="O5" s="96">
        <v>0.04</v>
      </c>
      <c r="P5" s="96">
        <v>0.04</v>
      </c>
      <c r="Q5" s="96">
        <v>0.02</v>
      </c>
      <c r="R5" s="96">
        <v>0.05</v>
      </c>
      <c r="S5" s="96">
        <v>0.05</v>
      </c>
      <c r="T5" s="97">
        <v>0.01</v>
      </c>
      <c r="U5" s="101">
        <f t="shared" si="0"/>
        <v>7.5343473883632245E-2</v>
      </c>
    </row>
    <row r="6" spans="1:21" x14ac:dyDescent="0.2">
      <c r="A6" s="18" t="s">
        <v>5</v>
      </c>
      <c r="B6" s="15">
        <v>0.05</v>
      </c>
      <c r="C6" s="17">
        <v>1.78</v>
      </c>
      <c r="D6" s="17">
        <v>1.8</v>
      </c>
      <c r="E6" s="17">
        <v>1.51</v>
      </c>
      <c r="F6" s="17">
        <v>0.03</v>
      </c>
      <c r="G6" s="17">
        <v>1.4</v>
      </c>
      <c r="H6" s="17">
        <v>1.59</v>
      </c>
      <c r="I6" s="31">
        <v>0.96</v>
      </c>
      <c r="J6" s="45">
        <v>0.52</v>
      </c>
      <c r="K6" s="72">
        <f t="shared" si="1"/>
        <v>1</v>
      </c>
      <c r="L6" s="95">
        <v>0.05</v>
      </c>
      <c r="M6" s="96">
        <v>1.78</v>
      </c>
      <c r="N6" s="96">
        <v>1.8</v>
      </c>
      <c r="O6" s="96">
        <v>1.51</v>
      </c>
      <c r="P6" s="96">
        <v>0.03</v>
      </c>
      <c r="Q6" s="96">
        <v>1.4</v>
      </c>
      <c r="R6" s="96">
        <v>1.59</v>
      </c>
      <c r="S6" s="96">
        <v>0.96</v>
      </c>
      <c r="T6" s="97">
        <v>0.52</v>
      </c>
      <c r="U6" s="101">
        <f t="shared" si="0"/>
        <v>6.0338396389488111E-2</v>
      </c>
    </row>
    <row r="7" spans="1:21" x14ac:dyDescent="0.2">
      <c r="A7" s="18" t="s">
        <v>6</v>
      </c>
      <c r="B7" s="21">
        <v>0.16</v>
      </c>
      <c r="C7" s="17">
        <v>0.17</v>
      </c>
      <c r="D7" s="17">
        <v>0.2</v>
      </c>
      <c r="E7" s="17">
        <v>0.18</v>
      </c>
      <c r="F7" s="17">
        <v>0.2</v>
      </c>
      <c r="G7" s="17">
        <v>0.02</v>
      </c>
      <c r="H7" s="17">
        <v>0.03</v>
      </c>
      <c r="I7" s="31">
        <v>0.04</v>
      </c>
      <c r="J7" s="45">
        <v>0.04</v>
      </c>
      <c r="K7" s="72">
        <f t="shared" si="1"/>
        <v>1</v>
      </c>
      <c r="L7" s="95">
        <v>0.16</v>
      </c>
      <c r="M7" s="96">
        <v>0.17</v>
      </c>
      <c r="N7" s="96">
        <v>0.2</v>
      </c>
      <c r="O7" s="96">
        <v>0.18</v>
      </c>
      <c r="P7" s="96">
        <v>0.2</v>
      </c>
      <c r="Q7" s="96">
        <v>0.02</v>
      </c>
      <c r="R7" s="96">
        <v>0.03</v>
      </c>
      <c r="S7" s="96">
        <v>0.04</v>
      </c>
      <c r="T7" s="97">
        <v>0.04</v>
      </c>
      <c r="U7" s="101">
        <f t="shared" si="0"/>
        <v>0.54142605357847784</v>
      </c>
    </row>
    <row r="8" spans="1:21" x14ac:dyDescent="0.2">
      <c r="A8" s="18" t="s">
        <v>7</v>
      </c>
      <c r="B8" s="21">
        <v>2</v>
      </c>
      <c r="C8" s="17">
        <v>1.9</v>
      </c>
      <c r="D8" s="17">
        <v>1.1200000000000001</v>
      </c>
      <c r="E8" s="17">
        <v>0.93</v>
      </c>
      <c r="F8" s="17">
        <v>0.73</v>
      </c>
      <c r="G8" s="17">
        <v>0.69</v>
      </c>
      <c r="H8" s="17">
        <v>0.87</v>
      </c>
      <c r="I8" s="31">
        <v>0.61</v>
      </c>
      <c r="J8" s="45">
        <v>7.0000000000000007E-2</v>
      </c>
      <c r="K8" s="72">
        <f t="shared" si="1"/>
        <v>3.2915129151291511</v>
      </c>
      <c r="L8" s="95">
        <v>0.21</v>
      </c>
      <c r="M8" s="96">
        <v>0.31</v>
      </c>
      <c r="N8" s="96">
        <v>0.45</v>
      </c>
      <c r="O8" s="96">
        <v>0.32</v>
      </c>
      <c r="P8" s="96">
        <v>0.21</v>
      </c>
      <c r="Q8" s="96">
        <v>0.24</v>
      </c>
      <c r="R8" s="96">
        <v>0.6</v>
      </c>
      <c r="S8" s="96">
        <v>0.3</v>
      </c>
      <c r="T8" s="97">
        <v>7.0000000000000007E-2</v>
      </c>
      <c r="U8" s="101">
        <f t="shared" si="0"/>
        <v>-2.5137546928804162E-2</v>
      </c>
    </row>
    <row r="9" spans="1:21" x14ac:dyDescent="0.2">
      <c r="A9" s="18" t="s">
        <v>8</v>
      </c>
      <c r="B9" s="15"/>
      <c r="C9" s="10"/>
      <c r="D9" s="10"/>
      <c r="E9" s="10"/>
      <c r="F9" s="10"/>
      <c r="G9" s="10"/>
      <c r="H9" s="10"/>
      <c r="I9" s="32"/>
      <c r="J9" s="58"/>
      <c r="K9" s="72" t="e">
        <f t="shared" si="1"/>
        <v>#DIV/0!</v>
      </c>
      <c r="L9" s="95"/>
      <c r="M9" s="96"/>
      <c r="N9" s="96"/>
      <c r="O9" s="96"/>
      <c r="P9" s="96"/>
      <c r="Q9" s="96"/>
      <c r="R9" s="96"/>
      <c r="S9" s="96"/>
      <c r="T9" s="97"/>
      <c r="U9" s="101" t="e">
        <f t="shared" si="0"/>
        <v>#DIV/0!</v>
      </c>
    </row>
    <row r="10" spans="1:21" x14ac:dyDescent="0.2">
      <c r="A10" s="18" t="s">
        <v>9</v>
      </c>
      <c r="B10" s="21">
        <v>4.67</v>
      </c>
      <c r="C10" s="17">
        <v>4.0999999999999996</v>
      </c>
      <c r="D10" s="17">
        <v>2.77</v>
      </c>
      <c r="E10" s="17">
        <v>1.78</v>
      </c>
      <c r="F10" s="17">
        <v>2.12</v>
      </c>
      <c r="G10" s="17">
        <v>2.2400000000000002</v>
      </c>
      <c r="H10" s="17">
        <v>1.57</v>
      </c>
      <c r="I10" s="31">
        <v>1.51</v>
      </c>
      <c r="J10" s="45">
        <v>0.93</v>
      </c>
      <c r="K10" s="72">
        <f t="shared" si="1"/>
        <v>1</v>
      </c>
      <c r="L10" s="95">
        <v>4.67</v>
      </c>
      <c r="M10" s="96">
        <v>4.0999999999999996</v>
      </c>
      <c r="N10" s="96">
        <v>2.77</v>
      </c>
      <c r="O10" s="96">
        <v>1.78</v>
      </c>
      <c r="P10" s="96">
        <v>2.12</v>
      </c>
      <c r="Q10" s="96">
        <v>2.2400000000000002</v>
      </c>
      <c r="R10" s="96">
        <v>1.57</v>
      </c>
      <c r="S10" s="96">
        <v>1.51</v>
      </c>
      <c r="T10" s="97">
        <v>0.93</v>
      </c>
      <c r="U10" s="101">
        <f t="shared" si="0"/>
        <v>-1.8740245561718404E-2</v>
      </c>
    </row>
    <row r="11" spans="1:21" x14ac:dyDescent="0.2">
      <c r="A11" s="18" t="s">
        <v>10</v>
      </c>
      <c r="B11" s="21">
        <v>5.59</v>
      </c>
      <c r="C11" s="17">
        <v>5.09</v>
      </c>
      <c r="D11" s="17">
        <v>5.54</v>
      </c>
      <c r="E11" s="17">
        <v>3.59</v>
      </c>
      <c r="F11" s="17">
        <v>2.61</v>
      </c>
      <c r="G11" s="17">
        <v>2.48</v>
      </c>
      <c r="H11" s="17">
        <v>2.12</v>
      </c>
      <c r="I11" s="31">
        <v>1.1200000000000001</v>
      </c>
      <c r="J11" s="45">
        <v>0.43</v>
      </c>
      <c r="K11" s="72">
        <f t="shared" si="1"/>
        <v>1</v>
      </c>
      <c r="L11" s="95">
        <v>5.59</v>
      </c>
      <c r="M11" s="96">
        <v>5.09</v>
      </c>
      <c r="N11" s="96">
        <v>5.54</v>
      </c>
      <c r="O11" s="96">
        <v>3.59</v>
      </c>
      <c r="P11" s="96">
        <v>2.61</v>
      </c>
      <c r="Q11" s="96">
        <v>2.48</v>
      </c>
      <c r="R11" s="96">
        <v>2.12</v>
      </c>
      <c r="S11" s="96">
        <v>1.1200000000000001</v>
      </c>
      <c r="T11" s="97">
        <v>0.43</v>
      </c>
      <c r="U11" s="101">
        <f t="shared" si="0"/>
        <v>0.23437059812042169</v>
      </c>
    </row>
    <row r="12" spans="1:21" x14ac:dyDescent="0.2">
      <c r="A12" s="18" t="s">
        <v>11</v>
      </c>
      <c r="B12" s="21">
        <v>3.18</v>
      </c>
      <c r="C12" s="17">
        <v>2.04</v>
      </c>
      <c r="D12" s="17">
        <v>1.47</v>
      </c>
      <c r="E12" s="17">
        <v>0.64</v>
      </c>
      <c r="F12" s="17">
        <v>1.08</v>
      </c>
      <c r="G12" s="17">
        <v>2.15</v>
      </c>
      <c r="H12" s="17">
        <v>0.59</v>
      </c>
      <c r="I12" s="31">
        <v>0.36</v>
      </c>
      <c r="J12" s="45">
        <v>0.39</v>
      </c>
      <c r="K12" s="72">
        <f t="shared" si="1"/>
        <v>1</v>
      </c>
      <c r="L12" s="95">
        <v>3.18</v>
      </c>
      <c r="M12" s="96">
        <v>2.04</v>
      </c>
      <c r="N12" s="96">
        <v>1.47</v>
      </c>
      <c r="O12" s="96">
        <v>0.64</v>
      </c>
      <c r="P12" s="96">
        <v>1.08</v>
      </c>
      <c r="Q12" s="96">
        <v>2.15</v>
      </c>
      <c r="R12" s="96">
        <v>0.59</v>
      </c>
      <c r="S12" s="96">
        <v>0.36</v>
      </c>
      <c r="T12" s="97">
        <v>0.39</v>
      </c>
      <c r="U12" s="101">
        <f t="shared" si="0"/>
        <v>-0.11986364083704626</v>
      </c>
    </row>
    <row r="13" spans="1:21" x14ac:dyDescent="0.2">
      <c r="A13" s="18" t="s">
        <v>12</v>
      </c>
      <c r="B13" s="21">
        <v>0.97</v>
      </c>
      <c r="C13" s="17">
        <v>0.74</v>
      </c>
      <c r="D13" s="17">
        <v>0.47</v>
      </c>
      <c r="E13" s="17">
        <v>0.42</v>
      </c>
      <c r="F13" s="17">
        <v>0.32</v>
      </c>
      <c r="G13" s="17">
        <v>0.13</v>
      </c>
      <c r="H13" s="17"/>
      <c r="I13" s="31"/>
      <c r="J13" s="45"/>
      <c r="K13" s="72">
        <f t="shared" si="1"/>
        <v>1</v>
      </c>
      <c r="L13" s="95">
        <v>0.97</v>
      </c>
      <c r="M13" s="96">
        <v>0.74</v>
      </c>
      <c r="N13" s="96">
        <v>0.47</v>
      </c>
      <c r="O13" s="96">
        <v>0.42</v>
      </c>
      <c r="P13" s="96">
        <v>0.32</v>
      </c>
      <c r="Q13" s="96">
        <v>0.13</v>
      </c>
      <c r="R13" s="96"/>
      <c r="S13" s="96"/>
      <c r="T13" s="97"/>
      <c r="U13" s="101">
        <f t="shared" si="0"/>
        <v>-6.3121223334462365E-2</v>
      </c>
    </row>
    <row r="14" spans="1:21" x14ac:dyDescent="0.2">
      <c r="A14" s="18" t="s">
        <v>13</v>
      </c>
      <c r="B14" s="21">
        <v>8.8000000000000007</v>
      </c>
      <c r="C14" s="17">
        <v>7.41</v>
      </c>
      <c r="D14" s="17">
        <v>7.93</v>
      </c>
      <c r="E14" s="17">
        <v>7.12</v>
      </c>
      <c r="F14" s="17">
        <v>5.84</v>
      </c>
      <c r="G14" s="17">
        <v>6.29</v>
      </c>
      <c r="H14" s="17">
        <v>4.8499999999999996</v>
      </c>
      <c r="I14" s="31">
        <v>3.45</v>
      </c>
      <c r="J14" s="45">
        <v>1.17</v>
      </c>
      <c r="K14" s="72">
        <f t="shared" si="1"/>
        <v>1.0003785011355035</v>
      </c>
      <c r="L14" s="95">
        <v>8.7799999999999994</v>
      </c>
      <c r="M14" s="96">
        <v>7.41</v>
      </c>
      <c r="N14" s="96">
        <v>7.93</v>
      </c>
      <c r="O14" s="96">
        <v>7.12</v>
      </c>
      <c r="P14" s="96">
        <v>5.84</v>
      </c>
      <c r="Q14" s="96">
        <v>6.29</v>
      </c>
      <c r="R14" s="96">
        <v>4.8499999999999996</v>
      </c>
      <c r="S14" s="96">
        <v>3.45</v>
      </c>
      <c r="T14" s="97">
        <v>1.17</v>
      </c>
      <c r="U14" s="101">
        <f t="shared" si="0"/>
        <v>0.3454682959370487</v>
      </c>
    </row>
    <row r="15" spans="1:21" x14ac:dyDescent="0.2">
      <c r="A15" s="18" t="s">
        <v>14</v>
      </c>
      <c r="B15" s="21">
        <v>2.81</v>
      </c>
      <c r="C15" s="17">
        <v>1.34</v>
      </c>
      <c r="D15" s="17">
        <v>0.82</v>
      </c>
      <c r="E15" s="17">
        <v>0.61</v>
      </c>
      <c r="F15" s="17">
        <v>0.52</v>
      </c>
      <c r="G15" s="17">
        <v>0.62</v>
      </c>
      <c r="H15" s="17">
        <v>0.52</v>
      </c>
      <c r="I15" s="31">
        <v>0.49</v>
      </c>
      <c r="J15" s="45">
        <v>0.25</v>
      </c>
      <c r="K15" s="72">
        <f t="shared" si="1"/>
        <v>1</v>
      </c>
      <c r="L15" s="95">
        <v>2.81</v>
      </c>
      <c r="M15" s="96">
        <v>1.34</v>
      </c>
      <c r="N15" s="96">
        <v>0.82</v>
      </c>
      <c r="O15" s="96">
        <v>0.61</v>
      </c>
      <c r="P15" s="96">
        <v>0.52</v>
      </c>
      <c r="Q15" s="96">
        <v>0.62</v>
      </c>
      <c r="R15" s="96">
        <v>0.52</v>
      </c>
      <c r="S15" s="96">
        <v>0.49</v>
      </c>
      <c r="T15" s="97">
        <v>0.25</v>
      </c>
      <c r="U15" s="101">
        <f t="shared" si="0"/>
        <v>4.9763876589704837E-3</v>
      </c>
    </row>
    <row r="16" spans="1:21" x14ac:dyDescent="0.2">
      <c r="A16" s="18" t="s">
        <v>15</v>
      </c>
      <c r="B16" s="21">
        <v>3.35</v>
      </c>
      <c r="C16" s="17">
        <v>2.0499999999999998</v>
      </c>
      <c r="D16" s="17">
        <v>1.69</v>
      </c>
      <c r="E16" s="17">
        <v>0.93</v>
      </c>
      <c r="F16" s="17">
        <v>0.53</v>
      </c>
      <c r="G16" s="17">
        <v>0.37</v>
      </c>
      <c r="H16" s="17">
        <v>0.37</v>
      </c>
      <c r="I16" s="31">
        <v>0.34</v>
      </c>
      <c r="J16" s="45">
        <v>0.14000000000000001</v>
      </c>
      <c r="K16" s="72">
        <f t="shared" si="1"/>
        <v>1</v>
      </c>
      <c r="L16" s="95">
        <v>3.35</v>
      </c>
      <c r="M16" s="96">
        <v>2.0499999999999998</v>
      </c>
      <c r="N16" s="96">
        <v>1.69</v>
      </c>
      <c r="O16" s="96">
        <v>0.93</v>
      </c>
      <c r="P16" s="96">
        <v>0.53</v>
      </c>
      <c r="Q16" s="96">
        <v>0.37</v>
      </c>
      <c r="R16" s="96">
        <v>0.37</v>
      </c>
      <c r="S16" s="96">
        <v>0.34</v>
      </c>
      <c r="T16" s="97">
        <v>0.14000000000000001</v>
      </c>
      <c r="U16" s="101">
        <f t="shared" si="0"/>
        <v>9.4683068825917191E-2</v>
      </c>
    </row>
    <row r="17" spans="1:21" x14ac:dyDescent="0.2">
      <c r="A17" s="18" t="s">
        <v>16</v>
      </c>
      <c r="B17" s="21">
        <v>0.17</v>
      </c>
      <c r="C17" s="17">
        <v>0.17</v>
      </c>
      <c r="D17" s="17">
        <v>0.14000000000000001</v>
      </c>
      <c r="E17" s="17">
        <v>0.17</v>
      </c>
      <c r="F17" s="17">
        <v>0.31</v>
      </c>
      <c r="G17" s="17">
        <v>0.23</v>
      </c>
      <c r="H17" s="17">
        <v>0.28999999999999998</v>
      </c>
      <c r="I17" s="31">
        <v>0.21</v>
      </c>
      <c r="J17" s="45">
        <v>0.13</v>
      </c>
      <c r="K17" s="72">
        <f t="shared" si="1"/>
        <v>1</v>
      </c>
      <c r="L17" s="95">
        <v>0.17</v>
      </c>
      <c r="M17" s="96">
        <v>0.17</v>
      </c>
      <c r="N17" s="96">
        <v>0.14000000000000001</v>
      </c>
      <c r="O17" s="96">
        <v>0.17</v>
      </c>
      <c r="P17" s="96">
        <v>0.31</v>
      </c>
      <c r="Q17" s="96">
        <v>0.23</v>
      </c>
      <c r="R17" s="96">
        <v>0.28999999999999998</v>
      </c>
      <c r="S17" s="96">
        <v>0.21</v>
      </c>
      <c r="T17" s="97">
        <v>0.13</v>
      </c>
      <c r="U17" s="101">
        <f t="shared" si="0"/>
        <v>-9.4730087952812528E-2</v>
      </c>
    </row>
    <row r="18" spans="1:21" x14ac:dyDescent="0.2">
      <c r="A18" s="18" t="s">
        <v>17</v>
      </c>
      <c r="B18" s="21">
        <v>0.32</v>
      </c>
      <c r="C18" s="17">
        <v>0.25</v>
      </c>
      <c r="D18" s="17">
        <v>0.26</v>
      </c>
      <c r="E18" s="17">
        <v>0.27</v>
      </c>
      <c r="F18" s="17">
        <v>0.28999999999999998</v>
      </c>
      <c r="G18" s="17">
        <v>0.31</v>
      </c>
      <c r="H18" s="17">
        <v>0.16</v>
      </c>
      <c r="I18" s="31">
        <v>0.14000000000000001</v>
      </c>
      <c r="J18" s="45">
        <v>0.06</v>
      </c>
      <c r="K18" s="72">
        <f t="shared" si="1"/>
        <v>1</v>
      </c>
      <c r="L18" s="95">
        <v>0.32</v>
      </c>
      <c r="M18" s="96">
        <v>0.25</v>
      </c>
      <c r="N18" s="96">
        <v>0.26</v>
      </c>
      <c r="O18" s="96">
        <v>0.27</v>
      </c>
      <c r="P18" s="96">
        <v>0.28999999999999998</v>
      </c>
      <c r="Q18" s="96">
        <v>0.31</v>
      </c>
      <c r="R18" s="96">
        <v>0.16</v>
      </c>
      <c r="S18" s="96">
        <v>0.14000000000000001</v>
      </c>
      <c r="T18" s="97">
        <v>0.06</v>
      </c>
      <c r="U18" s="101">
        <f t="shared" si="0"/>
        <v>0.35142746879789877</v>
      </c>
    </row>
    <row r="19" spans="1:21" x14ac:dyDescent="0.2">
      <c r="A19" s="18" t="s">
        <v>18</v>
      </c>
      <c r="B19" s="21">
        <v>7.18</v>
      </c>
      <c r="C19" s="17">
        <v>13.21</v>
      </c>
      <c r="D19" s="17">
        <v>12.63</v>
      </c>
      <c r="E19" s="17">
        <v>12.1</v>
      </c>
      <c r="F19" s="17">
        <v>13.68</v>
      </c>
      <c r="G19" s="17">
        <v>13.22</v>
      </c>
      <c r="H19" s="17">
        <v>5.95</v>
      </c>
      <c r="I19" s="31">
        <v>8.1199999999999992</v>
      </c>
      <c r="J19" s="45">
        <v>6.06</v>
      </c>
      <c r="K19" s="72">
        <f t="shared" si="1"/>
        <v>1.9286312264545842</v>
      </c>
      <c r="L19" s="95">
        <v>7.1</v>
      </c>
      <c r="M19" s="96">
        <v>7.62</v>
      </c>
      <c r="N19" s="96">
        <v>5.15</v>
      </c>
      <c r="O19" s="96">
        <v>5.43</v>
      </c>
      <c r="P19" s="96">
        <v>5.41</v>
      </c>
      <c r="Q19" s="96">
        <v>4.2</v>
      </c>
      <c r="R19" s="96">
        <v>2.14</v>
      </c>
      <c r="S19" s="96">
        <v>8.01</v>
      </c>
      <c r="T19" s="97">
        <v>2.72</v>
      </c>
      <c r="U19" s="101">
        <f t="shared" si="0"/>
        <v>9.760650652350325E-2</v>
      </c>
    </row>
    <row r="20" spans="1:21" x14ac:dyDescent="0.2">
      <c r="A20" s="18" t="s">
        <v>19</v>
      </c>
      <c r="B20" s="21">
        <v>0.7</v>
      </c>
      <c r="C20" s="17">
        <v>0.79</v>
      </c>
      <c r="D20" s="17">
        <v>0.5</v>
      </c>
      <c r="E20" s="17">
        <v>0.36</v>
      </c>
      <c r="F20" s="17">
        <v>0.32</v>
      </c>
      <c r="G20" s="17">
        <v>0.22</v>
      </c>
      <c r="H20" s="17">
        <v>0.31</v>
      </c>
      <c r="I20" s="31">
        <v>0.4</v>
      </c>
      <c r="J20" s="45">
        <v>0.16</v>
      </c>
      <c r="K20" s="72">
        <f t="shared" si="1"/>
        <v>1</v>
      </c>
      <c r="L20" s="95">
        <v>0.7</v>
      </c>
      <c r="M20" s="96">
        <v>0.79</v>
      </c>
      <c r="N20" s="96">
        <v>0.5</v>
      </c>
      <c r="O20" s="96">
        <v>0.36</v>
      </c>
      <c r="P20" s="96">
        <v>0.32</v>
      </c>
      <c r="Q20" s="96">
        <v>0.22</v>
      </c>
      <c r="R20" s="96">
        <v>0.31</v>
      </c>
      <c r="S20" s="96">
        <v>0.4</v>
      </c>
      <c r="T20" s="97">
        <v>0.16</v>
      </c>
      <c r="U20" s="101">
        <f t="shared" si="0"/>
        <v>2.4894737210288093E-2</v>
      </c>
    </row>
    <row r="21" spans="1:21" x14ac:dyDescent="0.2">
      <c r="A21" s="18" t="s">
        <v>20</v>
      </c>
      <c r="B21" s="21">
        <v>1.46</v>
      </c>
      <c r="C21" s="17">
        <v>0.71</v>
      </c>
      <c r="D21" s="17">
        <v>0.85</v>
      </c>
      <c r="E21" s="17">
        <v>0.87</v>
      </c>
      <c r="F21" s="17">
        <v>0.78</v>
      </c>
      <c r="G21" s="17">
        <v>0.84</v>
      </c>
      <c r="H21" s="17">
        <v>0.44</v>
      </c>
      <c r="I21" s="31">
        <v>0.46</v>
      </c>
      <c r="J21" s="45">
        <v>0.27</v>
      </c>
      <c r="K21" s="72">
        <f t="shared" si="1"/>
        <v>1</v>
      </c>
      <c r="L21" s="95">
        <v>1.46</v>
      </c>
      <c r="M21" s="96">
        <v>0.71</v>
      </c>
      <c r="N21" s="96">
        <v>0.85</v>
      </c>
      <c r="O21" s="96">
        <v>0.87</v>
      </c>
      <c r="P21" s="96">
        <v>0.78</v>
      </c>
      <c r="Q21" s="96">
        <v>0.84</v>
      </c>
      <c r="R21" s="96">
        <v>0.44</v>
      </c>
      <c r="S21" s="96">
        <v>0.46</v>
      </c>
      <c r="T21" s="97">
        <v>0.27</v>
      </c>
      <c r="U21" s="101">
        <f t="shared" si="0"/>
        <v>0.30228050935940304</v>
      </c>
    </row>
    <row r="22" spans="1:21" x14ac:dyDescent="0.2">
      <c r="A22" s="18" t="s">
        <v>21</v>
      </c>
      <c r="B22" s="21">
        <v>1308.0899999999999</v>
      </c>
      <c r="C22" s="17">
        <v>1398.75</v>
      </c>
      <c r="D22" s="17">
        <v>1786.61</v>
      </c>
      <c r="E22" s="17">
        <v>1873.59</v>
      </c>
      <c r="F22" s="17">
        <v>1536.01</v>
      </c>
      <c r="G22" s="17">
        <v>1725.28</v>
      </c>
      <c r="H22" s="17">
        <v>1878.27</v>
      </c>
      <c r="I22" s="31">
        <v>1895.08</v>
      </c>
      <c r="J22" s="45">
        <v>2229.67</v>
      </c>
      <c r="K22" s="72">
        <f t="shared" si="1"/>
        <v>19.739045334006818</v>
      </c>
      <c r="L22" s="95">
        <v>127.43</v>
      </c>
      <c r="M22" s="96">
        <v>118.18</v>
      </c>
      <c r="N22" s="96">
        <v>137.5</v>
      </c>
      <c r="O22" s="96">
        <v>111.29</v>
      </c>
      <c r="P22" s="96">
        <v>72.760000000000005</v>
      </c>
      <c r="Q22" s="96">
        <v>43.48</v>
      </c>
      <c r="R22" s="96">
        <v>37.22</v>
      </c>
      <c r="S22" s="96">
        <v>27.38</v>
      </c>
      <c r="T22" s="97">
        <v>116.66</v>
      </c>
      <c r="U22" s="101">
        <f t="shared" si="0"/>
        <v>0.32825760693655065</v>
      </c>
    </row>
    <row r="23" spans="1:21" x14ac:dyDescent="0.2">
      <c r="A23" s="18" t="s">
        <v>1</v>
      </c>
      <c r="B23" s="21">
        <v>501.52</v>
      </c>
      <c r="C23" s="17">
        <v>614.58000000000004</v>
      </c>
      <c r="D23" s="17">
        <v>694.45</v>
      </c>
      <c r="E23" s="17">
        <v>903.27</v>
      </c>
      <c r="F23" s="17">
        <v>1167.54</v>
      </c>
      <c r="G23" s="17">
        <v>1033.29</v>
      </c>
      <c r="H23" s="17">
        <v>569.5</v>
      </c>
      <c r="I23" s="31">
        <v>562.54</v>
      </c>
      <c r="J23" s="45">
        <v>941.83</v>
      </c>
      <c r="K23" s="72">
        <f t="shared" si="1"/>
        <v>10.737032940019665</v>
      </c>
      <c r="L23" s="95">
        <v>95.18</v>
      </c>
      <c r="M23" s="96">
        <v>82.78</v>
      </c>
      <c r="N23" s="96">
        <v>72.599999999999994</v>
      </c>
      <c r="O23" s="96">
        <v>148.32</v>
      </c>
      <c r="P23" s="96">
        <v>81.03</v>
      </c>
      <c r="Q23" s="96">
        <v>50.81</v>
      </c>
      <c r="R23" s="96">
        <v>46.36</v>
      </c>
      <c r="S23" s="96">
        <v>44.02</v>
      </c>
      <c r="T23" s="97">
        <v>29.78</v>
      </c>
      <c r="U23" s="101">
        <f t="shared" si="0"/>
        <v>0.91050043113843748</v>
      </c>
    </row>
    <row r="24" spans="1:21" x14ac:dyDescent="0.2">
      <c r="A24" s="18" t="s">
        <v>22</v>
      </c>
      <c r="B24" s="21">
        <v>3.35</v>
      </c>
      <c r="C24" s="17">
        <v>2.08</v>
      </c>
      <c r="D24" s="17">
        <v>1.65</v>
      </c>
      <c r="E24" s="17">
        <v>1.38</v>
      </c>
      <c r="F24" s="17">
        <v>1.43</v>
      </c>
      <c r="G24" s="17">
        <v>1.71</v>
      </c>
      <c r="H24" s="17">
        <v>2.16</v>
      </c>
      <c r="I24" s="31">
        <v>2.74</v>
      </c>
      <c r="J24" s="45">
        <v>1.51</v>
      </c>
      <c r="K24" s="72">
        <f t="shared" si="1"/>
        <v>1.0083986562150058</v>
      </c>
      <c r="L24" s="95">
        <v>3.33</v>
      </c>
      <c r="M24" s="96">
        <v>2.06</v>
      </c>
      <c r="N24" s="96">
        <v>1.63</v>
      </c>
      <c r="O24" s="96">
        <v>1.36</v>
      </c>
      <c r="P24" s="96">
        <v>1.41</v>
      </c>
      <c r="Q24" s="96">
        <v>1.7</v>
      </c>
      <c r="R24" s="96">
        <v>2.15</v>
      </c>
      <c r="S24" s="96">
        <v>2.72</v>
      </c>
      <c r="T24" s="97">
        <v>1.5</v>
      </c>
      <c r="U24" s="101">
        <f t="shared" si="0"/>
        <v>-0.35988332665554162</v>
      </c>
    </row>
    <row r="25" spans="1:21" x14ac:dyDescent="0.2">
      <c r="A25" s="18" t="s">
        <v>23</v>
      </c>
      <c r="B25" s="21">
        <v>6.46</v>
      </c>
      <c r="C25" s="17">
        <v>5.18</v>
      </c>
      <c r="D25" s="17">
        <v>3.56</v>
      </c>
      <c r="E25" s="17">
        <v>2.99</v>
      </c>
      <c r="F25" s="17">
        <v>3.26</v>
      </c>
      <c r="G25" s="17">
        <v>3.09</v>
      </c>
      <c r="H25" s="17">
        <v>1.44</v>
      </c>
      <c r="I25" s="31">
        <v>0.41</v>
      </c>
      <c r="J25" s="45">
        <v>0.65</v>
      </c>
      <c r="K25" s="72">
        <f t="shared" si="1"/>
        <v>1.0320610687022904</v>
      </c>
      <c r="L25" s="95">
        <v>5.99</v>
      </c>
      <c r="M25" s="96">
        <v>5.0199999999999996</v>
      </c>
      <c r="N25" s="96">
        <v>3.54</v>
      </c>
      <c r="O25" s="96">
        <v>2.97</v>
      </c>
      <c r="P25" s="96">
        <v>3.23</v>
      </c>
      <c r="Q25" s="96">
        <v>3.01</v>
      </c>
      <c r="R25" s="96">
        <v>1.43</v>
      </c>
      <c r="S25" s="96">
        <v>0.38</v>
      </c>
      <c r="T25" s="97">
        <v>0.63</v>
      </c>
      <c r="U25" s="101">
        <f t="shared" si="0"/>
        <v>0.22365421084208734</v>
      </c>
    </row>
    <row r="26" spans="1:21" x14ac:dyDescent="0.2">
      <c r="A26" s="18" t="s">
        <v>24</v>
      </c>
      <c r="B26" s="21">
        <v>10.95</v>
      </c>
      <c r="C26" s="17">
        <v>10.24</v>
      </c>
      <c r="D26" s="17">
        <v>8.41</v>
      </c>
      <c r="E26" s="17">
        <v>7.28</v>
      </c>
      <c r="F26" s="17">
        <v>7.25</v>
      </c>
      <c r="G26" s="17">
        <v>6.12</v>
      </c>
      <c r="H26" s="17">
        <v>4.21</v>
      </c>
      <c r="I26" s="31">
        <v>3.38</v>
      </c>
      <c r="J26" s="45">
        <v>2.21</v>
      </c>
      <c r="K26" s="72">
        <f t="shared" si="1"/>
        <v>1.0003331667499582</v>
      </c>
      <c r="L26" s="95">
        <v>10.93</v>
      </c>
      <c r="M26" s="96">
        <v>10.24</v>
      </c>
      <c r="N26" s="96">
        <v>8.41</v>
      </c>
      <c r="O26" s="96">
        <v>7.28</v>
      </c>
      <c r="P26" s="96">
        <v>7.25</v>
      </c>
      <c r="Q26" s="96">
        <v>6.12</v>
      </c>
      <c r="R26" s="96">
        <v>4.21</v>
      </c>
      <c r="S26" s="96">
        <v>3.38</v>
      </c>
      <c r="T26" s="97">
        <v>2.21</v>
      </c>
      <c r="U26" s="101">
        <f t="shared" si="0"/>
        <v>0.28246343842705146</v>
      </c>
    </row>
    <row r="27" spans="1:21" x14ac:dyDescent="0.2">
      <c r="A27" s="18" t="s">
        <v>25</v>
      </c>
      <c r="B27" s="21">
        <v>231.15</v>
      </c>
      <c r="C27" s="17">
        <v>213.88</v>
      </c>
      <c r="D27" s="17">
        <v>191.91</v>
      </c>
      <c r="E27" s="17">
        <v>207.4</v>
      </c>
      <c r="F27" s="17">
        <v>182.67</v>
      </c>
      <c r="G27" s="17">
        <v>157.46</v>
      </c>
      <c r="H27" s="17">
        <v>148.21</v>
      </c>
      <c r="I27" s="31">
        <v>96.29</v>
      </c>
      <c r="J27" s="45">
        <v>58.29</v>
      </c>
      <c r="K27" s="72">
        <f t="shared" si="1"/>
        <v>1.0027170432097519</v>
      </c>
      <c r="L27" s="95">
        <v>231.15</v>
      </c>
      <c r="M27" s="96">
        <v>213.88</v>
      </c>
      <c r="N27" s="96">
        <v>191.91</v>
      </c>
      <c r="O27" s="96">
        <v>207.4</v>
      </c>
      <c r="P27" s="96">
        <v>181.21</v>
      </c>
      <c r="Q27" s="96">
        <v>155.82</v>
      </c>
      <c r="R27" s="96">
        <v>147.28</v>
      </c>
      <c r="S27" s="96">
        <v>96.29</v>
      </c>
      <c r="T27" s="97">
        <v>58.29</v>
      </c>
      <c r="U27" s="101">
        <f t="shared" si="0"/>
        <v>0.46764226600998826</v>
      </c>
    </row>
    <row r="28" spans="1:21" x14ac:dyDescent="0.2">
      <c r="A28" s="18" t="s">
        <v>26</v>
      </c>
      <c r="B28" s="21">
        <v>7.88</v>
      </c>
      <c r="C28" s="17">
        <v>7.99</v>
      </c>
      <c r="D28" s="17">
        <v>5.48</v>
      </c>
      <c r="E28" s="17">
        <v>3.8</v>
      </c>
      <c r="F28" s="17">
        <v>2.86</v>
      </c>
      <c r="G28" s="17">
        <v>2.13</v>
      </c>
      <c r="H28" s="17">
        <v>0.89</v>
      </c>
      <c r="I28" s="31">
        <v>0.65</v>
      </c>
      <c r="J28" s="45">
        <v>0.27</v>
      </c>
      <c r="K28" s="72">
        <f t="shared" si="1"/>
        <v>1.0088411746131987</v>
      </c>
      <c r="L28" s="95">
        <v>7.82</v>
      </c>
      <c r="M28" s="96">
        <v>7.8</v>
      </c>
      <c r="N28" s="96">
        <v>5.47</v>
      </c>
      <c r="O28" s="96">
        <v>3.8</v>
      </c>
      <c r="P28" s="96">
        <v>2.86</v>
      </c>
      <c r="Q28" s="96">
        <v>2.13</v>
      </c>
      <c r="R28" s="96">
        <v>0.88</v>
      </c>
      <c r="S28" s="96">
        <v>0.64</v>
      </c>
      <c r="T28" s="97">
        <v>0.27</v>
      </c>
      <c r="U28" s="101">
        <f t="shared" si="0"/>
        <v>0.212266860266735</v>
      </c>
    </row>
    <row r="29" spans="1:21" x14ac:dyDescent="0.2">
      <c r="A29" s="18" t="s">
        <v>27</v>
      </c>
      <c r="B29" s="21">
        <v>63.77</v>
      </c>
      <c r="C29" s="17">
        <v>53.38</v>
      </c>
      <c r="D29" s="17">
        <v>50.8</v>
      </c>
      <c r="E29" s="17">
        <v>44.74</v>
      </c>
      <c r="F29" s="17">
        <v>41.85</v>
      </c>
      <c r="G29" s="17">
        <v>27.97</v>
      </c>
      <c r="H29" s="17">
        <v>20.8</v>
      </c>
      <c r="I29" s="31">
        <v>13.87</v>
      </c>
      <c r="J29" s="45">
        <v>7.72</v>
      </c>
      <c r="K29" s="72">
        <f t="shared" si="1"/>
        <v>1.0022519048647316</v>
      </c>
      <c r="L29" s="95">
        <v>63.59</v>
      </c>
      <c r="M29" s="96">
        <v>53.27</v>
      </c>
      <c r="N29" s="96">
        <v>50.65</v>
      </c>
      <c r="O29" s="96">
        <v>44.66</v>
      </c>
      <c r="P29" s="96">
        <v>41.78</v>
      </c>
      <c r="Q29" s="96">
        <v>27.92</v>
      </c>
      <c r="R29" s="96">
        <v>20.76</v>
      </c>
      <c r="S29" s="96">
        <v>13.82</v>
      </c>
      <c r="T29" s="97">
        <v>7.72</v>
      </c>
      <c r="U29" s="101">
        <f t="shared" si="0"/>
        <v>0.38092185891432773</v>
      </c>
    </row>
    <row r="30" spans="1:21" x14ac:dyDescent="0.2">
      <c r="A30" s="18" t="s">
        <v>28</v>
      </c>
      <c r="B30" s="21">
        <v>7.34</v>
      </c>
      <c r="C30" s="17">
        <v>8.39</v>
      </c>
      <c r="D30" s="17">
        <v>7.18</v>
      </c>
      <c r="E30" s="17">
        <v>6.67</v>
      </c>
      <c r="F30" s="17">
        <v>6.66</v>
      </c>
      <c r="G30" s="17">
        <v>4.51</v>
      </c>
      <c r="H30" s="17">
        <v>2.72</v>
      </c>
      <c r="I30" s="31">
        <v>1.6</v>
      </c>
      <c r="J30" s="45">
        <v>0.75</v>
      </c>
      <c r="K30" s="72">
        <f t="shared" si="1"/>
        <v>1</v>
      </c>
      <c r="L30" s="95">
        <v>7.34</v>
      </c>
      <c r="M30" s="96">
        <v>8.39</v>
      </c>
      <c r="N30" s="96">
        <v>7.18</v>
      </c>
      <c r="O30" s="96">
        <v>6.67</v>
      </c>
      <c r="P30" s="96">
        <v>6.66</v>
      </c>
      <c r="Q30" s="96">
        <v>4.51</v>
      </c>
      <c r="R30" s="96">
        <v>2.72</v>
      </c>
      <c r="S30" s="96">
        <v>1.6</v>
      </c>
      <c r="T30" s="97">
        <v>0.75</v>
      </c>
      <c r="U30" s="101">
        <f t="shared" si="0"/>
        <v>0.4296927207156559</v>
      </c>
    </row>
    <row r="31" spans="1:21" x14ac:dyDescent="0.2">
      <c r="A31" s="18" t="s">
        <v>29</v>
      </c>
      <c r="B31" s="21">
        <v>1.51</v>
      </c>
      <c r="C31" s="17">
        <v>1.33</v>
      </c>
      <c r="D31" s="17">
        <v>1.22</v>
      </c>
      <c r="E31" s="17">
        <v>1.1299999999999999</v>
      </c>
      <c r="F31" s="17">
        <v>0.97</v>
      </c>
      <c r="G31" s="17">
        <v>0.91</v>
      </c>
      <c r="H31" s="17">
        <v>0.77</v>
      </c>
      <c r="I31" s="31">
        <v>0.7</v>
      </c>
      <c r="J31" s="45">
        <v>0.45</v>
      </c>
      <c r="K31" s="72">
        <f t="shared" si="1"/>
        <v>1</v>
      </c>
      <c r="L31" s="95">
        <v>1.51</v>
      </c>
      <c r="M31" s="96">
        <v>1.33</v>
      </c>
      <c r="N31" s="96">
        <v>1.22</v>
      </c>
      <c r="O31" s="96">
        <v>1.1299999999999999</v>
      </c>
      <c r="P31" s="96">
        <v>0.97</v>
      </c>
      <c r="Q31" s="96">
        <v>0.91</v>
      </c>
      <c r="R31" s="96">
        <v>0.77</v>
      </c>
      <c r="S31" s="96">
        <v>0.7</v>
      </c>
      <c r="T31" s="97">
        <v>0.45</v>
      </c>
      <c r="U31" s="101">
        <f t="shared" si="0"/>
        <v>0.31930391165675404</v>
      </c>
    </row>
    <row r="32" spans="1:21" x14ac:dyDescent="0.2">
      <c r="A32" s="18" t="s">
        <v>30</v>
      </c>
      <c r="B32" s="21">
        <v>1.06</v>
      </c>
      <c r="C32" s="17">
        <v>0.98</v>
      </c>
      <c r="D32" s="17">
        <v>1.02</v>
      </c>
      <c r="E32" s="17">
        <v>1.34</v>
      </c>
      <c r="F32" s="17">
        <v>1.07</v>
      </c>
      <c r="G32" s="17">
        <v>1.1499999999999999</v>
      </c>
      <c r="H32" s="17">
        <v>0.91</v>
      </c>
      <c r="I32" s="31">
        <v>0.64</v>
      </c>
      <c r="J32" s="45">
        <v>0.38</v>
      </c>
      <c r="K32" s="72">
        <f t="shared" si="1"/>
        <v>1</v>
      </c>
      <c r="L32" s="95">
        <v>1.06</v>
      </c>
      <c r="M32" s="96">
        <v>0.98</v>
      </c>
      <c r="N32" s="96">
        <v>1.02</v>
      </c>
      <c r="O32" s="96">
        <v>1.34</v>
      </c>
      <c r="P32" s="96">
        <v>1.07</v>
      </c>
      <c r="Q32" s="96">
        <v>1.1499999999999999</v>
      </c>
      <c r="R32" s="96">
        <v>0.91</v>
      </c>
      <c r="S32" s="96">
        <v>0.64</v>
      </c>
      <c r="T32" s="97">
        <v>0.38</v>
      </c>
      <c r="U32" s="101">
        <f t="shared" si="0"/>
        <v>0.62388112163225473</v>
      </c>
    </row>
    <row r="33" spans="1:21" x14ac:dyDescent="0.2">
      <c r="A33" s="18" t="s">
        <v>31</v>
      </c>
      <c r="B33" s="21">
        <v>1.58</v>
      </c>
      <c r="C33" s="17">
        <v>1.26</v>
      </c>
      <c r="D33" s="17">
        <v>0.9</v>
      </c>
      <c r="E33" s="17">
        <v>0.79</v>
      </c>
      <c r="F33" s="17">
        <v>0.53</v>
      </c>
      <c r="G33" s="17">
        <v>0.56999999999999995</v>
      </c>
      <c r="H33" s="17">
        <v>0.54</v>
      </c>
      <c r="I33" s="31">
        <v>0.32</v>
      </c>
      <c r="J33" s="45">
        <v>0.17</v>
      </c>
      <c r="K33" s="72">
        <f t="shared" si="1"/>
        <v>1</v>
      </c>
      <c r="L33" s="95">
        <v>1.58</v>
      </c>
      <c r="M33" s="96">
        <v>1.26</v>
      </c>
      <c r="N33" s="96">
        <v>0.9</v>
      </c>
      <c r="O33" s="96">
        <v>0.79</v>
      </c>
      <c r="P33" s="96">
        <v>0.53</v>
      </c>
      <c r="Q33" s="96">
        <v>0.56999999999999995</v>
      </c>
      <c r="R33" s="96">
        <v>0.54</v>
      </c>
      <c r="S33" s="96">
        <v>0.32</v>
      </c>
      <c r="T33" s="97">
        <v>0.17</v>
      </c>
      <c r="U33" s="101">
        <f t="shared" si="0"/>
        <v>0.19369201530194854</v>
      </c>
    </row>
    <row r="34" spans="1:21" x14ac:dyDescent="0.2">
      <c r="A34" s="18" t="s">
        <v>32</v>
      </c>
      <c r="B34" s="21">
        <v>9.26</v>
      </c>
      <c r="C34" s="17">
        <v>7.38</v>
      </c>
      <c r="D34" s="17">
        <v>3.85</v>
      </c>
      <c r="E34" s="17">
        <v>3.91</v>
      </c>
      <c r="F34" s="17">
        <v>3.46</v>
      </c>
      <c r="G34" s="17">
        <v>4.41</v>
      </c>
      <c r="H34" s="17">
        <v>4.28</v>
      </c>
      <c r="I34" s="31">
        <v>1.39</v>
      </c>
      <c r="J34" s="45">
        <v>0.98</v>
      </c>
      <c r="K34" s="72">
        <f t="shared" si="1"/>
        <v>1</v>
      </c>
      <c r="L34" s="95">
        <v>9.26</v>
      </c>
      <c r="M34" s="96">
        <v>7.38</v>
      </c>
      <c r="N34" s="96">
        <v>3.85</v>
      </c>
      <c r="O34" s="96">
        <v>3.91</v>
      </c>
      <c r="P34" s="96">
        <v>3.46</v>
      </c>
      <c r="Q34" s="96">
        <v>4.41</v>
      </c>
      <c r="R34" s="96">
        <v>4.28</v>
      </c>
      <c r="S34" s="96">
        <v>1.39</v>
      </c>
      <c r="T34" s="97">
        <v>0.98</v>
      </c>
      <c r="U34" s="101">
        <f t="shared" si="0"/>
        <v>9.7151617896616346E-2</v>
      </c>
    </row>
    <row r="35" spans="1:21" x14ac:dyDescent="0.2">
      <c r="A35" s="18" t="s">
        <v>33</v>
      </c>
      <c r="B35" s="21">
        <v>4.05</v>
      </c>
      <c r="C35" s="17">
        <v>4.25</v>
      </c>
      <c r="D35" s="17">
        <v>2.65</v>
      </c>
      <c r="E35" s="17">
        <v>1.86</v>
      </c>
      <c r="F35" s="17">
        <v>2.0099999999999998</v>
      </c>
      <c r="G35" s="17">
        <v>2.78</v>
      </c>
      <c r="H35" s="17">
        <v>2.04</v>
      </c>
      <c r="I35" s="31">
        <v>2.0699999999999998</v>
      </c>
      <c r="J35" s="45">
        <v>1.19</v>
      </c>
      <c r="K35" s="72">
        <f t="shared" si="1"/>
        <v>1</v>
      </c>
      <c r="L35" s="95">
        <v>4.05</v>
      </c>
      <c r="M35" s="96">
        <v>4.25</v>
      </c>
      <c r="N35" s="96">
        <v>2.65</v>
      </c>
      <c r="O35" s="96">
        <v>1.86</v>
      </c>
      <c r="P35" s="96">
        <v>2.0099999999999998</v>
      </c>
      <c r="Q35" s="96">
        <v>2.78</v>
      </c>
      <c r="R35" s="96">
        <v>2.04</v>
      </c>
      <c r="S35" s="96">
        <v>2.0699999999999998</v>
      </c>
      <c r="T35" s="97">
        <v>1.19</v>
      </c>
      <c r="U35" s="101">
        <f t="shared" si="0"/>
        <v>-0.13290950972467469</v>
      </c>
    </row>
    <row r="36" spans="1:21" x14ac:dyDescent="0.2">
      <c r="A36" s="18" t="s">
        <v>34</v>
      </c>
      <c r="B36" s="21">
        <v>3.19</v>
      </c>
      <c r="C36" s="17">
        <v>1.97</v>
      </c>
      <c r="D36" s="17">
        <v>2.33</v>
      </c>
      <c r="E36" s="17">
        <v>2.14</v>
      </c>
      <c r="F36" s="17">
        <v>1.37</v>
      </c>
      <c r="G36" s="17">
        <v>1</v>
      </c>
      <c r="H36" s="17">
        <v>0.77</v>
      </c>
      <c r="I36" s="31">
        <v>0.5</v>
      </c>
      <c r="J36" s="45">
        <v>0.3</v>
      </c>
      <c r="K36" s="72">
        <f t="shared" si="1"/>
        <v>1.0494972931167825</v>
      </c>
      <c r="L36" s="95">
        <v>3.15</v>
      </c>
      <c r="M36" s="96">
        <v>1.89</v>
      </c>
      <c r="N36" s="96">
        <v>2.21</v>
      </c>
      <c r="O36" s="96">
        <v>2.08</v>
      </c>
      <c r="P36" s="96">
        <v>1.29</v>
      </c>
      <c r="Q36" s="96">
        <v>0.9</v>
      </c>
      <c r="R36" s="96">
        <v>0.74</v>
      </c>
      <c r="S36" s="96">
        <v>0.41</v>
      </c>
      <c r="T36" s="97">
        <v>0.26</v>
      </c>
      <c r="U36" s="101">
        <f t="shared" si="0"/>
        <v>0.41890878107251411</v>
      </c>
    </row>
    <row r="37" spans="1:21" x14ac:dyDescent="0.2">
      <c r="A37" s="18" t="s">
        <v>35</v>
      </c>
      <c r="B37" s="21">
        <v>0.36</v>
      </c>
      <c r="C37" s="17">
        <v>0.51</v>
      </c>
      <c r="D37" s="17">
        <v>0.53</v>
      </c>
      <c r="E37" s="17">
        <v>0.31</v>
      </c>
      <c r="F37" s="17">
        <v>0.24</v>
      </c>
      <c r="G37" s="17">
        <v>0.21</v>
      </c>
      <c r="H37" s="17">
        <v>0.12</v>
      </c>
      <c r="I37" s="31">
        <v>0.09</v>
      </c>
      <c r="J37" s="45">
        <v>7.0000000000000007E-2</v>
      </c>
      <c r="K37" s="72">
        <f t="shared" si="1"/>
        <v>1</v>
      </c>
      <c r="L37" s="95">
        <v>0.36</v>
      </c>
      <c r="M37" s="96">
        <v>0.51</v>
      </c>
      <c r="N37" s="96">
        <v>0.53</v>
      </c>
      <c r="O37" s="96">
        <v>0.31</v>
      </c>
      <c r="P37" s="96">
        <v>0.24</v>
      </c>
      <c r="Q37" s="96">
        <v>0.21</v>
      </c>
      <c r="R37" s="96">
        <v>0.12</v>
      </c>
      <c r="S37" s="96">
        <v>0.09</v>
      </c>
      <c r="T37" s="97">
        <v>7.0000000000000007E-2</v>
      </c>
      <c r="U37" s="101">
        <f t="shared" si="0"/>
        <v>0.22763626968265738</v>
      </c>
    </row>
    <row r="38" spans="1:21" x14ac:dyDescent="0.2">
      <c r="A38" s="18" t="s">
        <v>36</v>
      </c>
      <c r="B38" s="21">
        <v>0.28999999999999998</v>
      </c>
      <c r="C38" s="17">
        <v>0.13</v>
      </c>
      <c r="D38" s="17">
        <v>0.02</v>
      </c>
      <c r="E38" s="17">
        <v>0.23</v>
      </c>
      <c r="F38" s="17">
        <v>0.05</v>
      </c>
      <c r="G38" s="17">
        <v>0.27</v>
      </c>
      <c r="H38" s="17">
        <v>0.03</v>
      </c>
      <c r="I38" s="31"/>
      <c r="J38" s="45"/>
      <c r="K38" s="72">
        <f t="shared" si="1"/>
        <v>1</v>
      </c>
      <c r="L38" s="95">
        <v>0.28999999999999998</v>
      </c>
      <c r="M38" s="96">
        <v>0.13</v>
      </c>
      <c r="N38" s="96">
        <v>0.02</v>
      </c>
      <c r="O38" s="96">
        <v>0.23</v>
      </c>
      <c r="P38" s="96">
        <v>0.05</v>
      </c>
      <c r="Q38" s="96">
        <v>0.27</v>
      </c>
      <c r="R38" s="96">
        <v>0.03</v>
      </c>
      <c r="S38" s="96"/>
      <c r="T38" s="97"/>
      <c r="U38" s="101">
        <f t="shared" si="0"/>
        <v>0.27541886839656399</v>
      </c>
    </row>
    <row r="39" spans="1:21" x14ac:dyDescent="0.2">
      <c r="A39" s="18" t="s">
        <v>37</v>
      </c>
      <c r="B39" s="21">
        <v>1.28</v>
      </c>
      <c r="C39" s="17">
        <v>0.39</v>
      </c>
      <c r="D39" s="17">
        <v>1.44</v>
      </c>
      <c r="E39" s="17">
        <v>0.67</v>
      </c>
      <c r="F39" s="17">
        <v>1.48</v>
      </c>
      <c r="G39" s="17">
        <v>5.31</v>
      </c>
      <c r="H39" s="17">
        <v>0.94</v>
      </c>
      <c r="I39" s="31">
        <v>1.32</v>
      </c>
      <c r="J39" s="45">
        <v>0.65</v>
      </c>
      <c r="K39" s="72">
        <f t="shared" si="1"/>
        <v>1.7215836526181354</v>
      </c>
      <c r="L39" s="95">
        <v>1.1100000000000001</v>
      </c>
      <c r="M39" s="96">
        <v>0.26</v>
      </c>
      <c r="N39" s="96">
        <v>1.4</v>
      </c>
      <c r="O39" s="96">
        <v>0.67</v>
      </c>
      <c r="P39" s="96">
        <v>0.62</v>
      </c>
      <c r="Q39" s="96">
        <v>0.86</v>
      </c>
      <c r="R39" s="96">
        <v>0.94</v>
      </c>
      <c r="S39" s="96">
        <v>1.32</v>
      </c>
      <c r="T39" s="97">
        <v>0.65</v>
      </c>
      <c r="U39" s="101">
        <f t="shared" si="0"/>
        <v>-0.31479856237052639</v>
      </c>
    </row>
    <row r="40" spans="1:21" x14ac:dyDescent="0.2">
      <c r="A40" s="18" t="s">
        <v>38</v>
      </c>
      <c r="B40" s="21">
        <v>0.26</v>
      </c>
      <c r="C40" s="17">
        <v>0.43</v>
      </c>
      <c r="D40" s="17">
        <v>0.35</v>
      </c>
      <c r="E40" s="17">
        <v>0.53</v>
      </c>
      <c r="F40" s="17">
        <v>0.49</v>
      </c>
      <c r="G40" s="17">
        <v>0.49</v>
      </c>
      <c r="H40" s="17">
        <v>0.34</v>
      </c>
      <c r="I40" s="31">
        <v>0.31</v>
      </c>
      <c r="J40" s="45">
        <v>0.17</v>
      </c>
      <c r="K40" s="72">
        <f t="shared" si="1"/>
        <v>1</v>
      </c>
      <c r="L40" s="95">
        <v>0.26</v>
      </c>
      <c r="M40" s="96">
        <v>0.43</v>
      </c>
      <c r="N40" s="96">
        <v>0.35</v>
      </c>
      <c r="O40" s="96">
        <v>0.53</v>
      </c>
      <c r="P40" s="96">
        <v>0.49</v>
      </c>
      <c r="Q40" s="96">
        <v>0.49</v>
      </c>
      <c r="R40" s="96">
        <v>0.34</v>
      </c>
      <c r="S40" s="96">
        <v>0.31</v>
      </c>
      <c r="T40" s="97">
        <v>0.17</v>
      </c>
      <c r="U40" s="101">
        <f t="shared" si="0"/>
        <v>0.56151014572286051</v>
      </c>
    </row>
    <row r="41" spans="1:21" x14ac:dyDescent="0.2">
      <c r="A41" s="18" t="s">
        <v>39</v>
      </c>
      <c r="B41" s="21">
        <v>22.51</v>
      </c>
      <c r="C41" s="17">
        <v>26.04</v>
      </c>
      <c r="D41" s="17">
        <v>11.58</v>
      </c>
      <c r="E41" s="17">
        <v>8.3800000000000008</v>
      </c>
      <c r="F41" s="17">
        <v>6.38</v>
      </c>
      <c r="G41" s="17">
        <v>4.6100000000000003</v>
      </c>
      <c r="H41" s="17">
        <v>3.93</v>
      </c>
      <c r="I41" s="31">
        <v>3.9</v>
      </c>
      <c r="J41" s="45">
        <v>3.77</v>
      </c>
      <c r="K41" s="72">
        <f t="shared" si="1"/>
        <v>7.4246128769356137</v>
      </c>
      <c r="L41" s="95">
        <v>2.44</v>
      </c>
      <c r="M41" s="96">
        <v>2.69</v>
      </c>
      <c r="N41" s="96">
        <v>1.78</v>
      </c>
      <c r="O41" s="96">
        <v>0.92</v>
      </c>
      <c r="P41" s="96">
        <v>1.08</v>
      </c>
      <c r="Q41" s="96">
        <v>0.66</v>
      </c>
      <c r="R41" s="96">
        <v>1.08</v>
      </c>
      <c r="S41" s="96">
        <v>0.9</v>
      </c>
      <c r="T41" s="97">
        <v>0.72</v>
      </c>
      <c r="U41" s="101">
        <f t="shared" si="0"/>
        <v>-6.1490970882982228E-2</v>
      </c>
    </row>
    <row r="42" spans="1:21" x14ac:dyDescent="0.2">
      <c r="A42" s="18" t="s">
        <v>40</v>
      </c>
      <c r="B42" s="21">
        <v>0.19</v>
      </c>
      <c r="C42" s="17">
        <v>0.21</v>
      </c>
      <c r="D42" s="17">
        <v>0.19</v>
      </c>
      <c r="E42" s="17">
        <v>0.16</v>
      </c>
      <c r="F42" s="17">
        <v>0.62</v>
      </c>
      <c r="G42" s="17">
        <v>0.11</v>
      </c>
      <c r="H42" s="17">
        <v>0.11</v>
      </c>
      <c r="I42" s="31">
        <v>0.11</v>
      </c>
      <c r="J42" s="45"/>
      <c r="K42" s="72">
        <f t="shared" si="1"/>
        <v>1.3934426229508194</v>
      </c>
      <c r="L42" s="95">
        <v>0.19</v>
      </c>
      <c r="M42" s="96">
        <v>0.21</v>
      </c>
      <c r="N42" s="96">
        <v>0.19</v>
      </c>
      <c r="O42" s="96">
        <v>0.16</v>
      </c>
      <c r="P42" s="96">
        <v>0.14000000000000001</v>
      </c>
      <c r="Q42" s="96">
        <v>0.11</v>
      </c>
      <c r="R42" s="96">
        <v>0.11</v>
      </c>
      <c r="S42" s="96">
        <v>0.11</v>
      </c>
      <c r="T42" s="97"/>
      <c r="U42" s="101"/>
    </row>
    <row r="43" spans="1:21" x14ac:dyDescent="0.2">
      <c r="A43" s="18" t="s">
        <v>41</v>
      </c>
      <c r="B43" s="22"/>
      <c r="C43" s="23">
        <v>0.01</v>
      </c>
      <c r="D43" s="23">
        <v>0.02</v>
      </c>
      <c r="E43" s="23">
        <v>0.03</v>
      </c>
      <c r="F43" s="23">
        <v>0.04</v>
      </c>
      <c r="G43" s="23">
        <v>0.1</v>
      </c>
      <c r="H43" s="23">
        <v>0.1</v>
      </c>
      <c r="I43" s="33">
        <v>0.09</v>
      </c>
      <c r="J43" s="46">
        <v>0.06</v>
      </c>
      <c r="K43" s="72">
        <f t="shared" si="1"/>
        <v>1</v>
      </c>
      <c r="L43" s="98"/>
      <c r="M43" s="99">
        <v>0.01</v>
      </c>
      <c r="N43" s="99">
        <v>0.02</v>
      </c>
      <c r="O43" s="99">
        <v>0.03</v>
      </c>
      <c r="P43" s="99">
        <v>0.04</v>
      </c>
      <c r="Q43" s="99">
        <v>0.1</v>
      </c>
      <c r="R43" s="99">
        <v>0.1</v>
      </c>
      <c r="S43" s="99">
        <v>0.09</v>
      </c>
      <c r="T43" s="100">
        <v>0.06</v>
      </c>
      <c r="U43" s="101"/>
    </row>
    <row r="44" spans="1:21" x14ac:dyDescent="0.2">
      <c r="A44" s="47" t="s">
        <v>191</v>
      </c>
      <c r="B44" s="81"/>
      <c r="C44" s="48"/>
      <c r="D44" s="48"/>
      <c r="E44" s="48"/>
      <c r="F44" s="48"/>
      <c r="G44" s="48"/>
      <c r="H44" s="48"/>
      <c r="I44" s="48"/>
      <c r="J44" s="49"/>
      <c r="K44" s="50"/>
      <c r="L44" s="89">
        <v>52.95</v>
      </c>
      <c r="M44" s="90">
        <v>49.04</v>
      </c>
      <c r="N44" s="90">
        <v>43.76</v>
      </c>
      <c r="O44" s="90">
        <v>131.74</v>
      </c>
      <c r="P44" s="90">
        <v>64.33</v>
      </c>
      <c r="Q44" s="90">
        <v>36.22</v>
      </c>
      <c r="R44" s="90">
        <v>37.9</v>
      </c>
      <c r="S44" s="90">
        <v>31.3</v>
      </c>
      <c r="T44" s="91">
        <v>37.99</v>
      </c>
      <c r="U44" s="102"/>
    </row>
    <row r="45" spans="1:21" x14ac:dyDescent="0.2">
      <c r="A45" s="82" t="s">
        <v>195</v>
      </c>
      <c r="B45" s="66"/>
      <c r="C45" s="66"/>
      <c r="D45" s="66"/>
      <c r="E45" s="66"/>
      <c r="F45" s="66"/>
      <c r="G45" s="66"/>
      <c r="H45" s="66"/>
      <c r="I45" s="66"/>
      <c r="J45" s="66"/>
      <c r="L45" s="42"/>
      <c r="M45" s="42"/>
      <c r="N45" s="42"/>
      <c r="O45" s="42"/>
      <c r="P45" s="42"/>
      <c r="Q45" s="42"/>
      <c r="R45" s="42"/>
      <c r="S45" s="42"/>
      <c r="T45" s="42"/>
    </row>
    <row r="46" spans="1:21" x14ac:dyDescent="0.2">
      <c r="A46" s="1" t="s">
        <v>72</v>
      </c>
      <c r="B46" s="4">
        <v>2012</v>
      </c>
      <c r="C46" s="4">
        <v>2013</v>
      </c>
      <c r="D46" s="4">
        <v>2014</v>
      </c>
      <c r="E46" s="4">
        <v>2015</v>
      </c>
      <c r="F46" s="4">
        <v>2016</v>
      </c>
      <c r="G46" s="4">
        <v>2017</v>
      </c>
      <c r="H46" s="4">
        <v>2018</v>
      </c>
      <c r="I46" s="34">
        <v>2019</v>
      </c>
      <c r="J46" s="35">
        <v>2020</v>
      </c>
    </row>
    <row r="47" spans="1:21" x14ac:dyDescent="0.2">
      <c r="A47" s="27" t="s">
        <v>140</v>
      </c>
      <c r="B47" s="36">
        <v>3691</v>
      </c>
      <c r="C47" s="36">
        <v>3926.1</v>
      </c>
      <c r="D47" s="36">
        <v>4401.8999999999996</v>
      </c>
      <c r="E47" s="36">
        <v>4632.8</v>
      </c>
      <c r="F47" s="36">
        <v>4644.5</v>
      </c>
      <c r="G47" s="36">
        <v>4895.8</v>
      </c>
      <c r="H47" s="36">
        <v>4585.2</v>
      </c>
      <c r="I47" s="31">
        <v>4851</v>
      </c>
      <c r="J47" s="31">
        <v>5344.3</v>
      </c>
    </row>
    <row r="48" spans="1:21" x14ac:dyDescent="0.2">
      <c r="A48" s="28" t="s">
        <v>141</v>
      </c>
      <c r="B48" s="3">
        <v>2253.1999999999998</v>
      </c>
      <c r="C48" s="3">
        <v>2775.9</v>
      </c>
      <c r="D48" s="3">
        <v>3541.7</v>
      </c>
      <c r="E48" s="3">
        <v>3963</v>
      </c>
      <c r="F48" s="3">
        <v>4236.8999999999996</v>
      </c>
      <c r="G48" s="3">
        <v>4563.5</v>
      </c>
      <c r="H48" s="3">
        <v>3899.7</v>
      </c>
      <c r="I48" s="31">
        <v>4506</v>
      </c>
      <c r="J48" s="31">
        <v>5780.7</v>
      </c>
    </row>
    <row r="49" spans="1:10" x14ac:dyDescent="0.2">
      <c r="A49" s="28" t="s">
        <v>120</v>
      </c>
      <c r="B49" s="3">
        <v>3102.4</v>
      </c>
      <c r="C49" s="3">
        <v>2734.3</v>
      </c>
      <c r="D49" s="3">
        <v>2146.3000000000002</v>
      </c>
      <c r="E49" s="3">
        <v>2068.1999999999998</v>
      </c>
      <c r="F49" s="3">
        <v>1743.2</v>
      </c>
      <c r="G49" s="3">
        <v>1915.3</v>
      </c>
      <c r="H49" s="3">
        <v>2271.3000000000002</v>
      </c>
      <c r="I49" s="31">
        <v>2028.5</v>
      </c>
      <c r="J49" s="31">
        <v>1760.9</v>
      </c>
    </row>
    <row r="50" spans="1:10" x14ac:dyDescent="0.2">
      <c r="A50" s="28" t="s">
        <v>121</v>
      </c>
      <c r="B50" s="3">
        <v>1601.5</v>
      </c>
      <c r="C50" s="3">
        <v>1493.7</v>
      </c>
      <c r="D50" s="3">
        <v>1279.9000000000001</v>
      </c>
      <c r="E50" s="3">
        <v>1402.1</v>
      </c>
      <c r="F50" s="3">
        <v>1342</v>
      </c>
      <c r="G50" s="3">
        <v>1516.7</v>
      </c>
      <c r="H50" s="3">
        <v>1673.2</v>
      </c>
      <c r="I50" s="31">
        <v>1548.5</v>
      </c>
      <c r="J50" s="31">
        <v>2132.1999999999998</v>
      </c>
    </row>
    <row r="51" spans="1:10" x14ac:dyDescent="0.2">
      <c r="A51" s="28" t="s">
        <v>122</v>
      </c>
      <c r="B51" s="3">
        <v>-63.1</v>
      </c>
      <c r="C51" s="3">
        <v>-90.4</v>
      </c>
      <c r="D51" s="3">
        <v>-6.2</v>
      </c>
      <c r="E51" s="3">
        <v>3.7</v>
      </c>
      <c r="F51" s="3">
        <v>6.4</v>
      </c>
      <c r="G51" s="3">
        <v>-66.2</v>
      </c>
      <c r="H51" s="3">
        <v>87.4</v>
      </c>
      <c r="I51" s="31">
        <v>-135</v>
      </c>
      <c r="J51" s="31">
        <v>-65.099999999999994</v>
      </c>
    </row>
    <row r="52" spans="1:10" x14ac:dyDescent="0.2">
      <c r="A52" s="29" t="s">
        <v>142</v>
      </c>
      <c r="B52" s="3">
        <v>3683.3</v>
      </c>
      <c r="C52" s="3">
        <v>3954</v>
      </c>
      <c r="D52" s="3">
        <v>4355.5</v>
      </c>
      <c r="E52" s="3">
        <v>4662</v>
      </c>
      <c r="F52" s="3">
        <v>4631</v>
      </c>
      <c r="G52" s="3">
        <v>4887.3</v>
      </c>
      <c r="H52" s="3">
        <v>4536.1000000000004</v>
      </c>
      <c r="I52" s="31">
        <v>4690.3</v>
      </c>
      <c r="J52" s="31">
        <v>5364.6</v>
      </c>
    </row>
    <row r="53" spans="1:10" x14ac:dyDescent="0.2">
      <c r="A53" s="28" t="s">
        <v>143</v>
      </c>
      <c r="B53" s="2"/>
      <c r="C53" s="2"/>
      <c r="D53" s="2"/>
      <c r="E53" s="2"/>
      <c r="F53" s="2"/>
      <c r="G53" s="2"/>
      <c r="H53" s="2"/>
      <c r="I53" s="32"/>
      <c r="J53" s="32"/>
    </row>
    <row r="54" spans="1:10" x14ac:dyDescent="0.2">
      <c r="A54" s="28" t="s">
        <v>144</v>
      </c>
      <c r="B54" s="3">
        <v>2</v>
      </c>
      <c r="C54" s="3">
        <v>2</v>
      </c>
      <c r="D54" s="3">
        <v>1.3</v>
      </c>
      <c r="E54" s="3">
        <v>0.9</v>
      </c>
      <c r="F54" s="3">
        <v>1</v>
      </c>
      <c r="G54" s="3">
        <v>1.3</v>
      </c>
      <c r="H54" s="3">
        <v>1.3</v>
      </c>
      <c r="I54" s="31">
        <v>1.2</v>
      </c>
      <c r="J54" s="31">
        <v>1.1000000000000001</v>
      </c>
    </row>
    <row r="55" spans="1:10" x14ac:dyDescent="0.2">
      <c r="A55" s="28" t="s">
        <v>145</v>
      </c>
      <c r="B55" s="3">
        <v>2241.6999999999998</v>
      </c>
      <c r="C55" s="3">
        <v>2421.1</v>
      </c>
      <c r="D55" s="3">
        <v>2835.7</v>
      </c>
      <c r="E55" s="3">
        <v>3133</v>
      </c>
      <c r="F55" s="3">
        <v>3035.4</v>
      </c>
      <c r="G55" s="3">
        <v>3043.7</v>
      </c>
      <c r="H55" s="3">
        <v>2688.2</v>
      </c>
      <c r="I55" s="31">
        <v>2612.5</v>
      </c>
      <c r="J55" s="31">
        <v>3262.3</v>
      </c>
    </row>
    <row r="56" spans="1:10" x14ac:dyDescent="0.2">
      <c r="A56" s="28" t="s">
        <v>146</v>
      </c>
      <c r="B56" s="3">
        <v>27.1</v>
      </c>
      <c r="C56" s="3">
        <v>59.5</v>
      </c>
      <c r="D56" s="3">
        <v>44.6</v>
      </c>
      <c r="E56" s="3">
        <v>53.5</v>
      </c>
      <c r="F56" s="3">
        <v>51.9</v>
      </c>
      <c r="G56" s="3">
        <v>43.2</v>
      </c>
      <c r="H56" s="3">
        <v>31.8</v>
      </c>
      <c r="I56" s="31">
        <v>31.8</v>
      </c>
      <c r="J56" s="31">
        <v>40.700000000000003</v>
      </c>
    </row>
    <row r="57" spans="1:10" x14ac:dyDescent="0.2">
      <c r="A57" s="28" t="s">
        <v>147</v>
      </c>
      <c r="B57" s="3">
        <v>1383.9</v>
      </c>
      <c r="C57" s="3">
        <v>1429</v>
      </c>
      <c r="D57" s="3">
        <v>1441.4</v>
      </c>
      <c r="E57" s="3">
        <v>1439.5</v>
      </c>
      <c r="F57" s="3">
        <v>1511.4</v>
      </c>
      <c r="G57" s="3">
        <v>1771.3</v>
      </c>
      <c r="H57" s="3">
        <v>1795.7</v>
      </c>
      <c r="I57" s="31">
        <v>2025.3</v>
      </c>
      <c r="J57" s="31">
        <v>2042</v>
      </c>
    </row>
    <row r="58" spans="1:10" x14ac:dyDescent="0.2">
      <c r="A58" s="28" t="s">
        <v>148</v>
      </c>
      <c r="B58" s="3">
        <v>8.6999999999999993</v>
      </c>
      <c r="C58" s="3">
        <v>19.100000000000001</v>
      </c>
      <c r="D58" s="3">
        <v>17.399999999999999</v>
      </c>
      <c r="E58" s="3">
        <v>19</v>
      </c>
      <c r="F58" s="3">
        <v>17.2</v>
      </c>
      <c r="G58" s="3">
        <v>15.1</v>
      </c>
      <c r="H58" s="3">
        <v>10.1</v>
      </c>
      <c r="I58" s="31">
        <v>10.199999999999999</v>
      </c>
      <c r="J58" s="31">
        <v>11.8</v>
      </c>
    </row>
    <row r="59" spans="1:10" x14ac:dyDescent="0.2">
      <c r="A59" s="28" t="s">
        <v>149</v>
      </c>
      <c r="B59" s="3">
        <v>19.899999999999999</v>
      </c>
      <c r="C59" s="3">
        <v>23.4</v>
      </c>
      <c r="D59" s="3">
        <v>15.1</v>
      </c>
      <c r="E59" s="3">
        <v>16.100000000000001</v>
      </c>
      <c r="F59" s="3">
        <v>14.1</v>
      </c>
      <c r="G59" s="3">
        <v>12.5</v>
      </c>
      <c r="H59" s="3">
        <v>9</v>
      </c>
      <c r="I59" s="31">
        <v>9.1999999999999993</v>
      </c>
      <c r="J59" s="31">
        <v>6.6</v>
      </c>
    </row>
    <row r="60" spans="1:10" x14ac:dyDescent="0.2">
      <c r="A60" s="28" t="s">
        <v>150</v>
      </c>
      <c r="B60" s="2"/>
      <c r="C60" s="2"/>
      <c r="D60" s="2"/>
      <c r="E60" s="2"/>
      <c r="F60" s="2"/>
      <c r="G60" s="2"/>
      <c r="H60" s="2"/>
      <c r="I60" s="32"/>
      <c r="J60" s="32"/>
    </row>
    <row r="61" spans="1:10" x14ac:dyDescent="0.2">
      <c r="A61" s="28" t="s">
        <v>151</v>
      </c>
      <c r="B61" s="2"/>
      <c r="C61" s="2"/>
      <c r="D61" s="2"/>
      <c r="E61" s="2"/>
      <c r="F61" s="2"/>
      <c r="G61" s="2"/>
      <c r="H61" s="2"/>
      <c r="I61" s="32"/>
      <c r="J61" s="32"/>
    </row>
    <row r="62" spans="1:10" x14ac:dyDescent="0.2">
      <c r="A62" s="28" t="s">
        <v>152</v>
      </c>
      <c r="B62" s="3">
        <v>2072.8000000000002</v>
      </c>
      <c r="C62" s="3">
        <v>2101.8000000000002</v>
      </c>
      <c r="D62" s="3">
        <v>2058</v>
      </c>
      <c r="E62" s="3">
        <v>2123.6999999999998</v>
      </c>
      <c r="F62" s="3">
        <v>2060.4</v>
      </c>
      <c r="G62" s="3">
        <v>2196.9</v>
      </c>
      <c r="H62" s="3">
        <v>2155.9</v>
      </c>
      <c r="I62" s="31">
        <v>2295.4</v>
      </c>
      <c r="J62" s="31">
        <v>2333</v>
      </c>
    </row>
    <row r="63" spans="1:10" x14ac:dyDescent="0.2">
      <c r="A63" s="28" t="s">
        <v>177</v>
      </c>
      <c r="B63" s="3">
        <v>631.20000000000005</v>
      </c>
      <c r="C63" s="3">
        <v>568.9</v>
      </c>
      <c r="D63" s="3">
        <v>538.20000000000005</v>
      </c>
      <c r="E63" s="3">
        <v>594.79999999999995</v>
      </c>
      <c r="F63" s="3">
        <v>464.8</v>
      </c>
      <c r="G63" s="3">
        <v>353.4</v>
      </c>
      <c r="H63" s="3">
        <v>308</v>
      </c>
      <c r="I63" s="31">
        <v>217.6</v>
      </c>
      <c r="J63" s="31">
        <v>230.7</v>
      </c>
    </row>
    <row r="64" spans="1:10" x14ac:dyDescent="0.2">
      <c r="A64" s="28" t="s">
        <v>154</v>
      </c>
      <c r="B64" s="2"/>
      <c r="C64" s="2"/>
      <c r="D64" s="2"/>
      <c r="E64" s="2"/>
      <c r="F64" s="2"/>
      <c r="G64" s="2"/>
      <c r="H64" s="2"/>
      <c r="I64" s="32"/>
      <c r="J64" s="32"/>
    </row>
    <row r="65" spans="1:10" x14ac:dyDescent="0.2">
      <c r="A65" s="28" t="s">
        <v>163</v>
      </c>
      <c r="B65" s="3">
        <v>1610.5</v>
      </c>
      <c r="C65" s="3">
        <v>1852.1</v>
      </c>
      <c r="D65" s="3">
        <v>2297.5</v>
      </c>
      <c r="E65" s="3">
        <v>2538.3000000000002</v>
      </c>
      <c r="F65" s="3">
        <v>2570.6999999999998</v>
      </c>
      <c r="G65" s="3">
        <v>2690.4</v>
      </c>
      <c r="H65" s="3">
        <v>2380.1999999999998</v>
      </c>
      <c r="I65" s="31">
        <v>2395</v>
      </c>
      <c r="J65" s="31">
        <v>3031.6</v>
      </c>
    </row>
    <row r="66" spans="1:10" x14ac:dyDescent="0.2">
      <c r="A66" s="28" t="s">
        <v>166</v>
      </c>
      <c r="B66" s="3">
        <v>43.1</v>
      </c>
      <c r="C66" s="3">
        <v>47.3</v>
      </c>
      <c r="D66" s="3">
        <v>35.6</v>
      </c>
      <c r="E66" s="3">
        <v>31.5</v>
      </c>
      <c r="F66" s="3">
        <v>31.1</v>
      </c>
      <c r="G66" s="3">
        <v>16.600000000000001</v>
      </c>
      <c r="H66" s="3">
        <v>15.1</v>
      </c>
      <c r="I66" s="31">
        <v>13.9</v>
      </c>
      <c r="J66" s="31">
        <v>29.4</v>
      </c>
    </row>
    <row r="67" spans="1:10" x14ac:dyDescent="0.2">
      <c r="A67" s="28" t="s">
        <v>178</v>
      </c>
      <c r="B67" s="3">
        <v>187.3</v>
      </c>
      <c r="C67" s="3">
        <v>167.2</v>
      </c>
      <c r="D67" s="3">
        <v>164.9</v>
      </c>
      <c r="E67" s="3">
        <v>165.1</v>
      </c>
      <c r="F67" s="3">
        <v>158.5</v>
      </c>
      <c r="G67" s="3">
        <v>67</v>
      </c>
      <c r="H67" s="3">
        <v>59.5</v>
      </c>
      <c r="I67" s="31">
        <v>60.2</v>
      </c>
      <c r="J67" s="31">
        <v>231.4</v>
      </c>
    </row>
    <row r="68" spans="1:10" x14ac:dyDescent="0.2">
      <c r="A68" s="28" t="s">
        <v>179</v>
      </c>
      <c r="B68" s="3">
        <v>1380</v>
      </c>
      <c r="C68" s="3">
        <v>1637.7</v>
      </c>
      <c r="D68" s="3">
        <v>2097</v>
      </c>
      <c r="E68" s="3">
        <v>2341.6</v>
      </c>
      <c r="F68" s="3">
        <v>2381.1</v>
      </c>
      <c r="G68" s="3">
        <v>2606.6999999999998</v>
      </c>
      <c r="H68" s="3">
        <v>2305.5</v>
      </c>
      <c r="I68" s="31">
        <v>2320.8000000000002</v>
      </c>
      <c r="J68" s="31">
        <v>2770.8</v>
      </c>
    </row>
    <row r="69" spans="1:10" x14ac:dyDescent="0.2">
      <c r="A69" s="28" t="s">
        <v>180</v>
      </c>
      <c r="B69" s="2"/>
      <c r="C69" s="2"/>
      <c r="D69" s="2"/>
      <c r="E69" s="2"/>
      <c r="F69" s="2"/>
      <c r="G69" s="2"/>
      <c r="H69" s="2"/>
      <c r="I69" s="32"/>
      <c r="J69" s="32"/>
    </row>
    <row r="70" spans="1:10" x14ac:dyDescent="0.2">
      <c r="A70" s="28" t="s">
        <v>165</v>
      </c>
      <c r="B70" s="2"/>
      <c r="C70" s="2"/>
      <c r="D70" s="2"/>
      <c r="E70" s="2"/>
      <c r="F70" s="2"/>
      <c r="G70" s="2"/>
      <c r="H70" s="2"/>
      <c r="I70" s="32"/>
      <c r="J70" s="32"/>
    </row>
    <row r="71" spans="1:10" x14ac:dyDescent="0.2">
      <c r="A71" s="30" t="s">
        <v>139</v>
      </c>
      <c r="B71" s="37">
        <v>7.7</v>
      </c>
      <c r="C71" s="37">
        <v>-27.8</v>
      </c>
      <c r="D71" s="37">
        <v>46.4</v>
      </c>
      <c r="E71" s="37">
        <v>-29.2</v>
      </c>
      <c r="F71" s="37">
        <v>13.5</v>
      </c>
      <c r="G71" s="37">
        <v>8.5</v>
      </c>
      <c r="H71" s="37">
        <v>49.1</v>
      </c>
      <c r="I71" s="33">
        <v>160.69999999999999</v>
      </c>
      <c r="J71" s="33">
        <v>-20.3</v>
      </c>
    </row>
  </sheetData>
  <mergeCells count="2">
    <mergeCell ref="B1:J1"/>
    <mergeCell ref="L1:T1"/>
  </mergeCells>
  <phoneticPr fontId="3" type="noConversion"/>
  <conditionalFormatting sqref="K3:K43">
    <cfRule type="cellIs" dxfId="5" priority="2"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1F648-D4A2-4CFE-AE41-2B60FD3B2DD8}">
  <sheetPr codeName="Sheet12"/>
  <dimension ref="A1:U61"/>
  <sheetViews>
    <sheetView zoomScale="85" zoomScaleNormal="85" workbookViewId="0">
      <selection activeCell="K33" sqref="K33"/>
    </sheetView>
  </sheetViews>
  <sheetFormatPr defaultRowHeight="14.25" x14ac:dyDescent="0.2"/>
  <cols>
    <col min="1" max="1" width="36.625" bestFit="1" customWidth="1"/>
    <col min="2" max="10" width="10.625" customWidth="1"/>
    <col min="11" max="20" width="11.125" customWidth="1"/>
    <col min="21" max="21" width="10" customWidth="1"/>
    <col min="250" max="250" width="28" customWidth="1"/>
    <col min="251" max="251" width="76" customWidth="1"/>
    <col min="252" max="255" width="14" customWidth="1"/>
    <col min="256" max="265" width="15" customWidth="1"/>
    <col min="506" max="506" width="28" customWidth="1"/>
    <col min="507" max="507" width="76" customWidth="1"/>
    <col min="508" max="511" width="14" customWidth="1"/>
    <col min="512" max="521" width="15" customWidth="1"/>
    <col min="762" max="762" width="28" customWidth="1"/>
    <col min="763" max="763" width="76" customWidth="1"/>
    <col min="764" max="767" width="14" customWidth="1"/>
    <col min="768" max="777" width="15" customWidth="1"/>
    <col min="1018" max="1018" width="28" customWidth="1"/>
    <col min="1019" max="1019" width="76" customWidth="1"/>
    <col min="1020" max="1023" width="14" customWidth="1"/>
    <col min="1024" max="1033" width="15" customWidth="1"/>
    <col min="1274" max="1274" width="28" customWidth="1"/>
    <col min="1275" max="1275" width="76" customWidth="1"/>
    <col min="1276" max="1279" width="14" customWidth="1"/>
    <col min="1280" max="1289" width="15" customWidth="1"/>
    <col min="1530" max="1530" width="28" customWidth="1"/>
    <col min="1531" max="1531" width="76" customWidth="1"/>
    <col min="1532" max="1535" width="14" customWidth="1"/>
    <col min="1536" max="1545" width="15" customWidth="1"/>
    <col min="1786" max="1786" width="28" customWidth="1"/>
    <col min="1787" max="1787" width="76" customWidth="1"/>
    <col min="1788" max="1791" width="14" customWidth="1"/>
    <col min="1792" max="1801" width="15" customWidth="1"/>
    <col min="2042" max="2042" width="28" customWidth="1"/>
    <col min="2043" max="2043" width="76" customWidth="1"/>
    <col min="2044" max="2047" width="14" customWidth="1"/>
    <col min="2048" max="2057" width="15" customWidth="1"/>
    <col min="2298" max="2298" width="28" customWidth="1"/>
    <col min="2299" max="2299" width="76" customWidth="1"/>
    <col min="2300" max="2303" width="14" customWidth="1"/>
    <col min="2304" max="2313" width="15" customWidth="1"/>
    <col min="2554" max="2554" width="28" customWidth="1"/>
    <col min="2555" max="2555" width="76" customWidth="1"/>
    <col min="2556" max="2559" width="14" customWidth="1"/>
    <col min="2560" max="2569" width="15" customWidth="1"/>
    <col min="2810" max="2810" width="28" customWidth="1"/>
    <col min="2811" max="2811" width="76" customWidth="1"/>
    <col min="2812" max="2815" width="14" customWidth="1"/>
    <col min="2816" max="2825" width="15" customWidth="1"/>
    <col min="3066" max="3066" width="28" customWidth="1"/>
    <col min="3067" max="3067" width="76" customWidth="1"/>
    <col min="3068" max="3071" width="14" customWidth="1"/>
    <col min="3072" max="3081" width="15" customWidth="1"/>
    <col min="3322" max="3322" width="28" customWidth="1"/>
    <col min="3323" max="3323" width="76" customWidth="1"/>
    <col min="3324" max="3327" width="14" customWidth="1"/>
    <col min="3328" max="3337" width="15" customWidth="1"/>
    <col min="3578" max="3578" width="28" customWidth="1"/>
    <col min="3579" max="3579" width="76" customWidth="1"/>
    <col min="3580" max="3583" width="14" customWidth="1"/>
    <col min="3584" max="3593" width="15" customWidth="1"/>
    <col min="3834" max="3834" width="28" customWidth="1"/>
    <col min="3835" max="3835" width="76" customWidth="1"/>
    <col min="3836" max="3839" width="14" customWidth="1"/>
    <col min="3840" max="3849" width="15" customWidth="1"/>
    <col min="4090" max="4090" width="28" customWidth="1"/>
    <col min="4091" max="4091" width="76" customWidth="1"/>
    <col min="4092" max="4095" width="14" customWidth="1"/>
    <col min="4096" max="4105" width="15" customWidth="1"/>
    <col min="4346" max="4346" width="28" customWidth="1"/>
    <col min="4347" max="4347" width="76" customWidth="1"/>
    <col min="4348" max="4351" width="14" customWidth="1"/>
    <col min="4352" max="4361" width="15" customWidth="1"/>
    <col min="4602" max="4602" width="28" customWidth="1"/>
    <col min="4603" max="4603" width="76" customWidth="1"/>
    <col min="4604" max="4607" width="14" customWidth="1"/>
    <col min="4608" max="4617" width="15" customWidth="1"/>
    <col min="4858" max="4858" width="28" customWidth="1"/>
    <col min="4859" max="4859" width="76" customWidth="1"/>
    <col min="4860" max="4863" width="14" customWidth="1"/>
    <col min="4864" max="4873" width="15" customWidth="1"/>
    <col min="5114" max="5114" width="28" customWidth="1"/>
    <col min="5115" max="5115" width="76" customWidth="1"/>
    <col min="5116" max="5119" width="14" customWidth="1"/>
    <col min="5120" max="5129" width="15" customWidth="1"/>
    <col min="5370" max="5370" width="28" customWidth="1"/>
    <col min="5371" max="5371" width="76" customWidth="1"/>
    <col min="5372" max="5375" width="14" customWidth="1"/>
    <col min="5376" max="5385" width="15" customWidth="1"/>
    <col min="5626" max="5626" width="28" customWidth="1"/>
    <col min="5627" max="5627" width="76" customWidth="1"/>
    <col min="5628" max="5631" width="14" customWidth="1"/>
    <col min="5632" max="5641" width="15" customWidth="1"/>
    <col min="5882" max="5882" width="28" customWidth="1"/>
    <col min="5883" max="5883" width="76" customWidth="1"/>
    <col min="5884" max="5887" width="14" customWidth="1"/>
    <col min="5888" max="5897" width="15" customWidth="1"/>
    <col min="6138" max="6138" width="28" customWidth="1"/>
    <col min="6139" max="6139" width="76" customWidth="1"/>
    <col min="6140" max="6143" width="14" customWidth="1"/>
    <col min="6144" max="6153" width="15" customWidth="1"/>
    <col min="6394" max="6394" width="28" customWidth="1"/>
    <col min="6395" max="6395" width="76" customWidth="1"/>
    <col min="6396" max="6399" width="14" customWidth="1"/>
    <col min="6400" max="6409" width="15" customWidth="1"/>
    <col min="6650" max="6650" width="28" customWidth="1"/>
    <col min="6651" max="6651" width="76" customWidth="1"/>
    <col min="6652" max="6655" width="14" customWidth="1"/>
    <col min="6656" max="6665" width="15" customWidth="1"/>
    <col min="6906" max="6906" width="28" customWidth="1"/>
    <col min="6907" max="6907" width="76" customWidth="1"/>
    <col min="6908" max="6911" width="14" customWidth="1"/>
    <col min="6912" max="6921" width="15" customWidth="1"/>
    <col min="7162" max="7162" width="28" customWidth="1"/>
    <col min="7163" max="7163" width="76" customWidth="1"/>
    <col min="7164" max="7167" width="14" customWidth="1"/>
    <col min="7168" max="7177" width="15" customWidth="1"/>
    <col min="7418" max="7418" width="28" customWidth="1"/>
    <col min="7419" max="7419" width="76" customWidth="1"/>
    <col min="7420" max="7423" width="14" customWidth="1"/>
    <col min="7424" max="7433" width="15" customWidth="1"/>
    <col min="7674" max="7674" width="28" customWidth="1"/>
    <col min="7675" max="7675" width="76" customWidth="1"/>
    <col min="7676" max="7679" width="14" customWidth="1"/>
    <col min="7680" max="7689" width="15" customWidth="1"/>
    <col min="7930" max="7930" width="28" customWidth="1"/>
    <col min="7931" max="7931" width="76" customWidth="1"/>
    <col min="7932" max="7935" width="14" customWidth="1"/>
    <col min="7936" max="7945" width="15" customWidth="1"/>
    <col min="8186" max="8186" width="28" customWidth="1"/>
    <col min="8187" max="8187" width="76" customWidth="1"/>
    <col min="8188" max="8191" width="14" customWidth="1"/>
    <col min="8192" max="8201" width="15" customWidth="1"/>
    <col min="8442" max="8442" width="28" customWidth="1"/>
    <col min="8443" max="8443" width="76" customWidth="1"/>
    <col min="8444" max="8447" width="14" customWidth="1"/>
    <col min="8448" max="8457" width="15" customWidth="1"/>
    <col min="8698" max="8698" width="28" customWidth="1"/>
    <col min="8699" max="8699" width="76" customWidth="1"/>
    <col min="8700" max="8703" width="14" customWidth="1"/>
    <col min="8704" max="8713" width="15" customWidth="1"/>
    <col min="8954" max="8954" width="28" customWidth="1"/>
    <col min="8955" max="8955" width="76" customWidth="1"/>
    <col min="8956" max="8959" width="14" customWidth="1"/>
    <col min="8960" max="8969" width="15" customWidth="1"/>
    <col min="9210" max="9210" width="28" customWidth="1"/>
    <col min="9211" max="9211" width="76" customWidth="1"/>
    <col min="9212" max="9215" width="14" customWidth="1"/>
    <col min="9216" max="9225" width="15" customWidth="1"/>
    <col min="9466" max="9466" width="28" customWidth="1"/>
    <col min="9467" max="9467" width="76" customWidth="1"/>
    <col min="9468" max="9471" width="14" customWidth="1"/>
    <col min="9472" max="9481" width="15" customWidth="1"/>
    <col min="9722" max="9722" width="28" customWidth="1"/>
    <col min="9723" max="9723" width="76" customWidth="1"/>
    <col min="9724" max="9727" width="14" customWidth="1"/>
    <col min="9728" max="9737" width="15" customWidth="1"/>
    <col min="9978" max="9978" width="28" customWidth="1"/>
    <col min="9979" max="9979" width="76" customWidth="1"/>
    <col min="9980" max="9983" width="14" customWidth="1"/>
    <col min="9984" max="9993" width="15" customWidth="1"/>
    <col min="10234" max="10234" width="28" customWidth="1"/>
    <col min="10235" max="10235" width="76" customWidth="1"/>
    <col min="10236" max="10239" width="14" customWidth="1"/>
    <col min="10240" max="10249" width="15" customWidth="1"/>
    <col min="10490" max="10490" width="28" customWidth="1"/>
    <col min="10491" max="10491" width="76" customWidth="1"/>
    <col min="10492" max="10495" width="14" customWidth="1"/>
    <col min="10496" max="10505" width="15" customWidth="1"/>
    <col min="10746" max="10746" width="28" customWidth="1"/>
    <col min="10747" max="10747" width="76" customWidth="1"/>
    <col min="10748" max="10751" width="14" customWidth="1"/>
    <col min="10752" max="10761" width="15" customWidth="1"/>
    <col min="11002" max="11002" width="28" customWidth="1"/>
    <col min="11003" max="11003" width="76" customWidth="1"/>
    <col min="11004" max="11007" width="14" customWidth="1"/>
    <col min="11008" max="11017" width="15" customWidth="1"/>
    <col min="11258" max="11258" width="28" customWidth="1"/>
    <col min="11259" max="11259" width="76" customWidth="1"/>
    <col min="11260" max="11263" width="14" customWidth="1"/>
    <col min="11264" max="11273" width="15" customWidth="1"/>
    <col min="11514" max="11514" width="28" customWidth="1"/>
    <col min="11515" max="11515" width="76" customWidth="1"/>
    <col min="11516" max="11519" width="14" customWidth="1"/>
    <col min="11520" max="11529" width="15" customWidth="1"/>
    <col min="11770" max="11770" width="28" customWidth="1"/>
    <col min="11771" max="11771" width="76" customWidth="1"/>
    <col min="11772" max="11775" width="14" customWidth="1"/>
    <col min="11776" max="11785" width="15" customWidth="1"/>
    <col min="12026" max="12026" width="28" customWidth="1"/>
    <col min="12027" max="12027" width="76" customWidth="1"/>
    <col min="12028" max="12031" width="14" customWidth="1"/>
    <col min="12032" max="12041" width="15" customWidth="1"/>
    <col min="12282" max="12282" width="28" customWidth="1"/>
    <col min="12283" max="12283" width="76" customWidth="1"/>
    <col min="12284" max="12287" width="14" customWidth="1"/>
    <col min="12288" max="12297" width="15" customWidth="1"/>
    <col min="12538" max="12538" width="28" customWidth="1"/>
    <col min="12539" max="12539" width="76" customWidth="1"/>
    <col min="12540" max="12543" width="14" customWidth="1"/>
    <col min="12544" max="12553" width="15" customWidth="1"/>
    <col min="12794" max="12794" width="28" customWidth="1"/>
    <col min="12795" max="12795" width="76" customWidth="1"/>
    <col min="12796" max="12799" width="14" customWidth="1"/>
    <col min="12800" max="12809" width="15" customWidth="1"/>
    <col min="13050" max="13050" width="28" customWidth="1"/>
    <col min="13051" max="13051" width="76" customWidth="1"/>
    <col min="13052" max="13055" width="14" customWidth="1"/>
    <col min="13056" max="13065" width="15" customWidth="1"/>
    <col min="13306" max="13306" width="28" customWidth="1"/>
    <col min="13307" max="13307" width="76" customWidth="1"/>
    <col min="13308" max="13311" width="14" customWidth="1"/>
    <col min="13312" max="13321" width="15" customWidth="1"/>
    <col min="13562" max="13562" width="28" customWidth="1"/>
    <col min="13563" max="13563" width="76" customWidth="1"/>
    <col min="13564" max="13567" width="14" customWidth="1"/>
    <col min="13568" max="13577" width="15" customWidth="1"/>
    <col min="13818" max="13818" width="28" customWidth="1"/>
    <col min="13819" max="13819" width="76" customWidth="1"/>
    <col min="13820" max="13823" width="14" customWidth="1"/>
    <col min="13824" max="13833" width="15" customWidth="1"/>
    <col min="14074" max="14074" width="28" customWidth="1"/>
    <col min="14075" max="14075" width="76" customWidth="1"/>
    <col min="14076" max="14079" width="14" customWidth="1"/>
    <col min="14080" max="14089" width="15" customWidth="1"/>
    <col min="14330" max="14330" width="28" customWidth="1"/>
    <col min="14331" max="14331" width="76" customWidth="1"/>
    <col min="14332" max="14335" width="14" customWidth="1"/>
    <col min="14336" max="14345" width="15" customWidth="1"/>
    <col min="14586" max="14586" width="28" customWidth="1"/>
    <col min="14587" max="14587" width="76" customWidth="1"/>
    <col min="14588" max="14591" width="14" customWidth="1"/>
    <col min="14592" max="14601" width="15" customWidth="1"/>
    <col min="14842" max="14842" width="28" customWidth="1"/>
    <col min="14843" max="14843" width="76" customWidth="1"/>
    <col min="14844" max="14847" width="14" customWidth="1"/>
    <col min="14848" max="14857" width="15" customWidth="1"/>
    <col min="15098" max="15098" width="28" customWidth="1"/>
    <col min="15099" max="15099" width="76" customWidth="1"/>
    <col min="15100" max="15103" width="14" customWidth="1"/>
    <col min="15104" max="15113" width="15" customWidth="1"/>
    <col min="15354" max="15354" width="28" customWidth="1"/>
    <col min="15355" max="15355" width="76" customWidth="1"/>
    <col min="15356" max="15359" width="14" customWidth="1"/>
    <col min="15360" max="15369" width="15" customWidth="1"/>
    <col min="15610" max="15610" width="28" customWidth="1"/>
    <col min="15611" max="15611" width="76" customWidth="1"/>
    <col min="15612" max="15615" width="14" customWidth="1"/>
    <col min="15616" max="15625" width="15" customWidth="1"/>
    <col min="15866" max="15866" width="28" customWidth="1"/>
    <col min="15867" max="15867" width="76" customWidth="1"/>
    <col min="15868" max="15871" width="14" customWidth="1"/>
    <col min="15872" max="15881" width="15" customWidth="1"/>
    <col min="16122" max="16122" width="28" customWidth="1"/>
    <col min="16123" max="16123" width="76" customWidth="1"/>
    <col min="16124" max="16127" width="14" customWidth="1"/>
    <col min="16128" max="16137" width="15" customWidth="1"/>
  </cols>
  <sheetData>
    <row r="1" spans="1:21" x14ac:dyDescent="0.2">
      <c r="B1" s="216" t="s">
        <v>189</v>
      </c>
      <c r="C1" s="216"/>
      <c r="D1" s="216"/>
      <c r="E1" s="216"/>
      <c r="F1" s="216"/>
      <c r="G1" s="216"/>
      <c r="H1" s="216"/>
      <c r="I1" s="216"/>
      <c r="J1" s="216"/>
      <c r="L1" s="216" t="s">
        <v>190</v>
      </c>
      <c r="M1" s="216"/>
      <c r="N1" s="216"/>
      <c r="O1" s="216"/>
      <c r="P1" s="216"/>
      <c r="Q1" s="216"/>
      <c r="R1" s="216"/>
      <c r="S1" s="216"/>
      <c r="T1" s="216"/>
    </row>
    <row r="2" spans="1:21" x14ac:dyDescent="0.2">
      <c r="A2" s="6" t="s">
        <v>0</v>
      </c>
      <c r="B2" s="4">
        <v>2012</v>
      </c>
      <c r="C2" s="4">
        <v>2013</v>
      </c>
      <c r="D2" s="4">
        <v>2014</v>
      </c>
      <c r="E2" s="4">
        <v>2015</v>
      </c>
      <c r="F2" s="4">
        <v>2016</v>
      </c>
      <c r="G2" s="4">
        <v>2017</v>
      </c>
      <c r="H2" s="4">
        <v>2018</v>
      </c>
      <c r="I2" s="34">
        <v>2019</v>
      </c>
      <c r="J2" s="35">
        <v>2020</v>
      </c>
      <c r="K2" s="40" t="s">
        <v>188</v>
      </c>
      <c r="L2" s="60">
        <v>2012</v>
      </c>
      <c r="M2" s="60">
        <v>2013</v>
      </c>
      <c r="N2" s="60">
        <v>2014</v>
      </c>
      <c r="O2" s="60">
        <v>2015</v>
      </c>
      <c r="P2" s="60">
        <v>2016</v>
      </c>
      <c r="Q2" s="60">
        <v>2017</v>
      </c>
      <c r="R2" s="60">
        <v>2018</v>
      </c>
      <c r="S2" s="61">
        <v>2019</v>
      </c>
      <c r="T2" s="61">
        <v>2020</v>
      </c>
      <c r="U2" s="6"/>
    </row>
    <row r="3" spans="1:21" x14ac:dyDescent="0.2">
      <c r="A3" s="18" t="s">
        <v>2</v>
      </c>
      <c r="B3" s="25">
        <v>11.48</v>
      </c>
      <c r="C3" s="26">
        <v>9.5</v>
      </c>
      <c r="D3" s="26">
        <v>12.68</v>
      </c>
      <c r="E3" s="26">
        <v>14.42</v>
      </c>
      <c r="F3" s="26">
        <v>17.2</v>
      </c>
      <c r="G3" s="26">
        <v>20.149999999999999</v>
      </c>
      <c r="H3" s="26">
        <v>20.86</v>
      </c>
      <c r="I3" s="43">
        <v>24.63</v>
      </c>
      <c r="J3" s="44">
        <v>19.41</v>
      </c>
      <c r="K3" s="72">
        <f>SUM(B3:J3)/SUM(L3:T3)</f>
        <v>1.8538660747317799</v>
      </c>
      <c r="L3" s="92">
        <v>7.84</v>
      </c>
      <c r="M3" s="93">
        <v>4.25</v>
      </c>
      <c r="N3" s="93">
        <v>5.95</v>
      </c>
      <c r="O3" s="93">
        <v>7.14</v>
      </c>
      <c r="P3" s="93">
        <v>8.6199999999999992</v>
      </c>
      <c r="Q3" s="93">
        <v>11.58</v>
      </c>
      <c r="R3" s="93">
        <v>12.7</v>
      </c>
      <c r="S3" s="93">
        <v>14.35</v>
      </c>
      <c r="T3" s="94">
        <v>8.66</v>
      </c>
      <c r="U3" s="101">
        <f t="shared" ref="U3:U41" si="0">CORREL(L$44:T$44,L3:T3)</f>
        <v>-0.71743006877723614</v>
      </c>
    </row>
    <row r="4" spans="1:21" x14ac:dyDescent="0.2">
      <c r="A4" s="18" t="s">
        <v>3</v>
      </c>
      <c r="B4" s="21">
        <v>127.94</v>
      </c>
      <c r="C4" s="17">
        <v>138.22999999999999</v>
      </c>
      <c r="D4" s="17">
        <v>147.26</v>
      </c>
      <c r="E4" s="17">
        <v>143.06</v>
      </c>
      <c r="F4" s="17">
        <v>132.63</v>
      </c>
      <c r="G4" s="17">
        <v>141.41999999999999</v>
      </c>
      <c r="H4" s="17">
        <v>157.01</v>
      </c>
      <c r="I4" s="31">
        <v>154.97</v>
      </c>
      <c r="J4" s="45">
        <v>156.69999999999999</v>
      </c>
      <c r="K4" s="72">
        <f t="shared" ref="K4:K43" si="1">SUM(B4:J4)/SUM(L4:T4)</f>
        <v>1.1978778995936854</v>
      </c>
      <c r="L4" s="95">
        <v>103.14617879049044</v>
      </c>
      <c r="M4" s="96">
        <v>116.55518203325418</v>
      </c>
      <c r="N4" s="96">
        <v>124.13</v>
      </c>
      <c r="O4" s="96">
        <v>123.39</v>
      </c>
      <c r="P4" s="96">
        <v>112.99</v>
      </c>
      <c r="Q4" s="96">
        <v>118.97</v>
      </c>
      <c r="R4" s="96">
        <v>126.55</v>
      </c>
      <c r="S4" s="96">
        <v>132.38</v>
      </c>
      <c r="T4" s="97">
        <v>126.49</v>
      </c>
      <c r="U4" s="101">
        <f t="shared" si="0"/>
        <v>-0.50819410778506224</v>
      </c>
    </row>
    <row r="5" spans="1:21" x14ac:dyDescent="0.2">
      <c r="A5" s="18" t="s">
        <v>4</v>
      </c>
      <c r="B5" s="21">
        <v>0.03</v>
      </c>
      <c r="C5" s="17">
        <v>0.02</v>
      </c>
      <c r="D5" s="17">
        <v>0.02</v>
      </c>
      <c r="E5" s="17">
        <v>0.01</v>
      </c>
      <c r="F5" s="17">
        <v>0.01</v>
      </c>
      <c r="G5" s="10"/>
      <c r="H5" s="17">
        <v>0.01</v>
      </c>
      <c r="I5" s="31">
        <v>0.03</v>
      </c>
      <c r="J5" s="45">
        <v>0.06</v>
      </c>
      <c r="K5" s="72">
        <f t="shared" si="1"/>
        <v>1.098880516977061</v>
      </c>
      <c r="L5" s="95">
        <v>3.1119552000000005E-2</v>
      </c>
      <c r="M5" s="96">
        <v>2.1783686400000002E-2</v>
      </c>
      <c r="N5" s="96">
        <v>0.02</v>
      </c>
      <c r="O5" s="96">
        <v>0.01</v>
      </c>
      <c r="P5" s="96">
        <v>0.01</v>
      </c>
      <c r="Q5" s="96"/>
      <c r="R5" s="96">
        <v>0.01</v>
      </c>
      <c r="S5" s="96">
        <v>0.02</v>
      </c>
      <c r="T5" s="97">
        <v>0.05</v>
      </c>
      <c r="U5" s="101">
        <f t="shared" si="0"/>
        <v>0.14353293951839816</v>
      </c>
    </row>
    <row r="6" spans="1:21" x14ac:dyDescent="0.2">
      <c r="A6" s="18" t="s">
        <v>5</v>
      </c>
      <c r="B6" s="15"/>
      <c r="C6" s="17">
        <v>0.01</v>
      </c>
      <c r="D6" s="17">
        <v>0.64</v>
      </c>
      <c r="E6" s="17">
        <v>1.05</v>
      </c>
      <c r="F6" s="17">
        <v>0.08</v>
      </c>
      <c r="G6" s="17">
        <v>0.17</v>
      </c>
      <c r="H6" s="17">
        <v>0.5</v>
      </c>
      <c r="I6" s="31">
        <v>0.66</v>
      </c>
      <c r="J6" s="45">
        <v>0.83</v>
      </c>
      <c r="K6" s="72">
        <f t="shared" si="1"/>
        <v>1</v>
      </c>
      <c r="L6" s="95"/>
      <c r="M6" s="96">
        <v>0.01</v>
      </c>
      <c r="N6" s="96">
        <v>0.64</v>
      </c>
      <c r="O6" s="96">
        <v>1.05</v>
      </c>
      <c r="P6" s="96">
        <v>0.08</v>
      </c>
      <c r="Q6" s="96">
        <v>0.17</v>
      </c>
      <c r="R6" s="96">
        <v>0.5</v>
      </c>
      <c r="S6" s="96">
        <v>0.66</v>
      </c>
      <c r="T6" s="97">
        <v>0.83</v>
      </c>
      <c r="U6" s="101">
        <f t="shared" si="0"/>
        <v>-5.5461711776774975E-2</v>
      </c>
    </row>
    <row r="7" spans="1:21" x14ac:dyDescent="0.2">
      <c r="A7" s="18" t="s">
        <v>6</v>
      </c>
      <c r="B7" s="21">
        <v>0.54</v>
      </c>
      <c r="C7" s="17">
        <v>0.08</v>
      </c>
      <c r="D7" s="17">
        <v>7.0000000000000007E-2</v>
      </c>
      <c r="E7" s="17">
        <v>0.12</v>
      </c>
      <c r="F7" s="17">
        <v>0.18</v>
      </c>
      <c r="G7" s="17">
        <v>0.39</v>
      </c>
      <c r="H7" s="17">
        <v>1.03</v>
      </c>
      <c r="I7" s="31">
        <v>1.64</v>
      </c>
      <c r="J7" s="45">
        <v>3.24</v>
      </c>
      <c r="K7" s="72">
        <f t="shared" si="1"/>
        <v>2.7931034482758621</v>
      </c>
      <c r="L7" s="95">
        <v>0.05</v>
      </c>
      <c r="M7" s="96">
        <v>0.04</v>
      </c>
      <c r="N7" s="96">
        <v>0.03</v>
      </c>
      <c r="O7" s="96">
        <v>0.08</v>
      </c>
      <c r="P7" s="96">
        <v>0.15</v>
      </c>
      <c r="Q7" s="96">
        <v>0.32</v>
      </c>
      <c r="R7" s="96">
        <v>0.48</v>
      </c>
      <c r="S7" s="96">
        <v>0.62</v>
      </c>
      <c r="T7" s="97">
        <v>0.84</v>
      </c>
      <c r="U7" s="101">
        <f t="shared" si="0"/>
        <v>-0.68013822765710097</v>
      </c>
    </row>
    <row r="8" spans="1:21" x14ac:dyDescent="0.2">
      <c r="A8" s="18" t="s">
        <v>7</v>
      </c>
      <c r="B8" s="21">
        <v>8.51</v>
      </c>
      <c r="C8" s="17">
        <v>8.25</v>
      </c>
      <c r="D8" s="17">
        <v>6.12</v>
      </c>
      <c r="E8" s="17">
        <v>4.49</v>
      </c>
      <c r="F8" s="17">
        <v>3.46</v>
      </c>
      <c r="G8" s="17">
        <v>2.64</v>
      </c>
      <c r="H8" s="17">
        <v>4.32</v>
      </c>
      <c r="I8" s="31">
        <v>4.66</v>
      </c>
      <c r="J8" s="45">
        <v>4.26</v>
      </c>
      <c r="K8" s="72">
        <f t="shared" si="1"/>
        <v>2.2975897688145599</v>
      </c>
      <c r="L8" s="95">
        <v>2.2000000000000002</v>
      </c>
      <c r="M8" s="96">
        <v>2.57</v>
      </c>
      <c r="N8" s="96">
        <v>2.2999999999999998</v>
      </c>
      <c r="O8" s="96">
        <v>2.04</v>
      </c>
      <c r="P8" s="96">
        <v>2.08</v>
      </c>
      <c r="Q8" s="96">
        <v>1.87</v>
      </c>
      <c r="R8" s="96">
        <v>1.92</v>
      </c>
      <c r="S8" s="96">
        <v>2.38</v>
      </c>
      <c r="T8" s="97">
        <v>2.97</v>
      </c>
      <c r="U8" s="101">
        <f t="shared" si="0"/>
        <v>0.23055169340659284</v>
      </c>
    </row>
    <row r="9" spans="1:21" x14ac:dyDescent="0.2">
      <c r="A9" s="18" t="s">
        <v>8</v>
      </c>
      <c r="B9" s="15"/>
      <c r="C9" s="10"/>
      <c r="D9" s="10"/>
      <c r="E9" s="10"/>
      <c r="F9" s="10"/>
      <c r="G9" s="10"/>
      <c r="H9" s="10"/>
      <c r="I9" s="32"/>
      <c r="J9" s="58"/>
      <c r="K9" s="72" t="e">
        <f t="shared" si="1"/>
        <v>#DIV/0!</v>
      </c>
      <c r="L9" s="95"/>
      <c r="M9" s="96"/>
      <c r="N9" s="96"/>
      <c r="O9" s="96"/>
      <c r="P9" s="96"/>
      <c r="Q9" s="96"/>
      <c r="R9" s="96"/>
      <c r="S9" s="96"/>
      <c r="T9" s="97"/>
      <c r="U9" s="101" t="e">
        <f t="shared" si="0"/>
        <v>#DIV/0!</v>
      </c>
    </row>
    <row r="10" spans="1:21" x14ac:dyDescent="0.2">
      <c r="A10" s="18" t="s">
        <v>9</v>
      </c>
      <c r="B10" s="21">
        <v>1.62</v>
      </c>
      <c r="C10" s="17">
        <v>2.19</v>
      </c>
      <c r="D10" s="17">
        <v>2.99</v>
      </c>
      <c r="E10" s="17">
        <v>5.72</v>
      </c>
      <c r="F10" s="17">
        <v>9.89</v>
      </c>
      <c r="G10" s="17">
        <v>16.97</v>
      </c>
      <c r="H10" s="17">
        <v>21.33</v>
      </c>
      <c r="I10" s="31">
        <v>31.51</v>
      </c>
      <c r="J10" s="45">
        <v>30.4</v>
      </c>
      <c r="K10" s="72">
        <f t="shared" si="1"/>
        <v>5.6932689370355991</v>
      </c>
      <c r="L10" s="95">
        <v>0.98463903911999995</v>
      </c>
      <c r="M10" s="96">
        <v>1.21307529619584</v>
      </c>
      <c r="N10" s="96">
        <v>1.31</v>
      </c>
      <c r="O10" s="96">
        <v>1.52</v>
      </c>
      <c r="P10" s="96">
        <v>2.02</v>
      </c>
      <c r="Q10" s="96">
        <v>2.87</v>
      </c>
      <c r="R10" s="96">
        <v>3.56</v>
      </c>
      <c r="S10" s="96">
        <v>3.86</v>
      </c>
      <c r="T10" s="97">
        <v>4.2</v>
      </c>
      <c r="U10" s="101">
        <f t="shared" si="0"/>
        <v>-0.8037967526848141</v>
      </c>
    </row>
    <row r="11" spans="1:21" x14ac:dyDescent="0.2">
      <c r="A11" s="18" t="s">
        <v>10</v>
      </c>
      <c r="B11" s="21">
        <v>6.1</v>
      </c>
      <c r="C11" s="17">
        <v>7.32</v>
      </c>
      <c r="D11" s="17">
        <v>8.36</v>
      </c>
      <c r="E11" s="17">
        <v>9.8699999999999992</v>
      </c>
      <c r="F11" s="17">
        <v>14.13</v>
      </c>
      <c r="G11" s="17">
        <v>17.53</v>
      </c>
      <c r="H11" s="17">
        <v>19.66</v>
      </c>
      <c r="I11" s="31">
        <v>24.34</v>
      </c>
      <c r="J11" s="45">
        <v>26.44</v>
      </c>
      <c r="K11" s="72">
        <f t="shared" si="1"/>
        <v>1.6282368998568451</v>
      </c>
      <c r="L11" s="95">
        <v>4.884957</v>
      </c>
      <c r="M11" s="96">
        <v>5.5791093896999993</v>
      </c>
      <c r="N11" s="96">
        <v>6.11</v>
      </c>
      <c r="O11" s="96">
        <v>7.56</v>
      </c>
      <c r="P11" s="96">
        <v>9.06</v>
      </c>
      <c r="Q11" s="96">
        <v>10.38</v>
      </c>
      <c r="R11" s="96">
        <v>11.83</v>
      </c>
      <c r="S11" s="96">
        <v>12.87</v>
      </c>
      <c r="T11" s="97">
        <v>13.87</v>
      </c>
      <c r="U11" s="101">
        <f t="shared" si="0"/>
        <v>-0.84566072531038061</v>
      </c>
    </row>
    <row r="12" spans="1:21" x14ac:dyDescent="0.2">
      <c r="A12" s="18" t="s">
        <v>11</v>
      </c>
      <c r="B12" s="21">
        <v>3.43</v>
      </c>
      <c r="C12" s="17">
        <v>4.25</v>
      </c>
      <c r="D12" s="17">
        <v>5.43</v>
      </c>
      <c r="E12" s="17">
        <v>6.19</v>
      </c>
      <c r="F12" s="17">
        <v>8.49</v>
      </c>
      <c r="G12" s="17">
        <v>10.87</v>
      </c>
      <c r="H12" s="17">
        <v>15.06</v>
      </c>
      <c r="I12" s="31">
        <v>16.649999999999999</v>
      </c>
      <c r="J12" s="45">
        <v>14.89</v>
      </c>
      <c r="K12" s="72">
        <f t="shared" si="1"/>
        <v>1.4224082743127029</v>
      </c>
      <c r="L12" s="95">
        <v>3.2958787679999992</v>
      </c>
      <c r="M12" s="96">
        <v>3.9847174305119992</v>
      </c>
      <c r="N12" s="96">
        <v>4.62</v>
      </c>
      <c r="O12" s="96">
        <v>5.17</v>
      </c>
      <c r="P12" s="96">
        <v>6.29</v>
      </c>
      <c r="Q12" s="96">
        <v>7.54</v>
      </c>
      <c r="R12" s="96">
        <v>9.15</v>
      </c>
      <c r="S12" s="96">
        <v>9.92</v>
      </c>
      <c r="T12" s="97">
        <v>9.9700000000000006</v>
      </c>
      <c r="U12" s="101">
        <f t="shared" si="0"/>
        <v>-0.828653576101818</v>
      </c>
    </row>
    <row r="13" spans="1:21" x14ac:dyDescent="0.2">
      <c r="A13" s="18" t="s">
        <v>12</v>
      </c>
      <c r="B13" s="21">
        <v>1.74</v>
      </c>
      <c r="C13" s="17">
        <v>1.76</v>
      </c>
      <c r="D13" s="17">
        <v>1.81</v>
      </c>
      <c r="E13" s="17">
        <v>1.74</v>
      </c>
      <c r="F13" s="17">
        <v>1.03</v>
      </c>
      <c r="G13" s="17">
        <v>1.06</v>
      </c>
      <c r="H13" s="17">
        <v>1.08</v>
      </c>
      <c r="I13" s="31">
        <v>1.24</v>
      </c>
      <c r="J13" s="45">
        <v>1.19</v>
      </c>
      <c r="K13" s="72">
        <f t="shared" si="1"/>
        <v>1.424620586175158</v>
      </c>
      <c r="L13" s="95">
        <v>0.77078878935552009</v>
      </c>
      <c r="M13" s="96">
        <v>0.79876842240912549</v>
      </c>
      <c r="N13" s="96">
        <v>0.87</v>
      </c>
      <c r="O13" s="96">
        <v>0.93</v>
      </c>
      <c r="P13" s="96">
        <v>1.03</v>
      </c>
      <c r="Q13" s="96">
        <v>1.06</v>
      </c>
      <c r="R13" s="96">
        <v>1.07</v>
      </c>
      <c r="S13" s="96">
        <v>1.21</v>
      </c>
      <c r="T13" s="97">
        <v>1.1399999999999999</v>
      </c>
      <c r="U13" s="101">
        <f t="shared" si="0"/>
        <v>-0.8249609777438387</v>
      </c>
    </row>
    <row r="14" spans="1:21" x14ac:dyDescent="0.2">
      <c r="A14" s="18" t="s">
        <v>13</v>
      </c>
      <c r="B14" s="21">
        <v>2.15</v>
      </c>
      <c r="C14" s="17">
        <v>2.87</v>
      </c>
      <c r="D14" s="17">
        <v>4.55</v>
      </c>
      <c r="E14" s="17">
        <v>6.24</v>
      </c>
      <c r="F14" s="17">
        <v>18.77</v>
      </c>
      <c r="G14" s="17">
        <v>30.76</v>
      </c>
      <c r="H14" s="17">
        <v>37.479999999999997</v>
      </c>
      <c r="I14" s="31">
        <v>44.93</v>
      </c>
      <c r="J14" s="45">
        <v>50.77</v>
      </c>
      <c r="K14" s="72">
        <f t="shared" si="1"/>
        <v>2.7348763866835539</v>
      </c>
      <c r="L14" s="95">
        <v>1.9253434352197498</v>
      </c>
      <c r="M14" s="96">
        <v>2.502946465785675</v>
      </c>
      <c r="N14" s="96">
        <v>3.49</v>
      </c>
      <c r="O14" s="96">
        <v>4.7</v>
      </c>
      <c r="P14" s="96">
        <v>7.11</v>
      </c>
      <c r="Q14" s="96">
        <v>9.89</v>
      </c>
      <c r="R14" s="96">
        <v>12.24</v>
      </c>
      <c r="S14" s="96">
        <v>14.83</v>
      </c>
      <c r="T14" s="97">
        <v>15.9</v>
      </c>
      <c r="U14" s="101">
        <f t="shared" si="0"/>
        <v>-0.79609604020480573</v>
      </c>
    </row>
    <row r="15" spans="1:21" x14ac:dyDescent="0.2">
      <c r="A15" s="18" t="s">
        <v>14</v>
      </c>
      <c r="B15" s="21">
        <v>0.87</v>
      </c>
      <c r="C15" s="17">
        <v>1.44</v>
      </c>
      <c r="D15" s="17">
        <v>1.82</v>
      </c>
      <c r="E15" s="17">
        <v>1.75</v>
      </c>
      <c r="F15" s="17">
        <v>3.47</v>
      </c>
      <c r="G15" s="17">
        <v>6.26</v>
      </c>
      <c r="H15" s="17">
        <v>6.05</v>
      </c>
      <c r="I15" s="31">
        <v>10.84</v>
      </c>
      <c r="J15" s="45">
        <v>11.74</v>
      </c>
      <c r="K15" s="72">
        <f t="shared" si="1"/>
        <v>5.2810021834814442</v>
      </c>
      <c r="L15" s="95">
        <v>0.48508991999999995</v>
      </c>
      <c r="M15" s="96">
        <v>0.5821079039999999</v>
      </c>
      <c r="N15" s="96">
        <v>0.59</v>
      </c>
      <c r="O15" s="96">
        <v>0.67</v>
      </c>
      <c r="P15" s="96">
        <v>0.96</v>
      </c>
      <c r="Q15" s="96">
        <v>1.49</v>
      </c>
      <c r="R15" s="96">
        <v>1.28</v>
      </c>
      <c r="S15" s="96">
        <v>1.31</v>
      </c>
      <c r="T15" s="97">
        <v>1.01</v>
      </c>
      <c r="U15" s="101">
        <f t="shared" si="0"/>
        <v>-0.87284293176996897</v>
      </c>
    </row>
    <row r="16" spans="1:21" x14ac:dyDescent="0.2">
      <c r="A16" s="18" t="s">
        <v>15</v>
      </c>
      <c r="B16" s="21">
        <v>0.17</v>
      </c>
      <c r="C16" s="17">
        <v>0.22</v>
      </c>
      <c r="D16" s="17">
        <v>0.21</v>
      </c>
      <c r="E16" s="17">
        <v>0.23</v>
      </c>
      <c r="F16" s="17">
        <v>0.77</v>
      </c>
      <c r="G16" s="17">
        <v>1.45</v>
      </c>
      <c r="H16" s="17">
        <v>1.83</v>
      </c>
      <c r="I16" s="31">
        <v>2.17</v>
      </c>
      <c r="J16" s="45">
        <v>2.93</v>
      </c>
      <c r="K16" s="72">
        <f t="shared" si="1"/>
        <v>12.571729637503948</v>
      </c>
      <c r="L16" s="95">
        <v>7.8894679500000009E-2</v>
      </c>
      <c r="M16" s="96">
        <v>7.4949945525000006E-2</v>
      </c>
      <c r="N16" s="96">
        <v>0.08</v>
      </c>
      <c r="O16" s="96">
        <v>0.06</v>
      </c>
      <c r="P16" s="96">
        <v>0.06</v>
      </c>
      <c r="Q16" s="96">
        <v>0.1</v>
      </c>
      <c r="R16" s="96">
        <v>0.11</v>
      </c>
      <c r="S16" s="96">
        <v>0.12</v>
      </c>
      <c r="T16" s="97">
        <v>0.11</v>
      </c>
      <c r="U16" s="101">
        <f t="shared" si="0"/>
        <v>-0.49660116642283814</v>
      </c>
    </row>
    <row r="17" spans="1:21" x14ac:dyDescent="0.2">
      <c r="A17" s="18" t="s">
        <v>16</v>
      </c>
      <c r="B17" s="21">
        <v>0.35</v>
      </c>
      <c r="C17" s="17">
        <v>0.39</v>
      </c>
      <c r="D17" s="17">
        <v>0.5</v>
      </c>
      <c r="E17" s="17">
        <v>0.7</v>
      </c>
      <c r="F17" s="17">
        <v>1.18</v>
      </c>
      <c r="G17" s="17">
        <v>2.2599999999999998</v>
      </c>
      <c r="H17" s="17">
        <v>3.08</v>
      </c>
      <c r="I17" s="31">
        <v>2.88</v>
      </c>
      <c r="J17" s="45">
        <v>3.13</v>
      </c>
      <c r="K17" s="72">
        <f t="shared" si="1"/>
        <v>1.119102861562258</v>
      </c>
      <c r="L17" s="95">
        <v>0.34</v>
      </c>
      <c r="M17" s="96">
        <v>0.37</v>
      </c>
      <c r="N17" s="96">
        <v>0.47</v>
      </c>
      <c r="O17" s="96">
        <v>0.64</v>
      </c>
      <c r="P17" s="96">
        <v>1.04</v>
      </c>
      <c r="Q17" s="96">
        <v>1.91</v>
      </c>
      <c r="R17" s="96">
        <v>2.72</v>
      </c>
      <c r="S17" s="96">
        <v>2.63</v>
      </c>
      <c r="T17" s="97">
        <v>2.81</v>
      </c>
      <c r="U17" s="101">
        <f t="shared" si="0"/>
        <v>-0.82327360795359938</v>
      </c>
    </row>
    <row r="18" spans="1:21" x14ac:dyDescent="0.2">
      <c r="A18" s="18" t="s">
        <v>17</v>
      </c>
      <c r="B18" s="21">
        <v>0.68</v>
      </c>
      <c r="C18" s="17">
        <v>0.77</v>
      </c>
      <c r="D18" s="17">
        <v>1.08</v>
      </c>
      <c r="E18" s="17">
        <v>1.52</v>
      </c>
      <c r="F18" s="17">
        <v>1.32</v>
      </c>
      <c r="G18" s="17">
        <v>1.73</v>
      </c>
      <c r="H18" s="17">
        <v>1.58</v>
      </c>
      <c r="I18" s="31">
        <v>1.67</v>
      </c>
      <c r="J18" s="45">
        <v>1.67</v>
      </c>
      <c r="K18" s="72">
        <f t="shared" si="1"/>
        <v>1.3150984682713349</v>
      </c>
      <c r="L18" s="95">
        <v>0.62</v>
      </c>
      <c r="M18" s="96">
        <v>0.65</v>
      </c>
      <c r="N18" s="96">
        <v>0.72</v>
      </c>
      <c r="O18" s="96">
        <v>0.91</v>
      </c>
      <c r="P18" s="96">
        <v>0.99</v>
      </c>
      <c r="Q18" s="96">
        <v>1.22</v>
      </c>
      <c r="R18" s="96">
        <v>1.31</v>
      </c>
      <c r="S18" s="96">
        <v>1.35</v>
      </c>
      <c r="T18" s="97">
        <v>1.37</v>
      </c>
      <c r="U18" s="101">
        <f t="shared" si="0"/>
        <v>-0.89926853990706601</v>
      </c>
    </row>
    <row r="19" spans="1:21" x14ac:dyDescent="0.2">
      <c r="A19" s="18" t="s">
        <v>18</v>
      </c>
      <c r="B19" s="21">
        <v>4.1399999999999997</v>
      </c>
      <c r="C19" s="17">
        <v>5.66</v>
      </c>
      <c r="D19" s="17">
        <v>5.96</v>
      </c>
      <c r="E19" s="17">
        <v>9.32</v>
      </c>
      <c r="F19" s="17">
        <v>10.68</v>
      </c>
      <c r="G19" s="17">
        <v>19.55</v>
      </c>
      <c r="H19" s="17">
        <v>25.79</v>
      </c>
      <c r="I19" s="31">
        <v>22.5</v>
      </c>
      <c r="J19" s="45">
        <v>22.32</v>
      </c>
      <c r="K19" s="72">
        <f t="shared" si="1"/>
        <v>5.0733842653313426</v>
      </c>
      <c r="L19" s="95">
        <v>1.2858806015999997</v>
      </c>
      <c r="M19" s="96">
        <v>1.3338439480396798</v>
      </c>
      <c r="N19" s="96">
        <v>1.42</v>
      </c>
      <c r="O19" s="96">
        <v>1.56</v>
      </c>
      <c r="P19" s="96">
        <v>2.0699999999999998</v>
      </c>
      <c r="Q19" s="96">
        <v>3.07</v>
      </c>
      <c r="R19" s="96">
        <v>4.1100000000000003</v>
      </c>
      <c r="S19" s="96">
        <v>4.8600000000000003</v>
      </c>
      <c r="T19" s="97">
        <v>5.1100000000000003</v>
      </c>
      <c r="U19" s="101">
        <f t="shared" si="0"/>
        <v>-0.73247682014587479</v>
      </c>
    </row>
    <row r="20" spans="1:21" x14ac:dyDescent="0.2">
      <c r="A20" s="18" t="s">
        <v>19</v>
      </c>
      <c r="B20" s="21">
        <v>0.98</v>
      </c>
      <c r="C20" s="17">
        <v>1.59</v>
      </c>
      <c r="D20" s="17">
        <v>2.13</v>
      </c>
      <c r="E20" s="17">
        <v>2.33</v>
      </c>
      <c r="F20" s="17">
        <v>2.6</v>
      </c>
      <c r="G20" s="17">
        <v>3.42</v>
      </c>
      <c r="H20" s="17">
        <v>4.46</v>
      </c>
      <c r="I20" s="31">
        <v>5.0999999999999996</v>
      </c>
      <c r="J20" s="45">
        <v>4.83</v>
      </c>
      <c r="K20" s="72">
        <f t="shared" si="1"/>
        <v>1.2937293729372936</v>
      </c>
      <c r="L20" s="95">
        <v>0.88</v>
      </c>
      <c r="M20" s="96">
        <v>1.42</v>
      </c>
      <c r="N20" s="96">
        <v>1.89</v>
      </c>
      <c r="O20" s="96">
        <v>1.83</v>
      </c>
      <c r="P20" s="96">
        <v>2.1800000000000002</v>
      </c>
      <c r="Q20" s="96">
        <v>2.73</v>
      </c>
      <c r="R20" s="96">
        <v>3.31</v>
      </c>
      <c r="S20" s="96">
        <v>3.4</v>
      </c>
      <c r="T20" s="97">
        <v>3.57</v>
      </c>
      <c r="U20" s="101">
        <f t="shared" si="0"/>
        <v>-0.82300323526550034</v>
      </c>
    </row>
    <row r="21" spans="1:21" x14ac:dyDescent="0.2">
      <c r="A21" s="18" t="s">
        <v>20</v>
      </c>
      <c r="B21" s="21">
        <v>1.65</v>
      </c>
      <c r="C21" s="17">
        <v>2.2000000000000002</v>
      </c>
      <c r="D21" s="17">
        <v>2.92</v>
      </c>
      <c r="E21" s="17">
        <v>2.86</v>
      </c>
      <c r="F21" s="17">
        <v>4.22</v>
      </c>
      <c r="G21" s="17">
        <v>7.18</v>
      </c>
      <c r="H21" s="17">
        <v>10.39</v>
      </c>
      <c r="I21" s="31">
        <v>14.09</v>
      </c>
      <c r="J21" s="45">
        <v>16.48</v>
      </c>
      <c r="K21" s="72">
        <f t="shared" si="1"/>
        <v>3.3874316939890701</v>
      </c>
      <c r="L21" s="95">
        <v>0.72</v>
      </c>
      <c r="M21" s="96">
        <v>1.01</v>
      </c>
      <c r="N21" s="96">
        <v>1.34</v>
      </c>
      <c r="O21" s="96">
        <v>1.32</v>
      </c>
      <c r="P21" s="96">
        <v>1.9</v>
      </c>
      <c r="Q21" s="96">
        <v>2.88</v>
      </c>
      <c r="R21" s="96">
        <v>2.92</v>
      </c>
      <c r="S21" s="96">
        <v>2.97</v>
      </c>
      <c r="T21" s="97">
        <v>3.24</v>
      </c>
      <c r="U21" s="101">
        <f t="shared" si="0"/>
        <v>-0.86085807548164639</v>
      </c>
    </row>
    <row r="22" spans="1:21" x14ac:dyDescent="0.2">
      <c r="A22" s="18" t="s">
        <v>21</v>
      </c>
      <c r="B22" s="21">
        <v>98.89</v>
      </c>
      <c r="C22" s="17">
        <v>137.13999999999999</v>
      </c>
      <c r="D22" s="17">
        <v>142.78</v>
      </c>
      <c r="E22" s="17">
        <v>137.99</v>
      </c>
      <c r="F22" s="17">
        <v>143.37</v>
      </c>
      <c r="G22" s="17">
        <v>191.46</v>
      </c>
      <c r="H22" s="17">
        <v>188.17</v>
      </c>
      <c r="I22" s="31">
        <v>171.56</v>
      </c>
      <c r="J22" s="45">
        <v>146.5</v>
      </c>
      <c r="K22" s="72">
        <f t="shared" si="1"/>
        <v>5.0363858907310552</v>
      </c>
      <c r="L22" s="95">
        <v>29.11</v>
      </c>
      <c r="M22" s="96">
        <v>29.14</v>
      </c>
      <c r="N22" s="96">
        <v>36.65</v>
      </c>
      <c r="O22" s="96">
        <v>36.47</v>
      </c>
      <c r="P22" s="96">
        <v>26.53</v>
      </c>
      <c r="Q22" s="96">
        <v>28.8</v>
      </c>
      <c r="R22" s="96">
        <v>28.7</v>
      </c>
      <c r="S22" s="96">
        <v>26.77</v>
      </c>
      <c r="T22" s="97">
        <v>27.44</v>
      </c>
      <c r="U22" s="101">
        <f t="shared" si="0"/>
        <v>0.42976813095492261</v>
      </c>
    </row>
    <row r="23" spans="1:21" x14ac:dyDescent="0.2">
      <c r="A23" s="18" t="s">
        <v>1</v>
      </c>
      <c r="B23" s="21">
        <v>275.33999999999997</v>
      </c>
      <c r="C23" s="17">
        <v>305.42</v>
      </c>
      <c r="D23" s="17">
        <v>320.27</v>
      </c>
      <c r="E23" s="17">
        <v>259.18</v>
      </c>
      <c r="F23" s="17">
        <v>243.49</v>
      </c>
      <c r="G23" s="17">
        <v>266.18</v>
      </c>
      <c r="H23" s="17">
        <v>324.93</v>
      </c>
      <c r="I23" s="31">
        <v>409.68</v>
      </c>
      <c r="J23" s="45">
        <v>460.6</v>
      </c>
      <c r="K23" s="72">
        <f t="shared" si="1"/>
        <v>1.5956526097707677</v>
      </c>
      <c r="L23" s="95">
        <v>217.27</v>
      </c>
      <c r="M23" s="96">
        <v>240.89</v>
      </c>
      <c r="N23" s="96">
        <v>229.85</v>
      </c>
      <c r="O23" s="96">
        <v>185.69</v>
      </c>
      <c r="P23" s="96">
        <v>168.95</v>
      </c>
      <c r="Q23" s="96">
        <v>175.24</v>
      </c>
      <c r="R23" s="96">
        <v>184.01</v>
      </c>
      <c r="S23" s="96">
        <v>206.99</v>
      </c>
      <c r="T23" s="97">
        <v>186.67</v>
      </c>
      <c r="U23" s="101">
        <f t="shared" si="0"/>
        <v>0.81842169785019303</v>
      </c>
    </row>
    <row r="24" spans="1:21" x14ac:dyDescent="0.2">
      <c r="A24" s="18" t="s">
        <v>22</v>
      </c>
      <c r="B24" s="21">
        <v>5.01</v>
      </c>
      <c r="C24" s="17">
        <v>6.04</v>
      </c>
      <c r="D24" s="17">
        <v>6.75</v>
      </c>
      <c r="E24" s="17">
        <v>7.25</v>
      </c>
      <c r="F24" s="17">
        <v>8.1999999999999993</v>
      </c>
      <c r="G24" s="17">
        <v>9.44</v>
      </c>
      <c r="H24" s="17">
        <v>11.47</v>
      </c>
      <c r="I24" s="31">
        <v>15.04</v>
      </c>
      <c r="J24" s="45">
        <v>20.010000000000002</v>
      </c>
      <c r="K24" s="72">
        <f t="shared" si="1"/>
        <v>1.6082021897638941</v>
      </c>
      <c r="L24" s="95">
        <v>4.232475</v>
      </c>
      <c r="M24" s="96">
        <v>4.9194056925000007</v>
      </c>
      <c r="N24" s="96">
        <v>5.69</v>
      </c>
      <c r="O24" s="96">
        <v>5.94</v>
      </c>
      <c r="P24" s="96">
        <v>6.3</v>
      </c>
      <c r="Q24" s="96">
        <v>6.3</v>
      </c>
      <c r="R24" s="96">
        <v>6.64</v>
      </c>
      <c r="S24" s="96">
        <v>7.46</v>
      </c>
      <c r="T24" s="97">
        <v>7.99</v>
      </c>
      <c r="U24" s="101">
        <f t="shared" si="0"/>
        <v>-0.7488656697021937</v>
      </c>
    </row>
    <row r="25" spans="1:21" x14ac:dyDescent="0.2">
      <c r="A25" s="18" t="s">
        <v>23</v>
      </c>
      <c r="B25" s="21">
        <v>2.2000000000000002</v>
      </c>
      <c r="C25" s="17">
        <v>2.62</v>
      </c>
      <c r="D25" s="17">
        <v>3.1</v>
      </c>
      <c r="E25" s="17">
        <v>3.07</v>
      </c>
      <c r="F25" s="17">
        <v>5.01</v>
      </c>
      <c r="G25" s="17">
        <v>6.92</v>
      </c>
      <c r="H25" s="17">
        <v>10.94</v>
      </c>
      <c r="I25" s="31">
        <v>14.13</v>
      </c>
      <c r="J25" s="45">
        <v>18.38</v>
      </c>
      <c r="K25" s="72">
        <f t="shared" si="1"/>
        <v>6.5453178995406107</v>
      </c>
      <c r="L25" s="95">
        <v>0.6919312432032001</v>
      </c>
      <c r="M25" s="96">
        <v>0.58814155672272006</v>
      </c>
      <c r="N25" s="96">
        <v>0.7</v>
      </c>
      <c r="O25" s="96">
        <v>0.67</v>
      </c>
      <c r="P25" s="96">
        <v>1.01</v>
      </c>
      <c r="Q25" s="96">
        <v>1.01</v>
      </c>
      <c r="R25" s="96">
        <v>1.49</v>
      </c>
      <c r="S25" s="96">
        <v>1.71</v>
      </c>
      <c r="T25" s="97">
        <v>2.27</v>
      </c>
      <c r="U25" s="101">
        <f t="shared" si="0"/>
        <v>-0.63275311743286178</v>
      </c>
    </row>
    <row r="26" spans="1:21" x14ac:dyDescent="0.2">
      <c r="A26" s="18" t="s">
        <v>24</v>
      </c>
      <c r="B26" s="21">
        <v>3.82</v>
      </c>
      <c r="C26" s="17">
        <v>5.08</v>
      </c>
      <c r="D26" s="17">
        <v>6.12</v>
      </c>
      <c r="E26" s="17">
        <v>7.66</v>
      </c>
      <c r="F26" s="17">
        <v>8.83</v>
      </c>
      <c r="G26" s="17">
        <v>11.84</v>
      </c>
      <c r="H26" s="17">
        <v>17.12</v>
      </c>
      <c r="I26" s="31">
        <v>17.809999999999999</v>
      </c>
      <c r="J26" s="45">
        <v>20.67</v>
      </c>
      <c r="K26" s="72">
        <f t="shared" si="1"/>
        <v>1.9608646394480456</v>
      </c>
      <c r="L26" s="95">
        <v>3.3464999999999998</v>
      </c>
      <c r="M26" s="96">
        <v>3.6259327499999996</v>
      </c>
      <c r="N26" s="96">
        <v>4.1500000000000004</v>
      </c>
      <c r="O26" s="96">
        <v>4.6500000000000004</v>
      </c>
      <c r="P26" s="96">
        <v>5.54</v>
      </c>
      <c r="Q26" s="96">
        <v>5.54</v>
      </c>
      <c r="R26" s="96">
        <v>7.38</v>
      </c>
      <c r="S26" s="96">
        <v>7.95</v>
      </c>
      <c r="T26" s="97">
        <v>8.2799999999999994</v>
      </c>
      <c r="U26" s="101">
        <f t="shared" si="0"/>
        <v>-0.78574048180746603</v>
      </c>
    </row>
    <row r="27" spans="1:21" x14ac:dyDescent="0.2">
      <c r="A27" s="18" t="s">
        <v>25</v>
      </c>
      <c r="B27" s="21">
        <v>68.72</v>
      </c>
      <c r="C27" s="17">
        <v>80.3</v>
      </c>
      <c r="D27" s="17">
        <v>92.9</v>
      </c>
      <c r="E27" s="17">
        <v>84.03</v>
      </c>
      <c r="F27" s="17">
        <v>84.08</v>
      </c>
      <c r="G27" s="17">
        <v>105.3</v>
      </c>
      <c r="H27" s="17">
        <v>137.65</v>
      </c>
      <c r="I27" s="31">
        <v>178.49</v>
      </c>
      <c r="J27" s="45">
        <v>226.49</v>
      </c>
      <c r="K27" s="72">
        <f t="shared" si="1"/>
        <v>2.4923684305772524</v>
      </c>
      <c r="L27" s="95">
        <v>57.267704550399998</v>
      </c>
      <c r="M27" s="96">
        <v>61.972074209663987</v>
      </c>
      <c r="N27" s="96">
        <v>70.77</v>
      </c>
      <c r="O27" s="96">
        <v>54.69</v>
      </c>
      <c r="P27" s="96">
        <v>32.31</v>
      </c>
      <c r="Q27" s="96">
        <v>32.31</v>
      </c>
      <c r="R27" s="96">
        <v>35.74</v>
      </c>
      <c r="S27" s="96">
        <v>36.979999999999997</v>
      </c>
      <c r="T27" s="97">
        <v>42.44</v>
      </c>
      <c r="U27" s="101">
        <f t="shared" si="0"/>
        <v>0.87856383926606274</v>
      </c>
    </row>
    <row r="28" spans="1:21" x14ac:dyDescent="0.2">
      <c r="A28" s="18" t="s">
        <v>26</v>
      </c>
      <c r="B28" s="21">
        <v>33.119999999999997</v>
      </c>
      <c r="C28" s="17">
        <v>38.200000000000003</v>
      </c>
      <c r="D28" s="17">
        <v>43.56</v>
      </c>
      <c r="E28" s="17">
        <v>44.05</v>
      </c>
      <c r="F28" s="17">
        <v>52.48</v>
      </c>
      <c r="G28" s="17">
        <v>59.39</v>
      </c>
      <c r="H28" s="17">
        <v>110.44</v>
      </c>
      <c r="I28" s="31">
        <v>137.69</v>
      </c>
      <c r="J28" s="45">
        <v>144.61000000000001</v>
      </c>
      <c r="K28" s="72">
        <f t="shared" si="1"/>
        <v>1.890480489082015</v>
      </c>
      <c r="L28" s="95">
        <v>31.350529860249601</v>
      </c>
      <c r="M28" s="96">
        <v>35.73960404068454</v>
      </c>
      <c r="N28" s="96">
        <v>37.42</v>
      </c>
      <c r="O28" s="96">
        <v>35.14</v>
      </c>
      <c r="P28" s="96">
        <v>35.17</v>
      </c>
      <c r="Q28" s="96">
        <v>35.17</v>
      </c>
      <c r="R28" s="96">
        <v>46.1</v>
      </c>
      <c r="S28" s="96">
        <v>46.6</v>
      </c>
      <c r="T28" s="97">
        <v>48.3</v>
      </c>
      <c r="U28" s="101">
        <f t="shared" si="0"/>
        <v>-0.57507949069074904</v>
      </c>
    </row>
    <row r="29" spans="1:21" x14ac:dyDescent="0.2">
      <c r="A29" s="18" t="s">
        <v>27</v>
      </c>
      <c r="B29" s="21">
        <v>26.05</v>
      </c>
      <c r="C29" s="17">
        <v>34.32</v>
      </c>
      <c r="D29" s="17">
        <v>42.65</v>
      </c>
      <c r="E29" s="17">
        <v>42.52</v>
      </c>
      <c r="F29" s="17">
        <v>42.87</v>
      </c>
      <c r="G29" s="17">
        <v>50.75</v>
      </c>
      <c r="H29" s="17">
        <v>55.87</v>
      </c>
      <c r="I29" s="31">
        <v>56.18</v>
      </c>
      <c r="J29" s="45">
        <v>52.8</v>
      </c>
      <c r="K29" s="72">
        <f t="shared" si="1"/>
        <v>2.3566134766539659</v>
      </c>
      <c r="L29" s="95">
        <v>14.491712235</v>
      </c>
      <c r="M29" s="96">
        <v>17.53497180435</v>
      </c>
      <c r="N29" s="96">
        <v>18.32</v>
      </c>
      <c r="O29" s="96">
        <v>18.23</v>
      </c>
      <c r="P29" s="96">
        <v>19.95</v>
      </c>
      <c r="Q29" s="96">
        <v>19.95</v>
      </c>
      <c r="R29" s="96">
        <v>20.32</v>
      </c>
      <c r="S29" s="96">
        <v>20.75</v>
      </c>
      <c r="T29" s="97">
        <v>21.89</v>
      </c>
      <c r="U29" s="101">
        <f t="shared" si="0"/>
        <v>-0.80287566541634026</v>
      </c>
    </row>
    <row r="30" spans="1:21" x14ac:dyDescent="0.2">
      <c r="A30" s="18" t="s">
        <v>28</v>
      </c>
      <c r="B30" s="21">
        <v>7.32</v>
      </c>
      <c r="C30" s="17">
        <v>11.86</v>
      </c>
      <c r="D30" s="17">
        <v>14.32</v>
      </c>
      <c r="E30" s="17">
        <v>16.25</v>
      </c>
      <c r="F30" s="17">
        <v>24.66</v>
      </c>
      <c r="G30" s="17">
        <v>31.58</v>
      </c>
      <c r="H30" s="17">
        <v>50.2</v>
      </c>
      <c r="I30" s="31">
        <v>63.11</v>
      </c>
      <c r="J30" s="45">
        <v>74.22</v>
      </c>
      <c r="K30" s="72">
        <f t="shared" si="1"/>
        <v>3.7452869544425331</v>
      </c>
      <c r="L30" s="95">
        <v>5.2865895421440001</v>
      </c>
      <c r="M30" s="96">
        <v>6.3439074505728001</v>
      </c>
      <c r="N30" s="96">
        <v>6.69</v>
      </c>
      <c r="O30" s="96">
        <v>7.26</v>
      </c>
      <c r="P30" s="96">
        <v>8.33</v>
      </c>
      <c r="Q30" s="96">
        <v>8.33</v>
      </c>
      <c r="R30" s="96">
        <v>10.93</v>
      </c>
      <c r="S30" s="96">
        <v>11.68</v>
      </c>
      <c r="T30" s="97">
        <v>13.52</v>
      </c>
      <c r="U30" s="101">
        <f t="shared" si="0"/>
        <v>-0.73772468952172854</v>
      </c>
    </row>
    <row r="31" spans="1:21" x14ac:dyDescent="0.2">
      <c r="A31" s="18" t="s">
        <v>29</v>
      </c>
      <c r="B31" s="21">
        <v>7.26</v>
      </c>
      <c r="C31" s="17">
        <v>9.2200000000000006</v>
      </c>
      <c r="D31" s="17">
        <v>9.44</v>
      </c>
      <c r="E31" s="17">
        <v>10.93</v>
      </c>
      <c r="F31" s="17">
        <v>13.98</v>
      </c>
      <c r="G31" s="17">
        <v>15.37</v>
      </c>
      <c r="H31" s="17">
        <v>19.350000000000001</v>
      </c>
      <c r="I31" s="31">
        <v>21.74</v>
      </c>
      <c r="J31" s="45">
        <v>22.16</v>
      </c>
      <c r="K31" s="72">
        <f t="shared" si="1"/>
        <v>1.6189344672336168</v>
      </c>
      <c r="L31" s="95">
        <v>6.1</v>
      </c>
      <c r="M31" s="96">
        <v>7.65</v>
      </c>
      <c r="N31" s="96">
        <v>7.6</v>
      </c>
      <c r="O31" s="96">
        <v>8.81</v>
      </c>
      <c r="P31" s="96">
        <v>9.2799999999999994</v>
      </c>
      <c r="Q31" s="96">
        <v>9.4</v>
      </c>
      <c r="R31" s="96">
        <v>10.33</v>
      </c>
      <c r="S31" s="96">
        <v>10.36</v>
      </c>
      <c r="T31" s="97">
        <v>10.43</v>
      </c>
      <c r="U31" s="101">
        <f t="shared" si="0"/>
        <v>-0.90665561187156773</v>
      </c>
    </row>
    <row r="32" spans="1:21" x14ac:dyDescent="0.2">
      <c r="A32" s="18" t="s">
        <v>30</v>
      </c>
      <c r="B32" s="21">
        <v>6.55</v>
      </c>
      <c r="C32" s="17">
        <v>8.49</v>
      </c>
      <c r="D32" s="17">
        <v>10.130000000000001</v>
      </c>
      <c r="E32" s="17">
        <v>7.57</v>
      </c>
      <c r="F32" s="17">
        <v>8.93</v>
      </c>
      <c r="G32" s="17">
        <v>11.2</v>
      </c>
      <c r="H32" s="17">
        <v>14.97</v>
      </c>
      <c r="I32" s="31">
        <v>20.72</v>
      </c>
      <c r="J32" s="45">
        <v>18.350000000000001</v>
      </c>
      <c r="K32" s="72">
        <f t="shared" si="1"/>
        <v>2.1632942128692836</v>
      </c>
      <c r="L32" s="95">
        <v>5.88</v>
      </c>
      <c r="M32" s="96">
        <v>6.8000000000000007</v>
      </c>
      <c r="N32" s="96">
        <v>7.7</v>
      </c>
      <c r="O32" s="96">
        <v>4.59</v>
      </c>
      <c r="P32" s="96">
        <v>4.59</v>
      </c>
      <c r="Q32" s="96">
        <v>5.0599999999999996</v>
      </c>
      <c r="R32" s="96">
        <v>4.67</v>
      </c>
      <c r="S32" s="96">
        <v>4.8499999999999996</v>
      </c>
      <c r="T32" s="97">
        <v>5.28</v>
      </c>
      <c r="U32" s="101">
        <f t="shared" si="0"/>
        <v>0.79692351913123083</v>
      </c>
    </row>
    <row r="33" spans="1:21" x14ac:dyDescent="0.2">
      <c r="A33" s="18" t="s">
        <v>31</v>
      </c>
      <c r="B33" s="21">
        <v>14.01</v>
      </c>
      <c r="C33" s="17">
        <v>18.46</v>
      </c>
      <c r="D33" s="17">
        <v>22.28</v>
      </c>
      <c r="E33" s="17">
        <v>19.260000000000002</v>
      </c>
      <c r="F33" s="17">
        <v>16.96</v>
      </c>
      <c r="G33" s="17">
        <v>22.16</v>
      </c>
      <c r="H33" s="17">
        <v>24.01</v>
      </c>
      <c r="I33" s="31">
        <v>26.69</v>
      </c>
      <c r="J33" s="45">
        <v>28.88</v>
      </c>
      <c r="K33" s="72">
        <f t="shared" si="1"/>
        <v>2.0448853989813243</v>
      </c>
      <c r="L33" s="95">
        <v>11.469999999999999</v>
      </c>
      <c r="M33" s="96">
        <v>13.219999999999999</v>
      </c>
      <c r="N33" s="96">
        <v>17.7</v>
      </c>
      <c r="O33" s="96">
        <v>14.22</v>
      </c>
      <c r="P33" s="96">
        <v>7.26</v>
      </c>
      <c r="Q33" s="96">
        <v>8.2799999999999994</v>
      </c>
      <c r="R33" s="96">
        <v>7.92</v>
      </c>
      <c r="S33" s="96">
        <v>7.29</v>
      </c>
      <c r="T33" s="97">
        <v>6.88</v>
      </c>
      <c r="U33" s="101">
        <f t="shared" si="0"/>
        <v>0.75928033428003439</v>
      </c>
    </row>
    <row r="34" spans="1:21" x14ac:dyDescent="0.2">
      <c r="A34" s="18" t="s">
        <v>32</v>
      </c>
      <c r="B34" s="21">
        <v>10.73</v>
      </c>
      <c r="C34" s="17">
        <v>10.91</v>
      </c>
      <c r="D34" s="17">
        <v>12.35</v>
      </c>
      <c r="E34" s="17">
        <v>12.54</v>
      </c>
      <c r="F34" s="17">
        <v>16.440000000000001</v>
      </c>
      <c r="G34" s="17">
        <v>22.81</v>
      </c>
      <c r="H34" s="17">
        <v>92.05</v>
      </c>
      <c r="I34" s="31">
        <v>22.02</v>
      </c>
      <c r="J34" s="45">
        <v>22.57</v>
      </c>
      <c r="K34" s="72">
        <f t="shared" si="1"/>
        <v>4.3852523659305982</v>
      </c>
      <c r="L34" s="95">
        <v>5</v>
      </c>
      <c r="M34" s="96">
        <v>5.29</v>
      </c>
      <c r="N34" s="96">
        <v>5.61</v>
      </c>
      <c r="O34" s="96">
        <v>5.48</v>
      </c>
      <c r="P34" s="96">
        <v>5.57</v>
      </c>
      <c r="Q34" s="96">
        <v>6.85</v>
      </c>
      <c r="R34" s="96">
        <v>6.95</v>
      </c>
      <c r="S34" s="96">
        <v>4.9800000000000004</v>
      </c>
      <c r="T34" s="97">
        <v>4.99</v>
      </c>
      <c r="U34" s="101">
        <f t="shared" si="0"/>
        <v>-0.56312032769139964</v>
      </c>
    </row>
    <row r="35" spans="1:21" x14ac:dyDescent="0.2">
      <c r="A35" s="18" t="s">
        <v>33</v>
      </c>
      <c r="B35" s="21">
        <v>5.97</v>
      </c>
      <c r="C35" s="17">
        <v>7.56</v>
      </c>
      <c r="D35" s="17">
        <v>6.3</v>
      </c>
      <c r="E35" s="17">
        <v>4.9000000000000004</v>
      </c>
      <c r="F35" s="17">
        <v>8.1</v>
      </c>
      <c r="G35" s="17">
        <v>10.19</v>
      </c>
      <c r="H35" s="17">
        <v>12.42</v>
      </c>
      <c r="I35" s="31">
        <v>11.92</v>
      </c>
      <c r="J35" s="45">
        <v>15.55</v>
      </c>
      <c r="K35" s="72">
        <f t="shared" si="1"/>
        <v>2.6397781266140279</v>
      </c>
      <c r="L35" s="95">
        <v>4.208666315310662</v>
      </c>
      <c r="M35" s="96">
        <v>4.0192763311216817</v>
      </c>
      <c r="N35" s="96">
        <v>3.66</v>
      </c>
      <c r="O35" s="96">
        <v>3.17</v>
      </c>
      <c r="P35" s="96">
        <v>3.08</v>
      </c>
      <c r="Q35" s="96">
        <v>3.37</v>
      </c>
      <c r="R35" s="96">
        <v>3.04</v>
      </c>
      <c r="S35" s="96">
        <v>3.42</v>
      </c>
      <c r="T35" s="97">
        <v>3.44</v>
      </c>
      <c r="U35" s="101">
        <f t="shared" si="0"/>
        <v>0.82157585867168204</v>
      </c>
    </row>
    <row r="36" spans="1:21" x14ac:dyDescent="0.2">
      <c r="A36" s="18" t="s">
        <v>34</v>
      </c>
      <c r="B36" s="21">
        <v>6.88</v>
      </c>
      <c r="C36" s="17">
        <v>6.96</v>
      </c>
      <c r="D36" s="17">
        <v>7.99</v>
      </c>
      <c r="E36" s="17">
        <v>7.88</v>
      </c>
      <c r="F36" s="17">
        <v>12.04</v>
      </c>
      <c r="G36" s="17">
        <v>14.74</v>
      </c>
      <c r="H36" s="17">
        <v>26.01</v>
      </c>
      <c r="I36" s="31">
        <v>34.409999999999997</v>
      </c>
      <c r="J36" s="45">
        <v>28.32</v>
      </c>
      <c r="K36" s="72">
        <f t="shared" si="1"/>
        <v>1.8727272727272726</v>
      </c>
      <c r="L36" s="95">
        <v>6.11</v>
      </c>
      <c r="M36" s="96">
        <v>6.24</v>
      </c>
      <c r="N36" s="96">
        <v>6.85</v>
      </c>
      <c r="O36" s="96">
        <v>7.06</v>
      </c>
      <c r="P36" s="96">
        <v>7.58</v>
      </c>
      <c r="Q36" s="96">
        <v>8.4700000000000006</v>
      </c>
      <c r="R36" s="96">
        <v>11.15</v>
      </c>
      <c r="S36" s="96">
        <v>11.61</v>
      </c>
      <c r="T36" s="97">
        <v>12.48</v>
      </c>
      <c r="U36" s="101">
        <f t="shared" si="0"/>
        <v>-0.72754029247355856</v>
      </c>
    </row>
    <row r="37" spans="1:21" x14ac:dyDescent="0.2">
      <c r="A37" s="18" t="s">
        <v>35</v>
      </c>
      <c r="B37" s="21">
        <v>0.54</v>
      </c>
      <c r="C37" s="17">
        <v>0.65</v>
      </c>
      <c r="D37" s="17">
        <v>0.68</v>
      </c>
      <c r="E37" s="17">
        <v>0.78</v>
      </c>
      <c r="F37" s="17">
        <v>0.93</v>
      </c>
      <c r="G37" s="17">
        <v>1.0900000000000001</v>
      </c>
      <c r="H37" s="17">
        <v>0.95</v>
      </c>
      <c r="I37" s="31">
        <v>1.07</v>
      </c>
      <c r="J37" s="45">
        <v>0.89</v>
      </c>
      <c r="K37" s="72">
        <f t="shared" si="1"/>
        <v>1.50996015936255</v>
      </c>
      <c r="L37" s="95">
        <v>0.5</v>
      </c>
      <c r="M37" s="96">
        <v>0.53</v>
      </c>
      <c r="N37" s="96">
        <v>0.57999999999999996</v>
      </c>
      <c r="O37" s="96">
        <v>0.6</v>
      </c>
      <c r="P37" s="96">
        <v>0.57999999999999996</v>
      </c>
      <c r="Q37" s="96">
        <v>0.56999999999999995</v>
      </c>
      <c r="R37" s="96">
        <v>0.62</v>
      </c>
      <c r="S37" s="96">
        <v>0.52</v>
      </c>
      <c r="T37" s="97">
        <v>0.52</v>
      </c>
      <c r="U37" s="101">
        <f t="shared" si="0"/>
        <v>-0.43118206237535461</v>
      </c>
    </row>
    <row r="38" spans="1:21" x14ac:dyDescent="0.2">
      <c r="A38" s="18" t="s">
        <v>36</v>
      </c>
      <c r="B38" s="21">
        <v>0.67</v>
      </c>
      <c r="C38" s="17">
        <v>0.91</v>
      </c>
      <c r="D38" s="17">
        <v>1.98</v>
      </c>
      <c r="E38" s="17">
        <v>2.63</v>
      </c>
      <c r="F38" s="17">
        <v>3.85</v>
      </c>
      <c r="G38" s="17">
        <v>5.18</v>
      </c>
      <c r="H38" s="17">
        <v>3.7</v>
      </c>
      <c r="I38" s="31">
        <v>4.45</v>
      </c>
      <c r="J38" s="45">
        <v>4.16</v>
      </c>
      <c r="K38" s="72">
        <f t="shared" si="1"/>
        <v>62.723498886551944</v>
      </c>
      <c r="L38" s="95">
        <v>6.6147839999999999E-2</v>
      </c>
      <c r="M38" s="96">
        <v>7.2762624000000012E-2</v>
      </c>
      <c r="N38" s="96">
        <v>0.06</v>
      </c>
      <c r="O38" s="96">
        <v>7.0000000000000007E-2</v>
      </c>
      <c r="P38" s="96">
        <v>0.02</v>
      </c>
      <c r="Q38" s="96">
        <v>0.03</v>
      </c>
      <c r="R38" s="96">
        <v>0.03</v>
      </c>
      <c r="S38" s="96">
        <v>0.04</v>
      </c>
      <c r="T38" s="97">
        <v>0.05</v>
      </c>
      <c r="U38" s="101">
        <f t="shared" si="0"/>
        <v>0.7331532001364135</v>
      </c>
    </row>
    <row r="39" spans="1:21" x14ac:dyDescent="0.2">
      <c r="A39" s="18" t="s">
        <v>37</v>
      </c>
      <c r="B39" s="21">
        <v>0.2</v>
      </c>
      <c r="C39" s="17">
        <v>0.38</v>
      </c>
      <c r="D39" s="17">
        <v>0.65</v>
      </c>
      <c r="E39" s="17">
        <v>0.99</v>
      </c>
      <c r="F39" s="17">
        <v>2.02</v>
      </c>
      <c r="G39" s="17">
        <v>3.29</v>
      </c>
      <c r="H39" s="17">
        <v>10.46</v>
      </c>
      <c r="I39" s="31">
        <v>19.25</v>
      </c>
      <c r="J39" s="45">
        <v>16.059999999999999</v>
      </c>
      <c r="K39" s="72">
        <f t="shared" si="1"/>
        <v>5.0569259962049324</v>
      </c>
      <c r="L39" s="95">
        <v>0.2</v>
      </c>
      <c r="M39" s="96">
        <v>0.2599999999999999</v>
      </c>
      <c r="N39" s="96">
        <v>0.63</v>
      </c>
      <c r="O39" s="96">
        <v>0.83</v>
      </c>
      <c r="P39" s="96">
        <v>0.79</v>
      </c>
      <c r="Q39" s="96">
        <v>1.1200000000000001</v>
      </c>
      <c r="R39" s="96">
        <v>1.61</v>
      </c>
      <c r="S39" s="96">
        <v>2.19</v>
      </c>
      <c r="T39" s="97">
        <v>2.91</v>
      </c>
      <c r="U39" s="101">
        <f t="shared" si="0"/>
        <v>-0.6630929374071991</v>
      </c>
    </row>
    <row r="40" spans="1:21" x14ac:dyDescent="0.2">
      <c r="A40" s="18" t="s">
        <v>38</v>
      </c>
      <c r="B40" s="21">
        <v>0.56999999999999995</v>
      </c>
      <c r="C40" s="17">
        <v>0.56000000000000005</v>
      </c>
      <c r="D40" s="17">
        <v>0.6</v>
      </c>
      <c r="E40" s="17">
        <v>0.68</v>
      </c>
      <c r="F40" s="17">
        <v>0.63</v>
      </c>
      <c r="G40" s="17">
        <v>1.1100000000000001</v>
      </c>
      <c r="H40" s="17">
        <v>0.68</v>
      </c>
      <c r="I40" s="31">
        <v>0.62</v>
      </c>
      <c r="J40" s="45">
        <v>0.63</v>
      </c>
      <c r="K40" s="72">
        <f t="shared" si="1"/>
        <v>2.5982905982905984</v>
      </c>
      <c r="L40" s="95">
        <v>0.28000000000000003</v>
      </c>
      <c r="M40" s="96">
        <v>0.28000000000000003</v>
      </c>
      <c r="N40" s="96">
        <v>0.2</v>
      </c>
      <c r="O40" s="96">
        <v>0.19</v>
      </c>
      <c r="P40" s="96">
        <v>0.2</v>
      </c>
      <c r="Q40" s="96">
        <v>0.26</v>
      </c>
      <c r="R40" s="96">
        <v>0.49</v>
      </c>
      <c r="S40" s="96">
        <v>0.21</v>
      </c>
      <c r="T40" s="97">
        <v>0.23</v>
      </c>
      <c r="U40" s="101">
        <f t="shared" si="0"/>
        <v>-0.35880004508714958</v>
      </c>
    </row>
    <row r="41" spans="1:21" x14ac:dyDescent="0.2">
      <c r="A41" s="18" t="s">
        <v>39</v>
      </c>
      <c r="B41" s="21">
        <v>225.02</v>
      </c>
      <c r="C41" s="17">
        <v>244.47</v>
      </c>
      <c r="D41" s="17">
        <v>262.60000000000002</v>
      </c>
      <c r="E41" s="17">
        <v>343.66</v>
      </c>
      <c r="F41" s="17">
        <v>407.83</v>
      </c>
      <c r="G41" s="17">
        <v>446.1</v>
      </c>
      <c r="H41" s="17">
        <v>487.32</v>
      </c>
      <c r="I41" s="31">
        <v>492.84</v>
      </c>
      <c r="J41" s="45">
        <v>575.98</v>
      </c>
      <c r="K41" s="72">
        <f t="shared" si="1"/>
        <v>281.56865912762521</v>
      </c>
      <c r="L41" s="95">
        <v>0.65</v>
      </c>
      <c r="M41" s="96">
        <v>0.99</v>
      </c>
      <c r="N41" s="96">
        <v>1.04</v>
      </c>
      <c r="O41" s="96">
        <v>1.08</v>
      </c>
      <c r="P41" s="96">
        <v>1.1599999999999999</v>
      </c>
      <c r="Q41" s="96">
        <v>2.0499999999999998</v>
      </c>
      <c r="R41" s="96">
        <v>1.59</v>
      </c>
      <c r="S41" s="96">
        <v>1.25</v>
      </c>
      <c r="T41" s="97">
        <v>2.57</v>
      </c>
      <c r="U41" s="101">
        <f t="shared" si="0"/>
        <v>-0.70942590988723031</v>
      </c>
    </row>
    <row r="42" spans="1:21" x14ac:dyDescent="0.2">
      <c r="A42" s="18" t="s">
        <v>40</v>
      </c>
      <c r="B42" s="21">
        <v>9.32</v>
      </c>
      <c r="C42" s="17">
        <v>12.57</v>
      </c>
      <c r="D42" s="17">
        <v>10.76</v>
      </c>
      <c r="E42" s="17">
        <v>8.7899999999999991</v>
      </c>
      <c r="F42" s="17">
        <v>3.46</v>
      </c>
      <c r="G42" s="17">
        <v>4.93</v>
      </c>
      <c r="H42" s="17">
        <v>8.8699999999999992</v>
      </c>
      <c r="I42" s="31">
        <v>7.54</v>
      </c>
      <c r="J42" s="45">
        <v>34.270000000000003</v>
      </c>
      <c r="K42" s="72">
        <f t="shared" si="1"/>
        <v>2.8898792409430705</v>
      </c>
      <c r="L42" s="95">
        <v>2.21</v>
      </c>
      <c r="M42" s="96">
        <v>4.03</v>
      </c>
      <c r="N42" s="96">
        <v>1.77</v>
      </c>
      <c r="O42" s="96">
        <v>3.71</v>
      </c>
      <c r="P42" s="96">
        <v>5.16</v>
      </c>
      <c r="Q42" s="96">
        <v>2.84</v>
      </c>
      <c r="R42" s="96">
        <v>4.03</v>
      </c>
      <c r="S42" s="96">
        <v>7.25</v>
      </c>
      <c r="T42" s="97">
        <v>3.78</v>
      </c>
      <c r="U42" s="101"/>
    </row>
    <row r="43" spans="1:21" x14ac:dyDescent="0.2">
      <c r="A43" s="18" t="s">
        <v>41</v>
      </c>
      <c r="B43" s="22">
        <v>0.18</v>
      </c>
      <c r="C43" s="23">
        <v>0.2</v>
      </c>
      <c r="D43" s="23">
        <v>0.27</v>
      </c>
      <c r="E43" s="23">
        <v>0.26</v>
      </c>
      <c r="F43" s="23">
        <v>0.34</v>
      </c>
      <c r="G43" s="23">
        <v>0.41</v>
      </c>
      <c r="H43" s="23">
        <v>0.99</v>
      </c>
      <c r="I43" s="33">
        <v>0.57999999999999996</v>
      </c>
      <c r="J43" s="46">
        <v>0.62</v>
      </c>
      <c r="K43" s="72">
        <f t="shared" si="1"/>
        <v>1.3898916967509023</v>
      </c>
      <c r="L43" s="98">
        <v>0.15</v>
      </c>
      <c r="M43" s="99">
        <v>0.15</v>
      </c>
      <c r="N43" s="99">
        <v>0.24</v>
      </c>
      <c r="O43" s="99">
        <v>0.22</v>
      </c>
      <c r="P43" s="99">
        <v>0.28999999999999998</v>
      </c>
      <c r="Q43" s="99">
        <v>0.34</v>
      </c>
      <c r="R43" s="99">
        <v>0.48</v>
      </c>
      <c r="S43" s="99">
        <v>0.43</v>
      </c>
      <c r="T43" s="100">
        <v>0.47</v>
      </c>
      <c r="U43" s="101"/>
    </row>
    <row r="44" spans="1:21" x14ac:dyDescent="0.2">
      <c r="A44" s="47" t="s">
        <v>191</v>
      </c>
      <c r="B44" s="81"/>
      <c r="C44" s="48"/>
      <c r="D44" s="48"/>
      <c r="E44" s="48"/>
      <c r="F44" s="48"/>
      <c r="G44" s="48"/>
      <c r="H44" s="48"/>
      <c r="I44" s="48"/>
      <c r="J44" s="49"/>
      <c r="K44" s="50"/>
      <c r="L44" s="89">
        <v>122.61</v>
      </c>
      <c r="M44" s="90">
        <v>114.08</v>
      </c>
      <c r="N44" s="90">
        <v>121.62</v>
      </c>
      <c r="O44" s="90">
        <v>96.94</v>
      </c>
      <c r="P44" s="90">
        <v>92.51</v>
      </c>
      <c r="Q44" s="90">
        <v>82.4</v>
      </c>
      <c r="R44" s="90">
        <v>76.63</v>
      </c>
      <c r="S44" s="90">
        <v>92.44</v>
      </c>
      <c r="T44" s="91">
        <v>87.44</v>
      </c>
      <c r="U44" s="102"/>
    </row>
    <row r="45" spans="1:21" x14ac:dyDescent="0.2">
      <c r="A45" s="82" t="s">
        <v>195</v>
      </c>
      <c r="B45" s="66"/>
      <c r="C45" s="66"/>
      <c r="D45" s="66"/>
      <c r="E45" s="66"/>
      <c r="F45" s="66"/>
      <c r="G45" s="66"/>
      <c r="H45" s="66"/>
      <c r="I45" s="66"/>
      <c r="J45" s="66"/>
      <c r="L45" s="42"/>
      <c r="M45" s="42"/>
      <c r="N45" s="42"/>
      <c r="O45" s="42"/>
      <c r="P45" s="42"/>
      <c r="Q45" s="42"/>
      <c r="R45" s="42"/>
      <c r="S45" s="42"/>
      <c r="T45" s="42"/>
    </row>
    <row r="46" spans="1:21" x14ac:dyDescent="0.2">
      <c r="A46" s="1" t="s">
        <v>72</v>
      </c>
      <c r="B46" s="4">
        <v>2012</v>
      </c>
      <c r="C46" s="4">
        <v>2013</v>
      </c>
      <c r="D46" s="4">
        <v>2014</v>
      </c>
      <c r="E46" s="4">
        <v>2015</v>
      </c>
      <c r="F46" s="4">
        <v>2016</v>
      </c>
      <c r="G46" s="4">
        <v>2017</v>
      </c>
      <c r="H46" s="4">
        <v>2018</v>
      </c>
      <c r="I46" s="34">
        <v>2019</v>
      </c>
      <c r="J46" s="35">
        <v>2020</v>
      </c>
    </row>
    <row r="47" spans="1:21" x14ac:dyDescent="0.2">
      <c r="A47" s="27" t="s">
        <v>140</v>
      </c>
      <c r="B47" s="83">
        <v>1497.8</v>
      </c>
      <c r="C47" s="83">
        <v>1706.6</v>
      </c>
      <c r="D47" s="83">
        <v>1866.8</v>
      </c>
      <c r="E47" s="83">
        <v>1925</v>
      </c>
      <c r="F47" s="83">
        <v>2080.5</v>
      </c>
      <c r="G47" s="83">
        <v>2390.6999999999998</v>
      </c>
      <c r="H47" s="83">
        <v>2814.3</v>
      </c>
      <c r="I47" s="83">
        <v>3057.5</v>
      </c>
      <c r="J47" s="84">
        <v>3270.2</v>
      </c>
    </row>
    <row r="48" spans="1:21" x14ac:dyDescent="0.2">
      <c r="A48" s="28" t="s">
        <v>141</v>
      </c>
      <c r="B48" s="85">
        <v>1106.0999999999999</v>
      </c>
      <c r="C48" s="85">
        <v>1208.5999999999999</v>
      </c>
      <c r="D48" s="85">
        <v>1301.5999999999999</v>
      </c>
      <c r="E48" s="85">
        <v>1346.1</v>
      </c>
      <c r="F48" s="85">
        <v>1368.7</v>
      </c>
      <c r="G48" s="85">
        <v>1480.4</v>
      </c>
      <c r="H48" s="85">
        <v>1601.6</v>
      </c>
      <c r="I48" s="85">
        <v>1761.7</v>
      </c>
      <c r="J48" s="84">
        <v>1925</v>
      </c>
    </row>
    <row r="49" spans="1:10" x14ac:dyDescent="0.2">
      <c r="A49" s="28" t="s">
        <v>120</v>
      </c>
      <c r="B49" s="85">
        <v>420.6</v>
      </c>
      <c r="C49" s="85">
        <v>525.4</v>
      </c>
      <c r="D49" s="85">
        <v>591.29999999999995</v>
      </c>
      <c r="E49" s="85">
        <v>611.4</v>
      </c>
      <c r="F49" s="85">
        <v>745.6</v>
      </c>
      <c r="G49" s="85">
        <v>945.6</v>
      </c>
      <c r="H49" s="85">
        <v>1246.4000000000001</v>
      </c>
      <c r="I49" s="85">
        <v>1331.8</v>
      </c>
      <c r="J49" s="84">
        <v>1397</v>
      </c>
    </row>
    <row r="50" spans="1:10" x14ac:dyDescent="0.2">
      <c r="A50" s="28" t="s">
        <v>121</v>
      </c>
      <c r="B50" s="85">
        <v>28.9</v>
      </c>
      <c r="C50" s="85">
        <v>27.5</v>
      </c>
      <c r="D50" s="85">
        <v>26.1</v>
      </c>
      <c r="E50" s="85">
        <v>32.5</v>
      </c>
      <c r="F50" s="85">
        <v>33.799999999999997</v>
      </c>
      <c r="G50" s="85">
        <v>35.299999999999997</v>
      </c>
      <c r="H50" s="85">
        <v>33.6</v>
      </c>
      <c r="I50" s="85">
        <v>36.1</v>
      </c>
      <c r="J50" s="84">
        <v>51.7</v>
      </c>
    </row>
    <row r="51" spans="1:10" x14ac:dyDescent="0.2">
      <c r="A51" s="28" t="s">
        <v>122</v>
      </c>
      <c r="B51" s="85"/>
      <c r="C51" s="85"/>
      <c r="D51" s="85"/>
      <c r="E51" s="85"/>
      <c r="F51" s="85"/>
      <c r="G51" s="85"/>
      <c r="H51" s="85"/>
      <c r="I51" s="85"/>
      <c r="J51" s="86"/>
    </row>
    <row r="52" spans="1:10" x14ac:dyDescent="0.2">
      <c r="A52" s="29" t="s">
        <v>142</v>
      </c>
      <c r="B52" s="85">
        <v>1497</v>
      </c>
      <c r="C52" s="85">
        <v>1705.4</v>
      </c>
      <c r="D52" s="85">
        <v>1870.6</v>
      </c>
      <c r="E52" s="85">
        <v>1931.8</v>
      </c>
      <c r="F52" s="85">
        <v>2078.1</v>
      </c>
      <c r="G52" s="85">
        <v>2393.6999999999998</v>
      </c>
      <c r="H52" s="85">
        <v>2817.1</v>
      </c>
      <c r="I52" s="85">
        <v>3059.7</v>
      </c>
      <c r="J52" s="84">
        <v>3339.9</v>
      </c>
    </row>
    <row r="53" spans="1:10" x14ac:dyDescent="0.2">
      <c r="A53" s="28" t="s">
        <v>143</v>
      </c>
      <c r="B53" s="85"/>
      <c r="C53" s="85"/>
      <c r="D53" s="85"/>
      <c r="E53" s="85"/>
      <c r="F53" s="85"/>
      <c r="G53" s="85"/>
      <c r="H53" s="85"/>
      <c r="I53" s="85"/>
      <c r="J53" s="86"/>
    </row>
    <row r="54" spans="1:10" x14ac:dyDescent="0.2">
      <c r="A54" s="28" t="s">
        <v>170</v>
      </c>
      <c r="B54" s="85">
        <v>0.6</v>
      </c>
      <c r="C54" s="85">
        <v>0.7</v>
      </c>
      <c r="D54" s="85">
        <v>0.8</v>
      </c>
      <c r="E54" s="85">
        <v>0.9</v>
      </c>
      <c r="F54" s="85">
        <v>1.1000000000000001</v>
      </c>
      <c r="G54" s="85">
        <v>1.1000000000000001</v>
      </c>
      <c r="H54" s="85">
        <v>1.3</v>
      </c>
      <c r="I54" s="85">
        <v>1.2</v>
      </c>
      <c r="J54" s="84">
        <v>1.3</v>
      </c>
    </row>
    <row r="55" spans="1:10" x14ac:dyDescent="0.2">
      <c r="A55" s="28" t="s">
        <v>171</v>
      </c>
      <c r="B55" s="85">
        <v>980.7</v>
      </c>
      <c r="C55" s="85">
        <v>1129.0999999999999</v>
      </c>
      <c r="D55" s="85">
        <v>1223</v>
      </c>
      <c r="E55" s="85">
        <v>1234.5</v>
      </c>
      <c r="F55" s="85">
        <v>1338.6</v>
      </c>
      <c r="G55" s="85">
        <v>1575.2</v>
      </c>
      <c r="H55" s="85">
        <v>1940.1</v>
      </c>
      <c r="I55" s="85">
        <v>2092.1</v>
      </c>
      <c r="J55" s="84">
        <v>2304</v>
      </c>
    </row>
    <row r="56" spans="1:10" x14ac:dyDescent="0.2">
      <c r="A56" s="28" t="s">
        <v>172</v>
      </c>
      <c r="B56" s="85">
        <v>1.3</v>
      </c>
      <c r="C56" s="85">
        <v>2</v>
      </c>
      <c r="D56" s="85">
        <v>1.9</v>
      </c>
      <c r="E56" s="85">
        <v>2.2000000000000002</v>
      </c>
      <c r="F56" s="85">
        <v>1.9</v>
      </c>
      <c r="G56" s="85">
        <v>1.8</v>
      </c>
      <c r="H56" s="85">
        <v>2.5</v>
      </c>
      <c r="I56" s="85">
        <v>2.8</v>
      </c>
      <c r="J56" s="84">
        <v>2.6</v>
      </c>
    </row>
    <row r="57" spans="1:10" x14ac:dyDescent="0.2">
      <c r="A57" s="28" t="s">
        <v>173</v>
      </c>
      <c r="B57" s="85">
        <v>154.5</v>
      </c>
      <c r="C57" s="85">
        <v>175.8</v>
      </c>
      <c r="D57" s="85">
        <v>214.4</v>
      </c>
      <c r="E57" s="85">
        <v>237.6</v>
      </c>
      <c r="F57" s="85">
        <v>254.8</v>
      </c>
      <c r="G57" s="85">
        <v>284.7</v>
      </c>
      <c r="H57" s="85">
        <v>286.2</v>
      </c>
      <c r="I57" s="85">
        <v>341.5</v>
      </c>
      <c r="J57" s="84">
        <v>354.3</v>
      </c>
    </row>
    <row r="58" spans="1:10" x14ac:dyDescent="0.2">
      <c r="A58" s="28" t="s">
        <v>174</v>
      </c>
      <c r="B58" s="85">
        <v>38.700000000000003</v>
      </c>
      <c r="C58" s="85">
        <v>39.299999999999997</v>
      </c>
      <c r="D58" s="85">
        <v>46.6</v>
      </c>
      <c r="E58" s="85">
        <v>51.3</v>
      </c>
      <c r="F58" s="85">
        <v>53.7</v>
      </c>
      <c r="G58" s="85">
        <v>57.6</v>
      </c>
      <c r="H58" s="85">
        <v>60.8</v>
      </c>
      <c r="I58" s="85">
        <v>62.5</v>
      </c>
      <c r="J58" s="84">
        <v>62.1</v>
      </c>
    </row>
    <row r="59" spans="1:10" x14ac:dyDescent="0.2">
      <c r="A59" s="28" t="s">
        <v>175</v>
      </c>
      <c r="B59" s="85">
        <v>32.9</v>
      </c>
      <c r="C59" s="85">
        <v>35.6</v>
      </c>
      <c r="D59" s="85">
        <v>41.3</v>
      </c>
      <c r="E59" s="85">
        <v>45.4</v>
      </c>
      <c r="F59" s="85">
        <v>48.2</v>
      </c>
      <c r="G59" s="85">
        <v>52.9</v>
      </c>
      <c r="H59" s="85">
        <v>57.9</v>
      </c>
      <c r="I59" s="85">
        <v>57.3</v>
      </c>
      <c r="J59" s="84">
        <v>55.6</v>
      </c>
    </row>
    <row r="60" spans="1:10" x14ac:dyDescent="0.2">
      <c r="A60" s="28" t="s">
        <v>176</v>
      </c>
      <c r="B60" s="85">
        <v>288.3</v>
      </c>
      <c r="C60" s="85">
        <v>322.89999999999998</v>
      </c>
      <c r="D60" s="85">
        <v>342.6</v>
      </c>
      <c r="E60" s="85">
        <v>359.8</v>
      </c>
      <c r="F60" s="85">
        <v>379.7</v>
      </c>
      <c r="G60" s="85">
        <v>420.3</v>
      </c>
      <c r="H60" s="85">
        <v>468.4</v>
      </c>
      <c r="I60" s="85">
        <v>502.3</v>
      </c>
      <c r="J60" s="84">
        <v>560</v>
      </c>
    </row>
    <row r="61" spans="1:10" x14ac:dyDescent="0.2">
      <c r="A61" s="30" t="s">
        <v>139</v>
      </c>
      <c r="B61" s="87">
        <v>0.8</v>
      </c>
      <c r="C61" s="87">
        <v>1.2</v>
      </c>
      <c r="D61" s="87">
        <v>-3.8</v>
      </c>
      <c r="E61" s="87">
        <v>-6.7</v>
      </c>
      <c r="F61" s="87">
        <v>2.4</v>
      </c>
      <c r="G61" s="87">
        <v>-3</v>
      </c>
      <c r="H61" s="87">
        <v>-2.8</v>
      </c>
      <c r="I61" s="87">
        <v>-2.2000000000000002</v>
      </c>
      <c r="J61" s="88">
        <v>0.3</v>
      </c>
    </row>
  </sheetData>
  <mergeCells count="2">
    <mergeCell ref="L1:T1"/>
    <mergeCell ref="B1:J1"/>
  </mergeCells>
  <phoneticPr fontId="3" type="noConversion"/>
  <conditionalFormatting sqref="K3:K43">
    <cfRule type="cellIs" dxfId="4" priority="10" operator="greaterThan">
      <formula>1</formula>
    </cfRule>
  </conditionalFormatting>
  <conditionalFormatting sqref="U3:U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069B4-DC8D-491A-BF8C-BB85BA5E0734}">
  <sheetPr codeName="Sheet13"/>
  <dimension ref="A1:V69"/>
  <sheetViews>
    <sheetView zoomScale="85" zoomScaleNormal="85" workbookViewId="0">
      <selection activeCell="K48" sqref="K48"/>
    </sheetView>
  </sheetViews>
  <sheetFormatPr defaultRowHeight="14.25" x14ac:dyDescent="0.2"/>
  <cols>
    <col min="1" max="1" width="36.625" bestFit="1" customWidth="1"/>
    <col min="2" max="20" width="11.125" customWidth="1"/>
    <col min="250" max="250" width="28" customWidth="1"/>
    <col min="251" max="251" width="76" customWidth="1"/>
    <col min="252" max="265" width="16" customWidth="1"/>
    <col min="506" max="506" width="28" customWidth="1"/>
    <col min="507" max="507" width="76" customWidth="1"/>
    <col min="508" max="521" width="16" customWidth="1"/>
    <col min="762" max="762" width="28" customWidth="1"/>
    <col min="763" max="763" width="76" customWidth="1"/>
    <col min="764" max="777" width="16" customWidth="1"/>
    <col min="1018" max="1018" width="28" customWidth="1"/>
    <col min="1019" max="1019" width="76" customWidth="1"/>
    <col min="1020" max="1033" width="16" customWidth="1"/>
    <col min="1274" max="1274" width="28" customWidth="1"/>
    <col min="1275" max="1275" width="76" customWidth="1"/>
    <col min="1276" max="1289" width="16" customWidth="1"/>
    <col min="1530" max="1530" width="28" customWidth="1"/>
    <col min="1531" max="1531" width="76" customWidth="1"/>
    <col min="1532" max="1545" width="16" customWidth="1"/>
    <col min="1786" max="1786" width="28" customWidth="1"/>
    <col min="1787" max="1787" width="76" customWidth="1"/>
    <col min="1788" max="1801" width="16" customWidth="1"/>
    <col min="2042" max="2042" width="28" customWidth="1"/>
    <col min="2043" max="2043" width="76" customWidth="1"/>
    <col min="2044" max="2057" width="16" customWidth="1"/>
    <col min="2298" max="2298" width="28" customWidth="1"/>
    <col min="2299" max="2299" width="76" customWidth="1"/>
    <col min="2300" max="2313" width="16" customWidth="1"/>
    <col min="2554" max="2554" width="28" customWidth="1"/>
    <col min="2555" max="2555" width="76" customWidth="1"/>
    <col min="2556" max="2569" width="16" customWidth="1"/>
    <col min="2810" max="2810" width="28" customWidth="1"/>
    <col min="2811" max="2811" width="76" customWidth="1"/>
    <col min="2812" max="2825" width="16" customWidth="1"/>
    <col min="3066" max="3066" width="28" customWidth="1"/>
    <col min="3067" max="3067" width="76" customWidth="1"/>
    <col min="3068" max="3081" width="16" customWidth="1"/>
    <col min="3322" max="3322" width="28" customWidth="1"/>
    <col min="3323" max="3323" width="76" customWidth="1"/>
    <col min="3324" max="3337" width="16" customWidth="1"/>
    <col min="3578" max="3578" width="28" customWidth="1"/>
    <col min="3579" max="3579" width="76" customWidth="1"/>
    <col min="3580" max="3593" width="16" customWidth="1"/>
    <col min="3834" max="3834" width="28" customWidth="1"/>
    <col min="3835" max="3835" width="76" customWidth="1"/>
    <col min="3836" max="3849" width="16" customWidth="1"/>
    <col min="4090" max="4090" width="28" customWidth="1"/>
    <col min="4091" max="4091" width="76" customWidth="1"/>
    <col min="4092" max="4105" width="16" customWidth="1"/>
    <col min="4346" max="4346" width="28" customWidth="1"/>
    <col min="4347" max="4347" width="76" customWidth="1"/>
    <col min="4348" max="4361" width="16" customWidth="1"/>
    <col min="4602" max="4602" width="28" customWidth="1"/>
    <col min="4603" max="4603" width="76" customWidth="1"/>
    <col min="4604" max="4617" width="16" customWidth="1"/>
    <col min="4858" max="4858" width="28" customWidth="1"/>
    <col min="4859" max="4859" width="76" customWidth="1"/>
    <col min="4860" max="4873" width="16" customWidth="1"/>
    <col min="5114" max="5114" width="28" customWidth="1"/>
    <col min="5115" max="5115" width="76" customWidth="1"/>
    <col min="5116" max="5129" width="16" customWidth="1"/>
    <col min="5370" max="5370" width="28" customWidth="1"/>
    <col min="5371" max="5371" width="76" customWidth="1"/>
    <col min="5372" max="5385" width="16" customWidth="1"/>
    <col min="5626" max="5626" width="28" customWidth="1"/>
    <col min="5627" max="5627" width="76" customWidth="1"/>
    <col min="5628" max="5641" width="16" customWidth="1"/>
    <col min="5882" max="5882" width="28" customWidth="1"/>
    <col min="5883" max="5883" width="76" customWidth="1"/>
    <col min="5884" max="5897" width="16" customWidth="1"/>
    <col min="6138" max="6138" width="28" customWidth="1"/>
    <col min="6139" max="6139" width="76" customWidth="1"/>
    <col min="6140" max="6153" width="16" customWidth="1"/>
    <col min="6394" max="6394" width="28" customWidth="1"/>
    <col min="6395" max="6395" width="76" customWidth="1"/>
    <col min="6396" max="6409" width="16" customWidth="1"/>
    <col min="6650" max="6650" width="28" customWidth="1"/>
    <col min="6651" max="6651" width="76" customWidth="1"/>
    <col min="6652" max="6665" width="16" customWidth="1"/>
    <col min="6906" max="6906" width="28" customWidth="1"/>
    <col min="6907" max="6907" width="76" customWidth="1"/>
    <col min="6908" max="6921" width="16" customWidth="1"/>
    <col min="7162" max="7162" width="28" customWidth="1"/>
    <col min="7163" max="7163" width="76" customWidth="1"/>
    <col min="7164" max="7177" width="16" customWidth="1"/>
    <col min="7418" max="7418" width="28" customWidth="1"/>
    <col min="7419" max="7419" width="76" customWidth="1"/>
    <col min="7420" max="7433" width="16" customWidth="1"/>
    <col min="7674" max="7674" width="28" customWidth="1"/>
    <col min="7675" max="7675" width="76" customWidth="1"/>
    <col min="7676" max="7689" width="16" customWidth="1"/>
    <col min="7930" max="7930" width="28" customWidth="1"/>
    <col min="7931" max="7931" width="76" customWidth="1"/>
    <col min="7932" max="7945" width="16" customWidth="1"/>
    <col min="8186" max="8186" width="28" customWidth="1"/>
    <col min="8187" max="8187" width="76" customWidth="1"/>
    <col min="8188" max="8201" width="16" customWidth="1"/>
    <col min="8442" max="8442" width="28" customWidth="1"/>
    <col min="8443" max="8443" width="76" customWidth="1"/>
    <col min="8444" max="8457" width="16" customWidth="1"/>
    <col min="8698" max="8698" width="28" customWidth="1"/>
    <col min="8699" max="8699" width="76" customWidth="1"/>
    <col min="8700" max="8713" width="16" customWidth="1"/>
    <col min="8954" max="8954" width="28" customWidth="1"/>
    <col min="8955" max="8955" width="76" customWidth="1"/>
    <col min="8956" max="8969" width="16" customWidth="1"/>
    <col min="9210" max="9210" width="28" customWidth="1"/>
    <col min="9211" max="9211" width="76" customWidth="1"/>
    <col min="9212" max="9225" width="16" customWidth="1"/>
    <col min="9466" max="9466" width="28" customWidth="1"/>
    <col min="9467" max="9467" width="76" customWidth="1"/>
    <col min="9468" max="9481" width="16" customWidth="1"/>
    <col min="9722" max="9722" width="28" customWidth="1"/>
    <col min="9723" max="9723" width="76" customWidth="1"/>
    <col min="9724" max="9737" width="16" customWidth="1"/>
    <col min="9978" max="9978" width="28" customWidth="1"/>
    <col min="9979" max="9979" width="76" customWidth="1"/>
    <col min="9980" max="9993" width="16" customWidth="1"/>
    <col min="10234" max="10234" width="28" customWidth="1"/>
    <col min="10235" max="10235" width="76" customWidth="1"/>
    <col min="10236" max="10249" width="16" customWidth="1"/>
    <col min="10490" max="10490" width="28" customWidth="1"/>
    <col min="10491" max="10491" width="76" customWidth="1"/>
    <col min="10492" max="10505" width="16" customWidth="1"/>
    <col min="10746" max="10746" width="28" customWidth="1"/>
    <col min="10747" max="10747" width="76" customWidth="1"/>
    <col min="10748" max="10761" width="16" customWidth="1"/>
    <col min="11002" max="11002" width="28" customWidth="1"/>
    <col min="11003" max="11003" width="76" customWidth="1"/>
    <col min="11004" max="11017" width="16" customWidth="1"/>
    <col min="11258" max="11258" width="28" customWidth="1"/>
    <col min="11259" max="11259" width="76" customWidth="1"/>
    <col min="11260" max="11273" width="16" customWidth="1"/>
    <col min="11514" max="11514" width="28" customWidth="1"/>
    <col min="11515" max="11515" width="76" customWidth="1"/>
    <col min="11516" max="11529" width="16" customWidth="1"/>
    <col min="11770" max="11770" width="28" customWidth="1"/>
    <col min="11771" max="11771" width="76" customWidth="1"/>
    <col min="11772" max="11785" width="16" customWidth="1"/>
    <col min="12026" max="12026" width="28" customWidth="1"/>
    <col min="12027" max="12027" width="76" customWidth="1"/>
    <col min="12028" max="12041" width="16" customWidth="1"/>
    <col min="12282" max="12282" width="28" customWidth="1"/>
    <col min="12283" max="12283" width="76" customWidth="1"/>
    <col min="12284" max="12297" width="16" customWidth="1"/>
    <col min="12538" max="12538" width="28" customWidth="1"/>
    <col min="12539" max="12539" width="76" customWidth="1"/>
    <col min="12540" max="12553" width="16" customWidth="1"/>
    <col min="12794" max="12794" width="28" customWidth="1"/>
    <col min="12795" max="12795" width="76" customWidth="1"/>
    <col min="12796" max="12809" width="16" customWidth="1"/>
    <col min="13050" max="13050" width="28" customWidth="1"/>
    <col min="13051" max="13051" width="76" customWidth="1"/>
    <col min="13052" max="13065" width="16" customWidth="1"/>
    <col min="13306" max="13306" width="28" customWidth="1"/>
    <col min="13307" max="13307" width="76" customWidth="1"/>
    <col min="13308" max="13321" width="16" customWidth="1"/>
    <col min="13562" max="13562" width="28" customWidth="1"/>
    <col min="13563" max="13563" width="76" customWidth="1"/>
    <col min="13564" max="13577" width="16" customWidth="1"/>
    <col min="13818" max="13818" width="28" customWidth="1"/>
    <col min="13819" max="13819" width="76" customWidth="1"/>
    <col min="13820" max="13833" width="16" customWidth="1"/>
    <col min="14074" max="14074" width="28" customWidth="1"/>
    <col min="14075" max="14075" width="76" customWidth="1"/>
    <col min="14076" max="14089" width="16" customWidth="1"/>
    <col min="14330" max="14330" width="28" customWidth="1"/>
    <col min="14331" max="14331" width="76" customWidth="1"/>
    <col min="14332" max="14345" width="16" customWidth="1"/>
    <col min="14586" max="14586" width="28" customWidth="1"/>
    <col min="14587" max="14587" width="76" customWidth="1"/>
    <col min="14588" max="14601" width="16" customWidth="1"/>
    <col min="14842" max="14842" width="28" customWidth="1"/>
    <col min="14843" max="14843" width="76" customWidth="1"/>
    <col min="14844" max="14857" width="16" customWidth="1"/>
    <col min="15098" max="15098" width="28" customWidth="1"/>
    <col min="15099" max="15099" width="76" customWidth="1"/>
    <col min="15100" max="15113" width="16" customWidth="1"/>
    <col min="15354" max="15354" width="28" customWidth="1"/>
    <col min="15355" max="15355" width="76" customWidth="1"/>
    <col min="15356" max="15369" width="16" customWidth="1"/>
    <col min="15610" max="15610" width="28" customWidth="1"/>
    <col min="15611" max="15611" width="76" customWidth="1"/>
    <col min="15612" max="15625" width="16" customWidth="1"/>
    <col min="15866" max="15866" width="28" customWidth="1"/>
    <col min="15867" max="15867" width="76" customWidth="1"/>
    <col min="15868" max="15881" width="16" customWidth="1"/>
    <col min="16122" max="16122" width="28" customWidth="1"/>
    <col min="16123" max="16123" width="76" customWidth="1"/>
    <col min="16124" max="16137" width="16" customWidth="1"/>
  </cols>
  <sheetData>
    <row r="1" spans="1:20" x14ac:dyDescent="0.2">
      <c r="A1" s="41" t="s">
        <v>193</v>
      </c>
      <c r="B1" s="217" t="s">
        <v>189</v>
      </c>
      <c r="C1" s="217"/>
      <c r="D1" s="217"/>
      <c r="E1" s="217"/>
      <c r="F1" s="217"/>
      <c r="G1" s="217"/>
      <c r="H1" s="217"/>
      <c r="I1" s="217"/>
      <c r="J1" s="217"/>
      <c r="L1" s="217" t="s">
        <v>190</v>
      </c>
      <c r="M1" s="217"/>
      <c r="N1" s="217"/>
      <c r="O1" s="217"/>
      <c r="P1" s="217"/>
      <c r="Q1" s="217"/>
      <c r="R1" s="217"/>
      <c r="S1" s="217"/>
      <c r="T1" s="217"/>
    </row>
    <row r="2" spans="1:20" x14ac:dyDescent="0.2">
      <c r="A2" s="6" t="s">
        <v>0</v>
      </c>
      <c r="B2" s="60">
        <v>2012</v>
      </c>
      <c r="C2" s="60">
        <v>2013</v>
      </c>
      <c r="D2" s="60">
        <v>2014</v>
      </c>
      <c r="E2" s="60">
        <v>2015</v>
      </c>
      <c r="F2" s="60">
        <v>2016</v>
      </c>
      <c r="G2" s="60">
        <v>2017</v>
      </c>
      <c r="H2" s="60">
        <v>2018</v>
      </c>
      <c r="I2" s="61">
        <v>2019</v>
      </c>
      <c r="J2" s="61">
        <v>2020</v>
      </c>
      <c r="K2" s="40" t="s">
        <v>188</v>
      </c>
      <c r="L2" s="60">
        <v>2012</v>
      </c>
      <c r="M2" s="60">
        <v>2013</v>
      </c>
      <c r="N2" s="60">
        <v>2014</v>
      </c>
      <c r="O2" s="60">
        <v>2015</v>
      </c>
      <c r="P2" s="60">
        <v>2016</v>
      </c>
      <c r="Q2" s="60">
        <v>2017</v>
      </c>
      <c r="R2" s="60">
        <v>2018</v>
      </c>
      <c r="S2" s="61">
        <v>2019</v>
      </c>
      <c r="T2" s="61">
        <v>2020</v>
      </c>
    </row>
    <row r="3" spans="1:20" x14ac:dyDescent="0.2">
      <c r="A3" s="65" t="s">
        <v>2</v>
      </c>
      <c r="B3" s="68">
        <v>879.14</v>
      </c>
      <c r="C3" s="69">
        <v>955.77</v>
      </c>
      <c r="D3" s="69">
        <v>939.66</v>
      </c>
      <c r="E3" s="69">
        <v>883.79</v>
      </c>
      <c r="F3" s="69">
        <v>847.04</v>
      </c>
      <c r="G3" s="69">
        <v>881.57</v>
      </c>
      <c r="H3" s="69">
        <v>906.28</v>
      </c>
      <c r="I3" s="70">
        <v>1026.76</v>
      </c>
      <c r="J3" s="71">
        <v>908.81</v>
      </c>
      <c r="K3" s="72">
        <f>SUM(B3:J3)/SUM(L3:T3)</f>
        <v>0.99999961096205403</v>
      </c>
      <c r="L3" s="68">
        <v>879.14320132447676</v>
      </c>
      <c r="M3" s="69">
        <v>955.77</v>
      </c>
      <c r="N3" s="69">
        <v>939.66</v>
      </c>
      <c r="O3" s="69">
        <v>883.79</v>
      </c>
      <c r="P3" s="69">
        <v>847.04</v>
      </c>
      <c r="Q3" s="69">
        <v>881.57</v>
      </c>
      <c r="R3" s="69">
        <v>906.28</v>
      </c>
      <c r="S3" s="70">
        <v>1026.76</v>
      </c>
      <c r="T3" s="71">
        <v>908.81</v>
      </c>
    </row>
    <row r="4" spans="1:20" x14ac:dyDescent="0.2">
      <c r="A4" s="65" t="s">
        <v>3</v>
      </c>
      <c r="B4" s="73">
        <v>396.81</v>
      </c>
      <c r="C4" s="74">
        <v>414.36</v>
      </c>
      <c r="D4" s="74">
        <v>431.98</v>
      </c>
      <c r="E4" s="74">
        <v>459.26</v>
      </c>
      <c r="F4" s="74">
        <v>463.18</v>
      </c>
      <c r="G4" s="74">
        <v>454.06</v>
      </c>
      <c r="H4" s="74">
        <v>417.33</v>
      </c>
      <c r="I4" s="72">
        <v>434.44</v>
      </c>
      <c r="J4" s="75">
        <v>463.32</v>
      </c>
      <c r="K4" s="72">
        <f t="shared" ref="K4:K43" si="0">SUM(B4:J4)/SUM(L4:T4)</f>
        <v>1</v>
      </c>
      <c r="L4" s="73">
        <v>396.81</v>
      </c>
      <c r="M4" s="74">
        <v>414.36</v>
      </c>
      <c r="N4" s="74">
        <v>431.98</v>
      </c>
      <c r="O4" s="74">
        <v>459.26</v>
      </c>
      <c r="P4" s="74">
        <v>463.18</v>
      </c>
      <c r="Q4" s="74">
        <v>454.06</v>
      </c>
      <c r="R4" s="74">
        <v>417.33</v>
      </c>
      <c r="S4" s="72">
        <v>434.44</v>
      </c>
      <c r="T4" s="75">
        <v>463.32</v>
      </c>
    </row>
    <row r="5" spans="1:20" x14ac:dyDescent="0.2">
      <c r="A5" s="65" t="s">
        <v>4</v>
      </c>
      <c r="B5" s="73">
        <v>438.42</v>
      </c>
      <c r="C5" s="74">
        <v>469.69</v>
      </c>
      <c r="D5" s="74">
        <v>468.79</v>
      </c>
      <c r="E5" s="74">
        <v>344.82</v>
      </c>
      <c r="F5" s="74">
        <v>315.14</v>
      </c>
      <c r="G5" s="74">
        <v>374.11</v>
      </c>
      <c r="H5" s="74">
        <v>388.26</v>
      </c>
      <c r="I5" s="72">
        <v>419.28</v>
      </c>
      <c r="J5" s="75">
        <v>447.44</v>
      </c>
      <c r="K5" s="72">
        <f t="shared" si="0"/>
        <v>1</v>
      </c>
      <c r="L5" s="73">
        <v>438.42</v>
      </c>
      <c r="M5" s="74">
        <v>469.69</v>
      </c>
      <c r="N5" s="74">
        <v>468.79</v>
      </c>
      <c r="O5" s="74">
        <v>344.82</v>
      </c>
      <c r="P5" s="74">
        <v>315.14</v>
      </c>
      <c r="Q5" s="74">
        <v>374.11</v>
      </c>
      <c r="R5" s="74">
        <v>388.26</v>
      </c>
      <c r="S5" s="72">
        <v>419.28</v>
      </c>
      <c r="T5" s="75">
        <v>447.44</v>
      </c>
    </row>
    <row r="6" spans="1:20" x14ac:dyDescent="0.2">
      <c r="A6" s="65" t="s">
        <v>5</v>
      </c>
      <c r="B6" s="73">
        <v>327.82</v>
      </c>
      <c r="C6" s="74">
        <v>351.56</v>
      </c>
      <c r="D6" s="74">
        <v>351.79</v>
      </c>
      <c r="E6" s="74">
        <v>325.26</v>
      </c>
      <c r="F6" s="74">
        <v>306.76</v>
      </c>
      <c r="G6" s="74">
        <v>326.11</v>
      </c>
      <c r="H6" s="74">
        <v>379.48</v>
      </c>
      <c r="I6" s="72">
        <v>386.17</v>
      </c>
      <c r="J6" s="75">
        <v>329.47</v>
      </c>
      <c r="K6" s="72">
        <f t="shared" si="0"/>
        <v>1</v>
      </c>
      <c r="L6" s="73">
        <v>327.82</v>
      </c>
      <c r="M6" s="74">
        <v>351.56</v>
      </c>
      <c r="N6" s="74">
        <v>351.79</v>
      </c>
      <c r="O6" s="74">
        <v>325.26</v>
      </c>
      <c r="P6" s="74">
        <v>306.76</v>
      </c>
      <c r="Q6" s="74">
        <v>326.11</v>
      </c>
      <c r="R6" s="74">
        <v>379.48</v>
      </c>
      <c r="S6" s="72">
        <v>386.17</v>
      </c>
      <c r="T6" s="75">
        <v>329.47</v>
      </c>
    </row>
    <row r="7" spans="1:20" x14ac:dyDescent="0.2">
      <c r="A7" s="65" t="s">
        <v>6</v>
      </c>
      <c r="B7" s="73">
        <v>224.23</v>
      </c>
      <c r="C7" s="74">
        <v>240.79</v>
      </c>
      <c r="D7" s="74">
        <v>241.5</v>
      </c>
      <c r="E7" s="74">
        <v>225.74</v>
      </c>
      <c r="F7" s="74">
        <v>224.75</v>
      </c>
      <c r="G7" s="74">
        <v>228.93</v>
      </c>
      <c r="H7" s="74">
        <v>250.76</v>
      </c>
      <c r="I7" s="72">
        <v>257.36</v>
      </c>
      <c r="J7" s="75">
        <v>225.7</v>
      </c>
      <c r="K7" s="72">
        <f t="shared" si="0"/>
        <v>1</v>
      </c>
      <c r="L7" s="73">
        <v>224.23</v>
      </c>
      <c r="M7" s="74">
        <v>240.79</v>
      </c>
      <c r="N7" s="74">
        <v>241.5</v>
      </c>
      <c r="O7" s="74">
        <v>225.74</v>
      </c>
      <c r="P7" s="74">
        <v>224.75</v>
      </c>
      <c r="Q7" s="74">
        <v>228.93</v>
      </c>
      <c r="R7" s="74">
        <v>250.76</v>
      </c>
      <c r="S7" s="72">
        <v>257.36</v>
      </c>
      <c r="T7" s="75">
        <v>225.7</v>
      </c>
    </row>
    <row r="8" spans="1:20" x14ac:dyDescent="0.2">
      <c r="A8" s="65" t="s">
        <v>7</v>
      </c>
      <c r="B8" s="73">
        <v>28.56</v>
      </c>
      <c r="C8" s="74">
        <v>24.6</v>
      </c>
      <c r="D8" s="74">
        <v>27.96</v>
      </c>
      <c r="E8" s="74">
        <v>25.72</v>
      </c>
      <c r="F8" s="74">
        <v>23.11</v>
      </c>
      <c r="G8" s="74">
        <v>23.87</v>
      </c>
      <c r="H8" s="74">
        <v>39.950000000000003</v>
      </c>
      <c r="I8" s="72">
        <v>41.3</v>
      </c>
      <c r="J8" s="75">
        <v>29.53</v>
      </c>
      <c r="K8" s="72">
        <f t="shared" si="0"/>
        <v>1</v>
      </c>
      <c r="L8" s="73">
        <v>28.56</v>
      </c>
      <c r="M8" s="74">
        <v>24.6</v>
      </c>
      <c r="N8" s="74">
        <v>27.96</v>
      </c>
      <c r="O8" s="74">
        <v>25.72</v>
      </c>
      <c r="P8" s="74">
        <v>23.11</v>
      </c>
      <c r="Q8" s="74">
        <v>23.87</v>
      </c>
      <c r="R8" s="74">
        <v>39.950000000000003</v>
      </c>
      <c r="S8" s="72">
        <v>41.3</v>
      </c>
      <c r="T8" s="75">
        <v>29.53</v>
      </c>
    </row>
    <row r="9" spans="1:20" x14ac:dyDescent="0.2">
      <c r="A9" s="65" t="s">
        <v>8</v>
      </c>
      <c r="B9" s="73">
        <v>96.92</v>
      </c>
      <c r="C9" s="74">
        <v>116.39</v>
      </c>
      <c r="D9" s="74">
        <v>133.13</v>
      </c>
      <c r="E9" s="74">
        <v>113.08</v>
      </c>
      <c r="F9" s="74">
        <v>110.88</v>
      </c>
      <c r="G9" s="74">
        <v>114.96</v>
      </c>
      <c r="H9" s="74">
        <v>194.99</v>
      </c>
      <c r="I9" s="72">
        <v>211.62</v>
      </c>
      <c r="J9" s="75">
        <v>161.71</v>
      </c>
      <c r="K9" s="72">
        <f t="shared" si="0"/>
        <v>1</v>
      </c>
      <c r="L9" s="73">
        <v>96.92</v>
      </c>
      <c r="M9" s="74">
        <v>116.39</v>
      </c>
      <c r="N9" s="74">
        <v>133.13</v>
      </c>
      <c r="O9" s="74">
        <v>113.08</v>
      </c>
      <c r="P9" s="74">
        <v>110.88</v>
      </c>
      <c r="Q9" s="74">
        <v>114.96</v>
      </c>
      <c r="R9" s="74">
        <v>194.99</v>
      </c>
      <c r="S9" s="72">
        <v>211.62</v>
      </c>
      <c r="T9" s="75">
        <v>161.71</v>
      </c>
    </row>
    <row r="10" spans="1:20" x14ac:dyDescent="0.2">
      <c r="A10" s="65" t="s">
        <v>9</v>
      </c>
      <c r="B10" s="73">
        <v>526.15</v>
      </c>
      <c r="C10" s="74">
        <v>574.03</v>
      </c>
      <c r="D10" s="74">
        <v>611.91999999999996</v>
      </c>
      <c r="E10" s="74">
        <v>641.29</v>
      </c>
      <c r="F10" s="74">
        <v>672.07</v>
      </c>
      <c r="G10" s="74">
        <v>716.29</v>
      </c>
      <c r="H10" s="74">
        <v>763.86</v>
      </c>
      <c r="I10" s="72">
        <v>797.43</v>
      </c>
      <c r="J10" s="75">
        <v>842.42</v>
      </c>
      <c r="K10" s="72">
        <f t="shared" si="0"/>
        <v>0.99999954838495342</v>
      </c>
      <c r="L10" s="73">
        <v>526.1514946836237</v>
      </c>
      <c r="M10" s="74">
        <v>574.03128069983347</v>
      </c>
      <c r="N10" s="74">
        <v>611.91999999999996</v>
      </c>
      <c r="O10" s="74">
        <v>641.29</v>
      </c>
      <c r="P10" s="74">
        <v>672.07</v>
      </c>
      <c r="Q10" s="74">
        <v>716.29</v>
      </c>
      <c r="R10" s="74">
        <v>763.86</v>
      </c>
      <c r="S10" s="72">
        <v>797.43</v>
      </c>
      <c r="T10" s="75">
        <v>842.42</v>
      </c>
    </row>
    <row r="11" spans="1:20" x14ac:dyDescent="0.2">
      <c r="A11" s="65" t="s">
        <v>10</v>
      </c>
      <c r="B11" s="73">
        <v>220.97</v>
      </c>
      <c r="C11" s="74">
        <v>230.47</v>
      </c>
      <c r="D11" s="74">
        <v>230.47</v>
      </c>
      <c r="E11" s="74">
        <v>239.46</v>
      </c>
      <c r="F11" s="74">
        <v>255.5</v>
      </c>
      <c r="G11" s="74">
        <v>263.33999999999997</v>
      </c>
      <c r="H11" s="74">
        <v>277.38</v>
      </c>
      <c r="I11" s="72">
        <v>301.94</v>
      </c>
      <c r="J11" s="75">
        <v>334.09</v>
      </c>
      <c r="K11" s="72">
        <f t="shared" si="0"/>
        <v>1.0000027530427902</v>
      </c>
      <c r="L11" s="73">
        <v>220.96599138583767</v>
      </c>
      <c r="M11" s="74">
        <v>230.46752901542868</v>
      </c>
      <c r="N11" s="74">
        <v>230.47</v>
      </c>
      <c r="O11" s="74">
        <v>239.46</v>
      </c>
      <c r="P11" s="74">
        <v>255.5</v>
      </c>
      <c r="Q11" s="74">
        <v>263.33999999999997</v>
      </c>
      <c r="R11" s="74">
        <v>277.38</v>
      </c>
      <c r="S11" s="72">
        <v>301.94</v>
      </c>
      <c r="T11" s="75">
        <v>334.09</v>
      </c>
    </row>
    <row r="12" spans="1:20" x14ac:dyDescent="0.2">
      <c r="A12" s="65" t="s">
        <v>11</v>
      </c>
      <c r="B12" s="73">
        <v>155.76</v>
      </c>
      <c r="C12" s="74">
        <v>167.6</v>
      </c>
      <c r="D12" s="74">
        <v>159.88999999999999</v>
      </c>
      <c r="E12" s="74">
        <v>162.13</v>
      </c>
      <c r="F12" s="74">
        <v>162.78</v>
      </c>
      <c r="G12" s="74">
        <v>156.37</v>
      </c>
      <c r="H12" s="74">
        <v>169.23</v>
      </c>
      <c r="I12" s="72">
        <v>173.56</v>
      </c>
      <c r="J12" s="75">
        <v>176.06</v>
      </c>
      <c r="K12" s="72">
        <f t="shared" si="0"/>
        <v>0.99999636829321892</v>
      </c>
      <c r="L12" s="73">
        <v>155.76367399844409</v>
      </c>
      <c r="M12" s="74">
        <v>167.60171322232586</v>
      </c>
      <c r="N12" s="74">
        <v>159.88999999999999</v>
      </c>
      <c r="O12" s="74">
        <v>162.13</v>
      </c>
      <c r="P12" s="74">
        <v>162.78</v>
      </c>
      <c r="Q12" s="74">
        <v>156.37</v>
      </c>
      <c r="R12" s="74">
        <v>169.23</v>
      </c>
      <c r="S12" s="72">
        <v>173.56</v>
      </c>
      <c r="T12" s="75">
        <v>176.06</v>
      </c>
    </row>
    <row r="13" spans="1:20" x14ac:dyDescent="0.2">
      <c r="A13" s="65" t="s">
        <v>12</v>
      </c>
      <c r="B13" s="73">
        <v>51.22</v>
      </c>
      <c r="C13" s="74">
        <v>53.73</v>
      </c>
      <c r="D13" s="74">
        <v>52.44</v>
      </c>
      <c r="E13" s="74">
        <v>52.75</v>
      </c>
      <c r="F13" s="74">
        <v>51.96</v>
      </c>
      <c r="G13" s="74">
        <v>51.96</v>
      </c>
      <c r="H13" s="74">
        <v>52.81</v>
      </c>
      <c r="I13" s="72">
        <v>52.91</v>
      </c>
      <c r="J13" s="75">
        <v>50.87</v>
      </c>
      <c r="K13" s="72">
        <f t="shared" si="0"/>
        <v>1.000013189686553</v>
      </c>
      <c r="L13" s="73">
        <v>51.217077772523531</v>
      </c>
      <c r="M13" s="74">
        <v>53.726714583377181</v>
      </c>
      <c r="N13" s="74">
        <v>52.44</v>
      </c>
      <c r="O13" s="74">
        <v>52.75</v>
      </c>
      <c r="P13" s="74">
        <v>51.96</v>
      </c>
      <c r="Q13" s="74">
        <v>51.96</v>
      </c>
      <c r="R13" s="74">
        <v>52.81</v>
      </c>
      <c r="S13" s="72">
        <v>52.91</v>
      </c>
      <c r="T13" s="75">
        <v>50.87</v>
      </c>
    </row>
    <row r="14" spans="1:20" x14ac:dyDescent="0.2">
      <c r="A14" s="65" t="s">
        <v>13</v>
      </c>
      <c r="B14" s="73">
        <v>1448.7</v>
      </c>
      <c r="C14" s="74">
        <v>1532.86</v>
      </c>
      <c r="D14" s="74">
        <v>1541.18</v>
      </c>
      <c r="E14" s="74">
        <v>1561.63</v>
      </c>
      <c r="F14" s="74">
        <v>1592.73</v>
      </c>
      <c r="G14" s="74">
        <v>1684.9</v>
      </c>
      <c r="H14" s="74">
        <v>1748.42</v>
      </c>
      <c r="I14" s="72">
        <v>1760.15</v>
      </c>
      <c r="J14" s="75">
        <v>1650.38</v>
      </c>
      <c r="K14" s="72">
        <f t="shared" si="0"/>
        <v>1</v>
      </c>
      <c r="L14" s="73">
        <v>1448.7</v>
      </c>
      <c r="M14" s="74">
        <v>1532.86</v>
      </c>
      <c r="N14" s="74">
        <v>1541.18</v>
      </c>
      <c r="O14" s="74">
        <v>1561.63</v>
      </c>
      <c r="P14" s="74">
        <v>1592.73</v>
      </c>
      <c r="Q14" s="74">
        <v>1684.9</v>
      </c>
      <c r="R14" s="74">
        <v>1748.42</v>
      </c>
      <c r="S14" s="72">
        <v>1760.15</v>
      </c>
      <c r="T14" s="75">
        <v>1650.38</v>
      </c>
    </row>
    <row r="15" spans="1:20" x14ac:dyDescent="0.2">
      <c r="A15" s="65" t="s">
        <v>14</v>
      </c>
      <c r="B15" s="73">
        <v>198.42</v>
      </c>
      <c r="C15" s="74">
        <v>214.23</v>
      </c>
      <c r="D15" s="74">
        <v>213.03</v>
      </c>
      <c r="E15" s="74">
        <v>216.93</v>
      </c>
      <c r="F15" s="74">
        <v>227.52</v>
      </c>
      <c r="G15" s="74">
        <v>215.83</v>
      </c>
      <c r="H15" s="74">
        <v>233.18</v>
      </c>
      <c r="I15" s="72">
        <v>231.59</v>
      </c>
      <c r="J15" s="75">
        <v>220.24</v>
      </c>
      <c r="K15" s="72">
        <f t="shared" si="0"/>
        <v>1</v>
      </c>
      <c r="L15" s="73">
        <v>198.42</v>
      </c>
      <c r="M15" s="74">
        <v>214.23</v>
      </c>
      <c r="N15" s="74">
        <v>213.03</v>
      </c>
      <c r="O15" s="74">
        <v>216.93</v>
      </c>
      <c r="P15" s="74">
        <v>227.52</v>
      </c>
      <c r="Q15" s="74">
        <v>215.83</v>
      </c>
      <c r="R15" s="74">
        <v>233.18</v>
      </c>
      <c r="S15" s="72">
        <v>231.59</v>
      </c>
      <c r="T15" s="75">
        <v>220.24</v>
      </c>
    </row>
    <row r="16" spans="1:20" x14ac:dyDescent="0.2">
      <c r="A16" s="65" t="s">
        <v>15</v>
      </c>
      <c r="B16" s="73">
        <v>151.03</v>
      </c>
      <c r="C16" s="74">
        <v>151.81</v>
      </c>
      <c r="D16" s="74">
        <v>151.43</v>
      </c>
      <c r="E16" s="74">
        <v>158.22999999999999</v>
      </c>
      <c r="F16" s="74">
        <v>153.61000000000001</v>
      </c>
      <c r="G16" s="74">
        <v>147.25</v>
      </c>
      <c r="H16" s="74">
        <v>157.66</v>
      </c>
      <c r="I16" s="72">
        <v>156.81</v>
      </c>
      <c r="J16" s="75">
        <v>140.96</v>
      </c>
      <c r="K16" s="72">
        <f t="shared" si="0"/>
        <v>1</v>
      </c>
      <c r="L16" s="73">
        <v>151.03</v>
      </c>
      <c r="M16" s="74">
        <v>151.81</v>
      </c>
      <c r="N16" s="74">
        <v>151.43</v>
      </c>
      <c r="O16" s="74">
        <v>158.22999999999999</v>
      </c>
      <c r="P16" s="74">
        <v>153.61000000000001</v>
      </c>
      <c r="Q16" s="74">
        <v>147.25</v>
      </c>
      <c r="R16" s="74">
        <v>157.66</v>
      </c>
      <c r="S16" s="72">
        <v>156.81</v>
      </c>
      <c r="T16" s="75">
        <v>140.96</v>
      </c>
    </row>
    <row r="17" spans="1:20" x14ac:dyDescent="0.2">
      <c r="A17" s="65" t="s">
        <v>16</v>
      </c>
      <c r="B17" s="73">
        <v>264.08</v>
      </c>
      <c r="C17" s="74">
        <v>268.93</v>
      </c>
      <c r="D17" s="74">
        <v>264.39999999999998</v>
      </c>
      <c r="E17" s="74">
        <v>254.36</v>
      </c>
      <c r="F17" s="74">
        <v>251.17</v>
      </c>
      <c r="G17" s="74">
        <v>245.28</v>
      </c>
      <c r="H17" s="74">
        <v>269.86</v>
      </c>
      <c r="I17" s="72">
        <v>279.32</v>
      </c>
      <c r="J17" s="75">
        <v>283.98</v>
      </c>
      <c r="K17" s="72">
        <f t="shared" si="0"/>
        <v>1</v>
      </c>
      <c r="L17" s="73">
        <v>264.08</v>
      </c>
      <c r="M17" s="74">
        <v>268.93</v>
      </c>
      <c r="N17" s="74">
        <v>264.39999999999998</v>
      </c>
      <c r="O17" s="74">
        <v>254.36</v>
      </c>
      <c r="P17" s="74">
        <v>251.17</v>
      </c>
      <c r="Q17" s="74">
        <v>245.28</v>
      </c>
      <c r="R17" s="74">
        <v>269.86</v>
      </c>
      <c r="S17" s="72">
        <v>279.32</v>
      </c>
      <c r="T17" s="75">
        <v>283.98</v>
      </c>
    </row>
    <row r="18" spans="1:20" x14ac:dyDescent="0.2">
      <c r="A18" s="65" t="s">
        <v>17</v>
      </c>
      <c r="B18" s="73">
        <v>45.83</v>
      </c>
      <c r="C18" s="74">
        <v>49.55</v>
      </c>
      <c r="D18" s="74">
        <v>88.9</v>
      </c>
      <c r="E18" s="74">
        <v>92.78</v>
      </c>
      <c r="F18" s="74">
        <v>95.94</v>
      </c>
      <c r="G18" s="74">
        <v>98.6</v>
      </c>
      <c r="H18" s="74">
        <v>108.84</v>
      </c>
      <c r="I18" s="72">
        <v>115.36</v>
      </c>
      <c r="J18" s="75">
        <v>120.74</v>
      </c>
      <c r="K18" s="72">
        <f t="shared" si="0"/>
        <v>1.0000075897616116</v>
      </c>
      <c r="L18" s="73">
        <v>45.826351481399996</v>
      </c>
      <c r="M18" s="74">
        <v>49.54745122168967</v>
      </c>
      <c r="N18" s="74">
        <v>88.9</v>
      </c>
      <c r="O18" s="74">
        <v>92.78</v>
      </c>
      <c r="P18" s="74">
        <v>95.94</v>
      </c>
      <c r="Q18" s="74">
        <v>98.6</v>
      </c>
      <c r="R18" s="74">
        <v>108.84</v>
      </c>
      <c r="S18" s="72">
        <v>115.36</v>
      </c>
      <c r="T18" s="75">
        <v>120.74</v>
      </c>
    </row>
    <row r="19" spans="1:20" x14ac:dyDescent="0.2">
      <c r="A19" s="65" t="s">
        <v>18</v>
      </c>
      <c r="B19" s="73">
        <v>579</v>
      </c>
      <c r="C19" s="74">
        <v>599.23</v>
      </c>
      <c r="D19" s="74">
        <v>632.26</v>
      </c>
      <c r="E19" s="74">
        <v>634.91999999999996</v>
      </c>
      <c r="F19" s="74">
        <v>675.81</v>
      </c>
      <c r="G19" s="74">
        <v>712.37</v>
      </c>
      <c r="H19" s="74">
        <v>728.24</v>
      </c>
      <c r="I19" s="72">
        <v>744.61</v>
      </c>
      <c r="J19" s="75">
        <v>798.25</v>
      </c>
      <c r="K19" s="72">
        <f t="shared" si="0"/>
        <v>1</v>
      </c>
      <c r="L19" s="73">
        <v>579</v>
      </c>
      <c r="M19" s="74">
        <v>599.23</v>
      </c>
      <c r="N19" s="74">
        <v>632.26</v>
      </c>
      <c r="O19" s="74">
        <v>634.91999999999996</v>
      </c>
      <c r="P19" s="74">
        <v>675.81</v>
      </c>
      <c r="Q19" s="74">
        <v>712.37</v>
      </c>
      <c r="R19" s="74">
        <v>728.24</v>
      </c>
      <c r="S19" s="72">
        <v>744.61</v>
      </c>
      <c r="T19" s="75">
        <v>798.25</v>
      </c>
    </row>
    <row r="20" spans="1:20" x14ac:dyDescent="0.2">
      <c r="A20" s="65" t="s">
        <v>19</v>
      </c>
      <c r="B20" s="73">
        <v>107.12</v>
      </c>
      <c r="C20" s="74">
        <v>110.38</v>
      </c>
      <c r="D20" s="74">
        <v>111.34</v>
      </c>
      <c r="E20" s="74">
        <v>111.98</v>
      </c>
      <c r="F20" s="74">
        <v>115.6</v>
      </c>
      <c r="G20" s="74">
        <v>121.32</v>
      </c>
      <c r="H20" s="74">
        <v>126.27</v>
      </c>
      <c r="I20" s="72">
        <v>131.05000000000001</v>
      </c>
      <c r="J20" s="75">
        <v>132.53</v>
      </c>
      <c r="K20" s="72">
        <f t="shared" si="0"/>
        <v>1</v>
      </c>
      <c r="L20" s="73">
        <v>107.12</v>
      </c>
      <c r="M20" s="74">
        <v>110.38</v>
      </c>
      <c r="N20" s="74">
        <v>111.34</v>
      </c>
      <c r="O20" s="74">
        <v>111.98</v>
      </c>
      <c r="P20" s="74">
        <v>115.6</v>
      </c>
      <c r="Q20" s="74">
        <v>121.32</v>
      </c>
      <c r="R20" s="74">
        <v>126.27</v>
      </c>
      <c r="S20" s="72">
        <v>131.05000000000001</v>
      </c>
      <c r="T20" s="75">
        <v>132.53</v>
      </c>
    </row>
    <row r="21" spans="1:20" x14ac:dyDescent="0.2">
      <c r="A21" s="65" t="s">
        <v>20</v>
      </c>
      <c r="B21" s="73">
        <v>64.11</v>
      </c>
      <c r="C21" s="74">
        <v>69.12</v>
      </c>
      <c r="D21" s="74">
        <v>72.89</v>
      </c>
      <c r="E21" s="74">
        <v>73.11</v>
      </c>
      <c r="F21" s="74">
        <v>77.069999999999993</v>
      </c>
      <c r="G21" s="74">
        <v>82.58</v>
      </c>
      <c r="H21" s="74">
        <v>88.42</v>
      </c>
      <c r="I21" s="72">
        <v>89.78</v>
      </c>
      <c r="J21" s="75">
        <v>85.05</v>
      </c>
      <c r="K21" s="72">
        <f t="shared" si="0"/>
        <v>1</v>
      </c>
      <c r="L21" s="73">
        <v>64.11</v>
      </c>
      <c r="M21" s="74">
        <v>69.12</v>
      </c>
      <c r="N21" s="74">
        <v>72.89</v>
      </c>
      <c r="O21" s="74">
        <v>73.11</v>
      </c>
      <c r="P21" s="74">
        <v>77.069999999999993</v>
      </c>
      <c r="Q21" s="74">
        <v>82.58</v>
      </c>
      <c r="R21" s="74">
        <v>88.42</v>
      </c>
      <c r="S21" s="72">
        <v>89.78</v>
      </c>
      <c r="T21" s="75">
        <v>85.05</v>
      </c>
    </row>
    <row r="22" spans="1:20" x14ac:dyDescent="0.2">
      <c r="A22" s="65" t="s">
        <v>21</v>
      </c>
      <c r="B22" s="73">
        <v>594.91999999999996</v>
      </c>
      <c r="C22" s="74">
        <v>677.49</v>
      </c>
      <c r="D22" s="74">
        <v>718.82</v>
      </c>
      <c r="E22" s="74">
        <v>779.92</v>
      </c>
      <c r="F22" s="74">
        <v>836.08</v>
      </c>
      <c r="G22" s="74">
        <v>946.44</v>
      </c>
      <c r="H22" s="74">
        <v>1114.43</v>
      </c>
      <c r="I22" s="72">
        <v>1198.93</v>
      </c>
      <c r="J22" s="75">
        <v>1283.3</v>
      </c>
      <c r="K22" s="72">
        <f t="shared" si="0"/>
        <v>0.9999995286136566</v>
      </c>
      <c r="L22" s="73">
        <v>594.91950717975817</v>
      </c>
      <c r="M22" s="74">
        <v>677.49433477630862</v>
      </c>
      <c r="N22" s="74">
        <v>718.82</v>
      </c>
      <c r="O22" s="74">
        <v>779.92</v>
      </c>
      <c r="P22" s="74">
        <v>836.08</v>
      </c>
      <c r="Q22" s="74">
        <v>946.44</v>
      </c>
      <c r="R22" s="74">
        <v>1114.43</v>
      </c>
      <c r="S22" s="72">
        <v>1198.93</v>
      </c>
      <c r="T22" s="75">
        <v>1283.3</v>
      </c>
    </row>
    <row r="23" spans="1:20" x14ac:dyDescent="0.2">
      <c r="A23" s="65" t="s">
        <v>1</v>
      </c>
      <c r="B23" s="73">
        <v>3936.15</v>
      </c>
      <c r="C23" s="74">
        <v>4341.38</v>
      </c>
      <c r="D23" s="74">
        <v>4627.78</v>
      </c>
      <c r="E23" s="74">
        <v>4754.04</v>
      </c>
      <c r="F23" s="74">
        <v>4874.63</v>
      </c>
      <c r="G23" s="74">
        <v>5122.26</v>
      </c>
      <c r="H23" s="74">
        <v>5449.17</v>
      </c>
      <c r="I23" s="72">
        <v>5427.38</v>
      </c>
      <c r="J23" s="75">
        <v>5781.14</v>
      </c>
      <c r="K23" s="72">
        <f t="shared" si="0"/>
        <v>0.99999999473535617</v>
      </c>
      <c r="L23" s="73">
        <v>3936.1539219788897</v>
      </c>
      <c r="M23" s="74">
        <v>4341.3763113181749</v>
      </c>
      <c r="N23" s="74">
        <v>4627.78</v>
      </c>
      <c r="O23" s="74">
        <v>4754.04</v>
      </c>
      <c r="P23" s="74">
        <v>4874.63</v>
      </c>
      <c r="Q23" s="74">
        <v>5122.26</v>
      </c>
      <c r="R23" s="74">
        <v>5449.17</v>
      </c>
      <c r="S23" s="72">
        <v>5427.38</v>
      </c>
      <c r="T23" s="75">
        <v>5781.14</v>
      </c>
    </row>
    <row r="24" spans="1:20" x14ac:dyDescent="0.2">
      <c r="A24" s="65" t="s">
        <v>22</v>
      </c>
      <c r="B24" s="73">
        <v>257.25</v>
      </c>
      <c r="C24" s="74">
        <v>283.06</v>
      </c>
      <c r="D24" s="74">
        <v>302.33</v>
      </c>
      <c r="E24" s="74">
        <v>315.19</v>
      </c>
      <c r="F24" s="74">
        <v>337.18</v>
      </c>
      <c r="G24" s="74">
        <v>364.77</v>
      </c>
      <c r="H24" s="74">
        <v>385.74</v>
      </c>
      <c r="I24" s="72">
        <v>407.71</v>
      </c>
      <c r="J24" s="75">
        <v>430.45</v>
      </c>
      <c r="K24" s="72">
        <f t="shared" si="0"/>
        <v>1</v>
      </c>
      <c r="L24" s="73">
        <v>257.25</v>
      </c>
      <c r="M24" s="74">
        <v>283.06</v>
      </c>
      <c r="N24" s="74">
        <v>302.33</v>
      </c>
      <c r="O24" s="74">
        <v>315.19</v>
      </c>
      <c r="P24" s="74">
        <v>337.18</v>
      </c>
      <c r="Q24" s="74">
        <v>364.77</v>
      </c>
      <c r="R24" s="74">
        <v>385.74</v>
      </c>
      <c r="S24" s="72">
        <v>407.71</v>
      </c>
      <c r="T24" s="75">
        <v>430.45</v>
      </c>
    </row>
    <row r="25" spans="1:20" x14ac:dyDescent="0.2">
      <c r="A25" s="65" t="s">
        <v>23</v>
      </c>
      <c r="B25" s="73">
        <v>329.53</v>
      </c>
      <c r="C25" s="74">
        <v>349.66</v>
      </c>
      <c r="D25" s="74">
        <v>351.62</v>
      </c>
      <c r="E25" s="74">
        <v>362.05</v>
      </c>
      <c r="F25" s="74">
        <v>390.28</v>
      </c>
      <c r="G25" s="74">
        <v>425.47</v>
      </c>
      <c r="H25" s="74">
        <v>437.68</v>
      </c>
      <c r="I25" s="72">
        <v>455.15</v>
      </c>
      <c r="J25" s="75">
        <v>450.37</v>
      </c>
      <c r="K25" s="72">
        <f t="shared" si="0"/>
        <v>1</v>
      </c>
      <c r="L25" s="73">
        <v>329.53</v>
      </c>
      <c r="M25" s="74">
        <v>349.66</v>
      </c>
      <c r="N25" s="74">
        <v>351.62</v>
      </c>
      <c r="O25" s="74">
        <v>362.05</v>
      </c>
      <c r="P25" s="74">
        <v>390.28</v>
      </c>
      <c r="Q25" s="74">
        <v>425.47</v>
      </c>
      <c r="R25" s="74">
        <v>437.68</v>
      </c>
      <c r="S25" s="72">
        <v>455.15</v>
      </c>
      <c r="T25" s="75">
        <v>450.37</v>
      </c>
    </row>
    <row r="26" spans="1:20" x14ac:dyDescent="0.2">
      <c r="A26" s="65" t="s">
        <v>24</v>
      </c>
      <c r="B26" s="73">
        <v>1024.57</v>
      </c>
      <c r="C26" s="74">
        <v>1098.9100000000001</v>
      </c>
      <c r="D26" s="74">
        <v>1170.6099999999999</v>
      </c>
      <c r="E26" s="74">
        <v>1174.69</v>
      </c>
      <c r="F26" s="74">
        <v>1238.3599999999999</v>
      </c>
      <c r="G26" s="74">
        <v>1349.35</v>
      </c>
      <c r="H26" s="74">
        <v>1376.17</v>
      </c>
      <c r="I26" s="72">
        <v>1426.38</v>
      </c>
      <c r="J26" s="75">
        <v>1480.76</v>
      </c>
      <c r="K26" s="72">
        <f t="shared" si="0"/>
        <v>1</v>
      </c>
      <c r="L26" s="73">
        <v>1024.57</v>
      </c>
      <c r="M26" s="74">
        <v>1098.9100000000001</v>
      </c>
      <c r="N26" s="74">
        <v>1170.6099999999999</v>
      </c>
      <c r="O26" s="74">
        <v>1174.69</v>
      </c>
      <c r="P26" s="74">
        <v>1238.3599999999999</v>
      </c>
      <c r="Q26" s="74">
        <v>1349.35</v>
      </c>
      <c r="R26" s="74">
        <v>1376.17</v>
      </c>
      <c r="S26" s="72">
        <v>1426.38</v>
      </c>
      <c r="T26" s="75">
        <v>1480.76</v>
      </c>
    </row>
    <row r="27" spans="1:20" x14ac:dyDescent="0.2">
      <c r="A27" s="65" t="s">
        <v>25</v>
      </c>
      <c r="B27" s="73">
        <v>2951.26</v>
      </c>
      <c r="C27" s="74">
        <v>3148.49</v>
      </c>
      <c r="D27" s="74">
        <v>3324.42</v>
      </c>
      <c r="E27" s="74">
        <v>3105.42</v>
      </c>
      <c r="F27" s="74">
        <v>3187.99</v>
      </c>
      <c r="G27" s="74">
        <v>3305.08</v>
      </c>
      <c r="H27" s="74">
        <v>3506.4</v>
      </c>
      <c r="I27" s="72">
        <v>3760.64</v>
      </c>
      <c r="J27" s="75">
        <v>3929.53</v>
      </c>
      <c r="K27" s="72">
        <f t="shared" si="0"/>
        <v>1</v>
      </c>
      <c r="L27" s="73">
        <v>2951.26</v>
      </c>
      <c r="M27" s="74">
        <v>3148.49</v>
      </c>
      <c r="N27" s="74">
        <v>3324.42</v>
      </c>
      <c r="O27" s="74">
        <v>3105.42</v>
      </c>
      <c r="P27" s="74">
        <v>3187.99</v>
      </c>
      <c r="Q27" s="74">
        <v>3305.08</v>
      </c>
      <c r="R27" s="74">
        <v>3506.4</v>
      </c>
      <c r="S27" s="72">
        <v>3760.64</v>
      </c>
      <c r="T27" s="75">
        <v>3929.53</v>
      </c>
    </row>
    <row r="28" spans="1:20" x14ac:dyDescent="0.2">
      <c r="A28" s="65" t="s">
        <v>26</v>
      </c>
      <c r="B28" s="73">
        <v>5220.5200000000004</v>
      </c>
      <c r="C28" s="74">
        <v>5704.23</v>
      </c>
      <c r="D28" s="74">
        <v>5795.6</v>
      </c>
      <c r="E28" s="74">
        <v>5332.61</v>
      </c>
      <c r="F28" s="74">
        <v>5281.67</v>
      </c>
      <c r="G28" s="74">
        <v>5583.54</v>
      </c>
      <c r="H28" s="74">
        <v>6142.36</v>
      </c>
      <c r="I28" s="72">
        <v>6459.68</v>
      </c>
      <c r="J28" s="75">
        <v>6785.56</v>
      </c>
      <c r="K28" s="72">
        <f t="shared" si="0"/>
        <v>1</v>
      </c>
      <c r="L28" s="73">
        <v>5220.5199999999995</v>
      </c>
      <c r="M28" s="74">
        <v>5704.23</v>
      </c>
      <c r="N28" s="74">
        <v>5795.6</v>
      </c>
      <c r="O28" s="74">
        <v>5332.61</v>
      </c>
      <c r="P28" s="74">
        <v>5281.67</v>
      </c>
      <c r="Q28" s="74">
        <v>5583.54</v>
      </c>
      <c r="R28" s="74">
        <v>6142.36</v>
      </c>
      <c r="S28" s="72">
        <v>6459.68</v>
      </c>
      <c r="T28" s="75">
        <v>6785.56</v>
      </c>
    </row>
    <row r="29" spans="1:20" x14ac:dyDescent="0.2">
      <c r="A29" s="65" t="s">
        <v>27</v>
      </c>
      <c r="B29" s="73">
        <v>3819.08</v>
      </c>
      <c r="C29" s="74">
        <v>4113.91</v>
      </c>
      <c r="D29" s="74">
        <v>5649.37</v>
      </c>
      <c r="E29" s="74">
        <v>5505.48</v>
      </c>
      <c r="F29" s="74">
        <v>5671.42</v>
      </c>
      <c r="G29" s="74">
        <v>6373.46</v>
      </c>
      <c r="H29" s="74">
        <v>6698.08</v>
      </c>
      <c r="I29" s="72">
        <v>6673.67</v>
      </c>
      <c r="J29" s="75">
        <v>7132.92</v>
      </c>
      <c r="K29" s="72">
        <f t="shared" si="0"/>
        <v>1</v>
      </c>
      <c r="L29" s="73">
        <v>3819.08</v>
      </c>
      <c r="M29" s="74">
        <v>4113.91</v>
      </c>
      <c r="N29" s="74">
        <v>5649.37</v>
      </c>
      <c r="O29" s="74">
        <v>5505.48</v>
      </c>
      <c r="P29" s="74">
        <v>5671.42</v>
      </c>
      <c r="Q29" s="74">
        <v>6373.46</v>
      </c>
      <c r="R29" s="74">
        <v>6698.08</v>
      </c>
      <c r="S29" s="72">
        <v>6673.67</v>
      </c>
      <c r="T29" s="75">
        <v>7132.92</v>
      </c>
    </row>
    <row r="30" spans="1:20" x14ac:dyDescent="0.2">
      <c r="A30" s="65" t="s">
        <v>28</v>
      </c>
      <c r="B30" s="73">
        <v>1037.58</v>
      </c>
      <c r="C30" s="74">
        <v>1213.22</v>
      </c>
      <c r="D30" s="74">
        <v>1302.5999999999999</v>
      </c>
      <c r="E30" s="74">
        <v>1264.19</v>
      </c>
      <c r="F30" s="74">
        <v>1370.68</v>
      </c>
      <c r="G30" s="74">
        <v>1848.37</v>
      </c>
      <c r="H30" s="74">
        <v>1623.17</v>
      </c>
      <c r="I30" s="72">
        <v>1672.84</v>
      </c>
      <c r="J30" s="75">
        <v>1551.86</v>
      </c>
      <c r="K30" s="72">
        <f t="shared" si="0"/>
        <v>1.0000004387139068</v>
      </c>
      <c r="L30" s="73">
        <v>1037.5787662273312</v>
      </c>
      <c r="M30" s="74">
        <v>1213.2155811614309</v>
      </c>
      <c r="N30" s="74">
        <v>1302.5999999999999</v>
      </c>
      <c r="O30" s="74">
        <v>1264.19</v>
      </c>
      <c r="P30" s="74">
        <v>1370.68</v>
      </c>
      <c r="Q30" s="74">
        <v>1848.37</v>
      </c>
      <c r="R30" s="74">
        <v>1623.17</v>
      </c>
      <c r="S30" s="72">
        <v>1672.84</v>
      </c>
      <c r="T30" s="75">
        <v>1551.86</v>
      </c>
    </row>
    <row r="31" spans="1:20" x14ac:dyDescent="0.2">
      <c r="A31" s="65" t="s">
        <v>29</v>
      </c>
      <c r="B31" s="73">
        <v>699.9</v>
      </c>
      <c r="C31" s="74">
        <v>746.09</v>
      </c>
      <c r="D31" s="74">
        <v>791.9</v>
      </c>
      <c r="E31" s="74">
        <v>774.4</v>
      </c>
      <c r="F31" s="74">
        <v>828.61</v>
      </c>
      <c r="G31" s="74">
        <v>913.95</v>
      </c>
      <c r="H31" s="74">
        <v>993.56</v>
      </c>
      <c r="I31" s="72">
        <v>1007.43</v>
      </c>
      <c r="J31" s="75">
        <v>1077.47</v>
      </c>
      <c r="K31" s="72">
        <f t="shared" si="0"/>
        <v>1.000000777915129</v>
      </c>
      <c r="L31" s="73">
        <v>699.89540481818949</v>
      </c>
      <c r="M31" s="74">
        <v>746.08850153619005</v>
      </c>
      <c r="N31" s="74">
        <v>791.9</v>
      </c>
      <c r="O31" s="74">
        <v>774.4</v>
      </c>
      <c r="P31" s="74">
        <v>828.61</v>
      </c>
      <c r="Q31" s="74">
        <v>913.95</v>
      </c>
      <c r="R31" s="74">
        <v>993.56</v>
      </c>
      <c r="S31" s="72">
        <v>1007.43</v>
      </c>
      <c r="T31" s="75">
        <v>1077.47</v>
      </c>
    </row>
    <row r="32" spans="1:20" x14ac:dyDescent="0.2">
      <c r="A32" s="65" t="s">
        <v>30</v>
      </c>
      <c r="B32" s="73">
        <v>388.42</v>
      </c>
      <c r="C32" s="74">
        <v>409.24</v>
      </c>
      <c r="D32" s="74">
        <v>442.83</v>
      </c>
      <c r="E32" s="74">
        <v>430.99</v>
      </c>
      <c r="F32" s="74">
        <v>418.15</v>
      </c>
      <c r="G32" s="74">
        <v>423.87</v>
      </c>
      <c r="H32" s="74">
        <v>450.83</v>
      </c>
      <c r="I32" s="72">
        <v>499.42</v>
      </c>
      <c r="J32" s="75">
        <v>498.54</v>
      </c>
      <c r="K32" s="72">
        <f t="shared" si="0"/>
        <v>1</v>
      </c>
      <c r="L32" s="73">
        <v>388.42</v>
      </c>
      <c r="M32" s="74">
        <v>409.24</v>
      </c>
      <c r="N32" s="74">
        <v>442.83</v>
      </c>
      <c r="O32" s="74">
        <v>430.99</v>
      </c>
      <c r="P32" s="74">
        <v>418.15</v>
      </c>
      <c r="Q32" s="74">
        <v>423.87</v>
      </c>
      <c r="R32" s="74">
        <v>450.83</v>
      </c>
      <c r="S32" s="72">
        <v>499.42</v>
      </c>
      <c r="T32" s="75">
        <v>498.54</v>
      </c>
    </row>
    <row r="33" spans="1:22" x14ac:dyDescent="0.2">
      <c r="A33" s="65" t="s">
        <v>31</v>
      </c>
      <c r="B33" s="73">
        <v>586.63</v>
      </c>
      <c r="C33" s="74">
        <v>673.68</v>
      </c>
      <c r="D33" s="74">
        <v>731.32</v>
      </c>
      <c r="E33" s="74">
        <v>769.06</v>
      </c>
      <c r="F33" s="74">
        <v>834.7</v>
      </c>
      <c r="G33" s="74">
        <v>885.42</v>
      </c>
      <c r="H33" s="74">
        <v>1006.19</v>
      </c>
      <c r="I33" s="72">
        <v>1031.4100000000001</v>
      </c>
      <c r="J33" s="75">
        <v>1182.79</v>
      </c>
      <c r="K33" s="72">
        <f t="shared" si="0"/>
        <v>1</v>
      </c>
      <c r="L33" s="73">
        <v>586.63</v>
      </c>
      <c r="M33" s="74">
        <v>673.68</v>
      </c>
      <c r="N33" s="74">
        <v>731.32</v>
      </c>
      <c r="O33" s="74">
        <v>769.06</v>
      </c>
      <c r="P33" s="74">
        <v>834.7</v>
      </c>
      <c r="Q33" s="74">
        <v>885.42</v>
      </c>
      <c r="R33" s="74">
        <v>1006.19</v>
      </c>
      <c r="S33" s="72">
        <v>1031.4100000000001</v>
      </c>
      <c r="T33" s="75">
        <v>1182.79</v>
      </c>
    </row>
    <row r="34" spans="1:22" x14ac:dyDescent="0.2">
      <c r="A34" s="65" t="s">
        <v>32</v>
      </c>
      <c r="B34" s="73">
        <v>232.15</v>
      </c>
      <c r="C34" s="74">
        <v>211.15</v>
      </c>
      <c r="D34" s="74">
        <v>180.54</v>
      </c>
      <c r="E34" s="74">
        <v>182.75</v>
      </c>
      <c r="F34" s="74">
        <v>174.68</v>
      </c>
      <c r="G34" s="74">
        <v>174.51</v>
      </c>
      <c r="H34" s="74">
        <v>166.83</v>
      </c>
      <c r="I34" s="72">
        <v>166.18</v>
      </c>
      <c r="J34" s="75">
        <v>159.76</v>
      </c>
      <c r="K34" s="72">
        <f t="shared" si="0"/>
        <v>1</v>
      </c>
      <c r="L34" s="73">
        <v>232.15</v>
      </c>
      <c r="M34" s="74">
        <v>211.15</v>
      </c>
      <c r="N34" s="74">
        <v>180.54</v>
      </c>
      <c r="O34" s="74">
        <v>182.75</v>
      </c>
      <c r="P34" s="74">
        <v>174.68</v>
      </c>
      <c r="Q34" s="74">
        <v>174.51</v>
      </c>
      <c r="R34" s="74">
        <v>166.83</v>
      </c>
      <c r="S34" s="72">
        <v>166.18</v>
      </c>
      <c r="T34" s="75">
        <v>159.76</v>
      </c>
    </row>
    <row r="35" spans="1:22" x14ac:dyDescent="0.2">
      <c r="A35" s="65" t="s">
        <v>33</v>
      </c>
      <c r="B35" s="73">
        <v>613.64</v>
      </c>
      <c r="C35" s="74">
        <v>650.46</v>
      </c>
      <c r="D35" s="74">
        <v>684.6</v>
      </c>
      <c r="E35" s="74">
        <v>706.17</v>
      </c>
      <c r="F35" s="74">
        <v>736.53</v>
      </c>
      <c r="G35" s="74">
        <v>745.59</v>
      </c>
      <c r="H35" s="74">
        <v>802.04</v>
      </c>
      <c r="I35" s="72">
        <v>859.31</v>
      </c>
      <c r="J35" s="75">
        <v>942.86</v>
      </c>
      <c r="K35" s="72">
        <f t="shared" si="0"/>
        <v>1.0000011748256232</v>
      </c>
      <c r="L35" s="73">
        <v>613.63693217223931</v>
      </c>
      <c r="M35" s="74">
        <v>650.45514810257373</v>
      </c>
      <c r="N35" s="74">
        <v>684.6</v>
      </c>
      <c r="O35" s="74">
        <v>706.17</v>
      </c>
      <c r="P35" s="74">
        <v>736.53</v>
      </c>
      <c r="Q35" s="74">
        <v>745.59</v>
      </c>
      <c r="R35" s="74">
        <v>802.04</v>
      </c>
      <c r="S35" s="72">
        <v>859.31</v>
      </c>
      <c r="T35" s="75">
        <v>942.86</v>
      </c>
    </row>
    <row r="36" spans="1:22" x14ac:dyDescent="0.2">
      <c r="A36" s="65" t="s">
        <v>34</v>
      </c>
      <c r="B36" s="73">
        <v>765.87</v>
      </c>
      <c r="C36" s="74">
        <v>808.76</v>
      </c>
      <c r="D36" s="74">
        <v>870.71</v>
      </c>
      <c r="E36" s="74">
        <v>938.62</v>
      </c>
      <c r="F36" s="74">
        <v>1004.23</v>
      </c>
      <c r="G36" s="74">
        <v>1106.77</v>
      </c>
      <c r="H36" s="74">
        <v>1391.21</v>
      </c>
      <c r="I36" s="72">
        <v>1500.45</v>
      </c>
      <c r="J36" s="75">
        <v>1570.61</v>
      </c>
      <c r="K36" s="72">
        <f t="shared" si="0"/>
        <v>1.0000001841495032</v>
      </c>
      <c r="L36" s="73">
        <v>765.86973073024319</v>
      </c>
      <c r="M36" s="74">
        <v>808.75843565113689</v>
      </c>
      <c r="N36" s="74">
        <v>870.71</v>
      </c>
      <c r="O36" s="74">
        <v>938.62</v>
      </c>
      <c r="P36" s="74">
        <v>1004.23</v>
      </c>
      <c r="Q36" s="74">
        <v>1106.77</v>
      </c>
      <c r="R36" s="74">
        <v>1391.21</v>
      </c>
      <c r="S36" s="72">
        <v>1500.45</v>
      </c>
      <c r="T36" s="75">
        <v>1570.61</v>
      </c>
    </row>
    <row r="37" spans="1:22" x14ac:dyDescent="0.2">
      <c r="A37" s="65" t="s">
        <v>35</v>
      </c>
      <c r="B37" s="73">
        <v>81.14</v>
      </c>
      <c r="C37" s="74">
        <v>83.41</v>
      </c>
      <c r="D37" s="74">
        <v>84.71</v>
      </c>
      <c r="E37" s="74">
        <v>87.4</v>
      </c>
      <c r="F37" s="74">
        <v>86.41</v>
      </c>
      <c r="G37" s="74">
        <v>88.69</v>
      </c>
      <c r="H37" s="74">
        <v>83.37</v>
      </c>
      <c r="I37" s="72">
        <v>74.53</v>
      </c>
      <c r="J37" s="75">
        <v>77.23</v>
      </c>
      <c r="K37" s="72">
        <f t="shared" si="0"/>
        <v>1</v>
      </c>
      <c r="L37" s="73">
        <v>81.14</v>
      </c>
      <c r="M37" s="74">
        <v>83.41</v>
      </c>
      <c r="N37" s="74">
        <v>84.71</v>
      </c>
      <c r="O37" s="74">
        <v>87.4</v>
      </c>
      <c r="P37" s="74">
        <v>86.41</v>
      </c>
      <c r="Q37" s="74">
        <v>88.69</v>
      </c>
      <c r="R37" s="74">
        <v>83.37</v>
      </c>
      <c r="S37" s="72">
        <v>74.53</v>
      </c>
      <c r="T37" s="75">
        <v>77.23</v>
      </c>
    </row>
    <row r="38" spans="1:22" x14ac:dyDescent="0.2">
      <c r="A38" s="65" t="s">
        <v>36</v>
      </c>
      <c r="B38" s="73">
        <v>437.98</v>
      </c>
      <c r="C38" s="74">
        <v>416.24</v>
      </c>
      <c r="D38" s="74">
        <v>440.69</v>
      </c>
      <c r="E38" s="74">
        <v>455.89</v>
      </c>
      <c r="F38" s="74">
        <v>478.78</v>
      </c>
      <c r="G38" s="74">
        <v>482.13</v>
      </c>
      <c r="H38" s="74">
        <v>519.01</v>
      </c>
      <c r="I38" s="72">
        <v>578.41</v>
      </c>
      <c r="J38" s="75">
        <v>600.70000000000005</v>
      </c>
      <c r="K38" s="72">
        <f t="shared" si="0"/>
        <v>1</v>
      </c>
      <c r="L38" s="73">
        <v>437.98</v>
      </c>
      <c r="M38" s="74">
        <v>416.24</v>
      </c>
      <c r="N38" s="74">
        <v>440.69</v>
      </c>
      <c r="O38" s="74">
        <v>455.89</v>
      </c>
      <c r="P38" s="74">
        <v>478.78</v>
      </c>
      <c r="Q38" s="74">
        <v>482.13</v>
      </c>
      <c r="R38" s="74">
        <v>519.01</v>
      </c>
      <c r="S38" s="72">
        <v>578.41</v>
      </c>
      <c r="T38" s="75">
        <v>600.70000000000005</v>
      </c>
    </row>
    <row r="39" spans="1:22" x14ac:dyDescent="0.2">
      <c r="A39" s="65" t="s">
        <v>37</v>
      </c>
      <c r="B39" s="73">
        <v>20.27</v>
      </c>
      <c r="C39" s="74">
        <v>23.51</v>
      </c>
      <c r="D39" s="74">
        <v>29.76</v>
      </c>
      <c r="E39" s="74">
        <v>29.88</v>
      </c>
      <c r="F39" s="74">
        <v>39.35</v>
      </c>
      <c r="G39" s="74">
        <v>37.15</v>
      </c>
      <c r="H39" s="74">
        <v>47.74</v>
      </c>
      <c r="I39" s="72">
        <v>57.94</v>
      </c>
      <c r="J39" s="75">
        <v>67.099999999999994</v>
      </c>
      <c r="K39" s="72">
        <f t="shared" si="0"/>
        <v>1.000020376426997</v>
      </c>
      <c r="L39" s="73">
        <v>20.265191379923994</v>
      </c>
      <c r="M39" s="74">
        <v>23.50762200071183</v>
      </c>
      <c r="N39" s="74">
        <v>29.76</v>
      </c>
      <c r="O39" s="74">
        <v>29.88</v>
      </c>
      <c r="P39" s="74">
        <v>39.35</v>
      </c>
      <c r="Q39" s="74">
        <v>37.15</v>
      </c>
      <c r="R39" s="74">
        <v>47.74</v>
      </c>
      <c r="S39" s="72">
        <v>57.94</v>
      </c>
      <c r="T39" s="75">
        <v>67.099999999999994</v>
      </c>
    </row>
    <row r="40" spans="1:22" x14ac:dyDescent="0.2">
      <c r="A40" s="65" t="s">
        <v>38</v>
      </c>
      <c r="B40" s="73">
        <v>13.23</v>
      </c>
      <c r="C40" s="74">
        <v>12.2</v>
      </c>
      <c r="D40" s="74">
        <v>10.61</v>
      </c>
      <c r="E40" s="74">
        <v>9.7899999999999991</v>
      </c>
      <c r="F40" s="74">
        <v>10.48</v>
      </c>
      <c r="G40" s="74">
        <v>14.71</v>
      </c>
      <c r="H40" s="74">
        <v>17.7</v>
      </c>
      <c r="I40" s="72">
        <v>16.559999999999999</v>
      </c>
      <c r="J40" s="75">
        <v>14.84</v>
      </c>
      <c r="K40" s="72">
        <f t="shared" si="0"/>
        <v>1</v>
      </c>
      <c r="L40" s="73">
        <v>13.23</v>
      </c>
      <c r="M40" s="74">
        <v>12.2</v>
      </c>
      <c r="N40" s="74">
        <v>10.61</v>
      </c>
      <c r="O40" s="74">
        <v>9.7899999999999991</v>
      </c>
      <c r="P40" s="74">
        <v>10.48</v>
      </c>
      <c r="Q40" s="74">
        <v>14.71</v>
      </c>
      <c r="R40" s="74">
        <v>17.7</v>
      </c>
      <c r="S40" s="72">
        <v>16.559999999999999</v>
      </c>
      <c r="T40" s="75">
        <v>14.84</v>
      </c>
    </row>
    <row r="41" spans="1:22" x14ac:dyDescent="0.2">
      <c r="A41" s="65" t="s">
        <v>39</v>
      </c>
      <c r="B41" s="73">
        <v>6566.61</v>
      </c>
      <c r="C41" s="74">
        <v>7183.5</v>
      </c>
      <c r="D41" s="74">
        <v>7486.67</v>
      </c>
      <c r="E41" s="74">
        <v>7434.6</v>
      </c>
      <c r="F41" s="74">
        <v>7977.42</v>
      </c>
      <c r="G41" s="74">
        <v>8292.15</v>
      </c>
      <c r="H41" s="74">
        <v>8886.9500000000007</v>
      </c>
      <c r="I41" s="72">
        <v>9033.23</v>
      </c>
      <c r="J41" s="75">
        <v>9119.51</v>
      </c>
      <c r="K41" s="72">
        <f t="shared" si="0"/>
        <v>1.6478341063830222</v>
      </c>
      <c r="L41" s="73">
        <v>3670.45</v>
      </c>
      <c r="M41" s="74">
        <v>4042.79</v>
      </c>
      <c r="N41" s="74">
        <v>4386.79</v>
      </c>
      <c r="O41" s="74">
        <v>4446.74</v>
      </c>
      <c r="P41" s="74">
        <v>4914.49</v>
      </c>
      <c r="Q41" s="74">
        <v>5096.33</v>
      </c>
      <c r="R41" s="74">
        <v>5535.23</v>
      </c>
      <c r="S41" s="72">
        <v>5703.13</v>
      </c>
      <c r="T41" s="75">
        <v>5886.02</v>
      </c>
      <c r="V41" t="s">
        <v>192</v>
      </c>
    </row>
    <row r="42" spans="1:22" x14ac:dyDescent="0.2">
      <c r="A42" s="65" t="s">
        <v>40</v>
      </c>
      <c r="B42" s="73">
        <v>108.9</v>
      </c>
      <c r="C42" s="74">
        <v>131.24</v>
      </c>
      <c r="D42" s="74">
        <v>138.79</v>
      </c>
      <c r="E42" s="74">
        <v>148.37</v>
      </c>
      <c r="F42" s="74">
        <v>156.75</v>
      </c>
      <c r="G42" s="74">
        <v>182.68</v>
      </c>
      <c r="H42" s="74">
        <v>173.62</v>
      </c>
      <c r="I42" s="72">
        <v>185.85</v>
      </c>
      <c r="J42" s="75">
        <v>169.53</v>
      </c>
      <c r="K42" s="72">
        <f t="shared" si="0"/>
        <v>1</v>
      </c>
      <c r="L42" s="73">
        <v>108.9</v>
      </c>
      <c r="M42" s="74">
        <v>131.24</v>
      </c>
      <c r="N42" s="74">
        <v>138.79</v>
      </c>
      <c r="O42" s="74">
        <v>148.37</v>
      </c>
      <c r="P42" s="74">
        <v>156.75</v>
      </c>
      <c r="Q42" s="74">
        <v>182.68</v>
      </c>
      <c r="R42" s="74">
        <v>173.62</v>
      </c>
      <c r="S42" s="72">
        <v>185.85</v>
      </c>
      <c r="T42" s="75">
        <v>169.53</v>
      </c>
    </row>
    <row r="43" spans="1:22" x14ac:dyDescent="0.2">
      <c r="A43" s="65" t="s">
        <v>41</v>
      </c>
      <c r="B43" s="76">
        <v>342.33</v>
      </c>
      <c r="C43" s="77">
        <v>361.97</v>
      </c>
      <c r="D43" s="77">
        <v>387.47</v>
      </c>
      <c r="E43" s="77">
        <v>411.26</v>
      </c>
      <c r="F43" s="77">
        <v>439.89</v>
      </c>
      <c r="G43" s="77">
        <v>486.77</v>
      </c>
      <c r="H43" s="77">
        <v>521.48</v>
      </c>
      <c r="I43" s="78">
        <v>593.76</v>
      </c>
      <c r="J43" s="79">
        <v>645.04999999999995</v>
      </c>
      <c r="K43" s="72">
        <f t="shared" si="0"/>
        <v>1</v>
      </c>
      <c r="L43" s="76">
        <v>342.33</v>
      </c>
      <c r="M43" s="77">
        <v>361.97</v>
      </c>
      <c r="N43" s="77">
        <v>387.47</v>
      </c>
      <c r="O43" s="77">
        <v>411.26</v>
      </c>
      <c r="P43" s="77">
        <v>439.89</v>
      </c>
      <c r="Q43" s="77">
        <v>486.77</v>
      </c>
      <c r="R43" s="77">
        <v>521.48</v>
      </c>
      <c r="S43" s="78">
        <v>593.76</v>
      </c>
      <c r="T43" s="79">
        <v>645.04999999999995</v>
      </c>
    </row>
    <row r="44" spans="1:22" x14ac:dyDescent="0.2">
      <c r="A44" s="47" t="s">
        <v>191</v>
      </c>
      <c r="B44" s="66"/>
      <c r="C44" s="66"/>
      <c r="D44" s="66"/>
      <c r="E44" s="66"/>
      <c r="F44" s="66"/>
      <c r="G44" s="66"/>
      <c r="H44" s="66"/>
      <c r="I44" s="66"/>
      <c r="J44" s="67"/>
      <c r="K44" s="50"/>
      <c r="L44" s="62"/>
      <c r="M44" s="63"/>
      <c r="N44" s="63"/>
      <c r="O44" s="63"/>
      <c r="P44" s="63"/>
      <c r="Q44" s="63"/>
      <c r="R44" s="63"/>
      <c r="S44" s="63"/>
      <c r="T44" s="64"/>
    </row>
    <row r="45" spans="1:22" x14ac:dyDescent="0.2">
      <c r="A45" s="82" t="s">
        <v>195</v>
      </c>
      <c r="L45" s="42"/>
      <c r="M45" s="42"/>
      <c r="N45" s="42"/>
      <c r="O45" s="42"/>
      <c r="P45" s="42"/>
      <c r="Q45" s="42"/>
      <c r="R45" s="42"/>
      <c r="S45" s="42"/>
      <c r="T45" s="42"/>
    </row>
    <row r="46" spans="1:22" x14ac:dyDescent="0.2">
      <c r="A46" s="6" t="s">
        <v>194</v>
      </c>
      <c r="B46" s="4">
        <v>2012</v>
      </c>
      <c r="C46" s="4">
        <v>2013</v>
      </c>
      <c r="D46" s="4">
        <v>2014</v>
      </c>
      <c r="E46" s="4">
        <v>2015</v>
      </c>
      <c r="F46" s="4">
        <v>2016</v>
      </c>
      <c r="G46" s="4">
        <v>2017</v>
      </c>
      <c r="H46" s="4">
        <v>2018</v>
      </c>
      <c r="I46" s="34">
        <v>2019</v>
      </c>
      <c r="J46" s="35">
        <v>2020</v>
      </c>
    </row>
    <row r="47" spans="1:22" x14ac:dyDescent="0.2">
      <c r="A47" s="51" t="s">
        <v>140</v>
      </c>
      <c r="B47" s="55">
        <v>49767.7</v>
      </c>
      <c r="C47" s="36">
        <v>54204.1</v>
      </c>
      <c r="D47" s="36">
        <v>57830.5</v>
      </c>
      <c r="E47" s="36">
        <v>58021.3</v>
      </c>
      <c r="F47" s="36">
        <v>61204.4</v>
      </c>
      <c r="G47" s="36">
        <v>65914</v>
      </c>
      <c r="H47" s="36">
        <v>71509.2</v>
      </c>
      <c r="I47" s="43">
        <v>74866.3</v>
      </c>
      <c r="J47" s="44">
        <v>77620.2</v>
      </c>
    </row>
    <row r="48" spans="1:22" x14ac:dyDescent="0.2">
      <c r="A48" s="52" t="s">
        <v>141</v>
      </c>
      <c r="B48" s="56">
        <v>49875.5</v>
      </c>
      <c r="C48" s="3">
        <v>54316.4</v>
      </c>
      <c r="D48" s="3">
        <v>57944.6</v>
      </c>
      <c r="E48" s="3">
        <v>58145.7</v>
      </c>
      <c r="F48" s="3">
        <v>61331.6</v>
      </c>
      <c r="G48" s="3">
        <v>66044.5</v>
      </c>
      <c r="H48" s="3">
        <v>71661.3</v>
      </c>
      <c r="I48" s="31">
        <v>75034.3</v>
      </c>
      <c r="J48" s="45">
        <v>77790.600000000006</v>
      </c>
    </row>
    <row r="49" spans="1:10" x14ac:dyDescent="0.2">
      <c r="A49" s="52" t="s">
        <v>181</v>
      </c>
      <c r="B49" s="56">
        <v>8721.1</v>
      </c>
      <c r="C49" s="3">
        <v>9202.9</v>
      </c>
      <c r="D49" s="3">
        <v>10728.8</v>
      </c>
      <c r="E49" s="3">
        <v>11302.7</v>
      </c>
      <c r="F49" s="3">
        <v>11840.5</v>
      </c>
      <c r="G49" s="3">
        <v>11978.7</v>
      </c>
      <c r="H49" s="3">
        <v>12317.9</v>
      </c>
      <c r="I49" s="31">
        <v>13044.4</v>
      </c>
      <c r="J49" s="45">
        <v>13552.1</v>
      </c>
    </row>
    <row r="50" spans="1:10" x14ac:dyDescent="0.2">
      <c r="A50" s="52" t="s">
        <v>182</v>
      </c>
      <c r="B50" s="56">
        <v>38928.1</v>
      </c>
      <c r="C50" s="3">
        <v>42470.1</v>
      </c>
      <c r="D50" s="3">
        <v>44001.1</v>
      </c>
      <c r="E50" s="3">
        <v>42841.9</v>
      </c>
      <c r="F50" s="3">
        <v>44370.7</v>
      </c>
      <c r="G50" s="3">
        <v>47546</v>
      </c>
      <c r="H50" s="3">
        <v>50963.199999999997</v>
      </c>
      <c r="I50" s="31">
        <v>52201.5</v>
      </c>
      <c r="J50" s="45">
        <v>53302.5</v>
      </c>
    </row>
    <row r="51" spans="1:10" x14ac:dyDescent="0.2">
      <c r="A51" s="52" t="s">
        <v>183</v>
      </c>
      <c r="B51" s="56">
        <v>973.9</v>
      </c>
      <c r="C51" s="3">
        <v>1116.0999999999999</v>
      </c>
      <c r="D51" s="3">
        <v>1325.4</v>
      </c>
      <c r="E51" s="3">
        <v>1707.9</v>
      </c>
      <c r="F51" s="3">
        <v>2132.9</v>
      </c>
      <c r="G51" s="3">
        <v>2480.6999999999998</v>
      </c>
      <c r="H51" s="3">
        <v>2943.6</v>
      </c>
      <c r="I51" s="31">
        <v>3483.5</v>
      </c>
      <c r="J51" s="45">
        <v>3662.5</v>
      </c>
    </row>
    <row r="52" spans="1:10" x14ac:dyDescent="0.2">
      <c r="A52" s="52" t="s">
        <v>184</v>
      </c>
      <c r="B52" s="56">
        <v>959.8</v>
      </c>
      <c r="C52" s="3">
        <v>1412</v>
      </c>
      <c r="D52" s="3">
        <v>1599.8</v>
      </c>
      <c r="E52" s="3">
        <v>1857.7</v>
      </c>
      <c r="F52" s="3">
        <v>2370.6999999999998</v>
      </c>
      <c r="G52" s="3">
        <v>2972.3</v>
      </c>
      <c r="H52" s="3">
        <v>3659.7</v>
      </c>
      <c r="I52" s="31">
        <v>4060.3</v>
      </c>
      <c r="J52" s="45">
        <v>4664.7</v>
      </c>
    </row>
    <row r="53" spans="1:10" x14ac:dyDescent="0.2">
      <c r="A53" s="52" t="s">
        <v>120</v>
      </c>
      <c r="B53" s="56">
        <v>68.7</v>
      </c>
      <c r="C53" s="3">
        <v>74.400000000000006</v>
      </c>
      <c r="D53" s="3">
        <v>67.5</v>
      </c>
      <c r="E53" s="3">
        <v>62.1</v>
      </c>
      <c r="F53" s="3">
        <v>61.9</v>
      </c>
      <c r="G53" s="3">
        <v>64.2</v>
      </c>
      <c r="H53" s="3">
        <v>56.9</v>
      </c>
      <c r="I53" s="31">
        <v>48.6</v>
      </c>
      <c r="J53" s="45">
        <v>47.5</v>
      </c>
    </row>
    <row r="54" spans="1:10" x14ac:dyDescent="0.2">
      <c r="A54" s="52" t="s">
        <v>121</v>
      </c>
      <c r="B54" s="56">
        <v>176.5</v>
      </c>
      <c r="C54" s="3">
        <v>186.7</v>
      </c>
      <c r="D54" s="3">
        <v>181.6</v>
      </c>
      <c r="E54" s="3">
        <v>186.5</v>
      </c>
      <c r="F54" s="3">
        <v>189.1</v>
      </c>
      <c r="G54" s="3">
        <v>194.7</v>
      </c>
      <c r="H54" s="3">
        <v>209.1</v>
      </c>
      <c r="I54" s="31">
        <v>216.5</v>
      </c>
      <c r="J54" s="45">
        <v>217.9</v>
      </c>
    </row>
    <row r="55" spans="1:10" x14ac:dyDescent="0.2">
      <c r="A55" s="53" t="s">
        <v>142</v>
      </c>
      <c r="B55" s="56">
        <v>49762.6</v>
      </c>
      <c r="C55" s="3">
        <v>54203.4</v>
      </c>
      <c r="D55" s="3">
        <v>57829.7</v>
      </c>
      <c r="E55" s="3">
        <v>58020</v>
      </c>
      <c r="F55" s="3">
        <v>61205.1</v>
      </c>
      <c r="G55" s="3">
        <v>65914</v>
      </c>
      <c r="H55" s="3">
        <v>71508.2</v>
      </c>
      <c r="I55" s="31">
        <v>74866.100000000006</v>
      </c>
      <c r="J55" s="45">
        <v>77620.2</v>
      </c>
    </row>
    <row r="56" spans="1:10" x14ac:dyDescent="0.2">
      <c r="A56" s="52" t="s">
        <v>143</v>
      </c>
      <c r="B56" s="57"/>
      <c r="C56" s="2"/>
      <c r="D56" s="2"/>
      <c r="E56" s="2"/>
      <c r="F56" s="2"/>
      <c r="G56" s="2"/>
      <c r="H56" s="2"/>
      <c r="I56" s="32"/>
      <c r="J56" s="58"/>
    </row>
    <row r="57" spans="1:10" x14ac:dyDescent="0.2">
      <c r="A57" s="52" t="s">
        <v>170</v>
      </c>
      <c r="B57" s="56">
        <v>1012.6</v>
      </c>
      <c r="C57" s="3">
        <v>1026.9000000000001</v>
      </c>
      <c r="D57" s="3">
        <v>1013.4</v>
      </c>
      <c r="E57" s="3">
        <v>1039.8</v>
      </c>
      <c r="F57" s="3">
        <v>1091.9000000000001</v>
      </c>
      <c r="G57" s="3">
        <v>1175.0999999999999</v>
      </c>
      <c r="H57" s="3">
        <v>1242.5</v>
      </c>
      <c r="I57" s="31">
        <v>1336.2</v>
      </c>
      <c r="J57" s="45">
        <v>1422.1</v>
      </c>
    </row>
    <row r="58" spans="1:10" x14ac:dyDescent="0.2">
      <c r="A58" s="52" t="s">
        <v>171</v>
      </c>
      <c r="B58" s="56">
        <v>36232.199999999997</v>
      </c>
      <c r="C58" s="3">
        <v>39236.9</v>
      </c>
      <c r="D58" s="3">
        <v>42248.7</v>
      </c>
      <c r="E58" s="3">
        <v>41550</v>
      </c>
      <c r="F58" s="3">
        <v>42996.9</v>
      </c>
      <c r="G58" s="3">
        <v>46052.800000000003</v>
      </c>
      <c r="H58" s="3">
        <v>49094.9</v>
      </c>
      <c r="I58" s="31">
        <v>50698.3</v>
      </c>
      <c r="J58" s="45">
        <v>52353.4</v>
      </c>
    </row>
    <row r="59" spans="1:10" x14ac:dyDescent="0.2">
      <c r="A59" s="52" t="s">
        <v>172</v>
      </c>
      <c r="B59" s="56">
        <v>608.4</v>
      </c>
      <c r="C59" s="3">
        <v>675.1</v>
      </c>
      <c r="D59" s="3">
        <v>721.7</v>
      </c>
      <c r="E59" s="3">
        <v>698.7</v>
      </c>
      <c r="F59" s="3">
        <v>725.6</v>
      </c>
      <c r="G59" s="3">
        <v>789.2</v>
      </c>
      <c r="H59" s="3">
        <v>887.8</v>
      </c>
      <c r="I59" s="31">
        <v>991.2</v>
      </c>
      <c r="J59" s="45">
        <v>1011.1</v>
      </c>
    </row>
    <row r="60" spans="1:10" x14ac:dyDescent="0.2">
      <c r="A60" s="52" t="s">
        <v>173</v>
      </c>
      <c r="B60" s="56">
        <v>915.4</v>
      </c>
      <c r="C60" s="3">
        <v>1000.9</v>
      </c>
      <c r="D60" s="3">
        <v>1059.2</v>
      </c>
      <c r="E60" s="3">
        <v>1125.5999999999999</v>
      </c>
      <c r="F60" s="3">
        <v>1251.5</v>
      </c>
      <c r="G60" s="3">
        <v>1418</v>
      </c>
      <c r="H60" s="3">
        <v>1608.5</v>
      </c>
      <c r="I60" s="31">
        <v>1752.3</v>
      </c>
      <c r="J60" s="45">
        <v>1751</v>
      </c>
    </row>
    <row r="61" spans="1:10" x14ac:dyDescent="0.2">
      <c r="A61" s="52" t="s">
        <v>174</v>
      </c>
      <c r="B61" s="56">
        <v>1691.5</v>
      </c>
      <c r="C61" s="3">
        <v>1876.9</v>
      </c>
      <c r="D61" s="3">
        <v>1995.6</v>
      </c>
      <c r="E61" s="3">
        <v>2122</v>
      </c>
      <c r="F61" s="3">
        <v>2323.8000000000002</v>
      </c>
      <c r="G61" s="3">
        <v>2526.6</v>
      </c>
      <c r="H61" s="3">
        <v>2900.4</v>
      </c>
      <c r="I61" s="31">
        <v>3187.1</v>
      </c>
      <c r="J61" s="45">
        <v>3169</v>
      </c>
    </row>
    <row r="62" spans="1:10" x14ac:dyDescent="0.2">
      <c r="A62" s="52" t="s">
        <v>175</v>
      </c>
      <c r="B62" s="56">
        <v>3083.6</v>
      </c>
      <c r="C62" s="3">
        <v>3397.6</v>
      </c>
      <c r="D62" s="3">
        <v>3615</v>
      </c>
      <c r="E62" s="3">
        <v>3918.6</v>
      </c>
      <c r="F62" s="3">
        <v>4394.8</v>
      </c>
      <c r="G62" s="3">
        <v>4880.6000000000004</v>
      </c>
      <c r="H62" s="3">
        <v>5716.5</v>
      </c>
      <c r="I62" s="31">
        <v>6263.8</v>
      </c>
      <c r="J62" s="45">
        <v>6517</v>
      </c>
    </row>
    <row r="63" spans="1:10" x14ac:dyDescent="0.2">
      <c r="A63" s="52" t="s">
        <v>176</v>
      </c>
      <c r="B63" s="56">
        <v>6219</v>
      </c>
      <c r="C63" s="3">
        <v>6989.2</v>
      </c>
      <c r="D63" s="3">
        <v>7176.1</v>
      </c>
      <c r="E63" s="3">
        <v>7565.2</v>
      </c>
      <c r="F63" s="3">
        <v>8420.6</v>
      </c>
      <c r="G63" s="3">
        <v>9071.6</v>
      </c>
      <c r="H63" s="3">
        <v>10057.6</v>
      </c>
      <c r="I63" s="31">
        <v>10637.2</v>
      </c>
      <c r="J63" s="45">
        <v>11396.5</v>
      </c>
    </row>
    <row r="64" spans="1:10" x14ac:dyDescent="0.2">
      <c r="A64" s="52" t="s">
        <v>143</v>
      </c>
      <c r="B64" s="57"/>
      <c r="C64" s="2"/>
      <c r="D64" s="2"/>
      <c r="E64" s="2"/>
      <c r="F64" s="2"/>
      <c r="G64" s="2"/>
      <c r="H64" s="2"/>
      <c r="I64" s="32"/>
      <c r="J64" s="58"/>
    </row>
    <row r="65" spans="1:10" x14ac:dyDescent="0.2">
      <c r="A65" s="52" t="s">
        <v>185</v>
      </c>
      <c r="B65" s="56">
        <v>46866.5</v>
      </c>
      <c r="C65" s="3">
        <v>51062.7</v>
      </c>
      <c r="D65" s="3">
        <v>54729.8</v>
      </c>
      <c r="E65" s="3">
        <v>55032.1</v>
      </c>
      <c r="F65" s="3">
        <v>58142.2</v>
      </c>
      <c r="G65" s="3">
        <v>62718.1</v>
      </c>
      <c r="H65" s="3">
        <v>68156.5</v>
      </c>
      <c r="I65" s="31">
        <v>71536</v>
      </c>
      <c r="J65" s="45">
        <v>74386.7</v>
      </c>
    </row>
    <row r="66" spans="1:10" x14ac:dyDescent="0.2">
      <c r="A66" s="52" t="s">
        <v>186</v>
      </c>
      <c r="B66" s="56">
        <v>33336.1</v>
      </c>
      <c r="C66" s="3">
        <v>36096.199999999997</v>
      </c>
      <c r="D66" s="3">
        <v>39148.800000000003</v>
      </c>
      <c r="E66" s="3">
        <v>38562.1</v>
      </c>
      <c r="F66" s="3">
        <v>39934</v>
      </c>
      <c r="G66" s="3">
        <v>42857</v>
      </c>
      <c r="H66" s="3">
        <v>45743.199999999997</v>
      </c>
      <c r="I66" s="31">
        <v>47368.2</v>
      </c>
      <c r="J66" s="45">
        <v>49120</v>
      </c>
    </row>
    <row r="67" spans="1:10" x14ac:dyDescent="0.2">
      <c r="A67" s="54" t="s">
        <v>187</v>
      </c>
      <c r="B67" s="59">
        <v>2896.2</v>
      </c>
      <c r="C67" s="37">
        <v>3140.7</v>
      </c>
      <c r="D67" s="37">
        <v>3099.9</v>
      </c>
      <c r="E67" s="37">
        <v>2987.9</v>
      </c>
      <c r="F67" s="37">
        <v>3062.9</v>
      </c>
      <c r="G67" s="37">
        <v>3195.8</v>
      </c>
      <c r="H67" s="37">
        <v>3351.7</v>
      </c>
      <c r="I67" s="33">
        <v>3330.1</v>
      </c>
      <c r="J67" s="46">
        <v>3233.5</v>
      </c>
    </row>
    <row r="69" spans="1:10" x14ac:dyDescent="0.2">
      <c r="B69" s="80">
        <f t="shared" ref="B69:I69" si="1">B41-L41</f>
        <v>2896.16</v>
      </c>
      <c r="C69" s="80">
        <f t="shared" si="1"/>
        <v>3140.71</v>
      </c>
      <c r="D69" s="80">
        <f t="shared" si="1"/>
        <v>3099.88</v>
      </c>
      <c r="E69" s="80">
        <f t="shared" si="1"/>
        <v>2987.8600000000006</v>
      </c>
      <c r="F69" s="80">
        <f t="shared" si="1"/>
        <v>3062.9300000000003</v>
      </c>
      <c r="G69" s="80">
        <f t="shared" si="1"/>
        <v>3195.8199999999997</v>
      </c>
      <c r="H69" s="80">
        <f t="shared" si="1"/>
        <v>3351.7200000000012</v>
      </c>
      <c r="I69" s="80">
        <f t="shared" si="1"/>
        <v>3330.0999999999995</v>
      </c>
      <c r="J69" s="80">
        <f>J41-T41</f>
        <v>3233.49</v>
      </c>
    </row>
  </sheetData>
  <mergeCells count="2">
    <mergeCell ref="B1:J1"/>
    <mergeCell ref="L1:T1"/>
  </mergeCells>
  <phoneticPr fontId="3" type="noConversion"/>
  <conditionalFormatting sqref="K3:K43">
    <cfRule type="cellIs" dxfId="3" priority="1" operator="greaterThan">
      <formul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1BE5D-AFC3-4FC8-BD28-0411E99C680F}">
  <sheetPr codeName="Sheet14"/>
  <dimension ref="A1:AH127"/>
  <sheetViews>
    <sheetView zoomScaleNormal="100" workbookViewId="0">
      <pane xSplit="2" ySplit="3" topLeftCell="U95" activePane="bottomRight" state="frozen"/>
      <selection pane="topRight" activeCell="C1" sqref="C1"/>
      <selection pane="bottomLeft" activeCell="A4" sqref="A4"/>
      <selection pane="bottomRight" activeCell="S129" sqref="C129:S129"/>
    </sheetView>
  </sheetViews>
  <sheetFormatPr defaultRowHeight="14.25" x14ac:dyDescent="0.2"/>
  <cols>
    <col min="1" max="1" width="15.5" style="178" customWidth="1"/>
    <col min="2" max="2" width="23.875" customWidth="1"/>
    <col min="4" max="4" width="11.875" customWidth="1"/>
    <col min="5" max="19" width="9" customWidth="1"/>
    <col min="30" max="34" width="9" customWidth="1"/>
  </cols>
  <sheetData>
    <row r="1" spans="1:34" s="178" customFormat="1" x14ac:dyDescent="0.2">
      <c r="A1" s="178" t="str">
        <f>IFERROR(VLOOKUP(B1,'Sector Code Switch'!G:H,2,FALSE),"")</f>
        <v/>
      </c>
      <c r="C1" s="178" t="str">
        <f>IFERROR(VLOOKUP(C3,'Fuel Code Switch'!$B$2:$D$35,3,FALSE),"")</f>
        <v/>
      </c>
      <c r="D1" s="178" t="str">
        <f>IFERROR(VLOOKUP(D3,'Fuel Code Switch'!$B$2:$D$35,3,FALSE),"")</f>
        <v>coal</v>
      </c>
      <c r="E1" s="178" t="str">
        <f>IFERROR(VLOOKUP(E3,'Fuel Code Switch'!$B$2:$D$35,3,FALSE),"")</f>
        <v>coal</v>
      </c>
      <c r="F1" s="178" t="str">
        <f>IFERROR(VLOOKUP(F3,'Fuel Code Switch'!$B$2:$D$35,3,FALSE),"")</f>
        <v>coal</v>
      </c>
      <c r="G1" s="178" t="str">
        <f>IFERROR(VLOOKUP(G3,'Fuel Code Switch'!$B$2:$D$35,3,FALSE),"")</f>
        <v/>
      </c>
      <c r="H1" s="178" t="str">
        <f>IFERROR(VLOOKUP(H3,'Fuel Code Switch'!$B$2:$D$35,3,FALSE),"")</f>
        <v>coal</v>
      </c>
      <c r="I1" s="178" t="str">
        <f>IFERROR(VLOOKUP(I3,'Fuel Code Switch'!$B$2:$D$35,3,FALSE),"")</f>
        <v>coal</v>
      </c>
      <c r="J1" s="178" t="str">
        <f>IFERROR(VLOOKUP(J3,'Fuel Code Switch'!$B$2:$D$35,3,FALSE),"")</f>
        <v>LPG propane or butane</v>
      </c>
      <c r="K1" s="178" t="str">
        <f>IFERROR(VLOOKUP(K3,'Fuel Code Switch'!$B$2:$D$35,3,FALSE),"")</f>
        <v>LPG propane or butane</v>
      </c>
      <c r="L1" s="178" t="str">
        <f>IFERROR(VLOOKUP(L3,'Fuel Code Switch'!$B$2:$D$35,3,FALSE),"")</f>
        <v>LPG propane or butane</v>
      </c>
      <c r="M1" s="178" t="str">
        <f>IFERROR(VLOOKUP(M3,'Fuel Code Switch'!$B$2:$D$35,3,FALSE),"")</f>
        <v>LPG propane or butane</v>
      </c>
      <c r="N1" s="178" t="str">
        <f>IFERROR(VLOOKUP(N3,'Fuel Code Switch'!$B$2:$D$35,3,FALSE),"")</f>
        <v>petroleum diesel</v>
      </c>
      <c r="O1" s="178" t="str">
        <f>IFERROR(VLOOKUP(O3,'Fuel Code Switch'!$B$2:$D$35,3,FALSE),"")</f>
        <v/>
      </c>
      <c r="P1" s="178" t="str">
        <f>IFERROR(VLOOKUP(P3,'Fuel Code Switch'!$B$2:$D$35,3,FALSE),"")</f>
        <v>crude oil</v>
      </c>
      <c r="Q1" s="178" t="str">
        <f>IFERROR(VLOOKUP(Q3,'Fuel Code Switch'!$B$2:$D$35,3,FALSE),"")</f>
        <v>petroleum diesel</v>
      </c>
      <c r="R1" s="178" t="str">
        <f>IFERROR(VLOOKUP(R3,'Fuel Code Switch'!$B$2:$D$35,3,FALSE),"")</f>
        <v>petroleum diesel</v>
      </c>
      <c r="S1" s="178" t="str">
        <f>IFERROR(VLOOKUP(S3,'Fuel Code Switch'!$B$2:$D$35,3,FALSE),"")</f>
        <v>petroleum diesel</v>
      </c>
      <c r="T1" s="178" t="str">
        <f>IFERROR(VLOOKUP(T3,'Fuel Code Switch'!$B$2:$D$35,3,FALSE),"")</f>
        <v>heavy fuel oil</v>
      </c>
      <c r="U1" s="178" t="str">
        <f>IFERROR(VLOOKUP(U3,'Fuel Code Switch'!$B$2:$D$35,3,FALSE),"")</f>
        <v>LPG propane or butane</v>
      </c>
      <c r="V1" s="178" t="str">
        <f>IFERROR(VLOOKUP(V3,'Fuel Code Switch'!$B$2:$D$35,3,FALSE),"")</f>
        <v>LPG propane or butane</v>
      </c>
      <c r="W1" s="178" t="str">
        <f>IFERROR(VLOOKUP(W3,'Fuel Code Switch'!$B$2:$D$35,3,FALSE),"")</f>
        <v>heavy fuel oil</v>
      </c>
      <c r="X1" s="178" t="str">
        <f>IFERROR(VLOOKUP(X3,'Fuel Code Switch'!$B$2:$D$35,3,FALSE),"")</f>
        <v>heavy fuel oil</v>
      </c>
      <c r="Y1" s="178" t="str">
        <f>IFERROR(VLOOKUP(Y3,'Fuel Code Switch'!$B$2:$D$35,3,FALSE),"")</f>
        <v>heavy fuel oil</v>
      </c>
      <c r="Z1" s="178" t="str">
        <f>IFERROR(VLOOKUP(Z3,'Fuel Code Switch'!$B$2:$D$35,3,FALSE),"")</f>
        <v>heavy fuel oil</v>
      </c>
      <c r="AA1" s="178" t="str">
        <f>IFERROR(VLOOKUP(AA3,'Fuel Code Switch'!$B$2:$D$35,3,FALSE),"")</f>
        <v>LPG propane or butane</v>
      </c>
      <c r="AB1" s="178" t="str">
        <f>IFERROR(VLOOKUP(AB3,'Fuel Code Switch'!$B$2:$D$35,3,FALSE),"")</f>
        <v>LPG propane or butane</v>
      </c>
      <c r="AC1" s="178" t="str">
        <f>IFERROR(VLOOKUP(AC3,'Fuel Code Switch'!$B$2:$D$35,3,FALSE),"")</f>
        <v>heavy fuel oil</v>
      </c>
      <c r="AD1" s="178" t="str">
        <f>IFERROR(VLOOKUP(AD3,'Fuel Code Switch'!$B$2:$D$35,3,FALSE),"")</f>
        <v>natural gas</v>
      </c>
      <c r="AE1" s="178" t="str">
        <f>IFERROR(VLOOKUP(AE3,'Fuel Code Switch'!$B$2:$D$35,3,FALSE),"")</f>
        <v>natural gas</v>
      </c>
      <c r="AF1" s="178" t="str">
        <f>IFERROR(VLOOKUP(AF3,'Fuel Code Switch'!$B$2:$D$35,3,FALSE),"")</f>
        <v>heat</v>
      </c>
      <c r="AG1" s="178" t="str">
        <f>IFERROR(VLOOKUP(AG3,'Fuel Code Switch'!$B$2:$D$35,3,FALSE),"")</f>
        <v>electricity</v>
      </c>
      <c r="AH1" s="178" t="str">
        <f>IFERROR(VLOOKUP(AH3,'Fuel Code Switch'!$B$2:$D$35,3,FALSE),"")</f>
        <v>biomass</v>
      </c>
    </row>
    <row r="2" spans="1:34" x14ac:dyDescent="0.15">
      <c r="B2" s="151" t="s">
        <v>526</v>
      </c>
    </row>
    <row r="3" spans="1:34" x14ac:dyDescent="0.2">
      <c r="A3" s="178" t="str">
        <f>IFERROR(VLOOKUP(B3,'Sector Code Switch'!G:H,2,FALSE),"")</f>
        <v/>
      </c>
      <c r="B3" s="175" t="s">
        <v>194</v>
      </c>
      <c r="C3" s="155" t="s">
        <v>563</v>
      </c>
      <c r="D3" s="155" t="s">
        <v>409</v>
      </c>
      <c r="E3" s="155" t="s">
        <v>411</v>
      </c>
      <c r="F3" s="155" t="s">
        <v>431</v>
      </c>
      <c r="G3" s="155" t="s">
        <v>545</v>
      </c>
      <c r="H3" s="155" t="s">
        <v>429</v>
      </c>
      <c r="I3" s="155" t="s">
        <v>478</v>
      </c>
      <c r="J3" s="155" t="s">
        <v>446</v>
      </c>
      <c r="K3" s="155" t="s">
        <v>448</v>
      </c>
      <c r="L3" s="155" t="s">
        <v>450</v>
      </c>
      <c r="M3" s="155" t="s">
        <v>452</v>
      </c>
      <c r="N3" s="155" t="s">
        <v>434</v>
      </c>
      <c r="O3" s="165" t="s">
        <v>562</v>
      </c>
      <c r="P3" s="165" t="s">
        <v>404</v>
      </c>
      <c r="Q3" s="165" t="s">
        <v>443</v>
      </c>
      <c r="R3" s="165" t="s">
        <v>426</v>
      </c>
      <c r="S3" s="165" t="s">
        <v>436</v>
      </c>
      <c r="T3" s="165" t="s">
        <v>419</v>
      </c>
      <c r="U3" s="165" t="s">
        <v>454</v>
      </c>
      <c r="V3" s="165" t="s">
        <v>456</v>
      </c>
      <c r="W3" s="165" t="s">
        <v>458</v>
      </c>
      <c r="X3" s="165" t="s">
        <v>421</v>
      </c>
      <c r="Y3" s="165" t="s">
        <v>438</v>
      </c>
      <c r="Z3" s="165" t="s">
        <v>440</v>
      </c>
      <c r="AA3" s="165" t="s">
        <v>460</v>
      </c>
      <c r="AB3" s="165" t="s">
        <v>462</v>
      </c>
      <c r="AC3" s="165" t="s">
        <v>423</v>
      </c>
      <c r="AD3" s="167" t="s">
        <v>465</v>
      </c>
      <c r="AE3" s="167" t="s">
        <v>467</v>
      </c>
      <c r="AF3" s="168" t="s">
        <v>416</v>
      </c>
      <c r="AG3" s="169" t="s">
        <v>407</v>
      </c>
      <c r="AH3" s="172" t="s">
        <v>479</v>
      </c>
    </row>
    <row r="4" spans="1:34" x14ac:dyDescent="0.2">
      <c r="A4" s="178" t="str">
        <f>IFERROR(VLOOKUP(B4,'Sector Code Switch'!G:H,2,FALSE),"")</f>
        <v/>
      </c>
      <c r="B4" s="176"/>
      <c r="C4" s="156" t="s">
        <v>543</v>
      </c>
      <c r="D4" s="156" t="s">
        <v>543</v>
      </c>
      <c r="E4" s="156" t="s">
        <v>543</v>
      </c>
      <c r="F4" s="156" t="s">
        <v>543</v>
      </c>
      <c r="G4" s="156" t="s">
        <v>546</v>
      </c>
      <c r="H4" s="156" t="s">
        <v>546</v>
      </c>
      <c r="I4" s="156" t="s">
        <v>543</v>
      </c>
      <c r="J4" s="156" t="s">
        <v>549</v>
      </c>
      <c r="K4" s="156" t="s">
        <v>549</v>
      </c>
      <c r="L4" s="156" t="s">
        <v>549</v>
      </c>
      <c r="M4" s="156" t="s">
        <v>549</v>
      </c>
      <c r="N4" s="156" t="s">
        <v>543</v>
      </c>
      <c r="O4" s="156" t="s">
        <v>543</v>
      </c>
      <c r="P4" s="156" t="s">
        <v>543</v>
      </c>
      <c r="Q4" s="156" t="s">
        <v>543</v>
      </c>
      <c r="R4" s="156" t="s">
        <v>543</v>
      </c>
      <c r="S4" s="156" t="s">
        <v>543</v>
      </c>
      <c r="T4" s="156" t="s">
        <v>543</v>
      </c>
      <c r="U4" s="156" t="s">
        <v>543</v>
      </c>
      <c r="V4" s="156" t="s">
        <v>543</v>
      </c>
      <c r="W4" s="156" t="s">
        <v>543</v>
      </c>
      <c r="X4" s="156" t="s">
        <v>543</v>
      </c>
      <c r="Y4" s="156" t="s">
        <v>543</v>
      </c>
      <c r="Z4" s="156" t="s">
        <v>543</v>
      </c>
      <c r="AA4" s="156" t="s">
        <v>543</v>
      </c>
      <c r="AB4" s="156" t="s">
        <v>543</v>
      </c>
      <c r="AC4" s="156" t="s">
        <v>543</v>
      </c>
      <c r="AD4" s="156" t="s">
        <v>549</v>
      </c>
      <c r="AE4" s="156" t="s">
        <v>543</v>
      </c>
      <c r="AF4" s="161" t="s">
        <v>555</v>
      </c>
      <c r="AG4" s="161" t="s">
        <v>557</v>
      </c>
      <c r="AH4" s="166" t="s">
        <v>559</v>
      </c>
    </row>
    <row r="5" spans="1:34" hidden="1" x14ac:dyDescent="0.2">
      <c r="A5" s="178" t="str">
        <f>IFERROR(VLOOKUP(B5,'Sector Code Switch'!G:H,2,FALSE),"")</f>
        <v/>
      </c>
      <c r="B5" s="141" t="s">
        <v>76</v>
      </c>
      <c r="C5" s="147">
        <v>414518.97</v>
      </c>
      <c r="D5" s="147">
        <v>415805.42</v>
      </c>
      <c r="E5" s="147">
        <v>-747.63</v>
      </c>
      <c r="F5" s="147">
        <v>-531</v>
      </c>
      <c r="G5" s="147">
        <v>-7.81</v>
      </c>
      <c r="H5" s="140"/>
      <c r="I5" s="147">
        <v>123.79</v>
      </c>
      <c r="J5" s="140"/>
      <c r="K5" s="140"/>
      <c r="L5" s="140"/>
      <c r="M5" s="140"/>
      <c r="N5" s="140"/>
      <c r="O5" s="147">
        <v>67553.72</v>
      </c>
      <c r="P5" s="147">
        <v>69969.649999999994</v>
      </c>
      <c r="Q5" s="147">
        <v>-1427.66</v>
      </c>
      <c r="R5" s="147">
        <v>-717.04</v>
      </c>
      <c r="S5" s="147">
        <v>-2070.17</v>
      </c>
      <c r="T5" s="147">
        <v>-436.41</v>
      </c>
      <c r="U5" s="147">
        <v>772.46</v>
      </c>
      <c r="V5" s="147">
        <v>16.3</v>
      </c>
      <c r="W5" s="147">
        <v>-49.71</v>
      </c>
      <c r="X5" s="147">
        <v>5.0999999999999996</v>
      </c>
      <c r="Y5" s="147">
        <v>228.14</v>
      </c>
      <c r="Z5" s="147">
        <v>847.55</v>
      </c>
      <c r="AA5" s="147">
        <v>1892.07</v>
      </c>
      <c r="AB5" s="140"/>
      <c r="AC5" s="147">
        <v>-1476.56</v>
      </c>
      <c r="AD5" s="147">
        <v>2350.63</v>
      </c>
      <c r="AE5" s="147">
        <v>6663.86</v>
      </c>
      <c r="AF5" s="140"/>
      <c r="AG5" s="147">
        <v>24317.69</v>
      </c>
      <c r="AH5" s="147">
        <v>7214.43</v>
      </c>
    </row>
    <row r="6" spans="1:34" hidden="1" x14ac:dyDescent="0.2">
      <c r="A6" s="178" t="str">
        <f>IFERROR(VLOOKUP(B6,'Sector Code Switch'!G:H,2,FALSE),"")</f>
        <v/>
      </c>
      <c r="B6" s="142" t="s">
        <v>77</v>
      </c>
      <c r="C6" s="147">
        <v>390157.71</v>
      </c>
      <c r="D6" s="147">
        <v>390157.71</v>
      </c>
      <c r="E6" s="140"/>
      <c r="F6" s="140"/>
      <c r="G6" s="140"/>
      <c r="H6" s="140"/>
      <c r="I6" s="140"/>
      <c r="J6" s="140"/>
      <c r="K6" s="140"/>
      <c r="L6" s="140"/>
      <c r="M6" s="140"/>
      <c r="N6" s="140"/>
      <c r="O6" s="147">
        <v>19476.86</v>
      </c>
      <c r="P6" s="147">
        <v>19476.86</v>
      </c>
      <c r="Q6" s="140"/>
      <c r="R6" s="140"/>
      <c r="S6" s="140"/>
      <c r="T6" s="140"/>
      <c r="U6" s="140"/>
      <c r="V6" s="140"/>
      <c r="W6" s="140"/>
      <c r="X6" s="140"/>
      <c r="Y6" s="140"/>
      <c r="Z6" s="140"/>
      <c r="AA6" s="140"/>
      <c r="AB6" s="140"/>
      <c r="AC6" s="140"/>
      <c r="AD6" s="147">
        <v>1924.95</v>
      </c>
      <c r="AE6" s="140"/>
      <c r="AF6" s="140"/>
      <c r="AG6" s="147">
        <v>24488.12</v>
      </c>
      <c r="AH6" s="147">
        <v>7214.43</v>
      </c>
    </row>
    <row r="7" spans="1:34" hidden="1" x14ac:dyDescent="0.2">
      <c r="A7" s="178" t="str">
        <f>IFERROR(VLOOKUP(B7,'Sector Code Switch'!G:H,2,FALSE),"")</f>
        <v/>
      </c>
      <c r="B7" s="142" t="s">
        <v>78</v>
      </c>
      <c r="C7" s="140"/>
      <c r="D7" s="140"/>
      <c r="E7" s="140"/>
      <c r="F7" s="140"/>
      <c r="G7" s="140"/>
      <c r="H7" s="140"/>
      <c r="I7" s="140"/>
      <c r="J7" s="140"/>
      <c r="K7" s="140"/>
      <c r="L7" s="140"/>
      <c r="M7" s="140"/>
      <c r="N7" s="140"/>
      <c r="O7" s="140"/>
      <c r="P7" s="140"/>
      <c r="Q7" s="140"/>
      <c r="R7" s="140"/>
      <c r="S7" s="140"/>
      <c r="T7" s="140"/>
      <c r="U7" s="140"/>
      <c r="V7" s="140"/>
      <c r="W7" s="140"/>
      <c r="X7" s="140"/>
      <c r="Y7" s="140"/>
      <c r="Z7" s="140"/>
      <c r="AA7" s="140"/>
      <c r="AB7" s="140"/>
      <c r="AC7" s="140"/>
      <c r="AD7" s="140"/>
      <c r="AE7" s="140"/>
      <c r="AF7" s="140"/>
      <c r="AG7" s="147">
        <v>13552.09</v>
      </c>
      <c r="AH7" s="140"/>
    </row>
    <row r="8" spans="1:34" hidden="1" x14ac:dyDescent="0.2">
      <c r="A8" s="178" t="str">
        <f>IFERROR(VLOOKUP(B8,'Sector Code Switch'!G:H,2,FALSE),"")</f>
        <v/>
      </c>
      <c r="B8" s="142" t="s">
        <v>79</v>
      </c>
      <c r="C8" s="140"/>
      <c r="D8" s="140"/>
      <c r="E8" s="140"/>
      <c r="F8" s="140"/>
      <c r="G8" s="140"/>
      <c r="H8" s="140"/>
      <c r="I8" s="140"/>
      <c r="J8" s="140"/>
      <c r="K8" s="140"/>
      <c r="L8" s="140"/>
      <c r="M8" s="140"/>
      <c r="N8" s="140"/>
      <c r="O8" s="140"/>
      <c r="P8" s="140"/>
      <c r="Q8" s="140"/>
      <c r="R8" s="140"/>
      <c r="S8" s="140"/>
      <c r="T8" s="140"/>
      <c r="U8" s="140"/>
      <c r="V8" s="140"/>
      <c r="W8" s="140"/>
      <c r="X8" s="140"/>
      <c r="Y8" s="140"/>
      <c r="Z8" s="140"/>
      <c r="AA8" s="140"/>
      <c r="AB8" s="140"/>
      <c r="AC8" s="140"/>
      <c r="AD8" s="140"/>
      <c r="AE8" s="140"/>
      <c r="AF8" s="140"/>
      <c r="AG8" s="147">
        <v>3662.55</v>
      </c>
      <c r="AH8" s="140"/>
    </row>
    <row r="9" spans="1:34" hidden="1" x14ac:dyDescent="0.2">
      <c r="A9" s="178" t="str">
        <f>IFERROR(VLOOKUP(B9,'Sector Code Switch'!G:H,2,FALSE),"")</f>
        <v/>
      </c>
      <c r="B9" s="142" t="s">
        <v>80</v>
      </c>
      <c r="C9" s="140"/>
      <c r="D9" s="140"/>
      <c r="E9" s="140"/>
      <c r="F9" s="140"/>
      <c r="G9" s="140"/>
      <c r="H9" s="140"/>
      <c r="I9" s="140"/>
      <c r="J9" s="140"/>
      <c r="K9" s="140"/>
      <c r="L9" s="140"/>
      <c r="M9" s="140"/>
      <c r="N9" s="140"/>
      <c r="O9" s="140"/>
      <c r="P9" s="140"/>
      <c r="Q9" s="140"/>
      <c r="R9" s="140"/>
      <c r="S9" s="140"/>
      <c r="T9" s="140"/>
      <c r="U9" s="140"/>
      <c r="V9" s="140"/>
      <c r="W9" s="140"/>
      <c r="X9" s="140"/>
      <c r="Y9" s="140"/>
      <c r="Z9" s="140"/>
      <c r="AA9" s="140"/>
      <c r="AB9" s="140"/>
      <c r="AC9" s="140"/>
      <c r="AD9" s="140"/>
      <c r="AE9" s="140"/>
      <c r="AF9" s="140"/>
      <c r="AG9" s="147">
        <v>4664.74</v>
      </c>
      <c r="AH9" s="140"/>
    </row>
    <row r="10" spans="1:34" hidden="1" x14ac:dyDescent="0.2">
      <c r="A10" s="178" t="str">
        <f>IFERROR(VLOOKUP(B10,'Sector Code Switch'!G:H,2,FALSE),"")</f>
        <v/>
      </c>
      <c r="B10" s="142" t="s">
        <v>81</v>
      </c>
      <c r="C10" s="147">
        <v>30361.09</v>
      </c>
      <c r="D10" s="147">
        <v>30361.09</v>
      </c>
      <c r="E10" s="140"/>
      <c r="F10" s="140"/>
      <c r="G10" s="140"/>
      <c r="H10" s="140"/>
      <c r="I10" s="147">
        <v>297.91000000000003</v>
      </c>
      <c r="J10" s="140"/>
      <c r="K10" s="140"/>
      <c r="L10" s="140"/>
      <c r="M10" s="140"/>
      <c r="N10" s="140"/>
      <c r="O10" s="147">
        <v>60497.54</v>
      </c>
      <c r="P10" s="147">
        <v>54200.67</v>
      </c>
      <c r="Q10" s="147">
        <v>48.05</v>
      </c>
      <c r="R10" s="147">
        <v>265.73</v>
      </c>
      <c r="S10" s="147">
        <v>119.1</v>
      </c>
      <c r="T10" s="147">
        <v>1253.47</v>
      </c>
      <c r="U10" s="147">
        <v>788.7</v>
      </c>
      <c r="V10" s="147">
        <v>28.95</v>
      </c>
      <c r="W10" s="147">
        <v>11.34</v>
      </c>
      <c r="X10" s="147">
        <v>3.69</v>
      </c>
      <c r="Y10" s="147">
        <v>475.92</v>
      </c>
      <c r="Z10" s="147">
        <v>1027.6600000000001</v>
      </c>
      <c r="AA10" s="147">
        <v>2004.63</v>
      </c>
      <c r="AB10" s="140"/>
      <c r="AC10" s="147">
        <v>269.64999999999998</v>
      </c>
      <c r="AD10" s="147">
        <v>476.53</v>
      </c>
      <c r="AE10" s="147">
        <v>6669.73</v>
      </c>
      <c r="AF10" s="140"/>
      <c r="AG10" s="147">
        <v>47.51</v>
      </c>
      <c r="AH10" s="140"/>
    </row>
    <row r="11" spans="1:34" hidden="1" x14ac:dyDescent="0.2">
      <c r="A11" s="178" t="str">
        <f>IFERROR(VLOOKUP(B11,'Sector Code Switch'!G:H,2,FALSE),"")</f>
        <v/>
      </c>
      <c r="B11" s="142" t="s">
        <v>82</v>
      </c>
      <c r="C11" s="140"/>
      <c r="D11" s="140"/>
      <c r="E11" s="140"/>
      <c r="F11" s="140"/>
      <c r="G11" s="140"/>
      <c r="H11" s="140"/>
      <c r="I11" s="140"/>
      <c r="J11" s="140"/>
      <c r="K11" s="140"/>
      <c r="L11" s="140"/>
      <c r="M11" s="140"/>
      <c r="N11" s="140"/>
      <c r="O11" s="147">
        <v>774.14</v>
      </c>
      <c r="P11" s="140"/>
      <c r="Q11" s="140"/>
      <c r="R11" s="147">
        <v>248.32</v>
      </c>
      <c r="S11" s="147">
        <v>18.37</v>
      </c>
      <c r="T11" s="147">
        <v>507.45</v>
      </c>
      <c r="U11" s="140"/>
      <c r="V11" s="140"/>
      <c r="W11" s="140"/>
      <c r="X11" s="140"/>
      <c r="Y11" s="140"/>
      <c r="Z11" s="140"/>
      <c r="AA11" s="140"/>
      <c r="AB11" s="140"/>
      <c r="AC11" s="140"/>
      <c r="AD11" s="140"/>
      <c r="AE11" s="140"/>
      <c r="AF11" s="140"/>
      <c r="AG11" s="140"/>
      <c r="AH11" s="140"/>
    </row>
    <row r="12" spans="1:34" hidden="1" x14ac:dyDescent="0.2">
      <c r="A12" s="178" t="str">
        <f>IFERROR(VLOOKUP(B12,'Sector Code Switch'!G:H,2,FALSE),"")</f>
        <v/>
      </c>
      <c r="B12" s="142" t="s">
        <v>83</v>
      </c>
      <c r="C12" s="147">
        <v>319.45999999999998</v>
      </c>
      <c r="D12" s="147">
        <v>316.77999999999997</v>
      </c>
      <c r="E12" s="140"/>
      <c r="F12" s="140"/>
      <c r="G12" s="147">
        <v>2.68</v>
      </c>
      <c r="H12" s="140"/>
      <c r="I12" s="147">
        <v>349.21</v>
      </c>
      <c r="J12" s="140"/>
      <c r="K12" s="140"/>
      <c r="L12" s="140"/>
      <c r="M12" s="140"/>
      <c r="N12" s="140"/>
      <c r="O12" s="147">
        <v>6738.13</v>
      </c>
      <c r="P12" s="147">
        <v>163.81</v>
      </c>
      <c r="Q12" s="147">
        <v>1600</v>
      </c>
      <c r="R12" s="147">
        <v>997.48</v>
      </c>
      <c r="S12" s="147">
        <v>1975.95</v>
      </c>
      <c r="T12" s="147">
        <v>1583.31</v>
      </c>
      <c r="U12" s="140"/>
      <c r="V12" s="147">
        <v>13.43</v>
      </c>
      <c r="W12" s="147">
        <v>66</v>
      </c>
      <c r="X12" s="147">
        <v>0.31</v>
      </c>
      <c r="Y12" s="147">
        <v>56.74</v>
      </c>
      <c r="Z12" s="147">
        <v>178.36</v>
      </c>
      <c r="AA12" s="147">
        <v>94.89</v>
      </c>
      <c r="AB12" s="140"/>
      <c r="AC12" s="147">
        <v>7.86</v>
      </c>
      <c r="AD12" s="147">
        <v>50.85</v>
      </c>
      <c r="AE12" s="147">
        <v>5.87</v>
      </c>
      <c r="AF12" s="140"/>
      <c r="AG12" s="147">
        <v>217.93</v>
      </c>
      <c r="AH12" s="140"/>
    </row>
    <row r="13" spans="1:34" hidden="1" x14ac:dyDescent="0.2">
      <c r="A13" s="178" t="str">
        <f>IFERROR(VLOOKUP(B13,'Sector Code Switch'!G:H,2,FALSE),"")</f>
        <v/>
      </c>
      <c r="B13" s="142" t="s">
        <v>84</v>
      </c>
      <c r="C13" s="140"/>
      <c r="D13" s="140"/>
      <c r="E13" s="140"/>
      <c r="F13" s="140"/>
      <c r="G13" s="140"/>
      <c r="H13" s="140"/>
      <c r="I13" s="140"/>
      <c r="J13" s="140"/>
      <c r="K13" s="140"/>
      <c r="L13" s="140"/>
      <c r="M13" s="140"/>
      <c r="N13" s="140"/>
      <c r="O13" s="147">
        <v>812.9</v>
      </c>
      <c r="P13" s="140"/>
      <c r="Q13" s="140"/>
      <c r="R13" s="147">
        <v>228.78</v>
      </c>
      <c r="S13" s="147">
        <v>35.21</v>
      </c>
      <c r="T13" s="147">
        <v>548.91</v>
      </c>
      <c r="U13" s="140"/>
      <c r="V13" s="140"/>
      <c r="W13" s="140"/>
      <c r="X13" s="140"/>
      <c r="Y13" s="140"/>
      <c r="Z13" s="140"/>
      <c r="AA13" s="140"/>
      <c r="AB13" s="140"/>
      <c r="AC13" s="140"/>
      <c r="AD13" s="140"/>
      <c r="AE13" s="140"/>
      <c r="AF13" s="140"/>
      <c r="AG13" s="140"/>
      <c r="AH13" s="140"/>
    </row>
    <row r="14" spans="1:34" hidden="1" x14ac:dyDescent="0.2">
      <c r="A14" s="178" t="str">
        <f>IFERROR(VLOOKUP(B14,'Sector Code Switch'!G:H,2,FALSE),"")</f>
        <v/>
      </c>
      <c r="B14" s="142" t="s">
        <v>85</v>
      </c>
      <c r="C14" s="147">
        <v>-5680.37</v>
      </c>
      <c r="D14" s="147">
        <v>-4396.6099999999997</v>
      </c>
      <c r="E14" s="147">
        <v>-747.63</v>
      </c>
      <c r="F14" s="147">
        <v>-531</v>
      </c>
      <c r="G14" s="147">
        <v>-5.13</v>
      </c>
      <c r="H14" s="140"/>
      <c r="I14" s="147">
        <v>175.09</v>
      </c>
      <c r="J14" s="140"/>
      <c r="K14" s="140"/>
      <c r="L14" s="140"/>
      <c r="M14" s="140"/>
      <c r="N14" s="140"/>
      <c r="O14" s="147">
        <v>-5643.79</v>
      </c>
      <c r="P14" s="147">
        <v>-3544.07</v>
      </c>
      <c r="Q14" s="147">
        <v>124.29</v>
      </c>
      <c r="R14" s="147">
        <v>-4.82</v>
      </c>
      <c r="S14" s="147">
        <v>-196.48</v>
      </c>
      <c r="T14" s="147">
        <v>-65.099999999999994</v>
      </c>
      <c r="U14" s="147">
        <v>-16.239999999999998</v>
      </c>
      <c r="V14" s="147">
        <v>0.79</v>
      </c>
      <c r="W14" s="147">
        <v>4.9400000000000004</v>
      </c>
      <c r="X14" s="147">
        <v>1.72</v>
      </c>
      <c r="Y14" s="147">
        <v>-191.04</v>
      </c>
      <c r="Z14" s="147">
        <v>-1.76</v>
      </c>
      <c r="AA14" s="147">
        <v>-17.68</v>
      </c>
      <c r="AB14" s="140"/>
      <c r="AC14" s="147">
        <v>-1738.35</v>
      </c>
      <c r="AD14" s="140"/>
      <c r="AE14" s="140"/>
      <c r="AF14" s="140"/>
      <c r="AG14" s="140"/>
      <c r="AH14" s="140"/>
    </row>
    <row r="15" spans="1:34" x14ac:dyDescent="0.2">
      <c r="A15" s="178" t="str">
        <f>IFERROR(VLOOKUP(B15,'Sector Code Switch'!G:H,2,FALSE),"")</f>
        <v/>
      </c>
      <c r="B15" s="141" t="s">
        <v>86</v>
      </c>
      <c r="C15" s="147">
        <v>-332434.09000000003</v>
      </c>
      <c r="D15" s="147">
        <v>-349916.36</v>
      </c>
      <c r="E15" s="147">
        <v>1117.8</v>
      </c>
      <c r="F15" s="147">
        <v>15008.33</v>
      </c>
      <c r="G15" s="147">
        <v>1356.13</v>
      </c>
      <c r="H15" s="147">
        <v>-60.08</v>
      </c>
      <c r="I15" s="147">
        <v>46640.33</v>
      </c>
      <c r="J15" s="147">
        <v>711.53</v>
      </c>
      <c r="K15" s="147">
        <v>8481.93</v>
      </c>
      <c r="L15" s="147">
        <v>661.85</v>
      </c>
      <c r="M15" s="147">
        <v>145.4</v>
      </c>
      <c r="N15" s="147">
        <v>933.7</v>
      </c>
      <c r="O15" s="147">
        <v>-3265.64</v>
      </c>
      <c r="P15" s="147">
        <v>-69040.479999999996</v>
      </c>
      <c r="Q15" s="147">
        <v>14233.1</v>
      </c>
      <c r="R15" s="147">
        <v>4129.42</v>
      </c>
      <c r="S15" s="147">
        <v>16383.32</v>
      </c>
      <c r="T15" s="147">
        <v>2749.06</v>
      </c>
      <c r="U15" s="147">
        <v>5621.91</v>
      </c>
      <c r="V15" s="147">
        <v>258.93</v>
      </c>
      <c r="W15" s="147">
        <v>239.24</v>
      </c>
      <c r="X15" s="147">
        <v>37.64</v>
      </c>
      <c r="Y15" s="147">
        <v>3321.53</v>
      </c>
      <c r="Z15" s="147">
        <v>2454.29</v>
      </c>
      <c r="AA15" s="147">
        <v>3920.55</v>
      </c>
      <c r="AB15" s="147">
        <v>1896.13</v>
      </c>
      <c r="AC15" s="147">
        <v>10529.72</v>
      </c>
      <c r="AD15" s="147">
        <v>-755.92</v>
      </c>
      <c r="AE15" s="147">
        <v>931.47</v>
      </c>
      <c r="AF15" s="147">
        <v>596841.75</v>
      </c>
      <c r="AG15" s="147">
        <v>53302.48</v>
      </c>
      <c r="AH15" s="147">
        <v>-1325.91</v>
      </c>
    </row>
    <row r="16" spans="1:34" x14ac:dyDescent="0.2">
      <c r="A16" s="178" t="str">
        <f>IFERROR(VLOOKUP(B16,'Sector Code Switch'!G:H,2,FALSE),"")</f>
        <v/>
      </c>
      <c r="B16" s="142" t="s">
        <v>87</v>
      </c>
      <c r="C16" s="147">
        <v>-211634.87</v>
      </c>
      <c r="D16" s="147">
        <v>-206845.78</v>
      </c>
      <c r="E16" s="140"/>
      <c r="F16" s="147">
        <v>-4789.09</v>
      </c>
      <c r="G16" s="140"/>
      <c r="H16" s="147">
        <v>-2087.61</v>
      </c>
      <c r="I16" s="147">
        <v>-250.03</v>
      </c>
      <c r="J16" s="147">
        <v>-217.85</v>
      </c>
      <c r="K16" s="147">
        <v>-2932.52</v>
      </c>
      <c r="L16" s="147">
        <v>-360.91</v>
      </c>
      <c r="M16" s="147">
        <v>-3.48</v>
      </c>
      <c r="N16" s="140"/>
      <c r="O16" s="147">
        <v>-321.54000000000002</v>
      </c>
      <c r="P16" s="147">
        <v>-16.55</v>
      </c>
      <c r="Q16" s="140"/>
      <c r="R16" s="140"/>
      <c r="S16" s="147">
        <v>-27.58</v>
      </c>
      <c r="T16" s="147">
        <v>-29.43</v>
      </c>
      <c r="U16" s="140"/>
      <c r="V16" s="140"/>
      <c r="W16" s="140"/>
      <c r="X16" s="140"/>
      <c r="Y16" s="140"/>
      <c r="Z16" s="147">
        <v>-189.88</v>
      </c>
      <c r="AA16" s="147">
        <v>-0.14000000000000001</v>
      </c>
      <c r="AB16" s="147">
        <v>-50.19</v>
      </c>
      <c r="AC16" s="147">
        <v>-7.78</v>
      </c>
      <c r="AD16" s="147">
        <v>-411.37</v>
      </c>
      <c r="AE16" s="147">
        <v>-352.62</v>
      </c>
      <c r="AF16" s="147">
        <v>-127833.91</v>
      </c>
      <c r="AG16" s="147">
        <v>53302.48</v>
      </c>
      <c r="AH16" s="147">
        <v>-2017.84</v>
      </c>
    </row>
    <row r="17" spans="1:34" x14ac:dyDescent="0.2">
      <c r="A17" s="178" t="str">
        <f>IFERROR(VLOOKUP(B17,'Sector Code Switch'!G:H,2,FALSE),"")</f>
        <v/>
      </c>
      <c r="B17" s="142" t="s">
        <v>88</v>
      </c>
      <c r="C17" s="147">
        <v>-36933.279999999999</v>
      </c>
      <c r="D17" s="147">
        <v>-35434.18</v>
      </c>
      <c r="E17" s="140"/>
      <c r="F17" s="147">
        <v>-1499.1</v>
      </c>
      <c r="G17" s="140"/>
      <c r="H17" s="147">
        <v>-762.82</v>
      </c>
      <c r="I17" s="147">
        <v>-280.27999999999997</v>
      </c>
      <c r="J17" s="147">
        <v>-57.17</v>
      </c>
      <c r="K17" s="147">
        <v>-500.05</v>
      </c>
      <c r="L17" s="147">
        <v>-49.18</v>
      </c>
      <c r="M17" s="147">
        <v>-1.6</v>
      </c>
      <c r="N17" s="140"/>
      <c r="O17" s="147">
        <v>-677.7</v>
      </c>
      <c r="P17" s="140"/>
      <c r="Q17" s="140"/>
      <c r="R17" s="140"/>
      <c r="S17" s="147">
        <v>-2.91</v>
      </c>
      <c r="T17" s="147">
        <v>-231.38</v>
      </c>
      <c r="U17" s="140"/>
      <c r="V17" s="140"/>
      <c r="W17" s="140"/>
      <c r="X17" s="140"/>
      <c r="Y17" s="140"/>
      <c r="Z17" s="147">
        <v>-256.55</v>
      </c>
      <c r="AA17" s="147">
        <v>-7.71</v>
      </c>
      <c r="AB17" s="147">
        <v>-165.2</v>
      </c>
      <c r="AC17" s="147">
        <v>-13.95</v>
      </c>
      <c r="AD17" s="147">
        <v>-169.66</v>
      </c>
      <c r="AE17" s="147">
        <v>-48.78</v>
      </c>
      <c r="AF17" s="147">
        <v>613906.59</v>
      </c>
      <c r="AG17" s="140"/>
      <c r="AH17" s="147">
        <v>-689.73</v>
      </c>
    </row>
    <row r="18" spans="1:34" s="187" customFormat="1" x14ac:dyDescent="0.2">
      <c r="A18" s="187" t="str">
        <f>IFERROR(VLOOKUP(B18,'Sector Code Switch'!G:H,2,FALSE),"")</f>
        <v/>
      </c>
      <c r="B18" s="188" t="s">
        <v>89</v>
      </c>
      <c r="C18" s="189">
        <v>-11301.2</v>
      </c>
      <c r="D18" s="189">
        <v>-90163.69</v>
      </c>
      <c r="E18" s="189">
        <v>56125.43</v>
      </c>
      <c r="F18" s="189">
        <v>22737.06</v>
      </c>
      <c r="G18" s="190"/>
      <c r="H18" s="189">
        <v>2790.35</v>
      </c>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row>
    <row r="19" spans="1:34" s="187" customFormat="1" x14ac:dyDescent="0.2">
      <c r="A19" s="187" t="str">
        <f>IFERROR(VLOOKUP(B19,'Sector Code Switch'!G:H,2,FALSE),"")</f>
        <v/>
      </c>
      <c r="B19" s="188" t="s">
        <v>90</v>
      </c>
      <c r="C19" s="189">
        <v>-65967.64</v>
      </c>
      <c r="D19" s="189">
        <v>-10960.01</v>
      </c>
      <c r="E19" s="189">
        <v>-55007.63</v>
      </c>
      <c r="F19" s="190"/>
      <c r="G19" s="190"/>
      <c r="H19" s="190"/>
      <c r="I19" s="189">
        <v>47188.23</v>
      </c>
      <c r="J19" s="189">
        <v>1032.53</v>
      </c>
      <c r="K19" s="190"/>
      <c r="L19" s="190"/>
      <c r="M19" s="190"/>
      <c r="N19" s="189">
        <v>1350.21</v>
      </c>
      <c r="O19" s="189">
        <v>-4.5999999999999996</v>
      </c>
      <c r="P19" s="190"/>
      <c r="Q19" s="190"/>
      <c r="R19" s="190"/>
      <c r="S19" s="190"/>
      <c r="T19" s="190"/>
      <c r="U19" s="190"/>
      <c r="V19" s="190"/>
      <c r="W19" s="190"/>
      <c r="X19" s="190"/>
      <c r="Y19" s="190"/>
      <c r="Z19" s="189">
        <v>-4.5999999999999996</v>
      </c>
      <c r="AA19" s="190"/>
      <c r="AB19" s="190"/>
      <c r="AC19" s="190"/>
      <c r="AD19" s="190"/>
      <c r="AE19" s="190"/>
      <c r="AF19" s="190"/>
      <c r="AG19" s="190"/>
      <c r="AH19" s="190"/>
    </row>
    <row r="20" spans="1:34" s="187" customFormat="1" x14ac:dyDescent="0.2">
      <c r="A20" s="187" t="str">
        <f>IFERROR(VLOOKUP(B20,'Sector Code Switch'!G:H,2,FALSE),"")</f>
        <v/>
      </c>
      <c r="B20" s="188" t="s">
        <v>91</v>
      </c>
      <c r="C20" s="189">
        <v>-3047.29</v>
      </c>
      <c r="D20" s="189">
        <v>-2914.28</v>
      </c>
      <c r="E20" s="190"/>
      <c r="F20" s="189">
        <v>-133.01</v>
      </c>
      <c r="G20" s="190"/>
      <c r="H20" s="190"/>
      <c r="I20" s="190"/>
      <c r="J20" s="190"/>
      <c r="K20" s="190"/>
      <c r="L20" s="190"/>
      <c r="M20" s="190"/>
      <c r="N20" s="189">
        <v>-412.06</v>
      </c>
      <c r="O20" s="189">
        <v>12495.07</v>
      </c>
      <c r="P20" s="189">
        <v>-69023.929999999993</v>
      </c>
      <c r="Q20" s="189">
        <v>14256.69</v>
      </c>
      <c r="R20" s="189">
        <v>4129.42</v>
      </c>
      <c r="S20" s="189">
        <v>16529.849999999999</v>
      </c>
      <c r="T20" s="189">
        <v>5780.7</v>
      </c>
      <c r="U20" s="189">
        <v>7190.72</v>
      </c>
      <c r="V20" s="189">
        <v>263.38</v>
      </c>
      <c r="W20" s="189">
        <v>249.42</v>
      </c>
      <c r="X20" s="189">
        <v>39.97</v>
      </c>
      <c r="Y20" s="189">
        <v>3950.47</v>
      </c>
      <c r="Z20" s="189">
        <v>2956.9</v>
      </c>
      <c r="AA20" s="189">
        <v>4489</v>
      </c>
      <c r="AB20" s="189">
        <v>2348.61</v>
      </c>
      <c r="AC20" s="189">
        <v>19333.88</v>
      </c>
      <c r="AD20" s="189">
        <v>-31.42</v>
      </c>
      <c r="AE20" s="190"/>
      <c r="AF20" s="190"/>
      <c r="AG20" s="190"/>
      <c r="AH20" s="189">
        <v>-415.24</v>
      </c>
    </row>
    <row r="21" spans="1:34" s="187" customFormat="1" x14ac:dyDescent="0.2">
      <c r="A21" s="187" t="str">
        <f>IFERROR(VLOOKUP(B21,'Sector Code Switch'!G:H,2,FALSE),"")</f>
        <v/>
      </c>
      <c r="B21" s="188" t="s">
        <v>92</v>
      </c>
      <c r="C21" s="190"/>
      <c r="D21" s="190"/>
      <c r="E21" s="190"/>
      <c r="F21" s="190"/>
      <c r="G21" s="190"/>
      <c r="H21" s="190"/>
      <c r="I21" s="190"/>
      <c r="J21" s="190"/>
      <c r="K21" s="190"/>
      <c r="L21" s="190"/>
      <c r="M21" s="190"/>
      <c r="N21" s="190"/>
      <c r="O21" s="189">
        <v>-14728</v>
      </c>
      <c r="P21" s="190"/>
      <c r="Q21" s="189">
        <v>-23.59</v>
      </c>
      <c r="R21" s="190"/>
      <c r="S21" s="189">
        <v>-116.04</v>
      </c>
      <c r="T21" s="189">
        <v>-2770.83</v>
      </c>
      <c r="U21" s="189">
        <v>-1568.81</v>
      </c>
      <c r="V21" s="189">
        <v>-4.45</v>
      </c>
      <c r="W21" s="189">
        <v>-10.18</v>
      </c>
      <c r="X21" s="189">
        <v>-2.3199999999999998</v>
      </c>
      <c r="Y21" s="189">
        <v>-628.94000000000005</v>
      </c>
      <c r="Z21" s="189">
        <v>-42.34</v>
      </c>
      <c r="AA21" s="189">
        <v>-556.88</v>
      </c>
      <c r="AB21" s="189">
        <v>-221.19</v>
      </c>
      <c r="AC21" s="189">
        <v>-8782.42</v>
      </c>
      <c r="AD21" s="190"/>
      <c r="AE21" s="190"/>
      <c r="AF21" s="190"/>
      <c r="AG21" s="190"/>
      <c r="AH21" s="190"/>
    </row>
    <row r="22" spans="1:34" s="187" customFormat="1" x14ac:dyDescent="0.2">
      <c r="A22" s="187" t="str">
        <f>IFERROR(VLOOKUP(B22,'Sector Code Switch'!G:H,2,FALSE),"")</f>
        <v/>
      </c>
      <c r="B22" s="188" t="s">
        <v>93</v>
      </c>
      <c r="C22" s="189">
        <v>-3308.95</v>
      </c>
      <c r="D22" s="189">
        <v>-3150.59</v>
      </c>
      <c r="E22" s="190"/>
      <c r="F22" s="189">
        <v>-158.35</v>
      </c>
      <c r="G22" s="190"/>
      <c r="H22" s="190"/>
      <c r="I22" s="190"/>
      <c r="J22" s="190"/>
      <c r="K22" s="190"/>
      <c r="L22" s="190"/>
      <c r="M22" s="189">
        <v>150.47</v>
      </c>
      <c r="N22" s="189">
        <v>2.17</v>
      </c>
      <c r="O22" s="189">
        <v>-28.86</v>
      </c>
      <c r="P22" s="190"/>
      <c r="Q22" s="190"/>
      <c r="R22" s="190"/>
      <c r="S22" s="190"/>
      <c r="T22" s="190"/>
      <c r="U22" s="190"/>
      <c r="V22" s="190"/>
      <c r="W22" s="190"/>
      <c r="X22" s="190"/>
      <c r="Y22" s="190"/>
      <c r="Z22" s="189">
        <v>-9.25</v>
      </c>
      <c r="AA22" s="189">
        <v>-3.72</v>
      </c>
      <c r="AB22" s="189">
        <v>-15.9</v>
      </c>
      <c r="AC22" s="190"/>
      <c r="AD22" s="189">
        <v>69.94</v>
      </c>
      <c r="AE22" s="190"/>
      <c r="AF22" s="190"/>
      <c r="AG22" s="190"/>
      <c r="AH22" s="189">
        <v>768.2</v>
      </c>
    </row>
    <row r="23" spans="1:34" s="187" customFormat="1" x14ac:dyDescent="0.2">
      <c r="A23" s="187" t="str">
        <f>IFERROR(VLOOKUP(B23,'Sector Code Switch'!G:H,2,FALSE),"")</f>
        <v/>
      </c>
      <c r="B23" s="188" t="s">
        <v>525</v>
      </c>
      <c r="C23" s="190"/>
      <c r="D23" s="190"/>
      <c r="E23" s="190"/>
      <c r="F23" s="190"/>
      <c r="G23" s="190"/>
      <c r="H23" s="190"/>
      <c r="I23" s="189">
        <v>-17.59</v>
      </c>
      <c r="J23" s="189">
        <v>-45.99</v>
      </c>
      <c r="K23" s="190"/>
      <c r="L23" s="190"/>
      <c r="M23" s="190"/>
      <c r="N23" s="189">
        <v>-6.63</v>
      </c>
      <c r="O23" s="190"/>
      <c r="P23" s="190"/>
      <c r="Q23" s="190"/>
      <c r="R23" s="190"/>
      <c r="S23" s="190"/>
      <c r="T23" s="190"/>
      <c r="U23" s="190"/>
      <c r="V23" s="190"/>
      <c r="W23" s="190"/>
      <c r="X23" s="190"/>
      <c r="Y23" s="190"/>
      <c r="Z23" s="190"/>
      <c r="AA23" s="190"/>
      <c r="AB23" s="190"/>
      <c r="AC23" s="190"/>
      <c r="AD23" s="189">
        <v>-15.17</v>
      </c>
      <c r="AE23" s="190"/>
      <c r="AF23" s="190"/>
      <c r="AG23" s="190"/>
      <c r="AH23" s="190"/>
    </row>
    <row r="24" spans="1:34" s="187" customFormat="1" x14ac:dyDescent="0.2">
      <c r="A24" s="187" t="str">
        <f>IFERROR(VLOOKUP(B24,'Sector Code Switch'!G:H,2,FALSE),"")</f>
        <v/>
      </c>
      <c r="B24" s="188" t="s">
        <v>95</v>
      </c>
      <c r="C24" s="190"/>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89">
        <v>-198.25</v>
      </c>
      <c r="AE24" s="189">
        <v>1332.86</v>
      </c>
      <c r="AF24" s="190"/>
      <c r="AG24" s="190"/>
      <c r="AH24" s="190"/>
    </row>
    <row r="25" spans="1:34" s="187" customFormat="1" x14ac:dyDescent="0.2">
      <c r="A25" s="187" t="str">
        <f>IFERROR(VLOOKUP(B25,'Sector Code Switch'!G:H,2,FALSE),"")</f>
        <v/>
      </c>
      <c r="B25" s="188" t="s">
        <v>96</v>
      </c>
      <c r="C25" s="189">
        <v>-240.86</v>
      </c>
      <c r="D25" s="189">
        <v>-447.82</v>
      </c>
      <c r="E25" s="190"/>
      <c r="F25" s="189">
        <v>-1149.18</v>
      </c>
      <c r="G25" s="189">
        <v>1356.13</v>
      </c>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row>
    <row r="26" spans="1:34" hidden="1" x14ac:dyDescent="0.2">
      <c r="A26" s="178" t="str">
        <f>IFERROR(VLOOKUP(B26,'Sector Code Switch'!G:H,2,FALSE),"")</f>
        <v/>
      </c>
      <c r="B26" s="142" t="s">
        <v>97</v>
      </c>
      <c r="C26" s="140"/>
      <c r="D26" s="140"/>
      <c r="E26" s="140"/>
      <c r="F26" s="140"/>
      <c r="G26" s="140"/>
      <c r="H26" s="140"/>
      <c r="I26" s="140"/>
      <c r="J26" s="140"/>
      <c r="K26" s="147">
        <v>11914.49</v>
      </c>
      <c r="L26" s="147">
        <v>1071.94</v>
      </c>
      <c r="M26" s="140"/>
      <c r="N26" s="140"/>
      <c r="O26" s="140"/>
      <c r="P26" s="140"/>
      <c r="Q26" s="140"/>
      <c r="R26" s="140"/>
      <c r="S26" s="140"/>
      <c r="T26" s="140"/>
      <c r="U26" s="140"/>
      <c r="V26" s="140"/>
      <c r="W26" s="140"/>
      <c r="X26" s="140"/>
      <c r="Y26" s="140"/>
      <c r="Z26" s="140"/>
      <c r="AA26" s="140"/>
      <c r="AB26" s="140"/>
      <c r="AC26" s="140"/>
      <c r="AD26" s="140"/>
      <c r="AE26" s="140"/>
      <c r="AF26" s="147">
        <v>110769.08</v>
      </c>
      <c r="AG26" s="140"/>
      <c r="AH26" s="147">
        <v>1028.7</v>
      </c>
    </row>
    <row r="27" spans="1:34" hidden="1" x14ac:dyDescent="0.2">
      <c r="A27" s="178" t="str">
        <f>IFERROR(VLOOKUP(B27,'Sector Code Switch'!G:H,2,FALSE),"")</f>
        <v/>
      </c>
      <c r="B27" s="141" t="s">
        <v>98</v>
      </c>
      <c r="C27" s="140"/>
      <c r="D27" s="140"/>
      <c r="E27" s="140"/>
      <c r="F27" s="140"/>
      <c r="G27" s="140"/>
      <c r="H27" s="140"/>
      <c r="I27" s="140"/>
      <c r="J27" s="140"/>
      <c r="K27" s="140"/>
      <c r="L27" s="140"/>
      <c r="M27" s="140"/>
      <c r="N27" s="140"/>
      <c r="O27" s="147">
        <v>18.260000000000002</v>
      </c>
      <c r="P27" s="147">
        <v>17.63</v>
      </c>
      <c r="Q27" s="140"/>
      <c r="R27" s="140"/>
      <c r="S27" s="140"/>
      <c r="T27" s="140"/>
      <c r="U27" s="140"/>
      <c r="V27" s="140"/>
      <c r="W27" s="140"/>
      <c r="X27" s="140"/>
      <c r="Y27" s="140"/>
      <c r="Z27" s="140"/>
      <c r="AA27" s="147">
        <v>0.63</v>
      </c>
      <c r="AB27" s="140"/>
      <c r="AC27" s="140"/>
      <c r="AD27" s="147">
        <v>26.13</v>
      </c>
      <c r="AE27" s="147">
        <v>1.47</v>
      </c>
      <c r="AF27" s="147">
        <v>5204.8</v>
      </c>
      <c r="AG27" s="147">
        <v>3233.48</v>
      </c>
      <c r="AH27" s="140"/>
    </row>
    <row r="28" spans="1:34" hidden="1" x14ac:dyDescent="0.2">
      <c r="A28" s="178" t="str">
        <f>IFERROR(VLOOKUP(B28,'Sector Code Switch'!G:H,2,FALSE),"")</f>
        <v/>
      </c>
      <c r="B28" s="141" t="s">
        <v>99</v>
      </c>
      <c r="C28" s="147">
        <v>72425.570000000007</v>
      </c>
      <c r="D28" s="147">
        <v>57206.52</v>
      </c>
      <c r="E28" s="140"/>
      <c r="F28" s="147">
        <v>13932.63</v>
      </c>
      <c r="G28" s="147">
        <v>1286.4100000000001</v>
      </c>
      <c r="H28" s="140"/>
      <c r="I28" s="147">
        <v>47762.51</v>
      </c>
      <c r="J28" s="147">
        <v>727.21</v>
      </c>
      <c r="K28" s="147">
        <v>8638.81</v>
      </c>
      <c r="L28" s="147">
        <v>65137</v>
      </c>
      <c r="M28" s="147">
        <v>149.80000000000001</v>
      </c>
      <c r="N28" s="147">
        <v>1001.96</v>
      </c>
      <c r="O28" s="147">
        <v>62085.22</v>
      </c>
      <c r="P28" s="147">
        <v>419.03</v>
      </c>
      <c r="Q28" s="147">
        <v>12743.57</v>
      </c>
      <c r="R28" s="147">
        <v>3352.1</v>
      </c>
      <c r="S28" s="147">
        <v>14136.16</v>
      </c>
      <c r="T28" s="147">
        <v>2332.96</v>
      </c>
      <c r="U28" s="147">
        <v>6178.69</v>
      </c>
      <c r="V28" s="147">
        <v>267.77999999999997</v>
      </c>
      <c r="W28" s="147">
        <v>198.21</v>
      </c>
      <c r="X28" s="147">
        <v>44.16</v>
      </c>
      <c r="Y28" s="147">
        <v>3479.59</v>
      </c>
      <c r="Z28" s="147">
        <v>3163.41</v>
      </c>
      <c r="AA28" s="147">
        <v>5652.07</v>
      </c>
      <c r="AB28" s="147">
        <v>1863.57</v>
      </c>
      <c r="AC28" s="147">
        <v>8253.91</v>
      </c>
      <c r="AD28" s="147">
        <v>1568.8</v>
      </c>
      <c r="AE28" s="147">
        <v>7590.07</v>
      </c>
      <c r="AF28" s="147">
        <v>591129.64</v>
      </c>
      <c r="AG28" s="147">
        <v>74386.69</v>
      </c>
      <c r="AH28" s="147">
        <v>5590.7</v>
      </c>
    </row>
    <row r="29" spans="1:34" x14ac:dyDescent="0.2">
      <c r="A29" s="178" t="str">
        <f>IFERROR(VLOOKUP(B29,'Sector Code Switch'!G:H,2,FALSE),"")</f>
        <v>agriculture and forestry 01T03</v>
      </c>
      <c r="B29" s="142" t="s">
        <v>100</v>
      </c>
      <c r="C29" s="147">
        <v>2253.9</v>
      </c>
      <c r="D29" s="147">
        <v>2172.2800000000002</v>
      </c>
      <c r="E29" s="140"/>
      <c r="F29" s="147">
        <v>81.62</v>
      </c>
      <c r="G29" s="140"/>
      <c r="H29" s="140"/>
      <c r="I29" s="147">
        <v>23.24</v>
      </c>
      <c r="J29" s="140"/>
      <c r="K29" s="140"/>
      <c r="L29" s="140"/>
      <c r="M29" s="140"/>
      <c r="N29" s="140"/>
      <c r="O29" s="147">
        <v>1773.1</v>
      </c>
      <c r="P29" s="140"/>
      <c r="Q29" s="147">
        <v>257.35000000000002</v>
      </c>
      <c r="R29" s="147">
        <v>11</v>
      </c>
      <c r="S29" s="147">
        <v>1497.15</v>
      </c>
      <c r="T29" s="147">
        <v>1.1299999999999999</v>
      </c>
      <c r="U29" s="140"/>
      <c r="V29" s="140"/>
      <c r="W29" s="140"/>
      <c r="X29" s="140"/>
      <c r="Y29" s="140"/>
      <c r="Z29" s="140"/>
      <c r="AA29" s="147">
        <v>6.47</v>
      </c>
      <c r="AB29" s="140"/>
      <c r="AC29" s="140"/>
      <c r="AD29" s="147">
        <v>1.28</v>
      </c>
      <c r="AE29" s="140"/>
      <c r="AF29" s="147">
        <v>111.89</v>
      </c>
      <c r="AG29" s="147">
        <v>1422.11</v>
      </c>
      <c r="AH29" s="147">
        <v>666.23</v>
      </c>
    </row>
    <row r="30" spans="1:34" x14ac:dyDescent="0.2">
      <c r="A30" s="178" t="str">
        <f>IFERROR(VLOOKUP(B30,'Sector Code Switch'!G:H,2,FALSE),"")</f>
        <v/>
      </c>
      <c r="B30" s="142" t="s">
        <v>101</v>
      </c>
      <c r="C30" s="147">
        <v>58457.16</v>
      </c>
      <c r="D30" s="147">
        <v>44258.69</v>
      </c>
      <c r="E30" s="140"/>
      <c r="F30" s="147">
        <v>13300.72</v>
      </c>
      <c r="G30" s="147">
        <v>897.76</v>
      </c>
      <c r="H30" s="140"/>
      <c r="I30" s="147">
        <v>47724.27</v>
      </c>
      <c r="J30" s="147">
        <v>718.58</v>
      </c>
      <c r="K30" s="147">
        <v>8638.81</v>
      </c>
      <c r="L30" s="147">
        <v>651.37</v>
      </c>
      <c r="M30" s="147">
        <v>97.63</v>
      </c>
      <c r="N30" s="147">
        <v>1001.96</v>
      </c>
      <c r="O30" s="147">
        <v>24428.39</v>
      </c>
      <c r="P30" s="147">
        <v>419.03</v>
      </c>
      <c r="Q30" s="147">
        <v>160.38</v>
      </c>
      <c r="R30" s="147">
        <v>9.39</v>
      </c>
      <c r="S30" s="147">
        <v>879.58</v>
      </c>
      <c r="T30" s="147">
        <v>230.69</v>
      </c>
      <c r="U30" s="147">
        <v>6178.69</v>
      </c>
      <c r="V30" s="147">
        <v>267.77999999999997</v>
      </c>
      <c r="W30" s="147">
        <v>198.21</v>
      </c>
      <c r="X30" s="147">
        <v>44.16</v>
      </c>
      <c r="Y30" s="147">
        <v>349.52</v>
      </c>
      <c r="Z30" s="147">
        <v>3163.41</v>
      </c>
      <c r="AA30" s="147">
        <v>2496.33</v>
      </c>
      <c r="AB30" s="147">
        <v>1863.57</v>
      </c>
      <c r="AC30" s="147">
        <v>8167.65</v>
      </c>
      <c r="AD30" s="147">
        <v>614.97</v>
      </c>
      <c r="AE30" s="147">
        <v>7042.49</v>
      </c>
      <c r="AF30" s="147">
        <v>412216.71</v>
      </c>
      <c r="AG30" s="147">
        <v>49119.96</v>
      </c>
      <c r="AH30" s="147">
        <v>990.53</v>
      </c>
    </row>
    <row r="31" spans="1:34" s="187" customFormat="1" x14ac:dyDescent="0.2">
      <c r="A31" s="187" t="str">
        <f>IFERROR(VLOOKUP(B31,'Sector Code Switch'!G:H,2,FALSE),"")</f>
        <v/>
      </c>
      <c r="B31" s="188" t="s">
        <v>102</v>
      </c>
      <c r="C31" s="189">
        <v>13945.34</v>
      </c>
      <c r="D31" s="189">
        <v>11477.5</v>
      </c>
      <c r="E31" s="190"/>
      <c r="F31" s="189">
        <v>2302.54</v>
      </c>
      <c r="G31" s="189">
        <v>165.3</v>
      </c>
      <c r="H31" s="190"/>
      <c r="I31" s="189">
        <v>1818.29</v>
      </c>
      <c r="J31" s="189">
        <v>105.48</v>
      </c>
      <c r="K31" s="190"/>
      <c r="L31" s="190"/>
      <c r="M31" s="190"/>
      <c r="N31" s="189">
        <v>369.98</v>
      </c>
      <c r="O31" s="189">
        <v>14394.21</v>
      </c>
      <c r="P31" s="190"/>
      <c r="Q31" s="189">
        <v>2.4700000000000002</v>
      </c>
      <c r="R31" s="189">
        <v>1.82</v>
      </c>
      <c r="S31" s="189">
        <v>20.75</v>
      </c>
      <c r="T31" s="189">
        <v>37.99</v>
      </c>
      <c r="U31" s="189">
        <v>5750.38</v>
      </c>
      <c r="V31" s="189">
        <v>245.96</v>
      </c>
      <c r="W31" s="189">
        <v>194.33</v>
      </c>
      <c r="X31" s="189">
        <v>41.56</v>
      </c>
      <c r="Y31" s="189">
        <v>304.14</v>
      </c>
      <c r="Z31" s="189">
        <v>2423.0300000000002</v>
      </c>
      <c r="AA31" s="189">
        <v>866.76</v>
      </c>
      <c r="AB31" s="189">
        <v>127.15</v>
      </c>
      <c r="AC31" s="189">
        <v>4377.8599999999997</v>
      </c>
      <c r="AD31" s="189">
        <v>87.44</v>
      </c>
      <c r="AE31" s="189">
        <v>162.97999999999999</v>
      </c>
      <c r="AF31" s="190"/>
      <c r="AG31" s="190"/>
      <c r="AH31" s="189">
        <v>105.78</v>
      </c>
    </row>
    <row r="32" spans="1:34" x14ac:dyDescent="0.2">
      <c r="A32" s="178" t="str">
        <f>IFERROR(VLOOKUP(B32,'Sector Code Switch'!G:H,2,FALSE),"")</f>
        <v>construction 41T43</v>
      </c>
      <c r="B32" s="142" t="s">
        <v>103</v>
      </c>
      <c r="C32" s="147">
        <v>638.85</v>
      </c>
      <c r="D32" s="147">
        <v>597.02</v>
      </c>
      <c r="E32" s="140"/>
      <c r="F32" s="147">
        <v>41.83</v>
      </c>
      <c r="G32" s="140"/>
      <c r="H32" s="140"/>
      <c r="I32" s="147">
        <v>3.57</v>
      </c>
      <c r="J32" s="140"/>
      <c r="K32" s="140"/>
      <c r="L32" s="140"/>
      <c r="M32" s="140"/>
      <c r="N32" s="140"/>
      <c r="O32" s="147">
        <v>4180.29</v>
      </c>
      <c r="P32" s="140"/>
      <c r="Q32" s="147">
        <v>508.39</v>
      </c>
      <c r="R32" s="147">
        <v>10.81</v>
      </c>
      <c r="S32" s="147">
        <v>503.92</v>
      </c>
      <c r="T32" s="147">
        <v>40.75</v>
      </c>
      <c r="U32" s="140"/>
      <c r="V32" s="140"/>
      <c r="W32" s="140"/>
      <c r="X32" s="140"/>
      <c r="Y32" s="147">
        <v>3018.82</v>
      </c>
      <c r="Z32" s="140"/>
      <c r="AA32" s="147">
        <v>11.34</v>
      </c>
      <c r="AB32" s="140"/>
      <c r="AC32" s="147">
        <v>86.26</v>
      </c>
      <c r="AD32" s="147">
        <v>2.64</v>
      </c>
      <c r="AE32" s="140"/>
      <c r="AF32" s="147">
        <v>1933.11</v>
      </c>
      <c r="AG32" s="147">
        <v>1011.1</v>
      </c>
      <c r="AH32" s="147">
        <v>28.55</v>
      </c>
    </row>
    <row r="33" spans="1:34" hidden="1" x14ac:dyDescent="0.2">
      <c r="A33" s="178" t="str">
        <f>IFERROR(VLOOKUP(B33,'Sector Code Switch'!G:H,2,FALSE),"")</f>
        <v/>
      </c>
      <c r="B33" s="142" t="s">
        <v>104</v>
      </c>
      <c r="C33" s="147">
        <v>241.01</v>
      </c>
      <c r="D33" s="147">
        <v>224.31</v>
      </c>
      <c r="E33" s="140"/>
      <c r="F33" s="147">
        <v>16.7</v>
      </c>
      <c r="G33" s="140"/>
      <c r="H33" s="140"/>
      <c r="I33" s="140"/>
      <c r="J33" s="140"/>
      <c r="K33" s="140"/>
      <c r="L33" s="140"/>
      <c r="M33" s="140"/>
      <c r="N33" s="140"/>
      <c r="O33" s="147">
        <v>20480.16</v>
      </c>
      <c r="P33" s="140"/>
      <c r="Q33" s="147">
        <v>5573.57</v>
      </c>
      <c r="R33" s="147">
        <v>3110.76</v>
      </c>
      <c r="S33" s="147">
        <v>9531.98</v>
      </c>
      <c r="T33" s="147">
        <v>2042.01</v>
      </c>
      <c r="U33" s="140"/>
      <c r="V33" s="140"/>
      <c r="W33" s="140"/>
      <c r="X33" s="140"/>
      <c r="Y33" s="147">
        <v>111.24</v>
      </c>
      <c r="Z33" s="140"/>
      <c r="AA33" s="147">
        <v>110.61</v>
      </c>
      <c r="AB33" s="140"/>
      <c r="AC33" s="140"/>
      <c r="AD33" s="147">
        <v>272.25</v>
      </c>
      <c r="AE33" s="147">
        <v>547.58000000000004</v>
      </c>
      <c r="AF33" s="147">
        <v>3904.98</v>
      </c>
      <c r="AG33" s="147">
        <v>1750.98</v>
      </c>
      <c r="AH33" s="147">
        <v>1208.26</v>
      </c>
    </row>
    <row r="34" spans="1:34" hidden="1" x14ac:dyDescent="0.2">
      <c r="A34" s="178" t="str">
        <f>IFERROR(VLOOKUP(B34,'Sector Code Switch'!G:H,2,FALSE),"")</f>
        <v/>
      </c>
      <c r="B34" s="142" t="s">
        <v>105</v>
      </c>
      <c r="C34" s="147">
        <v>1981.18</v>
      </c>
      <c r="D34" s="147">
        <v>1926.62</v>
      </c>
      <c r="E34" s="140"/>
      <c r="F34" s="147">
        <v>37.369999999999997</v>
      </c>
      <c r="G34" s="147">
        <v>17.18</v>
      </c>
      <c r="H34" s="140"/>
      <c r="I34" s="147">
        <v>0.02</v>
      </c>
      <c r="J34" s="147">
        <v>0.68</v>
      </c>
      <c r="K34" s="140"/>
      <c r="L34" s="140"/>
      <c r="M34" s="147">
        <v>9.5399999999999991</v>
      </c>
      <c r="N34" s="140"/>
      <c r="O34" s="147">
        <v>583.27</v>
      </c>
      <c r="P34" s="140"/>
      <c r="Q34" s="147">
        <v>273.23</v>
      </c>
      <c r="R34" s="147">
        <v>14.76</v>
      </c>
      <c r="S34" s="147">
        <v>197.61</v>
      </c>
      <c r="T34" s="147">
        <v>11.8</v>
      </c>
      <c r="U34" s="140"/>
      <c r="V34" s="140"/>
      <c r="W34" s="140"/>
      <c r="X34" s="140"/>
      <c r="Y34" s="140"/>
      <c r="Z34" s="140"/>
      <c r="AA34" s="147">
        <v>85.87</v>
      </c>
      <c r="AB34" s="140"/>
      <c r="AC34" s="140"/>
      <c r="AD34" s="147">
        <v>62.14</v>
      </c>
      <c r="AE34" s="140"/>
      <c r="AF34" s="147">
        <v>10405.719999999999</v>
      </c>
      <c r="AG34" s="147">
        <v>3169.04</v>
      </c>
      <c r="AH34" s="147">
        <v>64</v>
      </c>
    </row>
    <row r="35" spans="1:34" hidden="1" x14ac:dyDescent="0.2">
      <c r="A35" s="178" t="str">
        <f>IFERROR(VLOOKUP(B35,'Sector Code Switch'!G:H,2,FALSE),"")</f>
        <v/>
      </c>
      <c r="B35" s="142" t="s">
        <v>106</v>
      </c>
      <c r="C35" s="147">
        <v>2570.8000000000002</v>
      </c>
      <c r="D35" s="147">
        <v>2488.06</v>
      </c>
      <c r="E35" s="140"/>
      <c r="F35" s="147">
        <v>76.569999999999993</v>
      </c>
      <c r="G35" s="147">
        <v>6.17</v>
      </c>
      <c r="H35" s="140"/>
      <c r="I35" s="140"/>
      <c r="J35" s="147">
        <v>0.88</v>
      </c>
      <c r="K35" s="140"/>
      <c r="L35" s="140"/>
      <c r="M35" s="140"/>
      <c r="N35" s="140"/>
      <c r="O35" s="147">
        <v>3469.89</v>
      </c>
      <c r="P35" s="140"/>
      <c r="Q35" s="147">
        <v>2253.09</v>
      </c>
      <c r="R35" s="147">
        <v>182.96</v>
      </c>
      <c r="S35" s="147">
        <v>946.15</v>
      </c>
      <c r="T35" s="147">
        <v>6.59</v>
      </c>
      <c r="U35" s="140"/>
      <c r="V35" s="140"/>
      <c r="W35" s="140"/>
      <c r="X35" s="140"/>
      <c r="Y35" s="140"/>
      <c r="Z35" s="140"/>
      <c r="AA35" s="147">
        <v>81.099999999999994</v>
      </c>
      <c r="AB35" s="140"/>
      <c r="AC35" s="140"/>
      <c r="AD35" s="147">
        <v>55.55</v>
      </c>
      <c r="AE35" s="140"/>
      <c r="AF35" s="147">
        <v>21207.86</v>
      </c>
      <c r="AG35" s="147">
        <v>6517.02</v>
      </c>
      <c r="AH35" s="147">
        <v>245.5</v>
      </c>
    </row>
    <row r="36" spans="1:34" hidden="1" x14ac:dyDescent="0.2">
      <c r="A36" s="178" t="str">
        <f>IFERROR(VLOOKUP(B36,'Sector Code Switch'!G:H,2,FALSE),"")</f>
        <v/>
      </c>
      <c r="B36" s="142" t="s">
        <v>107</v>
      </c>
      <c r="C36" s="147">
        <v>6282.66</v>
      </c>
      <c r="D36" s="147">
        <v>5539.54</v>
      </c>
      <c r="E36" s="140"/>
      <c r="F36" s="147">
        <v>377.83</v>
      </c>
      <c r="G36" s="147">
        <v>365.29</v>
      </c>
      <c r="H36" s="140"/>
      <c r="I36" s="147">
        <v>11.41</v>
      </c>
      <c r="J36" s="147">
        <v>7.07</v>
      </c>
      <c r="K36" s="140"/>
      <c r="L36" s="140"/>
      <c r="M36" s="147">
        <v>42.63</v>
      </c>
      <c r="N36" s="140"/>
      <c r="O36" s="147">
        <v>7170.11</v>
      </c>
      <c r="P36" s="140"/>
      <c r="Q36" s="147">
        <v>3717.56</v>
      </c>
      <c r="R36" s="147">
        <v>12.42</v>
      </c>
      <c r="S36" s="147">
        <v>579.78</v>
      </c>
      <c r="T36" s="140"/>
      <c r="U36" s="140"/>
      <c r="V36" s="140"/>
      <c r="W36" s="140"/>
      <c r="X36" s="140"/>
      <c r="Y36" s="140"/>
      <c r="Z36" s="140"/>
      <c r="AA36" s="147">
        <v>2860.35</v>
      </c>
      <c r="AB36" s="140"/>
      <c r="AC36" s="140"/>
      <c r="AD36" s="147">
        <v>559.97</v>
      </c>
      <c r="AE36" s="140"/>
      <c r="AF36" s="147">
        <v>141349.38</v>
      </c>
      <c r="AG36" s="147">
        <v>11396.48</v>
      </c>
      <c r="AH36" s="147">
        <v>2387.64</v>
      </c>
    </row>
    <row r="37" spans="1:34" hidden="1" x14ac:dyDescent="0.2">
      <c r="A37" s="178" t="str">
        <f>IFERROR(VLOOKUP(B37,'Sector Code Switch'!G:H,2,FALSE),"")</f>
        <v/>
      </c>
      <c r="B37" s="142" t="s">
        <v>108</v>
      </c>
      <c r="C37" s="147">
        <v>611.84</v>
      </c>
      <c r="D37" s="147">
        <v>482.44</v>
      </c>
      <c r="E37" s="140"/>
      <c r="F37" s="147">
        <v>52.23</v>
      </c>
      <c r="G37" s="147">
        <v>77.180000000000007</v>
      </c>
      <c r="H37" s="140"/>
      <c r="I37" s="147">
        <v>2.82</v>
      </c>
      <c r="J37" s="147">
        <v>5.12</v>
      </c>
      <c r="K37" s="140"/>
      <c r="L37" s="140"/>
      <c r="M37" s="147">
        <v>42.41</v>
      </c>
      <c r="N37" s="140"/>
      <c r="O37" s="147">
        <v>4884.76</v>
      </c>
      <c r="P37" s="140"/>
      <c r="Q37" s="147">
        <v>2510.98</v>
      </c>
      <c r="R37" s="147">
        <v>0.36</v>
      </c>
      <c r="S37" s="147">
        <v>265.29000000000002</v>
      </c>
      <c r="T37" s="140"/>
      <c r="U37" s="140"/>
      <c r="V37" s="140"/>
      <c r="W37" s="140"/>
      <c r="X37" s="140"/>
      <c r="Y37" s="140"/>
      <c r="Z37" s="140"/>
      <c r="AA37" s="147">
        <v>2108.13</v>
      </c>
      <c r="AB37" s="140"/>
      <c r="AC37" s="140"/>
      <c r="AD37" s="147">
        <v>553.66999999999996</v>
      </c>
      <c r="AE37" s="140"/>
      <c r="AF37" s="147">
        <v>141349.38</v>
      </c>
      <c r="AG37" s="147">
        <v>6157.21</v>
      </c>
      <c r="AH37" s="147">
        <v>238</v>
      </c>
    </row>
    <row r="38" spans="1:34" hidden="1" x14ac:dyDescent="0.2">
      <c r="A38" s="178" t="str">
        <f>IFERROR(VLOOKUP(B38,'Sector Code Switch'!G:H,2,FALSE),"")</f>
        <v/>
      </c>
      <c r="B38" s="142" t="s">
        <v>109</v>
      </c>
      <c r="C38" s="147">
        <v>5670.81</v>
      </c>
      <c r="D38" s="147">
        <v>5057.1000000000004</v>
      </c>
      <c r="E38" s="140"/>
      <c r="F38" s="147">
        <v>325.60000000000002</v>
      </c>
      <c r="G38" s="147">
        <v>288.11</v>
      </c>
      <c r="H38" s="140"/>
      <c r="I38" s="147">
        <v>8.59</v>
      </c>
      <c r="J38" s="147">
        <v>1.95</v>
      </c>
      <c r="K38" s="140"/>
      <c r="L38" s="140"/>
      <c r="M38" s="147">
        <v>0.22</v>
      </c>
      <c r="N38" s="140"/>
      <c r="O38" s="147">
        <v>2285.35</v>
      </c>
      <c r="P38" s="140"/>
      <c r="Q38" s="147">
        <v>1206.5899999999999</v>
      </c>
      <c r="R38" s="147">
        <v>12.06</v>
      </c>
      <c r="S38" s="147">
        <v>314.49</v>
      </c>
      <c r="T38" s="140"/>
      <c r="U38" s="140"/>
      <c r="V38" s="140"/>
      <c r="W38" s="140"/>
      <c r="X38" s="140"/>
      <c r="Y38" s="140"/>
      <c r="Z38" s="140"/>
      <c r="AA38" s="147">
        <v>752.22</v>
      </c>
      <c r="AB38" s="140"/>
      <c r="AC38" s="140"/>
      <c r="AD38" s="147">
        <v>6.3</v>
      </c>
      <c r="AE38" s="140"/>
      <c r="AF38" s="140"/>
      <c r="AG38" s="147">
        <v>5239.2700000000004</v>
      </c>
      <c r="AH38" s="147">
        <v>2149.64</v>
      </c>
    </row>
    <row r="39" spans="1:34" hidden="1" x14ac:dyDescent="0.2">
      <c r="A39" s="178" t="str">
        <f>IFERROR(VLOOKUP(B39,'Sector Code Switch'!G:H,2,FALSE),"")</f>
        <v/>
      </c>
      <c r="B39" s="141" t="s">
        <v>110</v>
      </c>
      <c r="C39" s="147">
        <v>9659.31</v>
      </c>
      <c r="D39" s="147">
        <v>8682.5400000000009</v>
      </c>
      <c r="E39" s="147">
        <v>370.17</v>
      </c>
      <c r="F39" s="147">
        <v>544.69000000000005</v>
      </c>
      <c r="G39" s="147">
        <v>61.91</v>
      </c>
      <c r="H39" s="147">
        <v>-60.08</v>
      </c>
      <c r="I39" s="147">
        <v>-998.4</v>
      </c>
      <c r="J39" s="147">
        <v>-15.67</v>
      </c>
      <c r="K39" s="147">
        <v>-156.88</v>
      </c>
      <c r="L39" s="147">
        <v>10.48</v>
      </c>
      <c r="M39" s="147">
        <v>-4.4000000000000004</v>
      </c>
      <c r="N39" s="147">
        <v>-68.260000000000005</v>
      </c>
      <c r="O39" s="147">
        <v>2184.6</v>
      </c>
      <c r="P39" s="147">
        <v>492.5</v>
      </c>
      <c r="Q39" s="147">
        <v>61.87</v>
      </c>
      <c r="R39" s="147">
        <v>60.28</v>
      </c>
      <c r="S39" s="147">
        <v>176.98</v>
      </c>
      <c r="T39" s="147">
        <v>-20.309999999999999</v>
      </c>
      <c r="U39" s="147">
        <v>215.68</v>
      </c>
      <c r="V39" s="147">
        <v>7.46</v>
      </c>
      <c r="W39" s="147">
        <v>-8.68</v>
      </c>
      <c r="X39" s="147">
        <v>-1.41</v>
      </c>
      <c r="Y39" s="147">
        <v>70.08</v>
      </c>
      <c r="Z39" s="147">
        <v>138.41999999999999</v>
      </c>
      <c r="AA39" s="147">
        <v>159.91</v>
      </c>
      <c r="AB39" s="147">
        <v>32.56</v>
      </c>
      <c r="AC39" s="147">
        <v>799.25</v>
      </c>
      <c r="AD39" s="147">
        <v>-0.22</v>
      </c>
      <c r="AE39" s="147">
        <v>3.79</v>
      </c>
      <c r="AF39" s="147">
        <v>507.31</v>
      </c>
      <c r="AG39" s="140"/>
      <c r="AH39" s="147">
        <v>297.82</v>
      </c>
    </row>
    <row r="40" spans="1:34" hidden="1" x14ac:dyDescent="0.2">
      <c r="A40" s="178" t="str">
        <f>IFERROR(VLOOKUP(B40,'Sector Code Switch'!G:H,2,FALSE),"")</f>
        <v/>
      </c>
      <c r="B40" s="143" t="s">
        <v>111</v>
      </c>
      <c r="C40" s="148">
        <v>404859.66</v>
      </c>
      <c r="D40" s="149">
        <v>407122.88</v>
      </c>
      <c r="E40" s="149">
        <v>55007.63</v>
      </c>
      <c r="F40" s="149">
        <v>21661.360000000001</v>
      </c>
      <c r="G40" s="149">
        <v>1286.4100000000001</v>
      </c>
      <c r="H40" s="149">
        <v>2850.43</v>
      </c>
      <c r="I40" s="149">
        <v>48310.41</v>
      </c>
      <c r="J40" s="149">
        <v>1048.21</v>
      </c>
      <c r="K40" s="149">
        <v>12071.38</v>
      </c>
      <c r="L40" s="149">
        <v>1061.46</v>
      </c>
      <c r="M40" s="149">
        <v>154.88</v>
      </c>
      <c r="N40" s="148">
        <v>1420.65</v>
      </c>
      <c r="O40" s="149">
        <v>65369.11</v>
      </c>
      <c r="P40" s="149">
        <v>69477.14</v>
      </c>
      <c r="Q40" s="149">
        <v>12767.16</v>
      </c>
      <c r="R40" s="149">
        <v>3352.1</v>
      </c>
      <c r="S40" s="149">
        <v>14282.7</v>
      </c>
      <c r="T40" s="149">
        <v>5364.6</v>
      </c>
      <c r="U40" s="149">
        <v>7747.49</v>
      </c>
      <c r="V40" s="149">
        <v>272.23</v>
      </c>
      <c r="W40" s="149">
        <v>208.39</v>
      </c>
      <c r="X40" s="149">
        <v>46.48</v>
      </c>
      <c r="Y40" s="148">
        <v>4108.53</v>
      </c>
      <c r="Z40" s="149">
        <v>3666.03</v>
      </c>
      <c r="AA40" s="149">
        <v>6221.15</v>
      </c>
      <c r="AB40" s="149">
        <v>2316.04</v>
      </c>
      <c r="AC40" s="149">
        <v>17058.07</v>
      </c>
      <c r="AD40" s="149">
        <v>2236.86</v>
      </c>
      <c r="AE40" s="149">
        <v>7992.93</v>
      </c>
      <c r="AF40" s="149">
        <v>72416835</v>
      </c>
      <c r="AG40" s="149">
        <v>77620.17</v>
      </c>
      <c r="AH40" s="149">
        <v>8713.51</v>
      </c>
    </row>
    <row r="41" spans="1:34" hidden="1" x14ac:dyDescent="0.2">
      <c r="A41" s="178" t="str">
        <f>IFERROR(VLOOKUP(B41,'Sector Code Switch'!G:H,2,FALSE),"")</f>
        <v/>
      </c>
    </row>
    <row r="42" spans="1:34" x14ac:dyDescent="0.2">
      <c r="A42" s="178" t="str">
        <f>IFERROR(VLOOKUP(B42,'Sector Code Switch'!G:H,2,FALSE),"")</f>
        <v/>
      </c>
    </row>
    <row r="43" spans="1:34" x14ac:dyDescent="0.15">
      <c r="A43" s="178" t="str">
        <f>IFERROR(VLOOKUP(B43,'Sector Code Switch'!G:H,2,FALSE),"")</f>
        <v/>
      </c>
      <c r="B43" s="150" t="s">
        <v>527</v>
      </c>
    </row>
    <row r="44" spans="1:34" x14ac:dyDescent="0.2">
      <c r="A44" s="178" t="str">
        <f>IFERROR(VLOOKUP(B44,'Sector Code Switch'!G:H,2,FALSE),"")</f>
        <v/>
      </c>
      <c r="B44" s="6" t="s">
        <v>0</v>
      </c>
      <c r="C44" s="155" t="s">
        <v>563</v>
      </c>
      <c r="D44" s="155" t="s">
        <v>409</v>
      </c>
      <c r="E44" s="155" t="s">
        <v>411</v>
      </c>
      <c r="F44" s="155" t="s">
        <v>431</v>
      </c>
      <c r="G44" s="155" t="s">
        <v>545</v>
      </c>
      <c r="H44" s="155" t="s">
        <v>429</v>
      </c>
      <c r="I44" s="155" t="s">
        <v>478</v>
      </c>
      <c r="J44" s="155" t="s">
        <v>446</v>
      </c>
      <c r="K44" s="155" t="s">
        <v>448</v>
      </c>
      <c r="L44" s="155" t="s">
        <v>450</v>
      </c>
      <c r="M44" s="155" t="s">
        <v>452</v>
      </c>
      <c r="N44" s="155" t="s">
        <v>434</v>
      </c>
      <c r="O44" s="165" t="s">
        <v>562</v>
      </c>
      <c r="P44" s="165" t="s">
        <v>404</v>
      </c>
      <c r="Q44" s="165" t="s">
        <v>443</v>
      </c>
      <c r="R44" s="165" t="s">
        <v>426</v>
      </c>
      <c r="S44" s="165" t="s">
        <v>436</v>
      </c>
      <c r="T44" s="165" t="s">
        <v>419</v>
      </c>
      <c r="U44" s="165" t="s">
        <v>454</v>
      </c>
      <c r="V44" s="165" t="s">
        <v>456</v>
      </c>
      <c r="W44" s="165" t="s">
        <v>458</v>
      </c>
      <c r="X44" s="165" t="s">
        <v>421</v>
      </c>
      <c r="Y44" s="165" t="s">
        <v>438</v>
      </c>
      <c r="Z44" s="165" t="s">
        <v>440</v>
      </c>
      <c r="AA44" s="165" t="s">
        <v>460</v>
      </c>
      <c r="AB44" s="165" t="s">
        <v>462</v>
      </c>
      <c r="AC44" s="165" t="s">
        <v>423</v>
      </c>
      <c r="AD44" s="167" t="s">
        <v>465</v>
      </c>
      <c r="AE44" s="167" t="s">
        <v>467</v>
      </c>
      <c r="AF44" s="168" t="s">
        <v>416</v>
      </c>
      <c r="AG44" s="169" t="s">
        <v>407</v>
      </c>
      <c r="AH44" s="172" t="s">
        <v>479</v>
      </c>
    </row>
    <row r="45" spans="1:34" x14ac:dyDescent="0.2">
      <c r="A45" s="178" t="str">
        <f>IFERROR(VLOOKUP(B45,'Sector Code Switch'!G:H,2,FALSE),"")</f>
        <v/>
      </c>
      <c r="B45" s="174"/>
      <c r="C45" s="156" t="s">
        <v>543</v>
      </c>
      <c r="D45" s="156" t="s">
        <v>543</v>
      </c>
      <c r="E45" s="156" t="s">
        <v>543</v>
      </c>
      <c r="F45" s="156" t="s">
        <v>543</v>
      </c>
      <c r="G45" s="156" t="s">
        <v>546</v>
      </c>
      <c r="H45" s="156" t="s">
        <v>546</v>
      </c>
      <c r="I45" s="156" t="s">
        <v>543</v>
      </c>
      <c r="J45" s="156" t="s">
        <v>549</v>
      </c>
      <c r="K45" s="156" t="s">
        <v>549</v>
      </c>
      <c r="L45" s="156" t="s">
        <v>549</v>
      </c>
      <c r="M45" s="156" t="s">
        <v>549</v>
      </c>
      <c r="N45" s="156" t="s">
        <v>543</v>
      </c>
      <c r="O45" s="156" t="s">
        <v>543</v>
      </c>
      <c r="P45" s="156" t="s">
        <v>543</v>
      </c>
      <c r="Q45" s="156" t="s">
        <v>543</v>
      </c>
      <c r="R45" s="156" t="s">
        <v>543</v>
      </c>
      <c r="S45" s="156" t="s">
        <v>543</v>
      </c>
      <c r="T45" s="156" t="s">
        <v>543</v>
      </c>
      <c r="U45" s="156" t="s">
        <v>543</v>
      </c>
      <c r="V45" s="156" t="s">
        <v>543</v>
      </c>
      <c r="W45" s="156" t="s">
        <v>543</v>
      </c>
      <c r="X45" s="156" t="s">
        <v>543</v>
      </c>
      <c r="Y45" s="156" t="s">
        <v>543</v>
      </c>
      <c r="Z45" s="156" t="s">
        <v>543</v>
      </c>
      <c r="AA45" s="156" t="s">
        <v>543</v>
      </c>
      <c r="AB45" s="156" t="s">
        <v>543</v>
      </c>
      <c r="AC45" s="156" t="s">
        <v>543</v>
      </c>
      <c r="AD45" s="156" t="s">
        <v>549</v>
      </c>
      <c r="AE45" s="156" t="s">
        <v>543</v>
      </c>
      <c r="AF45" s="161" t="s">
        <v>555</v>
      </c>
      <c r="AG45" s="161" t="s">
        <v>557</v>
      </c>
      <c r="AH45" s="166" t="s">
        <v>559</v>
      </c>
    </row>
    <row r="46" spans="1:34" x14ac:dyDescent="0.2">
      <c r="A46" s="178" t="str">
        <f>IFERROR(VLOOKUP(B46,'Sector Code Switch'!G:H,2,FALSE),"")</f>
        <v/>
      </c>
      <c r="B46" s="137" t="s">
        <v>480</v>
      </c>
      <c r="C46" s="145">
        <v>58457.16</v>
      </c>
      <c r="D46" s="145">
        <v>44258.69</v>
      </c>
      <c r="E46" s="17"/>
      <c r="F46" s="145">
        <v>13300.72</v>
      </c>
      <c r="G46" s="152">
        <f>C46-D46-E46-F46</f>
        <v>897.75000000000182</v>
      </c>
      <c r="I46" s="145">
        <v>47724.27</v>
      </c>
      <c r="J46" s="145">
        <v>718.58</v>
      </c>
      <c r="K46" s="145">
        <v>8638.81</v>
      </c>
      <c r="L46" s="145">
        <v>651.37</v>
      </c>
      <c r="M46" s="145">
        <v>97.63</v>
      </c>
      <c r="N46" s="145">
        <v>1001.96</v>
      </c>
      <c r="O46" s="145">
        <v>24428.39</v>
      </c>
      <c r="P46" s="145">
        <v>419.03</v>
      </c>
      <c r="Q46" s="145">
        <v>160.38</v>
      </c>
      <c r="R46" s="145">
        <v>9.39</v>
      </c>
      <c r="S46" s="145">
        <v>879.58</v>
      </c>
      <c r="T46" s="145">
        <v>230.69</v>
      </c>
      <c r="U46" s="145">
        <v>6178.69</v>
      </c>
      <c r="V46" s="145">
        <v>267.77999999999997</v>
      </c>
      <c r="W46" s="145">
        <v>198.21</v>
      </c>
      <c r="X46" s="145">
        <v>44.16</v>
      </c>
      <c r="Y46" s="145">
        <v>349.52</v>
      </c>
      <c r="Z46" s="145">
        <v>3163.41</v>
      </c>
      <c r="AA46" s="145">
        <v>2496.33</v>
      </c>
      <c r="AB46" s="145">
        <v>1863.57</v>
      </c>
      <c r="AC46" s="145">
        <v>8167.65</v>
      </c>
      <c r="AD46" s="145">
        <v>614.97</v>
      </c>
      <c r="AE46" s="145">
        <v>7042.49</v>
      </c>
      <c r="AF46" s="145">
        <v>412216.71</v>
      </c>
      <c r="AG46" s="145">
        <v>49119.96</v>
      </c>
      <c r="AH46" s="145">
        <v>990.53</v>
      </c>
    </row>
    <row r="47" spans="1:34" x14ac:dyDescent="0.2">
      <c r="A47" s="178" t="str">
        <f>IFERROR(VLOOKUP(B47,'Sector Code Switch'!G:H,2,FALSE),"")</f>
        <v/>
      </c>
      <c r="B47" s="137" t="s">
        <v>481</v>
      </c>
      <c r="C47" s="145">
        <v>2590.1</v>
      </c>
      <c r="D47" s="145">
        <v>1664.25</v>
      </c>
      <c r="E47" s="17"/>
      <c r="F47" s="145">
        <v>908.01</v>
      </c>
      <c r="G47" s="152">
        <f t="shared" ref="G47:G90" si="0">C47-D47-E47-F47</f>
        <v>17.839999999999918</v>
      </c>
      <c r="I47" s="145">
        <v>192.91</v>
      </c>
      <c r="J47" s="145">
        <v>6.38</v>
      </c>
      <c r="K47" s="145">
        <v>20.079999999999998</v>
      </c>
      <c r="L47" s="145">
        <v>1.33</v>
      </c>
      <c r="M47" s="145">
        <v>1.1299999999999999</v>
      </c>
      <c r="N47" s="145">
        <v>0.56999999999999995</v>
      </c>
      <c r="O47" s="145">
        <v>852.33</v>
      </c>
      <c r="P47" s="145">
        <v>247.69</v>
      </c>
      <c r="Q47" s="145">
        <v>13.89</v>
      </c>
      <c r="R47" s="145">
        <v>1.04</v>
      </c>
      <c r="S47" s="145">
        <v>377.09</v>
      </c>
      <c r="T47" s="145">
        <v>1.1299999999999999</v>
      </c>
      <c r="U47" s="145">
        <v>142.6</v>
      </c>
      <c r="V47" s="145">
        <v>2.16</v>
      </c>
      <c r="W47" s="17"/>
      <c r="X47" s="17"/>
      <c r="Y47" s="145">
        <v>1.34</v>
      </c>
      <c r="Z47" s="145">
        <v>1.04</v>
      </c>
      <c r="AA47" s="145">
        <v>36.67</v>
      </c>
      <c r="AB47" s="145">
        <v>10.63</v>
      </c>
      <c r="AC47" s="145">
        <v>17.05</v>
      </c>
      <c r="AD47" s="145">
        <v>139.85</v>
      </c>
      <c r="AE47" s="145">
        <v>44.7</v>
      </c>
      <c r="AF47" s="145">
        <v>5984.58</v>
      </c>
      <c r="AG47" s="145">
        <v>2565.98</v>
      </c>
      <c r="AH47" s="145">
        <v>9.85</v>
      </c>
    </row>
    <row r="48" spans="1:34" x14ac:dyDescent="0.2">
      <c r="A48" s="178" t="str">
        <f>IFERROR(VLOOKUP(B48,'Sector Code Switch'!G:H,2,FALSE),"")</f>
        <v>coal mining 05</v>
      </c>
      <c r="B48" s="138" t="s">
        <v>482</v>
      </c>
      <c r="C48" s="145">
        <v>1987.31</v>
      </c>
      <c r="D48" s="145">
        <v>1115.1600000000001</v>
      </c>
      <c r="E48" s="17"/>
      <c r="F48" s="145">
        <v>867.99</v>
      </c>
      <c r="G48" s="152">
        <f t="shared" si="0"/>
        <v>4.1599999999998545</v>
      </c>
      <c r="I48" s="145">
        <v>4.91</v>
      </c>
      <c r="J48" s="145">
        <v>0.95</v>
      </c>
      <c r="K48" s="145">
        <v>0.39</v>
      </c>
      <c r="L48" s="17"/>
      <c r="M48" s="145">
        <v>1.1299999999999999</v>
      </c>
      <c r="N48" s="145">
        <v>0.56999999999999995</v>
      </c>
      <c r="O48" s="145">
        <v>332.66</v>
      </c>
      <c r="P48" s="145">
        <v>0.08</v>
      </c>
      <c r="Q48" s="145">
        <v>3.22</v>
      </c>
      <c r="R48" s="145">
        <v>0.61</v>
      </c>
      <c r="S48" s="145">
        <v>147.41999999999999</v>
      </c>
      <c r="T48" s="145">
        <v>0.2</v>
      </c>
      <c r="U48" s="145">
        <v>142.6</v>
      </c>
      <c r="V48" s="145">
        <v>1.22</v>
      </c>
      <c r="W48" s="17"/>
      <c r="X48" s="17"/>
      <c r="Y48" s="145">
        <v>0.36</v>
      </c>
      <c r="Z48" s="17"/>
      <c r="AA48" s="145">
        <v>36.44</v>
      </c>
      <c r="AB48" s="17"/>
      <c r="AC48" s="145">
        <v>0.5</v>
      </c>
      <c r="AD48" s="145">
        <v>8.66</v>
      </c>
      <c r="AE48" s="145">
        <v>15.21</v>
      </c>
      <c r="AF48" s="145">
        <v>627.63</v>
      </c>
      <c r="AG48" s="145">
        <v>908.81</v>
      </c>
      <c r="AH48" s="145">
        <v>1.1299999999999999</v>
      </c>
    </row>
    <row r="49" spans="1:34" x14ac:dyDescent="0.2">
      <c r="A49" s="178" t="str">
        <f>IFERROR(VLOOKUP(B49,'Sector Code Switch'!G:H,2,FALSE),"")</f>
        <v>oil and gas extraction 06</v>
      </c>
      <c r="B49" s="138" t="s">
        <v>483</v>
      </c>
      <c r="C49" s="145">
        <v>65.59</v>
      </c>
      <c r="D49" s="145">
        <v>65.59</v>
      </c>
      <c r="E49" s="17"/>
      <c r="F49" s="17"/>
      <c r="G49" s="152"/>
      <c r="I49" s="17"/>
      <c r="J49" s="17"/>
      <c r="K49" s="17"/>
      <c r="L49" s="17"/>
      <c r="M49" s="17"/>
      <c r="N49" s="17"/>
      <c r="O49" s="145">
        <v>305.5</v>
      </c>
      <c r="P49" s="145">
        <v>247.51</v>
      </c>
      <c r="Q49" s="145">
        <v>5.65</v>
      </c>
      <c r="R49" s="17"/>
      <c r="S49" s="145">
        <v>25</v>
      </c>
      <c r="T49" s="145">
        <v>0.3</v>
      </c>
      <c r="U49" s="17"/>
      <c r="V49" s="145">
        <v>0.01</v>
      </c>
      <c r="W49" s="17"/>
      <c r="X49" s="17"/>
      <c r="Y49" s="17"/>
      <c r="Z49" s="17"/>
      <c r="AA49" s="145">
        <v>0.1</v>
      </c>
      <c r="AB49" s="145">
        <v>10.63</v>
      </c>
      <c r="AC49" s="145">
        <v>16.309999999999999</v>
      </c>
      <c r="AD49" s="145">
        <v>126.49</v>
      </c>
      <c r="AE49" s="145">
        <v>11.65</v>
      </c>
      <c r="AF49" s="145">
        <v>2685.32</v>
      </c>
      <c r="AG49" s="145">
        <v>463.32</v>
      </c>
      <c r="AH49" s="17"/>
    </row>
    <row r="50" spans="1:34" x14ac:dyDescent="0.2">
      <c r="A50" s="178" t="str">
        <f>IFERROR(VLOOKUP(B50,'Sector Code Switch'!G:H,2,FALSE),"")</f>
        <v>other mining and quarrying 07T08</v>
      </c>
      <c r="B50" s="138" t="s">
        <v>484</v>
      </c>
      <c r="C50" s="145">
        <v>163.66</v>
      </c>
      <c r="D50" s="145">
        <v>150.61000000000001</v>
      </c>
      <c r="E50" s="17"/>
      <c r="F50" s="145">
        <v>5.14</v>
      </c>
      <c r="G50" s="152">
        <f t="shared" si="0"/>
        <v>7.9099999999999833</v>
      </c>
      <c r="I50" s="145">
        <v>169.63</v>
      </c>
      <c r="J50" s="145">
        <v>2.77</v>
      </c>
      <c r="K50" s="145">
        <v>19.7</v>
      </c>
      <c r="L50" s="145">
        <v>0.1</v>
      </c>
      <c r="M50" s="17"/>
      <c r="N50" s="17"/>
      <c r="O50" s="145">
        <v>35.799999999999997</v>
      </c>
      <c r="P50" s="17"/>
      <c r="Q50" s="145">
        <v>0.6</v>
      </c>
      <c r="R50" s="145">
        <v>0.01</v>
      </c>
      <c r="S50" s="145">
        <v>34.89</v>
      </c>
      <c r="T50" s="145">
        <v>0.01</v>
      </c>
      <c r="U50" s="17"/>
      <c r="V50" s="145">
        <v>0.28999999999999998</v>
      </c>
      <c r="W50" s="17"/>
      <c r="X50" s="17"/>
      <c r="Y50" s="17"/>
      <c r="Z50" s="17"/>
      <c r="AA50" s="17"/>
      <c r="AB50" s="17"/>
      <c r="AC50" s="17"/>
      <c r="AD50" s="145">
        <v>0.05</v>
      </c>
      <c r="AE50" s="17"/>
      <c r="AF50" s="145">
        <v>130.58000000000001</v>
      </c>
      <c r="AG50" s="145">
        <v>447.44</v>
      </c>
      <c r="AH50" s="145">
        <v>2.39</v>
      </c>
    </row>
    <row r="51" spans="1:34" x14ac:dyDescent="0.2">
      <c r="A51" s="178" t="str">
        <f>IFERROR(VLOOKUP(B51,'Sector Code Switch'!G:H,2,FALSE),"")</f>
        <v>other mining and quarrying 07T08</v>
      </c>
      <c r="B51" s="138" t="s">
        <v>485</v>
      </c>
      <c r="C51" s="145">
        <v>76.010000000000005</v>
      </c>
      <c r="D51" s="145">
        <v>74.75</v>
      </c>
      <c r="E51" s="17"/>
      <c r="F51" s="145">
        <v>1.25</v>
      </c>
      <c r="G51" s="152">
        <f t="shared" si="0"/>
        <v>1.0000000000005116E-2</v>
      </c>
      <c r="I51" s="145">
        <v>3.65</v>
      </c>
      <c r="J51" s="145">
        <v>1.01</v>
      </c>
      <c r="K51" s="17"/>
      <c r="L51" s="17"/>
      <c r="M51" s="17"/>
      <c r="N51" s="17"/>
      <c r="O51" s="145">
        <v>19.3</v>
      </c>
      <c r="P51" s="17"/>
      <c r="Q51" s="145">
        <v>1.07</v>
      </c>
      <c r="R51" s="145">
        <v>0.4</v>
      </c>
      <c r="S51" s="145">
        <v>16.57</v>
      </c>
      <c r="T51" s="145">
        <v>0.52</v>
      </c>
      <c r="U51" s="17"/>
      <c r="V51" s="145">
        <v>0.04</v>
      </c>
      <c r="W51" s="17"/>
      <c r="X51" s="17"/>
      <c r="Y51" s="145">
        <v>0.4</v>
      </c>
      <c r="Z51" s="145">
        <v>0.31</v>
      </c>
      <c r="AA51" s="17"/>
      <c r="AB51" s="17"/>
      <c r="AC51" s="17"/>
      <c r="AD51" s="145">
        <v>0.83</v>
      </c>
      <c r="AE51" s="17"/>
      <c r="AF51" s="145">
        <v>0.34</v>
      </c>
      <c r="AG51" s="145">
        <v>329.47</v>
      </c>
      <c r="AH51" s="145">
        <v>6.01</v>
      </c>
    </row>
    <row r="52" spans="1:34" x14ac:dyDescent="0.2">
      <c r="A52" s="178" t="str">
        <f>IFERROR(VLOOKUP(B52,'Sector Code Switch'!G:H,2,FALSE),"")</f>
        <v>other mining and quarrying 07T08</v>
      </c>
      <c r="B52" s="138" t="s">
        <v>486</v>
      </c>
      <c r="C52" s="145">
        <v>285.91000000000003</v>
      </c>
      <c r="D52" s="145">
        <v>246.51</v>
      </c>
      <c r="E52" s="17"/>
      <c r="F52" s="145">
        <v>33.630000000000003</v>
      </c>
      <c r="G52" s="152">
        <f t="shared" si="0"/>
        <v>5.7700000000000315</v>
      </c>
      <c r="I52" s="145">
        <v>14.73</v>
      </c>
      <c r="J52" s="145">
        <v>1.66</v>
      </c>
      <c r="K52" s="17"/>
      <c r="L52" s="145">
        <v>1.22</v>
      </c>
      <c r="M52" s="17"/>
      <c r="N52" s="17"/>
      <c r="O52" s="145">
        <v>50.26</v>
      </c>
      <c r="P52" s="17"/>
      <c r="Q52" s="145">
        <v>0.77</v>
      </c>
      <c r="R52" s="145">
        <v>0.01</v>
      </c>
      <c r="S52" s="145">
        <v>47.82</v>
      </c>
      <c r="T52" s="145">
        <v>0.04</v>
      </c>
      <c r="U52" s="17"/>
      <c r="V52" s="145">
        <v>0.16</v>
      </c>
      <c r="W52" s="17"/>
      <c r="X52" s="17"/>
      <c r="Y52" s="145">
        <v>0.59</v>
      </c>
      <c r="Z52" s="145">
        <v>0.73</v>
      </c>
      <c r="AA52" s="145">
        <v>0.06</v>
      </c>
      <c r="AB52" s="17"/>
      <c r="AC52" s="145">
        <v>7.0000000000000007E-2</v>
      </c>
      <c r="AD52" s="145">
        <v>0.84</v>
      </c>
      <c r="AE52" s="145">
        <v>17.34</v>
      </c>
      <c r="AF52" s="145">
        <v>2289.5300000000002</v>
      </c>
      <c r="AG52" s="145">
        <v>225.7</v>
      </c>
      <c r="AH52" s="145">
        <v>0.33</v>
      </c>
    </row>
    <row r="53" spans="1:34" x14ac:dyDescent="0.2">
      <c r="A53" s="178" t="str">
        <f>IFERROR(VLOOKUP(B53,'Sector Code Switch'!G:H,2,FALSE),"")</f>
        <v>Mining Support Service Activities 09</v>
      </c>
      <c r="B53" s="138" t="s">
        <v>487</v>
      </c>
      <c r="C53" s="145">
        <v>3.33</v>
      </c>
      <c r="D53" s="145">
        <v>3.33</v>
      </c>
      <c r="E53" s="17"/>
      <c r="F53" s="17"/>
      <c r="G53" s="152"/>
      <c r="I53" s="17"/>
      <c r="J53" s="17"/>
      <c r="K53" s="17"/>
      <c r="L53" s="17"/>
      <c r="M53" s="17"/>
      <c r="N53" s="17"/>
      <c r="O53" s="145">
        <v>108.59</v>
      </c>
      <c r="P53" s="145">
        <v>0.09</v>
      </c>
      <c r="Q53" s="145">
        <v>2.59</v>
      </c>
      <c r="R53" s="17"/>
      <c r="S53" s="145">
        <v>105.17</v>
      </c>
      <c r="T53" s="145">
        <v>7.0000000000000007E-2</v>
      </c>
      <c r="U53" s="17"/>
      <c r="V53" s="145">
        <v>0.44</v>
      </c>
      <c r="W53" s="17"/>
      <c r="X53" s="17"/>
      <c r="Y53" s="17"/>
      <c r="Z53" s="17"/>
      <c r="AA53" s="145">
        <v>0.06</v>
      </c>
      <c r="AB53" s="17"/>
      <c r="AC53" s="145">
        <v>0.17</v>
      </c>
      <c r="AD53" s="145">
        <v>2.97</v>
      </c>
      <c r="AE53" s="145">
        <v>0.5</v>
      </c>
      <c r="AF53" s="145">
        <v>251.17</v>
      </c>
      <c r="AG53" s="145">
        <v>29.53</v>
      </c>
      <c r="AH53" s="17"/>
    </row>
    <row r="54" spans="1:34" x14ac:dyDescent="0.2">
      <c r="A54" s="178" t="str">
        <f>IFERROR(VLOOKUP(B54,'Sector Code Switch'!G:H,2,FALSE),"")</f>
        <v>Mining Support Service Activities 09</v>
      </c>
      <c r="B54" s="138" t="s">
        <v>488</v>
      </c>
      <c r="C54" s="145">
        <v>8.2899999999999991</v>
      </c>
      <c r="D54" s="145">
        <v>8.2899999999999991</v>
      </c>
      <c r="E54" s="17"/>
      <c r="F54" s="17"/>
      <c r="G54" s="152"/>
      <c r="I54" s="17"/>
      <c r="J54" s="17"/>
      <c r="K54" s="17"/>
      <c r="L54" s="17"/>
      <c r="M54" s="17"/>
      <c r="N54" s="17"/>
      <c r="O54" s="145">
        <v>0.23</v>
      </c>
      <c r="P54" s="17"/>
      <c r="Q54" s="17"/>
      <c r="R54" s="17"/>
      <c r="S54" s="145">
        <v>0.23</v>
      </c>
      <c r="T54" s="17"/>
      <c r="U54" s="17"/>
      <c r="V54" s="17"/>
      <c r="W54" s="17"/>
      <c r="X54" s="17"/>
      <c r="Y54" s="17"/>
      <c r="Z54" s="17"/>
      <c r="AA54" s="17"/>
      <c r="AB54" s="17"/>
      <c r="AC54" s="17"/>
      <c r="AD54" s="17"/>
      <c r="AE54" s="17"/>
      <c r="AF54" s="17"/>
      <c r="AG54" s="145">
        <v>161.71</v>
      </c>
      <c r="AH54" s="17"/>
    </row>
    <row r="55" spans="1:34" x14ac:dyDescent="0.2">
      <c r="A55" s="178" t="str">
        <f>IFERROR(VLOOKUP(B55,'Sector Code Switch'!G:H,2,FALSE),"")</f>
        <v/>
      </c>
      <c r="B55" s="137" t="s">
        <v>489</v>
      </c>
      <c r="C55" s="145">
        <v>55252.639999999999</v>
      </c>
      <c r="D55" s="145">
        <v>41993.72</v>
      </c>
      <c r="E55" s="17"/>
      <c r="F55" s="145">
        <v>12391.73</v>
      </c>
      <c r="G55" s="152">
        <f t="shared" si="0"/>
        <v>867.18999999999869</v>
      </c>
      <c r="I55" s="145">
        <v>47430.87</v>
      </c>
      <c r="J55" s="145">
        <v>710.43</v>
      </c>
      <c r="K55" s="145">
        <v>8616.9599999999991</v>
      </c>
      <c r="L55" s="145">
        <v>650.04</v>
      </c>
      <c r="M55" s="145">
        <v>96.22</v>
      </c>
      <c r="N55" s="145">
        <v>1001.14</v>
      </c>
      <c r="O55" s="145">
        <v>23534.93</v>
      </c>
      <c r="P55" s="145">
        <v>171.15</v>
      </c>
      <c r="Q55" s="145">
        <v>128.82</v>
      </c>
      <c r="R55" s="145">
        <v>8.35</v>
      </c>
      <c r="S55" s="145">
        <v>482</v>
      </c>
      <c r="T55" s="145">
        <v>228.78</v>
      </c>
      <c r="U55" s="145">
        <v>6036.09</v>
      </c>
      <c r="V55" s="145">
        <v>265.26</v>
      </c>
      <c r="W55" s="145">
        <v>198.19</v>
      </c>
      <c r="X55" s="145">
        <v>44.16</v>
      </c>
      <c r="Y55" s="145">
        <v>348.18</v>
      </c>
      <c r="Z55" s="145">
        <v>3162.36</v>
      </c>
      <c r="AA55" s="145">
        <v>2459.44</v>
      </c>
      <c r="AB55" s="145">
        <v>1851.77</v>
      </c>
      <c r="AC55" s="145">
        <v>8150.38</v>
      </c>
      <c r="AD55" s="145">
        <v>468.3</v>
      </c>
      <c r="AE55" s="145">
        <v>6930.64</v>
      </c>
      <c r="AF55" s="145">
        <v>391877.04</v>
      </c>
      <c r="AG55" s="145">
        <v>39853.379999999997</v>
      </c>
      <c r="AH55" s="145">
        <v>971.06</v>
      </c>
    </row>
    <row r="56" spans="1:34" x14ac:dyDescent="0.2">
      <c r="A56" s="178" t="str">
        <f>IFERROR(VLOOKUP(B56,'Sector Code Switch'!G:H,2,FALSE),"")</f>
        <v>food beverage and tobacco 10T12</v>
      </c>
      <c r="B56" s="138" t="s">
        <v>490</v>
      </c>
      <c r="C56" s="145">
        <v>772.08</v>
      </c>
      <c r="D56" s="145">
        <v>700.34</v>
      </c>
      <c r="E56" s="17"/>
      <c r="F56" s="145">
        <v>67.55</v>
      </c>
      <c r="G56" s="152">
        <f t="shared" si="0"/>
        <v>4.1900000000000119</v>
      </c>
      <c r="I56" s="145">
        <v>14</v>
      </c>
      <c r="J56" s="145">
        <v>0.03</v>
      </c>
      <c r="K56" s="17"/>
      <c r="L56" s="17"/>
      <c r="M56" s="145">
        <v>0.14000000000000001</v>
      </c>
      <c r="N56" s="17"/>
      <c r="O56" s="145">
        <v>20.7</v>
      </c>
      <c r="P56" s="17"/>
      <c r="Q56" s="145">
        <v>4.8499999999999996</v>
      </c>
      <c r="R56" s="145">
        <v>0.04</v>
      </c>
      <c r="S56" s="145">
        <v>12.33</v>
      </c>
      <c r="T56" s="145">
        <v>0.93</v>
      </c>
      <c r="U56" s="17"/>
      <c r="V56" s="145">
        <v>0.03</v>
      </c>
      <c r="W56" s="145">
        <v>0.02</v>
      </c>
      <c r="X56" s="145">
        <v>1.34</v>
      </c>
      <c r="Y56" s="17"/>
      <c r="Z56" s="17"/>
      <c r="AA56" s="145">
        <v>0.97</v>
      </c>
      <c r="AB56" s="17"/>
      <c r="AC56" s="145">
        <v>0.18</v>
      </c>
      <c r="AD56" s="145">
        <v>4.2</v>
      </c>
      <c r="AE56" s="145">
        <v>187.09</v>
      </c>
      <c r="AF56" s="145">
        <v>8733.15</v>
      </c>
      <c r="AG56" s="145">
        <v>842.42</v>
      </c>
      <c r="AH56" s="145">
        <v>186.82</v>
      </c>
    </row>
    <row r="57" spans="1:34" x14ac:dyDescent="0.2">
      <c r="A57" s="178" t="str">
        <f>IFERROR(VLOOKUP(B57,'Sector Code Switch'!G:H,2,FALSE),"")</f>
        <v>food beverage and tobacco 10T12</v>
      </c>
      <c r="B57" s="138" t="s">
        <v>491</v>
      </c>
      <c r="C57" s="145">
        <v>846.89</v>
      </c>
      <c r="D57" s="145">
        <v>837.51</v>
      </c>
      <c r="E57" s="17"/>
      <c r="F57" s="145">
        <v>2.91</v>
      </c>
      <c r="G57" s="152">
        <f t="shared" si="0"/>
        <v>6.4699999999999953</v>
      </c>
      <c r="I57" s="145">
        <v>1.84</v>
      </c>
      <c r="J57" s="17"/>
      <c r="K57" s="17"/>
      <c r="L57" s="17"/>
      <c r="M57" s="17"/>
      <c r="N57" s="17"/>
      <c r="O57" s="145">
        <v>11.33</v>
      </c>
      <c r="P57" s="17"/>
      <c r="Q57" s="145">
        <v>3.69</v>
      </c>
      <c r="R57" s="145">
        <v>0.01</v>
      </c>
      <c r="S57" s="145">
        <v>5.01</v>
      </c>
      <c r="T57" s="145">
        <v>0.43</v>
      </c>
      <c r="U57" s="17"/>
      <c r="V57" s="145">
        <v>0.01</v>
      </c>
      <c r="W57" s="17"/>
      <c r="X57" s="17"/>
      <c r="Y57" s="17"/>
      <c r="Z57" s="17"/>
      <c r="AA57" s="145">
        <v>1.21</v>
      </c>
      <c r="AB57" s="17"/>
      <c r="AC57" s="145">
        <v>0.97</v>
      </c>
      <c r="AD57" s="145">
        <v>13.87</v>
      </c>
      <c r="AE57" s="145">
        <v>89.28</v>
      </c>
      <c r="AF57" s="145">
        <v>8795.58</v>
      </c>
      <c r="AG57" s="145">
        <v>334.09</v>
      </c>
      <c r="AH57" s="145">
        <v>38.619999999999997</v>
      </c>
    </row>
    <row r="58" spans="1:34" x14ac:dyDescent="0.2">
      <c r="A58" s="178" t="str">
        <f>IFERROR(VLOOKUP(B58,'Sector Code Switch'!G:H,2,FALSE),"")</f>
        <v>food beverage and tobacco 10T12</v>
      </c>
      <c r="B58" s="138" t="s">
        <v>492</v>
      </c>
      <c r="C58" s="145">
        <v>404.07</v>
      </c>
      <c r="D58" s="145">
        <v>397.26</v>
      </c>
      <c r="E58" s="17"/>
      <c r="F58" s="145">
        <v>4.9800000000000004</v>
      </c>
      <c r="G58" s="152">
        <f t="shared" si="0"/>
        <v>1.8300000000000018</v>
      </c>
      <c r="I58" s="145">
        <v>0.01</v>
      </c>
      <c r="J58" s="145">
        <v>0.02</v>
      </c>
      <c r="K58" s="17"/>
      <c r="L58" s="17"/>
      <c r="M58" s="145">
        <v>0.02</v>
      </c>
      <c r="N58" s="145">
        <v>0.01</v>
      </c>
      <c r="O58" s="145">
        <v>5.81</v>
      </c>
      <c r="P58" s="17"/>
      <c r="Q58" s="145">
        <v>1.82</v>
      </c>
      <c r="R58" s="17"/>
      <c r="S58" s="145">
        <v>2.89</v>
      </c>
      <c r="T58" s="145">
        <v>0.39</v>
      </c>
      <c r="U58" s="17"/>
      <c r="V58" s="145">
        <v>0.01</v>
      </c>
      <c r="W58" s="17"/>
      <c r="X58" s="17"/>
      <c r="Y58" s="17"/>
      <c r="Z58" s="17"/>
      <c r="AA58" s="145">
        <v>0.7</v>
      </c>
      <c r="AB58" s="17"/>
      <c r="AC58" s="145">
        <v>0.01</v>
      </c>
      <c r="AD58" s="145">
        <v>9.9700000000000006</v>
      </c>
      <c r="AE58" s="145">
        <v>34.71</v>
      </c>
      <c r="AF58" s="145">
        <v>5889.74</v>
      </c>
      <c r="AG58" s="145">
        <v>176.06</v>
      </c>
      <c r="AH58" s="145">
        <v>15.13</v>
      </c>
    </row>
    <row r="59" spans="1:34" x14ac:dyDescent="0.2">
      <c r="A59" s="178" t="str">
        <f>IFERROR(VLOOKUP(B59,'Sector Code Switch'!G:H,2,FALSE),"")</f>
        <v>food beverage and tobacco 10T12</v>
      </c>
      <c r="B59" s="138" t="s">
        <v>493</v>
      </c>
      <c r="C59" s="145">
        <v>4.07</v>
      </c>
      <c r="D59" s="145">
        <v>4.07</v>
      </c>
      <c r="E59" s="17"/>
      <c r="F59" s="17"/>
      <c r="G59" s="152"/>
      <c r="I59" s="17"/>
      <c r="J59" s="17"/>
      <c r="K59" s="17"/>
      <c r="L59" s="17"/>
      <c r="M59" s="17"/>
      <c r="N59" s="17"/>
      <c r="O59" s="145">
        <v>0.68</v>
      </c>
      <c r="P59" s="17"/>
      <c r="Q59" s="145">
        <v>0.08</v>
      </c>
      <c r="R59" s="17"/>
      <c r="S59" s="145">
        <v>0.55000000000000004</v>
      </c>
      <c r="T59" s="17"/>
      <c r="U59" s="17"/>
      <c r="V59" s="17"/>
      <c r="W59" s="17"/>
      <c r="X59" s="17"/>
      <c r="Y59" s="17"/>
      <c r="Z59" s="17"/>
      <c r="AA59" s="145">
        <v>0.04</v>
      </c>
      <c r="AB59" s="17"/>
      <c r="AC59" s="17"/>
      <c r="AD59" s="145">
        <v>1.1399999999999999</v>
      </c>
      <c r="AE59" s="17"/>
      <c r="AF59" s="145">
        <v>214.86</v>
      </c>
      <c r="AG59" s="145">
        <v>50.87</v>
      </c>
      <c r="AH59" s="145">
        <v>2.23</v>
      </c>
    </row>
    <row r="60" spans="1:34" x14ac:dyDescent="0.2">
      <c r="A60" s="178" t="str">
        <f>IFERROR(VLOOKUP(B60,'Sector Code Switch'!G:H,2,FALSE),"")</f>
        <v>textiles apparel and leather 13T15</v>
      </c>
      <c r="B60" s="138" t="s">
        <v>494</v>
      </c>
      <c r="C60" s="145">
        <v>285.95</v>
      </c>
      <c r="D60" s="145">
        <v>231.19</v>
      </c>
      <c r="E60" s="17"/>
      <c r="F60" s="145">
        <v>7.28</v>
      </c>
      <c r="G60" s="152">
        <f t="shared" si="0"/>
        <v>47.47999999999999</v>
      </c>
      <c r="I60" s="145">
        <v>3.93</v>
      </c>
      <c r="J60" s="17"/>
      <c r="K60" s="17"/>
      <c r="L60" s="17"/>
      <c r="M60" s="17"/>
      <c r="N60" s="17"/>
      <c r="O60" s="145">
        <v>11.87</v>
      </c>
      <c r="P60" s="17"/>
      <c r="Q60" s="145">
        <v>3.27</v>
      </c>
      <c r="R60" s="145">
        <v>0.01</v>
      </c>
      <c r="S60" s="145">
        <v>3.8</v>
      </c>
      <c r="T60" s="145">
        <v>1.17</v>
      </c>
      <c r="U60" s="17"/>
      <c r="V60" s="145">
        <v>0.1</v>
      </c>
      <c r="W60" s="17"/>
      <c r="X60" s="17"/>
      <c r="Y60" s="145">
        <v>1.58</v>
      </c>
      <c r="Z60" s="17"/>
      <c r="AA60" s="145">
        <v>1.36</v>
      </c>
      <c r="AB60" s="17"/>
      <c r="AC60" s="145">
        <v>0.56999999999999995</v>
      </c>
      <c r="AD60" s="145">
        <v>15.9</v>
      </c>
      <c r="AE60" s="145">
        <v>252.62</v>
      </c>
      <c r="AF60" s="145">
        <v>32049.84</v>
      </c>
      <c r="AG60" s="145">
        <v>1650.38</v>
      </c>
      <c r="AH60" s="145">
        <v>52.08</v>
      </c>
    </row>
    <row r="61" spans="1:34" x14ac:dyDescent="0.2">
      <c r="A61" s="178" t="str">
        <f>IFERROR(VLOOKUP(B61,'Sector Code Switch'!G:H,2,FALSE),"")</f>
        <v>textiles apparel and leather 13T15</v>
      </c>
      <c r="B61" s="138" t="s">
        <v>495</v>
      </c>
      <c r="C61" s="145">
        <v>28.66</v>
      </c>
      <c r="D61" s="145">
        <v>28.28</v>
      </c>
      <c r="E61" s="17"/>
      <c r="F61" s="145">
        <v>0.3</v>
      </c>
      <c r="G61" s="152">
        <f t="shared" si="0"/>
        <v>7.9999999999999016E-2</v>
      </c>
      <c r="I61" s="145">
        <v>0.04</v>
      </c>
      <c r="J61" s="17"/>
      <c r="K61" s="17"/>
      <c r="L61" s="17"/>
      <c r="M61" s="17"/>
      <c r="N61" s="17"/>
      <c r="O61" s="145">
        <v>5.57</v>
      </c>
      <c r="P61" s="17"/>
      <c r="Q61" s="145">
        <v>2.89</v>
      </c>
      <c r="R61" s="17"/>
      <c r="S61" s="145">
        <v>2.16</v>
      </c>
      <c r="T61" s="145">
        <v>0.25</v>
      </c>
      <c r="U61" s="17"/>
      <c r="V61" s="145">
        <v>0.02</v>
      </c>
      <c r="W61" s="17"/>
      <c r="X61" s="17"/>
      <c r="Y61" s="17"/>
      <c r="Z61" s="17"/>
      <c r="AA61" s="145">
        <v>0.2</v>
      </c>
      <c r="AB61" s="17"/>
      <c r="AC61" s="145">
        <v>0.03</v>
      </c>
      <c r="AD61" s="145">
        <v>1.01</v>
      </c>
      <c r="AE61" s="145">
        <v>76.67</v>
      </c>
      <c r="AF61" s="145">
        <v>321.44</v>
      </c>
      <c r="AG61" s="145">
        <v>220.24</v>
      </c>
      <c r="AH61" s="145">
        <v>6.26</v>
      </c>
    </row>
    <row r="62" spans="1:34" x14ac:dyDescent="0.2">
      <c r="A62" s="178" t="str">
        <f>IFERROR(VLOOKUP(B62,'Sector Code Switch'!G:H,2,FALSE),"")</f>
        <v>textiles apparel and leather 13T15</v>
      </c>
      <c r="B62" s="138" t="s">
        <v>496</v>
      </c>
      <c r="C62" s="145">
        <v>17.8</v>
      </c>
      <c r="D62" s="145">
        <v>15.69</v>
      </c>
      <c r="E62" s="17"/>
      <c r="F62" s="145">
        <v>0.03</v>
      </c>
      <c r="G62" s="152">
        <f t="shared" si="0"/>
        <v>2.0800000000000014</v>
      </c>
      <c r="I62" s="17"/>
      <c r="J62" s="17"/>
      <c r="K62" s="145">
        <v>7.0000000000000007E-2</v>
      </c>
      <c r="L62" s="17"/>
      <c r="M62" s="17"/>
      <c r="N62" s="17"/>
      <c r="O62" s="145">
        <v>3.13</v>
      </c>
      <c r="P62" s="17"/>
      <c r="Q62" s="145">
        <v>1.56</v>
      </c>
      <c r="R62" s="17"/>
      <c r="S62" s="145">
        <v>1</v>
      </c>
      <c r="T62" s="145">
        <v>0.14000000000000001</v>
      </c>
      <c r="U62" s="17"/>
      <c r="V62" s="145">
        <v>0.04</v>
      </c>
      <c r="W62" s="17"/>
      <c r="X62" s="145">
        <v>0.1</v>
      </c>
      <c r="Y62" s="17"/>
      <c r="Z62" s="17"/>
      <c r="AA62" s="145">
        <v>0.2</v>
      </c>
      <c r="AB62" s="17"/>
      <c r="AC62" s="145">
        <v>7.0000000000000007E-2</v>
      </c>
      <c r="AD62" s="145">
        <v>0.11</v>
      </c>
      <c r="AE62" s="145">
        <v>20.420000000000002</v>
      </c>
      <c r="AF62" s="145">
        <v>184.79</v>
      </c>
      <c r="AG62" s="145">
        <v>140.96</v>
      </c>
      <c r="AH62" s="145">
        <v>7.75</v>
      </c>
    </row>
    <row r="63" spans="1:34" x14ac:dyDescent="0.2">
      <c r="A63" s="178" t="str">
        <f>IFERROR(VLOOKUP(B63,'Sector Code Switch'!G:H,2,FALSE),"")</f>
        <v>wood products 16</v>
      </c>
      <c r="B63" s="138" t="s">
        <v>497</v>
      </c>
      <c r="C63" s="145">
        <v>34</v>
      </c>
      <c r="D63" s="145">
        <v>33.47</v>
      </c>
      <c r="E63" s="17"/>
      <c r="F63" s="145">
        <v>0.52</v>
      </c>
      <c r="G63" s="152">
        <f t="shared" si="0"/>
        <v>1.0000000000001119E-2</v>
      </c>
      <c r="I63" s="145">
        <v>0.01</v>
      </c>
      <c r="J63" s="17"/>
      <c r="K63" s="17"/>
      <c r="L63" s="17"/>
      <c r="M63" s="17"/>
      <c r="N63" s="17"/>
      <c r="O63" s="145">
        <v>7.27</v>
      </c>
      <c r="P63" s="17"/>
      <c r="Q63" s="145">
        <v>1.27</v>
      </c>
      <c r="R63" s="17"/>
      <c r="S63" s="145">
        <v>3.88</v>
      </c>
      <c r="T63" s="145">
        <v>0.13</v>
      </c>
      <c r="U63" s="17"/>
      <c r="V63" s="145">
        <v>7.0000000000000007E-2</v>
      </c>
      <c r="W63" s="145">
        <v>1.69</v>
      </c>
      <c r="X63" s="17"/>
      <c r="Y63" s="17"/>
      <c r="Z63" s="17"/>
      <c r="AA63" s="145">
        <v>0.24</v>
      </c>
      <c r="AB63" s="17"/>
      <c r="AC63" s="17"/>
      <c r="AD63" s="145">
        <v>2.81</v>
      </c>
      <c r="AE63" s="145">
        <v>2.29</v>
      </c>
      <c r="AF63" s="145">
        <v>694.28</v>
      </c>
      <c r="AG63" s="145">
        <v>283.98</v>
      </c>
      <c r="AH63" s="145">
        <v>81.03</v>
      </c>
    </row>
    <row r="64" spans="1:34" x14ac:dyDescent="0.2">
      <c r="A64" s="178" t="str">
        <f>IFERROR(VLOOKUP(B64,'Sector Code Switch'!G:H,2,FALSE),"")</f>
        <v>wood products 16</v>
      </c>
      <c r="B64" s="138" t="s">
        <v>498</v>
      </c>
      <c r="C64" s="145">
        <v>1.85</v>
      </c>
      <c r="D64" s="145">
        <v>1.66</v>
      </c>
      <c r="E64" s="17"/>
      <c r="F64" s="145">
        <v>0.19</v>
      </c>
      <c r="G64" s="152"/>
      <c r="I64" s="145">
        <v>0.06</v>
      </c>
      <c r="J64" s="17"/>
      <c r="K64" s="17"/>
      <c r="L64" s="17"/>
      <c r="M64" s="17"/>
      <c r="N64" s="17"/>
      <c r="O64" s="145">
        <v>3.85</v>
      </c>
      <c r="P64" s="17"/>
      <c r="Q64" s="145">
        <v>1.63</v>
      </c>
      <c r="R64" s="145">
        <v>0.02</v>
      </c>
      <c r="S64" s="145">
        <v>1.88</v>
      </c>
      <c r="T64" s="145">
        <v>0.06</v>
      </c>
      <c r="U64" s="17"/>
      <c r="V64" s="145">
        <v>0.08</v>
      </c>
      <c r="W64" s="17"/>
      <c r="X64" s="17"/>
      <c r="Y64" s="17"/>
      <c r="Z64" s="17"/>
      <c r="AA64" s="145">
        <v>0.18</v>
      </c>
      <c r="AB64" s="17"/>
      <c r="AC64" s="17"/>
      <c r="AD64" s="145">
        <v>1.37</v>
      </c>
      <c r="AE64" s="145">
        <v>2.23</v>
      </c>
      <c r="AF64" s="145">
        <v>76.150000000000006</v>
      </c>
      <c r="AG64" s="145">
        <v>120.74</v>
      </c>
      <c r="AH64" s="145">
        <v>3.13</v>
      </c>
    </row>
    <row r="65" spans="1:34" x14ac:dyDescent="0.2">
      <c r="A65" s="178" t="str">
        <f>IFERROR(VLOOKUP(B65,'Sector Code Switch'!G:H,2,FALSE),"")</f>
        <v>pulp paper and printing 17T18</v>
      </c>
      <c r="B65" s="138" t="s">
        <v>499</v>
      </c>
      <c r="C65" s="145">
        <v>583.73</v>
      </c>
      <c r="D65" s="145">
        <v>512.11</v>
      </c>
      <c r="E65" s="17"/>
      <c r="F65" s="145">
        <v>43.34</v>
      </c>
      <c r="G65" s="152">
        <f t="shared" si="0"/>
        <v>28.28</v>
      </c>
      <c r="I65" s="145">
        <v>7.93</v>
      </c>
      <c r="J65" s="145">
        <v>7.0000000000000007E-2</v>
      </c>
      <c r="K65" s="17"/>
      <c r="L65" s="17"/>
      <c r="M65" s="17"/>
      <c r="N65" s="17"/>
      <c r="O65" s="145">
        <v>15.49</v>
      </c>
      <c r="P65" s="145">
        <v>0.03</v>
      </c>
      <c r="Q65" s="145">
        <v>1.63</v>
      </c>
      <c r="R65" s="17"/>
      <c r="S65" s="145">
        <v>9.23</v>
      </c>
      <c r="T65" s="145">
        <v>2.72</v>
      </c>
      <c r="U65" s="17"/>
      <c r="V65" s="145">
        <v>0.09</v>
      </c>
      <c r="W65" s="145">
        <v>0.03</v>
      </c>
      <c r="X65" s="145">
        <v>0.26</v>
      </c>
      <c r="Y65" s="17"/>
      <c r="Z65" s="17"/>
      <c r="AA65" s="145">
        <v>1.42</v>
      </c>
      <c r="AB65" s="17"/>
      <c r="AC65" s="145">
        <v>0.09</v>
      </c>
      <c r="AD65" s="145">
        <v>5.1100000000000003</v>
      </c>
      <c r="AE65" s="145">
        <v>116.91</v>
      </c>
      <c r="AF65" s="145">
        <v>22715.18</v>
      </c>
      <c r="AG65" s="145">
        <v>798.25</v>
      </c>
      <c r="AH65" s="145">
        <v>62.84</v>
      </c>
    </row>
    <row r="66" spans="1:34" x14ac:dyDescent="0.2">
      <c r="A66" s="178" t="str">
        <f>IFERROR(VLOOKUP(B66,'Sector Code Switch'!G:H,2,FALSE),"")</f>
        <v>pulp paper and printing 17T18</v>
      </c>
      <c r="B66" s="138" t="s">
        <v>500</v>
      </c>
      <c r="C66" s="145">
        <v>13</v>
      </c>
      <c r="D66" s="145">
        <v>12.14</v>
      </c>
      <c r="E66" s="17"/>
      <c r="F66" s="145">
        <v>0.32</v>
      </c>
      <c r="G66" s="152">
        <f t="shared" si="0"/>
        <v>0.53999999999999937</v>
      </c>
      <c r="I66" s="145">
        <v>0.02</v>
      </c>
      <c r="J66" s="145">
        <v>0.4</v>
      </c>
      <c r="K66" s="17"/>
      <c r="L66" s="17"/>
      <c r="M66" s="17"/>
      <c r="N66" s="17"/>
      <c r="O66" s="145">
        <v>6.8</v>
      </c>
      <c r="P66" s="17"/>
      <c r="Q66" s="145">
        <v>2.83</v>
      </c>
      <c r="R66" s="145">
        <v>0.01</v>
      </c>
      <c r="S66" s="145">
        <v>3.12</v>
      </c>
      <c r="T66" s="145">
        <v>0.16</v>
      </c>
      <c r="U66" s="17"/>
      <c r="V66" s="145">
        <v>0.06</v>
      </c>
      <c r="W66" s="17"/>
      <c r="X66" s="145">
        <v>0.02</v>
      </c>
      <c r="Y66" s="17"/>
      <c r="Z66" s="17"/>
      <c r="AA66" s="145">
        <v>0.42</v>
      </c>
      <c r="AB66" s="17"/>
      <c r="AC66" s="145">
        <v>0.19</v>
      </c>
      <c r="AD66" s="145">
        <v>3.57</v>
      </c>
      <c r="AE66" s="145">
        <v>8.23</v>
      </c>
      <c r="AF66" s="145">
        <v>501.06</v>
      </c>
      <c r="AG66" s="145">
        <v>132.53</v>
      </c>
      <c r="AH66" s="145">
        <v>7.32</v>
      </c>
    </row>
    <row r="67" spans="1:34" x14ac:dyDescent="0.2">
      <c r="A67" s="178" t="str">
        <f>IFERROR(VLOOKUP(B67,'Sector Code Switch'!G:H,2,FALSE),"")</f>
        <v>pulp paper and printing 17T18</v>
      </c>
      <c r="B67" s="138" t="s">
        <v>501</v>
      </c>
      <c r="C67" s="145">
        <v>10.38</v>
      </c>
      <c r="D67" s="145">
        <v>9.91</v>
      </c>
      <c r="E67" s="17"/>
      <c r="F67" s="17"/>
      <c r="G67" s="152">
        <f t="shared" si="0"/>
        <v>0.47000000000000064</v>
      </c>
      <c r="I67" s="145">
        <v>0.44</v>
      </c>
      <c r="J67" s="17"/>
      <c r="K67" s="17"/>
      <c r="L67" s="17"/>
      <c r="M67" s="17"/>
      <c r="N67" s="17"/>
      <c r="O67" s="145">
        <v>16.829999999999998</v>
      </c>
      <c r="P67" s="17"/>
      <c r="Q67" s="145">
        <v>2.06</v>
      </c>
      <c r="R67" s="17"/>
      <c r="S67" s="145">
        <v>1.98</v>
      </c>
      <c r="T67" s="145">
        <v>0.27</v>
      </c>
      <c r="U67" s="17"/>
      <c r="V67" s="145">
        <v>0.02</v>
      </c>
      <c r="W67" s="145">
        <v>0.51</v>
      </c>
      <c r="X67" s="145">
        <v>0.06</v>
      </c>
      <c r="Y67" s="17"/>
      <c r="Z67" s="145">
        <v>11.07</v>
      </c>
      <c r="AA67" s="145">
        <v>0.71</v>
      </c>
      <c r="AB67" s="17"/>
      <c r="AC67" s="145">
        <v>0.14000000000000001</v>
      </c>
      <c r="AD67" s="145">
        <v>3.24</v>
      </c>
      <c r="AE67" s="145">
        <v>95.96</v>
      </c>
      <c r="AF67" s="145">
        <v>107.72</v>
      </c>
      <c r="AG67" s="145">
        <v>85.05</v>
      </c>
      <c r="AH67" s="145">
        <v>5.31</v>
      </c>
    </row>
    <row r="68" spans="1:34" x14ac:dyDescent="0.2">
      <c r="A68" s="178" t="str">
        <f>IFERROR(VLOOKUP(B68,'Sector Code Switch'!G:H,2,FALSE),"")</f>
        <v>refined petroleum and coke 19</v>
      </c>
      <c r="B68" s="138" t="s">
        <v>502</v>
      </c>
      <c r="C68" s="145">
        <v>1902.55</v>
      </c>
      <c r="D68" s="145">
        <v>1138.29</v>
      </c>
      <c r="E68" s="17"/>
      <c r="F68" s="145">
        <v>724.96</v>
      </c>
      <c r="G68" s="152">
        <f t="shared" si="0"/>
        <v>39.299999999999955</v>
      </c>
      <c r="I68" s="145">
        <v>56.52</v>
      </c>
      <c r="J68" s="145">
        <v>196.79</v>
      </c>
      <c r="K68" s="145">
        <v>100.16</v>
      </c>
      <c r="L68" s="145">
        <v>2.88</v>
      </c>
      <c r="M68" s="145">
        <v>2.57</v>
      </c>
      <c r="N68" s="145">
        <v>91.14</v>
      </c>
      <c r="O68" s="145">
        <v>11424.97</v>
      </c>
      <c r="P68" s="145">
        <v>52.25</v>
      </c>
      <c r="Q68" s="145">
        <v>1.19</v>
      </c>
      <c r="R68" s="145">
        <v>0.03</v>
      </c>
      <c r="S68" s="145">
        <v>11.72</v>
      </c>
      <c r="T68" s="145">
        <v>116.66</v>
      </c>
      <c r="U68" s="145">
        <v>1295.31</v>
      </c>
      <c r="V68" s="145">
        <v>241.32</v>
      </c>
      <c r="W68" s="145">
        <v>0.02</v>
      </c>
      <c r="X68" s="145">
        <v>1.05</v>
      </c>
      <c r="Y68" s="145">
        <v>7.88</v>
      </c>
      <c r="Z68" s="145">
        <v>219.55</v>
      </c>
      <c r="AA68" s="145">
        <v>1519.62</v>
      </c>
      <c r="AB68" s="145">
        <v>1660.34</v>
      </c>
      <c r="AC68" s="145">
        <v>6298.03</v>
      </c>
      <c r="AD68" s="145">
        <v>27.44</v>
      </c>
      <c r="AE68" s="145">
        <v>573.79999999999995</v>
      </c>
      <c r="AF68" s="145">
        <v>66461.36</v>
      </c>
      <c r="AG68" s="145">
        <v>1283.3</v>
      </c>
      <c r="AH68" s="145">
        <v>52.1</v>
      </c>
    </row>
    <row r="69" spans="1:34" x14ac:dyDescent="0.2">
      <c r="A69" s="178" t="str">
        <f>IFERROR(VLOOKUP(B69,'Sector Code Switch'!G:H,2,FALSE),"")</f>
        <v>chemicals 20</v>
      </c>
      <c r="B69" s="138" t="s">
        <v>503</v>
      </c>
      <c r="C69" s="145">
        <v>12283.92</v>
      </c>
      <c r="D69" s="145">
        <v>11855.34</v>
      </c>
      <c r="E69" s="17"/>
      <c r="F69" s="145">
        <v>229.71</v>
      </c>
      <c r="G69" s="152">
        <f t="shared" si="0"/>
        <v>198.86999999999992</v>
      </c>
      <c r="I69" s="145">
        <v>4059.94</v>
      </c>
      <c r="J69" s="145">
        <v>90.42</v>
      </c>
      <c r="K69" s="145">
        <v>9.42</v>
      </c>
      <c r="L69" s="145">
        <v>8.58</v>
      </c>
      <c r="M69" s="145">
        <v>13.37</v>
      </c>
      <c r="N69" s="145">
        <v>545.66</v>
      </c>
      <c r="O69" s="145">
        <v>8128.36</v>
      </c>
      <c r="P69" s="145">
        <v>118.23</v>
      </c>
      <c r="Q69" s="145">
        <v>8.7899999999999991</v>
      </c>
      <c r="R69" s="145">
        <v>2</v>
      </c>
      <c r="S69" s="145">
        <v>25.49</v>
      </c>
      <c r="T69" s="145">
        <v>29.78</v>
      </c>
      <c r="U69" s="145">
        <v>4740.74</v>
      </c>
      <c r="V69" s="145">
        <v>1.19</v>
      </c>
      <c r="W69" s="145">
        <v>193.02</v>
      </c>
      <c r="X69" s="145">
        <v>39.65</v>
      </c>
      <c r="Y69" s="145">
        <v>39.06</v>
      </c>
      <c r="Z69" s="145">
        <v>84.9</v>
      </c>
      <c r="AA69" s="145">
        <v>840.3</v>
      </c>
      <c r="AB69" s="145">
        <v>190.42</v>
      </c>
      <c r="AC69" s="145">
        <v>1814.8</v>
      </c>
      <c r="AD69" s="145">
        <v>186.67</v>
      </c>
      <c r="AE69" s="145">
        <v>1715.36</v>
      </c>
      <c r="AF69" s="145">
        <v>166792.84</v>
      </c>
      <c r="AG69" s="145">
        <v>5781.14</v>
      </c>
      <c r="AH69" s="145">
        <v>232.29</v>
      </c>
    </row>
    <row r="70" spans="1:34" x14ac:dyDescent="0.2">
      <c r="A70" s="178">
        <f>IFERROR(VLOOKUP(B70,'Sector Code Switch'!G:H,2,FALSE),"")</f>
        <v>0</v>
      </c>
      <c r="B70" s="138" t="s">
        <v>504</v>
      </c>
      <c r="C70" s="145">
        <v>412.05</v>
      </c>
      <c r="D70" s="145">
        <v>398.55</v>
      </c>
      <c r="E70" s="17"/>
      <c r="F70" s="145">
        <v>3.33</v>
      </c>
      <c r="G70" s="152">
        <f t="shared" si="0"/>
        <v>10.17</v>
      </c>
      <c r="I70" s="145">
        <v>3.46</v>
      </c>
      <c r="J70" s="145">
        <v>0.15</v>
      </c>
      <c r="K70" s="17"/>
      <c r="L70" s="17"/>
      <c r="M70" s="145">
        <v>0.02</v>
      </c>
      <c r="N70" s="145">
        <v>0.01</v>
      </c>
      <c r="O70" s="145">
        <v>9.84</v>
      </c>
      <c r="P70" s="17"/>
      <c r="Q70" s="145">
        <v>2.98</v>
      </c>
      <c r="R70" s="145">
        <v>0.01</v>
      </c>
      <c r="S70" s="145">
        <v>3.76</v>
      </c>
      <c r="T70" s="145">
        <v>1.5</v>
      </c>
      <c r="U70" s="17"/>
      <c r="V70" s="145">
        <v>0.01</v>
      </c>
      <c r="W70" s="145">
        <v>0.03</v>
      </c>
      <c r="X70" s="145">
        <v>0.34</v>
      </c>
      <c r="Y70" s="17"/>
      <c r="Z70" s="17"/>
      <c r="AA70" s="145">
        <v>0.46</v>
      </c>
      <c r="AB70" s="17"/>
      <c r="AC70" s="145">
        <v>0.76</v>
      </c>
      <c r="AD70" s="145">
        <v>7.99</v>
      </c>
      <c r="AE70" s="145">
        <v>81.89</v>
      </c>
      <c r="AF70" s="145">
        <v>11051.26</v>
      </c>
      <c r="AG70" s="145">
        <v>430.45</v>
      </c>
      <c r="AH70" s="145">
        <v>19.899999999999999</v>
      </c>
    </row>
    <row r="71" spans="1:34" x14ac:dyDescent="0.2">
      <c r="A71" s="178" t="str">
        <f>IFERROR(VLOOKUP(B71,'Sector Code Switch'!G:H,2,FALSE),"")</f>
        <v>chemicals 20</v>
      </c>
      <c r="B71" s="138" t="s">
        <v>505</v>
      </c>
      <c r="C71" s="145">
        <v>538.66</v>
      </c>
      <c r="D71" s="145">
        <v>358.56</v>
      </c>
      <c r="E71" s="17"/>
      <c r="F71" s="145">
        <v>4.2699999999999996</v>
      </c>
      <c r="G71" s="152">
        <f t="shared" si="0"/>
        <v>175.82999999999996</v>
      </c>
      <c r="I71" s="145">
        <v>7.0000000000000007E-2</v>
      </c>
      <c r="J71" s="17"/>
      <c r="K71" s="17"/>
      <c r="L71" s="17"/>
      <c r="M71" s="17"/>
      <c r="N71" s="17"/>
      <c r="O71" s="145">
        <v>2.4</v>
      </c>
      <c r="P71" s="17"/>
      <c r="Q71" s="145">
        <v>0.37</v>
      </c>
      <c r="R71" s="145">
        <v>0.02</v>
      </c>
      <c r="S71" s="145">
        <v>1.1100000000000001</v>
      </c>
      <c r="T71" s="145">
        <v>0.63</v>
      </c>
      <c r="U71" s="17"/>
      <c r="V71" s="145">
        <v>0.04</v>
      </c>
      <c r="W71" s="17"/>
      <c r="X71" s="145">
        <v>0.09</v>
      </c>
      <c r="Y71" s="17"/>
      <c r="Z71" s="17"/>
      <c r="AA71" s="145">
        <v>0.09</v>
      </c>
      <c r="AB71" s="17"/>
      <c r="AC71" s="145">
        <v>0.05</v>
      </c>
      <c r="AD71" s="145">
        <v>2.27</v>
      </c>
      <c r="AE71" s="145">
        <v>115.9</v>
      </c>
      <c r="AF71" s="145">
        <v>11070.11</v>
      </c>
      <c r="AG71" s="145">
        <v>450.37</v>
      </c>
      <c r="AH71" s="145">
        <v>14.79</v>
      </c>
    </row>
    <row r="72" spans="1:34" x14ac:dyDescent="0.2">
      <c r="A72" s="178" t="str">
        <f>IFERROR(VLOOKUP(B72,'Sector Code Switch'!G:H,2,FALSE),"")</f>
        <v>rubber and plastic products 22</v>
      </c>
      <c r="B72" s="138" t="s">
        <v>506</v>
      </c>
      <c r="C72" s="145">
        <v>221.87</v>
      </c>
      <c r="D72" s="145">
        <v>199.29</v>
      </c>
      <c r="E72" s="17"/>
      <c r="F72" s="145">
        <v>1.89</v>
      </c>
      <c r="G72" s="152">
        <f t="shared" si="0"/>
        <v>20.690000000000012</v>
      </c>
      <c r="I72" s="145">
        <v>1.98</v>
      </c>
      <c r="J72" s="145">
        <v>0.71</v>
      </c>
      <c r="K72" s="17"/>
      <c r="L72" s="17"/>
      <c r="M72" s="17"/>
      <c r="N72" s="145">
        <v>2.56</v>
      </c>
      <c r="O72" s="145">
        <v>26.63</v>
      </c>
      <c r="P72" s="145">
        <v>0.05</v>
      </c>
      <c r="Q72" s="145">
        <v>5.92</v>
      </c>
      <c r="R72" s="145">
        <v>0.05</v>
      </c>
      <c r="S72" s="145">
        <v>7.69</v>
      </c>
      <c r="T72" s="145">
        <v>2.21</v>
      </c>
      <c r="U72" s="17"/>
      <c r="V72" s="145">
        <v>0.54</v>
      </c>
      <c r="W72" s="145">
        <v>1.26</v>
      </c>
      <c r="X72" s="145">
        <v>0.5</v>
      </c>
      <c r="Y72" s="145">
        <v>2.89</v>
      </c>
      <c r="Z72" s="17"/>
      <c r="AA72" s="145">
        <v>2.5499999999999998</v>
      </c>
      <c r="AB72" s="145">
        <v>0.01</v>
      </c>
      <c r="AC72" s="145">
        <v>2.98</v>
      </c>
      <c r="AD72" s="145">
        <v>8.2799999999999994</v>
      </c>
      <c r="AE72" s="145">
        <v>76.83</v>
      </c>
      <c r="AF72" s="145">
        <v>3125.94</v>
      </c>
      <c r="AG72" s="145">
        <v>1480.76</v>
      </c>
      <c r="AH72" s="145">
        <v>13.85</v>
      </c>
    </row>
    <row r="73" spans="1:34" x14ac:dyDescent="0.2">
      <c r="A73" s="178" t="str">
        <f>IFERROR(VLOOKUP(B73,'Sector Code Switch'!G:H,2,FALSE),"")</f>
        <v>glass and glass products 231</v>
      </c>
      <c r="B73" s="138" t="s">
        <v>507</v>
      </c>
      <c r="C73" s="145">
        <v>24112.5</v>
      </c>
      <c r="D73" s="145">
        <v>14089.42</v>
      </c>
      <c r="E73" s="17"/>
      <c r="F73" s="145">
        <v>9828.51</v>
      </c>
      <c r="G73" s="152">
        <f t="shared" si="0"/>
        <v>194.56999999999971</v>
      </c>
      <c r="I73" s="145">
        <v>1463.15</v>
      </c>
      <c r="J73" s="145">
        <v>38.270000000000003</v>
      </c>
      <c r="K73" s="145">
        <v>46.12</v>
      </c>
      <c r="L73" s="145">
        <v>9.44</v>
      </c>
      <c r="M73" s="145">
        <v>8.48</v>
      </c>
      <c r="N73" s="145">
        <v>16.559999999999999</v>
      </c>
      <c r="O73" s="145">
        <v>3221.74</v>
      </c>
      <c r="P73" s="145">
        <v>0.37</v>
      </c>
      <c r="Q73" s="145">
        <v>12.92</v>
      </c>
      <c r="R73" s="145">
        <v>0.53</v>
      </c>
      <c r="S73" s="145">
        <v>232.27</v>
      </c>
      <c r="T73" s="145">
        <v>58.29</v>
      </c>
      <c r="U73" s="17"/>
      <c r="V73" s="145">
        <v>0.79</v>
      </c>
      <c r="W73" s="145">
        <v>0.89</v>
      </c>
      <c r="X73" s="145">
        <v>0.26</v>
      </c>
      <c r="Y73" s="145">
        <v>280.82</v>
      </c>
      <c r="Z73" s="145">
        <v>2564.62</v>
      </c>
      <c r="AA73" s="145">
        <v>54.47</v>
      </c>
      <c r="AB73" s="145">
        <v>0.08</v>
      </c>
      <c r="AC73" s="145">
        <v>15.45</v>
      </c>
      <c r="AD73" s="145">
        <v>42.44</v>
      </c>
      <c r="AE73" s="145">
        <v>1332.74</v>
      </c>
      <c r="AF73" s="145">
        <v>4785.7299999999996</v>
      </c>
      <c r="AG73" s="145">
        <v>3929.53</v>
      </c>
      <c r="AH73" s="145">
        <v>83.03</v>
      </c>
    </row>
    <row r="74" spans="1:34" x14ac:dyDescent="0.2">
      <c r="A74" s="178" t="str">
        <f>IFERROR(VLOOKUP(B74,'Sector Code Switch'!G:H,2,FALSE),"")</f>
        <v>iron and steel 241</v>
      </c>
      <c r="B74" s="138" t="s">
        <v>508</v>
      </c>
      <c r="C74" s="145">
        <v>9801.5499999999993</v>
      </c>
      <c r="D74" s="145">
        <v>8804.84</v>
      </c>
      <c r="E74" s="17"/>
      <c r="F74" s="145">
        <v>884.1</v>
      </c>
      <c r="G74" s="152">
        <f t="shared" si="0"/>
        <v>112.6099999999991</v>
      </c>
      <c r="I74" s="145">
        <v>40335.4</v>
      </c>
      <c r="J74" s="145">
        <v>353.69</v>
      </c>
      <c r="K74" s="145">
        <v>8350.98</v>
      </c>
      <c r="L74" s="145">
        <v>622.16</v>
      </c>
      <c r="M74" s="145">
        <v>1.57</v>
      </c>
      <c r="N74" s="145">
        <v>329.03</v>
      </c>
      <c r="O74" s="145">
        <v>76.53</v>
      </c>
      <c r="P74" s="17"/>
      <c r="Q74" s="145">
        <v>2.5</v>
      </c>
      <c r="R74" s="145">
        <v>0.02</v>
      </c>
      <c r="S74" s="145">
        <v>40.950000000000003</v>
      </c>
      <c r="T74" s="145">
        <v>0.27</v>
      </c>
      <c r="U74" s="17"/>
      <c r="V74" s="145">
        <v>1.29</v>
      </c>
      <c r="W74" s="145">
        <v>0.01</v>
      </c>
      <c r="X74" s="17"/>
      <c r="Y74" s="17"/>
      <c r="Z74" s="145">
        <v>21.3</v>
      </c>
      <c r="AA74" s="145">
        <v>8.85</v>
      </c>
      <c r="AB74" s="145">
        <v>0.92</v>
      </c>
      <c r="AC74" s="145">
        <v>0.4</v>
      </c>
      <c r="AD74" s="145">
        <v>48.3</v>
      </c>
      <c r="AE74" s="145">
        <v>691.75</v>
      </c>
      <c r="AF74" s="145">
        <v>18749.02</v>
      </c>
      <c r="AG74" s="145">
        <v>6785.56</v>
      </c>
      <c r="AH74" s="145">
        <v>47.29</v>
      </c>
    </row>
    <row r="75" spans="1:34" x14ac:dyDescent="0.2">
      <c r="A75" s="178" t="str">
        <f>IFERROR(VLOOKUP(B75,'Sector Code Switch'!G:H,2,FALSE),"")</f>
        <v>other metals 242</v>
      </c>
      <c r="B75" s="138" t="s">
        <v>509</v>
      </c>
      <c r="C75" s="145">
        <v>2309.0300000000002</v>
      </c>
      <c r="D75" s="145">
        <v>2019.58</v>
      </c>
      <c r="E75" s="17"/>
      <c r="F75" s="145">
        <v>280.49</v>
      </c>
      <c r="G75" s="152">
        <f t="shared" si="0"/>
        <v>8.9600000000002638</v>
      </c>
      <c r="I75" s="145">
        <v>399.66</v>
      </c>
      <c r="J75" s="145">
        <v>23.62</v>
      </c>
      <c r="K75" s="17"/>
      <c r="L75" s="145">
        <v>1.85</v>
      </c>
      <c r="M75" s="145">
        <v>68.75</v>
      </c>
      <c r="N75" s="145">
        <v>9.7899999999999991</v>
      </c>
      <c r="O75" s="145">
        <v>318.82</v>
      </c>
      <c r="P75" s="145">
        <v>0.21</v>
      </c>
      <c r="Q75" s="145">
        <v>2.48</v>
      </c>
      <c r="R75" s="145">
        <v>0.37</v>
      </c>
      <c r="S75" s="145">
        <v>24.24</v>
      </c>
      <c r="T75" s="145">
        <v>7.72</v>
      </c>
      <c r="U75" s="17"/>
      <c r="V75" s="145">
        <v>0.48</v>
      </c>
      <c r="W75" s="145">
        <v>0.01</v>
      </c>
      <c r="X75" s="145">
        <v>0.1</v>
      </c>
      <c r="Y75" s="145">
        <v>15.7</v>
      </c>
      <c r="Z75" s="145">
        <v>257.88</v>
      </c>
      <c r="AA75" s="145">
        <v>2.77</v>
      </c>
      <c r="AB75" s="17"/>
      <c r="AC75" s="145">
        <v>6.86</v>
      </c>
      <c r="AD75" s="145">
        <v>21.89</v>
      </c>
      <c r="AE75" s="145">
        <v>219.18</v>
      </c>
      <c r="AF75" s="145">
        <v>21665.46</v>
      </c>
      <c r="AG75" s="145">
        <v>7132.92</v>
      </c>
      <c r="AH75" s="145">
        <v>7.08</v>
      </c>
    </row>
    <row r="76" spans="1:34" x14ac:dyDescent="0.2">
      <c r="A76" s="178" t="str">
        <f>IFERROR(VLOOKUP(B76,'Sector Code Switch'!G:H,2,FALSE),"")</f>
        <v>metal products except machinery and vehicles 25</v>
      </c>
      <c r="B76" s="138" t="s">
        <v>510</v>
      </c>
      <c r="C76" s="145">
        <v>242.3</v>
      </c>
      <c r="D76" s="145">
        <v>189.96</v>
      </c>
      <c r="E76" s="17"/>
      <c r="F76" s="145">
        <v>51.18</v>
      </c>
      <c r="G76" s="152">
        <f t="shared" si="0"/>
        <v>1.1600000000000037</v>
      </c>
      <c r="I76" s="145">
        <v>589.1</v>
      </c>
      <c r="J76" s="145">
        <v>3.21</v>
      </c>
      <c r="K76" s="145">
        <v>94.58</v>
      </c>
      <c r="L76" s="145">
        <v>3.04</v>
      </c>
      <c r="M76" s="145">
        <v>0.63</v>
      </c>
      <c r="N76" s="145">
        <v>3.01</v>
      </c>
      <c r="O76" s="145">
        <v>29.43</v>
      </c>
      <c r="P76" s="17"/>
      <c r="Q76" s="145">
        <v>8.24</v>
      </c>
      <c r="R76" s="145">
        <v>0.3</v>
      </c>
      <c r="S76" s="145">
        <v>13.11</v>
      </c>
      <c r="T76" s="145">
        <v>0.75</v>
      </c>
      <c r="U76" s="17"/>
      <c r="V76" s="145">
        <v>0.66</v>
      </c>
      <c r="W76" s="145">
        <v>0.03</v>
      </c>
      <c r="X76" s="145">
        <v>0.02</v>
      </c>
      <c r="Y76" s="145">
        <v>0.19</v>
      </c>
      <c r="Z76" s="17"/>
      <c r="AA76" s="145">
        <v>5.59</v>
      </c>
      <c r="AB76" s="17"/>
      <c r="AC76" s="145">
        <v>0.53</v>
      </c>
      <c r="AD76" s="145">
        <v>13.52</v>
      </c>
      <c r="AE76" s="145">
        <v>439.91</v>
      </c>
      <c r="AF76" s="145">
        <v>629.6</v>
      </c>
      <c r="AG76" s="145">
        <v>1551.86</v>
      </c>
      <c r="AH76" s="145">
        <v>4.6399999999999997</v>
      </c>
    </row>
    <row r="77" spans="1:34" x14ac:dyDescent="0.2">
      <c r="A77" s="178" t="str">
        <f>IFERROR(VLOOKUP(B77,'Sector Code Switch'!G:H,2,FALSE),"")</f>
        <v>other manufacturing 31T33</v>
      </c>
      <c r="B77" s="138" t="s">
        <v>511</v>
      </c>
      <c r="C77" s="145">
        <v>14.31</v>
      </c>
      <c r="D77" s="145">
        <v>12.55</v>
      </c>
      <c r="E77" s="17"/>
      <c r="F77" s="145">
        <v>0.47</v>
      </c>
      <c r="G77" s="152">
        <f t="shared" si="0"/>
        <v>1.2899999999999998</v>
      </c>
      <c r="I77" s="145">
        <v>412.08</v>
      </c>
      <c r="J77" s="145">
        <v>1.17</v>
      </c>
      <c r="K77" s="145">
        <v>0.24</v>
      </c>
      <c r="L77" s="145">
        <v>0.37</v>
      </c>
      <c r="M77" s="17"/>
      <c r="N77" s="17"/>
      <c r="O77" s="145">
        <v>35.56</v>
      </c>
      <c r="P77" s="17"/>
      <c r="Q77" s="145">
        <v>10.88</v>
      </c>
      <c r="R77" s="145">
        <v>1.44</v>
      </c>
      <c r="S77" s="145">
        <v>14.68</v>
      </c>
      <c r="T77" s="145">
        <v>0.45</v>
      </c>
      <c r="U77" s="145">
        <v>0.03</v>
      </c>
      <c r="V77" s="145">
        <v>3.6</v>
      </c>
      <c r="W77" s="145">
        <v>0.14000000000000001</v>
      </c>
      <c r="X77" s="145">
        <v>0.04</v>
      </c>
      <c r="Y77" s="17"/>
      <c r="Z77" s="17"/>
      <c r="AA77" s="145">
        <v>2.77</v>
      </c>
      <c r="AB77" s="17"/>
      <c r="AC77" s="145">
        <v>1.53</v>
      </c>
      <c r="AD77" s="145">
        <v>10.43</v>
      </c>
      <c r="AE77" s="145">
        <v>84.84</v>
      </c>
      <c r="AF77" s="145">
        <v>351.42</v>
      </c>
      <c r="AG77" s="145">
        <v>1077.47</v>
      </c>
      <c r="AH77" s="145">
        <v>5.0599999999999996</v>
      </c>
    </row>
    <row r="78" spans="1:34" x14ac:dyDescent="0.2">
      <c r="A78" s="178" t="str">
        <f>IFERROR(VLOOKUP(B78,'Sector Code Switch'!G:H,2,FALSE),"")</f>
        <v>cement and other nonmetallic minerals 239</v>
      </c>
      <c r="B78" s="138" t="s">
        <v>512</v>
      </c>
      <c r="C78" s="145">
        <v>10.65</v>
      </c>
      <c r="D78" s="145">
        <v>4.08</v>
      </c>
      <c r="E78" s="17"/>
      <c r="F78" s="17"/>
      <c r="G78" s="152">
        <f t="shared" si="0"/>
        <v>6.57</v>
      </c>
      <c r="I78" s="17"/>
      <c r="J78" s="145">
        <v>0.33</v>
      </c>
      <c r="K78" s="145">
        <v>3.73</v>
      </c>
      <c r="L78" s="17"/>
      <c r="M78" s="145">
        <v>0.5</v>
      </c>
      <c r="N78" s="145">
        <v>2.77</v>
      </c>
      <c r="O78" s="145">
        <v>35.42</v>
      </c>
      <c r="P78" s="145">
        <v>0.01</v>
      </c>
      <c r="Q78" s="145">
        <v>8.3000000000000007</v>
      </c>
      <c r="R78" s="145">
        <v>0.88</v>
      </c>
      <c r="S78" s="145">
        <v>15.01</v>
      </c>
      <c r="T78" s="145">
        <v>0.38</v>
      </c>
      <c r="U78" s="17"/>
      <c r="V78" s="145">
        <v>3.69</v>
      </c>
      <c r="W78" s="145">
        <v>0.03</v>
      </c>
      <c r="X78" s="145">
        <v>0.04</v>
      </c>
      <c r="Y78" s="17"/>
      <c r="Z78" s="17"/>
      <c r="AA78" s="145">
        <v>3.92</v>
      </c>
      <c r="AB78" s="17"/>
      <c r="AC78" s="145">
        <v>3.16</v>
      </c>
      <c r="AD78" s="145">
        <v>5.28</v>
      </c>
      <c r="AE78" s="145">
        <v>93.55</v>
      </c>
      <c r="AF78" s="145">
        <v>833.26</v>
      </c>
      <c r="AG78" s="145">
        <v>498.54</v>
      </c>
      <c r="AH78" s="145">
        <v>4.3499999999999996</v>
      </c>
    </row>
    <row r="79" spans="1:34" x14ac:dyDescent="0.2">
      <c r="A79" s="178" t="str">
        <f>IFERROR(VLOOKUP(B79,'Sector Code Switch'!G:H,2,FALSE),"")</f>
        <v>road vehicles 29</v>
      </c>
      <c r="B79" s="138" t="s">
        <v>513</v>
      </c>
      <c r="C79" s="145">
        <v>16.78</v>
      </c>
      <c r="D79" s="145">
        <v>15.73</v>
      </c>
      <c r="E79" s="17"/>
      <c r="F79" s="145">
        <v>0.06</v>
      </c>
      <c r="G79" s="152">
        <f t="shared" si="0"/>
        <v>0.99000000000000066</v>
      </c>
      <c r="I79" s="145">
        <v>11.23</v>
      </c>
      <c r="J79" s="145">
        <v>0.06</v>
      </c>
      <c r="K79" s="145">
        <v>0.01</v>
      </c>
      <c r="L79" s="145">
        <v>0.01</v>
      </c>
      <c r="M79" s="145">
        <v>0.16</v>
      </c>
      <c r="N79" s="17"/>
      <c r="O79" s="145">
        <v>41.86</v>
      </c>
      <c r="P79" s="145">
        <v>0.01</v>
      </c>
      <c r="Q79" s="145">
        <v>13.62</v>
      </c>
      <c r="R79" s="145">
        <v>0.24</v>
      </c>
      <c r="S79" s="145">
        <v>16.329999999999998</v>
      </c>
      <c r="T79" s="145">
        <v>0.17</v>
      </c>
      <c r="U79" s="145">
        <v>0.01</v>
      </c>
      <c r="V79" s="145">
        <v>8.36</v>
      </c>
      <c r="W79" s="145">
        <v>0.01</v>
      </c>
      <c r="X79" s="145">
        <v>0.12</v>
      </c>
      <c r="Y79" s="145">
        <v>0.01</v>
      </c>
      <c r="Z79" s="17"/>
      <c r="AA79" s="145">
        <v>1.6</v>
      </c>
      <c r="AB79" s="17"/>
      <c r="AC79" s="145">
        <v>1.38</v>
      </c>
      <c r="AD79" s="145">
        <v>6.88</v>
      </c>
      <c r="AE79" s="145">
        <v>159.38</v>
      </c>
      <c r="AF79" s="145">
        <v>2612.21</v>
      </c>
      <c r="AG79" s="145">
        <v>1182.79</v>
      </c>
      <c r="AH79" s="145">
        <v>2.3199999999999998</v>
      </c>
    </row>
    <row r="80" spans="1:34" x14ac:dyDescent="0.2">
      <c r="A80" s="178" t="str">
        <f>IFERROR(VLOOKUP(B80,'Sector Code Switch'!G:H,2,FALSE),"")</f>
        <v>nonroad vehicles 30</v>
      </c>
      <c r="B80" s="138" t="s">
        <v>514</v>
      </c>
      <c r="C80" s="145">
        <v>35.24</v>
      </c>
      <c r="D80" s="145">
        <v>14.97</v>
      </c>
      <c r="E80" s="17"/>
      <c r="F80" s="145">
        <v>20.27</v>
      </c>
      <c r="G80" s="152"/>
      <c r="I80" s="145">
        <v>0.4</v>
      </c>
      <c r="J80" s="145">
        <v>0.24</v>
      </c>
      <c r="K80" s="17"/>
      <c r="L80" s="17"/>
      <c r="M80" s="17"/>
      <c r="N80" s="17"/>
      <c r="O80" s="145">
        <v>14.83</v>
      </c>
      <c r="P80" s="17"/>
      <c r="Q80" s="145">
        <v>2.71</v>
      </c>
      <c r="R80" s="145">
        <v>1.3</v>
      </c>
      <c r="S80" s="145">
        <v>7.59</v>
      </c>
      <c r="T80" s="145">
        <v>0.98</v>
      </c>
      <c r="U80" s="17"/>
      <c r="V80" s="145">
        <v>0.34</v>
      </c>
      <c r="W80" s="145">
        <v>0.22</v>
      </c>
      <c r="X80" s="145">
        <v>0.03</v>
      </c>
      <c r="Y80" s="17"/>
      <c r="Z80" s="17"/>
      <c r="AA80" s="145">
        <v>1.31</v>
      </c>
      <c r="AB80" s="17"/>
      <c r="AC80" s="145">
        <v>0.33</v>
      </c>
      <c r="AD80" s="145">
        <v>4.99</v>
      </c>
      <c r="AE80" s="145">
        <v>127.43</v>
      </c>
      <c r="AF80" s="145">
        <v>592.46</v>
      </c>
      <c r="AG80" s="145">
        <v>159.76</v>
      </c>
      <c r="AH80" s="145">
        <v>0.24</v>
      </c>
    </row>
    <row r="81" spans="1:34" x14ac:dyDescent="0.2">
      <c r="A81" s="178" t="str">
        <f>IFERROR(VLOOKUP(B81,'Sector Code Switch'!G:H,2,FALSE),"")</f>
        <v>appliances and electrical equipment 27</v>
      </c>
      <c r="B81" s="138" t="s">
        <v>515</v>
      </c>
      <c r="C81" s="145">
        <v>10.44</v>
      </c>
      <c r="D81" s="145">
        <v>10.44</v>
      </c>
      <c r="E81" s="17"/>
      <c r="F81" s="17"/>
      <c r="G81" s="152"/>
      <c r="I81" s="145">
        <v>0.7</v>
      </c>
      <c r="J81" s="17"/>
      <c r="K81" s="17"/>
      <c r="L81" s="17"/>
      <c r="M81" s="145">
        <v>0.01</v>
      </c>
      <c r="N81" s="17"/>
      <c r="O81" s="145">
        <v>24.36</v>
      </c>
      <c r="P81" s="17"/>
      <c r="Q81" s="145">
        <v>10.26</v>
      </c>
      <c r="R81" s="145">
        <v>0.12</v>
      </c>
      <c r="S81" s="145">
        <v>6.49</v>
      </c>
      <c r="T81" s="145">
        <v>1.19</v>
      </c>
      <c r="U81" s="17"/>
      <c r="V81" s="145">
        <v>1.89</v>
      </c>
      <c r="W81" s="145">
        <v>0.14000000000000001</v>
      </c>
      <c r="X81" s="145">
        <v>0.09</v>
      </c>
      <c r="Y81" s="145">
        <v>0.04</v>
      </c>
      <c r="Z81" s="145">
        <v>0.31</v>
      </c>
      <c r="AA81" s="145">
        <v>2.66</v>
      </c>
      <c r="AB81" s="17"/>
      <c r="AC81" s="145">
        <v>1.1599999999999999</v>
      </c>
      <c r="AD81" s="145">
        <v>3.44</v>
      </c>
      <c r="AE81" s="145">
        <v>87.73</v>
      </c>
      <c r="AF81" s="145">
        <v>1397.41</v>
      </c>
      <c r="AG81" s="145">
        <v>942.86</v>
      </c>
      <c r="AH81" s="145">
        <v>4.76</v>
      </c>
    </row>
    <row r="82" spans="1:34" x14ac:dyDescent="0.2">
      <c r="A82" s="178" t="str">
        <f>IFERROR(VLOOKUP(B82,'Sector Code Switch'!G:H,2,FALSE),"")</f>
        <v>computers and electronics 26</v>
      </c>
      <c r="B82" s="138" t="s">
        <v>516</v>
      </c>
      <c r="C82" s="145">
        <v>15.82</v>
      </c>
      <c r="D82" s="145">
        <v>14.94</v>
      </c>
      <c r="E82" s="17"/>
      <c r="F82" s="145">
        <v>0.87</v>
      </c>
      <c r="G82" s="152">
        <f t="shared" si="0"/>
        <v>1.0000000000000786E-2</v>
      </c>
      <c r="I82" s="145">
        <v>0.02</v>
      </c>
      <c r="J82" s="145">
        <v>0.05</v>
      </c>
      <c r="K82" s="145">
        <v>0.01</v>
      </c>
      <c r="L82" s="17"/>
      <c r="M82" s="17"/>
      <c r="N82" s="17"/>
      <c r="O82" s="145">
        <v>12.54</v>
      </c>
      <c r="P82" s="17"/>
      <c r="Q82" s="145">
        <v>6.29</v>
      </c>
      <c r="R82" s="145">
        <v>0.02</v>
      </c>
      <c r="S82" s="145">
        <v>3.52</v>
      </c>
      <c r="T82" s="145">
        <v>0.26</v>
      </c>
      <c r="U82" s="17"/>
      <c r="V82" s="145">
        <v>0.32</v>
      </c>
      <c r="W82" s="145">
        <v>0.01</v>
      </c>
      <c r="X82" s="145">
        <v>0.03</v>
      </c>
      <c r="Y82" s="17"/>
      <c r="Z82" s="17"/>
      <c r="AA82" s="145">
        <v>1.54</v>
      </c>
      <c r="AB82" s="17"/>
      <c r="AC82" s="145">
        <v>0.54</v>
      </c>
      <c r="AD82" s="145">
        <v>12.48</v>
      </c>
      <c r="AE82" s="145">
        <v>113.38</v>
      </c>
      <c r="AF82" s="145">
        <v>1255.3399999999999</v>
      </c>
      <c r="AG82" s="145">
        <v>1570.61</v>
      </c>
      <c r="AH82" s="145">
        <v>2.87</v>
      </c>
    </row>
    <row r="83" spans="1:34" x14ac:dyDescent="0.2">
      <c r="A83" s="178" t="str">
        <f>IFERROR(VLOOKUP(B83,'Sector Code Switch'!G:H,2,FALSE),"")</f>
        <v>computers and electronics 26</v>
      </c>
      <c r="B83" s="138" t="s">
        <v>517</v>
      </c>
      <c r="C83" s="145">
        <v>2.06</v>
      </c>
      <c r="D83" s="145">
        <v>2.06</v>
      </c>
      <c r="E83" s="17"/>
      <c r="F83" s="17"/>
      <c r="G83" s="152"/>
      <c r="I83" s="17"/>
      <c r="J83" s="17"/>
      <c r="K83" s="17"/>
      <c r="L83" s="17"/>
      <c r="M83" s="17"/>
      <c r="N83" s="17"/>
      <c r="O83" s="145">
        <v>3.83</v>
      </c>
      <c r="P83" s="17"/>
      <c r="Q83" s="145">
        <v>2.65</v>
      </c>
      <c r="R83" s="145">
        <v>0.04</v>
      </c>
      <c r="S83" s="145">
        <v>0.7</v>
      </c>
      <c r="T83" s="145">
        <v>7.0000000000000007E-2</v>
      </c>
      <c r="U83" s="17"/>
      <c r="V83" s="145">
        <v>0.08</v>
      </c>
      <c r="W83" s="145">
        <v>0.06</v>
      </c>
      <c r="X83" s="17"/>
      <c r="Y83" s="17"/>
      <c r="Z83" s="17"/>
      <c r="AA83" s="145">
        <v>0.09</v>
      </c>
      <c r="AB83" s="17"/>
      <c r="AC83" s="145">
        <v>0.13</v>
      </c>
      <c r="AD83" s="145">
        <v>0.52</v>
      </c>
      <c r="AE83" s="145">
        <v>2.71</v>
      </c>
      <c r="AF83" s="145">
        <v>68.260000000000005</v>
      </c>
      <c r="AG83" s="145">
        <v>77.23</v>
      </c>
      <c r="AH83" s="145">
        <v>1.21</v>
      </c>
    </row>
    <row r="84" spans="1:34" x14ac:dyDescent="0.2">
      <c r="A84" s="178" t="str">
        <f>IFERROR(VLOOKUP(B84,'Sector Code Switch'!G:H,2,FALSE),"")</f>
        <v>other machinery 28</v>
      </c>
      <c r="B84" s="138" t="s">
        <v>518</v>
      </c>
      <c r="C84" s="145">
        <v>2.89</v>
      </c>
      <c r="D84" s="145">
        <v>2.84</v>
      </c>
      <c r="E84" s="17"/>
      <c r="F84" s="17"/>
      <c r="G84" s="152">
        <f t="shared" si="0"/>
        <v>5.0000000000000266E-2</v>
      </c>
      <c r="I84" s="145">
        <v>0.06</v>
      </c>
      <c r="J84" s="17"/>
      <c r="K84" s="145">
        <v>0.69</v>
      </c>
      <c r="L84" s="17"/>
      <c r="M84" s="17"/>
      <c r="N84" s="17"/>
      <c r="O84" s="145">
        <v>4.3899999999999997</v>
      </c>
      <c r="P84" s="17"/>
      <c r="Q84" s="145">
        <v>0.45</v>
      </c>
      <c r="R84" s="145">
        <v>0.09</v>
      </c>
      <c r="S84" s="145">
        <v>0.83</v>
      </c>
      <c r="T84" s="17"/>
      <c r="U84" s="17"/>
      <c r="V84" s="145">
        <v>0.01</v>
      </c>
      <c r="W84" s="145">
        <v>7.0000000000000007E-2</v>
      </c>
      <c r="X84" s="17"/>
      <c r="Y84" s="17"/>
      <c r="Z84" s="17"/>
      <c r="AA84" s="145">
        <v>2.94</v>
      </c>
      <c r="AB84" s="17"/>
      <c r="AC84" s="17"/>
      <c r="AD84" s="145">
        <v>0.05</v>
      </c>
      <c r="AE84" s="145">
        <v>29.85</v>
      </c>
      <c r="AF84" s="145">
        <v>82.84</v>
      </c>
      <c r="AG84" s="145">
        <v>600.70000000000005</v>
      </c>
      <c r="AH84" s="145">
        <v>0.76</v>
      </c>
    </row>
    <row r="85" spans="1:34" x14ac:dyDescent="0.2">
      <c r="A85" s="178" t="str">
        <f>IFERROR(VLOOKUP(B85,'Sector Code Switch'!G:H,2,FALSE),"")</f>
        <v>water and waste 36T39</v>
      </c>
      <c r="B85" s="138" t="s">
        <v>519</v>
      </c>
      <c r="C85" s="145">
        <v>316.37</v>
      </c>
      <c r="D85" s="145">
        <v>77.459999999999994</v>
      </c>
      <c r="E85" s="17"/>
      <c r="F85" s="145">
        <v>234.19</v>
      </c>
      <c r="G85" s="152">
        <f t="shared" si="0"/>
        <v>4.7200000000000273</v>
      </c>
      <c r="I85" s="145">
        <v>68.849999999999994</v>
      </c>
      <c r="J85" s="145">
        <v>1.1399999999999999</v>
      </c>
      <c r="K85" s="145">
        <v>10.96</v>
      </c>
      <c r="L85" s="145">
        <v>1.7</v>
      </c>
      <c r="M85" s="17"/>
      <c r="N85" s="145">
        <v>0.6</v>
      </c>
      <c r="O85" s="145">
        <v>8.02</v>
      </c>
      <c r="P85" s="17"/>
      <c r="Q85" s="145">
        <v>0.24</v>
      </c>
      <c r="R85" s="145">
        <v>0.01</v>
      </c>
      <c r="S85" s="145">
        <v>4.09</v>
      </c>
      <c r="T85" s="145">
        <v>0.65</v>
      </c>
      <c r="U85" s="17"/>
      <c r="V85" s="145">
        <v>0.02</v>
      </c>
      <c r="W85" s="17"/>
      <c r="X85" s="17"/>
      <c r="Y85" s="17"/>
      <c r="Z85" s="145">
        <v>2.73</v>
      </c>
      <c r="AA85" s="145">
        <v>0.26</v>
      </c>
      <c r="AB85" s="17"/>
      <c r="AC85" s="145">
        <v>0.03</v>
      </c>
      <c r="AD85" s="145">
        <v>2.91</v>
      </c>
      <c r="AE85" s="145">
        <v>95.12</v>
      </c>
      <c r="AF85" s="145">
        <v>39.840000000000003</v>
      </c>
      <c r="AG85" s="145">
        <v>67.099999999999994</v>
      </c>
      <c r="AH85" s="145">
        <v>6</v>
      </c>
    </row>
    <row r="86" spans="1:34" x14ac:dyDescent="0.2">
      <c r="A86" s="178" t="str">
        <f>IFERROR(VLOOKUP(B86,'Sector Code Switch'!G:H,2,FALSE),"")</f>
        <v>other machinery 28</v>
      </c>
      <c r="B86" s="138" t="s">
        <v>520</v>
      </c>
      <c r="C86" s="145">
        <v>1.18</v>
      </c>
      <c r="D86" s="145">
        <v>1.18</v>
      </c>
      <c r="E86" s="17"/>
      <c r="F86" s="17"/>
      <c r="G86" s="152"/>
      <c r="I86" s="17"/>
      <c r="J86" s="145">
        <v>0.06</v>
      </c>
      <c r="K86" s="17"/>
      <c r="L86" s="17"/>
      <c r="M86" s="145">
        <v>0.01</v>
      </c>
      <c r="N86" s="17"/>
      <c r="O86" s="145">
        <v>6.09</v>
      </c>
      <c r="P86" s="17"/>
      <c r="Q86" s="145">
        <v>0.42</v>
      </c>
      <c r="R86" s="145">
        <v>0.79</v>
      </c>
      <c r="S86" s="145">
        <v>4.59</v>
      </c>
      <c r="T86" s="145">
        <v>0.17</v>
      </c>
      <c r="U86" s="17"/>
      <c r="V86" s="145">
        <v>0.1</v>
      </c>
      <c r="W86" s="17"/>
      <c r="X86" s="17"/>
      <c r="Y86" s="17"/>
      <c r="Z86" s="17"/>
      <c r="AA86" s="145">
        <v>0.02</v>
      </c>
      <c r="AB86" s="17"/>
      <c r="AC86" s="17"/>
      <c r="AD86" s="145">
        <v>0.23</v>
      </c>
      <c r="AE86" s="145">
        <v>2.91</v>
      </c>
      <c r="AF86" s="145">
        <v>28.9</v>
      </c>
      <c r="AG86" s="145">
        <v>14.84</v>
      </c>
      <c r="AH86" s="17"/>
    </row>
    <row r="87" spans="1:34" x14ac:dyDescent="0.2">
      <c r="A87" s="178" t="str">
        <f>IFERROR(VLOOKUP(B87,'Sector Code Switch'!G:H,2,FALSE),"")</f>
        <v/>
      </c>
      <c r="B87" s="137" t="s">
        <v>521</v>
      </c>
      <c r="C87" s="145">
        <v>614.42999999999995</v>
      </c>
      <c r="D87" s="145">
        <v>600.71</v>
      </c>
      <c r="E87" s="17"/>
      <c r="F87" s="145">
        <v>0.98</v>
      </c>
      <c r="G87" s="152">
        <f t="shared" si="0"/>
        <v>12.739999999999913</v>
      </c>
      <c r="I87" s="145">
        <v>100.48</v>
      </c>
      <c r="J87" s="145">
        <v>1.77</v>
      </c>
      <c r="K87" s="145">
        <v>1.77</v>
      </c>
      <c r="L87" s="17"/>
      <c r="M87" s="145">
        <v>0.28000000000000003</v>
      </c>
      <c r="N87" s="145">
        <v>0.25</v>
      </c>
      <c r="O87" s="145">
        <v>41.14</v>
      </c>
      <c r="P87" s="145">
        <v>0.19</v>
      </c>
      <c r="Q87" s="145">
        <v>17.670000000000002</v>
      </c>
      <c r="R87" s="17"/>
      <c r="S87" s="145">
        <v>20.49</v>
      </c>
      <c r="T87" s="145">
        <v>0.78</v>
      </c>
      <c r="U87" s="17"/>
      <c r="V87" s="145">
        <v>0.35</v>
      </c>
      <c r="W87" s="145">
        <v>0.02</v>
      </c>
      <c r="X87" s="17"/>
      <c r="Y87" s="17"/>
      <c r="Z87" s="145">
        <v>0.01</v>
      </c>
      <c r="AA87" s="145">
        <v>0.23</v>
      </c>
      <c r="AB87" s="145">
        <v>1.17</v>
      </c>
      <c r="AC87" s="145">
        <v>0.22</v>
      </c>
      <c r="AD87" s="145">
        <v>6.83</v>
      </c>
      <c r="AE87" s="145">
        <v>67.150000000000006</v>
      </c>
      <c r="AF87" s="145">
        <v>14355.08</v>
      </c>
      <c r="AG87" s="145">
        <v>6700.59</v>
      </c>
      <c r="AH87" s="145">
        <v>9.6199999999999992</v>
      </c>
    </row>
    <row r="88" spans="1:34" x14ac:dyDescent="0.2">
      <c r="A88" s="178">
        <f>IFERROR(VLOOKUP(B88,'Sector Code Switch'!G:H,2,FALSE),"")</f>
        <v>0</v>
      </c>
      <c r="B88" s="138" t="s">
        <v>522</v>
      </c>
      <c r="C88" s="145">
        <v>425.55</v>
      </c>
      <c r="D88" s="145">
        <v>411.87</v>
      </c>
      <c r="E88" s="17"/>
      <c r="F88" s="145">
        <v>0.98</v>
      </c>
      <c r="G88" s="152">
        <f t="shared" si="0"/>
        <v>12.700000000000006</v>
      </c>
      <c r="I88" s="145">
        <v>100.48</v>
      </c>
      <c r="J88" s="145">
        <v>0.08</v>
      </c>
      <c r="K88" s="145">
        <v>0.23</v>
      </c>
      <c r="L88" s="17"/>
      <c r="M88" s="17"/>
      <c r="N88" s="145">
        <v>0.25</v>
      </c>
      <c r="O88" s="145">
        <v>35.01</v>
      </c>
      <c r="P88" s="145">
        <v>0.16</v>
      </c>
      <c r="Q88" s="145">
        <v>13.6</v>
      </c>
      <c r="R88" s="17"/>
      <c r="S88" s="145">
        <v>18.809999999999999</v>
      </c>
      <c r="T88" s="145">
        <v>0.72</v>
      </c>
      <c r="U88" s="17"/>
      <c r="V88" s="145">
        <v>0.32</v>
      </c>
      <c r="W88" s="17"/>
      <c r="X88" s="17"/>
      <c r="Y88" s="17"/>
      <c r="Z88" s="145">
        <v>0.01</v>
      </c>
      <c r="AA88" s="145">
        <v>0.01</v>
      </c>
      <c r="AB88" s="145">
        <v>1.17</v>
      </c>
      <c r="AC88" s="145">
        <v>0.21</v>
      </c>
      <c r="AD88" s="145">
        <v>2.57</v>
      </c>
      <c r="AE88" s="17"/>
      <c r="AF88" s="145">
        <v>10084.040000000001</v>
      </c>
      <c r="AG88" s="145">
        <v>5886.02</v>
      </c>
      <c r="AH88" s="145">
        <v>9.6199999999999992</v>
      </c>
    </row>
    <row r="89" spans="1:34" x14ac:dyDescent="0.2">
      <c r="A89" s="178" t="str">
        <f>IFERROR(VLOOKUP(B89,'Sector Code Switch'!G:H,2,FALSE),"")</f>
        <v>energy pipelines and gas processing 352T353</v>
      </c>
      <c r="B89" s="138" t="s">
        <v>523</v>
      </c>
      <c r="C89" s="145">
        <v>185.16</v>
      </c>
      <c r="D89" s="145">
        <v>185.16</v>
      </c>
      <c r="E89" s="17"/>
      <c r="F89" s="17"/>
      <c r="G89" s="152">
        <f t="shared" si="0"/>
        <v>0</v>
      </c>
      <c r="I89" s="17"/>
      <c r="J89" s="145">
        <v>1.69</v>
      </c>
      <c r="K89" s="145">
        <v>1.55</v>
      </c>
      <c r="L89" s="17"/>
      <c r="M89" s="145">
        <v>0.28000000000000003</v>
      </c>
      <c r="N89" s="17"/>
      <c r="O89" s="145">
        <v>3.08</v>
      </c>
      <c r="P89" s="17"/>
      <c r="Q89" s="145">
        <v>2.2799999999999998</v>
      </c>
      <c r="R89" s="17"/>
      <c r="S89" s="145">
        <v>0.74</v>
      </c>
      <c r="T89" s="17"/>
      <c r="U89" s="17"/>
      <c r="V89" s="145">
        <v>0.03</v>
      </c>
      <c r="W89" s="17"/>
      <c r="X89" s="17"/>
      <c r="Y89" s="17"/>
      <c r="Z89" s="17"/>
      <c r="AA89" s="145">
        <v>0.03</v>
      </c>
      <c r="AB89" s="17"/>
      <c r="AC89" s="145">
        <v>0.01</v>
      </c>
      <c r="AD89" s="145">
        <v>3.78</v>
      </c>
      <c r="AE89" s="145">
        <v>67.03</v>
      </c>
      <c r="AF89" s="145">
        <v>4070.13</v>
      </c>
      <c r="AG89" s="145">
        <v>169.53</v>
      </c>
      <c r="AH89" s="17"/>
    </row>
    <row r="90" spans="1:34" x14ac:dyDescent="0.2">
      <c r="A90" s="178" t="str">
        <f>IFERROR(VLOOKUP(B90,'Sector Code Switch'!G:H,2,FALSE),"")</f>
        <v>water and waste 36T39</v>
      </c>
      <c r="B90" s="139" t="s">
        <v>524</v>
      </c>
      <c r="C90" s="144">
        <v>3.72</v>
      </c>
      <c r="D90" s="146">
        <v>3.68</v>
      </c>
      <c r="E90" s="23"/>
      <c r="F90" s="23"/>
      <c r="G90" s="153">
        <f t="shared" si="0"/>
        <v>4.0000000000000036E-2</v>
      </c>
      <c r="H90" s="23"/>
      <c r="I90" s="23"/>
      <c r="J90" s="23"/>
      <c r="K90" s="23"/>
      <c r="L90" s="23"/>
      <c r="M90" s="23"/>
      <c r="N90" s="23"/>
      <c r="O90" s="146">
        <v>3.05</v>
      </c>
      <c r="P90" s="144">
        <v>0.03</v>
      </c>
      <c r="Q90" s="146">
        <v>1.79</v>
      </c>
      <c r="R90" s="23"/>
      <c r="S90" s="146">
        <v>0.94</v>
      </c>
      <c r="T90" s="146">
        <v>0.06</v>
      </c>
      <c r="U90" s="23"/>
      <c r="V90" s="23"/>
      <c r="W90" s="146">
        <v>0.02</v>
      </c>
      <c r="X90" s="23"/>
      <c r="Y90" s="23"/>
      <c r="Z90" s="22"/>
      <c r="AA90" s="146">
        <v>0.19</v>
      </c>
      <c r="AB90" s="23"/>
      <c r="AC90" s="23"/>
      <c r="AD90" s="146">
        <v>0.47</v>
      </c>
      <c r="AE90" s="146">
        <v>0.12</v>
      </c>
      <c r="AF90" s="146">
        <v>200.92</v>
      </c>
      <c r="AG90" s="146">
        <v>645.04999999999995</v>
      </c>
      <c r="AH90" s="23"/>
    </row>
    <row r="93" spans="1:34" x14ac:dyDescent="0.2">
      <c r="A93" s="178" t="s">
        <v>373</v>
      </c>
      <c r="C93">
        <f>IFERROR(SUMIFS(C$4:C$90,$A$4:$A$90,$A93)*VLOOKUP(C$44,'Energy Heat Value Conversion'!$A:$E,5,FALSE),0)</f>
        <v>0</v>
      </c>
      <c r="D93">
        <f>IFERROR(SUMIFS(D$4:D$90,$A$4:$A$90,$A93)*VLOOKUP(D$44,'Energy Heat Value Conversion'!$A:$E,5,FALSE),0)</f>
        <v>430479867392802.06</v>
      </c>
      <c r="E93">
        <f>IFERROR(SUMIFS(E$4:E$90,$A$4:$A$90,$A93)*VLOOKUP(E$44,'Energy Heat Value Conversion'!$A:$E,5,FALSE),0)</f>
        <v>0</v>
      </c>
      <c r="F93">
        <f>IFERROR(SUMIFS(F$4:F$90,$A$4:$A$90,$A93)*VLOOKUP(F$44,'Energy Heat Value Conversion'!$A:$E,5,FALSE),0)</f>
        <v>6469686509960.5859</v>
      </c>
      <c r="G93">
        <f>IFERROR(SUMIFS(G$4:G$90,$A$4:$A$90,$A93)*VLOOKUP(G$44,'Energy Heat Value Conversion'!$A:$E,5,FALSE),0)</f>
        <v>0</v>
      </c>
      <c r="H93">
        <f>IFERROR(SUMIFS(H$4:H$90,$A$4:$A$90,$A93)*VLOOKUP(H$44,'Energy Heat Value Conversion'!$A:$E,5,FALSE),0)</f>
        <v>0</v>
      </c>
      <c r="I93">
        <f>IFERROR(SUMIFS(I$4:I$90,$A$4:$A$90,$A93)*VLOOKUP(I$44,'Energy Heat Value Conversion'!$A:$E,5,FALSE),0)</f>
        <v>6263454204817.6875</v>
      </c>
      <c r="J93">
        <f>IFERROR(SUMIFS(J$4:J$90,$A$4:$A$90,$A93)*VLOOKUP(J$44,'Energy Heat Value Conversion'!$A:$E,5,FALSE),0)</f>
        <v>0</v>
      </c>
      <c r="K93">
        <f>IFERROR(SUMIFS(K$4:K$90,$A$4:$A$90,$A93)*VLOOKUP(K$44,'Energy Heat Value Conversion'!$A:$E,5,FALSE),0)</f>
        <v>0</v>
      </c>
      <c r="L93">
        <f>IFERROR(SUMIFS(L$4:L$90,$A$4:$A$90,$A93)*VLOOKUP(L$44,'Energy Heat Value Conversion'!$A:$E,5,FALSE),0)</f>
        <v>0</v>
      </c>
      <c r="M93">
        <f>IFERROR(SUMIFS(M$4:M$90,$A$4:$A$90,$A93)*VLOOKUP(M$44,'Energy Heat Value Conversion'!$A:$E,5,FALSE),0)</f>
        <v>0</v>
      </c>
      <c r="N93">
        <f>IFERROR(SUMIFS(N$4:N$90,$A$4:$A$90,$A93)*VLOOKUP(N$44,'Energy Heat Value Conversion'!$A:$E,5,FALSE),0)</f>
        <v>0</v>
      </c>
      <c r="O93">
        <f>IFERROR(SUMIFS(O$4:O$90,$A$4:$A$90,$A93)*VLOOKUP(O$44,'Energy Heat Value Conversion'!$A:$E,5,FALSE),0)</f>
        <v>0</v>
      </c>
      <c r="P93">
        <f>IFERROR(SUMIFS(P$4:P$90,$A$4:$A$90,$A93)*VLOOKUP(P$44,'Energy Heat Value Conversion'!$A:$E,5,FALSE),0)</f>
        <v>0</v>
      </c>
      <c r="Q93">
        <f>IFERROR(SUMIFS(Q$4:Q$90,$A$4:$A$90,$A93)*VLOOKUP(Q$44,'Energy Heat Value Conversion'!$A:$E,5,FALSE),0)</f>
        <v>105056661218455.89</v>
      </c>
      <c r="R93">
        <f>IFERROR(SUMIFS(R$4:R$90,$A$4:$A$90,$A93)*VLOOKUP(R$44,'Energy Heat Value Conversion'!$A:$E,5,FALSE),0)</f>
        <v>4490473182059.5098</v>
      </c>
      <c r="S93">
        <f>IFERROR(SUMIFS(S$4:S$90,$A$4:$A$90,$A93)*VLOOKUP(S$44,'Energy Heat Value Conversion'!$A:$E,5,FALSE),0)</f>
        <v>605242289306296</v>
      </c>
      <c r="T93">
        <f>IFERROR(SUMIFS(T$4:T$90,$A$4:$A$90,$A93)*VLOOKUP(T$44,'Energy Heat Value Conversion'!$A:$E,5,FALSE),0)</f>
        <v>447863305056.31525</v>
      </c>
      <c r="U93">
        <f>IFERROR(SUMIFS(U$4:U$90,$A$4:$A$90,$A93)*VLOOKUP(U$44,'Energy Heat Value Conversion'!$A:$E,5,FALSE),0)</f>
        <v>0</v>
      </c>
      <c r="V93">
        <f>IFERROR(SUMIFS(V$4:V$90,$A$4:$A$90,$A93)*VLOOKUP(V$44,'Energy Heat Value Conversion'!$A:$E,5,FALSE),0)</f>
        <v>0</v>
      </c>
      <c r="W93">
        <f>IFERROR(SUMIFS(W$4:W$90,$A$4:$A$90,$A93)*VLOOKUP(W$44,'Energy Heat Value Conversion'!$A:$E,5,FALSE),0)</f>
        <v>0</v>
      </c>
      <c r="X93">
        <f>IFERROR(SUMIFS(X$4:X$90,$A$4:$A$90,$A93)*VLOOKUP(X$44,'Energy Heat Value Conversion'!$A:$E,5,FALSE),0)</f>
        <v>0</v>
      </c>
      <c r="Y93">
        <f>IFERROR(SUMIFS(Y$4:Y$90,$A$4:$A$90,$A93)*VLOOKUP(Y$44,'Energy Heat Value Conversion'!$A:$E,5,FALSE),0)</f>
        <v>0</v>
      </c>
      <c r="Z93">
        <f>IFERROR(SUMIFS(Z$4:Z$90,$A$4:$A$90,$A93)*VLOOKUP(Z$44,'Energy Heat Value Conversion'!$A:$E,5,FALSE),0)</f>
        <v>0</v>
      </c>
      <c r="AA93">
        <f>IFERROR(SUMIFS(AA$4:AA$90,$A$4:$A$90,$A93)*VLOOKUP(AA$44,'Energy Heat Value Conversion'!$A:$E,5,FALSE),0)</f>
        <v>3077165346270.5317</v>
      </c>
      <c r="AB93">
        <f>IFERROR(SUMIFS(AB$4:AB$90,$A$4:$A$90,$A93)*VLOOKUP(AB$44,'Energy Heat Value Conversion'!$A:$E,5,FALSE),0)</f>
        <v>0</v>
      </c>
      <c r="AC93">
        <f>IFERROR(SUMIFS(AC$4:AC$90,$A$4:$A$90,$A93)*VLOOKUP(AC$44,'Energy Heat Value Conversion'!$A:$E,5,FALSE),0)</f>
        <v>0</v>
      </c>
      <c r="AD93">
        <f>IFERROR(SUMIFS(AD$4:AD$90,$A$4:$A$90,$A93)*VLOOKUP(AD$44,'Energy Heat Value Conversion'!$A:$E,5,FALSE),0)</f>
        <v>4317132595397.6753</v>
      </c>
      <c r="AE93">
        <f>IFERROR(SUMIFS(AE$4:AE$90,$A$4:$A$90,$A93)*VLOOKUP(AE$44,'Energy Heat Value Conversion'!$A:$E,5,FALSE),0)</f>
        <v>0</v>
      </c>
      <c r="AF93">
        <f>IFERROR(SUMIFS(AF$4:AF$90,$A$4:$A$90,$A93)*VLOOKUP(AF$44,'Energy Heat Value Conversion'!$A:$E,5,FALSE),0)</f>
        <v>1060512578552.1212</v>
      </c>
      <c r="AG93">
        <f>IFERROR(SUMIFS(AG$4:AG$90,$A$4:$A$90,$A93)*VLOOKUP(AG$44,'Energy Heat Value Conversion'!$A:$E,5,FALSE),0)</f>
        <v>485244074993755.06</v>
      </c>
      <c r="AH93">
        <f>IFERROR(SUMIFS(AH$4:AH$90,$A$4:$A$90,$A93)*VLOOKUP(AH$44,'Energy Heat Value Conversion'!$A:$E,5,FALSE),0)</f>
        <v>184835886460418.19</v>
      </c>
    </row>
    <row r="94" spans="1:34" x14ac:dyDescent="0.2">
      <c r="A94" s="178" t="s">
        <v>374</v>
      </c>
      <c r="C94">
        <f>IFERROR(SUMIFS(C$4:C$90,$A$4:$A$90,$A94)*VLOOKUP(C$44,'Energy Heat Value Conversion'!$A:$E,5,FALSE),0)</f>
        <v>0</v>
      </c>
      <c r="D94">
        <f>IFERROR(SUMIFS(D$4:D$90,$A$4:$A$90,$A94)*VLOOKUP(D$44,'Energy Heat Value Conversion'!$A:$E,5,FALSE),0)</f>
        <v>220990815604690.53</v>
      </c>
      <c r="E94">
        <f>IFERROR(SUMIFS(E$4:E$90,$A$4:$A$90,$A94)*VLOOKUP(E$44,'Energy Heat Value Conversion'!$A:$E,5,FALSE),0)</f>
        <v>0</v>
      </c>
      <c r="F94">
        <f>IFERROR(SUMIFS(F$4:F$90,$A$4:$A$90,$A94)*VLOOKUP(F$44,'Energy Heat Value Conversion'!$A:$E,5,FALSE),0)</f>
        <v>68802048441321.844</v>
      </c>
      <c r="G94">
        <f>IFERROR(SUMIFS(G$4:G$90,$A$4:$A$90,$A94)*VLOOKUP(G$44,'Energy Heat Value Conversion'!$A:$E,5,FALSE),0)</f>
        <v>610087892503.48926</v>
      </c>
      <c r="H94">
        <f>IFERROR(SUMIFS(H$4:H$90,$A$4:$A$90,$A94)*VLOOKUP(H$44,'Energy Heat Value Conversion'!$A:$E,5,FALSE),0)</f>
        <v>0</v>
      </c>
      <c r="I94">
        <f>IFERROR(SUMIFS(I$4:I$90,$A$4:$A$90,$A94)*VLOOKUP(I$44,'Energy Heat Value Conversion'!$A:$E,5,FALSE),0)</f>
        <v>1323302932257.0933</v>
      </c>
      <c r="J94">
        <f>IFERROR(SUMIFS(J$4:J$90,$A$4:$A$90,$A94)*VLOOKUP(J$44,'Energy Heat Value Conversion'!$A:$E,5,FALSE),0)</f>
        <v>1562554721629.1914</v>
      </c>
      <c r="K94">
        <f>IFERROR(SUMIFS(K$4:K$90,$A$4:$A$90,$A94)*VLOOKUP(K$44,'Energy Heat Value Conversion'!$A:$E,5,FALSE),0)</f>
        <v>139098797471.24289</v>
      </c>
      <c r="L94">
        <f>IFERROR(SUMIFS(L$4:L$90,$A$4:$A$90,$A94)*VLOOKUP(L$44,'Energy Heat Value Conversion'!$A:$E,5,FALSE),0)</f>
        <v>0</v>
      </c>
      <c r="M94">
        <f>IFERROR(SUMIFS(M$4:M$90,$A$4:$A$90,$A94)*VLOOKUP(M$44,'Energy Heat Value Conversion'!$A:$E,5,FALSE),0)</f>
        <v>559829131320.39404</v>
      </c>
      <c r="N94">
        <f>IFERROR(SUMIFS(N$4:N$90,$A$4:$A$90,$A94)*VLOOKUP(N$44,'Energy Heat Value Conversion'!$A:$E,5,FALSE),0)</f>
        <v>180731759366.10367</v>
      </c>
      <c r="O94">
        <f>IFERROR(SUMIFS(O$4:O$90,$A$4:$A$90,$A94)*VLOOKUP(O$44,'Energy Heat Value Conversion'!$A:$E,5,FALSE),0)</f>
        <v>0</v>
      </c>
      <c r="P94">
        <f>IFERROR(SUMIFS(P$4:P$90,$A$4:$A$90,$A94)*VLOOKUP(P$44,'Energy Heat Value Conversion'!$A:$E,5,FALSE),0)</f>
        <v>31707136641.155064</v>
      </c>
      <c r="Q94">
        <f>IFERROR(SUMIFS(Q$4:Q$90,$A$4:$A$90,$A94)*VLOOKUP(Q$44,'Energy Heat Value Conversion'!$A:$E,5,FALSE),0)</f>
        <v>1314483967839.2383</v>
      </c>
      <c r="R94">
        <f>IFERROR(SUMIFS(R$4:R$90,$A$4:$A$90,$A94)*VLOOKUP(R$44,'Energy Heat Value Conversion'!$A:$E,5,FALSE),0)</f>
        <v>249017149186.93643</v>
      </c>
      <c r="S94">
        <f>IFERROR(SUMIFS(S$4:S$90,$A$4:$A$90,$A94)*VLOOKUP(S$44,'Energy Heat Value Conversion'!$A:$E,5,FALSE),0)</f>
        <v>59596445439357.539</v>
      </c>
      <c r="T94">
        <f>IFERROR(SUMIFS(T$4:T$90,$A$4:$A$90,$A94)*VLOOKUP(T$44,'Energy Heat Value Conversion'!$A:$E,5,FALSE),0)</f>
        <v>79267841602.887665</v>
      </c>
      <c r="U94">
        <f>IFERROR(SUMIFS(U$4:U$90,$A$4:$A$90,$A94)*VLOOKUP(U$44,'Energy Heat Value Conversion'!$A:$E,5,FALSE),0)</f>
        <v>59344139933445.234</v>
      </c>
      <c r="V94">
        <f>IFERROR(SUMIFS(V$4:V$90,$A$4:$A$90,$A94)*VLOOKUP(V$44,'Energy Heat Value Conversion'!$A:$E,5,FALSE),0)</f>
        <v>478700345578.862</v>
      </c>
      <c r="W94">
        <f>IFERROR(SUMIFS(W$4:W$90,$A$4:$A$90,$A94)*VLOOKUP(W$44,'Energy Heat Value Conversion'!$A:$E,5,FALSE),0)</f>
        <v>0</v>
      </c>
      <c r="X94">
        <f>IFERROR(SUMIFS(X$4:X$90,$A$4:$A$90,$A94)*VLOOKUP(X$44,'Energy Heat Value Conversion'!$A:$E,5,FALSE),0)</f>
        <v>0</v>
      </c>
      <c r="Y94">
        <f>IFERROR(SUMIFS(Y$4:Y$90,$A$4:$A$90,$A94)*VLOOKUP(Y$44,'Energy Heat Value Conversion'!$A:$E,5,FALSE),0)</f>
        <v>132838086249.17819</v>
      </c>
      <c r="Z94">
        <f>IFERROR(SUMIFS(Z$4:Z$90,$A$4:$A$90,$A94)*VLOOKUP(Z$44,'Energy Heat Value Conversion'!$A:$E,5,FALSE),0)</f>
        <v>0</v>
      </c>
      <c r="AA94">
        <f>IFERROR(SUMIFS(AA$4:AA$90,$A$4:$A$90,$A94)*VLOOKUP(AA$44,'Energy Heat Value Conversion'!$A:$E,5,FALSE),0)</f>
        <v>17331051811143.457</v>
      </c>
      <c r="AB94">
        <f>IFERROR(SUMIFS(AB$4:AB$90,$A$4:$A$90,$A94)*VLOOKUP(AB$44,'Energy Heat Value Conversion'!$A:$E,5,FALSE),0)</f>
        <v>0</v>
      </c>
      <c r="AC94">
        <f>IFERROR(SUMIFS(AC$4:AC$90,$A$4:$A$90,$A94)*VLOOKUP(AC$44,'Energy Heat Value Conversion'!$A:$E,5,FALSE),0)</f>
        <v>194207728434.47104</v>
      </c>
      <c r="AD94">
        <f>IFERROR(SUMIFS(AD$4:AD$90,$A$4:$A$90,$A94)*VLOOKUP(AD$44,'Energy Heat Value Conversion'!$A:$E,5,FALSE),0)</f>
        <v>29208100215737.395</v>
      </c>
      <c r="AE94">
        <f>IFERROR(SUMIFS(AE$4:AE$90,$A$4:$A$90,$A94)*VLOOKUP(AE$44,'Energy Heat Value Conversion'!$A:$E,5,FALSE),0)</f>
        <v>7414878937451.5117</v>
      </c>
      <c r="AF94">
        <f>IFERROR(SUMIFS(AF$4:AF$90,$A$4:$A$90,$A94)*VLOOKUP(AF$44,'Energy Heat Value Conversion'!$A:$E,5,FALSE),0)</f>
        <v>5948784606994.9756</v>
      </c>
      <c r="AG94">
        <f>IFERROR(SUMIFS(AG$4:AG$90,$A$4:$A$90,$A94)*VLOOKUP(AG$44,'Energy Heat Value Conversion'!$A:$E,5,FALSE),0)</f>
        <v>310098844530363</v>
      </c>
      <c r="AH94">
        <f>IFERROR(SUMIFS(AH$4:AH$90,$A$4:$A$90,$A94)*VLOOKUP(AH$44,'Energy Heat Value Conversion'!$A:$E,5,FALSE),0)</f>
        <v>313502171472.72339</v>
      </c>
    </row>
    <row r="95" spans="1:34" x14ac:dyDescent="0.2">
      <c r="A95" s="178" t="s">
        <v>375</v>
      </c>
      <c r="C95">
        <f>IFERROR(SUMIFS(C$4:C$90,$A$4:$A$90,$A95)*VLOOKUP(C$44,'Energy Heat Value Conversion'!$A:$E,5,FALSE),0)</f>
        <v>0</v>
      </c>
      <c r="D95">
        <f>IFERROR(SUMIFS(D$4:D$90,$A$4:$A$90,$A95)*VLOOKUP(D$44,'Energy Heat Value Conversion'!$A:$E,5,FALSE),0)</f>
        <v>12997944326833.504</v>
      </c>
      <c r="E95">
        <f>IFERROR(SUMIFS(E$4:E$90,$A$4:$A$90,$A95)*VLOOKUP(E$44,'Energy Heat Value Conversion'!$A:$E,5,FALSE),0)</f>
        <v>0</v>
      </c>
      <c r="F95">
        <f>IFERROR(SUMIFS(F$4:F$90,$A$4:$A$90,$A95)*VLOOKUP(F$44,'Energy Heat Value Conversion'!$A:$E,5,FALSE),0)</f>
        <v>0</v>
      </c>
      <c r="G95">
        <f>IFERROR(SUMIFS(G$4:G$90,$A$4:$A$90,$A95)*VLOOKUP(G$44,'Energy Heat Value Conversion'!$A:$E,5,FALSE),0)</f>
        <v>0</v>
      </c>
      <c r="H95">
        <f>IFERROR(SUMIFS(H$4:H$90,$A$4:$A$90,$A95)*VLOOKUP(H$44,'Energy Heat Value Conversion'!$A:$E,5,FALSE),0)</f>
        <v>0</v>
      </c>
      <c r="I95">
        <f>IFERROR(SUMIFS(I$4:I$90,$A$4:$A$90,$A95)*VLOOKUP(I$44,'Energy Heat Value Conversion'!$A:$E,5,FALSE),0)</f>
        <v>0</v>
      </c>
      <c r="J95">
        <f>IFERROR(SUMIFS(J$4:J$90,$A$4:$A$90,$A95)*VLOOKUP(J$44,'Energy Heat Value Conversion'!$A:$E,5,FALSE),0)</f>
        <v>0</v>
      </c>
      <c r="K95">
        <f>IFERROR(SUMIFS(K$4:K$90,$A$4:$A$90,$A95)*VLOOKUP(K$44,'Energy Heat Value Conversion'!$A:$E,5,FALSE),0)</f>
        <v>0</v>
      </c>
      <c r="L95">
        <f>IFERROR(SUMIFS(L$4:L$90,$A$4:$A$90,$A95)*VLOOKUP(L$44,'Energy Heat Value Conversion'!$A:$E,5,FALSE),0)</f>
        <v>0</v>
      </c>
      <c r="M95">
        <f>IFERROR(SUMIFS(M$4:M$90,$A$4:$A$90,$A95)*VLOOKUP(M$44,'Energy Heat Value Conversion'!$A:$E,5,FALSE),0)</f>
        <v>0</v>
      </c>
      <c r="N95">
        <f>IFERROR(SUMIFS(N$4:N$90,$A$4:$A$90,$A95)*VLOOKUP(N$44,'Energy Heat Value Conversion'!$A:$E,5,FALSE),0)</f>
        <v>0</v>
      </c>
      <c r="O95">
        <f>IFERROR(SUMIFS(O$4:O$90,$A$4:$A$90,$A95)*VLOOKUP(O$44,'Energy Heat Value Conversion'!$A:$E,5,FALSE),0)</f>
        <v>0</v>
      </c>
      <c r="P95">
        <f>IFERROR(SUMIFS(P$4:P$90,$A$4:$A$90,$A95)*VLOOKUP(P$44,'Energy Heat Value Conversion'!$A:$E,5,FALSE),0)</f>
        <v>98097917375653.625</v>
      </c>
      <c r="Q95">
        <f>IFERROR(SUMIFS(Q$4:Q$90,$A$4:$A$90,$A95)*VLOOKUP(Q$44,'Energy Heat Value Conversion'!$A:$E,5,FALSE),0)</f>
        <v>2306470316239.6572</v>
      </c>
      <c r="R95">
        <f>IFERROR(SUMIFS(R$4:R$90,$A$4:$A$90,$A95)*VLOOKUP(R$44,'Energy Heat Value Conversion'!$A:$E,5,FALSE),0)</f>
        <v>0</v>
      </c>
      <c r="S95">
        <f>IFERROR(SUMIFS(S$4:S$90,$A$4:$A$90,$A95)*VLOOKUP(S$44,'Energy Heat Value Conversion'!$A:$E,5,FALSE),0)</f>
        <v>10106573978998.363</v>
      </c>
      <c r="T95">
        <f>IFERROR(SUMIFS(T$4:T$90,$A$4:$A$90,$A95)*VLOOKUP(T$44,'Energy Heat Value Conversion'!$A:$E,5,FALSE),0)</f>
        <v>118901762404.33148</v>
      </c>
      <c r="U95">
        <f>IFERROR(SUMIFS(U$4:U$90,$A$4:$A$90,$A95)*VLOOKUP(U$44,'Energy Heat Value Conversion'!$A:$E,5,FALSE),0)</f>
        <v>0</v>
      </c>
      <c r="V95">
        <f>IFERROR(SUMIFS(V$4:V$90,$A$4:$A$90,$A95)*VLOOKUP(V$44,'Energy Heat Value Conversion'!$A:$E,5,FALSE),0)</f>
        <v>3923773324.4169021</v>
      </c>
      <c r="W95">
        <f>IFERROR(SUMIFS(W$4:W$90,$A$4:$A$90,$A95)*VLOOKUP(W$44,'Energy Heat Value Conversion'!$A:$E,5,FALSE),0)</f>
        <v>0</v>
      </c>
      <c r="X95">
        <f>IFERROR(SUMIFS(X$4:X$90,$A$4:$A$90,$A95)*VLOOKUP(X$44,'Energy Heat Value Conversion'!$A:$E,5,FALSE),0)</f>
        <v>0</v>
      </c>
      <c r="Y95">
        <f>IFERROR(SUMIFS(Y$4:Y$90,$A$4:$A$90,$A95)*VLOOKUP(Y$44,'Energy Heat Value Conversion'!$A:$E,5,FALSE),0)</f>
        <v>0</v>
      </c>
      <c r="Z95">
        <f>IFERROR(SUMIFS(Z$4:Z$90,$A$4:$A$90,$A95)*VLOOKUP(Z$44,'Energy Heat Value Conversion'!$A:$E,5,FALSE),0)</f>
        <v>0</v>
      </c>
      <c r="AA95">
        <f>IFERROR(SUMIFS(AA$4:AA$90,$A$4:$A$90,$A95)*VLOOKUP(AA$44,'Energy Heat Value Conversion'!$A:$E,5,FALSE),0)</f>
        <v>47560515398.308067</v>
      </c>
      <c r="AB95">
        <f>IFERROR(SUMIFS(AB$4:AB$90,$A$4:$A$90,$A95)*VLOOKUP(AB$44,'Energy Heat Value Conversion'!$A:$E,5,FALSE),0)</f>
        <v>4634434660496.8828</v>
      </c>
      <c r="AC95">
        <f>IFERROR(SUMIFS(AC$4:AC$90,$A$4:$A$90,$A95)*VLOOKUP(AC$44,'Energy Heat Value Conversion'!$A:$E,5,FALSE),0)</f>
        <v>6335056101532.4443</v>
      </c>
      <c r="AD95">
        <f>IFERROR(SUMIFS(AD$4:AD$90,$A$4:$A$90,$A95)*VLOOKUP(AD$44,'Energy Heat Value Conversion'!$A:$E,5,FALSE),0)</f>
        <v>426620392181134.31</v>
      </c>
      <c r="AE95">
        <f>IFERROR(SUMIFS(AE$4:AE$90,$A$4:$A$90,$A95)*VLOOKUP(AE$44,'Energy Heat Value Conversion'!$A:$E,5,FALSE),0)</f>
        <v>5679378015865.2275</v>
      </c>
      <c r="AF95">
        <f>IFERROR(SUMIFS(AF$4:AF$90,$A$4:$A$90,$A95)*VLOOKUP(AF$44,'Energy Heat Value Conversion'!$A:$E,5,FALSE),0)</f>
        <v>25451922758401.844</v>
      </c>
      <c r="AG95">
        <f>IFERROR(SUMIFS(AG$4:AG$90,$A$4:$A$90,$A95)*VLOOKUP(AG$44,'Energy Heat Value Conversion'!$A:$E,5,FALSE),0)</f>
        <v>158091346538669.03</v>
      </c>
      <c r="AH95">
        <f>IFERROR(SUMIFS(AH$4:AH$90,$A$4:$A$90,$A95)*VLOOKUP(AH$44,'Energy Heat Value Conversion'!$A:$E,5,FALSE),0)</f>
        <v>0</v>
      </c>
    </row>
    <row r="96" spans="1:34" x14ac:dyDescent="0.2">
      <c r="A96" s="178" t="s">
        <v>376</v>
      </c>
      <c r="C96">
        <f>IFERROR(SUMIFS(C$4:C$90,$A$4:$A$90,$A96)*VLOOKUP(C$44,'Energy Heat Value Conversion'!$A:$E,5,FALSE),0)</f>
        <v>0</v>
      </c>
      <c r="D96">
        <f>IFERROR(SUMIFS(D$4:D$90,$A$4:$A$90,$A96)*VLOOKUP(D$44,'Energy Heat Value Conversion'!$A:$E,5,FALSE),0)</f>
        <v>93510291042886.5</v>
      </c>
      <c r="E96">
        <f>IFERROR(SUMIFS(E$4:E$90,$A$4:$A$90,$A96)*VLOOKUP(E$44,'Energy Heat Value Conversion'!$A:$E,5,FALSE),0)</f>
        <v>0</v>
      </c>
      <c r="F96">
        <f>IFERROR(SUMIFS(F$4:F$90,$A$4:$A$90,$A96)*VLOOKUP(F$44,'Energy Heat Value Conversion'!$A:$E,5,FALSE),0)</f>
        <v>3172223157665.0659</v>
      </c>
      <c r="G96">
        <f>IFERROR(SUMIFS(G$4:G$90,$A$4:$A$90,$A96)*VLOOKUP(G$44,'Energy Heat Value Conversion'!$A:$E,5,FALSE),0)</f>
        <v>2007717127012.7576</v>
      </c>
      <c r="H96">
        <f>IFERROR(SUMIFS(H$4:H$90,$A$4:$A$90,$A96)*VLOOKUP(H$44,'Energy Heat Value Conversion'!$A:$E,5,FALSE),0)</f>
        <v>0</v>
      </c>
      <c r="I96">
        <f>IFERROR(SUMIFS(I$4:I$90,$A$4:$A$90,$A96)*VLOOKUP(I$44,'Energy Heat Value Conversion'!$A:$E,5,FALSE),0)</f>
        <v>50670913298096.969</v>
      </c>
      <c r="J96">
        <f>IFERROR(SUMIFS(J$4:J$90,$A$4:$A$90,$A96)*VLOOKUP(J$44,'Energy Heat Value Conversion'!$A:$E,5,FALSE),0)</f>
        <v>8947681774381.8984</v>
      </c>
      <c r="K96">
        <f>IFERROR(SUMIFS(K$4:K$90,$A$4:$A$90,$A96)*VLOOKUP(K$44,'Energy Heat Value Conversion'!$A:$E,5,FALSE),0)</f>
        <v>7026272590214.0625</v>
      </c>
      <c r="L96">
        <f>IFERROR(SUMIFS(L$4:L$90,$A$4:$A$90,$A96)*VLOOKUP(L$44,'Energy Heat Value Conversion'!$A:$E,5,FALSE),0)</f>
        <v>994013729225.80371</v>
      </c>
      <c r="M96">
        <f>IFERROR(SUMIFS(M$4:M$90,$A$4:$A$90,$A96)*VLOOKUP(M$44,'Energy Heat Value Conversion'!$A:$E,5,FALSE),0)</f>
        <v>0</v>
      </c>
      <c r="N96">
        <f>IFERROR(SUMIFS(N$4:N$90,$A$4:$A$90,$A96)*VLOOKUP(N$44,'Energy Heat Value Conversion'!$A:$E,5,FALSE),0)</f>
        <v>0</v>
      </c>
      <c r="O96">
        <f>IFERROR(SUMIFS(O$4:O$90,$A$4:$A$90,$A96)*VLOOKUP(O$44,'Energy Heat Value Conversion'!$A:$E,5,FALSE),0)</f>
        <v>0</v>
      </c>
      <c r="P96">
        <f>IFERROR(SUMIFS(P$4:P$90,$A$4:$A$90,$A96)*VLOOKUP(P$44,'Energy Heat Value Conversion'!$A:$E,5,FALSE),0)</f>
        <v>0</v>
      </c>
      <c r="Q96">
        <f>IFERROR(SUMIFS(Q$4:Q$90,$A$4:$A$90,$A96)*VLOOKUP(Q$44,'Energy Heat Value Conversion'!$A:$E,5,FALSE),0)</f>
        <v>996068596747.74573</v>
      </c>
      <c r="R96">
        <f>IFERROR(SUMIFS(R$4:R$90,$A$4:$A$90,$A96)*VLOOKUP(R$44,'Energy Heat Value Conversion'!$A:$E,5,FALSE),0)</f>
        <v>171454430587.72675</v>
      </c>
      <c r="S96">
        <f>IFERROR(SUMIFS(S$4:S$90,$A$4:$A$90,$A96)*VLOOKUP(S$44,'Energy Heat Value Conversion'!$A:$E,5,FALSE),0)</f>
        <v>40135226585398.297</v>
      </c>
      <c r="T96">
        <f>IFERROR(SUMIFS(T$4:T$90,$A$4:$A$90,$A96)*VLOOKUP(T$44,'Energy Heat Value Conversion'!$A:$E,5,FALSE),0)</f>
        <v>225913348568.22986</v>
      </c>
      <c r="U96">
        <f>IFERROR(SUMIFS(U$4:U$90,$A$4:$A$90,$A96)*VLOOKUP(U$44,'Energy Heat Value Conversion'!$A:$E,5,FALSE),0)</f>
        <v>0</v>
      </c>
      <c r="V96">
        <f>IFERROR(SUMIFS(V$4:V$90,$A$4:$A$90,$A96)*VLOOKUP(V$44,'Energy Heat Value Conversion'!$A:$E,5,FALSE),0)</f>
        <v>192264892896.42819</v>
      </c>
      <c r="W96">
        <f>IFERROR(SUMIFS(W$4:W$90,$A$4:$A$90,$A96)*VLOOKUP(W$44,'Energy Heat Value Conversion'!$A:$E,5,FALSE),0)</f>
        <v>0</v>
      </c>
      <c r="X96">
        <f>IFERROR(SUMIFS(X$4:X$90,$A$4:$A$90,$A96)*VLOOKUP(X$44,'Energy Heat Value Conversion'!$A:$E,5,FALSE),0)</f>
        <v>0</v>
      </c>
      <c r="Y96">
        <f>IFERROR(SUMIFS(Y$4:Y$90,$A$4:$A$90,$A96)*VLOOKUP(Y$44,'Energy Heat Value Conversion'!$A:$E,5,FALSE),0)</f>
        <v>365304737185.24005</v>
      </c>
      <c r="Z96">
        <f>IFERROR(SUMIFS(Z$4:Z$90,$A$4:$A$90,$A96)*VLOOKUP(Z$44,'Energy Heat Value Conversion'!$A:$E,5,FALSE),0)</f>
        <v>314911101625.56799</v>
      </c>
      <c r="AA96">
        <f>IFERROR(SUMIFS(AA$4:AA$90,$A$4:$A$90,$A96)*VLOOKUP(AA$44,'Energy Heat Value Conversion'!$A:$E,5,FALSE),0)</f>
        <v>28536309238.984837</v>
      </c>
      <c r="AB96">
        <f>IFERROR(SUMIFS(AB$4:AB$90,$A$4:$A$90,$A96)*VLOOKUP(AB$44,'Energy Heat Value Conversion'!$A:$E,5,FALSE),0)</f>
        <v>0</v>
      </c>
      <c r="AC96">
        <f>IFERROR(SUMIFS(AC$4:AC$90,$A$4:$A$90,$A96)*VLOOKUP(AC$44,'Energy Heat Value Conversion'!$A:$E,5,FALSE),0)</f>
        <v>27189081980.825947</v>
      </c>
      <c r="AD96">
        <f>IFERROR(SUMIFS(AD$4:AD$90,$A$4:$A$90,$A96)*VLOOKUP(AD$44,'Energy Heat Value Conversion'!$A:$E,5,FALSE),0)</f>
        <v>5801146925065.626</v>
      </c>
      <c r="AE96">
        <f>IFERROR(SUMIFS(AE$4:AE$90,$A$4:$A$90,$A96)*VLOOKUP(AE$44,'Energy Heat Value Conversion'!$A:$E,5,FALSE),0)</f>
        <v>8453254488850.0459</v>
      </c>
      <c r="AF96">
        <f>IFERROR(SUMIFS(AF$4:AF$90,$A$4:$A$90,$A96)*VLOOKUP(AF$44,'Energy Heat Value Conversion'!$A:$E,5,FALSE),0)</f>
        <v>22941439545593.727</v>
      </c>
      <c r="AG96">
        <f>IFERROR(SUMIFS(AG$4:AG$90,$A$4:$A$90,$A96)*VLOOKUP(AG$44,'Energy Heat Value Conversion'!$A:$E,5,FALSE),0)</f>
        <v>342104733128582.81</v>
      </c>
      <c r="AH96">
        <f>IFERROR(SUMIFS(AH$4:AH$90,$A$4:$A$90,$A96)*VLOOKUP(AH$44,'Energy Heat Value Conversion'!$A:$E,5,FALSE),0)</f>
        <v>2422012351289.2705</v>
      </c>
    </row>
    <row r="97" spans="1:34" x14ac:dyDescent="0.2">
      <c r="A97" s="178" t="s">
        <v>377</v>
      </c>
      <c r="C97">
        <f>IFERROR(SUMIFS(C$4:C$90,$A$4:$A$90,$A97)*VLOOKUP(C$44,'Energy Heat Value Conversion'!$A:$E,5,FALSE),0)</f>
        <v>0</v>
      </c>
      <c r="D97">
        <f>IFERROR(SUMIFS(D$4:D$90,$A$4:$A$90,$A97)*VLOOKUP(D$44,'Energy Heat Value Conversion'!$A:$E,5,FALSE),0)</f>
        <v>384286532698719.19</v>
      </c>
      <c r="E97">
        <f>IFERROR(SUMIFS(E$4:E$90,$A$4:$A$90,$A97)*VLOOKUP(E$44,'Energy Heat Value Conversion'!$A:$E,5,FALSE),0)</f>
        <v>0</v>
      </c>
      <c r="F97">
        <f>IFERROR(SUMIFS(F$4:F$90,$A$4:$A$90,$A97)*VLOOKUP(F$44,'Energy Heat Value Conversion'!$A:$E,5,FALSE),0)</f>
        <v>5979822963874.376</v>
      </c>
      <c r="G97">
        <f>IFERROR(SUMIFS(G$4:G$90,$A$4:$A$90,$A97)*VLOOKUP(G$44,'Energy Heat Value Conversion'!$A:$E,5,FALSE),0)</f>
        <v>1831730234944.4358</v>
      </c>
      <c r="H97">
        <f>IFERROR(SUMIFS(H$4:H$90,$A$4:$A$90,$A97)*VLOOKUP(H$44,'Energy Heat Value Conversion'!$A:$E,5,FALSE),0)</f>
        <v>0</v>
      </c>
      <c r="I97">
        <f>IFERROR(SUMIFS(I$4:I$90,$A$4:$A$90,$A97)*VLOOKUP(I$44,'Energy Heat Value Conversion'!$A:$E,5,FALSE),0)</f>
        <v>4271762011461.2891</v>
      </c>
      <c r="J97">
        <f>IFERROR(SUMIFS(J$4:J$90,$A$4:$A$90,$A97)*VLOOKUP(J$44,'Energy Heat Value Conversion'!$A:$E,5,FALSE),0)</f>
        <v>82239722191.010086</v>
      </c>
      <c r="K97">
        <f>IFERROR(SUMIFS(K$4:K$90,$A$4:$A$90,$A97)*VLOOKUP(K$44,'Energy Heat Value Conversion'!$A:$E,5,FALSE),0)</f>
        <v>0</v>
      </c>
      <c r="L97">
        <f>IFERROR(SUMIFS(L$4:L$90,$A$4:$A$90,$A97)*VLOOKUP(L$44,'Energy Heat Value Conversion'!$A:$E,5,FALSE),0)</f>
        <v>0</v>
      </c>
      <c r="M97">
        <f>IFERROR(SUMIFS(M$4:M$90,$A$4:$A$90,$A97)*VLOOKUP(M$44,'Energy Heat Value Conversion'!$A:$E,5,FALSE),0)</f>
        <v>79267841602.887665</v>
      </c>
      <c r="N97">
        <f>IFERROR(SUMIFS(N$4:N$90,$A$4:$A$90,$A97)*VLOOKUP(N$44,'Energy Heat Value Conversion'!$A:$E,5,FALSE),0)</f>
        <v>3170732620.4579597</v>
      </c>
      <c r="O97">
        <f>IFERROR(SUMIFS(O$4:O$90,$A$4:$A$90,$A97)*VLOOKUP(O$44,'Energy Heat Value Conversion'!$A:$E,5,FALSE),0)</f>
        <v>0</v>
      </c>
      <c r="P97">
        <f>IFERROR(SUMIFS(P$4:P$90,$A$4:$A$90,$A97)*VLOOKUP(P$44,'Energy Heat Value Conversion'!$A:$E,5,FALSE),0)</f>
        <v>0</v>
      </c>
      <c r="Q97">
        <f>IFERROR(SUMIFS(Q$4:Q$90,$A$4:$A$90,$A97)*VLOOKUP(Q$44,'Energy Heat Value Conversion'!$A:$E,5,FALSE),0)</f>
        <v>4261867274609.207</v>
      </c>
      <c r="R97">
        <f>IFERROR(SUMIFS(R$4:R$90,$A$4:$A$90,$A97)*VLOOKUP(R$44,'Energy Heat Value Conversion'!$A:$E,5,FALSE),0)</f>
        <v>20411241736.634136</v>
      </c>
      <c r="S97">
        <f>IFERROR(SUMIFS(S$4:S$90,$A$4:$A$90,$A97)*VLOOKUP(S$44,'Energy Heat Value Conversion'!$A:$E,5,FALSE),0)</f>
        <v>8400584291343.4395</v>
      </c>
      <c r="T97">
        <f>IFERROR(SUMIFS(T$4:T$90,$A$4:$A$90,$A97)*VLOOKUP(T$44,'Energy Heat Value Conversion'!$A:$E,5,FALSE),0)</f>
        <v>693593614025.26697</v>
      </c>
      <c r="U97">
        <f>IFERROR(SUMIFS(U$4:U$90,$A$4:$A$90,$A97)*VLOOKUP(U$44,'Energy Heat Value Conversion'!$A:$E,5,FALSE),0)</f>
        <v>0</v>
      </c>
      <c r="V97">
        <f>IFERROR(SUMIFS(V$4:V$90,$A$4:$A$90,$A97)*VLOOKUP(V$44,'Energy Heat Value Conversion'!$A:$E,5,FALSE),0)</f>
        <v>19618866622.084511</v>
      </c>
      <c r="W97">
        <f>IFERROR(SUMIFS(W$4:W$90,$A$4:$A$90,$A97)*VLOOKUP(W$44,'Energy Heat Value Conversion'!$A:$E,5,FALSE),0)</f>
        <v>7568319724.4961014</v>
      </c>
      <c r="X97">
        <f>IFERROR(SUMIFS(X$4:X$90,$A$4:$A$90,$A97)*VLOOKUP(X$44,'Energy Heat Value Conversion'!$A:$E,5,FALSE),0)</f>
        <v>545433684861.32751</v>
      </c>
      <c r="Y97">
        <f>IFERROR(SUMIFS(Y$4:Y$90,$A$4:$A$90,$A97)*VLOOKUP(Y$44,'Energy Heat Value Conversion'!$A:$E,5,FALSE),0)</f>
        <v>0</v>
      </c>
      <c r="Z97">
        <f>IFERROR(SUMIFS(Z$4:Z$90,$A$4:$A$90,$A97)*VLOOKUP(Z$44,'Energy Heat Value Conversion'!$A:$E,5,FALSE),0)</f>
        <v>0</v>
      </c>
      <c r="AA97">
        <f>IFERROR(SUMIFS(AA$4:AA$90,$A$4:$A$90,$A97)*VLOOKUP(AA$44,'Energy Heat Value Conversion'!$A:$E,5,FALSE),0)</f>
        <v>1388767049630.5955</v>
      </c>
      <c r="AB97">
        <f>IFERROR(SUMIFS(AB$4:AB$90,$A$4:$A$90,$A97)*VLOOKUP(AB$44,'Energy Heat Value Conversion'!$A:$E,5,FALSE),0)</f>
        <v>0</v>
      </c>
      <c r="AC97">
        <f>IFERROR(SUMIFS(AC$4:AC$90,$A$4:$A$90,$A97)*VLOOKUP(AC$44,'Energy Heat Value Conversion'!$A:$E,5,FALSE),0)</f>
        <v>450561929967.97278</v>
      </c>
      <c r="AD97">
        <f>IFERROR(SUMIFS(AD$4:AD$90,$A$4:$A$90,$A97)*VLOOKUP(AD$44,'Energy Heat Value Conversion'!$A:$E,5,FALSE),0)</f>
        <v>98417132135706.375</v>
      </c>
      <c r="AE97">
        <f>IFERROR(SUMIFS(AE$4:AE$90,$A$4:$A$90,$A97)*VLOOKUP(AE$44,'Energy Heat Value Conversion'!$A:$E,5,FALSE),0)</f>
        <v>151651580530073.38</v>
      </c>
      <c r="AF97">
        <f>IFERROR(SUMIFS(AF$4:AF$90,$A$4:$A$90,$A97)*VLOOKUP(AF$44,'Energy Heat Value Conversion'!$A:$E,5,FALSE),0)</f>
        <v>224000748396400.09</v>
      </c>
      <c r="AG97">
        <f>IFERROR(SUMIFS(AG$4:AG$90,$A$4:$A$90,$A97)*VLOOKUP(AG$44,'Energy Heat Value Conversion'!$A:$E,5,FALSE),0)</f>
        <v>478873606548885.5</v>
      </c>
      <c r="AH97">
        <f>IFERROR(SUMIFS(AH$4:AH$90,$A$4:$A$90,$A97)*VLOOKUP(AH$44,'Energy Heat Value Conversion'!$A:$E,5,FALSE),0)</f>
        <v>67361351534139.156</v>
      </c>
    </row>
    <row r="98" spans="1:34" x14ac:dyDescent="0.2">
      <c r="A98" s="178" t="s">
        <v>378</v>
      </c>
      <c r="C98">
        <f>IFERROR(SUMIFS(C$4:C$90,$A$4:$A$90,$A98)*VLOOKUP(C$44,'Energy Heat Value Conversion'!$A:$E,5,FALSE),0)</f>
        <v>0</v>
      </c>
      <c r="D98">
        <f>IFERROR(SUMIFS(D$4:D$90,$A$4:$A$90,$A98)*VLOOKUP(D$44,'Energy Heat Value Conversion'!$A:$E,5,FALSE),0)</f>
        <v>54528348238626.422</v>
      </c>
      <c r="E98">
        <f>IFERROR(SUMIFS(E$4:E$90,$A$4:$A$90,$A98)*VLOOKUP(E$44,'Energy Heat Value Conversion'!$A:$E,5,FALSE),0)</f>
        <v>0</v>
      </c>
      <c r="F98">
        <f>IFERROR(SUMIFS(F$4:F$90,$A$4:$A$90,$A98)*VLOOKUP(F$44,'Energy Heat Value Conversion'!$A:$E,5,FALSE),0)</f>
        <v>603213848821.36804</v>
      </c>
      <c r="G98">
        <f>IFERROR(SUMIFS(G$4:G$90,$A$4:$A$90,$A98)*VLOOKUP(G$44,'Energy Heat Value Conversion'!$A:$E,5,FALSE),0)</f>
        <v>7279991101892.8506</v>
      </c>
      <c r="H98">
        <f>IFERROR(SUMIFS(H$4:H$90,$A$4:$A$90,$A98)*VLOOKUP(H$44,'Energy Heat Value Conversion'!$A:$E,5,FALSE),0)</f>
        <v>0</v>
      </c>
      <c r="I98">
        <f>IFERROR(SUMIFS(I$4:I$90,$A$4:$A$90,$A98)*VLOOKUP(I$44,'Energy Heat Value Conversion'!$A:$E,5,FALSE),0)</f>
        <v>1069961841356.55</v>
      </c>
      <c r="J98">
        <f>IFERROR(SUMIFS(J$4:J$90,$A$4:$A$90,$A98)*VLOOKUP(J$44,'Energy Heat Value Conversion'!$A:$E,5,FALSE),0)</f>
        <v>0</v>
      </c>
      <c r="K98">
        <f>IFERROR(SUMIFS(K$4:K$90,$A$4:$A$90,$A98)*VLOOKUP(K$44,'Energy Heat Value Conversion'!$A:$E,5,FALSE),0)</f>
        <v>24966450828.171799</v>
      </c>
      <c r="L98">
        <f>IFERROR(SUMIFS(L$4:L$90,$A$4:$A$90,$A98)*VLOOKUP(L$44,'Energy Heat Value Conversion'!$A:$E,5,FALSE),0)</f>
        <v>0</v>
      </c>
      <c r="M98">
        <f>IFERROR(SUMIFS(M$4:M$90,$A$4:$A$90,$A98)*VLOOKUP(M$44,'Energy Heat Value Conversion'!$A:$E,5,FALSE),0)</f>
        <v>0</v>
      </c>
      <c r="N98">
        <f>IFERROR(SUMIFS(N$4:N$90,$A$4:$A$90,$A98)*VLOOKUP(N$44,'Energy Heat Value Conversion'!$A:$E,5,FALSE),0)</f>
        <v>0</v>
      </c>
      <c r="O98">
        <f>IFERROR(SUMIFS(O$4:O$90,$A$4:$A$90,$A98)*VLOOKUP(O$44,'Energy Heat Value Conversion'!$A:$E,5,FALSE),0)</f>
        <v>0</v>
      </c>
      <c r="P98">
        <f>IFERROR(SUMIFS(P$4:P$90,$A$4:$A$90,$A98)*VLOOKUP(P$44,'Energy Heat Value Conversion'!$A:$E,5,FALSE),0)</f>
        <v>0</v>
      </c>
      <c r="Q98">
        <f>IFERROR(SUMIFS(Q$4:Q$90,$A$4:$A$90,$A98)*VLOOKUP(Q$44,'Energy Heat Value Conversion'!$A:$E,5,FALSE),0)</f>
        <v>3151495724136.3105</v>
      </c>
      <c r="R98">
        <f>IFERROR(SUMIFS(R$4:R$90,$A$4:$A$90,$A98)*VLOOKUP(R$44,'Energy Heat Value Conversion'!$A:$E,5,FALSE),0)</f>
        <v>4082248347.326827</v>
      </c>
      <c r="S98">
        <f>IFERROR(SUMIFS(S$4:S$90,$A$4:$A$90,$A98)*VLOOKUP(S$44,'Energy Heat Value Conversion'!$A:$E,5,FALSE),0)</f>
        <v>2813670195753.144</v>
      </c>
      <c r="T98">
        <f>IFERROR(SUMIFS(T$4:T$90,$A$4:$A$90,$A98)*VLOOKUP(T$44,'Energy Heat Value Conversion'!$A:$E,5,FALSE),0)</f>
        <v>618289164502.5238</v>
      </c>
      <c r="U98">
        <f>IFERROR(SUMIFS(U$4:U$90,$A$4:$A$90,$A98)*VLOOKUP(U$44,'Energy Heat Value Conversion'!$A:$E,5,FALSE),0)</f>
        <v>0</v>
      </c>
      <c r="V98">
        <f>IFERROR(SUMIFS(V$4:V$90,$A$4:$A$90,$A98)*VLOOKUP(V$44,'Energy Heat Value Conversion'!$A:$E,5,FALSE),0)</f>
        <v>62780373190.670433</v>
      </c>
      <c r="W98">
        <f>IFERROR(SUMIFS(W$4:W$90,$A$4:$A$90,$A98)*VLOOKUP(W$44,'Energy Heat Value Conversion'!$A:$E,5,FALSE),0)</f>
        <v>0</v>
      </c>
      <c r="X98">
        <f>IFERROR(SUMIFS(X$4:X$90,$A$4:$A$90,$A98)*VLOOKUP(X$44,'Energy Heat Value Conversion'!$A:$E,5,FALSE),0)</f>
        <v>40704006332.934891</v>
      </c>
      <c r="Y98">
        <f>IFERROR(SUMIFS(Y$4:Y$90,$A$4:$A$90,$A98)*VLOOKUP(Y$44,'Energy Heat Value Conversion'!$A:$E,5,FALSE),0)</f>
        <v>583011600760.2821</v>
      </c>
      <c r="Z98">
        <f>IFERROR(SUMIFS(Z$4:Z$90,$A$4:$A$90,$A98)*VLOOKUP(Z$44,'Energy Heat Value Conversion'!$A:$E,5,FALSE),0)</f>
        <v>0</v>
      </c>
      <c r="AA98">
        <f>IFERROR(SUMIFS(AA$4:AA$90,$A$4:$A$90,$A98)*VLOOKUP(AA$44,'Energy Heat Value Conversion'!$A:$E,5,FALSE),0)</f>
        <v>837065071010.22192</v>
      </c>
      <c r="AB98">
        <f>IFERROR(SUMIFS(AB$4:AB$90,$A$4:$A$90,$A98)*VLOOKUP(AB$44,'Energy Heat Value Conversion'!$A:$E,5,FALSE),0)</f>
        <v>0</v>
      </c>
      <c r="AC98">
        <f>IFERROR(SUMIFS(AC$4:AC$90,$A$4:$A$90,$A98)*VLOOKUP(AC$44,'Energy Heat Value Conversion'!$A:$E,5,FALSE),0)</f>
        <v>260238356102.19116</v>
      </c>
      <c r="AD98">
        <f>IFERROR(SUMIFS(AD$4:AD$90,$A$4:$A$90,$A98)*VLOOKUP(AD$44,'Energy Heat Value Conversion'!$A:$E,5,FALSE),0)</f>
        <v>57404372479428.461</v>
      </c>
      <c r="AE98">
        <f>IFERROR(SUMIFS(AE$4:AE$90,$A$4:$A$90,$A98)*VLOOKUP(AE$44,'Energy Heat Value Conversion'!$A:$E,5,FALSE),0)</f>
        <v>170483715530320.06</v>
      </c>
      <c r="AF98">
        <f>IFERROR(SUMIFS(AF$4:AF$90,$A$4:$A$90,$A98)*VLOOKUP(AF$44,'Energy Heat Value Conversion'!$A:$E,5,FALSE),0)</f>
        <v>308572005927458.75</v>
      </c>
      <c r="AG98">
        <f>IFERROR(SUMIFS(AG$4:AG$90,$A$4:$A$90,$A98)*VLOOKUP(AG$44,'Energy Heat Value Conversion'!$A:$E,5,FALSE),0)</f>
        <v>686379588341223.88</v>
      </c>
      <c r="AH98">
        <f>IFERROR(SUMIFS(AH$4:AH$90,$A$4:$A$90,$A98)*VLOOKUP(AH$44,'Energy Heat Value Conversion'!$A:$E,5,FALSE),0)</f>
        <v>18335715497904.684</v>
      </c>
    </row>
    <row r="99" spans="1:34" x14ac:dyDescent="0.2">
      <c r="A99" s="178" t="s">
        <v>379</v>
      </c>
      <c r="C99">
        <f>IFERROR(SUMIFS(C$4:C$90,$A$4:$A$90,$A99)*VLOOKUP(C$44,'Energy Heat Value Conversion'!$A:$E,5,FALSE),0)</f>
        <v>0</v>
      </c>
      <c r="D99">
        <f>IFERROR(SUMIFS(D$4:D$90,$A$4:$A$90,$A99)*VLOOKUP(D$44,'Energy Heat Value Conversion'!$A:$E,5,FALSE),0)</f>
        <v>6961698188773.6074</v>
      </c>
      <c r="E99">
        <f>IFERROR(SUMIFS(E$4:E$90,$A$4:$A$90,$A99)*VLOOKUP(E$44,'Energy Heat Value Conversion'!$A:$E,5,FALSE),0)</f>
        <v>0</v>
      </c>
      <c r="F99">
        <f>IFERROR(SUMIFS(F$4:F$90,$A$4:$A$90,$A99)*VLOOKUP(F$44,'Energy Heat Value Conversion'!$A:$E,5,FALSE),0)</f>
        <v>56278821637.736046</v>
      </c>
      <c r="G99">
        <f>IFERROR(SUMIFS(G$4:G$90,$A$4:$A$90,$A99)*VLOOKUP(G$44,'Energy Heat Value Conversion'!$A:$E,5,FALSE),0)</f>
        <v>1466557433.9028337</v>
      </c>
      <c r="H99">
        <f>IFERROR(SUMIFS(H$4:H$90,$A$4:$A$90,$A99)*VLOOKUP(H$44,'Energy Heat Value Conversion'!$A:$E,5,FALSE),0)</f>
        <v>0</v>
      </c>
      <c r="I99">
        <f>IFERROR(SUMIFS(I$4:I$90,$A$4:$A$90,$A99)*VLOOKUP(I$44,'Energy Heat Value Conversion'!$A:$E,5,FALSE),0)</f>
        <v>18865825918.125565</v>
      </c>
      <c r="J99">
        <f>IFERROR(SUMIFS(J$4:J$90,$A$4:$A$90,$A99)*VLOOKUP(J$44,'Energy Heat Value Conversion'!$A:$E,5,FALSE),0)</f>
        <v>0</v>
      </c>
      <c r="K99">
        <f>IFERROR(SUMIFS(K$4:K$90,$A$4:$A$90,$A99)*VLOOKUP(K$44,'Energy Heat Value Conversion'!$A:$E,5,FALSE),0)</f>
        <v>0</v>
      </c>
      <c r="L99">
        <f>IFERROR(SUMIFS(L$4:L$90,$A$4:$A$90,$A99)*VLOOKUP(L$44,'Energy Heat Value Conversion'!$A:$E,5,FALSE),0)</f>
        <v>0</v>
      </c>
      <c r="M99">
        <f>IFERROR(SUMIFS(M$4:M$90,$A$4:$A$90,$A99)*VLOOKUP(M$44,'Energy Heat Value Conversion'!$A:$E,5,FALSE),0)</f>
        <v>0</v>
      </c>
      <c r="N99">
        <f>IFERROR(SUMIFS(N$4:N$90,$A$4:$A$90,$A99)*VLOOKUP(N$44,'Energy Heat Value Conversion'!$A:$E,5,FALSE),0)</f>
        <v>0</v>
      </c>
      <c r="O99">
        <f>IFERROR(SUMIFS(O$4:O$90,$A$4:$A$90,$A99)*VLOOKUP(O$44,'Energy Heat Value Conversion'!$A:$E,5,FALSE),0)</f>
        <v>0</v>
      </c>
      <c r="P99">
        <f>IFERROR(SUMIFS(P$4:P$90,$A$4:$A$90,$A99)*VLOOKUP(P$44,'Energy Heat Value Conversion'!$A:$E,5,FALSE),0)</f>
        <v>0</v>
      </c>
      <c r="Q99">
        <f>IFERROR(SUMIFS(Q$4:Q$90,$A$4:$A$90,$A99)*VLOOKUP(Q$44,'Energy Heat Value Conversion'!$A:$E,5,FALSE),0)</f>
        <v>1183852020724.7798</v>
      </c>
      <c r="R99">
        <f>IFERROR(SUMIFS(R$4:R$90,$A$4:$A$90,$A99)*VLOOKUP(R$44,'Energy Heat Value Conversion'!$A:$E,5,FALSE),0)</f>
        <v>8164496694.6536541</v>
      </c>
      <c r="S99">
        <f>IFERROR(SUMIFS(S$4:S$90,$A$4:$A$90,$A99)*VLOOKUP(S$44,'Energy Heat Value Conversion'!$A:$E,5,FALSE),0)</f>
        <v>2328554644761.2227</v>
      </c>
      <c r="T99">
        <f>IFERROR(SUMIFS(T$4:T$90,$A$4:$A$90,$A99)*VLOOKUP(T$44,'Energy Heat Value Conversion'!$A:$E,5,FALSE),0)</f>
        <v>75304449522.743271</v>
      </c>
      <c r="U99">
        <f>IFERROR(SUMIFS(U$4:U$90,$A$4:$A$90,$A99)*VLOOKUP(U$44,'Energy Heat Value Conversion'!$A:$E,5,FALSE),0)</f>
        <v>0</v>
      </c>
      <c r="V99">
        <f>IFERROR(SUMIFS(V$4:V$90,$A$4:$A$90,$A99)*VLOOKUP(V$44,'Energy Heat Value Conversion'!$A:$E,5,FALSE),0)</f>
        <v>58856599866.25354</v>
      </c>
      <c r="W99">
        <f>IFERROR(SUMIFS(W$4:W$90,$A$4:$A$90,$A99)*VLOOKUP(W$44,'Energy Heat Value Conversion'!$A:$E,5,FALSE),0)</f>
        <v>639523016719.92053</v>
      </c>
      <c r="X99">
        <f>IFERROR(SUMIFS(X$4:X$90,$A$4:$A$90,$A99)*VLOOKUP(X$44,'Energy Heat Value Conversion'!$A:$E,5,FALSE),0)</f>
        <v>0</v>
      </c>
      <c r="Y99">
        <f>IFERROR(SUMIFS(Y$4:Y$90,$A$4:$A$90,$A99)*VLOOKUP(Y$44,'Energy Heat Value Conversion'!$A:$E,5,FALSE),0)</f>
        <v>0</v>
      </c>
      <c r="Z99">
        <f>IFERROR(SUMIFS(Z$4:Z$90,$A$4:$A$90,$A99)*VLOOKUP(Z$44,'Energy Heat Value Conversion'!$A:$E,5,FALSE),0)</f>
        <v>0</v>
      </c>
      <c r="AA99">
        <f>IFERROR(SUMIFS(AA$4:AA$90,$A$4:$A$90,$A99)*VLOOKUP(AA$44,'Energy Heat Value Conversion'!$A:$E,5,FALSE),0)</f>
        <v>199754164672.89386</v>
      </c>
      <c r="AB99">
        <f>IFERROR(SUMIFS(AB$4:AB$90,$A$4:$A$90,$A99)*VLOOKUP(AB$44,'Energy Heat Value Conversion'!$A:$E,5,FALSE),0)</f>
        <v>0</v>
      </c>
      <c r="AC99">
        <f>IFERROR(SUMIFS(AC$4:AC$90,$A$4:$A$90,$A99)*VLOOKUP(AC$44,'Energy Heat Value Conversion'!$A:$E,5,FALSE),0)</f>
        <v>0</v>
      </c>
      <c r="AD99">
        <f>IFERROR(SUMIFS(AD$4:AD$90,$A$4:$A$90,$A99)*VLOOKUP(AD$44,'Energy Heat Value Conversion'!$A:$E,5,FALSE),0)</f>
        <v>14098136131845.531</v>
      </c>
      <c r="AE99">
        <f>IFERROR(SUMIFS(AE$4:AE$90,$A$4:$A$90,$A99)*VLOOKUP(AE$44,'Energy Heat Value Conversion'!$A:$E,5,FALSE),0)</f>
        <v>2203501170103.9336</v>
      </c>
      <c r="AF99">
        <f>IFERROR(SUMIFS(AF$4:AF$90,$A$4:$A$90,$A99)*VLOOKUP(AF$44,'Energy Heat Value Conversion'!$A:$E,5,FALSE),0)</f>
        <v>7302267458163.4707</v>
      </c>
      <c r="AG99">
        <f>IFERROR(SUMIFS(AG$4:AG$90,$A$4:$A$90,$A99)*VLOOKUP(AG$44,'Energy Heat Value Conversion'!$A:$E,5,FALSE),0)</f>
        <v>138096196518885.72</v>
      </c>
      <c r="AH99">
        <f>IFERROR(SUMIFS(AH$4:AH$90,$A$4:$A$90,$A99)*VLOOKUP(AH$44,'Energy Heat Value Conversion'!$A:$E,5,FALSE),0)</f>
        <v>23348975885968.5</v>
      </c>
    </row>
    <row r="100" spans="1:34" x14ac:dyDescent="0.2">
      <c r="A100" s="178" t="s">
        <v>380</v>
      </c>
      <c r="C100">
        <f>IFERROR(SUMIFS(C$4:C$90,$A$4:$A$90,$A100)*VLOOKUP(C$44,'Energy Heat Value Conversion'!$A:$E,5,FALSE),0)</f>
        <v>0</v>
      </c>
      <c r="D100">
        <f>IFERROR(SUMIFS(D$4:D$90,$A$4:$A$90,$A100)*VLOOKUP(D$44,'Energy Heat Value Conversion'!$A:$E,5,FALSE),0)</f>
        <v>105854275676496.17</v>
      </c>
      <c r="E100">
        <f>IFERROR(SUMIFS(E$4:E$90,$A$4:$A$90,$A100)*VLOOKUP(E$44,'Energy Heat Value Conversion'!$A:$E,5,FALSE),0)</f>
        <v>0</v>
      </c>
      <c r="F100">
        <f>IFERROR(SUMIFS(F$4:F$90,$A$4:$A$90,$A100)*VLOOKUP(F$44,'Energy Heat Value Conversion'!$A:$E,5,FALSE),0)</f>
        <v>3460751200990.9238</v>
      </c>
      <c r="G100">
        <f>IFERROR(SUMIFS(G$4:G$90,$A$4:$A$90,$A100)*VLOOKUP(G$44,'Energy Heat Value Conversion'!$A:$E,5,FALSE),0)</f>
        <v>4295546723900.9194</v>
      </c>
      <c r="H100">
        <f>IFERROR(SUMIFS(H$4:H$90,$A$4:$A$90,$A100)*VLOOKUP(H$44,'Energy Heat Value Conversion'!$A:$E,5,FALSE),0)</f>
        <v>0</v>
      </c>
      <c r="I100">
        <f>IFERROR(SUMIFS(I$4:I$90,$A$4:$A$90,$A100)*VLOOKUP(I$44,'Energy Heat Value Conversion'!$A:$E,5,FALSE),0)</f>
        <v>2261203992186.7642</v>
      </c>
      <c r="J100">
        <f>IFERROR(SUMIFS(J$4:J$90,$A$4:$A$90,$A100)*VLOOKUP(J$44,'Energy Heat Value Conversion'!$A:$E,5,FALSE),0)</f>
        <v>773053388595.49487</v>
      </c>
      <c r="K100">
        <f>IFERROR(SUMIFS(K$4:K$90,$A$4:$A$90,$A100)*VLOOKUP(K$44,'Energy Heat Value Conversion'!$A:$E,5,FALSE),0)</f>
        <v>0</v>
      </c>
      <c r="L100">
        <f>IFERROR(SUMIFS(L$4:L$90,$A$4:$A$90,$A100)*VLOOKUP(L$44,'Energy Heat Value Conversion'!$A:$E,5,FALSE),0)</f>
        <v>0</v>
      </c>
      <c r="M100">
        <f>IFERROR(SUMIFS(M$4:M$90,$A$4:$A$90,$A100)*VLOOKUP(M$44,'Energy Heat Value Conversion'!$A:$E,5,FALSE),0)</f>
        <v>0</v>
      </c>
      <c r="N100">
        <f>IFERROR(SUMIFS(N$4:N$90,$A$4:$A$90,$A100)*VLOOKUP(N$44,'Energy Heat Value Conversion'!$A:$E,5,FALSE),0)</f>
        <v>0</v>
      </c>
      <c r="O100">
        <f>IFERROR(SUMIFS(O$4:O$90,$A$4:$A$90,$A100)*VLOOKUP(O$44,'Energy Heat Value Conversion'!$A:$E,5,FALSE),0)</f>
        <v>0</v>
      </c>
      <c r="P100">
        <f>IFERROR(SUMIFS(P$4:P$90,$A$4:$A$90,$A100)*VLOOKUP(P$44,'Energy Heat Value Conversion'!$A:$E,5,FALSE),0)</f>
        <v>11890176240.433147</v>
      </c>
      <c r="Q100">
        <f>IFERROR(SUMIFS(Q$4:Q$90,$A$4:$A$90,$A100)*VLOOKUP(Q$44,'Energy Heat Value Conversion'!$A:$E,5,FALSE),0)</f>
        <v>2661625922457.0908</v>
      </c>
      <c r="R100">
        <f>IFERROR(SUMIFS(R$4:R$90,$A$4:$A$90,$A100)*VLOOKUP(R$44,'Energy Heat Value Conversion'!$A:$E,5,FALSE),0)</f>
        <v>4082248347.326827</v>
      </c>
      <c r="S100">
        <f>IFERROR(SUMIFS(S$4:S$90,$A$4:$A$90,$A100)*VLOOKUP(S$44,'Energy Heat Value Conversion'!$A:$E,5,FALSE),0)</f>
        <v>5793088204761.8623</v>
      </c>
      <c r="T100">
        <f>IFERROR(SUMIFS(T$4:T$90,$A$4:$A$90,$A100)*VLOOKUP(T$44,'Energy Heat Value Conversion'!$A:$E,5,FALSE),0)</f>
        <v>1248468505245.4807</v>
      </c>
      <c r="U100">
        <f>IFERROR(SUMIFS(U$4:U$90,$A$4:$A$90,$A100)*VLOOKUP(U$44,'Energy Heat Value Conversion'!$A:$E,5,FALSE),0)</f>
        <v>0</v>
      </c>
      <c r="V100">
        <f>IFERROR(SUMIFS(V$4:V$90,$A$4:$A$90,$A100)*VLOOKUP(V$44,'Energy Heat Value Conversion'!$A:$E,5,FALSE),0)</f>
        <v>66704146515.087326</v>
      </c>
      <c r="W100">
        <f>IFERROR(SUMIFS(W$4:W$90,$A$4:$A$90,$A100)*VLOOKUP(W$44,'Energy Heat Value Conversion'!$A:$E,5,FALSE),0)</f>
        <v>204344632561.39474</v>
      </c>
      <c r="X100">
        <f>IFERROR(SUMIFS(X$4:X$90,$A$4:$A$90,$A100)*VLOOKUP(X$44,'Energy Heat Value Conversion'!$A:$E,5,FALSE),0)</f>
        <v>138393621531.97864</v>
      </c>
      <c r="Y100">
        <f>IFERROR(SUMIFS(Y$4:Y$90,$A$4:$A$90,$A100)*VLOOKUP(Y$44,'Energy Heat Value Conversion'!$A:$E,5,FALSE),0)</f>
        <v>0</v>
      </c>
      <c r="Z100">
        <f>IFERROR(SUMIFS(Z$4:Z$90,$A$4:$A$90,$A100)*VLOOKUP(Z$44,'Energy Heat Value Conversion'!$A:$E,5,FALSE),0)</f>
        <v>3351986437495.228</v>
      </c>
      <c r="AA100">
        <f>IFERROR(SUMIFS(AA$4:AA$90,$A$4:$A$90,$A100)*VLOOKUP(AA$44,'Energy Heat Value Conversion'!$A:$E,5,FALSE),0)</f>
        <v>1212793142656.8555</v>
      </c>
      <c r="AB100">
        <f>IFERROR(SUMIFS(AB$4:AB$90,$A$4:$A$90,$A100)*VLOOKUP(AB$44,'Energy Heat Value Conversion'!$A:$E,5,FALSE),0)</f>
        <v>0</v>
      </c>
      <c r="AC100">
        <f>IFERROR(SUMIFS(AC$4:AC$90,$A$4:$A$90,$A100)*VLOOKUP(AC$44,'Energy Heat Value Conversion'!$A:$E,5,FALSE),0)</f>
        <v>163134491884.95569</v>
      </c>
      <c r="AD100">
        <f>IFERROR(SUMIFS(AD$4:AD$90,$A$4:$A$90,$A100)*VLOOKUP(AD$44,'Energy Heat Value Conversion'!$A:$E,5,FALSE),0)</f>
        <v>40203297294640.852</v>
      </c>
      <c r="AE100">
        <f>IFERROR(SUMIFS(AE$4:AE$90,$A$4:$A$90,$A100)*VLOOKUP(AE$44,'Energy Heat Value Conversion'!$A:$E,5,FALSE),0)</f>
        <v>107786307236721.17</v>
      </c>
      <c r="AF100">
        <f>IFERROR(SUMIFS(AF$4:AF$90,$A$4:$A$90,$A100)*VLOOKUP(AF$44,'Energy Heat Value Conversion'!$A:$E,5,FALSE),0)</f>
        <v>221068486564005.16</v>
      </c>
      <c r="AG100">
        <f>IFERROR(SUMIFS(AG$4:AG$90,$A$4:$A$90,$A100)*VLOOKUP(AG$44,'Energy Heat Value Conversion'!$A:$E,5,FALSE),0)</f>
        <v>346615584378779.56</v>
      </c>
      <c r="AH100">
        <f>IFERROR(SUMIFS(AH$4:AH$90,$A$4:$A$90,$A100)*VLOOKUP(AH$44,'Energy Heat Value Conversion'!$A:$E,5,FALSE),0)</f>
        <v>20938060956678.262</v>
      </c>
    </row>
    <row r="101" spans="1:34" x14ac:dyDescent="0.2">
      <c r="A101" s="178" t="s">
        <v>381</v>
      </c>
      <c r="C101">
        <f>IFERROR(SUMIFS(C$4:C$90,$A$4:$A$90,$A101)*VLOOKUP(C$44,'Energy Heat Value Conversion'!$A:$E,5,FALSE),0)</f>
        <v>0</v>
      </c>
      <c r="D101">
        <f>IFERROR(SUMIFS(D$4:D$90,$A$4:$A$90,$A101)*VLOOKUP(D$44,'Energy Heat Value Conversion'!$A:$E,5,FALSE),0)</f>
        <v>225574478545377.47</v>
      </c>
      <c r="E101">
        <f>IFERROR(SUMIFS(E$4:E$90,$A$4:$A$90,$A101)*VLOOKUP(E$44,'Energy Heat Value Conversion'!$A:$E,5,FALSE),0)</f>
        <v>0</v>
      </c>
      <c r="F101">
        <f>IFERROR(SUMIFS(F$4:F$90,$A$4:$A$90,$A101)*VLOOKUP(F$44,'Energy Heat Value Conversion'!$A:$E,5,FALSE),0)</f>
        <v>57464640189426.938</v>
      </c>
      <c r="G101">
        <f>IFERROR(SUMIFS(G$4:G$90,$A$4:$A$90,$A101)*VLOOKUP(G$44,'Energy Heat Value Conversion'!$A:$E,5,FALSE),0)</f>
        <v>5763570715237.4854</v>
      </c>
      <c r="H101">
        <f>IFERROR(SUMIFS(H$4:H$90,$A$4:$A$90,$A101)*VLOOKUP(H$44,'Energy Heat Value Conversion'!$A:$E,5,FALSE),0)</f>
        <v>0</v>
      </c>
      <c r="I101">
        <f>IFERROR(SUMIFS(I$4:I$90,$A$4:$A$90,$A101)*VLOOKUP(I$44,'Energy Heat Value Conversion'!$A:$E,5,FALSE),0)</f>
        <v>15232806869892.244</v>
      </c>
      <c r="J101">
        <f>IFERROR(SUMIFS(J$4:J$90,$A$4:$A$90,$A101)*VLOOKUP(J$44,'Energy Heat Value Conversion'!$A:$E,5,FALSE),0)</f>
        <v>323679098599377.5</v>
      </c>
      <c r="K101">
        <f>IFERROR(SUMIFS(K$4:K$90,$A$4:$A$90,$A101)*VLOOKUP(K$44,'Energy Heat Value Conversion'!$A:$E,5,FALSE),0)</f>
        <v>35723424499281.242</v>
      </c>
      <c r="L101">
        <f>IFERROR(SUMIFS(L$4:L$90,$A$4:$A$90,$A101)*VLOOKUP(L$44,'Energy Heat Value Conversion'!$A:$E,5,FALSE),0)</f>
        <v>2168757227401.7532</v>
      </c>
      <c r="M101">
        <f>IFERROR(SUMIFS(M$4:M$90,$A$4:$A$90,$A101)*VLOOKUP(M$44,'Energy Heat Value Conversion'!$A:$E,5,FALSE),0)</f>
        <v>1273239705746.3831</v>
      </c>
      <c r="N101">
        <f>IFERROR(SUMIFS(N$4:N$90,$A$4:$A$90,$A101)*VLOOKUP(N$44,'Energy Heat Value Conversion'!$A:$E,5,FALSE),0)</f>
        <v>28898057102853.844</v>
      </c>
      <c r="O101">
        <f>IFERROR(SUMIFS(O$4:O$90,$A$4:$A$90,$A101)*VLOOKUP(O$44,'Energy Heat Value Conversion'!$A:$E,5,FALSE),0)</f>
        <v>0</v>
      </c>
      <c r="P101">
        <f>IFERROR(SUMIFS(P$4:P$90,$A$4:$A$90,$A101)*VLOOKUP(P$44,'Energy Heat Value Conversion'!$A:$E,5,FALSE),0)</f>
        <v>20708723618754.402</v>
      </c>
      <c r="Q101">
        <f>IFERROR(SUMIFS(Q$4:Q$90,$A$4:$A$90,$A101)*VLOOKUP(Q$44,'Energy Heat Value Conversion'!$A:$E,5,FALSE),0)</f>
        <v>485787553331.8924</v>
      </c>
      <c r="R101">
        <f>IFERROR(SUMIFS(R$4:R$90,$A$4:$A$90,$A101)*VLOOKUP(R$44,'Energy Heat Value Conversion'!$A:$E,5,FALSE),0)</f>
        <v>12246745041.98048</v>
      </c>
      <c r="S101">
        <f>IFERROR(SUMIFS(S$4:S$90,$A$4:$A$90,$A101)*VLOOKUP(S$44,'Energy Heat Value Conversion'!$A:$E,5,FALSE),0)</f>
        <v>4737961881354.4326</v>
      </c>
      <c r="T101">
        <f>IFERROR(SUMIFS(T$4:T$90,$A$4:$A$90,$A101)*VLOOKUP(T$44,'Energy Heat Value Conversion'!$A:$E,5,FALSE),0)</f>
        <v>46236932006964.367</v>
      </c>
      <c r="U101">
        <f>IFERROR(SUMIFS(U$4:U$90,$A$4:$A$90,$A101)*VLOOKUP(U$44,'Energy Heat Value Conversion'!$A:$E,5,FALSE),0)</f>
        <v>539053701943835.5</v>
      </c>
      <c r="V101">
        <f>IFERROR(SUMIFS(V$4:V$90,$A$4:$A$90,$A101)*VLOOKUP(V$44,'Energy Heat Value Conversion'!$A:$E,5,FALSE),0)</f>
        <v>94688497864828.672</v>
      </c>
      <c r="W101">
        <f>IFERROR(SUMIFS(W$4:W$90,$A$4:$A$90,$A101)*VLOOKUP(W$44,'Energy Heat Value Conversion'!$A:$E,5,FALSE),0)</f>
        <v>7568319724.4961014</v>
      </c>
      <c r="X101">
        <f>IFERROR(SUMIFS(X$4:X$90,$A$4:$A$90,$A101)*VLOOKUP(X$44,'Energy Heat Value Conversion'!$A:$E,5,FALSE),0)</f>
        <v>427392066495.81635</v>
      </c>
      <c r="Y101">
        <f>IFERROR(SUMIFS(Y$4:Y$90,$A$4:$A$90,$A101)*VLOOKUP(Y$44,'Energy Heat Value Conversion'!$A:$E,5,FALSE),0)</f>
        <v>2907678110120.9004</v>
      </c>
      <c r="Z101">
        <f>IFERROR(SUMIFS(Z$4:Z$90,$A$4:$A$90,$A101)*VLOOKUP(Z$44,'Energy Heat Value Conversion'!$A:$E,5,FALSE),0)</f>
        <v>66479550347974.469</v>
      </c>
      <c r="AA101">
        <f>IFERROR(SUMIFS(AA$4:AA$90,$A$4:$A$90,$A101)*VLOOKUP(AA$44,'Energy Heat Value Conversion'!$A:$E,5,FALSE),0)</f>
        <v>722739104095768.88</v>
      </c>
      <c r="AB101">
        <f>IFERROR(SUMIFS(AB$4:AB$90,$A$4:$A$90,$A101)*VLOOKUP(AB$44,'Energy Heat Value Conversion'!$A:$E,5,FALSE),0)</f>
        <v>723869919492887.5</v>
      </c>
      <c r="AC101">
        <f>IFERROR(SUMIFS(AC$4:AC$90,$A$4:$A$90,$A101)*VLOOKUP(AC$44,'Energy Heat Value Conversion'!$A:$E,5,FALSE),0)</f>
        <v>2446252199824303</v>
      </c>
      <c r="AD101">
        <f>IFERROR(SUMIFS(AD$4:AD$90,$A$4:$A$90,$A101)*VLOOKUP(AD$44,'Energy Heat Value Conversion'!$A:$E,5,FALSE),0)</f>
        <v>92548530013837.656</v>
      </c>
      <c r="AE101">
        <f>IFERROR(SUMIFS(AE$4:AE$90,$A$4:$A$90,$A101)*VLOOKUP(AE$44,'Energy Heat Value Conversion'!$A:$E,5,FALSE),0)</f>
        <v>279727648541070.16</v>
      </c>
      <c r="AF101">
        <f>IFERROR(SUMIFS(AF$4:AF$90,$A$4:$A$90,$A101)*VLOOKUP(AF$44,'Energy Heat Value Conversion'!$A:$E,5,FALSE),0)</f>
        <v>629932150037365.38</v>
      </c>
      <c r="AG101">
        <f>IFERROR(SUMIFS(AG$4:AG$90,$A$4:$A$90,$A101)*VLOOKUP(AG$44,'Energy Heat Value Conversion'!$A:$E,5,FALSE),0)</f>
        <v>437880136866688.19</v>
      </c>
      <c r="AH101">
        <f>IFERROR(SUMIFS(AH$4:AH$90,$A$4:$A$90,$A101)*VLOOKUP(AH$44,'Energy Heat Value Conversion'!$A:$E,5,FALSE),0)</f>
        <v>14454392153742.383</v>
      </c>
    </row>
    <row r="102" spans="1:34" x14ac:dyDescent="0.2">
      <c r="A102" s="178" t="s">
        <v>382</v>
      </c>
      <c r="C102">
        <f>IFERROR(SUMIFS(C$4:C$90,$A$4:$A$90,$A102)*VLOOKUP(C$44,'Energy Heat Value Conversion'!$A:$E,5,FALSE),0)</f>
        <v>0</v>
      </c>
      <c r="D102">
        <f>IFERROR(SUMIFS(D$4:D$90,$A$4:$A$90,$A102)*VLOOKUP(D$44,'Energy Heat Value Conversion'!$A:$E,5,FALSE),0)</f>
        <v>2420423726383774</v>
      </c>
      <c r="E102">
        <f>IFERROR(SUMIFS(E$4:E$90,$A$4:$A$90,$A102)*VLOOKUP(E$44,'Energy Heat Value Conversion'!$A:$E,5,FALSE),0)</f>
        <v>0</v>
      </c>
      <c r="F102">
        <f>IFERROR(SUMIFS(F$4:F$90,$A$4:$A$90,$A102)*VLOOKUP(F$44,'Energy Heat Value Conversion'!$A:$E,5,FALSE),0)</f>
        <v>18546646037742.93</v>
      </c>
      <c r="G102">
        <f>IFERROR(SUMIFS(G$4:G$90,$A$4:$A$90,$A102)*VLOOKUP(G$44,'Energy Heat Value Conversion'!$A:$E,5,FALSE),0)</f>
        <v>54951907048333.016</v>
      </c>
      <c r="H102">
        <f>IFERROR(SUMIFS(H$4:H$90,$A$4:$A$90,$A102)*VLOOKUP(H$44,'Energy Heat Value Conversion'!$A:$E,5,FALSE),0)</f>
        <v>0</v>
      </c>
      <c r="I102">
        <f>IFERROR(SUMIFS(I$4:I$90,$A$4:$A$90,$A102)*VLOOKUP(I$44,'Energy Heat Value Conversion'!$A:$E,5,FALSE),0)</f>
        <v>1094220598369271.3</v>
      </c>
      <c r="J102">
        <f>IFERROR(SUMIFS(J$4:J$90,$A$4:$A$90,$A102)*VLOOKUP(J$44,'Energy Heat Value Conversion'!$A:$E,5,FALSE),0)</f>
        <v>148722313610222.63</v>
      </c>
      <c r="K102">
        <f>IFERROR(SUMIFS(K$4:K$90,$A$4:$A$90,$A102)*VLOOKUP(K$44,'Energy Heat Value Conversion'!$A:$E,5,FALSE),0)</f>
        <v>3359770954305.4048</v>
      </c>
      <c r="L102">
        <f>IFERROR(SUMIFS(L$4:L$90,$A$4:$A$90,$A102)*VLOOKUP(L$44,'Energy Heat Value Conversion'!$A:$E,5,FALSE),0)</f>
        <v>6461089239967.7236</v>
      </c>
      <c r="M102">
        <f>IFERROR(SUMIFS(M$4:M$90,$A$4:$A$90,$A102)*VLOOKUP(M$44,'Energy Heat Value Conversion'!$A:$E,5,FALSE),0)</f>
        <v>6623819013941.2998</v>
      </c>
      <c r="N102">
        <f>IFERROR(SUMIFS(N$4:N$90,$A$4:$A$90,$A102)*VLOOKUP(N$44,'Energy Heat Value Conversion'!$A:$E,5,FALSE),0)</f>
        <v>173014196167909</v>
      </c>
      <c r="O102">
        <f>IFERROR(SUMIFS(O$4:O$90,$A$4:$A$90,$A102)*VLOOKUP(O$44,'Energy Heat Value Conversion'!$A:$E,5,FALSE),0)</f>
        <v>0</v>
      </c>
      <c r="P102">
        <f>IFERROR(SUMIFS(P$4:P$90,$A$4:$A$90,$A102)*VLOOKUP(P$44,'Energy Heat Value Conversion'!$A:$E,5,FALSE),0)</f>
        <v>46859184563547.039</v>
      </c>
      <c r="Q102">
        <f>IFERROR(SUMIFS(Q$4:Q$90,$A$4:$A$90,$A102)*VLOOKUP(Q$44,'Energy Heat Value Conversion'!$A:$E,5,FALSE),0)</f>
        <v>3739339486151.3726</v>
      </c>
      <c r="R102">
        <f>IFERROR(SUMIFS(R$4:R$90,$A$4:$A$90,$A102)*VLOOKUP(R$44,'Energy Heat Value Conversion'!$A:$E,5,FALSE),0)</f>
        <v>824614166160.01904</v>
      </c>
      <c r="S102">
        <f>IFERROR(SUMIFS(S$4:S$90,$A$4:$A$90,$A102)*VLOOKUP(S$44,'Energy Heat Value Conversion'!$A:$E,5,FALSE),0)</f>
        <v>10753394713654.258</v>
      </c>
      <c r="T102">
        <f>IFERROR(SUMIFS(T$4:T$90,$A$4:$A$90,$A102)*VLOOKUP(T$44,'Energy Heat Value Conversion'!$A:$E,5,FALSE),0)</f>
        <v>12052675315719.068</v>
      </c>
      <c r="U102">
        <f>IFERROR(SUMIFS(U$4:U$90,$A$4:$A$90,$A102)*VLOOKUP(U$44,'Energy Heat Value Conversion'!$A:$E,5,FALSE),0)</f>
        <v>1972897180561579</v>
      </c>
      <c r="V102">
        <f>IFERROR(SUMIFS(V$4:V$90,$A$4:$A$90,$A102)*VLOOKUP(V$44,'Energy Heat Value Conversion'!$A:$E,5,FALSE),0)</f>
        <v>482624118903.27893</v>
      </c>
      <c r="W102">
        <f>IFERROR(SUMIFS(W$4:W$90,$A$4:$A$90,$A102)*VLOOKUP(W$44,'Energy Heat Value Conversion'!$A:$E,5,FALSE),0)</f>
        <v>73041853661111.875</v>
      </c>
      <c r="X102">
        <f>IFERROR(SUMIFS(X$4:X$90,$A$4:$A$90,$A102)*VLOOKUP(X$44,'Energy Heat Value Conversion'!$A:$E,5,FALSE),0)</f>
        <v>16175772116708.324</v>
      </c>
      <c r="Y102">
        <f>IFERROR(SUMIFS(Y$4:Y$90,$A$4:$A$90,$A102)*VLOOKUP(Y$44,'Energy Heat Value Conversion'!$A:$E,5,FALSE),0)</f>
        <v>14412932358035.836</v>
      </c>
      <c r="Z102">
        <f>IFERROR(SUMIFS(Z$4:Z$90,$A$4:$A$90,$A102)*VLOOKUP(Z$44,'Energy Heat Value Conversion'!$A:$E,5,FALSE),0)</f>
        <v>25707646661548.77</v>
      </c>
      <c r="AA102">
        <f>IFERROR(SUMIFS(AA$4:AA$90,$A$4:$A$90,$A102)*VLOOKUP(AA$44,'Energy Heat Value Conversion'!$A:$E,5,FALSE),0)</f>
        <v>399693815355841.13</v>
      </c>
      <c r="AB102">
        <f>IFERROR(SUMIFS(AB$4:AB$90,$A$4:$A$90,$A102)*VLOOKUP(AB$44,'Energy Heat Value Conversion'!$A:$E,5,FALSE),0)</f>
        <v>83018725122466.266</v>
      </c>
      <c r="AC102">
        <f>IFERROR(SUMIFS(AC$4:AC$90,$A$4:$A$90,$A102)*VLOOKUP(AC$44,'Energy Heat Value Conversion'!$A:$E,5,FALSE),0)</f>
        <v>704915791898599.5</v>
      </c>
      <c r="AD102">
        <f>IFERROR(SUMIFS(AD$4:AD$90,$A$4:$A$90,$A102)*VLOOKUP(AD$44,'Energy Heat Value Conversion'!$A:$E,5,FALSE),0)</f>
        <v>637249244198778.63</v>
      </c>
      <c r="AE102">
        <f>IFERROR(SUMIFS(AE$4:AE$90,$A$4:$A$90,$A102)*VLOOKUP(AE$44,'Energy Heat Value Conversion'!$A:$E,5,FALSE),0)</f>
        <v>892739724062949</v>
      </c>
      <c r="AF102">
        <f>IFERROR(SUMIFS(AF$4:AF$90,$A$4:$A$90,$A102)*VLOOKUP(AF$44,'Energy Heat Value Conversion'!$A:$E,5,FALSE),0)</f>
        <v>1685815494980668.8</v>
      </c>
      <c r="AG102">
        <f>IFERROR(SUMIFS(AG$4:AG$90,$A$4:$A$90,$A102)*VLOOKUP(AG$44,'Energy Heat Value Conversion'!$A:$E,5,FALSE),0)</f>
        <v>2126279476105459.5</v>
      </c>
      <c r="AH102">
        <f>IFERROR(SUMIFS(AH$4:AH$90,$A$4:$A$90,$A102)*VLOOKUP(AH$44,'Energy Heat Value Conversion'!$A:$E,5,FALSE),0)</f>
        <v>68548775688035.844</v>
      </c>
    </row>
    <row r="103" spans="1:34" x14ac:dyDescent="0.2">
      <c r="A103" s="178" t="s">
        <v>383</v>
      </c>
      <c r="C103">
        <f>IFERROR(SUMIFS(C$4:C$90,$A$4:$A$90,$A103)*VLOOKUP(C$44,'Energy Heat Value Conversion'!$A:$E,5,FALSE),0)</f>
        <v>0</v>
      </c>
      <c r="D103">
        <f>IFERROR(SUMIFS(D$4:D$90,$A$4:$A$90,$A103)*VLOOKUP(D$44,'Energy Heat Value Conversion'!$A:$E,5,FALSE),0)</f>
        <v>39493220382598.703</v>
      </c>
      <c r="E103">
        <f>IFERROR(SUMIFS(E$4:E$90,$A$4:$A$90,$A103)*VLOOKUP(E$44,'Energy Heat Value Conversion'!$A:$E,5,FALSE),0)</f>
        <v>0</v>
      </c>
      <c r="F103">
        <f>IFERROR(SUMIFS(F$4:F$90,$A$4:$A$90,$A103)*VLOOKUP(F$44,'Energy Heat Value Conversion'!$A:$E,5,FALSE),0)</f>
        <v>149812637880.73398</v>
      </c>
      <c r="G103">
        <f>IFERROR(SUMIFS(G$4:G$90,$A$4:$A$90,$A103)*VLOOKUP(G$44,'Energy Heat Value Conversion'!$A:$E,5,FALSE),0)</f>
        <v>3034307330744.6255</v>
      </c>
      <c r="H103">
        <f>IFERROR(SUMIFS(H$4:H$90,$A$4:$A$90,$A103)*VLOOKUP(H$44,'Energy Heat Value Conversion'!$A:$E,5,FALSE),0)</f>
        <v>0</v>
      </c>
      <c r="I103">
        <f>IFERROR(SUMIFS(I$4:I$90,$A$4:$A$90,$A103)*VLOOKUP(I$44,'Energy Heat Value Conversion'!$A:$E,5,FALSE),0)</f>
        <v>533633361684.12317</v>
      </c>
      <c r="J103">
        <f>IFERROR(SUMIFS(J$4:J$90,$A$4:$A$90,$A103)*VLOOKUP(J$44,'Energy Heat Value Conversion'!$A:$E,5,FALSE),0)</f>
        <v>1167804055112.343</v>
      </c>
      <c r="K103">
        <f>IFERROR(SUMIFS(K$4:K$90,$A$4:$A$90,$A103)*VLOOKUP(K$44,'Energy Heat Value Conversion'!$A:$E,5,FALSE),0)</f>
        <v>0</v>
      </c>
      <c r="L103">
        <f>IFERROR(SUMIFS(L$4:L$90,$A$4:$A$90,$A103)*VLOOKUP(L$44,'Energy Heat Value Conversion'!$A:$E,5,FALSE),0)</f>
        <v>0</v>
      </c>
      <c r="M103">
        <f>IFERROR(SUMIFS(M$4:M$90,$A$4:$A$90,$A103)*VLOOKUP(M$44,'Energy Heat Value Conversion'!$A:$E,5,FALSE),0)</f>
        <v>0</v>
      </c>
      <c r="N103">
        <f>IFERROR(SUMIFS(N$4:N$90,$A$4:$A$90,$A103)*VLOOKUP(N$44,'Energy Heat Value Conversion'!$A:$E,5,FALSE),0)</f>
        <v>811707550837.23767</v>
      </c>
      <c r="O103">
        <f>IFERROR(SUMIFS(O$4:O$90,$A$4:$A$90,$A103)*VLOOKUP(O$44,'Energy Heat Value Conversion'!$A:$E,5,FALSE),0)</f>
        <v>0</v>
      </c>
      <c r="P103">
        <f>IFERROR(SUMIFS(P$4:P$90,$A$4:$A$90,$A103)*VLOOKUP(P$44,'Energy Heat Value Conversion'!$A:$E,5,FALSE),0)</f>
        <v>19816960400.721916</v>
      </c>
      <c r="Q103">
        <f>IFERROR(SUMIFS(Q$4:Q$90,$A$4:$A$90,$A103)*VLOOKUP(Q$44,'Energy Heat Value Conversion'!$A:$E,5,FALSE),0)</f>
        <v>2416691021617.4814</v>
      </c>
      <c r="R103">
        <f>IFERROR(SUMIFS(R$4:R$90,$A$4:$A$90,$A103)*VLOOKUP(R$44,'Energy Heat Value Conversion'!$A:$E,5,FALSE),0)</f>
        <v>20411241736.634136</v>
      </c>
      <c r="S103">
        <f>IFERROR(SUMIFS(S$4:S$90,$A$4:$A$90,$A103)*VLOOKUP(S$44,'Energy Heat Value Conversion'!$A:$E,5,FALSE),0)</f>
        <v>3108782155939.8965</v>
      </c>
      <c r="T103">
        <f>IFERROR(SUMIFS(T$4:T$90,$A$4:$A$90,$A103)*VLOOKUP(T$44,'Energy Heat Value Conversion'!$A:$E,5,FALSE),0)</f>
        <v>875909649711.90857</v>
      </c>
      <c r="U103">
        <f>IFERROR(SUMIFS(U$4:U$90,$A$4:$A$90,$A103)*VLOOKUP(U$44,'Energy Heat Value Conversion'!$A:$E,5,FALSE),0)</f>
        <v>0</v>
      </c>
      <c r="V103">
        <f>IFERROR(SUMIFS(V$4:V$90,$A$4:$A$90,$A103)*VLOOKUP(V$44,'Energy Heat Value Conversion'!$A:$E,5,FALSE),0)</f>
        <v>211883759518.51273</v>
      </c>
      <c r="W103">
        <f>IFERROR(SUMIFS(W$4:W$90,$A$4:$A$90,$A103)*VLOOKUP(W$44,'Energy Heat Value Conversion'!$A:$E,5,FALSE),0)</f>
        <v>476804142643.25439</v>
      </c>
      <c r="X103">
        <f>IFERROR(SUMIFS(X$4:X$90,$A$4:$A$90,$A103)*VLOOKUP(X$44,'Energy Heat Value Conversion'!$A:$E,5,FALSE),0)</f>
        <v>203520031664.67444</v>
      </c>
      <c r="Y103">
        <f>IFERROR(SUMIFS(Y$4:Y$90,$A$4:$A$90,$A103)*VLOOKUP(Y$44,'Energy Heat Value Conversion'!$A:$E,5,FALSE),0)</f>
        <v>1066394636833.6805</v>
      </c>
      <c r="Z103">
        <f>IFERROR(SUMIFS(Z$4:Z$90,$A$4:$A$90,$A103)*VLOOKUP(Z$44,'Energy Heat Value Conversion'!$A:$E,5,FALSE),0)</f>
        <v>0</v>
      </c>
      <c r="AA103">
        <f>IFERROR(SUMIFS(AA$4:AA$90,$A$4:$A$90,$A103)*VLOOKUP(AA$44,'Energy Heat Value Conversion'!$A:$E,5,FALSE),0)</f>
        <v>1212793142656.8555</v>
      </c>
      <c r="AB103">
        <f>IFERROR(SUMIFS(AB$4:AB$90,$A$4:$A$90,$A103)*VLOOKUP(AB$44,'Energy Heat Value Conversion'!$A:$E,5,FALSE),0)</f>
        <v>4359769200.8437281</v>
      </c>
      <c r="AC103">
        <f>IFERROR(SUMIFS(AC$4:AC$90,$A$4:$A$90,$A103)*VLOOKUP(AC$44,'Energy Heat Value Conversion'!$A:$E,5,FALSE),0)</f>
        <v>1157478061469.4473</v>
      </c>
      <c r="AD103">
        <f>IFERROR(SUMIFS(AD$4:AD$90,$A$4:$A$90,$A103)*VLOOKUP(AD$44,'Energy Heat Value Conversion'!$A:$E,5,FALSE),0)</f>
        <v>27926451476478.707</v>
      </c>
      <c r="AE103">
        <f>IFERROR(SUMIFS(AE$4:AE$90,$A$4:$A$90,$A103)*VLOOKUP(AE$44,'Energy Heat Value Conversion'!$A:$E,5,FALSE),0)</f>
        <v>37454644889178.148</v>
      </c>
      <c r="AF103">
        <f>IFERROR(SUMIFS(AF$4:AF$90,$A$4:$A$90,$A103)*VLOOKUP(AF$44,'Energy Heat Value Conversion'!$A:$E,5,FALSE),0)</f>
        <v>29628194564297.238</v>
      </c>
      <c r="AG103">
        <f>IFERROR(SUMIFS(AG$4:AG$90,$A$4:$A$90,$A103)*VLOOKUP(AG$44,'Energy Heat Value Conversion'!$A:$E,5,FALSE),0)</f>
        <v>505256285721746.44</v>
      </c>
      <c r="AH103">
        <f>IFERROR(SUMIFS(AH$4:AH$90,$A$4:$A$90,$A103)*VLOOKUP(AH$44,'Energy Heat Value Conversion'!$A:$E,5,FALSE),0)</f>
        <v>3842482367165.6812</v>
      </c>
    </row>
    <row r="104" spans="1:34" x14ac:dyDescent="0.2">
      <c r="A104" s="178" t="s">
        <v>384</v>
      </c>
      <c r="C104">
        <f>IFERROR(SUMIFS(C$4:C$90,$A$4:$A$90,$A104)*VLOOKUP(C$44,'Energy Heat Value Conversion'!$A:$E,5,FALSE),0)</f>
        <v>0</v>
      </c>
      <c r="D104">
        <f>IFERROR(SUMIFS(D$4:D$90,$A$4:$A$90,$A104)*VLOOKUP(D$44,'Energy Heat Value Conversion'!$A:$E,5,FALSE),0)</f>
        <v>2792094782091393.5</v>
      </c>
      <c r="E104">
        <f>IFERROR(SUMIFS(E$4:E$90,$A$4:$A$90,$A104)*VLOOKUP(E$44,'Energy Heat Value Conversion'!$A:$E,5,FALSE),0)</f>
        <v>0</v>
      </c>
      <c r="F104">
        <f>IFERROR(SUMIFS(F$4:F$90,$A$4:$A$90,$A104)*VLOOKUP(F$44,'Energy Heat Value Conversion'!$A:$E,5,FALSE),0)</f>
        <v>779066142612260.75</v>
      </c>
      <c r="G104">
        <f>IFERROR(SUMIFS(G$4:G$90,$A$4:$A$90,$A104)*VLOOKUP(G$44,'Energy Heat Value Conversion'!$A:$E,5,FALSE),0)</f>
        <v>28534807991444.203</v>
      </c>
      <c r="H104">
        <f>IFERROR(SUMIFS(H$4:H$90,$A$4:$A$90,$A104)*VLOOKUP(H$44,'Energy Heat Value Conversion'!$A:$E,5,FALSE),0)</f>
        <v>0</v>
      </c>
      <c r="I104">
        <f>IFERROR(SUMIFS(I$4:I$90,$A$4:$A$90,$A104)*VLOOKUP(I$44,'Energy Heat Value Conversion'!$A:$E,5,FALSE),0)</f>
        <v>394336188458648.94</v>
      </c>
      <c r="J104">
        <f>IFERROR(SUMIFS(J$4:J$90,$A$4:$A$90,$A104)*VLOOKUP(J$44,'Energy Heat Value Conversion'!$A:$E,5,FALSE),0)</f>
        <v>62946283364999.125</v>
      </c>
      <c r="K104">
        <f>IFERROR(SUMIFS(K$4:K$90,$A$4:$A$90,$A104)*VLOOKUP(K$44,'Energy Heat Value Conversion'!$A:$E,5,FALSE),0)</f>
        <v>16449324459932.617</v>
      </c>
      <c r="L104">
        <f>IFERROR(SUMIFS(L$4:L$90,$A$4:$A$90,$A104)*VLOOKUP(L$44,'Energy Heat Value Conversion'!$A:$E,5,FALSE),0)</f>
        <v>7108704245372.4131</v>
      </c>
      <c r="M104">
        <f>IFERROR(SUMIFS(M$4:M$90,$A$4:$A$90,$A104)*VLOOKUP(M$44,'Energy Heat Value Conversion'!$A:$E,5,FALSE),0)</f>
        <v>4201195604953.0464</v>
      </c>
      <c r="N104">
        <f>IFERROR(SUMIFS(N$4:N$90,$A$4:$A$90,$A104)*VLOOKUP(N$44,'Energy Heat Value Conversion'!$A:$E,5,FALSE),0)</f>
        <v>5250733219478.3809</v>
      </c>
      <c r="O104">
        <f>IFERROR(SUMIFS(O$4:O$90,$A$4:$A$90,$A104)*VLOOKUP(O$44,'Energy Heat Value Conversion'!$A:$E,5,FALSE),0)</f>
        <v>0</v>
      </c>
      <c r="P104">
        <f>IFERROR(SUMIFS(P$4:P$90,$A$4:$A$90,$A104)*VLOOKUP(P$44,'Energy Heat Value Conversion'!$A:$E,5,FALSE),0)</f>
        <v>146645506965.34216</v>
      </c>
      <c r="Q104">
        <f>IFERROR(SUMIFS(Q$4:Q$90,$A$4:$A$90,$A104)*VLOOKUP(Q$44,'Energy Heat Value Conversion'!$A:$E,5,FALSE),0)</f>
        <v>5274264864746.2598</v>
      </c>
      <c r="R104">
        <f>IFERROR(SUMIFS(R$4:R$90,$A$4:$A$90,$A104)*VLOOKUP(R$44,'Energy Heat Value Conversion'!$A:$E,5,FALSE),0)</f>
        <v>216359162408.32184</v>
      </c>
      <c r="S104">
        <f>IFERROR(SUMIFS(S$4:S$90,$A$4:$A$90,$A104)*VLOOKUP(S$44,'Energy Heat Value Conversion'!$A:$E,5,FALSE),0)</f>
        <v>93898157524078</v>
      </c>
      <c r="T104">
        <f>IFERROR(SUMIFS(T$4:T$90,$A$4:$A$90,$A104)*VLOOKUP(T$44,'Energy Heat Value Conversion'!$A:$E,5,FALSE),0)</f>
        <v>23102612435161.609</v>
      </c>
      <c r="U104">
        <f>IFERROR(SUMIFS(U$4:U$90,$A$4:$A$90,$A104)*VLOOKUP(U$44,'Energy Heat Value Conversion'!$A:$E,5,FALSE),0)</f>
        <v>0</v>
      </c>
      <c r="V104">
        <f>IFERROR(SUMIFS(V$4:V$90,$A$4:$A$90,$A104)*VLOOKUP(V$44,'Energy Heat Value Conversion'!$A:$E,5,FALSE),0)</f>
        <v>309978092628.93524</v>
      </c>
      <c r="W104">
        <f>IFERROR(SUMIFS(W$4:W$90,$A$4:$A$90,$A104)*VLOOKUP(W$44,'Energy Heat Value Conversion'!$A:$E,5,FALSE),0)</f>
        <v>336790227740.07648</v>
      </c>
      <c r="X104">
        <f>IFERROR(SUMIFS(X$4:X$90,$A$4:$A$90,$A104)*VLOOKUP(X$44,'Energy Heat Value Conversion'!$A:$E,5,FALSE),0)</f>
        <v>105830416465.63071</v>
      </c>
      <c r="Y104">
        <f>IFERROR(SUMIFS(Y$4:Y$90,$A$4:$A$90,$A104)*VLOOKUP(Y$44,'Energy Heat Value Conversion'!$A:$E,5,FALSE),0)</f>
        <v>103621087168039.5</v>
      </c>
      <c r="Z104">
        <f>IFERROR(SUMIFS(Z$4:Z$90,$A$4:$A$90,$A104)*VLOOKUP(Z$44,'Energy Heat Value Conversion'!$A:$E,5,FALSE),0)</f>
        <v>776564720625927</v>
      </c>
      <c r="AA104">
        <f>IFERROR(SUMIFS(AA$4:AA$90,$A$4:$A$90,$A104)*VLOOKUP(AA$44,'Energy Heat Value Conversion'!$A:$E,5,FALSE),0)</f>
        <v>25906212737458.402</v>
      </c>
      <c r="AB104">
        <f>IFERROR(SUMIFS(AB$4:AB$90,$A$4:$A$90,$A104)*VLOOKUP(AB$44,'Energy Heat Value Conversion'!$A:$E,5,FALSE),0)</f>
        <v>34878153606.749825</v>
      </c>
      <c r="AC104">
        <f>IFERROR(SUMIFS(AC$4:AC$90,$A$4:$A$90,$A104)*VLOOKUP(AC$44,'Energy Heat Value Conversion'!$A:$E,5,FALSE),0)</f>
        <v>6001018808625.1553</v>
      </c>
      <c r="AD104">
        <f>IFERROR(SUMIFS(AD$4:AD$90,$A$4:$A$90,$A104)*VLOOKUP(AD$44,'Energy Heat Value Conversion'!$A:$E,5,FALSE),0)</f>
        <v>143139927616154.16</v>
      </c>
      <c r="AE104">
        <f>IFERROR(SUMIFS(AE$4:AE$90,$A$4:$A$90,$A104)*VLOOKUP(AE$44,'Energy Heat Value Conversion'!$A:$E,5,FALSE),0)</f>
        <v>649711095009804.5</v>
      </c>
      <c r="AF104">
        <f>IFERROR(SUMIFS(AF$4:AF$90,$A$4:$A$90,$A104)*VLOOKUP(AF$44,'Energy Heat Value Conversion'!$A:$E,5,FALSE),0)</f>
        <v>45359968384612.055</v>
      </c>
      <c r="AG104">
        <f>IFERROR(SUMIFS(AG$4:AG$90,$A$4:$A$90,$A104)*VLOOKUP(AG$44,'Energy Heat Value Conversion'!$A:$E,5,FALSE),0)</f>
        <v>1340811294492135.3</v>
      </c>
      <c r="AH104">
        <f>IFERROR(SUMIFS(AH$4:AH$90,$A$4:$A$90,$A104)*VLOOKUP(AH$44,'Energy Heat Value Conversion'!$A:$E,5,FALSE),0)</f>
        <v>23035473714495.777</v>
      </c>
    </row>
    <row r="105" spans="1:34" x14ac:dyDescent="0.2">
      <c r="A105" s="178" t="s">
        <v>385</v>
      </c>
      <c r="C105">
        <f>IFERROR(SUMIFS(C$4:C$90,$A$4:$A$90,$A105)*VLOOKUP(C$44,'Energy Heat Value Conversion'!$A:$E,5,FALSE),0)</f>
        <v>0</v>
      </c>
      <c r="D105">
        <f>IFERROR(SUMIFS(D$4:D$90,$A$4:$A$90,$A105)*VLOOKUP(D$44,'Energy Heat Value Conversion'!$A:$E,5,FALSE),0)</f>
        <v>808531984349.4541</v>
      </c>
      <c r="E105">
        <f>IFERROR(SUMIFS(E$4:E$90,$A$4:$A$90,$A105)*VLOOKUP(E$44,'Energy Heat Value Conversion'!$A:$E,5,FALSE),0)</f>
        <v>0</v>
      </c>
      <c r="F105">
        <f>IFERROR(SUMIFS(F$4:F$90,$A$4:$A$90,$A105)*VLOOKUP(F$44,'Energy Heat Value Conversion'!$A:$E,5,FALSE),0)</f>
        <v>0</v>
      </c>
      <c r="G105">
        <f>IFERROR(SUMIFS(G$4:G$90,$A$4:$A$90,$A105)*VLOOKUP(G$44,'Energy Heat Value Conversion'!$A:$E,5,FALSE),0)</f>
        <v>963528234074.05408</v>
      </c>
      <c r="H105">
        <f>IFERROR(SUMIFS(H$4:H$90,$A$4:$A$90,$A105)*VLOOKUP(H$44,'Energy Heat Value Conversion'!$A:$E,5,FALSE),0)</f>
        <v>0</v>
      </c>
      <c r="I105">
        <f>IFERROR(SUMIFS(I$4:I$90,$A$4:$A$90,$A105)*VLOOKUP(I$44,'Energy Heat Value Conversion'!$A:$E,5,FALSE),0)</f>
        <v>0</v>
      </c>
      <c r="J105">
        <f>IFERROR(SUMIFS(J$4:J$90,$A$4:$A$90,$A105)*VLOOKUP(J$44,'Energy Heat Value Conversion'!$A:$E,5,FALSE),0)</f>
        <v>542782166460.66656</v>
      </c>
      <c r="K105">
        <f>IFERROR(SUMIFS(K$4:K$90,$A$4:$A$90,$A105)*VLOOKUP(K$44,'Energy Heat Value Conversion'!$A:$E,5,FALSE),0)</f>
        <v>1330355165558.2971</v>
      </c>
      <c r="L105">
        <f>IFERROR(SUMIFS(L$4:L$90,$A$4:$A$90,$A105)*VLOOKUP(L$44,'Energy Heat Value Conversion'!$A:$E,5,FALSE),0)</f>
        <v>0</v>
      </c>
      <c r="M105">
        <f>IFERROR(SUMIFS(M$4:M$90,$A$4:$A$90,$A105)*VLOOKUP(M$44,'Energy Heat Value Conversion'!$A:$E,5,FALSE),0)</f>
        <v>247712005009.02396</v>
      </c>
      <c r="N105">
        <f>IFERROR(SUMIFS(N$4:N$90,$A$4:$A$90,$A105)*VLOOKUP(N$44,'Energy Heat Value Conversion'!$A:$E,5,FALSE),0)</f>
        <v>878292935866.85486</v>
      </c>
      <c r="O105">
        <f>IFERROR(SUMIFS(O$4:O$90,$A$4:$A$90,$A105)*VLOOKUP(O$44,'Energy Heat Value Conversion'!$A:$E,5,FALSE),0)</f>
        <v>0</v>
      </c>
      <c r="P105">
        <f>IFERROR(SUMIFS(P$4:P$90,$A$4:$A$90,$A105)*VLOOKUP(P$44,'Energy Heat Value Conversion'!$A:$E,5,FALSE),0)</f>
        <v>3963392080.144383</v>
      </c>
      <c r="Q105">
        <f>IFERROR(SUMIFS(Q$4:Q$90,$A$4:$A$90,$A105)*VLOOKUP(Q$44,'Energy Heat Value Conversion'!$A:$E,5,FALSE),0)</f>
        <v>3388266128281.2666</v>
      </c>
      <c r="R105">
        <f>IFERROR(SUMIFS(R$4:R$90,$A$4:$A$90,$A105)*VLOOKUP(R$44,'Energy Heat Value Conversion'!$A:$E,5,FALSE),0)</f>
        <v>359237854564.76074</v>
      </c>
      <c r="S105">
        <f>IFERROR(SUMIFS(S$4:S$90,$A$4:$A$90,$A105)*VLOOKUP(S$44,'Energy Heat Value Conversion'!$A:$E,5,FALSE),0)</f>
        <v>6067987016990.6172</v>
      </c>
      <c r="T105">
        <f>IFERROR(SUMIFS(T$4:T$90,$A$4:$A$90,$A105)*VLOOKUP(T$44,'Energy Heat Value Conversion'!$A:$E,5,FALSE),0)</f>
        <v>150608899045.48654</v>
      </c>
      <c r="U105">
        <f>IFERROR(SUMIFS(U$4:U$90,$A$4:$A$90,$A105)*VLOOKUP(U$44,'Energy Heat Value Conversion'!$A:$E,5,FALSE),0)</f>
        <v>0</v>
      </c>
      <c r="V105">
        <f>IFERROR(SUMIFS(V$4:V$90,$A$4:$A$90,$A105)*VLOOKUP(V$44,'Energy Heat Value Conversion'!$A:$E,5,FALSE),0)</f>
        <v>1447872356709.8367</v>
      </c>
      <c r="W105">
        <f>IFERROR(SUMIFS(W$4:W$90,$A$4:$A$90,$A105)*VLOOKUP(W$44,'Energy Heat Value Conversion'!$A:$E,5,FALSE),0)</f>
        <v>11352479586.744152</v>
      </c>
      <c r="X105">
        <f>IFERROR(SUMIFS(X$4:X$90,$A$4:$A$90,$A105)*VLOOKUP(X$44,'Energy Heat Value Conversion'!$A:$E,5,FALSE),0)</f>
        <v>16281602533.173956</v>
      </c>
      <c r="Y105">
        <f>IFERROR(SUMIFS(Y$4:Y$90,$A$4:$A$90,$A105)*VLOOKUP(Y$44,'Energy Heat Value Conversion'!$A:$E,5,FALSE),0)</f>
        <v>0</v>
      </c>
      <c r="Z105">
        <f>IFERROR(SUMIFS(Z$4:Z$90,$A$4:$A$90,$A105)*VLOOKUP(Z$44,'Energy Heat Value Conversion'!$A:$E,5,FALSE),0)</f>
        <v>0</v>
      </c>
      <c r="AA105">
        <f>IFERROR(SUMIFS(AA$4:AA$90,$A$4:$A$90,$A105)*VLOOKUP(AA$44,'Energy Heat Value Conversion'!$A:$E,5,FALSE),0)</f>
        <v>1864372203613.676</v>
      </c>
      <c r="AB105">
        <f>IFERROR(SUMIFS(AB$4:AB$90,$A$4:$A$90,$A105)*VLOOKUP(AB$44,'Energy Heat Value Conversion'!$A:$E,5,FALSE),0)</f>
        <v>0</v>
      </c>
      <c r="AC105">
        <f>IFERROR(SUMIFS(AC$4:AC$90,$A$4:$A$90,$A105)*VLOOKUP(AC$44,'Energy Heat Value Conversion'!$A:$E,5,FALSE),0)</f>
        <v>1227392843705.8569</v>
      </c>
      <c r="AD105">
        <f>IFERROR(SUMIFS(AD$4:AD$90,$A$4:$A$90,$A105)*VLOOKUP(AD$44,'Energy Heat Value Conversion'!$A:$E,5,FALSE),0)</f>
        <v>17808171956015.41</v>
      </c>
      <c r="AE105">
        <f>IFERROR(SUMIFS(AE$4:AE$90,$A$4:$A$90,$A105)*VLOOKUP(AE$44,'Energy Heat Value Conversion'!$A:$E,5,FALSE),0)</f>
        <v>45605649217527.211</v>
      </c>
      <c r="AF105">
        <f>IFERROR(SUMIFS(AF$4:AF$90,$A$4:$A$90,$A105)*VLOOKUP(AF$44,'Energy Heat Value Conversion'!$A:$E,5,FALSE),0)</f>
        <v>7897780956335.1553</v>
      </c>
      <c r="AG105">
        <f>IFERROR(SUMIFS(AG$4:AG$90,$A$4:$A$90,$A105)*VLOOKUP(AG$44,'Energy Heat Value Conversion'!$A:$E,5,FALSE),0)</f>
        <v>170108909400388.63</v>
      </c>
      <c r="AH105">
        <f>IFERROR(SUMIFS(AH$4:AH$90,$A$4:$A$90,$A105)*VLOOKUP(AH$44,'Energy Heat Value Conversion'!$A:$E,5,FALSE),0)</f>
        <v>1206844642394.9973</v>
      </c>
    </row>
    <row r="106" spans="1:34" x14ac:dyDescent="0.2">
      <c r="A106" s="178" t="s">
        <v>386</v>
      </c>
      <c r="C106">
        <f>IFERROR(SUMIFS(C$4:C$90,$A$4:$A$90,$A106)*VLOOKUP(C$44,'Energy Heat Value Conversion'!$A:$E,5,FALSE),0)</f>
        <v>0</v>
      </c>
      <c r="D106">
        <f>IFERROR(SUMIFS(D$4:D$90,$A$4:$A$90,$A106)*VLOOKUP(D$44,'Energy Heat Value Conversion'!$A:$E,5,FALSE),0)</f>
        <v>1744851656146923.5</v>
      </c>
      <c r="E106">
        <f>IFERROR(SUMIFS(E$4:E$90,$A$4:$A$90,$A106)*VLOOKUP(E$44,'Energy Heat Value Conversion'!$A:$E,5,FALSE),0)</f>
        <v>0</v>
      </c>
      <c r="F106">
        <f>IFERROR(SUMIFS(F$4:F$90,$A$4:$A$90,$A106)*VLOOKUP(F$44,'Energy Heat Value Conversion'!$A:$E,5,FALSE),0)</f>
        <v>70079022830876.68</v>
      </c>
      <c r="G106">
        <f>IFERROR(SUMIFS(G$4:G$90,$A$4:$A$90,$A106)*VLOOKUP(G$44,'Energy Heat Value Conversion'!$A:$E,5,FALSE),0)</f>
        <v>16514903263177.832</v>
      </c>
      <c r="H106">
        <f>IFERROR(SUMIFS(H$4:H$90,$A$4:$A$90,$A106)*VLOOKUP(H$44,'Energy Heat Value Conversion'!$A:$E,5,FALSE),0)</f>
        <v>0</v>
      </c>
      <c r="I106">
        <f>IFERROR(SUMIFS(I$4:I$90,$A$4:$A$90,$A106)*VLOOKUP(I$44,'Energy Heat Value Conversion'!$A:$E,5,FALSE),0)</f>
        <v>1.0870866210542314E+16</v>
      </c>
      <c r="J106">
        <f>IFERROR(SUMIFS(J$4:J$90,$A$4:$A$90,$A106)*VLOOKUP(J$44,'Energy Heat Value Conversion'!$A:$E,5,FALSE),0)</f>
        <v>581747346834767.13</v>
      </c>
      <c r="K106">
        <f>IFERROR(SUMIFS(K$4:K$90,$A$4:$A$90,$A106)*VLOOKUP(K$44,'Energy Heat Value Conversion'!$A:$E,5,FALSE),0)</f>
        <v>2978490450529230</v>
      </c>
      <c r="L106">
        <f>IFERROR(SUMIFS(L$4:L$90,$A$4:$A$90,$A106)*VLOOKUP(L$44,'Energy Heat Value Conversion'!$A:$E,5,FALSE),0)</f>
        <v>468511804375095.44</v>
      </c>
      <c r="M106">
        <f>IFERROR(SUMIFS(M$4:M$90,$A$4:$A$90,$A106)*VLOOKUP(M$44,'Energy Heat Value Conversion'!$A:$E,5,FALSE),0)</f>
        <v>777815695728.33521</v>
      </c>
      <c r="N106">
        <f>IFERROR(SUMIFS(N$4:N$90,$A$4:$A$90,$A106)*VLOOKUP(N$44,'Energy Heat Value Conversion'!$A:$E,5,FALSE),0)</f>
        <v>104326615410928.23</v>
      </c>
      <c r="O106">
        <f>IFERROR(SUMIFS(O$4:O$90,$A$4:$A$90,$A106)*VLOOKUP(O$44,'Energy Heat Value Conversion'!$A:$E,5,FALSE),0)</f>
        <v>0</v>
      </c>
      <c r="P106">
        <f>IFERROR(SUMIFS(P$4:P$90,$A$4:$A$90,$A106)*VLOOKUP(P$44,'Energy Heat Value Conversion'!$A:$E,5,FALSE),0)</f>
        <v>0</v>
      </c>
      <c r="Q106">
        <f>IFERROR(SUMIFS(Q$4:Q$90,$A$4:$A$90,$A106)*VLOOKUP(Q$44,'Energy Heat Value Conversion'!$A:$E,5,FALSE),0)</f>
        <v>1020562086831.7067</v>
      </c>
      <c r="R106">
        <f>IFERROR(SUMIFS(R$4:R$90,$A$4:$A$90,$A106)*VLOOKUP(R$44,'Energy Heat Value Conversion'!$A:$E,5,FALSE),0)</f>
        <v>8164496694.6536541</v>
      </c>
      <c r="S106">
        <f>IFERROR(SUMIFS(S$4:S$90,$A$4:$A$90,$A106)*VLOOKUP(S$44,'Energy Heat Value Conversion'!$A:$E,5,FALSE),0)</f>
        <v>16554568177599.318</v>
      </c>
      <c r="T106">
        <f>IFERROR(SUMIFS(T$4:T$90,$A$4:$A$90,$A106)*VLOOKUP(T$44,'Energy Heat Value Conversion'!$A:$E,5,FALSE),0)</f>
        <v>107011586163.89835</v>
      </c>
      <c r="U106">
        <f>IFERROR(SUMIFS(U$4:U$90,$A$4:$A$90,$A106)*VLOOKUP(U$44,'Energy Heat Value Conversion'!$A:$E,5,FALSE),0)</f>
        <v>0</v>
      </c>
      <c r="V106">
        <f>IFERROR(SUMIFS(V$4:V$90,$A$4:$A$90,$A106)*VLOOKUP(V$44,'Energy Heat Value Conversion'!$A:$E,5,FALSE),0)</f>
        <v>506166758849.78033</v>
      </c>
      <c r="W106">
        <f>IFERROR(SUMIFS(W$4:W$90,$A$4:$A$90,$A106)*VLOOKUP(W$44,'Energy Heat Value Conversion'!$A:$E,5,FALSE),0)</f>
        <v>3784159862.2480507</v>
      </c>
      <c r="X106">
        <f>IFERROR(SUMIFS(X$4:X$90,$A$4:$A$90,$A106)*VLOOKUP(X$44,'Energy Heat Value Conversion'!$A:$E,5,FALSE),0)</f>
        <v>0</v>
      </c>
      <c r="Y106">
        <f>IFERROR(SUMIFS(Y$4:Y$90,$A$4:$A$90,$A106)*VLOOKUP(Y$44,'Energy Heat Value Conversion'!$A:$E,5,FALSE),0)</f>
        <v>0</v>
      </c>
      <c r="Z106">
        <f>IFERROR(SUMIFS(Z$4:Z$90,$A$4:$A$90,$A106)*VLOOKUP(Z$44,'Energy Heat Value Conversion'!$A:$E,5,FALSE),0)</f>
        <v>6449621600600.5742</v>
      </c>
      <c r="AA106">
        <f>IFERROR(SUMIFS(AA$4:AA$90,$A$4:$A$90,$A106)*VLOOKUP(AA$44,'Energy Heat Value Conversion'!$A:$E,5,FALSE),0)</f>
        <v>4209105612750.2632</v>
      </c>
      <c r="AB106">
        <f>IFERROR(SUMIFS(AB$4:AB$90,$A$4:$A$90,$A106)*VLOOKUP(AB$44,'Energy Heat Value Conversion'!$A:$E,5,FALSE),0)</f>
        <v>401098766477.62299</v>
      </c>
      <c r="AC106">
        <f>IFERROR(SUMIFS(AC$4:AC$90,$A$4:$A$90,$A106)*VLOOKUP(AC$44,'Energy Heat Value Conversion'!$A:$E,5,FALSE),0)</f>
        <v>155366182747.57684</v>
      </c>
      <c r="AD106">
        <f>IFERROR(SUMIFS(AD$4:AD$90,$A$4:$A$90,$A106)*VLOOKUP(AD$44,'Energy Heat Value Conversion'!$A:$E,5,FALSE),0)</f>
        <v>162904300279459.13</v>
      </c>
      <c r="AE106">
        <f>IFERROR(SUMIFS(AE$4:AE$90,$A$4:$A$90,$A106)*VLOOKUP(AE$44,'Energy Heat Value Conversion'!$A:$E,5,FALSE),0)</f>
        <v>337228304075087.63</v>
      </c>
      <c r="AF106">
        <f>IFERROR(SUMIFS(AF$4:AF$90,$A$4:$A$90,$A106)*VLOOKUP(AF$44,'Energy Heat Value Conversion'!$A:$E,5,FALSE),0)</f>
        <v>177706421892262.88</v>
      </c>
      <c r="AG106">
        <f>IFERROR(SUMIFS(AG$4:AG$90,$A$4:$A$90,$A106)*VLOOKUP(AG$44,'Energy Heat Value Conversion'!$A:$E,5,FALSE),0)</f>
        <v>2315329183758376.5</v>
      </c>
      <c r="AH106">
        <f>IFERROR(SUMIFS(AH$4:AH$90,$A$4:$A$90,$A106)*VLOOKUP(AH$44,'Energy Heat Value Conversion'!$A:$E,5,FALSE),0)</f>
        <v>13119927158358.488</v>
      </c>
    </row>
    <row r="107" spans="1:34" x14ac:dyDescent="0.2">
      <c r="A107" s="178" t="s">
        <v>387</v>
      </c>
      <c r="C107">
        <f>IFERROR(SUMIFS(C$4:C$90,$A$4:$A$90,$A107)*VLOOKUP(C$44,'Energy Heat Value Conversion'!$A:$E,5,FALSE),0)</f>
        <v>0</v>
      </c>
      <c r="D107">
        <f>IFERROR(SUMIFS(D$4:D$90,$A$4:$A$90,$A107)*VLOOKUP(D$44,'Energy Heat Value Conversion'!$A:$E,5,FALSE),0)</f>
        <v>400219368860899.63</v>
      </c>
      <c r="E107">
        <f>IFERROR(SUMIFS(E$4:E$90,$A$4:$A$90,$A107)*VLOOKUP(E$44,'Energy Heat Value Conversion'!$A:$E,5,FALSE),0)</f>
        <v>0</v>
      </c>
      <c r="F107">
        <f>IFERROR(SUMIFS(F$4:F$90,$A$4:$A$90,$A107)*VLOOKUP(F$44,'Energy Heat Value Conversion'!$A:$E,5,FALSE),0)</f>
        <v>22233305184744.484</v>
      </c>
      <c r="G107">
        <f>IFERROR(SUMIFS(G$4:G$90,$A$4:$A$90,$A107)*VLOOKUP(G$44,'Energy Heat Value Conversion'!$A:$E,5,FALSE),0)</f>
        <v>1314035460776.8308</v>
      </c>
      <c r="H107">
        <f>IFERROR(SUMIFS(H$4:H$90,$A$4:$A$90,$A107)*VLOOKUP(H$44,'Energy Heat Value Conversion'!$A:$E,5,FALSE),0)</f>
        <v>0</v>
      </c>
      <c r="I107">
        <f>IFERROR(SUMIFS(I$4:I$90,$A$4:$A$90,$A107)*VLOOKUP(I$44,'Energy Heat Value Conversion'!$A:$E,5,FALSE),0)</f>
        <v>107713085520543.78</v>
      </c>
      <c r="J107">
        <f>IFERROR(SUMIFS(J$4:J$90,$A$4:$A$90,$A107)*VLOOKUP(J$44,'Energy Heat Value Conversion'!$A:$E,5,FALSE),0)</f>
        <v>38850044763033.164</v>
      </c>
      <c r="K107">
        <f>IFERROR(SUMIFS(K$4:K$90,$A$4:$A$90,$A107)*VLOOKUP(K$44,'Energy Heat Value Conversion'!$A:$E,5,FALSE),0)</f>
        <v>0</v>
      </c>
      <c r="L107">
        <f>IFERROR(SUMIFS(L$4:L$90,$A$4:$A$90,$A107)*VLOOKUP(L$44,'Energy Heat Value Conversion'!$A:$E,5,FALSE),0)</f>
        <v>1393125302324.043</v>
      </c>
      <c r="M107">
        <f>IFERROR(SUMIFS(M$4:M$90,$A$4:$A$90,$A107)*VLOOKUP(M$44,'Energy Heat Value Conversion'!$A:$E,5,FALSE),0)</f>
        <v>34060400688740.793</v>
      </c>
      <c r="N107">
        <f>IFERROR(SUMIFS(N$4:N$90,$A$4:$A$90,$A107)*VLOOKUP(N$44,'Energy Heat Value Conversion'!$A:$E,5,FALSE),0)</f>
        <v>3104147235428.3423</v>
      </c>
      <c r="O107">
        <f>IFERROR(SUMIFS(O$4:O$90,$A$4:$A$90,$A107)*VLOOKUP(O$44,'Energy Heat Value Conversion'!$A:$E,5,FALSE),0)</f>
        <v>0</v>
      </c>
      <c r="P107">
        <f>IFERROR(SUMIFS(P$4:P$90,$A$4:$A$90,$A107)*VLOOKUP(P$44,'Energy Heat Value Conversion'!$A:$E,5,FALSE),0)</f>
        <v>83231233683.032043</v>
      </c>
      <c r="Q107">
        <f>IFERROR(SUMIFS(Q$4:Q$90,$A$4:$A$90,$A107)*VLOOKUP(Q$44,'Energy Heat Value Conversion'!$A:$E,5,FALSE),0)</f>
        <v>1012397590137.053</v>
      </c>
      <c r="R107">
        <f>IFERROR(SUMIFS(R$4:R$90,$A$4:$A$90,$A107)*VLOOKUP(R$44,'Energy Heat Value Conversion'!$A:$E,5,FALSE),0)</f>
        <v>151043188851.09259</v>
      </c>
      <c r="S107">
        <f>IFERROR(SUMIFS(S$4:S$90,$A$4:$A$90,$A107)*VLOOKUP(S$44,'Energy Heat Value Conversion'!$A:$E,5,FALSE),0)</f>
        <v>9799334130036.8125</v>
      </c>
      <c r="T107">
        <f>IFERROR(SUMIFS(T$4:T$90,$A$4:$A$90,$A107)*VLOOKUP(T$44,'Energy Heat Value Conversion'!$A:$E,5,FALSE),0)</f>
        <v>3059738685871.4634</v>
      </c>
      <c r="U107">
        <f>IFERROR(SUMIFS(U$4:U$90,$A$4:$A$90,$A107)*VLOOKUP(U$44,'Energy Heat Value Conversion'!$A:$E,5,FALSE),0)</f>
        <v>0</v>
      </c>
      <c r="V107">
        <f>IFERROR(SUMIFS(V$4:V$90,$A$4:$A$90,$A107)*VLOOKUP(V$44,'Energy Heat Value Conversion'!$A:$E,5,FALSE),0)</f>
        <v>188341119572.01129</v>
      </c>
      <c r="W107">
        <f>IFERROR(SUMIFS(W$4:W$90,$A$4:$A$90,$A107)*VLOOKUP(W$44,'Energy Heat Value Conversion'!$A:$E,5,FALSE),0)</f>
        <v>3784159862.2480507</v>
      </c>
      <c r="X107">
        <f>IFERROR(SUMIFS(X$4:X$90,$A$4:$A$90,$A107)*VLOOKUP(X$44,'Energy Heat Value Conversion'!$A:$E,5,FALSE),0)</f>
        <v>40704006332.934891</v>
      </c>
      <c r="Y107">
        <f>IFERROR(SUMIFS(Y$4:Y$90,$A$4:$A$90,$A107)*VLOOKUP(Y$44,'Energy Heat Value Conversion'!$A:$E,5,FALSE),0)</f>
        <v>5793216539200.2715</v>
      </c>
      <c r="Z107">
        <f>IFERROR(SUMIFS(Z$4:Z$90,$A$4:$A$90,$A107)*VLOOKUP(Z$44,'Energy Heat Value Conversion'!$A:$E,5,FALSE),0)</f>
        <v>78085841237693.719</v>
      </c>
      <c r="AA107">
        <f>IFERROR(SUMIFS(AA$4:AA$90,$A$4:$A$90,$A107)*VLOOKUP(AA$44,'Energy Heat Value Conversion'!$A:$E,5,FALSE),0)</f>
        <v>1317426276533.1333</v>
      </c>
      <c r="AB107">
        <f>IFERROR(SUMIFS(AB$4:AB$90,$A$4:$A$90,$A107)*VLOOKUP(AB$44,'Energy Heat Value Conversion'!$A:$E,5,FALSE),0)</f>
        <v>0</v>
      </c>
      <c r="AC107">
        <f>IFERROR(SUMIFS(AC$4:AC$90,$A$4:$A$90,$A107)*VLOOKUP(AC$44,'Energy Heat Value Conversion'!$A:$E,5,FALSE),0)</f>
        <v>2664530034120.9429</v>
      </c>
      <c r="AD107">
        <f>IFERROR(SUMIFS(AD$4:AD$90,$A$4:$A$90,$A107)*VLOOKUP(AD$44,'Energy Heat Value Conversion'!$A:$E,5,FALSE),0)</f>
        <v>73829712900980.547</v>
      </c>
      <c r="AE107">
        <f>IFERROR(SUMIFS(AE$4:AE$90,$A$4:$A$90,$A107)*VLOOKUP(AE$44,'Energy Heat Value Conversion'!$A:$E,5,FALSE),0)</f>
        <v>106850306739685.89</v>
      </c>
      <c r="AF107">
        <f>IFERROR(SUMIFS(AF$4:AF$90,$A$4:$A$90,$A107)*VLOOKUP(AF$44,'Energy Heat Value Conversion'!$A:$E,5,FALSE),0)</f>
        <v>205348939584572.72</v>
      </c>
      <c r="AG107">
        <f>IFERROR(SUMIFS(AG$4:AG$90,$A$4:$A$90,$A107)*VLOOKUP(AG$44,'Energy Heat Value Conversion'!$A:$E,5,FALSE),0)</f>
        <v>2433853335821037.5</v>
      </c>
      <c r="AH107">
        <f>IFERROR(SUMIFS(AH$4:AH$90,$A$4:$A$90,$A107)*VLOOKUP(AH$44,'Energy Heat Value Conversion'!$A:$E,5,FALSE),0)</f>
        <v>1964243693829.0991</v>
      </c>
    </row>
    <row r="108" spans="1:34" x14ac:dyDescent="0.2">
      <c r="A108" s="178" t="s">
        <v>388</v>
      </c>
      <c r="C108">
        <f>IFERROR(SUMIFS(C$4:C$90,$A$4:$A$90,$A108)*VLOOKUP(C$44,'Energy Heat Value Conversion'!$A:$E,5,FALSE),0)</f>
        <v>0</v>
      </c>
      <c r="D108">
        <f>IFERROR(SUMIFS(D$4:D$90,$A$4:$A$90,$A108)*VLOOKUP(D$44,'Energy Heat Value Conversion'!$A:$E,5,FALSE),0)</f>
        <v>37644297977211.352</v>
      </c>
      <c r="E108">
        <f>IFERROR(SUMIFS(E$4:E$90,$A$4:$A$90,$A108)*VLOOKUP(E$44,'Energy Heat Value Conversion'!$A:$E,5,FALSE),0)</f>
        <v>0</v>
      </c>
      <c r="F108">
        <f>IFERROR(SUMIFS(F$4:F$90,$A$4:$A$90,$A108)*VLOOKUP(F$44,'Energy Heat Value Conversion'!$A:$E,5,FALSE),0)</f>
        <v>4056831114675.1138</v>
      </c>
      <c r="G108">
        <f>IFERROR(SUMIFS(G$4:G$90,$A$4:$A$90,$A108)*VLOOKUP(G$44,'Energy Heat Value Conversion'!$A:$E,5,FALSE),0)</f>
        <v>170120662332.71024</v>
      </c>
      <c r="H108">
        <f>IFERROR(SUMIFS(H$4:H$90,$A$4:$A$90,$A108)*VLOOKUP(H$44,'Energy Heat Value Conversion'!$A:$E,5,FALSE),0)</f>
        <v>0</v>
      </c>
      <c r="I108">
        <f>IFERROR(SUMIFS(I$4:I$90,$A$4:$A$90,$A108)*VLOOKUP(I$44,'Energy Heat Value Conversion'!$A:$E,5,FALSE),0)</f>
        <v>158769400690968.16</v>
      </c>
      <c r="J108">
        <f>IFERROR(SUMIFS(J$4:J$90,$A$4:$A$90,$A108)*VLOOKUP(J$44,'Energy Heat Value Conversion'!$A:$E,5,FALSE),0)</f>
        <v>5279790164662.8477</v>
      </c>
      <c r="K108">
        <f>IFERROR(SUMIFS(K$4:K$90,$A$4:$A$90,$A108)*VLOOKUP(K$44,'Energy Heat Value Conversion'!$A:$E,5,FALSE),0)</f>
        <v>33733241704692.695</v>
      </c>
      <c r="L108">
        <f>IFERROR(SUMIFS(L$4:L$90,$A$4:$A$90,$A108)*VLOOKUP(L$44,'Energy Heat Value Conversion'!$A:$E,5,FALSE),0)</f>
        <v>2289243740035.1841</v>
      </c>
      <c r="M108">
        <f>IFERROR(SUMIFS(M$4:M$90,$A$4:$A$90,$A108)*VLOOKUP(M$44,'Energy Heat Value Conversion'!$A:$E,5,FALSE),0)</f>
        <v>312117126311.37018</v>
      </c>
      <c r="N108">
        <f>IFERROR(SUMIFS(N$4:N$90,$A$4:$A$90,$A108)*VLOOKUP(N$44,'Energy Heat Value Conversion'!$A:$E,5,FALSE),0)</f>
        <v>954390518757.84583</v>
      </c>
      <c r="O108">
        <f>IFERROR(SUMIFS(O$4:O$90,$A$4:$A$90,$A108)*VLOOKUP(O$44,'Energy Heat Value Conversion'!$A:$E,5,FALSE),0)</f>
        <v>0</v>
      </c>
      <c r="P108">
        <f>IFERROR(SUMIFS(P$4:P$90,$A$4:$A$90,$A108)*VLOOKUP(P$44,'Energy Heat Value Conversion'!$A:$E,5,FALSE),0)</f>
        <v>0</v>
      </c>
      <c r="Q108">
        <f>IFERROR(SUMIFS(Q$4:Q$90,$A$4:$A$90,$A108)*VLOOKUP(Q$44,'Energy Heat Value Conversion'!$A:$E,5,FALSE),0)</f>
        <v>3363772638197.3052</v>
      </c>
      <c r="R108">
        <f>IFERROR(SUMIFS(R$4:R$90,$A$4:$A$90,$A108)*VLOOKUP(R$44,'Energy Heat Value Conversion'!$A:$E,5,FALSE),0)</f>
        <v>122467450419.80479</v>
      </c>
      <c r="S108">
        <f>IFERROR(SUMIFS(S$4:S$90,$A$4:$A$90,$A108)*VLOOKUP(S$44,'Energy Heat Value Conversion'!$A:$E,5,FALSE),0)</f>
        <v>5299887394586.7412</v>
      </c>
      <c r="T108">
        <f>IFERROR(SUMIFS(T$4:T$90,$A$4:$A$90,$A108)*VLOOKUP(T$44,'Energy Heat Value Conversion'!$A:$E,5,FALSE),0)</f>
        <v>297254406010.82874</v>
      </c>
      <c r="U108">
        <f>IFERROR(SUMIFS(U$4:U$90,$A$4:$A$90,$A108)*VLOOKUP(U$44,'Energy Heat Value Conversion'!$A:$E,5,FALSE),0)</f>
        <v>0</v>
      </c>
      <c r="V108">
        <f>IFERROR(SUMIFS(V$4:V$90,$A$4:$A$90,$A108)*VLOOKUP(V$44,'Energy Heat Value Conversion'!$A:$E,5,FALSE),0)</f>
        <v>258969039411.51553</v>
      </c>
      <c r="W108">
        <f>IFERROR(SUMIFS(W$4:W$90,$A$4:$A$90,$A108)*VLOOKUP(W$44,'Energy Heat Value Conversion'!$A:$E,5,FALSE),0)</f>
        <v>11352479586.744152</v>
      </c>
      <c r="X108">
        <f>IFERROR(SUMIFS(X$4:X$90,$A$4:$A$90,$A108)*VLOOKUP(X$44,'Energy Heat Value Conversion'!$A:$E,5,FALSE),0)</f>
        <v>8140801266.586978</v>
      </c>
      <c r="Y108">
        <f>IFERROR(SUMIFS(Y$4:Y$90,$A$4:$A$90,$A108)*VLOOKUP(Y$44,'Energy Heat Value Conversion'!$A:$E,5,FALSE),0)</f>
        <v>70108989964.844055</v>
      </c>
      <c r="Z108">
        <f>IFERROR(SUMIFS(Z$4:Z$90,$A$4:$A$90,$A108)*VLOOKUP(Z$44,'Energy Heat Value Conversion'!$A:$E,5,FALSE),0)</f>
        <v>0</v>
      </c>
      <c r="AA108">
        <f>IFERROR(SUMIFS(AA$4:AA$90,$A$4:$A$90,$A108)*VLOOKUP(AA$44,'Energy Heat Value Conversion'!$A:$E,5,FALSE),0)</f>
        <v>2658632810765.4204</v>
      </c>
      <c r="AB108">
        <f>IFERROR(SUMIFS(AB$4:AB$90,$A$4:$A$90,$A108)*VLOOKUP(AB$44,'Energy Heat Value Conversion'!$A:$E,5,FALSE),0)</f>
        <v>0</v>
      </c>
      <c r="AC108">
        <f>IFERROR(SUMIFS(AC$4:AC$90,$A$4:$A$90,$A108)*VLOOKUP(AC$44,'Energy Heat Value Conversion'!$A:$E,5,FALSE),0)</f>
        <v>205860192140.53931</v>
      </c>
      <c r="AD108">
        <f>IFERROR(SUMIFS(AD$4:AD$90,$A$4:$A$90,$A108)*VLOOKUP(AD$44,'Energy Heat Value Conversion'!$A:$E,5,FALSE),0)</f>
        <v>45599713038887.938</v>
      </c>
      <c r="AE108">
        <f>IFERROR(SUMIFS(AE$4:AE$90,$A$4:$A$90,$A108)*VLOOKUP(AE$44,'Energy Heat Value Conversion'!$A:$E,5,FALSE),0)</f>
        <v>214456238880624.22</v>
      </c>
      <c r="AF108">
        <f>IFERROR(SUMIFS(AF$4:AF$90,$A$4:$A$90,$A108)*VLOOKUP(AF$44,'Energy Heat Value Conversion'!$A:$E,5,FALSE),0)</f>
        <v>5967456604311.5166</v>
      </c>
      <c r="AG108">
        <f>IFERROR(SUMIFS(AG$4:AG$90,$A$4:$A$90,$A108)*VLOOKUP(AG$44,'Energy Heat Value Conversion'!$A:$E,5,FALSE),0)</f>
        <v>529516612793531.25</v>
      </c>
      <c r="AH108">
        <f>IFERROR(SUMIFS(AH$4:AH$90,$A$4:$A$90,$A108)*VLOOKUP(AH$44,'Energy Heat Value Conversion'!$A:$E,5,FALSE),0)</f>
        <v>1287300951887.9971</v>
      </c>
    </row>
    <row r="109" spans="1:34" x14ac:dyDescent="0.2">
      <c r="A109" s="178" t="s">
        <v>389</v>
      </c>
      <c r="C109">
        <f>IFERROR(SUMIFS(C$4:C$90,$A$4:$A$90,$A109)*VLOOKUP(C$44,'Energy Heat Value Conversion'!$A:$E,5,FALSE),0)</f>
        <v>0</v>
      </c>
      <c r="D109">
        <f>IFERROR(SUMIFS(D$4:D$90,$A$4:$A$90,$A109)*VLOOKUP(D$44,'Energy Heat Value Conversion'!$A:$E,5,FALSE),0)</f>
        <v>3368883268122.7256</v>
      </c>
      <c r="E109">
        <f>IFERROR(SUMIFS(E$4:E$90,$A$4:$A$90,$A109)*VLOOKUP(E$44,'Energy Heat Value Conversion'!$A:$E,5,FALSE),0)</f>
        <v>0</v>
      </c>
      <c r="F109">
        <f>IFERROR(SUMIFS(F$4:F$90,$A$4:$A$90,$A109)*VLOOKUP(F$44,'Energy Heat Value Conversion'!$A:$E,5,FALSE),0)</f>
        <v>68961372992.718811</v>
      </c>
      <c r="G109">
        <f>IFERROR(SUMIFS(G$4:G$90,$A$4:$A$90,$A109)*VLOOKUP(G$44,'Energy Heat Value Conversion'!$A:$E,5,FALSE),0)</f>
        <v>1466557433.9027851</v>
      </c>
      <c r="H109">
        <f>IFERROR(SUMIFS(H$4:H$90,$A$4:$A$90,$A109)*VLOOKUP(H$44,'Energy Heat Value Conversion'!$A:$E,5,FALSE),0)</f>
        <v>0</v>
      </c>
      <c r="I109">
        <f>IFERROR(SUMIFS(I$4:I$90,$A$4:$A$90,$A109)*VLOOKUP(I$44,'Energy Heat Value Conversion'!$A:$E,5,FALSE),0)</f>
        <v>5390235976.6073046</v>
      </c>
      <c r="J109">
        <f>IFERROR(SUMIFS(J$4:J$90,$A$4:$A$90,$A109)*VLOOKUP(J$44,'Energy Heat Value Conversion'!$A:$E,5,FALSE),0)</f>
        <v>82239722191.010086</v>
      </c>
      <c r="K109">
        <f>IFERROR(SUMIFS(K$4:K$90,$A$4:$A$90,$A109)*VLOOKUP(K$44,'Energy Heat Value Conversion'!$A:$E,5,FALSE),0)</f>
        <v>3566635832.5959711</v>
      </c>
      <c r="L109">
        <f>IFERROR(SUMIFS(L$4:L$90,$A$4:$A$90,$A109)*VLOOKUP(L$44,'Energy Heat Value Conversion'!$A:$E,5,FALSE),0)</f>
        <v>0</v>
      </c>
      <c r="M109">
        <f>IFERROR(SUMIFS(M$4:M$90,$A$4:$A$90,$A109)*VLOOKUP(M$44,'Energy Heat Value Conversion'!$A:$E,5,FALSE),0)</f>
        <v>0</v>
      </c>
      <c r="N109">
        <f>IFERROR(SUMIFS(N$4:N$90,$A$4:$A$90,$A109)*VLOOKUP(N$44,'Energy Heat Value Conversion'!$A:$E,5,FALSE),0)</f>
        <v>0</v>
      </c>
      <c r="O109">
        <f>IFERROR(SUMIFS(O$4:O$90,$A$4:$A$90,$A109)*VLOOKUP(O$44,'Energy Heat Value Conversion'!$A:$E,5,FALSE),0)</f>
        <v>0</v>
      </c>
      <c r="P109">
        <f>IFERROR(SUMIFS(P$4:P$90,$A$4:$A$90,$A109)*VLOOKUP(P$44,'Energy Heat Value Conversion'!$A:$E,5,FALSE),0)</f>
        <v>0</v>
      </c>
      <c r="Q109">
        <f>IFERROR(SUMIFS(Q$4:Q$90,$A$4:$A$90,$A109)*VLOOKUP(Q$44,'Energy Heat Value Conversion'!$A:$E,5,FALSE),0)</f>
        <v>3649530022510.1831</v>
      </c>
      <c r="R109">
        <f>IFERROR(SUMIFS(R$4:R$90,$A$4:$A$90,$A109)*VLOOKUP(R$44,'Energy Heat Value Conversion'!$A:$E,5,FALSE),0)</f>
        <v>24493490083.96096</v>
      </c>
      <c r="S109">
        <f>IFERROR(SUMIFS(S$4:S$90,$A$4:$A$90,$A109)*VLOOKUP(S$44,'Energy Heat Value Conversion'!$A:$E,5,FALSE),0)</f>
        <v>1705989687654.9236</v>
      </c>
      <c r="T109">
        <f>IFERROR(SUMIFS(T$4:T$90,$A$4:$A$90,$A109)*VLOOKUP(T$44,'Energy Heat Value Conversion'!$A:$E,5,FALSE),0)</f>
        <v>130791938644.76465</v>
      </c>
      <c r="U109">
        <f>IFERROR(SUMIFS(U$4:U$90,$A$4:$A$90,$A109)*VLOOKUP(U$44,'Energy Heat Value Conversion'!$A:$E,5,FALSE),0)</f>
        <v>0</v>
      </c>
      <c r="V109">
        <f>IFERROR(SUMIFS(V$4:V$90,$A$4:$A$90,$A109)*VLOOKUP(V$44,'Energy Heat Value Conversion'!$A:$E,5,FALSE),0)</f>
        <v>156950932976.67609</v>
      </c>
      <c r="W109">
        <f>IFERROR(SUMIFS(W$4:W$90,$A$4:$A$90,$A109)*VLOOKUP(W$44,'Energy Heat Value Conversion'!$A:$E,5,FALSE),0)</f>
        <v>26489119035.736351</v>
      </c>
      <c r="X109">
        <f>IFERROR(SUMIFS(X$4:X$90,$A$4:$A$90,$A109)*VLOOKUP(X$44,'Energy Heat Value Conversion'!$A:$E,5,FALSE),0)</f>
        <v>12211201899.880466</v>
      </c>
      <c r="Y109">
        <f>IFERROR(SUMIFS(Y$4:Y$90,$A$4:$A$90,$A109)*VLOOKUP(Y$44,'Energy Heat Value Conversion'!$A:$E,5,FALSE),0)</f>
        <v>0</v>
      </c>
      <c r="Z109">
        <f>IFERROR(SUMIFS(Z$4:Z$90,$A$4:$A$90,$A109)*VLOOKUP(Z$44,'Energy Heat Value Conversion'!$A:$E,5,FALSE),0)</f>
        <v>0</v>
      </c>
      <c r="AA109">
        <f>IFERROR(SUMIFS(AA$4:AA$90,$A$4:$A$90,$A109)*VLOOKUP(AA$44,'Energy Heat Value Conversion'!$A:$E,5,FALSE),0)</f>
        <v>775236400992.42151</v>
      </c>
      <c r="AB109">
        <f>IFERROR(SUMIFS(AB$4:AB$90,$A$4:$A$90,$A109)*VLOOKUP(AB$44,'Energy Heat Value Conversion'!$A:$E,5,FALSE),0)</f>
        <v>0</v>
      </c>
      <c r="AC109">
        <f>IFERROR(SUMIFS(AC$4:AC$90,$A$4:$A$90,$A109)*VLOOKUP(AC$44,'Energy Heat Value Conversion'!$A:$E,5,FALSE),0)</f>
        <v>260238356102.19119</v>
      </c>
      <c r="AD109">
        <f>IFERROR(SUMIFS(AD$4:AD$90,$A$4:$A$90,$A109)*VLOOKUP(AD$44,'Energy Heat Value Conversion'!$A:$E,5,FALSE),0)</f>
        <v>43845877922007.641</v>
      </c>
      <c r="AE109">
        <f>IFERROR(SUMIFS(AE$4:AE$90,$A$4:$A$90,$A109)*VLOOKUP(AE$44,'Energy Heat Value Conversion'!$A:$E,5,FALSE),0)</f>
        <v>56593905052514.523</v>
      </c>
      <c r="AF109">
        <f>IFERROR(SUMIFS(AF$4:AF$90,$A$4:$A$90,$A109)*VLOOKUP(AF$44,'Energy Heat Value Conversion'!$A:$E,5,FALSE),0)</f>
        <v>12545307435620.588</v>
      </c>
      <c r="AG109">
        <f>IFERROR(SUMIFS(AG$4:AG$90,$A$4:$A$90,$A109)*VLOOKUP(AG$44,'Energy Heat Value Conversion'!$A:$E,5,FALSE),0)</f>
        <v>562266348269620.06</v>
      </c>
      <c r="AH109">
        <f>IFERROR(SUMIFS(AH$4:AH$90,$A$4:$A$90,$A109)*VLOOKUP(AH$44,'Energy Heat Value Conversion'!$A:$E,5,FALSE),0)</f>
        <v>1131937043901.5146</v>
      </c>
    </row>
    <row r="110" spans="1:34" x14ac:dyDescent="0.2">
      <c r="A110" s="178" t="s">
        <v>390</v>
      </c>
      <c r="C110">
        <f>IFERROR(SUMIFS(C$4:C$90,$A$4:$A$90,$A110)*VLOOKUP(C$44,'Energy Heat Value Conversion'!$A:$E,5,FALSE),0)</f>
        <v>0</v>
      </c>
      <c r="D110">
        <f>IFERROR(SUMIFS(D$4:D$90,$A$4:$A$90,$A110)*VLOOKUP(D$44,'Energy Heat Value Conversion'!$A:$E,5,FALSE),0)</f>
        <v>2068890665835.3677</v>
      </c>
      <c r="E110">
        <f>IFERROR(SUMIFS(E$4:E$90,$A$4:$A$90,$A110)*VLOOKUP(E$44,'Energy Heat Value Conversion'!$A:$E,5,FALSE),0)</f>
        <v>0</v>
      </c>
      <c r="F110">
        <f>IFERROR(SUMIFS(F$4:F$90,$A$4:$A$90,$A110)*VLOOKUP(F$44,'Energy Heat Value Conversion'!$A:$E,5,FALSE),0)</f>
        <v>0</v>
      </c>
      <c r="G110">
        <f>IFERROR(SUMIFS(G$4:G$90,$A$4:$A$90,$A110)*VLOOKUP(G$44,'Energy Heat Value Conversion'!$A:$E,5,FALSE),0)</f>
        <v>0</v>
      </c>
      <c r="H110">
        <f>IFERROR(SUMIFS(H$4:H$90,$A$4:$A$90,$A110)*VLOOKUP(H$44,'Energy Heat Value Conversion'!$A:$E,5,FALSE),0)</f>
        <v>0</v>
      </c>
      <c r="I110">
        <f>IFERROR(SUMIFS(I$4:I$90,$A$4:$A$90,$A110)*VLOOKUP(I$44,'Energy Heat Value Conversion'!$A:$E,5,FALSE),0)</f>
        <v>188658259181.25565</v>
      </c>
      <c r="J110">
        <f>IFERROR(SUMIFS(J$4:J$90,$A$4:$A$90,$A110)*VLOOKUP(J$44,'Energy Heat Value Conversion'!$A:$E,5,FALSE),0)</f>
        <v>0</v>
      </c>
      <c r="K110">
        <f>IFERROR(SUMIFS(K$4:K$90,$A$4:$A$90,$A110)*VLOOKUP(K$44,'Energy Heat Value Conversion'!$A:$E,5,FALSE),0)</f>
        <v>0</v>
      </c>
      <c r="L110">
        <f>IFERROR(SUMIFS(L$4:L$90,$A$4:$A$90,$A110)*VLOOKUP(L$44,'Energy Heat Value Conversion'!$A:$E,5,FALSE),0)</f>
        <v>0</v>
      </c>
      <c r="M110">
        <f>IFERROR(SUMIFS(M$4:M$90,$A$4:$A$90,$A110)*VLOOKUP(M$44,'Energy Heat Value Conversion'!$A:$E,5,FALSE),0)</f>
        <v>4954240100.180479</v>
      </c>
      <c r="N110">
        <f>IFERROR(SUMIFS(N$4:N$90,$A$4:$A$90,$A110)*VLOOKUP(N$44,'Energy Heat Value Conversion'!$A:$E,5,FALSE),0)</f>
        <v>0</v>
      </c>
      <c r="O110">
        <f>IFERROR(SUMIFS(O$4:O$90,$A$4:$A$90,$A110)*VLOOKUP(O$44,'Energy Heat Value Conversion'!$A:$E,5,FALSE),0)</f>
        <v>0</v>
      </c>
      <c r="P110">
        <f>IFERROR(SUMIFS(P$4:P$90,$A$4:$A$90,$A110)*VLOOKUP(P$44,'Energy Heat Value Conversion'!$A:$E,5,FALSE),0)</f>
        <v>0</v>
      </c>
      <c r="Q110">
        <f>IFERROR(SUMIFS(Q$4:Q$90,$A$4:$A$90,$A110)*VLOOKUP(Q$44,'Energy Heat Value Conversion'!$A:$E,5,FALSE),0)</f>
        <v>4188386804357.3242</v>
      </c>
      <c r="R110">
        <f>IFERROR(SUMIFS(R$4:R$90,$A$4:$A$90,$A110)*VLOOKUP(R$44,'Energy Heat Value Conversion'!$A:$E,5,FALSE),0)</f>
        <v>48986980167.921921</v>
      </c>
      <c r="S110">
        <f>IFERROR(SUMIFS(S$4:S$90,$A$4:$A$90,$A110)*VLOOKUP(S$44,'Energy Heat Value Conversion'!$A:$E,5,FALSE),0)</f>
        <v>2623666604947.9751</v>
      </c>
      <c r="T110">
        <f>IFERROR(SUMIFS(T$4:T$90,$A$4:$A$90,$A110)*VLOOKUP(T$44,'Energy Heat Value Conversion'!$A:$E,5,FALSE),0)</f>
        <v>471643657537.18152</v>
      </c>
      <c r="U110">
        <f>IFERROR(SUMIFS(U$4:U$90,$A$4:$A$90,$A110)*VLOOKUP(U$44,'Energy Heat Value Conversion'!$A:$E,5,FALSE),0)</f>
        <v>0</v>
      </c>
      <c r="V110">
        <f>IFERROR(SUMIFS(V$4:V$90,$A$4:$A$90,$A110)*VLOOKUP(V$44,'Energy Heat Value Conversion'!$A:$E,5,FALSE),0)</f>
        <v>741593158314.79443</v>
      </c>
      <c r="W110">
        <f>IFERROR(SUMIFS(W$4:W$90,$A$4:$A$90,$A110)*VLOOKUP(W$44,'Energy Heat Value Conversion'!$A:$E,5,FALSE),0)</f>
        <v>52978238071.47271</v>
      </c>
      <c r="X110">
        <f>IFERROR(SUMIFS(X$4:X$90,$A$4:$A$90,$A110)*VLOOKUP(X$44,'Energy Heat Value Conversion'!$A:$E,5,FALSE),0)</f>
        <v>36633605699.641396</v>
      </c>
      <c r="Y110">
        <f>IFERROR(SUMIFS(Y$4:Y$90,$A$4:$A$90,$A110)*VLOOKUP(Y$44,'Energy Heat Value Conversion'!$A:$E,5,FALSE),0)</f>
        <v>14759787361.0198</v>
      </c>
      <c r="Z110">
        <f>IFERROR(SUMIFS(Z$4:Z$90,$A$4:$A$90,$A110)*VLOOKUP(Z$44,'Energy Heat Value Conversion'!$A:$E,5,FALSE),0)</f>
        <v>93867732215.313522</v>
      </c>
      <c r="AA110">
        <f>IFERROR(SUMIFS(AA$4:AA$90,$A$4:$A$90,$A110)*VLOOKUP(AA$44,'Energy Heat Value Conversion'!$A:$E,5,FALSE),0)</f>
        <v>1265109709594.9946</v>
      </c>
      <c r="AB110">
        <f>IFERROR(SUMIFS(AB$4:AB$90,$A$4:$A$90,$A110)*VLOOKUP(AB$44,'Energy Heat Value Conversion'!$A:$E,5,FALSE),0)</f>
        <v>0</v>
      </c>
      <c r="AC110">
        <f>IFERROR(SUMIFS(AC$4:AC$90,$A$4:$A$90,$A110)*VLOOKUP(AC$44,'Energy Heat Value Conversion'!$A:$E,5,FALSE),0)</f>
        <v>450561929967.97278</v>
      </c>
      <c r="AD110">
        <f>IFERROR(SUMIFS(AD$4:AD$90,$A$4:$A$90,$A110)*VLOOKUP(AD$44,'Energy Heat Value Conversion'!$A:$E,5,FALSE),0)</f>
        <v>11602293850131.252</v>
      </c>
      <c r="AE110">
        <f>IFERROR(SUMIFS(AE$4:AE$90,$A$4:$A$90,$A110)*VLOOKUP(AE$44,'Energy Heat Value Conversion'!$A:$E,5,FALSE),0)</f>
        <v>42768397710888.961</v>
      </c>
      <c r="AF110">
        <f>IFERROR(SUMIFS(AF$4:AF$90,$A$4:$A$90,$A110)*VLOOKUP(AF$44,'Energy Heat Value Conversion'!$A:$E,5,FALSE),0)</f>
        <v>13244891253861.111</v>
      </c>
      <c r="AG110">
        <f>IFERROR(SUMIFS(AG$4:AG$90,$A$4:$A$90,$A110)*VLOOKUP(AG$44,'Energy Heat Value Conversion'!$A:$E,5,FALSE),0)</f>
        <v>321717186820015.31</v>
      </c>
      <c r="AH110">
        <f>IFERROR(SUMIFS(AH$4:AH$90,$A$4:$A$90,$A110)*VLOOKUP(AH$44,'Energy Heat Value Conversion'!$A:$E,5,FALSE),0)</f>
        <v>1320593217885.1003</v>
      </c>
    </row>
    <row r="111" spans="1:34" x14ac:dyDescent="0.2">
      <c r="A111" s="178" t="s">
        <v>391</v>
      </c>
      <c r="C111">
        <f>IFERROR(SUMIFS(C$4:C$90,$A$4:$A$90,$A111)*VLOOKUP(C$44,'Energy Heat Value Conversion'!$A:$E,5,FALSE),0)</f>
        <v>0</v>
      </c>
      <c r="D111">
        <f>IFERROR(SUMIFS(D$4:D$90,$A$4:$A$90,$A111)*VLOOKUP(D$44,'Energy Heat Value Conversion'!$A:$E,5,FALSE),0)</f>
        <v>796641808109.02087</v>
      </c>
      <c r="E111">
        <f>IFERROR(SUMIFS(E$4:E$90,$A$4:$A$90,$A111)*VLOOKUP(E$44,'Energy Heat Value Conversion'!$A:$E,5,FALSE),0)</f>
        <v>0</v>
      </c>
      <c r="F111">
        <f>IFERROR(SUMIFS(F$4:F$90,$A$4:$A$90,$A111)*VLOOKUP(F$44,'Energy Heat Value Conversion'!$A:$E,5,FALSE),0)</f>
        <v>0</v>
      </c>
      <c r="G111">
        <f>IFERROR(SUMIFS(G$4:G$90,$A$4:$A$90,$A111)*VLOOKUP(G$44,'Energy Heat Value Conversion'!$A:$E,5,FALSE),0)</f>
        <v>7332787169.5133877</v>
      </c>
      <c r="H111">
        <f>IFERROR(SUMIFS(H$4:H$90,$A$4:$A$90,$A111)*VLOOKUP(H$44,'Energy Heat Value Conversion'!$A:$E,5,FALSE),0)</f>
        <v>0</v>
      </c>
      <c r="I111">
        <f>IFERROR(SUMIFS(I$4:I$90,$A$4:$A$90,$A111)*VLOOKUP(I$44,'Energy Heat Value Conversion'!$A:$E,5,FALSE),0)</f>
        <v>16170707929.821913</v>
      </c>
      <c r="J111">
        <f>IFERROR(SUMIFS(J$4:J$90,$A$4:$A$90,$A111)*VLOOKUP(J$44,'Energy Heat Value Conversion'!$A:$E,5,FALSE),0)</f>
        <v>98687666629.212097</v>
      </c>
      <c r="K111">
        <f>IFERROR(SUMIFS(K$4:K$90,$A$4:$A$90,$A111)*VLOOKUP(K$44,'Energy Heat Value Conversion'!$A:$E,5,FALSE),0)</f>
        <v>246097872449.12198</v>
      </c>
      <c r="L111">
        <f>IFERROR(SUMIFS(L$4:L$90,$A$4:$A$90,$A111)*VLOOKUP(L$44,'Energy Heat Value Conversion'!$A:$E,5,FALSE),0)</f>
        <v>0</v>
      </c>
      <c r="M111">
        <f>IFERROR(SUMIFS(M$4:M$90,$A$4:$A$90,$A111)*VLOOKUP(M$44,'Energy Heat Value Conversion'!$A:$E,5,FALSE),0)</f>
        <v>4954240100.180479</v>
      </c>
      <c r="N111">
        <f>IFERROR(SUMIFS(N$4:N$90,$A$4:$A$90,$A111)*VLOOKUP(N$44,'Energy Heat Value Conversion'!$A:$E,5,FALSE),0)</f>
        <v>0</v>
      </c>
      <c r="O111">
        <f>IFERROR(SUMIFS(O$4:O$90,$A$4:$A$90,$A111)*VLOOKUP(O$44,'Energy Heat Value Conversion'!$A:$E,5,FALSE),0)</f>
        <v>0</v>
      </c>
      <c r="P111">
        <f>IFERROR(SUMIFS(P$4:P$90,$A$4:$A$90,$A111)*VLOOKUP(P$44,'Energy Heat Value Conversion'!$A:$E,5,FALSE),0)</f>
        <v>0</v>
      </c>
      <c r="Q111">
        <f>IFERROR(SUMIFS(Q$4:Q$90,$A$4:$A$90,$A111)*VLOOKUP(Q$44,'Energy Heat Value Conversion'!$A:$E,5,FALSE),0)</f>
        <v>355155606217.4339</v>
      </c>
      <c r="R111">
        <f>IFERROR(SUMIFS(R$4:R$90,$A$4:$A$90,$A111)*VLOOKUP(R$44,'Energy Heat Value Conversion'!$A:$E,5,FALSE),0)</f>
        <v>359237854564.76074</v>
      </c>
      <c r="S111">
        <f>IFERROR(SUMIFS(S$4:S$90,$A$4:$A$90,$A111)*VLOOKUP(S$44,'Energy Heat Value Conversion'!$A:$E,5,FALSE),0)</f>
        <v>2191105238646.845</v>
      </c>
      <c r="T111">
        <f>IFERROR(SUMIFS(T$4:T$90,$A$4:$A$90,$A111)*VLOOKUP(T$44,'Energy Heat Value Conversion'!$A:$E,5,FALSE),0)</f>
        <v>67377665362.454514</v>
      </c>
      <c r="U111">
        <f>IFERROR(SUMIFS(U$4:U$90,$A$4:$A$90,$A111)*VLOOKUP(U$44,'Energy Heat Value Conversion'!$A:$E,5,FALSE),0)</f>
        <v>0</v>
      </c>
      <c r="V111">
        <f>IFERROR(SUMIFS(V$4:V$90,$A$4:$A$90,$A111)*VLOOKUP(V$44,'Energy Heat Value Conversion'!$A:$E,5,FALSE),0)</f>
        <v>43161506568.585922</v>
      </c>
      <c r="W111">
        <f>IFERROR(SUMIFS(W$4:W$90,$A$4:$A$90,$A111)*VLOOKUP(W$44,'Energy Heat Value Conversion'!$A:$E,5,FALSE),0)</f>
        <v>26489119035.736355</v>
      </c>
      <c r="X111">
        <f>IFERROR(SUMIFS(X$4:X$90,$A$4:$A$90,$A111)*VLOOKUP(X$44,'Energy Heat Value Conversion'!$A:$E,5,FALSE),0)</f>
        <v>0</v>
      </c>
      <c r="Y111">
        <f>IFERROR(SUMIFS(Y$4:Y$90,$A$4:$A$90,$A111)*VLOOKUP(Y$44,'Energy Heat Value Conversion'!$A:$E,5,FALSE),0)</f>
        <v>0</v>
      </c>
      <c r="Z111">
        <f>IFERROR(SUMIFS(Z$4:Z$90,$A$4:$A$90,$A111)*VLOOKUP(Z$44,'Energy Heat Value Conversion'!$A:$E,5,FALSE),0)</f>
        <v>0</v>
      </c>
      <c r="AA111">
        <f>IFERROR(SUMIFS(AA$4:AA$90,$A$4:$A$90,$A111)*VLOOKUP(AA$44,'Energy Heat Value Conversion'!$A:$E,5,FALSE),0)</f>
        <v>1407791255789.9187</v>
      </c>
      <c r="AB111">
        <f>IFERROR(SUMIFS(AB$4:AB$90,$A$4:$A$90,$A111)*VLOOKUP(AB$44,'Energy Heat Value Conversion'!$A:$E,5,FALSE),0)</f>
        <v>0</v>
      </c>
      <c r="AC111">
        <f>IFERROR(SUMIFS(AC$4:AC$90,$A$4:$A$90,$A111)*VLOOKUP(AC$44,'Energy Heat Value Conversion'!$A:$E,5,FALSE),0)</f>
        <v>0</v>
      </c>
      <c r="AD111">
        <f>IFERROR(SUMIFS(AD$4:AD$90,$A$4:$A$90,$A111)*VLOOKUP(AD$44,'Energy Heat Value Conversion'!$A:$E,5,FALSE),0)</f>
        <v>944372755243.24146</v>
      </c>
      <c r="AE111">
        <f>IFERROR(SUMIFS(AE$4:AE$90,$A$4:$A$90,$A111)*VLOOKUP(AE$44,'Energy Heat Value Conversion'!$A:$E,5,FALSE),0)</f>
        <v>15970508480664.797</v>
      </c>
      <c r="AF111">
        <f>IFERROR(SUMIFS(AF$4:AF$90,$A$4:$A$90,$A111)*VLOOKUP(AF$44,'Energy Heat Value Conversion'!$A:$E,5,FALSE),0)</f>
        <v>1059090852868.1208</v>
      </c>
      <c r="AG111">
        <f>IFERROR(SUMIFS(AG$4:AG$90,$A$4:$A$90,$A111)*VLOOKUP(AG$44,'Energy Heat Value Conversion'!$A:$E,5,FALSE),0)</f>
        <v>210030966607123.25</v>
      </c>
      <c r="AH111">
        <f>IFERROR(SUMIFS(AH$4:AH$90,$A$4:$A$90,$A111)*VLOOKUP(AH$44,'Energy Heat Value Conversion'!$A:$E,5,FALSE),0)</f>
        <v>210851017981.65469</v>
      </c>
    </row>
    <row r="112" spans="1:34" x14ac:dyDescent="0.2">
      <c r="A112" s="178" t="s">
        <v>392</v>
      </c>
      <c r="C112">
        <f>IFERROR(SUMIFS(C$4:C$90,$A$4:$A$90,$A112)*VLOOKUP(C$44,'Energy Heat Value Conversion'!$A:$E,5,FALSE),0)</f>
        <v>0</v>
      </c>
      <c r="D112">
        <f>IFERROR(SUMIFS(D$4:D$90,$A$4:$A$90,$A112)*VLOOKUP(D$44,'Energy Heat Value Conversion'!$A:$E,5,FALSE),0)</f>
        <v>3117207871033.5571</v>
      </c>
      <c r="E112">
        <f>IFERROR(SUMIFS(E$4:E$90,$A$4:$A$90,$A112)*VLOOKUP(E$44,'Energy Heat Value Conversion'!$A:$E,5,FALSE),0)</f>
        <v>0</v>
      </c>
      <c r="F112">
        <f>IFERROR(SUMIFS(F$4:F$90,$A$4:$A$90,$A112)*VLOOKUP(F$44,'Energy Heat Value Conversion'!$A:$E,5,FALSE),0)</f>
        <v>4755956758.1185389</v>
      </c>
      <c r="G112">
        <f>IFERROR(SUMIFS(G$4:G$90,$A$4:$A$90,$A112)*VLOOKUP(G$44,'Energy Heat Value Conversion'!$A:$E,5,FALSE),0)</f>
        <v>145189185956.36438</v>
      </c>
      <c r="H112">
        <f>IFERROR(SUMIFS(H$4:H$90,$A$4:$A$90,$A112)*VLOOKUP(H$44,'Energy Heat Value Conversion'!$A:$E,5,FALSE),0)</f>
        <v>0</v>
      </c>
      <c r="I112">
        <f>IFERROR(SUMIFS(I$4:I$90,$A$4:$A$90,$A112)*VLOOKUP(I$44,'Energy Heat Value Conversion'!$A:$E,5,FALSE),0)</f>
        <v>3026617500865.0015</v>
      </c>
      <c r="J112">
        <f>IFERROR(SUMIFS(J$4:J$90,$A$4:$A$90,$A112)*VLOOKUP(J$44,'Energy Heat Value Conversion'!$A:$E,5,FALSE),0)</f>
        <v>98687666629.212097</v>
      </c>
      <c r="K112">
        <f>IFERROR(SUMIFS(K$4:K$90,$A$4:$A$90,$A112)*VLOOKUP(K$44,'Energy Heat Value Conversion'!$A:$E,5,FALSE),0)</f>
        <v>3566635832.5959711</v>
      </c>
      <c r="L112">
        <f>IFERROR(SUMIFS(L$4:L$90,$A$4:$A$90,$A112)*VLOOKUP(L$44,'Energy Heat Value Conversion'!$A:$E,5,FALSE),0)</f>
        <v>7530407039.5894213</v>
      </c>
      <c r="M112">
        <f>IFERROR(SUMIFS(M$4:M$90,$A$4:$A$90,$A112)*VLOOKUP(M$44,'Energy Heat Value Conversion'!$A:$E,5,FALSE),0)</f>
        <v>79267841602.887665</v>
      </c>
      <c r="N112">
        <f>IFERROR(SUMIFS(N$4:N$90,$A$4:$A$90,$A112)*VLOOKUP(N$44,'Energy Heat Value Conversion'!$A:$E,5,FALSE),0)</f>
        <v>0</v>
      </c>
      <c r="O112">
        <f>IFERROR(SUMIFS(O$4:O$90,$A$4:$A$90,$A112)*VLOOKUP(O$44,'Energy Heat Value Conversion'!$A:$E,5,FALSE),0)</f>
        <v>0</v>
      </c>
      <c r="P112">
        <f>IFERROR(SUMIFS(P$4:P$90,$A$4:$A$90,$A112)*VLOOKUP(P$44,'Energy Heat Value Conversion'!$A:$E,5,FALSE),0)</f>
        <v>3963392080.144383</v>
      </c>
      <c r="Q112">
        <f>IFERROR(SUMIFS(Q$4:Q$90,$A$4:$A$90,$A112)*VLOOKUP(Q$44,'Energy Heat Value Conversion'!$A:$E,5,FALSE),0)</f>
        <v>5560022249059.1377</v>
      </c>
      <c r="R112">
        <f>IFERROR(SUMIFS(R$4:R$90,$A$4:$A$90,$A112)*VLOOKUP(R$44,'Energy Heat Value Conversion'!$A:$E,5,FALSE),0)</f>
        <v>97973960335.843842</v>
      </c>
      <c r="S112">
        <f>IFERROR(SUMIFS(S$4:S$90,$A$4:$A$90,$A112)*VLOOKUP(S$44,'Energy Heat Value Conversion'!$A:$E,5,FALSE),0)</f>
        <v>6601614123081.7295</v>
      </c>
      <c r="T112">
        <f>IFERROR(SUMIFS(T$4:T$90,$A$4:$A$90,$A112)*VLOOKUP(T$44,'Energy Heat Value Conversion'!$A:$E,5,FALSE),0)</f>
        <v>67377665362.454514</v>
      </c>
      <c r="U112">
        <f>IFERROR(SUMIFS(U$4:U$90,$A$4:$A$90,$A112)*VLOOKUP(U$44,'Energy Heat Value Conversion'!$A:$E,5,FALSE),0)</f>
        <v>4161580640.4940557</v>
      </c>
      <c r="V112">
        <f>IFERROR(SUMIFS(V$4:V$90,$A$4:$A$90,$A112)*VLOOKUP(V$44,'Energy Heat Value Conversion'!$A:$E,5,FALSE),0)</f>
        <v>3280274499212.5298</v>
      </c>
      <c r="W112">
        <f>IFERROR(SUMIFS(W$4:W$90,$A$4:$A$90,$A112)*VLOOKUP(W$44,'Energy Heat Value Conversion'!$A:$E,5,FALSE),0)</f>
        <v>3784159862.2480507</v>
      </c>
      <c r="X112">
        <f>IFERROR(SUMIFS(X$4:X$90,$A$4:$A$90,$A112)*VLOOKUP(X$44,'Energy Heat Value Conversion'!$A:$E,5,FALSE),0)</f>
        <v>48844807599.521866</v>
      </c>
      <c r="Y112">
        <f>IFERROR(SUMIFS(Y$4:Y$90,$A$4:$A$90,$A112)*VLOOKUP(Y$44,'Energy Heat Value Conversion'!$A:$E,5,FALSE),0)</f>
        <v>3689946840.25495</v>
      </c>
      <c r="Z112">
        <f>IFERROR(SUMIFS(Z$4:Z$90,$A$4:$A$90,$A112)*VLOOKUP(Z$44,'Energy Heat Value Conversion'!$A:$E,5,FALSE),0)</f>
        <v>0</v>
      </c>
      <c r="AA112">
        <f>IFERROR(SUMIFS(AA$4:AA$90,$A$4:$A$90,$A112)*VLOOKUP(AA$44,'Energy Heat Value Conversion'!$A:$E,5,FALSE),0)</f>
        <v>760968246372.92908</v>
      </c>
      <c r="AB112">
        <f>IFERROR(SUMIFS(AB$4:AB$90,$A$4:$A$90,$A112)*VLOOKUP(AB$44,'Energy Heat Value Conversion'!$A:$E,5,FALSE),0)</f>
        <v>0</v>
      </c>
      <c r="AC112">
        <f>IFERROR(SUMIFS(AC$4:AC$90,$A$4:$A$90,$A112)*VLOOKUP(AC$44,'Energy Heat Value Conversion'!$A:$E,5,FALSE),0)</f>
        <v>536013330479.14001</v>
      </c>
      <c r="AD112">
        <f>IFERROR(SUMIFS(AD$4:AD$90,$A$4:$A$90,$A112)*VLOOKUP(AD$44,'Energy Heat Value Conversion'!$A:$E,5,FALSE),0)</f>
        <v>23204587700262.504</v>
      </c>
      <c r="AE112">
        <f>IFERROR(SUMIFS(AE$4:AE$90,$A$4:$A$90,$A112)*VLOOKUP(AE$44,'Energy Heat Value Conversion'!$A:$E,5,FALSE),0)</f>
        <v>77697791259107.281</v>
      </c>
      <c r="AF112">
        <f>IFERROR(SUMIFS(AF$4:AF$90,$A$4:$A$90,$A112)*VLOOKUP(AF$44,'Energy Heat Value Conversion'!$A:$E,5,FALSE),0)</f>
        <v>24758973660019.988</v>
      </c>
      <c r="AG112">
        <f>IFERROR(SUMIFS(AG$4:AG$90,$A$4:$A$90,$A112)*VLOOKUP(AG$44,'Energy Heat Value Conversion'!$A:$E,5,FALSE),0)</f>
        <v>403584701226954</v>
      </c>
      <c r="AH112">
        <f>IFERROR(SUMIFS(AH$4:AH$90,$A$4:$A$90,$A112)*VLOOKUP(AH$44,'Energy Heat Value Conversion'!$A:$E,5,FALSE),0)</f>
        <v>643650475943.99854</v>
      </c>
    </row>
    <row r="113" spans="1:34" x14ac:dyDescent="0.2">
      <c r="A113" s="178" t="s">
        <v>393</v>
      </c>
      <c r="C113">
        <f>IFERROR(SUMIFS(C$4:C$90,$A$4:$A$90,$A113)*VLOOKUP(C$44,'Energy Heat Value Conversion'!$A:$E,5,FALSE),0)</f>
        <v>0</v>
      </c>
      <c r="D113">
        <f>IFERROR(SUMIFS(D$4:D$90,$A$4:$A$90,$A113)*VLOOKUP(D$44,'Energy Heat Value Conversion'!$A:$E,5,FALSE),0)</f>
        <v>2966598971988.0708</v>
      </c>
      <c r="E113">
        <f>IFERROR(SUMIFS(E$4:E$90,$A$4:$A$90,$A113)*VLOOKUP(E$44,'Energy Heat Value Conversion'!$A:$E,5,FALSE),0)</f>
        <v>0</v>
      </c>
      <c r="F113">
        <f>IFERROR(SUMIFS(F$4:F$90,$A$4:$A$90,$A113)*VLOOKUP(F$44,'Energy Heat Value Conversion'!$A:$E,5,FALSE),0)</f>
        <v>1606720724784.3799</v>
      </c>
      <c r="G113">
        <f>IFERROR(SUMIFS(G$4:G$90,$A$4:$A$90,$A113)*VLOOKUP(G$44,'Energy Heat Value Conversion'!$A:$E,5,FALSE),0)</f>
        <v>0</v>
      </c>
      <c r="H113">
        <f>IFERROR(SUMIFS(H$4:H$90,$A$4:$A$90,$A113)*VLOOKUP(H$44,'Energy Heat Value Conversion'!$A:$E,5,FALSE),0)</f>
        <v>0</v>
      </c>
      <c r="I113">
        <f>IFERROR(SUMIFS(I$4:I$90,$A$4:$A$90,$A113)*VLOOKUP(I$44,'Energy Heat Value Conversion'!$A:$E,5,FALSE),0)</f>
        <v>107804719532.1461</v>
      </c>
      <c r="J113">
        <f>IFERROR(SUMIFS(J$4:J$90,$A$4:$A$90,$A113)*VLOOKUP(J$44,'Energy Heat Value Conversion'!$A:$E,5,FALSE),0)</f>
        <v>394750666516.84839</v>
      </c>
      <c r="K113">
        <f>IFERROR(SUMIFS(K$4:K$90,$A$4:$A$90,$A113)*VLOOKUP(K$44,'Energy Heat Value Conversion'!$A:$E,5,FALSE),0)</f>
        <v>0</v>
      </c>
      <c r="L113">
        <f>IFERROR(SUMIFS(L$4:L$90,$A$4:$A$90,$A113)*VLOOKUP(L$44,'Energy Heat Value Conversion'!$A:$E,5,FALSE),0)</f>
        <v>0</v>
      </c>
      <c r="M113">
        <f>IFERROR(SUMIFS(M$4:M$90,$A$4:$A$90,$A113)*VLOOKUP(M$44,'Energy Heat Value Conversion'!$A:$E,5,FALSE),0)</f>
        <v>0</v>
      </c>
      <c r="N113">
        <f>IFERROR(SUMIFS(N$4:N$90,$A$4:$A$90,$A113)*VLOOKUP(N$44,'Energy Heat Value Conversion'!$A:$E,5,FALSE),0)</f>
        <v>0</v>
      </c>
      <c r="O113">
        <f>IFERROR(SUMIFS(O$4:O$90,$A$4:$A$90,$A113)*VLOOKUP(O$44,'Energy Heat Value Conversion'!$A:$E,5,FALSE),0)</f>
        <v>0</v>
      </c>
      <c r="P113">
        <f>IFERROR(SUMIFS(P$4:P$90,$A$4:$A$90,$A113)*VLOOKUP(P$44,'Energy Heat Value Conversion'!$A:$E,5,FALSE),0)</f>
        <v>0</v>
      </c>
      <c r="Q113">
        <f>IFERROR(SUMIFS(Q$4:Q$90,$A$4:$A$90,$A113)*VLOOKUP(Q$44,'Energy Heat Value Conversion'!$A:$E,5,FALSE),0)</f>
        <v>1106289302125.5701</v>
      </c>
      <c r="R113">
        <f>IFERROR(SUMIFS(R$4:R$90,$A$4:$A$90,$A113)*VLOOKUP(R$44,'Energy Heat Value Conversion'!$A:$E,5,FALSE),0)</f>
        <v>530692285152.48749</v>
      </c>
      <c r="S113">
        <f>IFERROR(SUMIFS(S$4:S$90,$A$4:$A$90,$A113)*VLOOKUP(S$44,'Energy Heat Value Conversion'!$A:$E,5,FALSE),0)</f>
        <v>3068355860023.9028</v>
      </c>
      <c r="T113">
        <f>IFERROR(SUMIFS(T$4:T$90,$A$4:$A$90,$A113)*VLOOKUP(T$44,'Energy Heat Value Conversion'!$A:$E,5,FALSE),0)</f>
        <v>388412423854.14954</v>
      </c>
      <c r="U113">
        <f>IFERROR(SUMIFS(U$4:U$90,$A$4:$A$90,$A113)*VLOOKUP(U$44,'Energy Heat Value Conversion'!$A:$E,5,FALSE),0)</f>
        <v>0</v>
      </c>
      <c r="V113">
        <f>IFERROR(SUMIFS(V$4:V$90,$A$4:$A$90,$A113)*VLOOKUP(V$44,'Energy Heat Value Conversion'!$A:$E,5,FALSE),0)</f>
        <v>133408293030.17467</v>
      </c>
      <c r="W113">
        <f>IFERROR(SUMIFS(W$4:W$90,$A$4:$A$90,$A113)*VLOOKUP(W$44,'Energy Heat Value Conversion'!$A:$E,5,FALSE),0)</f>
        <v>83251516969.457108</v>
      </c>
      <c r="X113">
        <f>IFERROR(SUMIFS(X$4:X$90,$A$4:$A$90,$A113)*VLOOKUP(X$44,'Energy Heat Value Conversion'!$A:$E,5,FALSE),0)</f>
        <v>12211201899.880466</v>
      </c>
      <c r="Y113">
        <f>IFERROR(SUMIFS(Y$4:Y$90,$A$4:$A$90,$A113)*VLOOKUP(Y$44,'Energy Heat Value Conversion'!$A:$E,5,FALSE),0)</f>
        <v>0</v>
      </c>
      <c r="Z113">
        <f>IFERROR(SUMIFS(Z$4:Z$90,$A$4:$A$90,$A113)*VLOOKUP(Z$44,'Energy Heat Value Conversion'!$A:$E,5,FALSE),0)</f>
        <v>0</v>
      </c>
      <c r="AA113">
        <f>IFERROR(SUMIFS(AA$4:AA$90,$A$4:$A$90,$A113)*VLOOKUP(AA$44,'Energy Heat Value Conversion'!$A:$E,5,FALSE),0)</f>
        <v>623042751717.83569</v>
      </c>
      <c r="AB113">
        <f>IFERROR(SUMIFS(AB$4:AB$90,$A$4:$A$90,$A113)*VLOOKUP(AB$44,'Energy Heat Value Conversion'!$A:$E,5,FALSE),0)</f>
        <v>0</v>
      </c>
      <c r="AC113">
        <f>IFERROR(SUMIFS(AC$4:AC$90,$A$4:$A$90,$A113)*VLOOKUP(AC$44,'Energy Heat Value Conversion'!$A:$E,5,FALSE),0)</f>
        <v>128177100766.75089</v>
      </c>
      <c r="AD113">
        <f>IFERROR(SUMIFS(AD$4:AD$90,$A$4:$A$90,$A113)*VLOOKUP(AD$44,'Energy Heat Value Conversion'!$A:$E,5,FALSE),0)</f>
        <v>16830071602370.625</v>
      </c>
      <c r="AE113">
        <f>IFERROR(SUMIFS(AE$4:AE$90,$A$4:$A$90,$A113)*VLOOKUP(AE$44,'Energy Heat Value Conversion'!$A:$E,5,FALSE),0)</f>
        <v>62122157988129.266</v>
      </c>
      <c r="AF113">
        <f>IFERROR(SUMIFS(AF$4:AF$90,$A$4:$A$90,$A113)*VLOOKUP(AF$44,'Energy Heat Value Conversion'!$A:$E,5,FALSE),0)</f>
        <v>5615437324952.9873</v>
      </c>
      <c r="AG113">
        <f>IFERROR(SUMIFS(AG$4:AG$90,$A$4:$A$90,$A113)*VLOOKUP(AG$44,'Energy Heat Value Conversion'!$A:$E,5,FALSE),0)</f>
        <v>54512374866221.539</v>
      </c>
      <c r="AH113">
        <f>IFERROR(SUMIFS(AH$4:AH$90,$A$4:$A$90,$A113)*VLOOKUP(AH$44,'Energy Heat Value Conversion'!$A:$E,5,FALSE),0)</f>
        <v>66584531994.206749</v>
      </c>
    </row>
    <row r="114" spans="1:34" x14ac:dyDescent="0.2">
      <c r="A114" s="178" t="s">
        <v>394</v>
      </c>
      <c r="C114">
        <f>IFERROR(SUMIFS(C$4:C$90,$A$4:$A$90,$A114)*VLOOKUP(C$44,'Energy Heat Value Conversion'!$A:$E,5,FALSE),0)</f>
        <v>0</v>
      </c>
      <c r="D114">
        <f>IFERROR(SUMIFS(D$4:D$90,$A$4:$A$90,$A114)*VLOOKUP(D$44,'Energy Heat Value Conversion'!$A:$E,5,FALSE),0)</f>
        <v>2487028530290.6006</v>
      </c>
      <c r="E114">
        <f>IFERROR(SUMIFS(E$4:E$90,$A$4:$A$90,$A114)*VLOOKUP(E$44,'Energy Heat Value Conversion'!$A:$E,5,FALSE),0)</f>
        <v>0</v>
      </c>
      <c r="F114">
        <f>IFERROR(SUMIFS(F$4:F$90,$A$4:$A$90,$A114)*VLOOKUP(F$44,'Energy Heat Value Conversion'!$A:$E,5,FALSE),0)</f>
        <v>37254994605.261887</v>
      </c>
      <c r="G114">
        <f>IFERROR(SUMIFS(G$4:G$90,$A$4:$A$90,$A114)*VLOOKUP(G$44,'Energy Heat Value Conversion'!$A:$E,5,FALSE),0)</f>
        <v>189185908973.44437</v>
      </c>
      <c r="H114">
        <f>IFERROR(SUMIFS(H$4:H$90,$A$4:$A$90,$A114)*VLOOKUP(H$44,'Energy Heat Value Conversion'!$A:$E,5,FALSE),0)</f>
        <v>0</v>
      </c>
      <c r="I114">
        <f>IFERROR(SUMIFS(I$4:I$90,$A$4:$A$90,$A114)*VLOOKUP(I$44,'Energy Heat Value Conversion'!$A:$E,5,FALSE),0)</f>
        <v>111060422062016.91</v>
      </c>
      <c r="J114">
        <f>IFERROR(SUMIFS(J$4:J$90,$A$4:$A$90,$A114)*VLOOKUP(J$44,'Energy Heat Value Conversion'!$A:$E,5,FALSE),0)</f>
        <v>1924409499269.6357</v>
      </c>
      <c r="K114">
        <f>IFERROR(SUMIFS(K$4:K$90,$A$4:$A$90,$A114)*VLOOKUP(K$44,'Energy Heat Value Conversion'!$A:$E,5,FALSE),0)</f>
        <v>85599259982.303299</v>
      </c>
      <c r="L114">
        <f>IFERROR(SUMIFS(L$4:L$90,$A$4:$A$90,$A114)*VLOOKUP(L$44,'Energy Heat Value Conversion'!$A:$E,5,FALSE),0)</f>
        <v>278625060464.80859</v>
      </c>
      <c r="M114">
        <f>IFERROR(SUMIFS(M$4:M$90,$A$4:$A$90,$A114)*VLOOKUP(M$44,'Energy Heat Value Conversion'!$A:$E,5,FALSE),0)</f>
        <v>0</v>
      </c>
      <c r="N114">
        <f>IFERROR(SUMIFS(N$4:N$90,$A$4:$A$90,$A114)*VLOOKUP(N$44,'Energy Heat Value Conversion'!$A:$E,5,FALSE),0)</f>
        <v>0</v>
      </c>
      <c r="O114">
        <f>IFERROR(SUMIFS(O$4:O$90,$A$4:$A$90,$A114)*VLOOKUP(O$44,'Energy Heat Value Conversion'!$A:$E,5,FALSE),0)</f>
        <v>0</v>
      </c>
      <c r="P114">
        <f>IFERROR(SUMIFS(P$4:P$90,$A$4:$A$90,$A114)*VLOOKUP(P$44,'Energy Heat Value Conversion'!$A:$E,5,FALSE),0)</f>
        <v>0</v>
      </c>
      <c r="Q114">
        <f>IFERROR(SUMIFS(Q$4:Q$90,$A$4:$A$90,$A114)*VLOOKUP(Q$44,'Energy Heat Value Conversion'!$A:$E,5,FALSE),0)</f>
        <v>4441486201891.5879</v>
      </c>
      <c r="R114">
        <f>IFERROR(SUMIFS(R$4:R$90,$A$4:$A$90,$A114)*VLOOKUP(R$44,'Energy Heat Value Conversion'!$A:$E,5,FALSE),0)</f>
        <v>587843762015.06299</v>
      </c>
      <c r="S114">
        <f>IFERROR(SUMIFS(S$4:S$90,$A$4:$A$90,$A114)*VLOOKUP(S$44,'Energy Heat Value Conversion'!$A:$E,5,FALSE),0)</f>
        <v>5934580240467.8389</v>
      </c>
      <c r="T114">
        <f>IFERROR(SUMIFS(T$4:T$90,$A$4:$A$90,$A114)*VLOOKUP(T$44,'Energy Heat Value Conversion'!$A:$E,5,FALSE),0)</f>
        <v>178352643606.49722</v>
      </c>
      <c r="U114">
        <f>IFERROR(SUMIFS(U$4:U$90,$A$4:$A$90,$A114)*VLOOKUP(U$44,'Energy Heat Value Conversion'!$A:$E,5,FALSE),0)</f>
        <v>12484741921.482166</v>
      </c>
      <c r="V114">
        <f>IFERROR(SUMIFS(V$4:V$90,$A$4:$A$90,$A114)*VLOOKUP(V$44,'Energy Heat Value Conversion'!$A:$E,5,FALSE),0)</f>
        <v>1412558396790.0847</v>
      </c>
      <c r="W114">
        <f>IFERROR(SUMIFS(W$4:W$90,$A$4:$A$90,$A114)*VLOOKUP(W$44,'Energy Heat Value Conversion'!$A:$E,5,FALSE),0)</f>
        <v>52978238071.47271</v>
      </c>
      <c r="X114">
        <f>IFERROR(SUMIFS(X$4:X$90,$A$4:$A$90,$A114)*VLOOKUP(X$44,'Energy Heat Value Conversion'!$A:$E,5,FALSE),0)</f>
        <v>16281602533.173956</v>
      </c>
      <c r="Y114">
        <f>IFERROR(SUMIFS(Y$4:Y$90,$A$4:$A$90,$A114)*VLOOKUP(Y$44,'Energy Heat Value Conversion'!$A:$E,5,FALSE),0)</f>
        <v>0</v>
      </c>
      <c r="Z114">
        <f>IFERROR(SUMIFS(Z$4:Z$90,$A$4:$A$90,$A114)*VLOOKUP(Z$44,'Energy Heat Value Conversion'!$A:$E,5,FALSE),0)</f>
        <v>0</v>
      </c>
      <c r="AA114">
        <f>IFERROR(SUMIFS(AA$4:AA$90,$A$4:$A$90,$A114)*VLOOKUP(AA$44,'Energy Heat Value Conversion'!$A:$E,5,FALSE),0)</f>
        <v>1317426276533.1333</v>
      </c>
      <c r="AB114">
        <f>IFERROR(SUMIFS(AB$4:AB$90,$A$4:$A$90,$A114)*VLOOKUP(AB$44,'Energy Heat Value Conversion'!$A:$E,5,FALSE),0)</f>
        <v>0</v>
      </c>
      <c r="AC114">
        <f>IFERROR(SUMIFS(AC$4:AC$90,$A$4:$A$90,$A114)*VLOOKUP(AC$44,'Energy Heat Value Conversion'!$A:$E,5,FALSE),0)</f>
        <v>594275649009.48145</v>
      </c>
      <c r="AD114">
        <f>IFERROR(SUMIFS(AD$4:AD$90,$A$4:$A$90,$A114)*VLOOKUP(AD$44,'Energy Heat Value Conversion'!$A:$E,5,FALSE),0)</f>
        <v>35177885132810.742</v>
      </c>
      <c r="AE114">
        <f>IFERROR(SUMIFS(AE$4:AE$90,$A$4:$A$90,$A114)*VLOOKUP(AE$44,'Energy Heat Value Conversion'!$A:$E,5,FALSE),0)</f>
        <v>41359521962747.289</v>
      </c>
      <c r="AF114">
        <f>IFERROR(SUMIFS(AF$4:AF$90,$A$4:$A$90,$A114)*VLOOKUP(AF$44,'Energy Heat Value Conversion'!$A:$E,5,FALSE),0)</f>
        <v>3330818932476.4185</v>
      </c>
      <c r="AG114">
        <f>IFERROR(SUMIFS(AG$4:AG$90,$A$4:$A$90,$A114)*VLOOKUP(AG$44,'Energy Heat Value Conversion'!$A:$E,5,FALSE),0)</f>
        <v>367648025457609.69</v>
      </c>
      <c r="AH114">
        <f>IFERROR(SUMIFS(AH$4:AH$90,$A$4:$A$90,$A114)*VLOOKUP(AH$44,'Energy Heat Value Conversion'!$A:$E,5,FALSE),0)</f>
        <v>1403823882877.8589</v>
      </c>
    </row>
    <row r="115" spans="1:34" x14ac:dyDescent="0.2">
      <c r="A115" s="178" t="s">
        <v>395</v>
      </c>
      <c r="C115">
        <f>IFERROR(SUMIFS(C$4:C$90,$A$4:$A$90,$A115)*VLOOKUP(C$44,'Energy Heat Value Conversion'!$A:$E,5,FALSE),0)</f>
        <v>0</v>
      </c>
      <c r="D115">
        <f>IFERROR(SUMIFS(D$4:D$90,$A$4:$A$90,$A115)*VLOOKUP(D$44,'Energy Heat Value Conversion'!$A:$E,5,FALSE),0)</f>
        <v>36693083877976.695</v>
      </c>
      <c r="E115">
        <f>IFERROR(SUMIFS(E$4:E$90,$A$4:$A$90,$A115)*VLOOKUP(E$44,'Energy Heat Value Conversion'!$A:$E,5,FALSE),0)</f>
        <v>0</v>
      </c>
      <c r="F115">
        <f>IFERROR(SUMIFS(F$4:F$90,$A$4:$A$90,$A115)*VLOOKUP(F$44,'Energy Heat Value Conversion'!$A:$E,5,FALSE),0)</f>
        <v>0</v>
      </c>
      <c r="G115">
        <f>IFERROR(SUMIFS(G$4:G$90,$A$4:$A$90,$A115)*VLOOKUP(G$44,'Energy Heat Value Conversion'!$A:$E,5,FALSE),0)</f>
        <v>0</v>
      </c>
      <c r="H115">
        <f>IFERROR(SUMIFS(H$4:H$90,$A$4:$A$90,$A115)*VLOOKUP(H$44,'Energy Heat Value Conversion'!$A:$E,5,FALSE),0)</f>
        <v>0</v>
      </c>
      <c r="I115">
        <f>IFERROR(SUMIFS(I$4:I$90,$A$4:$A$90,$A115)*VLOOKUP(I$44,'Energy Heat Value Conversion'!$A:$E,5,FALSE),0)</f>
        <v>0</v>
      </c>
      <c r="J115">
        <f>IFERROR(SUMIFS(J$4:J$90,$A$4:$A$90,$A115)*VLOOKUP(J$44,'Energy Heat Value Conversion'!$A:$E,5,FALSE),0)</f>
        <v>2779702610056.1406</v>
      </c>
      <c r="K115">
        <f>IFERROR(SUMIFS(K$4:K$90,$A$4:$A$90,$A115)*VLOOKUP(K$44,'Energy Heat Value Conversion'!$A:$E,5,FALSE),0)</f>
        <v>552828554052.37549</v>
      </c>
      <c r="L115">
        <f>IFERROR(SUMIFS(L$4:L$90,$A$4:$A$90,$A115)*VLOOKUP(L$44,'Energy Heat Value Conversion'!$A:$E,5,FALSE),0)</f>
        <v>0</v>
      </c>
      <c r="M115">
        <f>IFERROR(SUMIFS(M$4:M$90,$A$4:$A$90,$A115)*VLOOKUP(M$44,'Energy Heat Value Conversion'!$A:$E,5,FALSE),0)</f>
        <v>138718722805.05344</v>
      </c>
      <c r="N115">
        <f>IFERROR(SUMIFS(N$4:N$90,$A$4:$A$90,$A115)*VLOOKUP(N$44,'Energy Heat Value Conversion'!$A:$E,5,FALSE),0)</f>
        <v>0</v>
      </c>
      <c r="O115">
        <f>IFERROR(SUMIFS(O$4:O$90,$A$4:$A$90,$A115)*VLOOKUP(O$44,'Energy Heat Value Conversion'!$A:$E,5,FALSE),0)</f>
        <v>0</v>
      </c>
      <c r="P115">
        <f>IFERROR(SUMIFS(P$4:P$90,$A$4:$A$90,$A115)*VLOOKUP(P$44,'Energy Heat Value Conversion'!$A:$E,5,FALSE),0)</f>
        <v>0</v>
      </c>
      <c r="Q115">
        <f>IFERROR(SUMIFS(Q$4:Q$90,$A$4:$A$90,$A115)*VLOOKUP(Q$44,'Energy Heat Value Conversion'!$A:$E,5,FALSE),0)</f>
        <v>930752623190.51648</v>
      </c>
      <c r="R115">
        <f>IFERROR(SUMIFS(R$4:R$90,$A$4:$A$90,$A115)*VLOOKUP(R$44,'Energy Heat Value Conversion'!$A:$E,5,FALSE),0)</f>
        <v>0</v>
      </c>
      <c r="S115">
        <f>IFERROR(SUMIFS(S$4:S$90,$A$4:$A$90,$A115)*VLOOKUP(S$44,'Energy Heat Value Conversion'!$A:$E,5,FALSE),0)</f>
        <v>299154589778.35156</v>
      </c>
      <c r="T115">
        <f>IFERROR(SUMIFS(T$4:T$90,$A$4:$A$90,$A115)*VLOOKUP(T$44,'Energy Heat Value Conversion'!$A:$E,5,FALSE),0)</f>
        <v>0</v>
      </c>
      <c r="U115">
        <f>IFERROR(SUMIFS(U$4:U$90,$A$4:$A$90,$A115)*VLOOKUP(U$44,'Energy Heat Value Conversion'!$A:$E,5,FALSE),0)</f>
        <v>0</v>
      </c>
      <c r="V115">
        <f>IFERROR(SUMIFS(V$4:V$90,$A$4:$A$90,$A115)*VLOOKUP(V$44,'Energy Heat Value Conversion'!$A:$E,5,FALSE),0)</f>
        <v>11771319973.250706</v>
      </c>
      <c r="W115">
        <f>IFERROR(SUMIFS(W$4:W$90,$A$4:$A$90,$A115)*VLOOKUP(W$44,'Energy Heat Value Conversion'!$A:$E,5,FALSE),0)</f>
        <v>0</v>
      </c>
      <c r="X115">
        <f>IFERROR(SUMIFS(X$4:X$90,$A$4:$A$90,$A115)*VLOOKUP(X$44,'Energy Heat Value Conversion'!$A:$E,5,FALSE),0)</f>
        <v>0</v>
      </c>
      <c r="Y115">
        <f>IFERROR(SUMIFS(Y$4:Y$90,$A$4:$A$90,$A115)*VLOOKUP(Y$44,'Energy Heat Value Conversion'!$A:$E,5,FALSE),0)</f>
        <v>0</v>
      </c>
      <c r="Z115">
        <f>IFERROR(SUMIFS(Z$4:Z$90,$A$4:$A$90,$A115)*VLOOKUP(Z$44,'Energy Heat Value Conversion'!$A:$E,5,FALSE),0)</f>
        <v>0</v>
      </c>
      <c r="AA115">
        <f>IFERROR(SUMIFS(AA$4:AA$90,$A$4:$A$90,$A115)*VLOOKUP(AA$44,'Energy Heat Value Conversion'!$A:$E,5,FALSE),0)</f>
        <v>14268154619.492418</v>
      </c>
      <c r="AB115">
        <f>IFERROR(SUMIFS(AB$4:AB$90,$A$4:$A$90,$A115)*VLOOKUP(AB$44,'Energy Heat Value Conversion'!$A:$E,5,FALSE),0)</f>
        <v>0</v>
      </c>
      <c r="AC115">
        <f>IFERROR(SUMIFS(AC$4:AC$90,$A$4:$A$90,$A115)*VLOOKUP(AC$44,'Energy Heat Value Conversion'!$A:$E,5,FALSE),0)</f>
        <v>3884154568.6894207</v>
      </c>
      <c r="AD115">
        <f>IFERROR(SUMIFS(AD$4:AD$90,$A$4:$A$90,$A115)*VLOOKUP(AD$44,'Energy Heat Value Conversion'!$A:$E,5,FALSE),0)</f>
        <v>12749032195783.758</v>
      </c>
      <c r="AE115">
        <f>IFERROR(SUMIFS(AE$4:AE$90,$A$4:$A$90,$A115)*VLOOKUP(AE$44,'Energy Heat Value Conversion'!$A:$E,5,FALSE),0)</f>
        <v>32677142352227.141</v>
      </c>
      <c r="AF115">
        <f>IFERROR(SUMIFS(AF$4:AF$90,$A$4:$A$90,$A115)*VLOOKUP(AF$44,'Energy Heat Value Conversion'!$A:$E,5,FALSE),0)</f>
        <v>38577389054806.914</v>
      </c>
      <c r="AG115">
        <f>IFERROR(SUMIFS(AG$4:AG$90,$A$4:$A$90,$A115)*VLOOKUP(AG$44,'Energy Heat Value Conversion'!$A:$E,5,FALSE),0)</f>
        <v>57846037250065.961</v>
      </c>
      <c r="AH115">
        <f>IFERROR(SUMIFS(AH$4:AH$90,$A$4:$A$90,$A115)*VLOOKUP(AH$44,'Energy Heat Value Conversion'!$A:$E,5,FALSE),0)</f>
        <v>0</v>
      </c>
    </row>
    <row r="116" spans="1:34" x14ac:dyDescent="0.2">
      <c r="A116" s="178" t="s">
        <v>396</v>
      </c>
      <c r="C116">
        <f>IFERROR(SUMIFS(C$4:C$90,$A$4:$A$90,$A116)*VLOOKUP(C$44,'Energy Heat Value Conversion'!$A:$E,5,FALSE),0)</f>
        <v>0</v>
      </c>
      <c r="D116">
        <f>IFERROR(SUMIFS(D$4:D$90,$A$4:$A$90,$A116)*VLOOKUP(D$44,'Energy Heat Value Conversion'!$A:$E,5,FALSE),0)</f>
        <v>16079481669145.762</v>
      </c>
      <c r="E116">
        <f>IFERROR(SUMIFS(E$4:E$90,$A$4:$A$90,$A116)*VLOOKUP(E$44,'Energy Heat Value Conversion'!$A:$E,5,FALSE),0)</f>
        <v>0</v>
      </c>
      <c r="F116">
        <f>IFERROR(SUMIFS(F$4:F$90,$A$4:$A$90,$A116)*VLOOKUP(F$44,'Energy Heat Value Conversion'!$A:$E,5,FALSE),0)</f>
        <v>18563291886396.344</v>
      </c>
      <c r="G116">
        <f>IFERROR(SUMIFS(G$4:G$90,$A$4:$A$90,$A116)*VLOOKUP(G$44,'Energy Heat Value Conversion'!$A:$E,5,FALSE),0)</f>
        <v>698081338537.6748</v>
      </c>
      <c r="H116">
        <f>IFERROR(SUMIFS(H$4:H$90,$A$4:$A$90,$A116)*VLOOKUP(H$44,'Energy Heat Value Conversion'!$A:$E,5,FALSE),0)</f>
        <v>0</v>
      </c>
      <c r="I116">
        <f>IFERROR(SUMIFS(I$4:I$90,$A$4:$A$90,$A116)*VLOOKUP(I$44,'Energy Heat Value Conversion'!$A:$E,5,FALSE),0)</f>
        <v>18555887349470.645</v>
      </c>
      <c r="J116">
        <f>IFERROR(SUMIFS(J$4:J$90,$A$4:$A$90,$A116)*VLOOKUP(J$44,'Energy Heat Value Conversion'!$A:$E,5,FALSE),0)</f>
        <v>1875065665955.0298</v>
      </c>
      <c r="K116">
        <f>IFERROR(SUMIFS(K$4:K$90,$A$4:$A$90,$A116)*VLOOKUP(K$44,'Energy Heat Value Conversion'!$A:$E,5,FALSE),0)</f>
        <v>3909032872525.1846</v>
      </c>
      <c r="L116">
        <f>IFERROR(SUMIFS(L$4:L$90,$A$4:$A$90,$A116)*VLOOKUP(L$44,'Energy Heat Value Conversion'!$A:$E,5,FALSE),0)</f>
        <v>1280169196730.2017</v>
      </c>
      <c r="M116">
        <f>IFERROR(SUMIFS(M$4:M$90,$A$4:$A$90,$A116)*VLOOKUP(M$44,'Energy Heat Value Conversion'!$A:$E,5,FALSE),0)</f>
        <v>0</v>
      </c>
      <c r="N116">
        <f>IFERROR(SUMIFS(N$4:N$90,$A$4:$A$90,$A116)*VLOOKUP(N$44,'Energy Heat Value Conversion'!$A:$E,5,FALSE),0)</f>
        <v>190243957227.47757</v>
      </c>
      <c r="O116">
        <f>IFERROR(SUMIFS(O$4:O$90,$A$4:$A$90,$A116)*VLOOKUP(O$44,'Energy Heat Value Conversion'!$A:$E,5,FALSE),0)</f>
        <v>0</v>
      </c>
      <c r="P116">
        <f>IFERROR(SUMIFS(P$4:P$90,$A$4:$A$90,$A116)*VLOOKUP(P$44,'Energy Heat Value Conversion'!$A:$E,5,FALSE),0)</f>
        <v>11890176240.433147</v>
      </c>
      <c r="Q116">
        <f>IFERROR(SUMIFS(Q$4:Q$90,$A$4:$A$90,$A116)*VLOOKUP(Q$44,'Energy Heat Value Conversion'!$A:$E,5,FALSE),0)</f>
        <v>828696414507.34595</v>
      </c>
      <c r="R116">
        <f>IFERROR(SUMIFS(R$4:R$90,$A$4:$A$90,$A116)*VLOOKUP(R$44,'Energy Heat Value Conversion'!$A:$E,5,FALSE),0)</f>
        <v>4082248347.326827</v>
      </c>
      <c r="S116">
        <f>IFERROR(SUMIFS(S$4:S$90,$A$4:$A$90,$A116)*VLOOKUP(S$44,'Energy Heat Value Conversion'!$A:$E,5,FALSE),0)</f>
        <v>2033442684574.4702</v>
      </c>
      <c r="T116">
        <f>IFERROR(SUMIFS(T$4:T$90,$A$4:$A$90,$A116)*VLOOKUP(T$44,'Energy Heat Value Conversion'!$A:$E,5,FALSE),0)</f>
        <v>281400837690.25116</v>
      </c>
      <c r="U116">
        <f>IFERROR(SUMIFS(U$4:U$90,$A$4:$A$90,$A116)*VLOOKUP(U$44,'Energy Heat Value Conversion'!$A:$E,5,FALSE),0)</f>
        <v>0</v>
      </c>
      <c r="V116">
        <f>IFERROR(SUMIFS(V$4:V$90,$A$4:$A$90,$A116)*VLOOKUP(V$44,'Energy Heat Value Conversion'!$A:$E,5,FALSE),0)</f>
        <v>7847546648.8338041</v>
      </c>
      <c r="W116">
        <f>IFERROR(SUMIFS(W$4:W$90,$A$4:$A$90,$A116)*VLOOKUP(W$44,'Energy Heat Value Conversion'!$A:$E,5,FALSE),0)</f>
        <v>7568319724.4961014</v>
      </c>
      <c r="X116">
        <f>IFERROR(SUMIFS(X$4:X$90,$A$4:$A$90,$A116)*VLOOKUP(X$44,'Energy Heat Value Conversion'!$A:$E,5,FALSE),0)</f>
        <v>0</v>
      </c>
      <c r="Y116">
        <f>IFERROR(SUMIFS(Y$4:Y$90,$A$4:$A$90,$A116)*VLOOKUP(Y$44,'Energy Heat Value Conversion'!$A:$E,5,FALSE),0)</f>
        <v>0</v>
      </c>
      <c r="Z116">
        <f>IFERROR(SUMIFS(Z$4:Z$90,$A$4:$A$90,$A116)*VLOOKUP(Z$44,'Energy Heat Value Conversion'!$A:$E,5,FALSE),0)</f>
        <v>826641641767.11584</v>
      </c>
      <c r="AA116">
        <f>IFERROR(SUMIFS(AA$4:AA$90,$A$4:$A$90,$A116)*VLOOKUP(AA$44,'Energy Heat Value Conversion'!$A:$E,5,FALSE),0)</f>
        <v>214022319292.38629</v>
      </c>
      <c r="AB116">
        <f>IFERROR(SUMIFS(AB$4:AB$90,$A$4:$A$90,$A116)*VLOOKUP(AB$44,'Energy Heat Value Conversion'!$A:$E,5,FALSE),0)</f>
        <v>0</v>
      </c>
      <c r="AC116">
        <f>IFERROR(SUMIFS(AC$4:AC$90,$A$4:$A$90,$A116)*VLOOKUP(AC$44,'Energy Heat Value Conversion'!$A:$E,5,FALSE),0)</f>
        <v>11652463706.068262</v>
      </c>
      <c r="AD116">
        <f>IFERROR(SUMIFS(AD$4:AD$90,$A$4:$A$90,$A116)*VLOOKUP(AD$44,'Energy Heat Value Conversion'!$A:$E,5,FALSE),0)</f>
        <v>11399928259721.984</v>
      </c>
      <c r="AE116">
        <f>IFERROR(SUMIFS(AE$4:AE$90,$A$4:$A$90,$A116)*VLOOKUP(AE$44,'Energy Heat Value Conversion'!$A:$E,5,FALSE),0)</f>
        <v>46429524655021.828</v>
      </c>
      <c r="AF116">
        <f>IFERROR(SUMIFS(AF$4:AF$90,$A$4:$A$90,$A116)*VLOOKUP(AF$44,'Energy Heat Value Conversion'!$A:$E,5,FALSE),0)</f>
        <v>2281964504533.1011</v>
      </c>
      <c r="AG116">
        <f>IFERROR(SUMIFS(AG$4:AG$90,$A$4:$A$90,$A116)*VLOOKUP(AG$44,'Energy Heat Value Conversion'!$A:$E,5,FALSE),0)</f>
        <v>242995667006632.88</v>
      </c>
      <c r="AH116">
        <f>IFERROR(SUMIFS(AH$4:AH$90,$A$4:$A$90,$A116)*VLOOKUP(AH$44,'Energy Heat Value Conversion'!$A:$E,5,FALSE),0)</f>
        <v>1664613299855.1687</v>
      </c>
    </row>
    <row r="117" spans="1:34" x14ac:dyDescent="0.2">
      <c r="A117" s="178" t="s">
        <v>397</v>
      </c>
      <c r="C117">
        <f>IFERROR(SUMIFS(C$4:C$90,$A$4:$A$90,$A117)*VLOOKUP(C$44,'Energy Heat Value Conversion'!$A:$E,5,FALSE),0)</f>
        <v>0</v>
      </c>
      <c r="D117">
        <f>IFERROR(SUMIFS(D$4:D$90,$A$4:$A$90,$A117)*VLOOKUP(D$44,'Energy Heat Value Conversion'!$A:$E,5,FALSE),0)</f>
        <v>118311216984389.97</v>
      </c>
      <c r="E117">
        <f>IFERROR(SUMIFS(E$4:E$90,$A$4:$A$90,$A117)*VLOOKUP(E$44,'Energy Heat Value Conversion'!$A:$E,5,FALSE),0)</f>
        <v>0</v>
      </c>
      <c r="F117">
        <f>IFERROR(SUMIFS(F$4:F$90,$A$4:$A$90,$A117)*VLOOKUP(F$44,'Energy Heat Value Conversion'!$A:$E,5,FALSE),0)</f>
        <v>3315694519868.3081</v>
      </c>
      <c r="G117">
        <f>IFERROR(SUMIFS(G$4:G$90,$A$4:$A$90,$A117)*VLOOKUP(G$44,'Energy Heat Value Conversion'!$A:$E,5,FALSE),0)</f>
        <v>0</v>
      </c>
      <c r="H117">
        <f>IFERROR(SUMIFS(H$4:H$90,$A$4:$A$90,$A117)*VLOOKUP(H$44,'Energy Heat Value Conversion'!$A:$E,5,FALSE),0)</f>
        <v>0</v>
      </c>
      <c r="I117">
        <f>IFERROR(SUMIFS(I$4:I$90,$A$4:$A$90,$A117)*VLOOKUP(I$44,'Energy Heat Value Conversion'!$A:$E,5,FALSE),0)</f>
        <v>962157121824.40381</v>
      </c>
      <c r="J117">
        <f>IFERROR(SUMIFS(J$4:J$90,$A$4:$A$90,$A117)*VLOOKUP(J$44,'Energy Heat Value Conversion'!$A:$E,5,FALSE),0)</f>
        <v>0</v>
      </c>
      <c r="K117">
        <f>IFERROR(SUMIFS(K$4:K$90,$A$4:$A$90,$A117)*VLOOKUP(K$44,'Energy Heat Value Conversion'!$A:$E,5,FALSE),0)</f>
        <v>0</v>
      </c>
      <c r="L117">
        <f>IFERROR(SUMIFS(L$4:L$90,$A$4:$A$90,$A117)*VLOOKUP(L$44,'Energy Heat Value Conversion'!$A:$E,5,FALSE),0)</f>
        <v>0</v>
      </c>
      <c r="M117">
        <f>IFERROR(SUMIFS(M$4:M$90,$A$4:$A$90,$A117)*VLOOKUP(M$44,'Energy Heat Value Conversion'!$A:$E,5,FALSE),0)</f>
        <v>0</v>
      </c>
      <c r="N117">
        <f>IFERROR(SUMIFS(N$4:N$90,$A$4:$A$90,$A117)*VLOOKUP(N$44,'Energy Heat Value Conversion'!$A:$E,5,FALSE),0)</f>
        <v>0</v>
      </c>
      <c r="O117">
        <f>IFERROR(SUMIFS(O$4:O$90,$A$4:$A$90,$A117)*VLOOKUP(O$44,'Energy Heat Value Conversion'!$A:$E,5,FALSE),0)</f>
        <v>0</v>
      </c>
      <c r="P117">
        <f>IFERROR(SUMIFS(P$4:P$90,$A$4:$A$90,$A117)*VLOOKUP(P$44,'Energy Heat Value Conversion'!$A:$E,5,FALSE),0)</f>
        <v>0</v>
      </c>
      <c r="Q117">
        <f>IFERROR(SUMIFS(Q$4:Q$90,$A$4:$A$90,$A117)*VLOOKUP(Q$44,'Energy Heat Value Conversion'!$A:$E,5,FALSE),0)</f>
        <v>207537423729748.53</v>
      </c>
      <c r="R117">
        <f>IFERROR(SUMIFS(R$4:R$90,$A$4:$A$90,$A117)*VLOOKUP(R$44,'Energy Heat Value Conversion'!$A:$E,5,FALSE),0)</f>
        <v>4412910463460.2998</v>
      </c>
      <c r="S117">
        <f>IFERROR(SUMIFS(S$4:S$90,$A$4:$A$90,$A117)*VLOOKUP(S$44,'Energy Heat Value Conversion'!$A:$E,5,FALSE),0)</f>
        <v>203716190379874.22</v>
      </c>
      <c r="T117">
        <f>IFERROR(SUMIFS(T$4:T$90,$A$4:$A$90,$A117)*VLOOKUP(T$44,'Energy Heat Value Conversion'!$A:$E,5,FALSE),0)</f>
        <v>16150822726588.361</v>
      </c>
      <c r="U117">
        <f>IFERROR(SUMIFS(U$4:U$90,$A$4:$A$90,$A117)*VLOOKUP(U$44,'Energy Heat Value Conversion'!$A:$E,5,FALSE),0)</f>
        <v>0</v>
      </c>
      <c r="V117">
        <f>IFERROR(SUMIFS(V$4:V$90,$A$4:$A$90,$A117)*VLOOKUP(V$44,'Energy Heat Value Conversion'!$A:$E,5,FALSE),0)</f>
        <v>0</v>
      </c>
      <c r="W117">
        <f>IFERROR(SUMIFS(W$4:W$90,$A$4:$A$90,$A117)*VLOOKUP(W$44,'Energy Heat Value Conversion'!$A:$E,5,FALSE),0)</f>
        <v>0</v>
      </c>
      <c r="X117">
        <f>IFERROR(SUMIFS(X$4:X$90,$A$4:$A$90,$A117)*VLOOKUP(X$44,'Energy Heat Value Conversion'!$A:$E,5,FALSE),0)</f>
        <v>0</v>
      </c>
      <c r="Y117">
        <f>IFERROR(SUMIFS(Y$4:Y$90,$A$4:$A$90,$A117)*VLOOKUP(Y$44,'Energy Heat Value Conversion'!$A:$E,5,FALSE),0)</f>
        <v>1113928532029844.9</v>
      </c>
      <c r="Z117">
        <f>IFERROR(SUMIFS(Z$4:Z$90,$A$4:$A$90,$A117)*VLOOKUP(Z$44,'Energy Heat Value Conversion'!$A:$E,5,FALSE),0)</f>
        <v>0</v>
      </c>
      <c r="AA117">
        <f>IFERROR(SUMIFS(AA$4:AA$90,$A$4:$A$90,$A117)*VLOOKUP(AA$44,'Energy Heat Value Conversion'!$A:$E,5,FALSE),0)</f>
        <v>5393362446168.1338</v>
      </c>
      <c r="AB117">
        <f>IFERROR(SUMIFS(AB$4:AB$90,$A$4:$A$90,$A117)*VLOOKUP(AB$44,'Energy Heat Value Conversion'!$A:$E,5,FALSE),0)</f>
        <v>0</v>
      </c>
      <c r="AC117">
        <f>IFERROR(SUMIFS(AC$4:AC$90,$A$4:$A$90,$A117)*VLOOKUP(AC$44,'Energy Heat Value Conversion'!$A:$E,5,FALSE),0)</f>
        <v>33504717309514.945</v>
      </c>
      <c r="AD117">
        <f>IFERROR(SUMIFS(AD$4:AD$90,$A$4:$A$90,$A117)*VLOOKUP(AD$44,'Energy Heat Value Conversion'!$A:$E,5,FALSE),0)</f>
        <v>8904085978007.7051</v>
      </c>
      <c r="AE117">
        <f>IFERROR(SUMIFS(AE$4:AE$90,$A$4:$A$90,$A117)*VLOOKUP(AE$44,'Energy Heat Value Conversion'!$A:$E,5,FALSE),0)</f>
        <v>0</v>
      </c>
      <c r="AF117">
        <f>IFERROR(SUMIFS(AF$4:AF$90,$A$4:$A$90,$A117)*VLOOKUP(AF$44,'Energy Heat Value Conversion'!$A:$E,5,FALSE),0)</f>
        <v>18322347579988.301</v>
      </c>
      <c r="AG117">
        <f>IFERROR(SUMIFS(AG$4:AG$90,$A$4:$A$90,$A117)*VLOOKUP(AG$44,'Energy Heat Value Conversion'!$A:$E,5,FALSE),0)</f>
        <v>345001641382302.19</v>
      </c>
      <c r="AH117">
        <f>IFERROR(SUMIFS(AH$4:AH$90,$A$4:$A$90,$A117)*VLOOKUP(AH$44,'Energy Heat Value Conversion'!$A:$E,5,FALSE),0)</f>
        <v>7920784951810.8447</v>
      </c>
    </row>
    <row r="120" spans="1:34" x14ac:dyDescent="0.2">
      <c r="A120" s="178" t="s">
        <v>374</v>
      </c>
      <c r="B120" s="188" t="s">
        <v>89</v>
      </c>
      <c r="C120">
        <f>IFERROR(IF(C18&lt;0,-C18,0)*VLOOKUP(C$44,'Energy Heat Value Conversion'!$A:$E,5,FALSE),0)</f>
        <v>0</v>
      </c>
      <c r="D120">
        <f>IFERROR(IF(D18&lt;0,-D18,0)*VLOOKUP(D$44,'Energy Heat Value Conversion'!$A:$E,5,FALSE),0)</f>
        <v>1.7867702743129666E+16</v>
      </c>
      <c r="E120">
        <f>IFERROR(IF(E18&lt;0,-E18,0)*VLOOKUP(E$44,'Energy Heat Value Conversion'!$A:$E,5,FALSE),0)</f>
        <v>0</v>
      </c>
      <c r="F120">
        <f>IFERROR(IF(F18&lt;0,-F18,0)*VLOOKUP(F$44,'Energy Heat Value Conversion'!$A:$E,5,FALSE),0)</f>
        <v>0</v>
      </c>
      <c r="G120">
        <f>IFERROR(IF(G18&lt;0,-G18,0)*VLOOKUP(G$44,'Energy Heat Value Conversion'!$A:$E,5,FALSE),0)</f>
        <v>0</v>
      </c>
      <c r="H120">
        <f>IFERROR(IF(H18&lt;0,-H18,0)*VLOOKUP(H$44,'Energy Heat Value Conversion'!$A:$E,5,FALSE),0)</f>
        <v>0</v>
      </c>
      <c r="I120">
        <f>IFERROR(IF(I18&lt;0,-I18,0)*VLOOKUP(I$44,'Energy Heat Value Conversion'!$A:$E,5,FALSE),0)</f>
        <v>0</v>
      </c>
      <c r="J120">
        <f>IFERROR(IF(J18&lt;0,-J18,0)*VLOOKUP(J$44,'Energy Heat Value Conversion'!$A:$E,5,FALSE),0)</f>
        <v>0</v>
      </c>
      <c r="K120">
        <f>IFERROR(IF(K18&lt;0,-K18,0)*VLOOKUP(K$44,'Energy Heat Value Conversion'!$A:$E,5,FALSE),0)</f>
        <v>0</v>
      </c>
      <c r="L120">
        <f>IFERROR(IF(L18&lt;0,-L18,0)*VLOOKUP(L$44,'Energy Heat Value Conversion'!$A:$E,5,FALSE),0)</f>
        <v>0</v>
      </c>
      <c r="M120">
        <f>IFERROR(IF(M18&lt;0,-M18,0)*VLOOKUP(M$44,'Energy Heat Value Conversion'!$A:$E,5,FALSE),0)</f>
        <v>0</v>
      </c>
      <c r="N120">
        <f>IFERROR(IF(N18&lt;0,-N18,0)*VLOOKUP(N$44,'Energy Heat Value Conversion'!$A:$E,5,FALSE),0)</f>
        <v>0</v>
      </c>
      <c r="O120">
        <f>IFERROR(IF(O18&lt;0,-O18,0)*VLOOKUP(O$44,'Energy Heat Value Conversion'!$A:$E,5,FALSE),0)</f>
        <v>0</v>
      </c>
      <c r="P120">
        <f>IFERROR(IF(P18&lt;0,-P18,0)*VLOOKUP(P$44,'Energy Heat Value Conversion'!$A:$E,5,FALSE),0)</f>
        <v>0</v>
      </c>
      <c r="Q120">
        <f>IFERROR(IF(Q18&lt;0,-Q18,0)*VLOOKUP(Q$44,'Energy Heat Value Conversion'!$A:$E,5,FALSE),0)</f>
        <v>0</v>
      </c>
      <c r="R120">
        <f>IFERROR(IF(R18&lt;0,-R18,0)*VLOOKUP(R$44,'Energy Heat Value Conversion'!$A:$E,5,FALSE),0)</f>
        <v>0</v>
      </c>
      <c r="S120">
        <f>IFERROR(IF(S18&lt;0,-S18,0)*VLOOKUP(S$44,'Energy Heat Value Conversion'!$A:$E,5,FALSE),0)</f>
        <v>0</v>
      </c>
      <c r="T120">
        <f>IFERROR(IF(T18&lt;0,-T18,0)*VLOOKUP(T$44,'Energy Heat Value Conversion'!$A:$E,5,FALSE),0)</f>
        <v>0</v>
      </c>
      <c r="U120">
        <f>IFERROR(IF(U18&lt;0,-U18,0)*VLOOKUP(U$44,'Energy Heat Value Conversion'!$A:$E,5,FALSE),0)</f>
        <v>0</v>
      </c>
      <c r="V120">
        <f>IFERROR(IF(V18&lt;0,-V18,0)*VLOOKUP(V$44,'Energy Heat Value Conversion'!$A:$E,5,FALSE),0)</f>
        <v>0</v>
      </c>
      <c r="W120">
        <f>IFERROR(IF(W18&lt;0,-W18,0)*VLOOKUP(W$44,'Energy Heat Value Conversion'!$A:$E,5,FALSE),0)</f>
        <v>0</v>
      </c>
      <c r="X120">
        <f>IFERROR(IF(X18&lt;0,-X18,0)*VLOOKUP(X$44,'Energy Heat Value Conversion'!$A:$E,5,FALSE),0)</f>
        <v>0</v>
      </c>
      <c r="Y120">
        <f>IFERROR(IF(Y18&lt;0,-Y18,0)*VLOOKUP(Y$44,'Energy Heat Value Conversion'!$A:$E,5,FALSE),0)</f>
        <v>0</v>
      </c>
      <c r="Z120">
        <f>IFERROR(IF(Z18&lt;0,-Z18,0)*VLOOKUP(Z$44,'Energy Heat Value Conversion'!$A:$E,5,FALSE),0)</f>
        <v>0</v>
      </c>
      <c r="AA120">
        <f>IFERROR(IF(AA18&lt;0,-AA18,0)*VLOOKUP(AA$44,'Energy Heat Value Conversion'!$A:$E,5,FALSE),0)</f>
        <v>0</v>
      </c>
      <c r="AB120">
        <f>IFERROR(IF(AB18&lt;0,-AB18,0)*VLOOKUP(AB$44,'Energy Heat Value Conversion'!$A:$E,5,FALSE),0)</f>
        <v>0</v>
      </c>
      <c r="AC120">
        <f>IFERROR(IF(AC18&lt;0,-AC18,0)*VLOOKUP(AC$44,'Energy Heat Value Conversion'!$A:$E,5,FALSE),0)</f>
        <v>0</v>
      </c>
      <c r="AD120">
        <f>IFERROR(IF(AD18&lt;0,-AD18,0)*VLOOKUP(AD$44,'Energy Heat Value Conversion'!$A:$E,5,FALSE),0)</f>
        <v>0</v>
      </c>
      <c r="AE120">
        <f>IFERROR(IF(AE18&lt;0,-AE18,0)*VLOOKUP(AE$44,'Energy Heat Value Conversion'!$A:$E,5,FALSE),0)</f>
        <v>0</v>
      </c>
      <c r="AF120">
        <f>IFERROR(IF(AF18&lt;0,-AF18,0)*VLOOKUP(AF$44,'Energy Heat Value Conversion'!$A:$E,5,FALSE),0)</f>
        <v>0</v>
      </c>
      <c r="AG120">
        <f>IFERROR(IF(AG18&lt;0,-AG18,0)*VLOOKUP(AG$44,'Energy Heat Value Conversion'!$A:$E,5,FALSE),0)</f>
        <v>0</v>
      </c>
      <c r="AH120">
        <f>IFERROR(IF(AH18&lt;0,-AH18,0)*VLOOKUP(AH$44,'Energy Heat Value Conversion'!$A:$E,5,FALSE),0)</f>
        <v>0</v>
      </c>
    </row>
    <row r="121" spans="1:34" x14ac:dyDescent="0.2">
      <c r="A121" s="178" t="s">
        <v>381</v>
      </c>
      <c r="B121" s="188" t="s">
        <v>90</v>
      </c>
      <c r="C121">
        <f>IFERROR(IF(C19&lt;0,-C19,0)*VLOOKUP(C$44,'Energy Heat Value Conversion'!$A:$E,5,FALSE),0)</f>
        <v>0</v>
      </c>
      <c r="D121">
        <f>IFERROR(IF(D19&lt;0,-D19,0)*VLOOKUP(D$44,'Energy Heat Value Conversion'!$A:$E,5,FALSE),0)</f>
        <v>2171940841615162</v>
      </c>
      <c r="E121">
        <f>IFERROR(IF(E19&lt;0,-E19,0)*VLOOKUP(E$44,'Energy Heat Value Conversion'!$A:$E,5,FALSE),0)</f>
        <v>1.3735017010900418E+16</v>
      </c>
      <c r="F121">
        <f>IFERROR(IF(F19&lt;0,-F19,0)*VLOOKUP(F$44,'Energy Heat Value Conversion'!$A:$E,5,FALSE),0)</f>
        <v>0</v>
      </c>
      <c r="G121">
        <f>IFERROR(IF(G19&lt;0,-G19,0)*VLOOKUP(G$44,'Energy Heat Value Conversion'!$A:$E,5,FALSE),0)</f>
        <v>0</v>
      </c>
      <c r="H121">
        <f>IFERROR(IF(H19&lt;0,-H19,0)*VLOOKUP(H$44,'Energy Heat Value Conversion'!$A:$E,5,FALSE),0)</f>
        <v>0</v>
      </c>
      <c r="I121">
        <f>IFERROR(IF(I19&lt;0,-I19,0)*VLOOKUP(I$44,'Energy Heat Value Conversion'!$A:$E,5,FALSE),0)</f>
        <v>0</v>
      </c>
      <c r="J121">
        <f>IFERROR(IF(J19&lt;0,-J19,0)*VLOOKUP(J$44,'Energy Heat Value Conversion'!$A:$E,5,FALSE),0)</f>
        <v>0</v>
      </c>
      <c r="K121">
        <f>IFERROR(IF(K19&lt;0,-K19,0)*VLOOKUP(K$44,'Energy Heat Value Conversion'!$A:$E,5,FALSE),0)</f>
        <v>0</v>
      </c>
      <c r="L121">
        <f>IFERROR(IF(L19&lt;0,-L19,0)*VLOOKUP(L$44,'Energy Heat Value Conversion'!$A:$E,5,FALSE),0)</f>
        <v>0</v>
      </c>
      <c r="M121">
        <f>IFERROR(IF(M19&lt;0,-M19,0)*VLOOKUP(M$44,'Energy Heat Value Conversion'!$A:$E,5,FALSE),0)</f>
        <v>0</v>
      </c>
      <c r="N121">
        <f>IFERROR(IF(N19&lt;0,-N19,0)*VLOOKUP(N$44,'Energy Heat Value Conversion'!$A:$E,5,FALSE),0)</f>
        <v>0</v>
      </c>
      <c r="O121">
        <f>IFERROR(IF(O19&lt;0,-O19,0)*VLOOKUP(O$44,'Energy Heat Value Conversion'!$A:$E,5,FALSE),0)</f>
        <v>0</v>
      </c>
      <c r="P121">
        <f>IFERROR(IF(P19&lt;0,-P19,0)*VLOOKUP(P$44,'Energy Heat Value Conversion'!$A:$E,5,FALSE),0)</f>
        <v>0</v>
      </c>
      <c r="Q121">
        <f>IFERROR(IF(Q19&lt;0,-Q19,0)*VLOOKUP(Q$44,'Energy Heat Value Conversion'!$A:$E,5,FALSE),0)</f>
        <v>0</v>
      </c>
      <c r="R121">
        <f>IFERROR(IF(R19&lt;0,-R19,0)*VLOOKUP(R$44,'Energy Heat Value Conversion'!$A:$E,5,FALSE),0)</f>
        <v>0</v>
      </c>
      <c r="S121">
        <f>IFERROR(IF(S19&lt;0,-S19,0)*VLOOKUP(S$44,'Energy Heat Value Conversion'!$A:$E,5,FALSE),0)</f>
        <v>0</v>
      </c>
      <c r="T121">
        <f>IFERROR(IF(T19&lt;0,-T19,0)*VLOOKUP(T$44,'Energy Heat Value Conversion'!$A:$E,5,FALSE),0)</f>
        <v>0</v>
      </c>
      <c r="U121">
        <f>IFERROR(IF(U19&lt;0,-U19,0)*VLOOKUP(U$44,'Energy Heat Value Conversion'!$A:$E,5,FALSE),0)</f>
        <v>0</v>
      </c>
      <c r="V121">
        <f>IFERROR(IF(V19&lt;0,-V19,0)*VLOOKUP(V$44,'Energy Heat Value Conversion'!$A:$E,5,FALSE),0)</f>
        <v>0</v>
      </c>
      <c r="W121">
        <f>IFERROR(IF(W19&lt;0,-W19,0)*VLOOKUP(W$44,'Energy Heat Value Conversion'!$A:$E,5,FALSE),0)</f>
        <v>0</v>
      </c>
      <c r="X121">
        <f>IFERROR(IF(X19&lt;0,-X19,0)*VLOOKUP(X$44,'Energy Heat Value Conversion'!$A:$E,5,FALSE),0)</f>
        <v>0</v>
      </c>
      <c r="Y121">
        <f>IFERROR(IF(Y19&lt;0,-Y19,0)*VLOOKUP(Y$44,'Energy Heat Value Conversion'!$A:$E,5,FALSE),0)</f>
        <v>0</v>
      </c>
      <c r="Z121">
        <f>IFERROR(IF(Z19&lt;0,-Z19,0)*VLOOKUP(Z$44,'Energy Heat Value Conversion'!$A:$E,5,FALSE),0)</f>
        <v>1392876026420.7813</v>
      </c>
      <c r="AA121">
        <f>IFERROR(IF(AA19&lt;0,-AA19,0)*VLOOKUP(AA$44,'Energy Heat Value Conversion'!$A:$E,5,FALSE),0)</f>
        <v>0</v>
      </c>
      <c r="AB121">
        <f>IFERROR(IF(AB19&lt;0,-AB19,0)*VLOOKUP(AB$44,'Energy Heat Value Conversion'!$A:$E,5,FALSE),0)</f>
        <v>0</v>
      </c>
      <c r="AC121">
        <f>IFERROR(IF(AC19&lt;0,-AC19,0)*VLOOKUP(AC$44,'Energy Heat Value Conversion'!$A:$E,5,FALSE),0)</f>
        <v>0</v>
      </c>
      <c r="AD121">
        <f>IFERROR(IF(AD19&lt;0,-AD19,0)*VLOOKUP(AD$44,'Energy Heat Value Conversion'!$A:$E,5,FALSE),0)</f>
        <v>0</v>
      </c>
      <c r="AE121">
        <f>IFERROR(IF(AE19&lt;0,-AE19,0)*VLOOKUP(AE$44,'Energy Heat Value Conversion'!$A:$E,5,FALSE),0)</f>
        <v>0</v>
      </c>
      <c r="AF121">
        <f>IFERROR(IF(AF19&lt;0,-AF19,0)*VLOOKUP(AF$44,'Energy Heat Value Conversion'!$A:$E,5,FALSE),0)</f>
        <v>0</v>
      </c>
      <c r="AG121">
        <f>IFERROR(IF(AG19&lt;0,-AG19,0)*VLOOKUP(AG$44,'Energy Heat Value Conversion'!$A:$E,5,FALSE),0)</f>
        <v>0</v>
      </c>
      <c r="AH121">
        <f>IFERROR(IF(AH19&lt;0,-AH19,0)*VLOOKUP(AH$44,'Energy Heat Value Conversion'!$A:$E,5,FALSE),0)</f>
        <v>0</v>
      </c>
    </row>
    <row r="122" spans="1:34" x14ac:dyDescent="0.2">
      <c r="A122" s="178" t="s">
        <v>381</v>
      </c>
      <c r="B122" s="188" t="s">
        <v>91</v>
      </c>
      <c r="C122">
        <f>IFERROR(IF(C20&lt;0,-C20,0)*VLOOKUP(C$44,'Energy Heat Value Conversion'!$A:$E,5,FALSE),0)</f>
        <v>0</v>
      </c>
      <c r="D122">
        <f>IFERROR(IF(D20&lt;0,-D20,0)*VLOOKUP(D$44,'Energy Heat Value Conversion'!$A:$E,5,FALSE),0)</f>
        <v>577521713566158.63</v>
      </c>
      <c r="E122">
        <f>IFERROR(IF(E20&lt;0,-E20,0)*VLOOKUP(E$44,'Energy Heat Value Conversion'!$A:$E,5,FALSE),0)</f>
        <v>0</v>
      </c>
      <c r="F122">
        <f>IFERROR(IF(F20&lt;0,-F20,0)*VLOOKUP(F$44,'Energy Heat Value Conversion'!$A:$E,5,FALSE),0)</f>
        <v>10543163473289.113</v>
      </c>
      <c r="G122">
        <f>IFERROR(IF(G20&lt;0,-G20,0)*VLOOKUP(G$44,'Energy Heat Value Conversion'!$A:$E,5,FALSE),0)</f>
        <v>0</v>
      </c>
      <c r="H122">
        <f>IFERROR(IF(H20&lt;0,-H20,0)*VLOOKUP(H$44,'Energy Heat Value Conversion'!$A:$E,5,FALSE),0)</f>
        <v>0</v>
      </c>
      <c r="I122">
        <f>IFERROR(IF(I20&lt;0,-I20,0)*VLOOKUP(I$44,'Energy Heat Value Conversion'!$A:$E,5,FALSE),0)</f>
        <v>0</v>
      </c>
      <c r="J122">
        <f>IFERROR(IF(J20&lt;0,-J20,0)*VLOOKUP(J$44,'Energy Heat Value Conversion'!$A:$E,5,FALSE),0)</f>
        <v>0</v>
      </c>
      <c r="K122">
        <f>IFERROR(IF(K20&lt;0,-K20,0)*VLOOKUP(K$44,'Energy Heat Value Conversion'!$A:$E,5,FALSE),0)</f>
        <v>0</v>
      </c>
      <c r="L122">
        <f>IFERROR(IF(L20&lt;0,-L20,0)*VLOOKUP(L$44,'Energy Heat Value Conversion'!$A:$E,5,FALSE),0)</f>
        <v>0</v>
      </c>
      <c r="M122">
        <f>IFERROR(IF(M20&lt;0,-M20,0)*VLOOKUP(M$44,'Energy Heat Value Conversion'!$A:$E,5,FALSE),0)</f>
        <v>0</v>
      </c>
      <c r="N122">
        <f>IFERROR(IF(N20&lt;0,-N20,0)*VLOOKUP(N$44,'Energy Heat Value Conversion'!$A:$E,5,FALSE),0)</f>
        <v>130653208358590.69</v>
      </c>
      <c r="O122">
        <f>IFERROR(IF(O20&lt;0,-O20,0)*VLOOKUP(O$44,'Energy Heat Value Conversion'!$A:$E,5,FALSE),0)</f>
        <v>0</v>
      </c>
      <c r="P122">
        <f>IFERROR(IF(P20&lt;0,-P20,0)*VLOOKUP(P$44,'Energy Heat Value Conversion'!$A:$E,5,FALSE),0)</f>
        <v>2.7356889750244024E+16</v>
      </c>
      <c r="Q122">
        <f>IFERROR(IF(Q20&lt;0,-Q20,0)*VLOOKUP(Q$44,'Energy Heat Value Conversion'!$A:$E,5,FALSE),0)</f>
        <v>0</v>
      </c>
      <c r="R122">
        <f>IFERROR(IF(R20&lt;0,-R20,0)*VLOOKUP(R$44,'Energy Heat Value Conversion'!$A:$E,5,FALSE),0)</f>
        <v>0</v>
      </c>
      <c r="S122">
        <f>IFERROR(IF(S20&lt;0,-S20,0)*VLOOKUP(S$44,'Energy Heat Value Conversion'!$A:$E,5,FALSE),0)</f>
        <v>0</v>
      </c>
      <c r="T122">
        <f>IFERROR(IF(T20&lt;0,-T20,0)*VLOOKUP(T$44,'Energy Heat Value Conversion'!$A:$E,5,FALSE),0)</f>
        <v>0</v>
      </c>
      <c r="U122">
        <f>IFERROR(IF(U20&lt;0,-U20,0)*VLOOKUP(U$44,'Energy Heat Value Conversion'!$A:$E,5,FALSE),0)</f>
        <v>0</v>
      </c>
      <c r="V122">
        <f>IFERROR(IF(V20&lt;0,-V20,0)*VLOOKUP(V$44,'Energy Heat Value Conversion'!$A:$E,5,FALSE),0)</f>
        <v>0</v>
      </c>
      <c r="W122">
        <f>IFERROR(IF(W20&lt;0,-W20,0)*VLOOKUP(W$44,'Energy Heat Value Conversion'!$A:$E,5,FALSE),0)</f>
        <v>0</v>
      </c>
      <c r="X122">
        <f>IFERROR(IF(X20&lt;0,-X20,0)*VLOOKUP(X$44,'Energy Heat Value Conversion'!$A:$E,5,FALSE),0)</f>
        <v>0</v>
      </c>
      <c r="Y122">
        <f>IFERROR(IF(Y20&lt;0,-Y20,0)*VLOOKUP(Y$44,'Energy Heat Value Conversion'!$A:$E,5,FALSE),0)</f>
        <v>0</v>
      </c>
      <c r="Z122">
        <f>IFERROR(IF(Z20&lt;0,-Z20,0)*VLOOKUP(Z$44,'Energy Heat Value Conversion'!$A:$E,5,FALSE),0)</f>
        <v>0</v>
      </c>
      <c r="AA122">
        <f>IFERROR(IF(AA20&lt;0,-AA20,0)*VLOOKUP(AA$44,'Energy Heat Value Conversion'!$A:$E,5,FALSE),0)</f>
        <v>0</v>
      </c>
      <c r="AB122">
        <f>IFERROR(IF(AB20&lt;0,-AB20,0)*VLOOKUP(AB$44,'Energy Heat Value Conversion'!$A:$E,5,FALSE),0)</f>
        <v>0</v>
      </c>
      <c r="AC122">
        <f>IFERROR(IF(AC20&lt;0,-AC20,0)*VLOOKUP(AC$44,'Energy Heat Value Conversion'!$A:$E,5,FALSE),0)</f>
        <v>0</v>
      </c>
      <c r="AD122">
        <f>IFERROR(IF(AD20&lt;0,-AD20,0)*VLOOKUP(AD$44,'Energy Heat Value Conversion'!$A:$E,5,FALSE),0)</f>
        <v>105972114177652.31</v>
      </c>
      <c r="AE122">
        <f>IFERROR(IF(AE20&lt;0,-AE20,0)*VLOOKUP(AE$44,'Energy Heat Value Conversion'!$A:$E,5,FALSE),0)</f>
        <v>0</v>
      </c>
      <c r="AF122">
        <f>IFERROR(IF(AF20&lt;0,-AF20,0)*VLOOKUP(AF$44,'Energy Heat Value Conversion'!$A:$E,5,FALSE),0)</f>
        <v>0</v>
      </c>
      <c r="AG122">
        <f>IFERROR(IF(AG20&lt;0,-AG20,0)*VLOOKUP(AG$44,'Energy Heat Value Conversion'!$A:$E,5,FALSE),0)</f>
        <v>0</v>
      </c>
      <c r="AH122">
        <f>IFERROR(IF(AH20&lt;0,-AH20,0)*VLOOKUP(AH$44,'Energy Heat Value Conversion'!$A:$E,5,FALSE),0)</f>
        <v>115202337771976.72</v>
      </c>
    </row>
    <row r="123" spans="1:34" x14ac:dyDescent="0.2">
      <c r="A123" s="178" t="s">
        <v>381</v>
      </c>
      <c r="B123" s="188" t="s">
        <v>92</v>
      </c>
      <c r="C123">
        <f>IFERROR(IF(C21&lt;0,-C21,0)*VLOOKUP(C$44,'Energy Heat Value Conversion'!$A:$E,5,FALSE),0)</f>
        <v>0</v>
      </c>
      <c r="D123">
        <f>IFERROR(IF(D21&lt;0,-D21,0)*VLOOKUP(D$44,'Energy Heat Value Conversion'!$A:$E,5,FALSE),0)</f>
        <v>0</v>
      </c>
      <c r="E123">
        <f>IFERROR(IF(E21&lt;0,-E21,0)*VLOOKUP(E$44,'Energy Heat Value Conversion'!$A:$E,5,FALSE),0)</f>
        <v>0</v>
      </c>
      <c r="F123">
        <f>IFERROR(IF(F21&lt;0,-F21,0)*VLOOKUP(F$44,'Energy Heat Value Conversion'!$A:$E,5,FALSE),0)</f>
        <v>0</v>
      </c>
      <c r="G123">
        <f>IFERROR(IF(G21&lt;0,-G21,0)*VLOOKUP(G$44,'Energy Heat Value Conversion'!$A:$E,5,FALSE),0)</f>
        <v>0</v>
      </c>
      <c r="H123">
        <f>IFERROR(IF(H21&lt;0,-H21,0)*VLOOKUP(H$44,'Energy Heat Value Conversion'!$A:$E,5,FALSE),0)</f>
        <v>0</v>
      </c>
      <c r="I123">
        <f>IFERROR(IF(I21&lt;0,-I21,0)*VLOOKUP(I$44,'Energy Heat Value Conversion'!$A:$E,5,FALSE),0)</f>
        <v>0</v>
      </c>
      <c r="J123">
        <f>IFERROR(IF(J21&lt;0,-J21,0)*VLOOKUP(J$44,'Energy Heat Value Conversion'!$A:$E,5,FALSE),0)</f>
        <v>0</v>
      </c>
      <c r="K123">
        <f>IFERROR(IF(K21&lt;0,-K21,0)*VLOOKUP(K$44,'Energy Heat Value Conversion'!$A:$E,5,FALSE),0)</f>
        <v>0</v>
      </c>
      <c r="L123">
        <f>IFERROR(IF(L21&lt;0,-L21,0)*VLOOKUP(L$44,'Energy Heat Value Conversion'!$A:$E,5,FALSE),0)</f>
        <v>0</v>
      </c>
      <c r="M123">
        <f>IFERROR(IF(M21&lt;0,-M21,0)*VLOOKUP(M$44,'Energy Heat Value Conversion'!$A:$E,5,FALSE),0)</f>
        <v>0</v>
      </c>
      <c r="N123">
        <f>IFERROR(IF(N21&lt;0,-N21,0)*VLOOKUP(N$44,'Energy Heat Value Conversion'!$A:$E,5,FALSE),0)</f>
        <v>0</v>
      </c>
      <c r="O123">
        <f>IFERROR(IF(O21&lt;0,-O21,0)*VLOOKUP(O$44,'Energy Heat Value Conversion'!$A:$E,5,FALSE),0)</f>
        <v>0</v>
      </c>
      <c r="P123">
        <f>IFERROR(IF(P21&lt;0,-P21,0)*VLOOKUP(P$44,'Energy Heat Value Conversion'!$A:$E,5,FALSE),0)</f>
        <v>0</v>
      </c>
      <c r="Q123">
        <f>IFERROR(IF(Q21&lt;0,-Q21,0)*VLOOKUP(Q$44,'Energy Heat Value Conversion'!$A:$E,5,FALSE),0)</f>
        <v>9630023851343.9844</v>
      </c>
      <c r="R123">
        <f>IFERROR(IF(R21&lt;0,-R21,0)*VLOOKUP(R$44,'Energy Heat Value Conversion'!$A:$E,5,FALSE),0)</f>
        <v>0</v>
      </c>
      <c r="S123">
        <f>IFERROR(IF(S21&lt;0,-S21,0)*VLOOKUP(S$44,'Energy Heat Value Conversion'!$A:$E,5,FALSE),0)</f>
        <v>46910673780918.805</v>
      </c>
      <c r="T123">
        <f>IFERROR(IF(T21&lt;0,-T21,0)*VLOOKUP(T$44,'Energy Heat Value Conversion'!$A:$E,5,FALSE),0)</f>
        <v>1098188567742646</v>
      </c>
      <c r="U123">
        <f>IFERROR(IF(U21&lt;0,-U21,0)*VLOOKUP(U$44,'Energy Heat Value Conversion'!$A:$E,5,FALSE),0)</f>
        <v>652872932461348</v>
      </c>
      <c r="V123">
        <f>IFERROR(IF(V21&lt;0,-V21,0)*VLOOKUP(V$44,'Energy Heat Value Conversion'!$A:$E,5,FALSE),0)</f>
        <v>1746079129365.5215</v>
      </c>
      <c r="W123">
        <f>IFERROR(IF(W21&lt;0,-W21,0)*VLOOKUP(W$44,'Energy Heat Value Conversion'!$A:$E,5,FALSE),0)</f>
        <v>3852274739768.5151</v>
      </c>
      <c r="X123">
        <f>IFERROR(IF(X21&lt;0,-X21,0)*VLOOKUP(X$44,'Energy Heat Value Conversion'!$A:$E,5,FALSE),0)</f>
        <v>944332946924.08936</v>
      </c>
      <c r="Y123">
        <f>IFERROR(IF(Y21&lt;0,-Y21,0)*VLOOKUP(Y$44,'Energy Heat Value Conversion'!$A:$E,5,FALSE),0)</f>
        <v>232075516570994.84</v>
      </c>
      <c r="Z123">
        <f>IFERROR(IF(Z21&lt;0,-Z21,0)*VLOOKUP(Z$44,'Energy Heat Value Conversion'!$A:$E,5,FALSE),0)</f>
        <v>12820515425794.758</v>
      </c>
      <c r="AA123">
        <f>IFERROR(IF(AA21&lt;0,-AA21,0)*VLOOKUP(AA$44,'Energy Heat Value Conversion'!$A:$E,5,FALSE),0)</f>
        <v>264854998150097.94</v>
      </c>
      <c r="AB123">
        <f>IFERROR(IF(AB21&lt;0,-AB21,0)*VLOOKUP(AB$44,'Energy Heat Value Conversion'!$A:$E,5,FALSE),0)</f>
        <v>96433734953462.422</v>
      </c>
      <c r="AC123">
        <f>IFERROR(IF(AC21&lt;0,-AC21,0)*VLOOKUP(AC$44,'Energy Heat Value Conversion'!$A:$E,5,FALSE),0)</f>
        <v>3411227676714934.5</v>
      </c>
      <c r="AD123">
        <f>IFERROR(IF(AD21&lt;0,-AD21,0)*VLOOKUP(AD$44,'Energy Heat Value Conversion'!$A:$E,5,FALSE),0)</f>
        <v>0</v>
      </c>
      <c r="AE123">
        <f>IFERROR(IF(AE21&lt;0,-AE21,0)*VLOOKUP(AE$44,'Energy Heat Value Conversion'!$A:$E,5,FALSE),0)</f>
        <v>0</v>
      </c>
      <c r="AF123">
        <f>IFERROR(IF(AF21&lt;0,-AF21,0)*VLOOKUP(AF$44,'Energy Heat Value Conversion'!$A:$E,5,FALSE),0)</f>
        <v>0</v>
      </c>
      <c r="AG123">
        <f>IFERROR(IF(AG21&lt;0,-AG21,0)*VLOOKUP(AG$44,'Energy Heat Value Conversion'!$A:$E,5,FALSE),0)</f>
        <v>0</v>
      </c>
      <c r="AH123">
        <f>IFERROR(IF(AH21&lt;0,-AH21,0)*VLOOKUP(AH$44,'Energy Heat Value Conversion'!$A:$E,5,FALSE),0)</f>
        <v>0</v>
      </c>
    </row>
    <row r="124" spans="1:34" x14ac:dyDescent="0.2">
      <c r="A124" s="178" t="s">
        <v>395</v>
      </c>
      <c r="B124" s="188" t="s">
        <v>93</v>
      </c>
      <c r="C124">
        <f>IFERROR(IF(C22&lt;0,-C22,0)*VLOOKUP(C$44,'Energy Heat Value Conversion'!$A:$E,5,FALSE),0)</f>
        <v>0</v>
      </c>
      <c r="D124">
        <f>IFERROR(IF(D22&lt;0,-D22,0)*VLOOKUP(D$44,'Energy Heat Value Conversion'!$A:$E,5,FALSE),0)</f>
        <v>624351172689104.63</v>
      </c>
      <c r="E124">
        <f>IFERROR(IF(E22&lt;0,-E22,0)*VLOOKUP(E$44,'Energy Heat Value Conversion'!$A:$E,5,FALSE),0)</f>
        <v>0</v>
      </c>
      <c r="F124">
        <f>IFERROR(IF(F22&lt;0,-F22,0)*VLOOKUP(F$44,'Energy Heat Value Conversion'!$A:$E,5,FALSE),0)</f>
        <v>12551762544134.51</v>
      </c>
      <c r="G124">
        <f>IFERROR(IF(G22&lt;0,-G22,0)*VLOOKUP(G$44,'Energy Heat Value Conversion'!$A:$E,5,FALSE),0)</f>
        <v>0</v>
      </c>
      <c r="H124">
        <f>IFERROR(IF(H22&lt;0,-H22,0)*VLOOKUP(H$44,'Energy Heat Value Conversion'!$A:$E,5,FALSE),0)</f>
        <v>0</v>
      </c>
      <c r="I124">
        <f>IFERROR(IF(I22&lt;0,-I22,0)*VLOOKUP(I$44,'Energy Heat Value Conversion'!$A:$E,5,FALSE),0)</f>
        <v>0</v>
      </c>
      <c r="J124">
        <f>IFERROR(IF(J22&lt;0,-J22,0)*VLOOKUP(J$44,'Energy Heat Value Conversion'!$A:$E,5,FALSE),0)</f>
        <v>0</v>
      </c>
      <c r="K124">
        <f>IFERROR(IF(K22&lt;0,-K22,0)*VLOOKUP(K$44,'Energy Heat Value Conversion'!$A:$E,5,FALSE),0)</f>
        <v>0</v>
      </c>
      <c r="L124">
        <f>IFERROR(IF(L22&lt;0,-L22,0)*VLOOKUP(L$44,'Energy Heat Value Conversion'!$A:$E,5,FALSE),0)</f>
        <v>0</v>
      </c>
      <c r="M124">
        <f>IFERROR(IF(M22&lt;0,-M22,0)*VLOOKUP(M$44,'Energy Heat Value Conversion'!$A:$E,5,FALSE),0)</f>
        <v>0</v>
      </c>
      <c r="N124">
        <f>IFERROR(IF(N22&lt;0,-N22,0)*VLOOKUP(N$44,'Energy Heat Value Conversion'!$A:$E,5,FALSE),0)</f>
        <v>0</v>
      </c>
      <c r="O124">
        <f>IFERROR(IF(O22&lt;0,-O22,0)*VLOOKUP(O$44,'Energy Heat Value Conversion'!$A:$E,5,FALSE),0)</f>
        <v>0</v>
      </c>
      <c r="P124">
        <f>IFERROR(IF(P22&lt;0,-P22,0)*VLOOKUP(P$44,'Energy Heat Value Conversion'!$A:$E,5,FALSE),0)</f>
        <v>0</v>
      </c>
      <c r="Q124">
        <f>IFERROR(IF(Q22&lt;0,-Q22,0)*VLOOKUP(Q$44,'Energy Heat Value Conversion'!$A:$E,5,FALSE),0)</f>
        <v>0</v>
      </c>
      <c r="R124">
        <f>IFERROR(IF(R22&lt;0,-R22,0)*VLOOKUP(R$44,'Energy Heat Value Conversion'!$A:$E,5,FALSE),0)</f>
        <v>0</v>
      </c>
      <c r="S124">
        <f>IFERROR(IF(S22&lt;0,-S22,0)*VLOOKUP(S$44,'Energy Heat Value Conversion'!$A:$E,5,FALSE),0)</f>
        <v>0</v>
      </c>
      <c r="T124">
        <f>IFERROR(IF(T22&lt;0,-T22,0)*VLOOKUP(T$44,'Energy Heat Value Conversion'!$A:$E,5,FALSE),0)</f>
        <v>0</v>
      </c>
      <c r="U124">
        <f>IFERROR(IF(U22&lt;0,-U22,0)*VLOOKUP(U$44,'Energy Heat Value Conversion'!$A:$E,5,FALSE),0)</f>
        <v>0</v>
      </c>
      <c r="V124">
        <f>IFERROR(IF(V22&lt;0,-V22,0)*VLOOKUP(V$44,'Energy Heat Value Conversion'!$A:$E,5,FALSE),0)</f>
        <v>0</v>
      </c>
      <c r="W124">
        <f>IFERROR(IF(W22&lt;0,-W22,0)*VLOOKUP(W$44,'Energy Heat Value Conversion'!$A:$E,5,FALSE),0)</f>
        <v>0</v>
      </c>
      <c r="X124">
        <f>IFERROR(IF(X22&lt;0,-X22,0)*VLOOKUP(X$44,'Energy Heat Value Conversion'!$A:$E,5,FALSE),0)</f>
        <v>0</v>
      </c>
      <c r="Y124">
        <f>IFERROR(IF(Y22&lt;0,-Y22,0)*VLOOKUP(Y$44,'Energy Heat Value Conversion'!$A:$E,5,FALSE),0)</f>
        <v>0</v>
      </c>
      <c r="Z124">
        <f>IFERROR(IF(Z22&lt;0,-Z22,0)*VLOOKUP(Z$44,'Energy Heat Value Conversion'!$A:$E,5,FALSE),0)</f>
        <v>2800892009650.4844</v>
      </c>
      <c r="AA124">
        <f>IFERROR(IF(AA22&lt;0,-AA22,0)*VLOOKUP(AA$44,'Energy Heat Value Conversion'!$A:$E,5,FALSE),0)</f>
        <v>1769251172817.0601</v>
      </c>
      <c r="AB124">
        <f>IFERROR(IF(AB22&lt;0,-AB22,0)*VLOOKUP(AB$44,'Energy Heat Value Conversion'!$A:$E,5,FALSE),0)</f>
        <v>6932033029341.5273</v>
      </c>
      <c r="AC124">
        <f>IFERROR(IF(AC22&lt;0,-AC22,0)*VLOOKUP(AC$44,'Energy Heat Value Conversion'!$A:$E,5,FALSE),0)</f>
        <v>0</v>
      </c>
      <c r="AD124">
        <f>IFERROR(IF(AD22&lt;0,-AD22,0)*VLOOKUP(AD$44,'Energy Heat Value Conversion'!$A:$E,5,FALSE),0)</f>
        <v>0</v>
      </c>
      <c r="AE124">
        <f>IFERROR(IF(AE22&lt;0,-AE22,0)*VLOOKUP(AE$44,'Energy Heat Value Conversion'!$A:$E,5,FALSE),0)</f>
        <v>0</v>
      </c>
      <c r="AF124">
        <f>IFERROR(IF(AF22&lt;0,-AF22,0)*VLOOKUP(AF$44,'Energy Heat Value Conversion'!$A:$E,5,FALSE),0)</f>
        <v>0</v>
      </c>
      <c r="AG124">
        <f>IFERROR(IF(AG22&lt;0,-AG22,0)*VLOOKUP(AG$44,'Energy Heat Value Conversion'!$A:$E,5,FALSE),0)</f>
        <v>0</v>
      </c>
      <c r="AH124">
        <f>IFERROR(IF(AH22&lt;0,-AH22,0)*VLOOKUP(AH$44,'Energy Heat Value Conversion'!$A:$E,5,FALSE),0)</f>
        <v>0</v>
      </c>
    </row>
    <row r="125" spans="1:34" x14ac:dyDescent="0.2">
      <c r="A125" s="178" t="s">
        <v>395</v>
      </c>
      <c r="B125" s="188" t="s">
        <v>525</v>
      </c>
      <c r="C125">
        <f>IFERROR(IF(C23&lt;0,-C23,0)*VLOOKUP(C$44,'Energy Heat Value Conversion'!$A:$E,5,FALSE),0)</f>
        <v>0</v>
      </c>
      <c r="D125">
        <f>IFERROR(IF(D23&lt;0,-D23,0)*VLOOKUP(D$44,'Energy Heat Value Conversion'!$A:$E,5,FALSE),0)</f>
        <v>0</v>
      </c>
      <c r="E125">
        <f>IFERROR(IF(E23&lt;0,-E23,0)*VLOOKUP(E$44,'Energy Heat Value Conversion'!$A:$E,5,FALSE),0)</f>
        <v>0</v>
      </c>
      <c r="F125">
        <f>IFERROR(IF(F23&lt;0,-F23,0)*VLOOKUP(F$44,'Energy Heat Value Conversion'!$A:$E,5,FALSE),0)</f>
        <v>0</v>
      </c>
      <c r="G125">
        <f>IFERROR(IF(G23&lt;0,-G23,0)*VLOOKUP(G$44,'Energy Heat Value Conversion'!$A:$E,5,FALSE),0)</f>
        <v>0</v>
      </c>
      <c r="H125">
        <f>IFERROR(IF(H23&lt;0,-H23,0)*VLOOKUP(H$44,'Energy Heat Value Conversion'!$A:$E,5,FALSE),0)</f>
        <v>0</v>
      </c>
      <c r="I125">
        <f>IFERROR(IF(I23&lt;0,-I23,0)*VLOOKUP(I$44,'Energy Heat Value Conversion'!$A:$E,5,FALSE),0)</f>
        <v>4740712541426.124</v>
      </c>
      <c r="J125">
        <f>IFERROR(IF(J23&lt;0,-J23,0)*VLOOKUP(J$44,'Energy Heat Value Conversion'!$A:$E,5,FALSE),0)</f>
        <v>75644096471291.078</v>
      </c>
      <c r="K125">
        <f>IFERROR(IF(K23&lt;0,-K23,0)*VLOOKUP(K$44,'Energy Heat Value Conversion'!$A:$E,5,FALSE),0)</f>
        <v>0</v>
      </c>
      <c r="L125">
        <f>IFERROR(IF(L23&lt;0,-L23,0)*VLOOKUP(L$44,'Energy Heat Value Conversion'!$A:$E,5,FALSE),0)</f>
        <v>0</v>
      </c>
      <c r="M125">
        <f>IFERROR(IF(M23&lt;0,-M23,0)*VLOOKUP(M$44,'Energy Heat Value Conversion'!$A:$E,5,FALSE),0)</f>
        <v>0</v>
      </c>
      <c r="N125">
        <f>IFERROR(IF(N23&lt;0,-N23,0)*VLOOKUP(N$44,'Energy Heat Value Conversion'!$A:$E,5,FALSE),0)</f>
        <v>2102195727363.6272</v>
      </c>
      <c r="O125">
        <f>IFERROR(IF(O23&lt;0,-O23,0)*VLOOKUP(O$44,'Energy Heat Value Conversion'!$A:$E,5,FALSE),0)</f>
        <v>0</v>
      </c>
      <c r="P125">
        <f>IFERROR(IF(P23&lt;0,-P23,0)*VLOOKUP(P$44,'Energy Heat Value Conversion'!$A:$E,5,FALSE),0)</f>
        <v>0</v>
      </c>
      <c r="Q125">
        <f>IFERROR(IF(Q23&lt;0,-Q23,0)*VLOOKUP(Q$44,'Energy Heat Value Conversion'!$A:$E,5,FALSE),0)</f>
        <v>0</v>
      </c>
      <c r="R125">
        <f>IFERROR(IF(R23&lt;0,-R23,0)*VLOOKUP(R$44,'Energy Heat Value Conversion'!$A:$E,5,FALSE),0)</f>
        <v>0</v>
      </c>
      <c r="S125">
        <f>IFERROR(IF(S23&lt;0,-S23,0)*VLOOKUP(S$44,'Energy Heat Value Conversion'!$A:$E,5,FALSE),0)</f>
        <v>0</v>
      </c>
      <c r="T125">
        <f>IFERROR(IF(T23&lt;0,-T23,0)*VLOOKUP(T$44,'Energy Heat Value Conversion'!$A:$E,5,FALSE),0)</f>
        <v>0</v>
      </c>
      <c r="U125">
        <f>IFERROR(IF(U23&lt;0,-U23,0)*VLOOKUP(U$44,'Energy Heat Value Conversion'!$A:$E,5,FALSE),0)</f>
        <v>0</v>
      </c>
      <c r="V125">
        <f>IFERROR(IF(V23&lt;0,-V23,0)*VLOOKUP(V$44,'Energy Heat Value Conversion'!$A:$E,5,FALSE),0)</f>
        <v>0</v>
      </c>
      <c r="W125">
        <f>IFERROR(IF(W23&lt;0,-W23,0)*VLOOKUP(W$44,'Energy Heat Value Conversion'!$A:$E,5,FALSE),0)</f>
        <v>0</v>
      </c>
      <c r="X125">
        <f>IFERROR(IF(X23&lt;0,-X23,0)*VLOOKUP(X$44,'Energy Heat Value Conversion'!$A:$E,5,FALSE),0)</f>
        <v>0</v>
      </c>
      <c r="Y125">
        <f>IFERROR(IF(Y23&lt;0,-Y23,0)*VLOOKUP(Y$44,'Energy Heat Value Conversion'!$A:$E,5,FALSE),0)</f>
        <v>0</v>
      </c>
      <c r="Z125">
        <f>IFERROR(IF(Z23&lt;0,-Z23,0)*VLOOKUP(Z$44,'Energy Heat Value Conversion'!$A:$E,5,FALSE),0)</f>
        <v>0</v>
      </c>
      <c r="AA125">
        <f>IFERROR(IF(AA23&lt;0,-AA23,0)*VLOOKUP(AA$44,'Energy Heat Value Conversion'!$A:$E,5,FALSE),0)</f>
        <v>0</v>
      </c>
      <c r="AB125">
        <f>IFERROR(IF(AB23&lt;0,-AB23,0)*VLOOKUP(AB$44,'Energy Heat Value Conversion'!$A:$E,5,FALSE),0)</f>
        <v>0</v>
      </c>
      <c r="AC125">
        <f>IFERROR(IF(AC23&lt;0,-AC23,0)*VLOOKUP(AC$44,'Energy Heat Value Conversion'!$A:$E,5,FALSE),0)</f>
        <v>0</v>
      </c>
      <c r="AD125">
        <f>IFERROR(IF(AD23&lt;0,-AD23,0)*VLOOKUP(AD$44,'Energy Heat Value Conversion'!$A:$E,5,FALSE),0)</f>
        <v>51164766775142.758</v>
      </c>
      <c r="AE125">
        <f>IFERROR(IF(AE23&lt;0,-AE23,0)*VLOOKUP(AE$44,'Energy Heat Value Conversion'!$A:$E,5,FALSE),0)</f>
        <v>0</v>
      </c>
      <c r="AF125">
        <f>IFERROR(IF(AF23&lt;0,-AF23,0)*VLOOKUP(AF$44,'Energy Heat Value Conversion'!$A:$E,5,FALSE),0)</f>
        <v>0</v>
      </c>
      <c r="AG125">
        <f>IFERROR(IF(AG23&lt;0,-AG23,0)*VLOOKUP(AG$44,'Energy Heat Value Conversion'!$A:$E,5,FALSE),0)</f>
        <v>0</v>
      </c>
      <c r="AH125">
        <f>IFERROR(IF(AH23&lt;0,-AH23,0)*VLOOKUP(AH$44,'Energy Heat Value Conversion'!$A:$E,5,FALSE),0)</f>
        <v>0</v>
      </c>
    </row>
    <row r="126" spans="1:34" x14ac:dyDescent="0.2">
      <c r="A126" s="178" t="s">
        <v>395</v>
      </c>
      <c r="B126" s="188" t="s">
        <v>95</v>
      </c>
      <c r="C126">
        <f>IFERROR(IF(C24&lt;0,-C24,0)*VLOOKUP(C$44,'Energy Heat Value Conversion'!$A:$E,5,FALSE),0)</f>
        <v>0</v>
      </c>
      <c r="D126">
        <f>IFERROR(IF(D24&lt;0,-D24,0)*VLOOKUP(D$44,'Energy Heat Value Conversion'!$A:$E,5,FALSE),0)</f>
        <v>0</v>
      </c>
      <c r="E126">
        <f>IFERROR(IF(E24&lt;0,-E24,0)*VLOOKUP(E$44,'Energy Heat Value Conversion'!$A:$E,5,FALSE),0)</f>
        <v>0</v>
      </c>
      <c r="F126">
        <f>IFERROR(IF(F24&lt;0,-F24,0)*VLOOKUP(F$44,'Energy Heat Value Conversion'!$A:$E,5,FALSE),0)</f>
        <v>0</v>
      </c>
      <c r="G126">
        <f>IFERROR(IF(G24&lt;0,-G24,0)*VLOOKUP(G$44,'Energy Heat Value Conversion'!$A:$E,5,FALSE),0)</f>
        <v>0</v>
      </c>
      <c r="H126">
        <f>IFERROR(IF(H24&lt;0,-H24,0)*VLOOKUP(H$44,'Energy Heat Value Conversion'!$A:$E,5,FALSE),0)</f>
        <v>0</v>
      </c>
      <c r="I126">
        <f>IFERROR(IF(I24&lt;0,-I24,0)*VLOOKUP(I$44,'Energy Heat Value Conversion'!$A:$E,5,FALSE),0)</f>
        <v>0</v>
      </c>
      <c r="J126">
        <f>IFERROR(IF(J24&lt;0,-J24,0)*VLOOKUP(J$44,'Energy Heat Value Conversion'!$A:$E,5,FALSE),0)</f>
        <v>0</v>
      </c>
      <c r="K126">
        <f>IFERROR(IF(K24&lt;0,-K24,0)*VLOOKUP(K$44,'Energy Heat Value Conversion'!$A:$E,5,FALSE),0)</f>
        <v>0</v>
      </c>
      <c r="L126">
        <f>IFERROR(IF(L24&lt;0,-L24,0)*VLOOKUP(L$44,'Energy Heat Value Conversion'!$A:$E,5,FALSE),0)</f>
        <v>0</v>
      </c>
      <c r="M126">
        <f>IFERROR(IF(M24&lt;0,-M24,0)*VLOOKUP(M$44,'Energy Heat Value Conversion'!$A:$E,5,FALSE),0)</f>
        <v>0</v>
      </c>
      <c r="N126">
        <f>IFERROR(IF(N24&lt;0,-N24,0)*VLOOKUP(N$44,'Energy Heat Value Conversion'!$A:$E,5,FALSE),0)</f>
        <v>0</v>
      </c>
      <c r="O126">
        <f>IFERROR(IF(O24&lt;0,-O24,0)*VLOOKUP(O$44,'Energy Heat Value Conversion'!$A:$E,5,FALSE),0)</f>
        <v>0</v>
      </c>
      <c r="P126">
        <f>IFERROR(IF(P24&lt;0,-P24,0)*VLOOKUP(P$44,'Energy Heat Value Conversion'!$A:$E,5,FALSE),0)</f>
        <v>0</v>
      </c>
      <c r="Q126">
        <f>IFERROR(IF(Q24&lt;0,-Q24,0)*VLOOKUP(Q$44,'Energy Heat Value Conversion'!$A:$E,5,FALSE),0)</f>
        <v>0</v>
      </c>
      <c r="R126">
        <f>IFERROR(IF(R24&lt;0,-R24,0)*VLOOKUP(R$44,'Energy Heat Value Conversion'!$A:$E,5,FALSE),0)</f>
        <v>0</v>
      </c>
      <c r="S126">
        <f>IFERROR(IF(S24&lt;0,-S24,0)*VLOOKUP(S$44,'Energy Heat Value Conversion'!$A:$E,5,FALSE),0)</f>
        <v>0</v>
      </c>
      <c r="T126">
        <f>IFERROR(IF(T24&lt;0,-T24,0)*VLOOKUP(T$44,'Energy Heat Value Conversion'!$A:$E,5,FALSE),0)</f>
        <v>0</v>
      </c>
      <c r="U126">
        <f>IFERROR(IF(U24&lt;0,-U24,0)*VLOOKUP(U$44,'Energy Heat Value Conversion'!$A:$E,5,FALSE),0)</f>
        <v>0</v>
      </c>
      <c r="V126">
        <f>IFERROR(IF(V24&lt;0,-V24,0)*VLOOKUP(V$44,'Energy Heat Value Conversion'!$A:$E,5,FALSE),0)</f>
        <v>0</v>
      </c>
      <c r="W126">
        <f>IFERROR(IF(W24&lt;0,-W24,0)*VLOOKUP(W$44,'Energy Heat Value Conversion'!$A:$E,5,FALSE),0)</f>
        <v>0</v>
      </c>
      <c r="X126">
        <f>IFERROR(IF(X24&lt;0,-X24,0)*VLOOKUP(X$44,'Energy Heat Value Conversion'!$A:$E,5,FALSE),0)</f>
        <v>0</v>
      </c>
      <c r="Y126">
        <f>IFERROR(IF(Y24&lt;0,-Y24,0)*VLOOKUP(Y$44,'Energy Heat Value Conversion'!$A:$E,5,FALSE),0)</f>
        <v>0</v>
      </c>
      <c r="Z126">
        <f>IFERROR(IF(Z24&lt;0,-Z24,0)*VLOOKUP(Z$44,'Energy Heat Value Conversion'!$A:$E,5,FALSE),0)</f>
        <v>0</v>
      </c>
      <c r="AA126">
        <f>IFERROR(IF(AA24&lt;0,-AA24,0)*VLOOKUP(AA$44,'Energy Heat Value Conversion'!$A:$E,5,FALSE),0)</f>
        <v>0</v>
      </c>
      <c r="AB126">
        <f>IFERROR(IF(AB24&lt;0,-AB24,0)*VLOOKUP(AB$44,'Energy Heat Value Conversion'!$A:$E,5,FALSE),0)</f>
        <v>0</v>
      </c>
      <c r="AC126">
        <f>IFERROR(IF(AC24&lt;0,-AC24,0)*VLOOKUP(AC$44,'Energy Heat Value Conversion'!$A:$E,5,FALSE),0)</f>
        <v>0</v>
      </c>
      <c r="AD126">
        <f>IFERROR(IF(AD24&lt;0,-AD24,0)*VLOOKUP(AD$44,'Energy Heat Value Conversion'!$A:$E,5,FALSE),0)</f>
        <v>668649638310616.5</v>
      </c>
      <c r="AE126">
        <f>IFERROR(IF(AE24&lt;0,-AE24,0)*VLOOKUP(AE$44,'Energy Heat Value Conversion'!$A:$E,5,FALSE),0)</f>
        <v>0</v>
      </c>
      <c r="AF126">
        <f>IFERROR(IF(AF24&lt;0,-AF24,0)*VLOOKUP(AF$44,'Energy Heat Value Conversion'!$A:$E,5,FALSE),0)</f>
        <v>0</v>
      </c>
      <c r="AG126">
        <f>IFERROR(IF(AG24&lt;0,-AG24,0)*VLOOKUP(AG$44,'Energy Heat Value Conversion'!$A:$E,5,FALSE),0)</f>
        <v>0</v>
      </c>
      <c r="AH126">
        <f>IFERROR(IF(AH24&lt;0,-AH24,0)*VLOOKUP(AH$44,'Energy Heat Value Conversion'!$A:$E,5,FALSE),0)</f>
        <v>0</v>
      </c>
    </row>
    <row r="127" spans="1:34" x14ac:dyDescent="0.2">
      <c r="A127" s="178" t="s">
        <v>381</v>
      </c>
      <c r="B127" s="188" t="s">
        <v>96</v>
      </c>
      <c r="C127">
        <f>IFERROR(IF(C25&lt;0,-C25,0)*VLOOKUP(C$44,'Energy Heat Value Conversion'!$A:$E,5,FALSE),0)</f>
        <v>0</v>
      </c>
      <c r="D127">
        <f>IFERROR(IF(D25&lt;0,-D25,0)*VLOOKUP(D$44,'Energy Heat Value Conversion'!$A:$E,5,FALSE),0)</f>
        <v>88744312066512.875</v>
      </c>
      <c r="E127">
        <f>IFERROR(IF(E25&lt;0,-E25,0)*VLOOKUP(E$44,'Energy Heat Value Conversion'!$A:$E,5,FALSE),0)</f>
        <v>0</v>
      </c>
      <c r="F127">
        <f>IFERROR(IF(F25&lt;0,-F25,0)*VLOOKUP(F$44,'Energy Heat Value Conversion'!$A:$E,5,FALSE),0)</f>
        <v>91090839788244.391</v>
      </c>
      <c r="G127">
        <f>IFERROR(IF(G25&lt;0,-G25,0)*VLOOKUP(G$44,'Energy Heat Value Conversion'!$A:$E,5,FALSE),0)</f>
        <v>0</v>
      </c>
      <c r="H127">
        <f>IFERROR(IF(H25&lt;0,-H25,0)*VLOOKUP(H$44,'Energy Heat Value Conversion'!$A:$E,5,FALSE),0)</f>
        <v>0</v>
      </c>
      <c r="I127">
        <f>IFERROR(IF(I25&lt;0,-I25,0)*VLOOKUP(I$44,'Energy Heat Value Conversion'!$A:$E,5,FALSE),0)</f>
        <v>0</v>
      </c>
      <c r="J127">
        <f>IFERROR(IF(J25&lt;0,-J25,0)*VLOOKUP(J$44,'Energy Heat Value Conversion'!$A:$E,5,FALSE),0)</f>
        <v>0</v>
      </c>
      <c r="K127">
        <f>IFERROR(IF(K25&lt;0,-K25,0)*VLOOKUP(K$44,'Energy Heat Value Conversion'!$A:$E,5,FALSE),0)</f>
        <v>0</v>
      </c>
      <c r="L127">
        <f>IFERROR(IF(L25&lt;0,-L25,0)*VLOOKUP(L$44,'Energy Heat Value Conversion'!$A:$E,5,FALSE),0)</f>
        <v>0</v>
      </c>
      <c r="M127">
        <f>IFERROR(IF(M25&lt;0,-M25,0)*VLOOKUP(M$44,'Energy Heat Value Conversion'!$A:$E,5,FALSE),0)</f>
        <v>0</v>
      </c>
      <c r="N127">
        <f>IFERROR(IF(N25&lt;0,-N25,0)*VLOOKUP(N$44,'Energy Heat Value Conversion'!$A:$E,5,FALSE),0)</f>
        <v>0</v>
      </c>
      <c r="O127">
        <f>IFERROR(IF(O25&lt;0,-O25,0)*VLOOKUP(O$44,'Energy Heat Value Conversion'!$A:$E,5,FALSE),0)</f>
        <v>0</v>
      </c>
      <c r="P127">
        <f>IFERROR(IF(P25&lt;0,-P25,0)*VLOOKUP(P$44,'Energy Heat Value Conversion'!$A:$E,5,FALSE),0)</f>
        <v>0</v>
      </c>
      <c r="Q127">
        <f>IFERROR(IF(Q25&lt;0,-Q25,0)*VLOOKUP(Q$44,'Energy Heat Value Conversion'!$A:$E,5,FALSE),0)</f>
        <v>0</v>
      </c>
      <c r="R127">
        <f>IFERROR(IF(R25&lt;0,-R25,0)*VLOOKUP(R$44,'Energy Heat Value Conversion'!$A:$E,5,FALSE),0)</f>
        <v>0</v>
      </c>
      <c r="S127">
        <f>IFERROR(IF(S25&lt;0,-S25,0)*VLOOKUP(S$44,'Energy Heat Value Conversion'!$A:$E,5,FALSE),0)</f>
        <v>0</v>
      </c>
      <c r="T127">
        <f>IFERROR(IF(T25&lt;0,-T25,0)*VLOOKUP(T$44,'Energy Heat Value Conversion'!$A:$E,5,FALSE),0)</f>
        <v>0</v>
      </c>
      <c r="U127">
        <f>IFERROR(IF(U25&lt;0,-U25,0)*VLOOKUP(U$44,'Energy Heat Value Conversion'!$A:$E,5,FALSE),0)</f>
        <v>0</v>
      </c>
      <c r="V127">
        <f>IFERROR(IF(V25&lt;0,-V25,0)*VLOOKUP(V$44,'Energy Heat Value Conversion'!$A:$E,5,FALSE),0)</f>
        <v>0</v>
      </c>
      <c r="W127">
        <f>IFERROR(IF(W25&lt;0,-W25,0)*VLOOKUP(W$44,'Energy Heat Value Conversion'!$A:$E,5,FALSE),0)</f>
        <v>0</v>
      </c>
      <c r="X127">
        <f>IFERROR(IF(X25&lt;0,-X25,0)*VLOOKUP(X$44,'Energy Heat Value Conversion'!$A:$E,5,FALSE),0)</f>
        <v>0</v>
      </c>
      <c r="Y127">
        <f>IFERROR(IF(Y25&lt;0,-Y25,0)*VLOOKUP(Y$44,'Energy Heat Value Conversion'!$A:$E,5,FALSE),0)</f>
        <v>0</v>
      </c>
      <c r="Z127">
        <f>IFERROR(IF(Z25&lt;0,-Z25,0)*VLOOKUP(Z$44,'Energy Heat Value Conversion'!$A:$E,5,FALSE),0)</f>
        <v>0</v>
      </c>
      <c r="AA127">
        <f>IFERROR(IF(AA25&lt;0,-AA25,0)*VLOOKUP(AA$44,'Energy Heat Value Conversion'!$A:$E,5,FALSE),0)</f>
        <v>0</v>
      </c>
      <c r="AB127">
        <f>IFERROR(IF(AB25&lt;0,-AB25,0)*VLOOKUP(AB$44,'Energy Heat Value Conversion'!$A:$E,5,FALSE),0)</f>
        <v>0</v>
      </c>
      <c r="AC127">
        <f>IFERROR(IF(AC25&lt;0,-AC25,0)*VLOOKUP(AC$44,'Energy Heat Value Conversion'!$A:$E,5,FALSE),0)</f>
        <v>0</v>
      </c>
      <c r="AD127">
        <f>IFERROR(IF(AD25&lt;0,-AD25,0)*VLOOKUP(AD$44,'Energy Heat Value Conversion'!$A:$E,5,FALSE),0)</f>
        <v>0</v>
      </c>
      <c r="AE127">
        <f>IFERROR(IF(AE25&lt;0,-AE25,0)*VLOOKUP(AE$44,'Energy Heat Value Conversion'!$A:$E,5,FALSE),0)</f>
        <v>0</v>
      </c>
      <c r="AF127">
        <f>IFERROR(IF(AF25&lt;0,-AF25,0)*VLOOKUP(AF$44,'Energy Heat Value Conversion'!$A:$E,5,FALSE),0)</f>
        <v>0</v>
      </c>
      <c r="AG127">
        <f>IFERROR(IF(AG25&lt;0,-AG25,0)*VLOOKUP(AG$44,'Energy Heat Value Conversion'!$A:$E,5,FALSE),0)</f>
        <v>0</v>
      </c>
      <c r="AH127">
        <f>IFERROR(IF(AH25&lt;0,-AH25,0)*VLOOKUP(AH$44,'Energy Heat Value Conversion'!$A:$E,5,FALSE),0)</f>
        <v>0</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8C4EB-B1B4-44C7-B31D-0FCAEA238B69}">
  <sheetPr codeName="Sheet15"/>
  <dimension ref="A1:AV137"/>
  <sheetViews>
    <sheetView zoomScale="70" zoomScaleNormal="70" workbookViewId="0">
      <pane xSplit="2" ySplit="1" topLeftCell="P85" activePane="bottomRight" state="frozen"/>
      <selection pane="topRight" activeCell="C1" sqref="C1"/>
      <selection pane="bottomLeft" activeCell="A2" sqref="A2"/>
      <selection pane="bottomRight" activeCell="Y137" sqref="Y137"/>
    </sheetView>
  </sheetViews>
  <sheetFormatPr defaultRowHeight="14.25" x14ac:dyDescent="0.2"/>
  <cols>
    <col min="1" max="1" width="9" style="206"/>
    <col min="2" max="2" width="24.25" customWidth="1"/>
    <col min="3" max="34" width="8.125" customWidth="1"/>
    <col min="36" max="36" width="13.375" customWidth="1"/>
    <col min="37" max="39" width="6.75" customWidth="1"/>
    <col min="40" max="40" width="26" bestFit="1" customWidth="1"/>
    <col min="41" max="41" width="19" customWidth="1"/>
    <col min="42" max="42" width="7.875" customWidth="1"/>
    <col min="43" max="43" width="12.5" customWidth="1"/>
    <col min="44" max="44" width="13" customWidth="1"/>
    <col min="45" max="45" width="8.375" style="191" customWidth="1"/>
    <col min="46" max="48" width="6.75" customWidth="1"/>
  </cols>
  <sheetData>
    <row r="1" spans="2:48" s="206" customFormat="1" x14ac:dyDescent="0.2">
      <c r="C1" s="206" t="str">
        <f>IFERROR(VLOOKUP(C3,'Fuel Code Switch'!$B$2:$D$35,3,FALSE),"")</f>
        <v/>
      </c>
      <c r="D1" s="206" t="str">
        <f>IFERROR(VLOOKUP(D3,'Fuel Code Switch'!$B$2:$D$35,3,FALSE),"")</f>
        <v>coal</v>
      </c>
      <c r="E1" s="206" t="str">
        <f>IFERROR(VLOOKUP(E3,'Fuel Code Switch'!$B$2:$D$35,3,FALSE),"")</f>
        <v>coal</v>
      </c>
      <c r="F1" s="206" t="str">
        <f>IFERROR(VLOOKUP(F3,'Fuel Code Switch'!$B$2:$D$35,3,FALSE),"")</f>
        <v>coal</v>
      </c>
      <c r="G1" s="206" t="str">
        <f>IFERROR(VLOOKUP(G3,'Fuel Code Switch'!$B$2:$D$35,3,FALSE),"")</f>
        <v/>
      </c>
      <c r="H1" s="206" t="str">
        <f>IFERROR(VLOOKUP(H3,'Fuel Code Switch'!$B$2:$D$35,3,FALSE),"")</f>
        <v>coal</v>
      </c>
      <c r="I1" s="206" t="str">
        <f>IFERROR(VLOOKUP(I3,'Fuel Code Switch'!$B$2:$D$35,3,FALSE),"")</f>
        <v>coal</v>
      </c>
      <c r="J1" s="206" t="str">
        <f>IFERROR(VLOOKUP(J3,'Fuel Code Switch'!$B$2:$D$35,3,FALSE),"")</f>
        <v>LPG propane or butane</v>
      </c>
      <c r="K1" s="206" t="str">
        <f>IFERROR(VLOOKUP(K3,'Fuel Code Switch'!$B$2:$D$35,3,FALSE),"")</f>
        <v>LPG propane or butane</v>
      </c>
      <c r="L1" s="206" t="str">
        <f>IFERROR(VLOOKUP(L3,'Fuel Code Switch'!$B$2:$D$35,3,FALSE),"")</f>
        <v>LPG propane or butane</v>
      </c>
      <c r="M1" s="206" t="str">
        <f>IFERROR(VLOOKUP(M3,'Fuel Code Switch'!$B$2:$D$35,3,FALSE),"")</f>
        <v>LPG propane or butane</v>
      </c>
      <c r="N1" s="206" t="str">
        <f>IFERROR(VLOOKUP(N3,'Fuel Code Switch'!$B$2:$D$35,3,FALSE),"")</f>
        <v>petroleum diesel</v>
      </c>
      <c r="O1" s="206" t="str">
        <f>IFERROR(VLOOKUP(O3,'Fuel Code Switch'!$B$2:$D$35,3,FALSE),"")</f>
        <v/>
      </c>
      <c r="P1" s="206" t="str">
        <f>IFERROR(VLOOKUP(P3,'Fuel Code Switch'!$B$2:$D$35,3,FALSE),"")</f>
        <v>crude oil</v>
      </c>
      <c r="Q1" s="206" t="str">
        <f>IFERROR(VLOOKUP(Q3,'Fuel Code Switch'!$B$2:$D$35,3,FALSE),"")</f>
        <v>petroleum diesel</v>
      </c>
      <c r="R1" s="206" t="str">
        <f>IFERROR(VLOOKUP(R3,'Fuel Code Switch'!$B$2:$D$35,3,FALSE),"")</f>
        <v>petroleum diesel</v>
      </c>
      <c r="S1" s="206" t="str">
        <f>IFERROR(VLOOKUP(S3,'Fuel Code Switch'!$B$2:$D$35,3,FALSE),"")</f>
        <v>petroleum diesel</v>
      </c>
      <c r="T1" s="206" t="str">
        <f>IFERROR(VLOOKUP(T3,'Fuel Code Switch'!$B$2:$D$35,3,FALSE),"")</f>
        <v>heavy fuel oil</v>
      </c>
      <c r="U1" s="206" t="str">
        <f>IFERROR(VLOOKUP(U3,'Fuel Code Switch'!$B$2:$D$35,3,FALSE),"")</f>
        <v>LPG propane or butane</v>
      </c>
      <c r="V1" s="206" t="str">
        <f>IFERROR(VLOOKUP(V3,'Fuel Code Switch'!$B$2:$D$35,3,FALSE),"")</f>
        <v>LPG propane or butane</v>
      </c>
      <c r="W1" s="206" t="str">
        <f>IFERROR(VLOOKUP(W3,'Fuel Code Switch'!$B$2:$D$35,3,FALSE),"")</f>
        <v>heavy fuel oil</v>
      </c>
      <c r="X1" s="206" t="str">
        <f>IFERROR(VLOOKUP(X3,'Fuel Code Switch'!$B$2:$D$35,3,FALSE),"")</f>
        <v>heavy fuel oil</v>
      </c>
      <c r="Y1" s="206" t="str">
        <f>IFERROR(VLOOKUP(Y3,'Fuel Code Switch'!$B$2:$D$35,3,FALSE),"")</f>
        <v>heavy fuel oil</v>
      </c>
      <c r="Z1" s="206" t="str">
        <f>IFERROR(VLOOKUP(Z3,'Fuel Code Switch'!$B$2:$D$35,3,FALSE),"")</f>
        <v>heavy fuel oil</v>
      </c>
      <c r="AA1" s="206" t="str">
        <f>IFERROR(VLOOKUP(AA3,'Fuel Code Switch'!$B$2:$D$35,3,FALSE),"")</f>
        <v>LPG propane or butane</v>
      </c>
      <c r="AB1" s="206" t="str">
        <f>IFERROR(VLOOKUP(AB3,'Fuel Code Switch'!$B$2:$D$35,3,FALSE),"")</f>
        <v>LPG propane or butane</v>
      </c>
      <c r="AC1" s="206" t="str">
        <f>IFERROR(VLOOKUP(AC3,'Fuel Code Switch'!$B$2:$D$35,3,FALSE),"")</f>
        <v>heavy fuel oil</v>
      </c>
      <c r="AD1" s="206" t="str">
        <f>IFERROR(VLOOKUP(AD3,'Fuel Code Switch'!$B$2:$D$35,3,FALSE),"")</f>
        <v>natural gas</v>
      </c>
      <c r="AE1" s="206" t="str">
        <f>IFERROR(VLOOKUP(AE3,'Fuel Code Switch'!$B$2:$D$35,3,FALSE),"")</f>
        <v>natural gas</v>
      </c>
      <c r="AF1" s="206" t="str">
        <f>IFERROR(VLOOKUP(AF3,'Fuel Code Switch'!$B$2:$D$35,3,FALSE),"")</f>
        <v>heat</v>
      </c>
      <c r="AG1" s="206" t="str">
        <f>IFERROR(VLOOKUP(AG3,'Fuel Code Switch'!$B$2:$D$35,3,FALSE),"")</f>
        <v>electricity</v>
      </c>
      <c r="AH1" s="206" t="str">
        <f>IFERROR(VLOOKUP(AH3,'Fuel Code Switch'!$B$2:$D$35,3,FALSE),"")</f>
        <v>biomass</v>
      </c>
      <c r="AS1" s="207"/>
    </row>
    <row r="3" spans="2:48" x14ac:dyDescent="0.2">
      <c r="B3" t="s">
        <v>625</v>
      </c>
      <c r="C3" s="155" t="s">
        <v>563</v>
      </c>
      <c r="D3" s="155" t="s">
        <v>409</v>
      </c>
      <c r="E3" s="155" t="s">
        <v>411</v>
      </c>
      <c r="F3" s="155" t="s">
        <v>431</v>
      </c>
      <c r="G3" s="155" t="s">
        <v>545</v>
      </c>
      <c r="H3" s="155" t="s">
        <v>429</v>
      </c>
      <c r="I3" s="193" t="s">
        <v>478</v>
      </c>
      <c r="J3" s="155" t="s">
        <v>446</v>
      </c>
      <c r="K3" s="193" t="s">
        <v>448</v>
      </c>
      <c r="L3" s="193" t="s">
        <v>450</v>
      </c>
      <c r="M3" s="155" t="s">
        <v>452</v>
      </c>
      <c r="N3" s="155" t="s">
        <v>434</v>
      </c>
      <c r="O3" s="165" t="s">
        <v>562</v>
      </c>
      <c r="P3" s="165" t="s">
        <v>404</v>
      </c>
      <c r="Q3" s="165" t="s">
        <v>443</v>
      </c>
      <c r="R3" s="165" t="s">
        <v>426</v>
      </c>
      <c r="S3" s="165" t="s">
        <v>436</v>
      </c>
      <c r="T3" s="165" t="s">
        <v>419</v>
      </c>
      <c r="U3" s="195" t="s">
        <v>454</v>
      </c>
      <c r="V3" s="195" t="s">
        <v>456</v>
      </c>
      <c r="W3" s="195" t="s">
        <v>458</v>
      </c>
      <c r="X3" s="195" t="s">
        <v>421</v>
      </c>
      <c r="Y3" s="195" t="s">
        <v>438</v>
      </c>
      <c r="Z3" s="195" t="s">
        <v>440</v>
      </c>
      <c r="AA3" s="165" t="s">
        <v>460</v>
      </c>
      <c r="AB3" s="195" t="s">
        <v>462</v>
      </c>
      <c r="AC3" s="165" t="s">
        <v>423</v>
      </c>
      <c r="AD3" s="167" t="s">
        <v>465</v>
      </c>
      <c r="AE3" s="167" t="s">
        <v>467</v>
      </c>
      <c r="AF3" s="168" t="s">
        <v>416</v>
      </c>
      <c r="AG3" s="169" t="s">
        <v>407</v>
      </c>
      <c r="AH3" s="172" t="s">
        <v>479</v>
      </c>
      <c r="AJ3" s="41" t="s">
        <v>620</v>
      </c>
      <c r="AV3" t="s">
        <v>621</v>
      </c>
    </row>
    <row r="4" spans="2:48" x14ac:dyDescent="0.2">
      <c r="C4" s="156" t="s">
        <v>543</v>
      </c>
      <c r="D4" s="156" t="s">
        <v>543</v>
      </c>
      <c r="E4" s="156" t="s">
        <v>543</v>
      </c>
      <c r="F4" s="156" t="s">
        <v>543</v>
      </c>
      <c r="G4" s="156" t="s">
        <v>546</v>
      </c>
      <c r="H4" s="156" t="s">
        <v>546</v>
      </c>
      <c r="I4" s="162" t="s">
        <v>543</v>
      </c>
      <c r="J4" s="156" t="s">
        <v>549</v>
      </c>
      <c r="K4" s="162" t="s">
        <v>549</v>
      </c>
      <c r="L4" s="162" t="s">
        <v>549</v>
      </c>
      <c r="M4" s="156" t="s">
        <v>549</v>
      </c>
      <c r="N4" s="156" t="s">
        <v>543</v>
      </c>
      <c r="O4" s="156" t="s">
        <v>543</v>
      </c>
      <c r="P4" s="156" t="s">
        <v>543</v>
      </c>
      <c r="Q4" s="156" t="s">
        <v>543</v>
      </c>
      <c r="R4" s="156" t="s">
        <v>543</v>
      </c>
      <c r="S4" s="156" t="s">
        <v>543</v>
      </c>
      <c r="T4" s="156" t="s">
        <v>543</v>
      </c>
      <c r="U4" s="162" t="s">
        <v>543</v>
      </c>
      <c r="V4" s="162" t="s">
        <v>543</v>
      </c>
      <c r="W4" s="162" t="s">
        <v>543</v>
      </c>
      <c r="X4" s="162" t="s">
        <v>543</v>
      </c>
      <c r="Y4" s="162" t="s">
        <v>543</v>
      </c>
      <c r="Z4" s="162" t="s">
        <v>543</v>
      </c>
      <c r="AA4" s="156" t="s">
        <v>543</v>
      </c>
      <c r="AB4" s="162" t="s">
        <v>543</v>
      </c>
      <c r="AC4" s="156" t="s">
        <v>543</v>
      </c>
      <c r="AD4" s="156" t="s">
        <v>549</v>
      </c>
      <c r="AE4" s="156" t="s">
        <v>543</v>
      </c>
      <c r="AF4" s="161" t="s">
        <v>555</v>
      </c>
      <c r="AG4" s="161" t="s">
        <v>557</v>
      </c>
      <c r="AH4" s="166" t="s">
        <v>559</v>
      </c>
      <c r="AJ4" s="155" t="s">
        <v>448</v>
      </c>
      <c r="AK4" s="147">
        <v>8638.81</v>
      </c>
      <c r="AL4" s="190"/>
      <c r="AM4">
        <f t="shared" ref="AM4:AM9" si="0">AL4/AK4</f>
        <v>0</v>
      </c>
      <c r="AV4" s="203">
        <f t="shared" ref="AV4:AV12" si="1">AM3</f>
        <v>0</v>
      </c>
    </row>
    <row r="5" spans="2:48" x14ac:dyDescent="0.2">
      <c r="B5" s="137" t="s">
        <v>480</v>
      </c>
      <c r="C5" s="192">
        <f t="shared" ref="C5:J5" si="2">MAX(C7:C49)</f>
        <v>0</v>
      </c>
      <c r="D5" s="192">
        <f t="shared" si="2"/>
        <v>0.88331744093067133</v>
      </c>
      <c r="E5" s="192">
        <f t="shared" si="2"/>
        <v>0</v>
      </c>
      <c r="F5" s="192">
        <f t="shared" si="2"/>
        <v>0.23427152233654946</v>
      </c>
      <c r="G5" s="192">
        <f t="shared" si="2"/>
        <v>0.69404207078977231</v>
      </c>
      <c r="H5" s="192">
        <f t="shared" si="2"/>
        <v>0</v>
      </c>
      <c r="I5" s="194">
        <f t="shared" si="2"/>
        <v>0.44786129844283412</v>
      </c>
      <c r="J5" s="192">
        <f t="shared" si="2"/>
        <v>0.1467895015168805</v>
      </c>
      <c r="K5" s="194">
        <f t="shared" ref="K5:AE5" si="3">MAX(K7:K49)</f>
        <v>0</v>
      </c>
      <c r="L5" s="194">
        <f t="shared" si="3"/>
        <v>0</v>
      </c>
      <c r="M5" s="192">
        <f t="shared" si="3"/>
        <v>0</v>
      </c>
      <c r="N5" s="192">
        <f t="shared" si="3"/>
        <v>0.476671612887616</v>
      </c>
      <c r="O5" s="192">
        <f t="shared" si="3"/>
        <v>0</v>
      </c>
      <c r="P5" s="192">
        <f t="shared" si="3"/>
        <v>0</v>
      </c>
      <c r="Q5" s="192">
        <f t="shared" si="3"/>
        <v>0.20267791447648301</v>
      </c>
      <c r="R5" s="192">
        <f t="shared" si="3"/>
        <v>1</v>
      </c>
      <c r="S5" s="192">
        <f t="shared" si="3"/>
        <v>2.3590804702244252E-2</v>
      </c>
      <c r="T5" s="192">
        <f t="shared" si="3"/>
        <v>0.72591157188882005</v>
      </c>
      <c r="U5" s="194">
        <f t="shared" si="3"/>
        <v>0.95267269157810175</v>
      </c>
      <c r="V5" s="194">
        <f t="shared" si="3"/>
        <v>0.17535903250189033</v>
      </c>
      <c r="W5" s="194">
        <f t="shared" si="3"/>
        <v>1</v>
      </c>
      <c r="X5" s="194">
        <f t="shared" si="3"/>
        <v>1</v>
      </c>
      <c r="Y5" s="194">
        <f t="shared" si="3"/>
        <v>1</v>
      </c>
      <c r="Z5" s="194">
        <f t="shared" si="3"/>
        <v>0.94479104116789248</v>
      </c>
      <c r="AA5" s="192">
        <f t="shared" si="3"/>
        <v>0.5</v>
      </c>
      <c r="AB5" s="194">
        <f t="shared" si="3"/>
        <v>6.8229258895560682E-2</v>
      </c>
      <c r="AC5" s="192">
        <f t="shared" si="3"/>
        <v>0.53962180891254963</v>
      </c>
      <c r="AD5" s="192">
        <f t="shared" si="3"/>
        <v>0.421067212573279</v>
      </c>
      <c r="AE5" s="192">
        <f t="shared" si="3"/>
        <v>0.15617194903909501</v>
      </c>
      <c r="AF5" s="192">
        <f>MAX(AF7:AF29)</f>
        <v>0</v>
      </c>
      <c r="AG5" s="192">
        <f>MAX(AG7:AG29)</f>
        <v>0</v>
      </c>
      <c r="AH5" s="192">
        <f>MAX(AH7:AH29)</f>
        <v>0</v>
      </c>
      <c r="AJ5" s="155" t="s">
        <v>450</v>
      </c>
      <c r="AK5" s="147">
        <v>651.37</v>
      </c>
      <c r="AL5" s="190"/>
      <c r="AM5">
        <f t="shared" si="0"/>
        <v>0</v>
      </c>
      <c r="AV5" s="203">
        <f t="shared" si="1"/>
        <v>0</v>
      </c>
    </row>
    <row r="6" spans="2:48" x14ac:dyDescent="0.2">
      <c r="B6" s="137" t="s">
        <v>622</v>
      </c>
      <c r="C6" s="192" t="e">
        <f>[1]InputData!C31/[1]InputData!C30</f>
        <v>#REF!</v>
      </c>
      <c r="D6" s="192">
        <f>'Input Data'!D31/'Input Data'!D30</f>
        <v>0.25932760323452864</v>
      </c>
      <c r="E6" s="192" t="e">
        <f>'Input Data'!E31/'Input Data'!E30</f>
        <v>#DIV/0!</v>
      </c>
      <c r="F6" s="192">
        <f>'Input Data'!F31/'Input Data'!F30</f>
        <v>0.17311393668914166</v>
      </c>
      <c r="G6" s="192">
        <f>'Input Data'!G31/'Input Data'!G30</f>
        <v>0.18412493316699341</v>
      </c>
      <c r="H6" s="192" t="e">
        <f>'Input Data'!H31/'Input Data'!H30</f>
        <v>#DIV/0!</v>
      </c>
      <c r="I6" s="192">
        <f>'Input Data'!I31/'Input Data'!I30</f>
        <v>3.8099901790011666E-2</v>
      </c>
      <c r="J6" s="192">
        <f>'Input Data'!J31/'Input Data'!J30</f>
        <v>0.1467895015168805</v>
      </c>
      <c r="K6" s="192">
        <f>'Input Data'!K31/'Input Data'!K30</f>
        <v>0</v>
      </c>
      <c r="L6" s="192">
        <f>'Input Data'!L31/'Input Data'!L30</f>
        <v>0</v>
      </c>
      <c r="M6" s="192">
        <f>'Input Data'!M31/'Input Data'!M30</f>
        <v>0</v>
      </c>
      <c r="N6" s="192">
        <f>'Input Data'!N31/'Input Data'!N30</f>
        <v>0.36925625773483972</v>
      </c>
      <c r="O6" s="192">
        <f>'Input Data'!O31/'Input Data'!O30</f>
        <v>0.58924104290131274</v>
      </c>
      <c r="P6" s="192">
        <f>'Input Data'!P31/'Input Data'!P30</f>
        <v>0</v>
      </c>
      <c r="Q6" s="192">
        <f>'Input Data'!Q31/'Input Data'!Q30</f>
        <v>1.5400922808330218E-2</v>
      </c>
      <c r="R6" s="192">
        <f>'Input Data'!R31/'Input Data'!R30</f>
        <v>0.19382321618743342</v>
      </c>
      <c r="S6" s="192">
        <f>'Input Data'!S31/'Input Data'!S30</f>
        <v>2.3590804702244252E-2</v>
      </c>
      <c r="T6" s="192">
        <f>'Input Data'!T31/'Input Data'!T30</f>
        <v>0.16467987342320864</v>
      </c>
      <c r="U6" s="192">
        <f>'Input Data'!U31/'Input Data'!U30</f>
        <v>0.93067948060187522</v>
      </c>
      <c r="V6" s="192">
        <f>'Input Data'!V31/'Input Data'!V30</f>
        <v>0.91851519904399148</v>
      </c>
      <c r="W6" s="192">
        <f>'Input Data'!W31/'Input Data'!W30</f>
        <v>0.98042480197770043</v>
      </c>
      <c r="X6" s="192">
        <f>'Input Data'!X31/'Input Data'!X30</f>
        <v>0.94112318840579723</v>
      </c>
      <c r="Y6" s="192">
        <f>'Input Data'!Y31/'Input Data'!Y30</f>
        <v>0.87016479743648434</v>
      </c>
      <c r="Z6" s="192">
        <f>'Input Data'!Z31/'Input Data'!Z30</f>
        <v>0.76595509276382145</v>
      </c>
      <c r="AA6" s="192">
        <f>'Input Data'!AA31/'Input Data'!AA30</f>
        <v>0.34721370972587762</v>
      </c>
      <c r="AB6" s="192">
        <f>'Input Data'!AB31/'Input Data'!AB30</f>
        <v>6.8229258895560682E-2</v>
      </c>
      <c r="AC6" s="192">
        <f>'Input Data'!AC31/'Input Data'!AC30</f>
        <v>0.53599995102630493</v>
      </c>
      <c r="AD6" s="192">
        <f>'Input Data'!AD31/'Input Data'!AD30</f>
        <v>0.14218579768118769</v>
      </c>
      <c r="AE6" s="192">
        <f>'Input Data'!AE31/'Input Data'!AE30</f>
        <v>2.3142382878782931E-2</v>
      </c>
      <c r="AF6" s="145"/>
      <c r="AG6" s="145"/>
      <c r="AH6" s="145"/>
      <c r="AJ6" s="155" t="s">
        <v>452</v>
      </c>
      <c r="AK6" s="147">
        <v>97.63</v>
      </c>
      <c r="AL6" s="190"/>
      <c r="AM6">
        <f t="shared" si="0"/>
        <v>0</v>
      </c>
      <c r="AV6" s="203">
        <f t="shared" si="1"/>
        <v>0</v>
      </c>
    </row>
    <row r="7" spans="2:48" x14ac:dyDescent="0.2">
      <c r="B7" s="137" t="s">
        <v>480</v>
      </c>
      <c r="C7" s="192">
        <f t="shared" ref="C7:L16" si="4">IFERROR(VLOOKUP(C$3,$AJ$4:$AV$94,13,FALSE),0)</f>
        <v>0</v>
      </c>
      <c r="D7" s="192">
        <f t="shared" si="4"/>
        <v>0</v>
      </c>
      <c r="E7" s="192">
        <f t="shared" si="4"/>
        <v>0</v>
      </c>
      <c r="F7" s="192">
        <f t="shared" si="4"/>
        <v>0</v>
      </c>
      <c r="G7" s="192">
        <f t="shared" si="4"/>
        <v>0</v>
      </c>
      <c r="H7" s="192">
        <f t="shared" si="4"/>
        <v>0</v>
      </c>
      <c r="I7" s="192">
        <f t="shared" si="4"/>
        <v>0</v>
      </c>
      <c r="J7" s="192">
        <f t="shared" si="4"/>
        <v>0.1467895015168805</v>
      </c>
      <c r="K7" s="192">
        <f t="shared" si="4"/>
        <v>0</v>
      </c>
      <c r="L7" s="192">
        <f t="shared" si="4"/>
        <v>0</v>
      </c>
      <c r="M7" s="192">
        <f t="shared" ref="M7:V16" si="5">IFERROR(VLOOKUP(M$3,$AJ$4:$AV$94,13,FALSE),0)</f>
        <v>0</v>
      </c>
      <c r="N7" s="192">
        <f t="shared" si="5"/>
        <v>0.2408051012749145</v>
      </c>
      <c r="O7" s="192">
        <f t="shared" si="5"/>
        <v>0</v>
      </c>
      <c r="P7" s="192">
        <f t="shared" si="5"/>
        <v>0</v>
      </c>
      <c r="Q7" s="192">
        <f t="shared" si="5"/>
        <v>4.5415999192012311E-3</v>
      </c>
      <c r="R7" s="192">
        <f t="shared" si="5"/>
        <v>0.19123931623931623</v>
      </c>
      <c r="S7" s="192">
        <f t="shared" si="5"/>
        <v>2.3590804702244252E-2</v>
      </c>
      <c r="T7" s="192">
        <f t="shared" si="5"/>
        <v>8.1490982973226531E-2</v>
      </c>
      <c r="U7" s="192">
        <f t="shared" si="5"/>
        <v>0</v>
      </c>
      <c r="V7" s="192">
        <f t="shared" si="5"/>
        <v>0.17535903250189033</v>
      </c>
      <c r="W7" s="192">
        <f t="shared" ref="W7:AH16" si="6">IFERROR(VLOOKUP(W$3,$AJ$4:$AV$94,13,FALSE),0)</f>
        <v>0.25240847784200438</v>
      </c>
      <c r="X7" s="192">
        <f t="shared" si="6"/>
        <v>0.42350332594235135</v>
      </c>
      <c r="Y7" s="192">
        <f t="shared" si="6"/>
        <v>0.33944687045123723</v>
      </c>
      <c r="Z7" s="192">
        <f t="shared" si="6"/>
        <v>0</v>
      </c>
      <c r="AA7" s="192">
        <f t="shared" si="6"/>
        <v>0</v>
      </c>
      <c r="AB7" s="192">
        <f t="shared" si="6"/>
        <v>6.8229258895560682E-2</v>
      </c>
      <c r="AC7" s="192">
        <f t="shared" si="6"/>
        <v>0</v>
      </c>
      <c r="AD7" s="192">
        <f t="shared" si="6"/>
        <v>2.0638298923525582E-2</v>
      </c>
      <c r="AE7" s="192">
        <f t="shared" si="6"/>
        <v>1.1342101050037532E-2</v>
      </c>
      <c r="AF7" s="192">
        <f t="shared" si="6"/>
        <v>0</v>
      </c>
      <c r="AG7" s="192">
        <f t="shared" si="6"/>
        <v>0</v>
      </c>
      <c r="AH7" s="192">
        <f t="shared" si="6"/>
        <v>0</v>
      </c>
      <c r="AJ7" s="165" t="s">
        <v>404</v>
      </c>
      <c r="AK7" s="147">
        <v>419.03</v>
      </c>
      <c r="AL7" s="190"/>
      <c r="AM7">
        <f t="shared" si="0"/>
        <v>0</v>
      </c>
      <c r="AV7" s="203">
        <f t="shared" si="1"/>
        <v>0</v>
      </c>
    </row>
    <row r="8" spans="2:48" x14ac:dyDescent="0.2">
      <c r="B8" s="137" t="s">
        <v>481</v>
      </c>
      <c r="C8" s="192">
        <f t="shared" si="4"/>
        <v>0</v>
      </c>
      <c r="D8" s="192">
        <f t="shared" si="4"/>
        <v>0</v>
      </c>
      <c r="E8" s="192">
        <f t="shared" si="4"/>
        <v>0</v>
      </c>
      <c r="F8" s="192">
        <f t="shared" si="4"/>
        <v>0</v>
      </c>
      <c r="G8" s="192">
        <f t="shared" si="4"/>
        <v>0</v>
      </c>
      <c r="H8" s="192">
        <f t="shared" si="4"/>
        <v>0</v>
      </c>
      <c r="I8" s="192">
        <f t="shared" si="4"/>
        <v>0</v>
      </c>
      <c r="J8" s="192">
        <f t="shared" si="4"/>
        <v>0.1467895015168805</v>
      </c>
      <c r="K8" s="192">
        <f t="shared" si="4"/>
        <v>0</v>
      </c>
      <c r="L8" s="192">
        <f t="shared" si="4"/>
        <v>0</v>
      </c>
      <c r="M8" s="192">
        <f t="shared" si="5"/>
        <v>0</v>
      </c>
      <c r="N8" s="192">
        <f t="shared" si="5"/>
        <v>0.2408051012749145</v>
      </c>
      <c r="O8" s="192">
        <f t="shared" si="5"/>
        <v>0</v>
      </c>
      <c r="P8" s="192">
        <f t="shared" si="5"/>
        <v>0</v>
      </c>
      <c r="Q8" s="192">
        <f t="shared" si="5"/>
        <v>4.5415999192012311E-3</v>
      </c>
      <c r="R8" s="192">
        <f t="shared" si="5"/>
        <v>0.19123931623931623</v>
      </c>
      <c r="S8" s="192">
        <f t="shared" si="5"/>
        <v>2.3590804702244252E-2</v>
      </c>
      <c r="T8" s="192">
        <f t="shared" si="5"/>
        <v>8.1490982973226531E-2</v>
      </c>
      <c r="U8" s="192">
        <f t="shared" si="5"/>
        <v>0</v>
      </c>
      <c r="V8" s="192">
        <f t="shared" si="5"/>
        <v>0.17535903250189033</v>
      </c>
      <c r="W8" s="192">
        <f t="shared" si="6"/>
        <v>0.25240847784200438</v>
      </c>
      <c r="X8" s="192">
        <f t="shared" si="6"/>
        <v>0.42350332594235135</v>
      </c>
      <c r="Y8" s="192">
        <f t="shared" si="6"/>
        <v>0.33944687045123723</v>
      </c>
      <c r="Z8" s="192">
        <f t="shared" si="6"/>
        <v>0</v>
      </c>
      <c r="AA8" s="192">
        <f t="shared" si="6"/>
        <v>0</v>
      </c>
      <c r="AB8" s="192">
        <f t="shared" si="6"/>
        <v>6.8229258895560682E-2</v>
      </c>
      <c r="AC8" s="192">
        <f t="shared" si="6"/>
        <v>0</v>
      </c>
      <c r="AD8" s="192">
        <f t="shared" si="6"/>
        <v>2.0638298923525582E-2</v>
      </c>
      <c r="AE8" s="192">
        <f t="shared" si="6"/>
        <v>1.1342101050037532E-2</v>
      </c>
      <c r="AF8" s="192">
        <f t="shared" si="6"/>
        <v>0</v>
      </c>
      <c r="AG8" s="192">
        <f t="shared" si="6"/>
        <v>0</v>
      </c>
      <c r="AH8" s="192">
        <f t="shared" si="6"/>
        <v>0</v>
      </c>
      <c r="AJ8" s="168" t="s">
        <v>416</v>
      </c>
      <c r="AK8" s="147">
        <v>412216.71</v>
      </c>
      <c r="AL8" s="190"/>
      <c r="AM8">
        <f t="shared" si="0"/>
        <v>0</v>
      </c>
      <c r="AV8" s="203">
        <f t="shared" si="1"/>
        <v>0</v>
      </c>
    </row>
    <row r="9" spans="2:48" x14ac:dyDescent="0.2">
      <c r="B9" s="138" t="s">
        <v>2</v>
      </c>
      <c r="C9" s="192">
        <f t="shared" si="4"/>
        <v>0</v>
      </c>
      <c r="D9" s="192">
        <f t="shared" si="4"/>
        <v>0</v>
      </c>
      <c r="E9" s="192">
        <f t="shared" si="4"/>
        <v>0</v>
      </c>
      <c r="F9" s="192">
        <f t="shared" si="4"/>
        <v>0</v>
      </c>
      <c r="G9" s="192">
        <f t="shared" si="4"/>
        <v>0</v>
      </c>
      <c r="H9" s="192">
        <f t="shared" si="4"/>
        <v>0</v>
      </c>
      <c r="I9" s="192">
        <f t="shared" si="4"/>
        <v>0</v>
      </c>
      <c r="J9" s="192">
        <f t="shared" si="4"/>
        <v>0.1467895015168805</v>
      </c>
      <c r="K9" s="192">
        <f t="shared" si="4"/>
        <v>0</v>
      </c>
      <c r="L9" s="192">
        <f t="shared" si="4"/>
        <v>0</v>
      </c>
      <c r="M9" s="192">
        <f t="shared" si="5"/>
        <v>0</v>
      </c>
      <c r="N9" s="192">
        <f t="shared" si="5"/>
        <v>0.2408051012749145</v>
      </c>
      <c r="O9" s="192">
        <f t="shared" si="5"/>
        <v>0</v>
      </c>
      <c r="P9" s="192">
        <f t="shared" si="5"/>
        <v>0</v>
      </c>
      <c r="Q9" s="192">
        <f t="shared" si="5"/>
        <v>4.5415999192012311E-3</v>
      </c>
      <c r="R9" s="192">
        <f t="shared" si="5"/>
        <v>0.19123931623931623</v>
      </c>
      <c r="S9" s="192">
        <f t="shared" si="5"/>
        <v>2.3590804702244252E-2</v>
      </c>
      <c r="T9" s="192">
        <f t="shared" si="5"/>
        <v>8.1490982973226531E-2</v>
      </c>
      <c r="U9" s="192">
        <f t="shared" si="5"/>
        <v>0</v>
      </c>
      <c r="V9" s="192">
        <f t="shared" si="5"/>
        <v>0.17535903250189033</v>
      </c>
      <c r="W9" s="192">
        <f t="shared" si="6"/>
        <v>0.25240847784200438</v>
      </c>
      <c r="X9" s="192">
        <f t="shared" si="6"/>
        <v>0.42350332594235135</v>
      </c>
      <c r="Y9" s="192">
        <f t="shared" si="6"/>
        <v>0.33944687045123723</v>
      </c>
      <c r="Z9" s="192">
        <f t="shared" si="6"/>
        <v>0</v>
      </c>
      <c r="AA9" s="192">
        <f t="shared" si="6"/>
        <v>0</v>
      </c>
      <c r="AB9" s="192">
        <f t="shared" si="6"/>
        <v>6.8229258895560682E-2</v>
      </c>
      <c r="AC9" s="192">
        <f t="shared" si="6"/>
        <v>0</v>
      </c>
      <c r="AD9" s="192">
        <f t="shared" si="6"/>
        <v>2.0638298923525582E-2</v>
      </c>
      <c r="AE9" s="192">
        <f t="shared" si="6"/>
        <v>1.1342101050037532E-2</v>
      </c>
      <c r="AF9" s="192">
        <f t="shared" si="6"/>
        <v>0</v>
      </c>
      <c r="AG9" s="192">
        <f t="shared" si="6"/>
        <v>0</v>
      </c>
      <c r="AH9" s="192">
        <f t="shared" si="6"/>
        <v>0</v>
      </c>
      <c r="AJ9" s="169" t="s">
        <v>407</v>
      </c>
      <c r="AK9" s="147">
        <v>49119.96</v>
      </c>
      <c r="AL9" s="190"/>
      <c r="AM9">
        <f t="shared" si="0"/>
        <v>0</v>
      </c>
      <c r="AV9" s="203">
        <f t="shared" si="1"/>
        <v>0</v>
      </c>
    </row>
    <row r="10" spans="2:48" x14ac:dyDescent="0.2">
      <c r="B10" s="138" t="s">
        <v>3</v>
      </c>
      <c r="C10" s="192">
        <f t="shared" si="4"/>
        <v>0</v>
      </c>
      <c r="D10" s="192">
        <f t="shared" si="4"/>
        <v>0</v>
      </c>
      <c r="E10" s="192">
        <f t="shared" si="4"/>
        <v>0</v>
      </c>
      <c r="F10" s="192">
        <f t="shared" si="4"/>
        <v>0</v>
      </c>
      <c r="G10" s="192">
        <f t="shared" si="4"/>
        <v>0</v>
      </c>
      <c r="H10" s="192">
        <f t="shared" si="4"/>
        <v>0</v>
      </c>
      <c r="I10" s="192">
        <f t="shared" si="4"/>
        <v>0</v>
      </c>
      <c r="J10" s="192">
        <f t="shared" si="4"/>
        <v>0.1467895015168805</v>
      </c>
      <c r="K10" s="192">
        <f t="shared" si="4"/>
        <v>0</v>
      </c>
      <c r="L10" s="192">
        <f t="shared" si="4"/>
        <v>0</v>
      </c>
      <c r="M10" s="192">
        <f t="shared" si="5"/>
        <v>0</v>
      </c>
      <c r="N10" s="192">
        <f t="shared" si="5"/>
        <v>0.2408051012749145</v>
      </c>
      <c r="O10" s="192">
        <f t="shared" si="5"/>
        <v>0</v>
      </c>
      <c r="P10" s="192">
        <f t="shared" si="5"/>
        <v>0</v>
      </c>
      <c r="Q10" s="192">
        <f t="shared" si="5"/>
        <v>4.5415999192012311E-3</v>
      </c>
      <c r="R10" s="192">
        <f t="shared" si="5"/>
        <v>0.19123931623931623</v>
      </c>
      <c r="S10" s="192">
        <f t="shared" si="5"/>
        <v>2.3590804702244252E-2</v>
      </c>
      <c r="T10" s="192">
        <f t="shared" si="5"/>
        <v>8.1490982973226531E-2</v>
      </c>
      <c r="U10" s="192">
        <f t="shared" si="5"/>
        <v>0</v>
      </c>
      <c r="V10" s="192">
        <f t="shared" si="5"/>
        <v>0.17535903250189033</v>
      </c>
      <c r="W10" s="192">
        <f t="shared" si="6"/>
        <v>0.25240847784200438</v>
      </c>
      <c r="X10" s="192">
        <f t="shared" si="6"/>
        <v>0.42350332594235135</v>
      </c>
      <c r="Y10" s="192">
        <f t="shared" si="6"/>
        <v>0.33944687045123723</v>
      </c>
      <c r="Z10" s="192">
        <f t="shared" si="6"/>
        <v>0</v>
      </c>
      <c r="AA10" s="192">
        <f t="shared" si="6"/>
        <v>0</v>
      </c>
      <c r="AB10" s="192">
        <f t="shared" si="6"/>
        <v>6.8229258895560682E-2</v>
      </c>
      <c r="AC10" s="192">
        <f t="shared" si="6"/>
        <v>0</v>
      </c>
      <c r="AD10" s="192">
        <f t="shared" si="6"/>
        <v>2.0638298923525582E-2</v>
      </c>
      <c r="AE10" s="192">
        <f t="shared" si="6"/>
        <v>1.1342101050037532E-2</v>
      </c>
      <c r="AF10" s="192">
        <f t="shared" si="6"/>
        <v>0</v>
      </c>
      <c r="AG10" s="192">
        <f t="shared" si="6"/>
        <v>0</v>
      </c>
      <c r="AH10" s="192">
        <f t="shared" si="6"/>
        <v>0</v>
      </c>
      <c r="AJ10" s="155" t="s">
        <v>411</v>
      </c>
      <c r="AK10" s="197">
        <v>0</v>
      </c>
      <c r="AL10" s="190"/>
      <c r="AM10">
        <v>0</v>
      </c>
      <c r="AV10" s="203">
        <f t="shared" si="1"/>
        <v>0</v>
      </c>
    </row>
    <row r="11" spans="2:48" x14ac:dyDescent="0.2">
      <c r="B11" s="138" t="s">
        <v>4</v>
      </c>
      <c r="C11" s="192">
        <f t="shared" si="4"/>
        <v>0</v>
      </c>
      <c r="D11" s="192">
        <f t="shared" si="4"/>
        <v>0</v>
      </c>
      <c r="E11" s="192">
        <f t="shared" si="4"/>
        <v>0</v>
      </c>
      <c r="F11" s="192">
        <f t="shared" si="4"/>
        <v>0</v>
      </c>
      <c r="G11" s="192">
        <f t="shared" si="4"/>
        <v>0</v>
      </c>
      <c r="H11" s="192">
        <f t="shared" si="4"/>
        <v>0</v>
      </c>
      <c r="I11" s="192">
        <f t="shared" si="4"/>
        <v>0</v>
      </c>
      <c r="J11" s="192">
        <f t="shared" si="4"/>
        <v>0.1467895015168805</v>
      </c>
      <c r="K11" s="192">
        <f t="shared" si="4"/>
        <v>0</v>
      </c>
      <c r="L11" s="192">
        <f t="shared" si="4"/>
        <v>0</v>
      </c>
      <c r="M11" s="192">
        <f t="shared" si="5"/>
        <v>0</v>
      </c>
      <c r="N11" s="192">
        <f t="shared" si="5"/>
        <v>0.2408051012749145</v>
      </c>
      <c r="O11" s="192">
        <f t="shared" si="5"/>
        <v>0</v>
      </c>
      <c r="P11" s="192">
        <f t="shared" si="5"/>
        <v>0</v>
      </c>
      <c r="Q11" s="192">
        <f t="shared" si="5"/>
        <v>4.5415999192012311E-3</v>
      </c>
      <c r="R11" s="192">
        <f t="shared" si="5"/>
        <v>0.19123931623931623</v>
      </c>
      <c r="S11" s="192">
        <f t="shared" si="5"/>
        <v>2.3590804702244252E-2</v>
      </c>
      <c r="T11" s="192">
        <f t="shared" si="5"/>
        <v>8.1490982973226531E-2</v>
      </c>
      <c r="U11" s="192">
        <f t="shared" si="5"/>
        <v>0</v>
      </c>
      <c r="V11" s="192">
        <f t="shared" si="5"/>
        <v>0.17535903250189033</v>
      </c>
      <c r="W11" s="192">
        <f t="shared" si="6"/>
        <v>0.25240847784200438</v>
      </c>
      <c r="X11" s="192">
        <f t="shared" si="6"/>
        <v>0.42350332594235135</v>
      </c>
      <c r="Y11" s="192">
        <f t="shared" si="6"/>
        <v>0.33944687045123723</v>
      </c>
      <c r="Z11" s="192">
        <f t="shared" si="6"/>
        <v>0</v>
      </c>
      <c r="AA11" s="192">
        <f t="shared" si="6"/>
        <v>0</v>
      </c>
      <c r="AB11" s="192">
        <f t="shared" si="6"/>
        <v>6.8229258895560682E-2</v>
      </c>
      <c r="AC11" s="192">
        <f t="shared" si="6"/>
        <v>0</v>
      </c>
      <c r="AD11" s="192">
        <f t="shared" si="6"/>
        <v>2.0638298923525582E-2</v>
      </c>
      <c r="AE11" s="192">
        <f t="shared" si="6"/>
        <v>1.1342101050037532E-2</v>
      </c>
      <c r="AF11" s="192">
        <f t="shared" si="6"/>
        <v>0</v>
      </c>
      <c r="AG11" s="192">
        <f t="shared" si="6"/>
        <v>0</v>
      </c>
      <c r="AH11" s="192">
        <f t="shared" si="6"/>
        <v>0</v>
      </c>
      <c r="AJ11" s="155" t="s">
        <v>429</v>
      </c>
      <c r="AK11" s="197">
        <v>0</v>
      </c>
      <c r="AL11" s="190"/>
      <c r="AM11">
        <v>0</v>
      </c>
      <c r="AV11" s="203">
        <f t="shared" si="1"/>
        <v>0</v>
      </c>
    </row>
    <row r="12" spans="2:48" x14ac:dyDescent="0.2">
      <c r="B12" s="138" t="s">
        <v>5</v>
      </c>
      <c r="C12" s="192">
        <f t="shared" si="4"/>
        <v>0</v>
      </c>
      <c r="D12" s="192">
        <f t="shared" si="4"/>
        <v>0</v>
      </c>
      <c r="E12" s="192">
        <f t="shared" si="4"/>
        <v>0</v>
      </c>
      <c r="F12" s="192">
        <f t="shared" si="4"/>
        <v>0</v>
      </c>
      <c r="G12" s="192">
        <f t="shared" si="4"/>
        <v>0</v>
      </c>
      <c r="H12" s="192">
        <f t="shared" si="4"/>
        <v>0</v>
      </c>
      <c r="I12" s="192">
        <f t="shared" si="4"/>
        <v>0</v>
      </c>
      <c r="J12" s="192">
        <f t="shared" si="4"/>
        <v>0.1467895015168805</v>
      </c>
      <c r="K12" s="192">
        <f t="shared" si="4"/>
        <v>0</v>
      </c>
      <c r="L12" s="192">
        <f t="shared" si="4"/>
        <v>0</v>
      </c>
      <c r="M12" s="192">
        <f t="shared" si="5"/>
        <v>0</v>
      </c>
      <c r="N12" s="192">
        <f t="shared" si="5"/>
        <v>0.2408051012749145</v>
      </c>
      <c r="O12" s="192">
        <f t="shared" si="5"/>
        <v>0</v>
      </c>
      <c r="P12" s="192">
        <f t="shared" si="5"/>
        <v>0</v>
      </c>
      <c r="Q12" s="192">
        <f t="shared" si="5"/>
        <v>4.5415999192012311E-3</v>
      </c>
      <c r="R12" s="192">
        <f t="shared" si="5"/>
        <v>0.19123931623931623</v>
      </c>
      <c r="S12" s="192">
        <f t="shared" si="5"/>
        <v>2.3590804702244252E-2</v>
      </c>
      <c r="T12" s="192">
        <f t="shared" si="5"/>
        <v>8.1490982973226531E-2</v>
      </c>
      <c r="U12" s="192">
        <f t="shared" si="5"/>
        <v>0</v>
      </c>
      <c r="V12" s="192">
        <f t="shared" si="5"/>
        <v>0.17535903250189033</v>
      </c>
      <c r="W12" s="192">
        <f t="shared" si="6"/>
        <v>0.25240847784200438</v>
      </c>
      <c r="X12" s="192">
        <f t="shared" si="6"/>
        <v>0.42350332594235135</v>
      </c>
      <c r="Y12" s="192">
        <f t="shared" si="6"/>
        <v>0.33944687045123723</v>
      </c>
      <c r="Z12" s="192">
        <f t="shared" si="6"/>
        <v>0</v>
      </c>
      <c r="AA12" s="192">
        <f t="shared" si="6"/>
        <v>0</v>
      </c>
      <c r="AB12" s="192">
        <f t="shared" si="6"/>
        <v>6.8229258895560682E-2</v>
      </c>
      <c r="AC12" s="192">
        <f t="shared" si="6"/>
        <v>0</v>
      </c>
      <c r="AD12" s="192">
        <f t="shared" si="6"/>
        <v>2.0638298923525582E-2</v>
      </c>
      <c r="AE12" s="192">
        <f t="shared" si="6"/>
        <v>1.1342101050037532E-2</v>
      </c>
      <c r="AF12" s="192">
        <f t="shared" si="6"/>
        <v>0</v>
      </c>
      <c r="AG12" s="192">
        <f t="shared" si="6"/>
        <v>0</v>
      </c>
      <c r="AH12" s="192">
        <f t="shared" si="6"/>
        <v>0</v>
      </c>
      <c r="AJ12" s="172" t="s">
        <v>479</v>
      </c>
      <c r="AK12" s="147">
        <v>990.53</v>
      </c>
      <c r="AL12">
        <v>0</v>
      </c>
      <c r="AM12">
        <v>0</v>
      </c>
      <c r="AV12" s="203">
        <f t="shared" si="1"/>
        <v>0</v>
      </c>
    </row>
    <row r="13" spans="2:48" x14ac:dyDescent="0.2">
      <c r="B13" s="138" t="s">
        <v>6</v>
      </c>
      <c r="C13" s="192">
        <f t="shared" si="4"/>
        <v>0</v>
      </c>
      <c r="D13" s="192">
        <f t="shared" si="4"/>
        <v>0</v>
      </c>
      <c r="E13" s="192">
        <f t="shared" si="4"/>
        <v>0</v>
      </c>
      <c r="F13" s="192">
        <f t="shared" si="4"/>
        <v>0</v>
      </c>
      <c r="G13" s="192">
        <f t="shared" si="4"/>
        <v>0</v>
      </c>
      <c r="H13" s="192">
        <f t="shared" si="4"/>
        <v>0</v>
      </c>
      <c r="I13" s="192">
        <f t="shared" si="4"/>
        <v>0</v>
      </c>
      <c r="J13" s="192">
        <f t="shared" si="4"/>
        <v>0.1467895015168805</v>
      </c>
      <c r="K13" s="192">
        <f t="shared" si="4"/>
        <v>0</v>
      </c>
      <c r="L13" s="192">
        <f t="shared" si="4"/>
        <v>0</v>
      </c>
      <c r="M13" s="192">
        <f t="shared" si="5"/>
        <v>0</v>
      </c>
      <c r="N13" s="192">
        <f t="shared" si="5"/>
        <v>0.2408051012749145</v>
      </c>
      <c r="O13" s="192">
        <f t="shared" si="5"/>
        <v>0</v>
      </c>
      <c r="P13" s="192">
        <f t="shared" si="5"/>
        <v>0</v>
      </c>
      <c r="Q13" s="192">
        <f t="shared" si="5"/>
        <v>4.5415999192012311E-3</v>
      </c>
      <c r="R13" s="192">
        <f t="shared" si="5"/>
        <v>0.19123931623931623</v>
      </c>
      <c r="S13" s="192">
        <f t="shared" si="5"/>
        <v>2.3590804702244252E-2</v>
      </c>
      <c r="T13" s="192">
        <f t="shared" si="5"/>
        <v>8.1490982973226531E-2</v>
      </c>
      <c r="U13" s="192">
        <f t="shared" si="5"/>
        <v>0</v>
      </c>
      <c r="V13" s="192">
        <f t="shared" si="5"/>
        <v>0.17535903250189033</v>
      </c>
      <c r="W13" s="192">
        <f t="shared" si="6"/>
        <v>0.25240847784200438</v>
      </c>
      <c r="X13" s="192">
        <f t="shared" si="6"/>
        <v>0.42350332594235135</v>
      </c>
      <c r="Y13" s="192">
        <f t="shared" si="6"/>
        <v>0.33944687045123723</v>
      </c>
      <c r="Z13" s="192">
        <f t="shared" si="6"/>
        <v>0</v>
      </c>
      <c r="AA13" s="192">
        <f t="shared" si="6"/>
        <v>0</v>
      </c>
      <c r="AB13" s="192">
        <f t="shared" si="6"/>
        <v>6.8229258895560682E-2</v>
      </c>
      <c r="AC13" s="192">
        <f t="shared" si="6"/>
        <v>0</v>
      </c>
      <c r="AD13" s="192">
        <f t="shared" si="6"/>
        <v>2.0638298923525582E-2</v>
      </c>
      <c r="AE13" s="192">
        <f t="shared" si="6"/>
        <v>1.1342101050037532E-2</v>
      </c>
      <c r="AF13" s="192">
        <f t="shared" si="6"/>
        <v>0</v>
      </c>
      <c r="AG13" s="192">
        <f t="shared" si="6"/>
        <v>0</v>
      </c>
      <c r="AH13" s="192">
        <f t="shared" si="6"/>
        <v>0</v>
      </c>
    </row>
    <row r="14" spans="2:48" x14ac:dyDescent="0.2">
      <c r="B14" s="138" t="s">
        <v>7</v>
      </c>
      <c r="C14" s="192">
        <f t="shared" si="4"/>
        <v>0</v>
      </c>
      <c r="D14" s="192">
        <f t="shared" si="4"/>
        <v>0</v>
      </c>
      <c r="E14" s="192">
        <f t="shared" si="4"/>
        <v>0</v>
      </c>
      <c r="F14" s="192">
        <f t="shared" si="4"/>
        <v>0</v>
      </c>
      <c r="G14" s="192">
        <f t="shared" si="4"/>
        <v>0</v>
      </c>
      <c r="H14" s="192">
        <f t="shared" si="4"/>
        <v>0</v>
      </c>
      <c r="I14" s="192">
        <f t="shared" si="4"/>
        <v>0</v>
      </c>
      <c r="J14" s="192">
        <f t="shared" si="4"/>
        <v>0.1467895015168805</v>
      </c>
      <c r="K14" s="192">
        <f t="shared" si="4"/>
        <v>0</v>
      </c>
      <c r="L14" s="192">
        <f t="shared" si="4"/>
        <v>0</v>
      </c>
      <c r="M14" s="192">
        <f t="shared" si="5"/>
        <v>0</v>
      </c>
      <c r="N14" s="192">
        <f t="shared" si="5"/>
        <v>0.2408051012749145</v>
      </c>
      <c r="O14" s="192">
        <f t="shared" si="5"/>
        <v>0</v>
      </c>
      <c r="P14" s="192">
        <f t="shared" si="5"/>
        <v>0</v>
      </c>
      <c r="Q14" s="192">
        <f t="shared" si="5"/>
        <v>4.5415999192012311E-3</v>
      </c>
      <c r="R14" s="192">
        <f t="shared" si="5"/>
        <v>0.19123931623931623</v>
      </c>
      <c r="S14" s="192">
        <f t="shared" si="5"/>
        <v>2.3590804702244252E-2</v>
      </c>
      <c r="T14" s="192">
        <f t="shared" si="5"/>
        <v>8.1490982973226531E-2</v>
      </c>
      <c r="U14" s="192">
        <f t="shared" si="5"/>
        <v>0</v>
      </c>
      <c r="V14" s="192">
        <f t="shared" si="5"/>
        <v>0.17535903250189033</v>
      </c>
      <c r="W14" s="192">
        <f t="shared" si="6"/>
        <v>0.25240847784200438</v>
      </c>
      <c r="X14" s="192">
        <f t="shared" si="6"/>
        <v>0.42350332594235135</v>
      </c>
      <c r="Y14" s="192">
        <f t="shared" si="6"/>
        <v>0.33944687045123723</v>
      </c>
      <c r="Z14" s="192">
        <f t="shared" si="6"/>
        <v>0</v>
      </c>
      <c r="AA14" s="192">
        <f t="shared" si="6"/>
        <v>0</v>
      </c>
      <c r="AB14" s="192">
        <f t="shared" si="6"/>
        <v>6.8229258895560682E-2</v>
      </c>
      <c r="AC14" s="192">
        <f t="shared" si="6"/>
        <v>0</v>
      </c>
      <c r="AD14" s="192">
        <f t="shared" si="6"/>
        <v>2.0638298923525582E-2</v>
      </c>
      <c r="AE14" s="192">
        <f t="shared" si="6"/>
        <v>1.1342101050037532E-2</v>
      </c>
      <c r="AF14" s="192">
        <f t="shared" si="6"/>
        <v>0</v>
      </c>
      <c r="AG14" s="192">
        <f t="shared" si="6"/>
        <v>0</v>
      </c>
      <c r="AH14" s="192">
        <f t="shared" si="6"/>
        <v>0</v>
      </c>
      <c r="AJ14" s="41" t="s">
        <v>575</v>
      </c>
    </row>
    <row r="15" spans="2:48" x14ac:dyDescent="0.2">
      <c r="B15" s="138" t="s">
        <v>8</v>
      </c>
      <c r="C15" s="192">
        <f t="shared" si="4"/>
        <v>0</v>
      </c>
      <c r="D15" s="192">
        <f t="shared" si="4"/>
        <v>0</v>
      </c>
      <c r="E15" s="192">
        <f t="shared" si="4"/>
        <v>0</v>
      </c>
      <c r="F15" s="192">
        <f t="shared" si="4"/>
        <v>0</v>
      </c>
      <c r="G15" s="192">
        <f t="shared" si="4"/>
        <v>0</v>
      </c>
      <c r="H15" s="192">
        <f t="shared" si="4"/>
        <v>0</v>
      </c>
      <c r="I15" s="192">
        <f t="shared" si="4"/>
        <v>0</v>
      </c>
      <c r="J15" s="192">
        <f t="shared" si="4"/>
        <v>0.1467895015168805</v>
      </c>
      <c r="K15" s="192">
        <f t="shared" si="4"/>
        <v>0</v>
      </c>
      <c r="L15" s="192">
        <f t="shared" si="4"/>
        <v>0</v>
      </c>
      <c r="M15" s="192">
        <f t="shared" si="5"/>
        <v>0</v>
      </c>
      <c r="N15" s="192">
        <f t="shared" si="5"/>
        <v>0.2408051012749145</v>
      </c>
      <c r="O15" s="192">
        <f t="shared" si="5"/>
        <v>0</v>
      </c>
      <c r="P15" s="192">
        <f t="shared" si="5"/>
        <v>0</v>
      </c>
      <c r="Q15" s="192">
        <f t="shared" si="5"/>
        <v>4.5415999192012311E-3</v>
      </c>
      <c r="R15" s="192">
        <f t="shared" si="5"/>
        <v>0.19123931623931623</v>
      </c>
      <c r="S15" s="192">
        <f t="shared" si="5"/>
        <v>2.3590804702244252E-2</v>
      </c>
      <c r="T15" s="192">
        <f t="shared" si="5"/>
        <v>8.1490982973226531E-2</v>
      </c>
      <c r="U15" s="192">
        <f t="shared" si="5"/>
        <v>0</v>
      </c>
      <c r="V15" s="192">
        <f t="shared" si="5"/>
        <v>0.17535903250189033</v>
      </c>
      <c r="W15" s="192">
        <f t="shared" si="6"/>
        <v>0.25240847784200438</v>
      </c>
      <c r="X15" s="192">
        <f t="shared" si="6"/>
        <v>0.42350332594235135</v>
      </c>
      <c r="Y15" s="192">
        <f t="shared" si="6"/>
        <v>0.33944687045123723</v>
      </c>
      <c r="Z15" s="192">
        <f t="shared" si="6"/>
        <v>0</v>
      </c>
      <c r="AA15" s="192">
        <f t="shared" si="6"/>
        <v>0</v>
      </c>
      <c r="AB15" s="192">
        <f t="shared" si="6"/>
        <v>6.8229258895560682E-2</v>
      </c>
      <c r="AC15" s="192">
        <f t="shared" si="6"/>
        <v>0</v>
      </c>
      <c r="AD15" s="192">
        <f t="shared" si="6"/>
        <v>2.0638298923525582E-2</v>
      </c>
      <c r="AE15" s="192">
        <f t="shared" si="6"/>
        <v>1.1342101050037532E-2</v>
      </c>
      <c r="AF15" s="192">
        <f t="shared" si="6"/>
        <v>0</v>
      </c>
      <c r="AG15" s="192">
        <f t="shared" si="6"/>
        <v>0</v>
      </c>
      <c r="AH15" s="192">
        <f t="shared" si="6"/>
        <v>0</v>
      </c>
      <c r="AK15" t="s">
        <v>576</v>
      </c>
      <c r="AL15" t="s">
        <v>577</v>
      </c>
      <c r="AM15" t="s">
        <v>578</v>
      </c>
      <c r="AN15" t="s">
        <v>579</v>
      </c>
      <c r="AO15" t="s">
        <v>580</v>
      </c>
      <c r="AP15" t="s">
        <v>578</v>
      </c>
      <c r="AR15" t="s">
        <v>581</v>
      </c>
      <c r="AS15" s="191" t="s">
        <v>583</v>
      </c>
      <c r="AV15" t="s">
        <v>582</v>
      </c>
    </row>
    <row r="16" spans="2:48" x14ac:dyDescent="0.2">
      <c r="B16" s="137" t="s">
        <v>489</v>
      </c>
      <c r="C16" s="192">
        <f t="shared" si="4"/>
        <v>0</v>
      </c>
      <c r="D16" s="192">
        <f t="shared" si="4"/>
        <v>0</v>
      </c>
      <c r="E16" s="192">
        <f t="shared" si="4"/>
        <v>0</v>
      </c>
      <c r="F16" s="192">
        <f t="shared" si="4"/>
        <v>0</v>
      </c>
      <c r="G16" s="192">
        <f t="shared" si="4"/>
        <v>0</v>
      </c>
      <c r="H16" s="192">
        <f t="shared" si="4"/>
        <v>0</v>
      </c>
      <c r="I16" s="192">
        <f t="shared" si="4"/>
        <v>0</v>
      </c>
      <c r="J16" s="192">
        <f t="shared" si="4"/>
        <v>0.1467895015168805</v>
      </c>
      <c r="K16" s="192">
        <f t="shared" si="4"/>
        <v>0</v>
      </c>
      <c r="L16" s="192">
        <f t="shared" si="4"/>
        <v>0</v>
      </c>
      <c r="M16" s="192">
        <f t="shared" si="5"/>
        <v>0</v>
      </c>
      <c r="N16" s="192">
        <f t="shared" si="5"/>
        <v>0.2408051012749145</v>
      </c>
      <c r="O16" s="192">
        <f t="shared" si="5"/>
        <v>0</v>
      </c>
      <c r="P16" s="192">
        <f t="shared" si="5"/>
        <v>0</v>
      </c>
      <c r="Q16" s="192">
        <f t="shared" si="5"/>
        <v>4.5415999192012311E-3</v>
      </c>
      <c r="R16" s="192">
        <f t="shared" si="5"/>
        <v>0.19123931623931623</v>
      </c>
      <c r="S16" s="192">
        <f t="shared" si="5"/>
        <v>2.3590804702244252E-2</v>
      </c>
      <c r="T16" s="192">
        <f t="shared" si="5"/>
        <v>8.1490982973226531E-2</v>
      </c>
      <c r="U16" s="192">
        <f t="shared" si="5"/>
        <v>0</v>
      </c>
      <c r="V16" s="192">
        <f t="shared" si="5"/>
        <v>0.17535903250189033</v>
      </c>
      <c r="W16" s="192">
        <f t="shared" si="6"/>
        <v>0.25240847784200438</v>
      </c>
      <c r="X16" s="192">
        <f t="shared" si="6"/>
        <v>0.42350332594235135</v>
      </c>
      <c r="Y16" s="192">
        <f t="shared" si="6"/>
        <v>0.33944687045123723</v>
      </c>
      <c r="Z16" s="192">
        <f t="shared" si="6"/>
        <v>0</v>
      </c>
      <c r="AA16" s="192">
        <f t="shared" si="6"/>
        <v>0</v>
      </c>
      <c r="AB16" s="192">
        <f t="shared" si="6"/>
        <v>6.8229258895560682E-2</v>
      </c>
      <c r="AC16" s="192">
        <f t="shared" si="6"/>
        <v>0</v>
      </c>
      <c r="AD16" s="192">
        <f t="shared" si="6"/>
        <v>2.0638298923525582E-2</v>
      </c>
      <c r="AE16" s="192">
        <f t="shared" si="6"/>
        <v>1.1342101050037532E-2</v>
      </c>
      <c r="AF16" s="192">
        <f t="shared" si="6"/>
        <v>0</v>
      </c>
      <c r="AG16" s="192">
        <f t="shared" si="6"/>
        <v>0</v>
      </c>
      <c r="AH16" s="192">
        <f t="shared" si="6"/>
        <v>0</v>
      </c>
      <c r="AJ16" s="165" t="s">
        <v>458</v>
      </c>
      <c r="AK16" s="147">
        <v>198.21</v>
      </c>
      <c r="AL16" s="189">
        <v>194.33</v>
      </c>
      <c r="AM16" s="196">
        <f>AL16/AK16</f>
        <v>0.98042480197770043</v>
      </c>
      <c r="AN16" s="138" t="s">
        <v>503</v>
      </c>
      <c r="AO16" s="145">
        <v>193.02</v>
      </c>
      <c r="AP16" s="196">
        <f>AO16/AK16</f>
        <v>0.97381565006810955</v>
      </c>
      <c r="AR16">
        <f>AL16-AO16</f>
        <v>1.3100000000000023</v>
      </c>
      <c r="AS16" s="204">
        <f>IF(AR16&gt;0,100%,AL16/AO16)</f>
        <v>1</v>
      </c>
      <c r="AT16" s="198"/>
      <c r="AU16" s="198"/>
      <c r="AV16" s="203">
        <f>IF(AR16&gt;0,AR16/(AK16-AO16),0)</f>
        <v>0.25240847784200438</v>
      </c>
    </row>
    <row r="17" spans="2:48" x14ac:dyDescent="0.2">
      <c r="B17" s="138" t="s">
        <v>9</v>
      </c>
      <c r="C17" s="192">
        <f t="shared" ref="C17:L28" si="7">IFERROR(VLOOKUP(C$3,$AJ$4:$AV$94,13,FALSE),0)</f>
        <v>0</v>
      </c>
      <c r="D17" s="192">
        <f t="shared" si="7"/>
        <v>0</v>
      </c>
      <c r="E17" s="192">
        <f t="shared" si="7"/>
        <v>0</v>
      </c>
      <c r="F17" s="192">
        <f t="shared" si="7"/>
        <v>0</v>
      </c>
      <c r="G17" s="192">
        <f t="shared" si="7"/>
        <v>0</v>
      </c>
      <c r="H17" s="192">
        <f t="shared" si="7"/>
        <v>0</v>
      </c>
      <c r="I17" s="192">
        <f t="shared" si="7"/>
        <v>0</v>
      </c>
      <c r="J17" s="192">
        <f t="shared" si="7"/>
        <v>0.1467895015168805</v>
      </c>
      <c r="K17" s="192">
        <f t="shared" si="7"/>
        <v>0</v>
      </c>
      <c r="L17" s="192">
        <f t="shared" si="7"/>
        <v>0</v>
      </c>
      <c r="M17" s="192">
        <f t="shared" ref="M17:V28" si="8">IFERROR(VLOOKUP(M$3,$AJ$4:$AV$94,13,FALSE),0)</f>
        <v>0</v>
      </c>
      <c r="N17" s="192">
        <f t="shared" si="8"/>
        <v>0.2408051012749145</v>
      </c>
      <c r="O17" s="192">
        <f t="shared" si="8"/>
        <v>0</v>
      </c>
      <c r="P17" s="192">
        <f t="shared" si="8"/>
        <v>0</v>
      </c>
      <c r="Q17" s="192">
        <f t="shared" si="8"/>
        <v>4.5415999192012311E-3</v>
      </c>
      <c r="R17" s="192">
        <f t="shared" si="8"/>
        <v>0.19123931623931623</v>
      </c>
      <c r="S17" s="192">
        <f t="shared" si="8"/>
        <v>2.3590804702244252E-2</v>
      </c>
      <c r="T17" s="192">
        <f t="shared" si="8"/>
        <v>8.1490982973226531E-2</v>
      </c>
      <c r="U17" s="192">
        <f t="shared" si="8"/>
        <v>0</v>
      </c>
      <c r="V17" s="192">
        <f t="shared" si="8"/>
        <v>0.17535903250189033</v>
      </c>
      <c r="W17" s="192">
        <f t="shared" ref="W17:AH28" si="9">IFERROR(VLOOKUP(W$3,$AJ$4:$AV$94,13,FALSE),0)</f>
        <v>0.25240847784200438</v>
      </c>
      <c r="X17" s="192">
        <f t="shared" si="9"/>
        <v>0.42350332594235135</v>
      </c>
      <c r="Y17" s="192">
        <f t="shared" si="9"/>
        <v>0.33944687045123723</v>
      </c>
      <c r="Z17" s="192">
        <f t="shared" si="9"/>
        <v>0</v>
      </c>
      <c r="AA17" s="192">
        <f t="shared" si="9"/>
        <v>0</v>
      </c>
      <c r="AB17" s="192">
        <f t="shared" si="9"/>
        <v>6.8229258895560682E-2</v>
      </c>
      <c r="AC17" s="192">
        <f t="shared" si="9"/>
        <v>0</v>
      </c>
      <c r="AD17" s="192">
        <f t="shared" si="9"/>
        <v>2.0638298923525582E-2</v>
      </c>
      <c r="AE17" s="192">
        <f t="shared" si="9"/>
        <v>1.1342101050037532E-2</v>
      </c>
      <c r="AF17" s="192">
        <f t="shared" si="9"/>
        <v>0</v>
      </c>
      <c r="AG17" s="192">
        <f t="shared" si="9"/>
        <v>0</v>
      </c>
      <c r="AH17" s="192">
        <f t="shared" si="9"/>
        <v>0</v>
      </c>
      <c r="AJ17" s="165" t="s">
        <v>421</v>
      </c>
      <c r="AK17" s="147">
        <v>44.16</v>
      </c>
      <c r="AL17" s="189">
        <v>41.56</v>
      </c>
      <c r="AM17" s="196">
        <f>AL17/AK17</f>
        <v>0.94112318840579723</v>
      </c>
      <c r="AN17" s="138" t="s">
        <v>503</v>
      </c>
      <c r="AO17" s="145">
        <v>39.65</v>
      </c>
      <c r="AP17" s="196">
        <f t="shared" ref="AP17:AP23" si="10">AO17/AK17</f>
        <v>0.89787137681159424</v>
      </c>
      <c r="AR17">
        <f>AL17-AO17</f>
        <v>1.9100000000000037</v>
      </c>
      <c r="AS17" s="204">
        <f>IF(AR17&gt;0,100%,AL17/AO17)</f>
        <v>1</v>
      </c>
      <c r="AT17" s="198"/>
      <c r="AU17" s="198"/>
      <c r="AV17" s="203">
        <f>IF(AR17&gt;0,AR17/(AK17-AO17),0)</f>
        <v>0.42350332594235135</v>
      </c>
    </row>
    <row r="18" spans="2:48" x14ac:dyDescent="0.2">
      <c r="B18" s="138" t="s">
        <v>10</v>
      </c>
      <c r="C18" s="192">
        <f t="shared" si="7"/>
        <v>0</v>
      </c>
      <c r="D18" s="192">
        <f t="shared" si="7"/>
        <v>0</v>
      </c>
      <c r="E18" s="192">
        <f t="shared" si="7"/>
        <v>0</v>
      </c>
      <c r="F18" s="192">
        <f t="shared" si="7"/>
        <v>0</v>
      </c>
      <c r="G18" s="192">
        <f t="shared" si="7"/>
        <v>0</v>
      </c>
      <c r="H18" s="192">
        <f t="shared" si="7"/>
        <v>0</v>
      </c>
      <c r="I18" s="192">
        <f t="shared" si="7"/>
        <v>0</v>
      </c>
      <c r="J18" s="192">
        <f t="shared" si="7"/>
        <v>0.1467895015168805</v>
      </c>
      <c r="K18" s="192">
        <f t="shared" si="7"/>
        <v>0</v>
      </c>
      <c r="L18" s="192">
        <f t="shared" si="7"/>
        <v>0</v>
      </c>
      <c r="M18" s="192">
        <f t="shared" si="8"/>
        <v>0</v>
      </c>
      <c r="N18" s="192">
        <f t="shared" si="8"/>
        <v>0.2408051012749145</v>
      </c>
      <c r="O18" s="192">
        <f t="shared" si="8"/>
        <v>0</v>
      </c>
      <c r="P18" s="192">
        <f t="shared" si="8"/>
        <v>0</v>
      </c>
      <c r="Q18" s="192">
        <f t="shared" si="8"/>
        <v>4.5415999192012311E-3</v>
      </c>
      <c r="R18" s="192">
        <f t="shared" si="8"/>
        <v>0.19123931623931623</v>
      </c>
      <c r="S18" s="192">
        <f t="shared" si="8"/>
        <v>2.3590804702244252E-2</v>
      </c>
      <c r="T18" s="192">
        <f t="shared" si="8"/>
        <v>8.1490982973226531E-2</v>
      </c>
      <c r="U18" s="192">
        <f t="shared" si="8"/>
        <v>0</v>
      </c>
      <c r="V18" s="192">
        <f t="shared" si="8"/>
        <v>0.17535903250189033</v>
      </c>
      <c r="W18" s="192">
        <f t="shared" si="9"/>
        <v>0.25240847784200438</v>
      </c>
      <c r="X18" s="192">
        <f t="shared" si="9"/>
        <v>0.42350332594235135</v>
      </c>
      <c r="Y18" s="192">
        <f t="shared" si="9"/>
        <v>0.33944687045123723</v>
      </c>
      <c r="Z18" s="192">
        <f t="shared" si="9"/>
        <v>0</v>
      </c>
      <c r="AA18" s="192">
        <f t="shared" si="9"/>
        <v>0</v>
      </c>
      <c r="AB18" s="192">
        <f t="shared" si="9"/>
        <v>6.8229258895560682E-2</v>
      </c>
      <c r="AC18" s="192">
        <f t="shared" si="9"/>
        <v>0</v>
      </c>
      <c r="AD18" s="192">
        <f t="shared" si="9"/>
        <v>2.0638298923525582E-2</v>
      </c>
      <c r="AE18" s="192">
        <f t="shared" si="9"/>
        <v>1.1342101050037532E-2</v>
      </c>
      <c r="AF18" s="192">
        <f t="shared" si="9"/>
        <v>0</v>
      </c>
      <c r="AG18" s="192">
        <f t="shared" si="9"/>
        <v>0</v>
      </c>
      <c r="AH18" s="192">
        <f t="shared" si="9"/>
        <v>0</v>
      </c>
      <c r="AJ18" s="165" t="s">
        <v>454</v>
      </c>
      <c r="AK18" s="147">
        <v>6178.69</v>
      </c>
      <c r="AL18" s="189">
        <v>5750.38</v>
      </c>
      <c r="AM18" s="196">
        <f>AL18/AK18</f>
        <v>0.93067948060187522</v>
      </c>
      <c r="AN18" s="138" t="s">
        <v>503</v>
      </c>
      <c r="AO18" s="145">
        <v>4740.74</v>
      </c>
      <c r="AP18" s="196">
        <f t="shared" si="10"/>
        <v>0.76727267430474744</v>
      </c>
      <c r="AR18">
        <f>AL18-(AO18+AO19)</f>
        <v>-285.66999999999916</v>
      </c>
      <c r="AS18" s="204">
        <f>AL18/(AO18+AO19)</f>
        <v>0.95267269157810175</v>
      </c>
      <c r="AT18" s="198"/>
      <c r="AU18" s="198"/>
      <c r="AV18" s="203">
        <f>IF(AR18&gt;0,AR18/(AK18-AO18),0)</f>
        <v>0</v>
      </c>
    </row>
    <row r="19" spans="2:48" x14ac:dyDescent="0.2">
      <c r="B19" s="138" t="s">
        <v>11</v>
      </c>
      <c r="C19" s="192">
        <f t="shared" si="7"/>
        <v>0</v>
      </c>
      <c r="D19" s="192">
        <f t="shared" si="7"/>
        <v>0</v>
      </c>
      <c r="E19" s="192">
        <f t="shared" si="7"/>
        <v>0</v>
      </c>
      <c r="F19" s="192">
        <f t="shared" si="7"/>
        <v>0</v>
      </c>
      <c r="G19" s="192">
        <f t="shared" si="7"/>
        <v>0</v>
      </c>
      <c r="H19" s="192">
        <f t="shared" si="7"/>
        <v>0</v>
      </c>
      <c r="I19" s="192">
        <f t="shared" si="7"/>
        <v>0</v>
      </c>
      <c r="J19" s="192">
        <f t="shared" si="7"/>
        <v>0.1467895015168805</v>
      </c>
      <c r="K19" s="192">
        <f t="shared" si="7"/>
        <v>0</v>
      </c>
      <c r="L19" s="192">
        <f t="shared" si="7"/>
        <v>0</v>
      </c>
      <c r="M19" s="192">
        <f t="shared" si="8"/>
        <v>0</v>
      </c>
      <c r="N19" s="192">
        <f t="shared" si="8"/>
        <v>0.2408051012749145</v>
      </c>
      <c r="O19" s="192">
        <f t="shared" si="8"/>
        <v>0</v>
      </c>
      <c r="P19" s="192">
        <f t="shared" si="8"/>
        <v>0</v>
      </c>
      <c r="Q19" s="192">
        <f t="shared" si="8"/>
        <v>4.5415999192012311E-3</v>
      </c>
      <c r="R19" s="192">
        <f t="shared" si="8"/>
        <v>0.19123931623931623</v>
      </c>
      <c r="S19" s="192">
        <f t="shared" si="8"/>
        <v>2.3590804702244252E-2</v>
      </c>
      <c r="T19" s="192">
        <f t="shared" si="8"/>
        <v>8.1490982973226531E-2</v>
      </c>
      <c r="U19" s="192">
        <f t="shared" si="8"/>
        <v>0</v>
      </c>
      <c r="V19" s="192">
        <f t="shared" si="8"/>
        <v>0.17535903250189033</v>
      </c>
      <c r="W19" s="192">
        <f t="shared" si="9"/>
        <v>0.25240847784200438</v>
      </c>
      <c r="X19" s="192">
        <f t="shared" si="9"/>
        <v>0.42350332594235135</v>
      </c>
      <c r="Y19" s="192">
        <f t="shared" si="9"/>
        <v>0.33944687045123723</v>
      </c>
      <c r="Z19" s="192">
        <f t="shared" si="9"/>
        <v>0</v>
      </c>
      <c r="AA19" s="192">
        <f t="shared" si="9"/>
        <v>0</v>
      </c>
      <c r="AB19" s="192">
        <f t="shared" si="9"/>
        <v>6.8229258895560682E-2</v>
      </c>
      <c r="AC19" s="192">
        <f t="shared" si="9"/>
        <v>0</v>
      </c>
      <c r="AD19" s="192">
        <f t="shared" si="9"/>
        <v>2.0638298923525582E-2</v>
      </c>
      <c r="AE19" s="192">
        <f t="shared" si="9"/>
        <v>1.1342101050037532E-2</v>
      </c>
      <c r="AF19" s="192">
        <f t="shared" si="9"/>
        <v>0</v>
      </c>
      <c r="AG19" s="192">
        <f t="shared" si="9"/>
        <v>0</v>
      </c>
      <c r="AH19" s="192">
        <f t="shared" si="9"/>
        <v>0</v>
      </c>
      <c r="AN19" s="138" t="s">
        <v>502</v>
      </c>
      <c r="AO19" s="145">
        <v>1295.31</v>
      </c>
      <c r="AP19" s="196">
        <f>AO19/AK18</f>
        <v>0.20964152595453081</v>
      </c>
      <c r="AS19" s="204">
        <f>AS18</f>
        <v>0.95267269157810175</v>
      </c>
      <c r="AT19" s="198"/>
      <c r="AU19" s="198"/>
      <c r="AV19" s="191"/>
    </row>
    <row r="20" spans="2:48" x14ac:dyDescent="0.2">
      <c r="B20" s="138" t="s">
        <v>12</v>
      </c>
      <c r="C20" s="192">
        <f t="shared" si="7"/>
        <v>0</v>
      </c>
      <c r="D20" s="192">
        <f t="shared" si="7"/>
        <v>0</v>
      </c>
      <c r="E20" s="192">
        <f t="shared" si="7"/>
        <v>0</v>
      </c>
      <c r="F20" s="192">
        <f t="shared" si="7"/>
        <v>0</v>
      </c>
      <c r="G20" s="192">
        <f t="shared" si="7"/>
        <v>0</v>
      </c>
      <c r="H20" s="192">
        <f t="shared" si="7"/>
        <v>0</v>
      </c>
      <c r="I20" s="192">
        <f t="shared" si="7"/>
        <v>0</v>
      </c>
      <c r="J20" s="192">
        <f t="shared" si="7"/>
        <v>0.1467895015168805</v>
      </c>
      <c r="K20" s="192">
        <f t="shared" si="7"/>
        <v>0</v>
      </c>
      <c r="L20" s="192">
        <f t="shared" si="7"/>
        <v>0</v>
      </c>
      <c r="M20" s="192">
        <f t="shared" si="8"/>
        <v>0</v>
      </c>
      <c r="N20" s="192">
        <f t="shared" si="8"/>
        <v>0.2408051012749145</v>
      </c>
      <c r="O20" s="192">
        <f t="shared" si="8"/>
        <v>0</v>
      </c>
      <c r="P20" s="192">
        <f t="shared" si="8"/>
        <v>0</v>
      </c>
      <c r="Q20" s="192">
        <f t="shared" si="8"/>
        <v>4.5415999192012311E-3</v>
      </c>
      <c r="R20" s="192">
        <f t="shared" si="8"/>
        <v>0.19123931623931623</v>
      </c>
      <c r="S20" s="192">
        <f t="shared" si="8"/>
        <v>2.3590804702244252E-2</v>
      </c>
      <c r="T20" s="192">
        <f t="shared" si="8"/>
        <v>8.1490982973226531E-2</v>
      </c>
      <c r="U20" s="192">
        <f t="shared" si="8"/>
        <v>0</v>
      </c>
      <c r="V20" s="192">
        <f t="shared" si="8"/>
        <v>0.17535903250189033</v>
      </c>
      <c r="W20" s="192">
        <f t="shared" si="9"/>
        <v>0.25240847784200438</v>
      </c>
      <c r="X20" s="192">
        <f t="shared" si="9"/>
        <v>0.42350332594235135</v>
      </c>
      <c r="Y20" s="192">
        <f t="shared" si="9"/>
        <v>0.33944687045123723</v>
      </c>
      <c r="Z20" s="192">
        <f t="shared" si="9"/>
        <v>0</v>
      </c>
      <c r="AA20" s="192">
        <f t="shared" si="9"/>
        <v>0</v>
      </c>
      <c r="AB20" s="192">
        <f t="shared" si="9"/>
        <v>6.8229258895560682E-2</v>
      </c>
      <c r="AC20" s="192">
        <f t="shared" si="9"/>
        <v>0</v>
      </c>
      <c r="AD20" s="192">
        <f t="shared" si="9"/>
        <v>2.0638298923525582E-2</v>
      </c>
      <c r="AE20" s="192">
        <f t="shared" si="9"/>
        <v>1.1342101050037532E-2</v>
      </c>
      <c r="AF20" s="192">
        <f t="shared" si="9"/>
        <v>0</v>
      </c>
      <c r="AG20" s="192">
        <f t="shared" si="9"/>
        <v>0</v>
      </c>
      <c r="AH20" s="192">
        <f t="shared" si="9"/>
        <v>0</v>
      </c>
      <c r="AJ20" s="165" t="s">
        <v>456</v>
      </c>
      <c r="AK20" s="147">
        <v>267.77999999999997</v>
      </c>
      <c r="AL20" s="189">
        <v>245.96</v>
      </c>
      <c r="AM20" s="196">
        <f>AL20/AK20</f>
        <v>0.91851519904399148</v>
      </c>
      <c r="AN20" s="138" t="s">
        <v>502</v>
      </c>
      <c r="AO20" s="145">
        <v>241.32</v>
      </c>
      <c r="AP20" s="196">
        <f t="shared" si="10"/>
        <v>0.9011875420120995</v>
      </c>
      <c r="AR20">
        <f>AL20-AO20</f>
        <v>4.6400000000000148</v>
      </c>
      <c r="AS20" s="204">
        <f>IF(AR20&gt;0,100%,AL20/AO20)</f>
        <v>1</v>
      </c>
      <c r="AT20" s="198"/>
      <c r="AU20" s="198"/>
      <c r="AV20" s="203">
        <f>IF(AR20&gt;0,AR20/(AK20-AO20),0)</f>
        <v>0.17535903250189033</v>
      </c>
    </row>
    <row r="21" spans="2:48" x14ac:dyDescent="0.2">
      <c r="B21" s="138" t="s">
        <v>13</v>
      </c>
      <c r="C21" s="192">
        <f t="shared" si="7"/>
        <v>0</v>
      </c>
      <c r="D21" s="192">
        <f t="shared" si="7"/>
        <v>0</v>
      </c>
      <c r="E21" s="192">
        <f t="shared" si="7"/>
        <v>0</v>
      </c>
      <c r="F21" s="192">
        <f t="shared" si="7"/>
        <v>0</v>
      </c>
      <c r="G21" s="192">
        <f t="shared" si="7"/>
        <v>0</v>
      </c>
      <c r="H21" s="192">
        <f t="shared" si="7"/>
        <v>0</v>
      </c>
      <c r="I21" s="192">
        <f t="shared" si="7"/>
        <v>0</v>
      </c>
      <c r="J21" s="192">
        <f t="shared" si="7"/>
        <v>0.1467895015168805</v>
      </c>
      <c r="K21" s="192">
        <f t="shared" si="7"/>
        <v>0</v>
      </c>
      <c r="L21" s="192">
        <f t="shared" si="7"/>
        <v>0</v>
      </c>
      <c r="M21" s="192">
        <f t="shared" si="8"/>
        <v>0</v>
      </c>
      <c r="N21" s="192">
        <f t="shared" si="8"/>
        <v>0.2408051012749145</v>
      </c>
      <c r="O21" s="192">
        <f t="shared" si="8"/>
        <v>0</v>
      </c>
      <c r="P21" s="192">
        <f t="shared" si="8"/>
        <v>0</v>
      </c>
      <c r="Q21" s="192">
        <f t="shared" si="8"/>
        <v>4.5415999192012311E-3</v>
      </c>
      <c r="R21" s="192">
        <f t="shared" si="8"/>
        <v>0.19123931623931623</v>
      </c>
      <c r="S21" s="192">
        <f t="shared" si="8"/>
        <v>2.3590804702244252E-2</v>
      </c>
      <c r="T21" s="192">
        <f t="shared" si="8"/>
        <v>8.1490982973226531E-2</v>
      </c>
      <c r="U21" s="192">
        <f t="shared" si="8"/>
        <v>0</v>
      </c>
      <c r="V21" s="192">
        <f t="shared" si="8"/>
        <v>0.17535903250189033</v>
      </c>
      <c r="W21" s="192">
        <f t="shared" si="9"/>
        <v>0.25240847784200438</v>
      </c>
      <c r="X21" s="192">
        <f t="shared" si="9"/>
        <v>0.42350332594235135</v>
      </c>
      <c r="Y21" s="192">
        <f t="shared" si="9"/>
        <v>0.33944687045123723</v>
      </c>
      <c r="Z21" s="192">
        <f t="shared" si="9"/>
        <v>0</v>
      </c>
      <c r="AA21" s="192">
        <f t="shared" si="9"/>
        <v>0</v>
      </c>
      <c r="AB21" s="192">
        <f t="shared" si="9"/>
        <v>6.8229258895560682E-2</v>
      </c>
      <c r="AC21" s="192">
        <f t="shared" si="9"/>
        <v>0</v>
      </c>
      <c r="AD21" s="192">
        <f t="shared" si="9"/>
        <v>2.0638298923525582E-2</v>
      </c>
      <c r="AE21" s="192">
        <f t="shared" si="9"/>
        <v>1.1342101050037532E-2</v>
      </c>
      <c r="AF21" s="192">
        <f t="shared" si="9"/>
        <v>0</v>
      </c>
      <c r="AG21" s="192">
        <f t="shared" si="9"/>
        <v>0</v>
      </c>
      <c r="AH21" s="192">
        <f t="shared" si="9"/>
        <v>0</v>
      </c>
      <c r="AJ21" s="165" t="s">
        <v>438</v>
      </c>
      <c r="AK21" s="147">
        <v>349.52</v>
      </c>
      <c r="AL21" s="189">
        <v>304.14</v>
      </c>
      <c r="AM21" s="196">
        <f>AL21/AK21</f>
        <v>0.87016479743648434</v>
      </c>
      <c r="AN21" s="138" t="s">
        <v>507</v>
      </c>
      <c r="AO21" s="145">
        <v>280.82</v>
      </c>
      <c r="AP21" s="196">
        <f t="shared" si="10"/>
        <v>0.80344472419317925</v>
      </c>
      <c r="AR21">
        <f>AL21-AO21</f>
        <v>23.319999999999993</v>
      </c>
      <c r="AS21" s="204">
        <f>IF(AR21&gt;0,100%,AL21/AO21)</f>
        <v>1</v>
      </c>
      <c r="AT21" s="198"/>
      <c r="AU21" s="198"/>
      <c r="AV21" s="203">
        <f>IF(AR21&gt;0,AR21/(AK21-AO21),0)</f>
        <v>0.33944687045123723</v>
      </c>
    </row>
    <row r="22" spans="2:48" x14ac:dyDescent="0.2">
      <c r="B22" s="138" t="s">
        <v>14</v>
      </c>
      <c r="C22" s="192">
        <f t="shared" si="7"/>
        <v>0</v>
      </c>
      <c r="D22" s="192">
        <f t="shared" si="7"/>
        <v>0</v>
      </c>
      <c r="E22" s="192">
        <f t="shared" si="7"/>
        <v>0</v>
      </c>
      <c r="F22" s="192">
        <f t="shared" si="7"/>
        <v>0</v>
      </c>
      <c r="G22" s="192">
        <f t="shared" si="7"/>
        <v>0</v>
      </c>
      <c r="H22" s="192">
        <f t="shared" si="7"/>
        <v>0</v>
      </c>
      <c r="I22" s="192">
        <f t="shared" si="7"/>
        <v>0</v>
      </c>
      <c r="J22" s="192">
        <f t="shared" si="7"/>
        <v>0.1467895015168805</v>
      </c>
      <c r="K22" s="192">
        <f t="shared" si="7"/>
        <v>0</v>
      </c>
      <c r="L22" s="192">
        <f t="shared" si="7"/>
        <v>0</v>
      </c>
      <c r="M22" s="192">
        <f t="shared" si="8"/>
        <v>0</v>
      </c>
      <c r="N22" s="192">
        <f t="shared" si="8"/>
        <v>0.2408051012749145</v>
      </c>
      <c r="O22" s="192">
        <f t="shared" si="8"/>
        <v>0</v>
      </c>
      <c r="P22" s="192">
        <f t="shared" si="8"/>
        <v>0</v>
      </c>
      <c r="Q22" s="192">
        <f t="shared" si="8"/>
        <v>4.5415999192012311E-3</v>
      </c>
      <c r="R22" s="192">
        <f t="shared" si="8"/>
        <v>0.19123931623931623</v>
      </c>
      <c r="S22" s="192">
        <f t="shared" si="8"/>
        <v>2.3590804702244252E-2</v>
      </c>
      <c r="T22" s="192">
        <f t="shared" si="8"/>
        <v>8.1490982973226531E-2</v>
      </c>
      <c r="U22" s="192">
        <f t="shared" si="8"/>
        <v>0</v>
      </c>
      <c r="V22" s="192">
        <f t="shared" si="8"/>
        <v>0.17535903250189033</v>
      </c>
      <c r="W22" s="192">
        <f t="shared" si="9"/>
        <v>0.25240847784200438</v>
      </c>
      <c r="X22" s="192">
        <f t="shared" si="9"/>
        <v>0.42350332594235135</v>
      </c>
      <c r="Y22" s="192">
        <f t="shared" si="9"/>
        <v>0.33944687045123723</v>
      </c>
      <c r="Z22" s="192">
        <f t="shared" si="9"/>
        <v>0</v>
      </c>
      <c r="AA22" s="192">
        <f t="shared" si="9"/>
        <v>0</v>
      </c>
      <c r="AB22" s="192">
        <f t="shared" si="9"/>
        <v>6.8229258895560682E-2</v>
      </c>
      <c r="AC22" s="192">
        <f t="shared" si="9"/>
        <v>0</v>
      </c>
      <c r="AD22" s="192">
        <f t="shared" si="9"/>
        <v>2.0638298923525582E-2</v>
      </c>
      <c r="AE22" s="192">
        <f t="shared" si="9"/>
        <v>1.1342101050037532E-2</v>
      </c>
      <c r="AF22" s="192">
        <f t="shared" si="9"/>
        <v>0</v>
      </c>
      <c r="AG22" s="192">
        <f t="shared" si="9"/>
        <v>0</v>
      </c>
      <c r="AH22" s="192">
        <f t="shared" si="9"/>
        <v>0</v>
      </c>
      <c r="AJ22" s="165" t="s">
        <v>440</v>
      </c>
      <c r="AK22" s="147">
        <v>3163.41</v>
      </c>
      <c r="AL22" s="189">
        <v>2423.0300000000002</v>
      </c>
      <c r="AM22" s="196">
        <f>AL22/AK22</f>
        <v>0.76595509276382145</v>
      </c>
      <c r="AN22" s="138" t="s">
        <v>507</v>
      </c>
      <c r="AO22" s="145">
        <v>2564.62</v>
      </c>
      <c r="AP22" s="196">
        <f t="shared" si="10"/>
        <v>0.81071375509339605</v>
      </c>
      <c r="AR22">
        <f>AL22-AO22</f>
        <v>-141.58999999999969</v>
      </c>
      <c r="AS22" s="204">
        <f>IF(AR22&gt;0,100%,AL22/AO22)</f>
        <v>0.94479104116789248</v>
      </c>
      <c r="AT22" s="198"/>
      <c r="AU22" s="198"/>
      <c r="AV22" s="203">
        <f>IF(AR22&gt;0,AR22/(AK22-AO22),0)</f>
        <v>0</v>
      </c>
    </row>
    <row r="23" spans="2:48" x14ac:dyDescent="0.2">
      <c r="B23" s="138" t="s">
        <v>15</v>
      </c>
      <c r="C23" s="192">
        <f t="shared" si="7"/>
        <v>0</v>
      </c>
      <c r="D23" s="192">
        <f t="shared" si="7"/>
        <v>0</v>
      </c>
      <c r="E23" s="192">
        <f t="shared" si="7"/>
        <v>0</v>
      </c>
      <c r="F23" s="192">
        <f t="shared" si="7"/>
        <v>0</v>
      </c>
      <c r="G23" s="192">
        <f t="shared" si="7"/>
        <v>0</v>
      </c>
      <c r="H23" s="192">
        <f t="shared" si="7"/>
        <v>0</v>
      </c>
      <c r="I23" s="192">
        <f t="shared" si="7"/>
        <v>0</v>
      </c>
      <c r="J23" s="192">
        <f t="shared" si="7"/>
        <v>0.1467895015168805</v>
      </c>
      <c r="K23" s="192">
        <f t="shared" si="7"/>
        <v>0</v>
      </c>
      <c r="L23" s="192">
        <f t="shared" si="7"/>
        <v>0</v>
      </c>
      <c r="M23" s="192">
        <f t="shared" si="8"/>
        <v>0</v>
      </c>
      <c r="N23" s="192">
        <f t="shared" si="8"/>
        <v>0.2408051012749145</v>
      </c>
      <c r="O23" s="192">
        <f t="shared" si="8"/>
        <v>0</v>
      </c>
      <c r="P23" s="192">
        <f t="shared" si="8"/>
        <v>0</v>
      </c>
      <c r="Q23" s="192">
        <f t="shared" si="8"/>
        <v>4.5415999192012311E-3</v>
      </c>
      <c r="R23" s="192">
        <f t="shared" si="8"/>
        <v>0.19123931623931623</v>
      </c>
      <c r="S23" s="192">
        <f t="shared" si="8"/>
        <v>2.3590804702244252E-2</v>
      </c>
      <c r="T23" s="192">
        <f t="shared" si="8"/>
        <v>8.1490982973226531E-2</v>
      </c>
      <c r="U23" s="192">
        <f t="shared" si="8"/>
        <v>0</v>
      </c>
      <c r="V23" s="192">
        <f t="shared" si="8"/>
        <v>0.17535903250189033</v>
      </c>
      <c r="W23" s="192">
        <f t="shared" si="9"/>
        <v>0.25240847784200438</v>
      </c>
      <c r="X23" s="192">
        <f t="shared" si="9"/>
        <v>0.42350332594235135</v>
      </c>
      <c r="Y23" s="192">
        <f t="shared" si="9"/>
        <v>0.33944687045123723</v>
      </c>
      <c r="Z23" s="192">
        <f t="shared" si="9"/>
        <v>0</v>
      </c>
      <c r="AA23" s="192">
        <f t="shared" si="9"/>
        <v>0</v>
      </c>
      <c r="AB23" s="192">
        <f t="shared" si="9"/>
        <v>6.8229258895560682E-2</v>
      </c>
      <c r="AC23" s="192">
        <f t="shared" si="9"/>
        <v>0</v>
      </c>
      <c r="AD23" s="192">
        <f t="shared" si="9"/>
        <v>2.0638298923525582E-2</v>
      </c>
      <c r="AE23" s="192">
        <f t="shared" si="9"/>
        <v>1.1342101050037532E-2</v>
      </c>
      <c r="AF23" s="192">
        <f t="shared" si="9"/>
        <v>0</v>
      </c>
      <c r="AG23" s="192">
        <f t="shared" si="9"/>
        <v>0</v>
      </c>
      <c r="AH23" s="192">
        <f t="shared" si="9"/>
        <v>0</v>
      </c>
      <c r="AJ23" s="165" t="s">
        <v>423</v>
      </c>
      <c r="AK23" s="147">
        <v>8167.65</v>
      </c>
      <c r="AL23" s="189">
        <v>4377.8599999999997</v>
      </c>
      <c r="AM23" s="196">
        <f>AL23/AK23</f>
        <v>0.53599995102630493</v>
      </c>
      <c r="AN23" s="138" t="s">
        <v>503</v>
      </c>
      <c r="AO23" s="145">
        <v>1814.8</v>
      </c>
      <c r="AP23" s="196">
        <f t="shared" si="10"/>
        <v>0.22219365423346985</v>
      </c>
      <c r="AR23">
        <f>AL23-(AO23+AO24)</f>
        <v>-3734.9700000000003</v>
      </c>
      <c r="AS23" s="204">
        <f>AL23/(AO23+AO24)</f>
        <v>0.53962180891254963</v>
      </c>
      <c r="AT23" s="198"/>
      <c r="AU23" s="198"/>
      <c r="AV23" s="203">
        <f>IF(AR23&gt;0,AR23/(AK23-AO23),0)</f>
        <v>0</v>
      </c>
    </row>
    <row r="24" spans="2:48" x14ac:dyDescent="0.2">
      <c r="B24" s="138" t="s">
        <v>16</v>
      </c>
      <c r="C24" s="192">
        <f t="shared" si="7"/>
        <v>0</v>
      </c>
      <c r="D24" s="192">
        <f t="shared" si="7"/>
        <v>0</v>
      </c>
      <c r="E24" s="192">
        <f t="shared" si="7"/>
        <v>0</v>
      </c>
      <c r="F24" s="192">
        <f t="shared" si="7"/>
        <v>0</v>
      </c>
      <c r="G24" s="192">
        <f t="shared" si="7"/>
        <v>0</v>
      </c>
      <c r="H24" s="192">
        <f t="shared" si="7"/>
        <v>0</v>
      </c>
      <c r="I24" s="192">
        <f t="shared" si="7"/>
        <v>0</v>
      </c>
      <c r="J24" s="192">
        <f t="shared" si="7"/>
        <v>0.1467895015168805</v>
      </c>
      <c r="K24" s="192">
        <f t="shared" si="7"/>
        <v>0</v>
      </c>
      <c r="L24" s="192">
        <f t="shared" si="7"/>
        <v>0</v>
      </c>
      <c r="M24" s="192">
        <f t="shared" si="8"/>
        <v>0</v>
      </c>
      <c r="N24" s="192">
        <f t="shared" si="8"/>
        <v>0.2408051012749145</v>
      </c>
      <c r="O24" s="192">
        <f t="shared" si="8"/>
        <v>0</v>
      </c>
      <c r="P24" s="192">
        <f t="shared" si="8"/>
        <v>0</v>
      </c>
      <c r="Q24" s="192">
        <f t="shared" si="8"/>
        <v>4.5415999192012311E-3</v>
      </c>
      <c r="R24" s="192">
        <f t="shared" si="8"/>
        <v>0.19123931623931623</v>
      </c>
      <c r="S24" s="192">
        <f t="shared" si="8"/>
        <v>2.3590804702244252E-2</v>
      </c>
      <c r="T24" s="192">
        <f t="shared" si="8"/>
        <v>8.1490982973226531E-2</v>
      </c>
      <c r="U24" s="192">
        <f t="shared" si="8"/>
        <v>0</v>
      </c>
      <c r="V24" s="192">
        <f t="shared" si="8"/>
        <v>0.17535903250189033</v>
      </c>
      <c r="W24" s="192">
        <f t="shared" si="9"/>
        <v>0.25240847784200438</v>
      </c>
      <c r="X24" s="192">
        <f t="shared" si="9"/>
        <v>0.42350332594235135</v>
      </c>
      <c r="Y24" s="192">
        <f t="shared" si="9"/>
        <v>0.33944687045123723</v>
      </c>
      <c r="Z24" s="192">
        <f t="shared" si="9"/>
        <v>0</v>
      </c>
      <c r="AA24" s="192">
        <f t="shared" si="9"/>
        <v>0</v>
      </c>
      <c r="AB24" s="192">
        <f t="shared" si="9"/>
        <v>6.8229258895560682E-2</v>
      </c>
      <c r="AC24" s="192">
        <f t="shared" si="9"/>
        <v>0</v>
      </c>
      <c r="AD24" s="192">
        <f t="shared" si="9"/>
        <v>2.0638298923525582E-2</v>
      </c>
      <c r="AE24" s="192">
        <f t="shared" si="9"/>
        <v>1.1342101050037532E-2</v>
      </c>
      <c r="AF24" s="192">
        <f t="shared" si="9"/>
        <v>0</v>
      </c>
      <c r="AG24" s="192">
        <f t="shared" si="9"/>
        <v>0</v>
      </c>
      <c r="AH24" s="192">
        <f t="shared" si="9"/>
        <v>0</v>
      </c>
      <c r="AN24" s="138" t="s">
        <v>502</v>
      </c>
      <c r="AO24" s="145">
        <v>6298.03</v>
      </c>
      <c r="AP24" s="196">
        <f>AO24/AK23</f>
        <v>0.77109450086622222</v>
      </c>
      <c r="AS24" s="204">
        <f>AS23</f>
        <v>0.53962180891254963</v>
      </c>
      <c r="AT24" s="198"/>
      <c r="AU24" s="198"/>
      <c r="AV24" s="198"/>
    </row>
    <row r="25" spans="2:48" x14ac:dyDescent="0.2">
      <c r="B25" s="138" t="s">
        <v>17</v>
      </c>
      <c r="C25" s="192">
        <f t="shared" si="7"/>
        <v>0</v>
      </c>
      <c r="D25" s="192">
        <f t="shared" si="7"/>
        <v>0</v>
      </c>
      <c r="E25" s="192">
        <f t="shared" si="7"/>
        <v>0</v>
      </c>
      <c r="F25" s="192">
        <f t="shared" si="7"/>
        <v>0</v>
      </c>
      <c r="G25" s="192">
        <f t="shared" si="7"/>
        <v>0</v>
      </c>
      <c r="H25" s="192">
        <f t="shared" si="7"/>
        <v>0</v>
      </c>
      <c r="I25" s="192">
        <f t="shared" si="7"/>
        <v>0</v>
      </c>
      <c r="J25" s="192">
        <f t="shared" si="7"/>
        <v>0.1467895015168805</v>
      </c>
      <c r="K25" s="192">
        <f t="shared" si="7"/>
        <v>0</v>
      </c>
      <c r="L25" s="192">
        <f t="shared" si="7"/>
        <v>0</v>
      </c>
      <c r="M25" s="192">
        <f t="shared" si="8"/>
        <v>0</v>
      </c>
      <c r="N25" s="192">
        <f t="shared" si="8"/>
        <v>0.2408051012749145</v>
      </c>
      <c r="O25" s="192">
        <f t="shared" si="8"/>
        <v>0</v>
      </c>
      <c r="P25" s="192">
        <f t="shared" si="8"/>
        <v>0</v>
      </c>
      <c r="Q25" s="192">
        <f t="shared" si="8"/>
        <v>4.5415999192012311E-3</v>
      </c>
      <c r="R25" s="192">
        <f t="shared" si="8"/>
        <v>0.19123931623931623</v>
      </c>
      <c r="S25" s="192">
        <f t="shared" si="8"/>
        <v>2.3590804702244252E-2</v>
      </c>
      <c r="T25" s="192">
        <f t="shared" si="8"/>
        <v>8.1490982973226531E-2</v>
      </c>
      <c r="U25" s="192">
        <f t="shared" si="8"/>
        <v>0</v>
      </c>
      <c r="V25" s="192">
        <f t="shared" si="8"/>
        <v>0.17535903250189033</v>
      </c>
      <c r="W25" s="192">
        <f t="shared" si="9"/>
        <v>0.25240847784200438</v>
      </c>
      <c r="X25" s="192">
        <f t="shared" si="9"/>
        <v>0.42350332594235135</v>
      </c>
      <c r="Y25" s="192">
        <f t="shared" si="9"/>
        <v>0.33944687045123723</v>
      </c>
      <c r="Z25" s="192">
        <f t="shared" si="9"/>
        <v>0</v>
      </c>
      <c r="AA25" s="192">
        <f t="shared" si="9"/>
        <v>0</v>
      </c>
      <c r="AB25" s="192">
        <f t="shared" si="9"/>
        <v>6.8229258895560682E-2</v>
      </c>
      <c r="AC25" s="192">
        <f t="shared" si="9"/>
        <v>0</v>
      </c>
      <c r="AD25" s="192">
        <f t="shared" si="9"/>
        <v>2.0638298923525582E-2</v>
      </c>
      <c r="AE25" s="192">
        <f t="shared" si="9"/>
        <v>1.1342101050037532E-2</v>
      </c>
      <c r="AF25" s="192">
        <f t="shared" si="9"/>
        <v>0</v>
      </c>
      <c r="AG25" s="192">
        <f t="shared" si="9"/>
        <v>0</v>
      </c>
      <c r="AH25" s="192">
        <f t="shared" si="9"/>
        <v>0</v>
      </c>
      <c r="AJ25" s="41" t="s">
        <v>617</v>
      </c>
    </row>
    <row r="26" spans="2:48" x14ac:dyDescent="0.2">
      <c r="B26" s="138" t="s">
        <v>18</v>
      </c>
      <c r="C26" s="192">
        <f t="shared" si="7"/>
        <v>0</v>
      </c>
      <c r="D26" s="192">
        <f t="shared" si="7"/>
        <v>0</v>
      </c>
      <c r="E26" s="192">
        <f t="shared" si="7"/>
        <v>0</v>
      </c>
      <c r="F26" s="192">
        <f t="shared" si="7"/>
        <v>0</v>
      </c>
      <c r="G26" s="192">
        <f t="shared" si="7"/>
        <v>0</v>
      </c>
      <c r="H26" s="192">
        <f t="shared" si="7"/>
        <v>0</v>
      </c>
      <c r="I26" s="192">
        <f t="shared" si="7"/>
        <v>0</v>
      </c>
      <c r="J26" s="192">
        <f t="shared" si="7"/>
        <v>0.1467895015168805</v>
      </c>
      <c r="K26" s="192">
        <f t="shared" si="7"/>
        <v>0</v>
      </c>
      <c r="L26" s="192">
        <f t="shared" si="7"/>
        <v>0</v>
      </c>
      <c r="M26" s="192">
        <f t="shared" si="8"/>
        <v>0</v>
      </c>
      <c r="N26" s="192">
        <f t="shared" si="8"/>
        <v>0.2408051012749145</v>
      </c>
      <c r="O26" s="192">
        <f t="shared" si="8"/>
        <v>0</v>
      </c>
      <c r="P26" s="192">
        <f t="shared" si="8"/>
        <v>0</v>
      </c>
      <c r="Q26" s="192">
        <f t="shared" si="8"/>
        <v>4.5415999192012311E-3</v>
      </c>
      <c r="R26" s="192">
        <f t="shared" si="8"/>
        <v>0.19123931623931623</v>
      </c>
      <c r="S26" s="192">
        <f t="shared" si="8"/>
        <v>2.3590804702244252E-2</v>
      </c>
      <c r="T26" s="192">
        <f t="shared" si="8"/>
        <v>8.1490982973226531E-2</v>
      </c>
      <c r="U26" s="192">
        <f t="shared" si="8"/>
        <v>0</v>
      </c>
      <c r="V26" s="192">
        <f t="shared" si="8"/>
        <v>0.17535903250189033</v>
      </c>
      <c r="W26" s="192">
        <f t="shared" si="9"/>
        <v>0.25240847784200438</v>
      </c>
      <c r="X26" s="192">
        <f t="shared" si="9"/>
        <v>0.42350332594235135</v>
      </c>
      <c r="Y26" s="192">
        <f t="shared" si="9"/>
        <v>0.33944687045123723</v>
      </c>
      <c r="Z26" s="192">
        <f t="shared" si="9"/>
        <v>0</v>
      </c>
      <c r="AA26" s="192">
        <f t="shared" si="9"/>
        <v>0</v>
      </c>
      <c r="AB26" s="192">
        <f t="shared" si="9"/>
        <v>6.8229258895560682E-2</v>
      </c>
      <c r="AC26" s="192">
        <f t="shared" si="9"/>
        <v>0</v>
      </c>
      <c r="AD26" s="192">
        <f t="shared" si="9"/>
        <v>2.0638298923525582E-2</v>
      </c>
      <c r="AE26" s="192">
        <f t="shared" si="9"/>
        <v>1.1342101050037532E-2</v>
      </c>
      <c r="AF26" s="192">
        <f t="shared" si="9"/>
        <v>0</v>
      </c>
      <c r="AG26" s="192">
        <f t="shared" si="9"/>
        <v>0</v>
      </c>
      <c r="AH26" s="192">
        <f t="shared" si="9"/>
        <v>0</v>
      </c>
    </row>
    <row r="27" spans="2:48" x14ac:dyDescent="0.2">
      <c r="B27" s="138" t="s">
        <v>19</v>
      </c>
      <c r="C27" s="192">
        <f t="shared" si="7"/>
        <v>0</v>
      </c>
      <c r="D27" s="192">
        <f t="shared" si="7"/>
        <v>0</v>
      </c>
      <c r="E27" s="192">
        <f t="shared" si="7"/>
        <v>0</v>
      </c>
      <c r="F27" s="192">
        <f t="shared" si="7"/>
        <v>0</v>
      </c>
      <c r="G27" s="192">
        <f t="shared" si="7"/>
        <v>0</v>
      </c>
      <c r="H27" s="192">
        <f t="shared" si="7"/>
        <v>0</v>
      </c>
      <c r="I27" s="192">
        <f t="shared" si="7"/>
        <v>0</v>
      </c>
      <c r="J27" s="192">
        <f t="shared" si="7"/>
        <v>0.1467895015168805</v>
      </c>
      <c r="K27" s="192">
        <f t="shared" si="7"/>
        <v>0</v>
      </c>
      <c r="L27" s="192">
        <f t="shared" si="7"/>
        <v>0</v>
      </c>
      <c r="M27" s="192">
        <f t="shared" si="8"/>
        <v>0</v>
      </c>
      <c r="N27" s="192">
        <f t="shared" si="8"/>
        <v>0.2408051012749145</v>
      </c>
      <c r="O27" s="192">
        <f t="shared" si="8"/>
        <v>0</v>
      </c>
      <c r="P27" s="192">
        <f t="shared" si="8"/>
        <v>0</v>
      </c>
      <c r="Q27" s="192">
        <f t="shared" si="8"/>
        <v>4.5415999192012311E-3</v>
      </c>
      <c r="R27" s="192">
        <f t="shared" si="8"/>
        <v>0.19123931623931623</v>
      </c>
      <c r="S27" s="192">
        <f t="shared" si="8"/>
        <v>2.3590804702244252E-2</v>
      </c>
      <c r="T27" s="192">
        <f t="shared" si="8"/>
        <v>8.1490982973226531E-2</v>
      </c>
      <c r="U27" s="192">
        <f t="shared" si="8"/>
        <v>0</v>
      </c>
      <c r="V27" s="192">
        <f t="shared" si="8"/>
        <v>0.17535903250189033</v>
      </c>
      <c r="W27" s="192">
        <f t="shared" si="9"/>
        <v>0.25240847784200438</v>
      </c>
      <c r="X27" s="192">
        <f t="shared" si="9"/>
        <v>0.42350332594235135</v>
      </c>
      <c r="Y27" s="192">
        <f t="shared" si="9"/>
        <v>0.33944687045123723</v>
      </c>
      <c r="Z27" s="192">
        <f t="shared" si="9"/>
        <v>0</v>
      </c>
      <c r="AA27" s="192">
        <f t="shared" si="9"/>
        <v>0</v>
      </c>
      <c r="AB27" s="192">
        <f t="shared" si="9"/>
        <v>6.8229258895560682E-2</v>
      </c>
      <c r="AC27" s="192">
        <f t="shared" si="9"/>
        <v>0</v>
      </c>
      <c r="AD27" s="192">
        <f t="shared" si="9"/>
        <v>2.0638298923525582E-2</v>
      </c>
      <c r="AE27" s="192">
        <f t="shared" si="9"/>
        <v>1.1342101050037532E-2</v>
      </c>
      <c r="AF27" s="192">
        <f t="shared" si="9"/>
        <v>0</v>
      </c>
      <c r="AG27" s="192">
        <f t="shared" si="9"/>
        <v>0</v>
      </c>
      <c r="AH27" s="192">
        <f t="shared" si="9"/>
        <v>0</v>
      </c>
      <c r="AJ27" s="165" t="s">
        <v>443</v>
      </c>
      <c r="AK27" s="147">
        <v>160.38</v>
      </c>
      <c r="AL27" s="189">
        <v>2.4700000000000002</v>
      </c>
      <c r="AM27" s="191">
        <f>AL27/AK27</f>
        <v>1.5400922808330218E-2</v>
      </c>
      <c r="AN27" t="s">
        <v>1</v>
      </c>
      <c r="AO27" s="145">
        <v>8.7899999999999991</v>
      </c>
      <c r="AP27" s="191">
        <v>0.20267791447648301</v>
      </c>
      <c r="AQ27" s="202">
        <f>AO27*AP27</f>
        <v>1.7815388682482856</v>
      </c>
      <c r="AR27" s="202">
        <f>AL27-AQ27</f>
        <v>0.68846113175171464</v>
      </c>
      <c r="AS27" s="204">
        <f>AP27</f>
        <v>0.20267791447648301</v>
      </c>
      <c r="AV27" s="203">
        <f>AR27/(AK27-AO27)</f>
        <v>4.5415999192012311E-3</v>
      </c>
    </row>
    <row r="28" spans="2:48" x14ac:dyDescent="0.2">
      <c r="B28" s="138" t="s">
        <v>20</v>
      </c>
      <c r="C28" s="192">
        <f t="shared" si="7"/>
        <v>0</v>
      </c>
      <c r="D28" s="192">
        <f t="shared" si="7"/>
        <v>0</v>
      </c>
      <c r="E28" s="192">
        <f t="shared" si="7"/>
        <v>0</v>
      </c>
      <c r="F28" s="192">
        <f t="shared" si="7"/>
        <v>0</v>
      </c>
      <c r="G28" s="192">
        <f t="shared" si="7"/>
        <v>0</v>
      </c>
      <c r="H28" s="192">
        <f t="shared" si="7"/>
        <v>0</v>
      </c>
      <c r="I28" s="192">
        <f t="shared" si="7"/>
        <v>0</v>
      </c>
      <c r="J28" s="192">
        <f t="shared" si="7"/>
        <v>0.1467895015168805</v>
      </c>
      <c r="K28" s="192">
        <f t="shared" si="7"/>
        <v>0</v>
      </c>
      <c r="L28" s="192">
        <f t="shared" si="7"/>
        <v>0</v>
      </c>
      <c r="M28" s="192">
        <f t="shared" si="8"/>
        <v>0</v>
      </c>
      <c r="N28" s="192">
        <f t="shared" si="8"/>
        <v>0.2408051012749145</v>
      </c>
      <c r="O28" s="192">
        <f t="shared" si="8"/>
        <v>0</v>
      </c>
      <c r="P28" s="192">
        <f t="shared" si="8"/>
        <v>0</v>
      </c>
      <c r="Q28" s="192">
        <f t="shared" si="8"/>
        <v>4.5415999192012311E-3</v>
      </c>
      <c r="R28" s="192">
        <f t="shared" si="8"/>
        <v>0.19123931623931623</v>
      </c>
      <c r="S28" s="192">
        <f t="shared" si="8"/>
        <v>2.3590804702244252E-2</v>
      </c>
      <c r="T28" s="192">
        <f t="shared" si="8"/>
        <v>8.1490982973226531E-2</v>
      </c>
      <c r="U28" s="192">
        <f t="shared" si="8"/>
        <v>0</v>
      </c>
      <c r="V28" s="192">
        <f t="shared" si="8"/>
        <v>0.17535903250189033</v>
      </c>
      <c r="W28" s="192">
        <f t="shared" si="9"/>
        <v>0.25240847784200438</v>
      </c>
      <c r="X28" s="192">
        <f t="shared" si="9"/>
        <v>0.42350332594235135</v>
      </c>
      <c r="Y28" s="192">
        <f t="shared" si="9"/>
        <v>0.33944687045123723</v>
      </c>
      <c r="Z28" s="192">
        <f t="shared" si="9"/>
        <v>0</v>
      </c>
      <c r="AA28" s="192">
        <f t="shared" si="9"/>
        <v>0</v>
      </c>
      <c r="AB28" s="192">
        <f t="shared" si="9"/>
        <v>6.8229258895560682E-2</v>
      </c>
      <c r="AC28" s="192">
        <f t="shared" si="9"/>
        <v>0</v>
      </c>
      <c r="AD28" s="192">
        <f t="shared" si="9"/>
        <v>2.0638298923525582E-2</v>
      </c>
      <c r="AE28" s="192">
        <f t="shared" si="9"/>
        <v>1.1342101050037532E-2</v>
      </c>
      <c r="AF28" s="192">
        <f t="shared" si="9"/>
        <v>0</v>
      </c>
      <c r="AG28" s="192">
        <f t="shared" si="9"/>
        <v>0</v>
      </c>
      <c r="AH28" s="192">
        <f t="shared" si="9"/>
        <v>0</v>
      </c>
      <c r="AJ28" s="165" t="s">
        <v>460</v>
      </c>
      <c r="AK28" s="147">
        <v>2496.33</v>
      </c>
      <c r="AL28" s="189">
        <v>866.76</v>
      </c>
      <c r="AM28" s="191">
        <f>AL28/AK28</f>
        <v>0.34721370972587762</v>
      </c>
      <c r="AN28" t="s">
        <v>1</v>
      </c>
      <c r="AO28" s="145">
        <v>840.3</v>
      </c>
      <c r="AP28" s="191">
        <f>(AL28-(AO29*AP29))/AO28</f>
        <v>0.12727597286683334</v>
      </c>
      <c r="AQ28" s="202">
        <f t="shared" ref="AQ28:AQ34" si="11">AO28*AP28</f>
        <v>106.95000000000005</v>
      </c>
      <c r="AR28" s="202">
        <v>0</v>
      </c>
      <c r="AS28" s="204">
        <f t="shared" ref="AS28:AS34" si="12">AP28</f>
        <v>0.12727597286683334</v>
      </c>
      <c r="AV28" s="203">
        <f t="shared" ref="AV28:AV34" si="13">AR28/(AK28-AO28)</f>
        <v>0</v>
      </c>
    </row>
    <row r="29" spans="2:48" x14ac:dyDescent="0.2">
      <c r="B29" s="138" t="s">
        <v>21</v>
      </c>
      <c r="C29" s="192">
        <f t="shared" ref="C29:C51" si="14">IFERROR(VLOOKUP(C$3,$AJ$4:$AV$94,13,FALSE),0)</f>
        <v>0</v>
      </c>
      <c r="D29" s="205">
        <f>AS68</f>
        <v>0.88331744093067133</v>
      </c>
      <c r="E29" s="192">
        <f t="shared" ref="E29:F33" si="15">IFERROR(VLOOKUP(E$3,$AJ$4:$AV$94,13,FALSE),0)</f>
        <v>0</v>
      </c>
      <c r="F29" s="192">
        <f t="shared" si="15"/>
        <v>0</v>
      </c>
      <c r="G29" s="205">
        <f>AS65</f>
        <v>0.69404207078977231</v>
      </c>
      <c r="H29" s="192">
        <f t="shared" ref="H29:Q29" si="16">IFERROR(VLOOKUP(H$3,$AJ$4:$AV$94,13,FALSE),0)</f>
        <v>0</v>
      </c>
      <c r="I29" s="192">
        <f t="shared" si="16"/>
        <v>0</v>
      </c>
      <c r="J29" s="192">
        <f t="shared" si="16"/>
        <v>0.1467895015168805</v>
      </c>
      <c r="K29" s="192">
        <f t="shared" si="16"/>
        <v>0</v>
      </c>
      <c r="L29" s="192">
        <f t="shared" si="16"/>
        <v>0</v>
      </c>
      <c r="M29" s="192">
        <f t="shared" si="16"/>
        <v>0</v>
      </c>
      <c r="N29" s="192">
        <f t="shared" si="16"/>
        <v>0.2408051012749145</v>
      </c>
      <c r="O29" s="192">
        <f t="shared" si="16"/>
        <v>0</v>
      </c>
      <c r="P29" s="192">
        <f t="shared" si="16"/>
        <v>0</v>
      </c>
      <c r="Q29" s="192">
        <f t="shared" si="16"/>
        <v>4.5415999192012311E-3</v>
      </c>
      <c r="R29" s="205">
        <f>AS30</f>
        <v>1</v>
      </c>
      <c r="S29" s="192">
        <f>IFERROR(VLOOKUP(S$3,$AJ$4:$AV$94,13,FALSE),0)</f>
        <v>2.3590804702244252E-2</v>
      </c>
      <c r="T29" s="192">
        <f>IFERROR(VLOOKUP(T$3,$AJ$4:$AV$94,13,FALSE),0)</f>
        <v>8.1490982973226531E-2</v>
      </c>
      <c r="U29" s="205">
        <f>AS18</f>
        <v>0.95267269157810175</v>
      </c>
      <c r="V29" s="192">
        <f t="shared" ref="V29:V51" si="17">IFERROR(VLOOKUP(V$3,$AJ$4:$AV$94,13,FALSE),0)</f>
        <v>0.17535903250189033</v>
      </c>
      <c r="W29" s="205">
        <f>AS16</f>
        <v>1</v>
      </c>
      <c r="X29" s="205">
        <f>AS17</f>
        <v>1</v>
      </c>
      <c r="Y29" s="192">
        <f t="shared" ref="Y29:Z33" si="18">IFERROR(VLOOKUP(Y$3,$AJ$4:$AV$94,13,FALSE),0)</f>
        <v>0.33944687045123723</v>
      </c>
      <c r="Z29" s="192">
        <f t="shared" si="18"/>
        <v>0</v>
      </c>
      <c r="AA29" s="205">
        <f>AS29</f>
        <v>0.5</v>
      </c>
      <c r="AB29" s="192">
        <f t="shared" ref="AB29:AB51" si="19">IFERROR(VLOOKUP(AB$3,$AJ$4:$AV$94,13,FALSE),0)</f>
        <v>6.8229258895560682E-2</v>
      </c>
      <c r="AC29" s="205">
        <f>AS23</f>
        <v>0.53962180891254963</v>
      </c>
      <c r="AD29" s="192">
        <f>IFERROR(VLOOKUP(AD$3,$AJ$4:$AV$94,13,FALSE),0)</f>
        <v>2.0638298923525582E-2</v>
      </c>
      <c r="AE29" s="192">
        <f>AS33</f>
        <v>0.15617194903909501</v>
      </c>
      <c r="AF29" s="192">
        <f t="shared" ref="AF29:AH51" si="20">IFERROR(VLOOKUP(AF$3,$AJ$4:$AV$94,13,FALSE),0)</f>
        <v>0</v>
      </c>
      <c r="AG29" s="192">
        <f t="shared" si="20"/>
        <v>0</v>
      </c>
      <c r="AH29" s="192">
        <f t="shared" si="20"/>
        <v>0</v>
      </c>
      <c r="AN29" t="s">
        <v>611</v>
      </c>
      <c r="AO29" s="145">
        <v>1519.62</v>
      </c>
      <c r="AP29" s="191">
        <v>0.5</v>
      </c>
      <c r="AQ29" s="202">
        <f t="shared" si="11"/>
        <v>759.81</v>
      </c>
      <c r="AR29" s="202">
        <v>0</v>
      </c>
      <c r="AS29" s="204">
        <f>AP29</f>
        <v>0.5</v>
      </c>
      <c r="AV29" s="191"/>
    </row>
    <row r="30" spans="2:48" x14ac:dyDescent="0.2">
      <c r="B30" s="199" t="s">
        <v>1</v>
      </c>
      <c r="C30" s="192">
        <f t="shared" si="14"/>
        <v>0</v>
      </c>
      <c r="D30" s="205">
        <f>AS67</f>
        <v>0.88331744093067133</v>
      </c>
      <c r="E30" s="192">
        <f t="shared" si="15"/>
        <v>0</v>
      </c>
      <c r="F30" s="192">
        <f t="shared" si="15"/>
        <v>0</v>
      </c>
      <c r="G30" s="205">
        <f>AS66</f>
        <v>0.69404207078977231</v>
      </c>
      <c r="H30" s="192">
        <f t="shared" ref="H30:H51" si="21">IFERROR(VLOOKUP(H$3,$AJ$4:$AV$94,13,FALSE),0)</f>
        <v>0</v>
      </c>
      <c r="I30" s="205">
        <f>AS64</f>
        <v>0.44786129844283412</v>
      </c>
      <c r="J30" s="192">
        <f t="shared" ref="J30:M51" si="22">IFERROR(VLOOKUP(J$3,$AJ$4:$AV$94,13,FALSE),0)</f>
        <v>0.1467895015168805</v>
      </c>
      <c r="K30" s="192">
        <f t="shared" si="22"/>
        <v>0</v>
      </c>
      <c r="L30" s="192">
        <f t="shared" si="22"/>
        <v>0</v>
      </c>
      <c r="M30" s="192">
        <f t="shared" si="22"/>
        <v>0</v>
      </c>
      <c r="N30" s="205">
        <f>AS32</f>
        <v>0.476671612887616</v>
      </c>
      <c r="O30" s="192">
        <f t="shared" ref="O30:P51" si="23">IFERROR(VLOOKUP(O$3,$AJ$4:$AV$94,13,FALSE),0)</f>
        <v>0</v>
      </c>
      <c r="P30" s="192">
        <f t="shared" si="23"/>
        <v>0</v>
      </c>
      <c r="Q30" s="205">
        <f>AS27</f>
        <v>0.20267791447648301</v>
      </c>
      <c r="R30" s="192">
        <f t="shared" ref="R30:S51" si="24">IFERROR(VLOOKUP(R$3,$AJ$4:$AV$94,13,FALSE),0)</f>
        <v>0.19123931623931623</v>
      </c>
      <c r="S30" s="192">
        <f t="shared" si="24"/>
        <v>2.3590804702244252E-2</v>
      </c>
      <c r="T30" s="205">
        <f>AS31</f>
        <v>0.72591157188882005</v>
      </c>
      <c r="U30" s="205">
        <f>AS19</f>
        <v>0.95267269157810175</v>
      </c>
      <c r="V30" s="192">
        <f t="shared" si="17"/>
        <v>0.17535903250189033</v>
      </c>
      <c r="W30" s="192">
        <f t="shared" ref="W30:X51" si="25">IFERROR(VLOOKUP(W$3,$AJ$4:$AV$94,13,FALSE),0)</f>
        <v>0.25240847784200438</v>
      </c>
      <c r="X30" s="192">
        <f t="shared" si="25"/>
        <v>0.42350332594235135</v>
      </c>
      <c r="Y30" s="192">
        <f t="shared" si="18"/>
        <v>0.33944687045123723</v>
      </c>
      <c r="Z30" s="192">
        <f t="shared" si="18"/>
        <v>0</v>
      </c>
      <c r="AA30" s="205">
        <f>AS28</f>
        <v>0.12727597286683334</v>
      </c>
      <c r="AB30" s="192">
        <f t="shared" si="19"/>
        <v>6.8229258895560682E-2</v>
      </c>
      <c r="AC30" s="205">
        <f>AS24</f>
        <v>0.53962180891254963</v>
      </c>
      <c r="AD30" s="192">
        <f>AS34</f>
        <v>0.421067212573279</v>
      </c>
      <c r="AE30" s="192">
        <f t="shared" ref="AE30:AE51" si="26">IFERROR(VLOOKUP(AE$3,$AJ$4:$AV$94,13,FALSE),0)</f>
        <v>1.1342101050037532E-2</v>
      </c>
      <c r="AF30" s="192">
        <f t="shared" si="20"/>
        <v>0</v>
      </c>
      <c r="AG30" s="192">
        <f t="shared" si="20"/>
        <v>0</v>
      </c>
      <c r="AH30" s="192">
        <f t="shared" si="20"/>
        <v>0</v>
      </c>
      <c r="AJ30" s="165" t="s">
        <v>426</v>
      </c>
      <c r="AK30" s="147">
        <v>9.39</v>
      </c>
      <c r="AL30" s="189">
        <v>1.82</v>
      </c>
      <c r="AM30" s="191">
        <f>AL30/AK30</f>
        <v>0.19382321618743342</v>
      </c>
      <c r="AN30" t="s">
        <v>611</v>
      </c>
      <c r="AO30" s="145">
        <v>0.03</v>
      </c>
      <c r="AP30" s="191">
        <v>1</v>
      </c>
      <c r="AQ30" s="202">
        <f t="shared" si="11"/>
        <v>0.03</v>
      </c>
      <c r="AR30" s="202">
        <f>AL30-AQ30</f>
        <v>1.79</v>
      </c>
      <c r="AS30" s="204">
        <f t="shared" si="12"/>
        <v>1</v>
      </c>
      <c r="AV30" s="203">
        <f t="shared" si="13"/>
        <v>0.19123931623931623</v>
      </c>
    </row>
    <row r="31" spans="2:48" x14ac:dyDescent="0.2">
      <c r="B31" s="138" t="s">
        <v>22</v>
      </c>
      <c r="C31" s="192">
        <f t="shared" si="14"/>
        <v>0</v>
      </c>
      <c r="D31" s="192">
        <f t="shared" ref="D31:D51" si="27">IFERROR(VLOOKUP(D$3,$AJ$4:$AV$94,13,FALSE),0)</f>
        <v>0</v>
      </c>
      <c r="E31" s="192">
        <f t="shared" si="15"/>
        <v>0</v>
      </c>
      <c r="F31" s="192">
        <f t="shared" si="15"/>
        <v>0</v>
      </c>
      <c r="G31" s="192">
        <f t="shared" ref="G31:G51" si="28">IFERROR(VLOOKUP(G$3,$AJ$4:$AV$94,13,FALSE),0)</f>
        <v>0</v>
      </c>
      <c r="H31" s="192">
        <f t="shared" si="21"/>
        <v>0</v>
      </c>
      <c r="I31" s="192">
        <f t="shared" ref="I31:I51" si="29">IFERROR(VLOOKUP(I$3,$AJ$4:$AV$94,13,FALSE),0)</f>
        <v>0</v>
      </c>
      <c r="J31" s="192">
        <f t="shared" si="22"/>
        <v>0.1467895015168805</v>
      </c>
      <c r="K31" s="192">
        <f t="shared" si="22"/>
        <v>0</v>
      </c>
      <c r="L31" s="192">
        <f t="shared" si="22"/>
        <v>0</v>
      </c>
      <c r="M31" s="192">
        <f t="shared" si="22"/>
        <v>0</v>
      </c>
      <c r="N31" s="192">
        <f t="shared" ref="N31:N51" si="30">IFERROR(VLOOKUP(N$3,$AJ$4:$AV$94,13,FALSE),0)</f>
        <v>0.2408051012749145</v>
      </c>
      <c r="O31" s="192">
        <f t="shared" si="23"/>
        <v>0</v>
      </c>
      <c r="P31" s="192">
        <f t="shared" si="23"/>
        <v>0</v>
      </c>
      <c r="Q31" s="192">
        <f t="shared" ref="Q31:Q51" si="31">IFERROR(VLOOKUP(Q$3,$AJ$4:$AV$94,13,FALSE),0)</f>
        <v>4.5415999192012311E-3</v>
      </c>
      <c r="R31" s="192">
        <f t="shared" si="24"/>
        <v>0.19123931623931623</v>
      </c>
      <c r="S31" s="192">
        <f t="shared" si="24"/>
        <v>2.3590804702244252E-2</v>
      </c>
      <c r="T31" s="192">
        <f t="shared" ref="T31:U51" si="32">IFERROR(VLOOKUP(T$3,$AJ$4:$AV$94,13,FALSE),0)</f>
        <v>8.1490982973226531E-2</v>
      </c>
      <c r="U31" s="192">
        <f t="shared" si="32"/>
        <v>0</v>
      </c>
      <c r="V31" s="192">
        <f t="shared" si="17"/>
        <v>0.17535903250189033</v>
      </c>
      <c r="W31" s="192">
        <f t="shared" si="25"/>
        <v>0.25240847784200438</v>
      </c>
      <c r="X31" s="192">
        <f t="shared" si="25"/>
        <v>0.42350332594235135</v>
      </c>
      <c r="Y31" s="192">
        <f t="shared" si="18"/>
        <v>0.33944687045123723</v>
      </c>
      <c r="Z31" s="192">
        <f t="shared" si="18"/>
        <v>0</v>
      </c>
      <c r="AA31" s="192">
        <f t="shared" ref="AA31:AA51" si="33">IFERROR(VLOOKUP(AA$3,$AJ$4:$AV$94,13,FALSE),0)</f>
        <v>0</v>
      </c>
      <c r="AB31" s="192">
        <f t="shared" si="19"/>
        <v>6.8229258895560682E-2</v>
      </c>
      <c r="AC31" s="192">
        <f t="shared" ref="AC31:AD51" si="34">IFERROR(VLOOKUP(AC$3,$AJ$4:$AV$94,13,FALSE),0)</f>
        <v>0</v>
      </c>
      <c r="AD31" s="192">
        <f t="shared" si="34"/>
        <v>2.0638298923525582E-2</v>
      </c>
      <c r="AE31" s="192">
        <f t="shared" si="26"/>
        <v>1.1342101050037532E-2</v>
      </c>
      <c r="AF31" s="192">
        <f t="shared" si="20"/>
        <v>0</v>
      </c>
      <c r="AG31" s="192">
        <f t="shared" si="20"/>
        <v>0</v>
      </c>
      <c r="AH31" s="192">
        <f t="shared" si="20"/>
        <v>0</v>
      </c>
      <c r="AJ31" s="165" t="s">
        <v>419</v>
      </c>
      <c r="AK31" s="147">
        <v>230.69</v>
      </c>
      <c r="AL31" s="189">
        <v>37.99</v>
      </c>
      <c r="AM31" s="191">
        <f>AL31/AK31</f>
        <v>0.16467987342320864</v>
      </c>
      <c r="AN31" t="s">
        <v>1</v>
      </c>
      <c r="AO31" s="145">
        <v>29.78</v>
      </c>
      <c r="AP31" s="191">
        <v>0.72591157188882005</v>
      </c>
      <c r="AQ31" s="202">
        <f t="shared" si="11"/>
        <v>21.617646610849061</v>
      </c>
      <c r="AR31" s="202">
        <f>AL31-AQ31</f>
        <v>16.372353389150941</v>
      </c>
      <c r="AS31" s="204">
        <f t="shared" si="12"/>
        <v>0.72591157188882005</v>
      </c>
      <c r="AV31" s="203">
        <f t="shared" si="13"/>
        <v>8.1490982973226531E-2</v>
      </c>
    </row>
    <row r="32" spans="2:48" x14ac:dyDescent="0.2">
      <c r="B32" s="138" t="s">
        <v>23</v>
      </c>
      <c r="C32" s="192">
        <f t="shared" si="14"/>
        <v>0</v>
      </c>
      <c r="D32" s="192">
        <f t="shared" si="27"/>
        <v>0</v>
      </c>
      <c r="E32" s="192">
        <f t="shared" si="15"/>
        <v>0</v>
      </c>
      <c r="F32" s="192">
        <f t="shared" si="15"/>
        <v>0</v>
      </c>
      <c r="G32" s="192">
        <f t="shared" si="28"/>
        <v>0</v>
      </c>
      <c r="H32" s="192">
        <f t="shared" si="21"/>
        <v>0</v>
      </c>
      <c r="I32" s="192">
        <f t="shared" si="29"/>
        <v>0</v>
      </c>
      <c r="J32" s="192">
        <f t="shared" si="22"/>
        <v>0.1467895015168805</v>
      </c>
      <c r="K32" s="192">
        <f t="shared" si="22"/>
        <v>0</v>
      </c>
      <c r="L32" s="192">
        <f t="shared" si="22"/>
        <v>0</v>
      </c>
      <c r="M32" s="192">
        <f t="shared" si="22"/>
        <v>0</v>
      </c>
      <c r="N32" s="192">
        <f t="shared" si="30"/>
        <v>0.2408051012749145</v>
      </c>
      <c r="O32" s="192">
        <f t="shared" si="23"/>
        <v>0</v>
      </c>
      <c r="P32" s="192">
        <f t="shared" si="23"/>
        <v>0</v>
      </c>
      <c r="Q32" s="192">
        <f t="shared" si="31"/>
        <v>4.5415999192012311E-3</v>
      </c>
      <c r="R32" s="192">
        <f t="shared" si="24"/>
        <v>0.19123931623931623</v>
      </c>
      <c r="S32" s="192">
        <f t="shared" si="24"/>
        <v>2.3590804702244252E-2</v>
      </c>
      <c r="T32" s="192">
        <f t="shared" si="32"/>
        <v>8.1490982973226531E-2</v>
      </c>
      <c r="U32" s="192">
        <f t="shared" si="32"/>
        <v>0</v>
      </c>
      <c r="V32" s="192">
        <f t="shared" si="17"/>
        <v>0.17535903250189033</v>
      </c>
      <c r="W32" s="192">
        <f t="shared" si="25"/>
        <v>0.25240847784200438</v>
      </c>
      <c r="X32" s="192">
        <f t="shared" si="25"/>
        <v>0.42350332594235135</v>
      </c>
      <c r="Y32" s="192">
        <f t="shared" si="18"/>
        <v>0.33944687045123723</v>
      </c>
      <c r="Z32" s="192">
        <f t="shared" si="18"/>
        <v>0</v>
      </c>
      <c r="AA32" s="192">
        <f t="shared" si="33"/>
        <v>0</v>
      </c>
      <c r="AB32" s="192">
        <f t="shared" si="19"/>
        <v>6.8229258895560682E-2</v>
      </c>
      <c r="AC32" s="192">
        <f t="shared" si="34"/>
        <v>0</v>
      </c>
      <c r="AD32" s="192">
        <f t="shared" si="34"/>
        <v>2.0638298923525582E-2</v>
      </c>
      <c r="AE32" s="192">
        <f t="shared" si="26"/>
        <v>1.1342101050037532E-2</v>
      </c>
      <c r="AF32" s="192">
        <f t="shared" si="20"/>
        <v>0</v>
      </c>
      <c r="AG32" s="192">
        <f t="shared" si="20"/>
        <v>0</v>
      </c>
      <c r="AH32" s="192">
        <f t="shared" si="20"/>
        <v>0</v>
      </c>
      <c r="AJ32" s="155" t="s">
        <v>434</v>
      </c>
      <c r="AK32" s="147">
        <v>1001.96</v>
      </c>
      <c r="AL32" s="189">
        <v>369.98</v>
      </c>
      <c r="AM32" s="191">
        <f>AL32/AK32</f>
        <v>0.36925625773483972</v>
      </c>
      <c r="AN32" t="s">
        <v>1</v>
      </c>
      <c r="AO32" s="145">
        <v>545.66</v>
      </c>
      <c r="AP32" s="191">
        <v>0.476671612887616</v>
      </c>
      <c r="AQ32" s="202">
        <f t="shared" si="11"/>
        <v>260.10063228825652</v>
      </c>
      <c r="AR32" s="202">
        <f>AL32-AQ32</f>
        <v>109.8793677117435</v>
      </c>
      <c r="AS32" s="204">
        <f t="shared" si="12"/>
        <v>0.476671612887616</v>
      </c>
      <c r="AV32" s="203">
        <f t="shared" si="13"/>
        <v>0.2408051012749145</v>
      </c>
    </row>
    <row r="33" spans="2:48" x14ac:dyDescent="0.2">
      <c r="B33" s="138" t="s">
        <v>24</v>
      </c>
      <c r="C33" s="192">
        <f t="shared" si="14"/>
        <v>0</v>
      </c>
      <c r="D33" s="192">
        <f t="shared" si="27"/>
        <v>0</v>
      </c>
      <c r="E33" s="192">
        <f t="shared" si="15"/>
        <v>0</v>
      </c>
      <c r="F33" s="192">
        <f t="shared" si="15"/>
        <v>0</v>
      </c>
      <c r="G33" s="192">
        <f t="shared" si="28"/>
        <v>0</v>
      </c>
      <c r="H33" s="192">
        <f t="shared" si="21"/>
        <v>0</v>
      </c>
      <c r="I33" s="192">
        <f t="shared" si="29"/>
        <v>0</v>
      </c>
      <c r="J33" s="192">
        <f t="shared" si="22"/>
        <v>0.1467895015168805</v>
      </c>
      <c r="K33" s="192">
        <f t="shared" si="22"/>
        <v>0</v>
      </c>
      <c r="L33" s="192">
        <f t="shared" si="22"/>
        <v>0</v>
      </c>
      <c r="M33" s="192">
        <f t="shared" si="22"/>
        <v>0</v>
      </c>
      <c r="N33" s="192">
        <f t="shared" si="30"/>
        <v>0.2408051012749145</v>
      </c>
      <c r="O33" s="192">
        <f t="shared" si="23"/>
        <v>0</v>
      </c>
      <c r="P33" s="192">
        <f t="shared" si="23"/>
        <v>0</v>
      </c>
      <c r="Q33" s="192">
        <f t="shared" si="31"/>
        <v>4.5415999192012311E-3</v>
      </c>
      <c r="R33" s="192">
        <f t="shared" si="24"/>
        <v>0.19123931623931623</v>
      </c>
      <c r="S33" s="192">
        <f t="shared" si="24"/>
        <v>2.3590804702244252E-2</v>
      </c>
      <c r="T33" s="192">
        <f t="shared" si="32"/>
        <v>8.1490982973226531E-2</v>
      </c>
      <c r="U33" s="192">
        <f t="shared" si="32"/>
        <v>0</v>
      </c>
      <c r="V33" s="192">
        <f t="shared" si="17"/>
        <v>0.17535903250189033</v>
      </c>
      <c r="W33" s="192">
        <f t="shared" si="25"/>
        <v>0.25240847784200438</v>
      </c>
      <c r="X33" s="192">
        <f t="shared" si="25"/>
        <v>0.42350332594235135</v>
      </c>
      <c r="Y33" s="192">
        <f t="shared" si="18"/>
        <v>0.33944687045123723</v>
      </c>
      <c r="Z33" s="192">
        <f t="shared" si="18"/>
        <v>0</v>
      </c>
      <c r="AA33" s="192">
        <f t="shared" si="33"/>
        <v>0</v>
      </c>
      <c r="AB33" s="192">
        <f t="shared" si="19"/>
        <v>6.8229258895560682E-2</v>
      </c>
      <c r="AC33" s="192">
        <f t="shared" si="34"/>
        <v>0</v>
      </c>
      <c r="AD33" s="192">
        <f t="shared" si="34"/>
        <v>2.0638298923525582E-2</v>
      </c>
      <c r="AE33" s="192">
        <f t="shared" si="26"/>
        <v>1.1342101050037532E-2</v>
      </c>
      <c r="AF33" s="192">
        <f t="shared" si="20"/>
        <v>0</v>
      </c>
      <c r="AG33" s="192">
        <f t="shared" si="20"/>
        <v>0</v>
      </c>
      <c r="AH33" s="192">
        <f t="shared" si="20"/>
        <v>0</v>
      </c>
      <c r="AJ33" s="167" t="s">
        <v>467</v>
      </c>
      <c r="AK33" s="147">
        <v>7042.49</v>
      </c>
      <c r="AL33" s="189">
        <v>162.97999999999999</v>
      </c>
      <c r="AM33" s="191">
        <f>AL33/AK33</f>
        <v>2.3142382878782931E-2</v>
      </c>
      <c r="AN33" t="s">
        <v>611</v>
      </c>
      <c r="AO33" s="145">
        <v>573.79999999999995</v>
      </c>
      <c r="AP33" s="191">
        <v>0.15617194903909501</v>
      </c>
      <c r="AQ33" s="202">
        <f t="shared" si="11"/>
        <v>89.611464358632716</v>
      </c>
      <c r="AR33" s="202">
        <f>AL33-AQ33</f>
        <v>73.368535641367274</v>
      </c>
      <c r="AS33" s="204">
        <f t="shared" si="12"/>
        <v>0.15617194903909501</v>
      </c>
      <c r="AV33" s="203">
        <f t="shared" si="13"/>
        <v>1.1342101050037532E-2</v>
      </c>
    </row>
    <row r="34" spans="2:48" x14ac:dyDescent="0.2">
      <c r="B34" s="138" t="s">
        <v>25</v>
      </c>
      <c r="C34" s="192">
        <f t="shared" si="14"/>
        <v>0</v>
      </c>
      <c r="D34" s="192">
        <f t="shared" si="27"/>
        <v>0</v>
      </c>
      <c r="E34" s="192">
        <f t="shared" ref="E34:E51" si="35">IFERROR(VLOOKUP(E$3,$AJ$4:$AV$94,13,FALSE),0)</f>
        <v>0</v>
      </c>
      <c r="F34" s="205">
        <f>AS63</f>
        <v>0.23427152233654946</v>
      </c>
      <c r="G34" s="192">
        <f t="shared" si="28"/>
        <v>0</v>
      </c>
      <c r="H34" s="192">
        <f t="shared" si="21"/>
        <v>0</v>
      </c>
      <c r="I34" s="192">
        <f t="shared" si="29"/>
        <v>0</v>
      </c>
      <c r="J34" s="192">
        <f t="shared" si="22"/>
        <v>0.1467895015168805</v>
      </c>
      <c r="K34" s="192">
        <f t="shared" si="22"/>
        <v>0</v>
      </c>
      <c r="L34" s="192">
        <f t="shared" si="22"/>
        <v>0</v>
      </c>
      <c r="M34" s="192">
        <f t="shared" si="22"/>
        <v>0</v>
      </c>
      <c r="N34" s="192">
        <f t="shared" si="30"/>
        <v>0.2408051012749145</v>
      </c>
      <c r="O34" s="192">
        <f t="shared" si="23"/>
        <v>0</v>
      </c>
      <c r="P34" s="192">
        <f t="shared" si="23"/>
        <v>0</v>
      </c>
      <c r="Q34" s="192">
        <f t="shared" si="31"/>
        <v>4.5415999192012311E-3</v>
      </c>
      <c r="R34" s="192">
        <f t="shared" si="24"/>
        <v>0.19123931623931623</v>
      </c>
      <c r="S34" s="192">
        <f t="shared" si="24"/>
        <v>2.3590804702244252E-2</v>
      </c>
      <c r="T34" s="192">
        <f t="shared" si="32"/>
        <v>8.1490982973226531E-2</v>
      </c>
      <c r="U34" s="192">
        <f t="shared" si="32"/>
        <v>0</v>
      </c>
      <c r="V34" s="192">
        <f t="shared" si="17"/>
        <v>0.17535903250189033</v>
      </c>
      <c r="W34" s="192">
        <f t="shared" si="25"/>
        <v>0.25240847784200438</v>
      </c>
      <c r="X34" s="192">
        <f t="shared" si="25"/>
        <v>0.42350332594235135</v>
      </c>
      <c r="Y34" s="205">
        <f>AS21</f>
        <v>1</v>
      </c>
      <c r="Z34" s="205">
        <f>AS22</f>
        <v>0.94479104116789248</v>
      </c>
      <c r="AA34" s="192">
        <f t="shared" si="33"/>
        <v>0</v>
      </c>
      <c r="AB34" s="192">
        <f t="shared" si="19"/>
        <v>6.8229258895560682E-2</v>
      </c>
      <c r="AC34" s="192">
        <f t="shared" si="34"/>
        <v>0</v>
      </c>
      <c r="AD34" s="192">
        <f t="shared" si="34"/>
        <v>2.0638298923525582E-2</v>
      </c>
      <c r="AE34" s="192">
        <f t="shared" si="26"/>
        <v>1.1342101050037532E-2</v>
      </c>
      <c r="AF34" s="192">
        <f t="shared" si="20"/>
        <v>0</v>
      </c>
      <c r="AG34" s="192">
        <f t="shared" si="20"/>
        <v>0</v>
      </c>
      <c r="AH34" s="192">
        <f t="shared" si="20"/>
        <v>0</v>
      </c>
      <c r="AJ34" s="167" t="s">
        <v>465</v>
      </c>
      <c r="AK34" s="147">
        <v>614.97</v>
      </c>
      <c r="AL34" s="189">
        <v>87.44</v>
      </c>
      <c r="AM34" s="191">
        <f>AL34/AK34</f>
        <v>0.14218579768118769</v>
      </c>
      <c r="AN34" t="s">
        <v>1</v>
      </c>
      <c r="AO34" s="145">
        <v>186.67</v>
      </c>
      <c r="AP34" s="191">
        <v>0.421067212573279</v>
      </c>
      <c r="AQ34" s="202">
        <f t="shared" si="11"/>
        <v>78.60061657105399</v>
      </c>
      <c r="AR34" s="202">
        <f>AL34-AQ34</f>
        <v>8.8393834289460074</v>
      </c>
      <c r="AS34" s="204">
        <f t="shared" si="12"/>
        <v>0.421067212573279</v>
      </c>
      <c r="AV34" s="203">
        <f t="shared" si="13"/>
        <v>2.0638298923525582E-2</v>
      </c>
    </row>
    <row r="35" spans="2:48" x14ac:dyDescent="0.2">
      <c r="B35" s="138" t="s">
        <v>26</v>
      </c>
      <c r="C35" s="192">
        <f t="shared" si="14"/>
        <v>0</v>
      </c>
      <c r="D35" s="192">
        <f t="shared" si="27"/>
        <v>0</v>
      </c>
      <c r="E35" s="192">
        <f t="shared" si="35"/>
        <v>0</v>
      </c>
      <c r="F35" s="192">
        <f t="shared" ref="F35:F51" si="36">IFERROR(VLOOKUP(F$3,$AJ$4:$AV$94,13,FALSE),0)</f>
        <v>0</v>
      </c>
      <c r="G35" s="192">
        <f t="shared" si="28"/>
        <v>0</v>
      </c>
      <c r="H35" s="192">
        <f t="shared" si="21"/>
        <v>0</v>
      </c>
      <c r="I35" s="192">
        <f t="shared" si="29"/>
        <v>0</v>
      </c>
      <c r="J35" s="192">
        <f t="shared" si="22"/>
        <v>0.1467895015168805</v>
      </c>
      <c r="K35" s="192">
        <f t="shared" si="22"/>
        <v>0</v>
      </c>
      <c r="L35" s="192">
        <f t="shared" si="22"/>
        <v>0</v>
      </c>
      <c r="M35" s="192">
        <f t="shared" si="22"/>
        <v>0</v>
      </c>
      <c r="N35" s="192">
        <f t="shared" si="30"/>
        <v>0.2408051012749145</v>
      </c>
      <c r="O35" s="192">
        <f t="shared" si="23"/>
        <v>0</v>
      </c>
      <c r="P35" s="192">
        <f t="shared" si="23"/>
        <v>0</v>
      </c>
      <c r="Q35" s="192">
        <f t="shared" si="31"/>
        <v>4.5415999192012311E-3</v>
      </c>
      <c r="R35" s="192">
        <f t="shared" si="24"/>
        <v>0.19123931623931623</v>
      </c>
      <c r="S35" s="192">
        <f t="shared" si="24"/>
        <v>2.3590804702244252E-2</v>
      </c>
      <c r="T35" s="192">
        <f t="shared" si="32"/>
        <v>8.1490982973226531E-2</v>
      </c>
      <c r="U35" s="192">
        <f t="shared" si="32"/>
        <v>0</v>
      </c>
      <c r="V35" s="192">
        <f t="shared" si="17"/>
        <v>0.17535903250189033</v>
      </c>
      <c r="W35" s="192">
        <f t="shared" si="25"/>
        <v>0.25240847784200438</v>
      </c>
      <c r="X35" s="192">
        <f t="shared" si="25"/>
        <v>0.42350332594235135</v>
      </c>
      <c r="Y35" s="192">
        <f t="shared" ref="Y35:Z51" si="37">IFERROR(VLOOKUP(Y$3,$AJ$4:$AV$94,13,FALSE),0)</f>
        <v>0.33944687045123723</v>
      </c>
      <c r="Z35" s="192">
        <f t="shared" si="37"/>
        <v>0</v>
      </c>
      <c r="AA35" s="192">
        <f t="shared" si="33"/>
        <v>0</v>
      </c>
      <c r="AB35" s="192">
        <f t="shared" si="19"/>
        <v>6.8229258895560682E-2</v>
      </c>
      <c r="AC35" s="192">
        <f t="shared" si="34"/>
        <v>0</v>
      </c>
      <c r="AD35" s="192">
        <f t="shared" si="34"/>
        <v>2.0638298923525582E-2</v>
      </c>
      <c r="AE35" s="192">
        <f t="shared" si="26"/>
        <v>1.1342101050037532E-2</v>
      </c>
      <c r="AF35" s="192">
        <f t="shared" si="20"/>
        <v>0</v>
      </c>
      <c r="AG35" s="192">
        <f t="shared" si="20"/>
        <v>0</v>
      </c>
      <c r="AH35" s="192">
        <f t="shared" si="20"/>
        <v>0</v>
      </c>
    </row>
    <row r="36" spans="2:48" x14ac:dyDescent="0.2">
      <c r="B36" s="138" t="s">
        <v>27</v>
      </c>
      <c r="C36" s="192">
        <f t="shared" si="14"/>
        <v>0</v>
      </c>
      <c r="D36" s="192">
        <f t="shared" si="27"/>
        <v>0</v>
      </c>
      <c r="E36" s="192">
        <f t="shared" si="35"/>
        <v>0</v>
      </c>
      <c r="F36" s="192">
        <f t="shared" si="36"/>
        <v>0</v>
      </c>
      <c r="G36" s="192">
        <f t="shared" si="28"/>
        <v>0</v>
      </c>
      <c r="H36" s="192">
        <f t="shared" si="21"/>
        <v>0</v>
      </c>
      <c r="I36" s="192">
        <f t="shared" si="29"/>
        <v>0</v>
      </c>
      <c r="J36" s="192">
        <f t="shared" si="22"/>
        <v>0.1467895015168805</v>
      </c>
      <c r="K36" s="192">
        <f t="shared" si="22"/>
        <v>0</v>
      </c>
      <c r="L36" s="192">
        <f t="shared" si="22"/>
        <v>0</v>
      </c>
      <c r="M36" s="192">
        <f t="shared" si="22"/>
        <v>0</v>
      </c>
      <c r="N36" s="192">
        <f t="shared" si="30"/>
        <v>0.2408051012749145</v>
      </c>
      <c r="O36" s="192">
        <f t="shared" si="23"/>
        <v>0</v>
      </c>
      <c r="P36" s="192">
        <f t="shared" si="23"/>
        <v>0</v>
      </c>
      <c r="Q36" s="192">
        <f t="shared" si="31"/>
        <v>4.5415999192012311E-3</v>
      </c>
      <c r="R36" s="192">
        <f t="shared" si="24"/>
        <v>0.19123931623931623</v>
      </c>
      <c r="S36" s="192">
        <f t="shared" si="24"/>
        <v>2.3590804702244252E-2</v>
      </c>
      <c r="T36" s="192">
        <f t="shared" si="32"/>
        <v>8.1490982973226531E-2</v>
      </c>
      <c r="U36" s="192">
        <f t="shared" si="32"/>
        <v>0</v>
      </c>
      <c r="V36" s="192">
        <f t="shared" si="17"/>
        <v>0.17535903250189033</v>
      </c>
      <c r="W36" s="192">
        <f t="shared" si="25"/>
        <v>0.25240847784200438</v>
      </c>
      <c r="X36" s="192">
        <f t="shared" si="25"/>
        <v>0.42350332594235135</v>
      </c>
      <c r="Y36" s="192">
        <f t="shared" si="37"/>
        <v>0.33944687045123723</v>
      </c>
      <c r="Z36" s="192">
        <f t="shared" si="37"/>
        <v>0</v>
      </c>
      <c r="AA36" s="192">
        <f t="shared" si="33"/>
        <v>0</v>
      </c>
      <c r="AB36" s="192">
        <f t="shared" si="19"/>
        <v>6.8229258895560682E-2</v>
      </c>
      <c r="AC36" s="192">
        <f t="shared" si="34"/>
        <v>0</v>
      </c>
      <c r="AD36" s="192">
        <f t="shared" si="34"/>
        <v>2.0638298923525582E-2</v>
      </c>
      <c r="AE36" s="192">
        <f t="shared" si="26"/>
        <v>1.1342101050037532E-2</v>
      </c>
      <c r="AF36" s="192">
        <f t="shared" si="20"/>
        <v>0</v>
      </c>
      <c r="AG36" s="192">
        <f t="shared" si="20"/>
        <v>0</v>
      </c>
      <c r="AH36" s="192">
        <f t="shared" si="20"/>
        <v>0</v>
      </c>
      <c r="AM36" t="s">
        <v>624</v>
      </c>
      <c r="AN36" t="s">
        <v>623</v>
      </c>
      <c r="AO36" s="201" t="s">
        <v>606</v>
      </c>
      <c r="AP36" s="201" t="s">
        <v>607</v>
      </c>
      <c r="AQ36" s="201" t="s">
        <v>608</v>
      </c>
      <c r="AR36" s="201" t="s">
        <v>609</v>
      </c>
      <c r="AS36" s="202" t="s">
        <v>610</v>
      </c>
    </row>
    <row r="37" spans="2:48" x14ac:dyDescent="0.2">
      <c r="B37" s="138" t="s">
        <v>28</v>
      </c>
      <c r="C37" s="192">
        <f t="shared" si="14"/>
        <v>0</v>
      </c>
      <c r="D37" s="192">
        <f t="shared" si="27"/>
        <v>0</v>
      </c>
      <c r="E37" s="192">
        <f t="shared" si="35"/>
        <v>0</v>
      </c>
      <c r="F37" s="192">
        <f t="shared" si="36"/>
        <v>0</v>
      </c>
      <c r="G37" s="192">
        <f t="shared" si="28"/>
        <v>0</v>
      </c>
      <c r="H37" s="192">
        <f t="shared" si="21"/>
        <v>0</v>
      </c>
      <c r="I37" s="192">
        <f t="shared" si="29"/>
        <v>0</v>
      </c>
      <c r="J37" s="192">
        <f t="shared" si="22"/>
        <v>0.1467895015168805</v>
      </c>
      <c r="K37" s="192">
        <f t="shared" si="22"/>
        <v>0</v>
      </c>
      <c r="L37" s="192">
        <f t="shared" si="22"/>
        <v>0</v>
      </c>
      <c r="M37" s="192">
        <f t="shared" si="22"/>
        <v>0</v>
      </c>
      <c r="N37" s="192">
        <f t="shared" si="30"/>
        <v>0.2408051012749145</v>
      </c>
      <c r="O37" s="192">
        <f t="shared" si="23"/>
        <v>0</v>
      </c>
      <c r="P37" s="192">
        <f t="shared" si="23"/>
        <v>0</v>
      </c>
      <c r="Q37" s="192">
        <f t="shared" si="31"/>
        <v>4.5415999192012311E-3</v>
      </c>
      <c r="R37" s="192">
        <f t="shared" si="24"/>
        <v>0.19123931623931623</v>
      </c>
      <c r="S37" s="192">
        <f t="shared" si="24"/>
        <v>2.3590804702244252E-2</v>
      </c>
      <c r="T37" s="192">
        <f t="shared" si="32"/>
        <v>8.1490982973226531E-2</v>
      </c>
      <c r="U37" s="192">
        <f t="shared" si="32"/>
        <v>0</v>
      </c>
      <c r="V37" s="192">
        <f t="shared" si="17"/>
        <v>0.17535903250189033</v>
      </c>
      <c r="W37" s="192">
        <f t="shared" si="25"/>
        <v>0.25240847784200438</v>
      </c>
      <c r="X37" s="192">
        <f t="shared" si="25"/>
        <v>0.42350332594235135</v>
      </c>
      <c r="Y37" s="192">
        <f t="shared" si="37"/>
        <v>0.33944687045123723</v>
      </c>
      <c r="Z37" s="192">
        <f t="shared" si="37"/>
        <v>0</v>
      </c>
      <c r="AA37" s="192">
        <f t="shared" si="33"/>
        <v>0</v>
      </c>
      <c r="AB37" s="192">
        <f t="shared" si="19"/>
        <v>6.8229258895560682E-2</v>
      </c>
      <c r="AC37" s="192">
        <f t="shared" si="34"/>
        <v>0</v>
      </c>
      <c r="AD37" s="192">
        <f t="shared" si="34"/>
        <v>2.0638298923525582E-2</v>
      </c>
      <c r="AE37" s="192">
        <f t="shared" si="26"/>
        <v>1.1342101050037532E-2</v>
      </c>
      <c r="AF37" s="192">
        <f t="shared" si="20"/>
        <v>0</v>
      </c>
      <c r="AG37" s="192">
        <f t="shared" si="20"/>
        <v>0</v>
      </c>
      <c r="AH37" s="192">
        <f t="shared" si="20"/>
        <v>0</v>
      </c>
      <c r="AM37" t="s">
        <v>434</v>
      </c>
      <c r="AN37" t="s">
        <v>616</v>
      </c>
      <c r="AO37">
        <v>-73.349823714653297</v>
      </c>
      <c r="AP37">
        <v>47.730941239890797</v>
      </c>
      <c r="AQ37">
        <v>-1.5367353295214601</v>
      </c>
      <c r="AR37">
        <v>0.14833375903555099</v>
      </c>
      <c r="AS37"/>
    </row>
    <row r="38" spans="2:48" x14ac:dyDescent="0.2">
      <c r="B38" s="138" t="s">
        <v>29</v>
      </c>
      <c r="C38" s="192">
        <f t="shared" si="14"/>
        <v>0</v>
      </c>
      <c r="D38" s="192">
        <f t="shared" si="27"/>
        <v>0</v>
      </c>
      <c r="E38" s="192">
        <f t="shared" si="35"/>
        <v>0</v>
      </c>
      <c r="F38" s="192">
        <f t="shared" si="36"/>
        <v>0</v>
      </c>
      <c r="G38" s="192">
        <f t="shared" si="28"/>
        <v>0</v>
      </c>
      <c r="H38" s="192">
        <f t="shared" si="21"/>
        <v>0</v>
      </c>
      <c r="I38" s="192">
        <f t="shared" si="29"/>
        <v>0</v>
      </c>
      <c r="J38" s="192">
        <f t="shared" si="22"/>
        <v>0.1467895015168805</v>
      </c>
      <c r="K38" s="192">
        <f t="shared" si="22"/>
        <v>0</v>
      </c>
      <c r="L38" s="192">
        <f t="shared" si="22"/>
        <v>0</v>
      </c>
      <c r="M38" s="192">
        <f t="shared" si="22"/>
        <v>0</v>
      </c>
      <c r="N38" s="192">
        <f t="shared" si="30"/>
        <v>0.2408051012749145</v>
      </c>
      <c r="O38" s="192">
        <f t="shared" si="23"/>
        <v>0</v>
      </c>
      <c r="P38" s="192">
        <f t="shared" si="23"/>
        <v>0</v>
      </c>
      <c r="Q38" s="192">
        <f t="shared" si="31"/>
        <v>4.5415999192012311E-3</v>
      </c>
      <c r="R38" s="192">
        <f t="shared" si="24"/>
        <v>0.19123931623931623</v>
      </c>
      <c r="S38" s="192">
        <f t="shared" si="24"/>
        <v>2.3590804702244252E-2</v>
      </c>
      <c r="T38" s="192">
        <f t="shared" si="32"/>
        <v>8.1490982973226531E-2</v>
      </c>
      <c r="U38" s="192">
        <f t="shared" si="32"/>
        <v>0</v>
      </c>
      <c r="V38" s="192">
        <f t="shared" si="17"/>
        <v>0.17535903250189033</v>
      </c>
      <c r="W38" s="192">
        <f t="shared" si="25"/>
        <v>0.25240847784200438</v>
      </c>
      <c r="X38" s="192">
        <f t="shared" si="25"/>
        <v>0.42350332594235135</v>
      </c>
      <c r="Y38" s="192">
        <f t="shared" si="37"/>
        <v>0.33944687045123723</v>
      </c>
      <c r="Z38" s="192">
        <f t="shared" si="37"/>
        <v>0</v>
      </c>
      <c r="AA38" s="192">
        <f t="shared" si="33"/>
        <v>0</v>
      </c>
      <c r="AB38" s="192">
        <f t="shared" si="19"/>
        <v>6.8229258895560682E-2</v>
      </c>
      <c r="AC38" s="192">
        <f t="shared" si="34"/>
        <v>0</v>
      </c>
      <c r="AD38" s="192">
        <f t="shared" si="34"/>
        <v>2.0638298923525582E-2</v>
      </c>
      <c r="AE38" s="192">
        <f t="shared" si="26"/>
        <v>1.1342101050037532E-2</v>
      </c>
      <c r="AF38" s="192">
        <f t="shared" si="20"/>
        <v>0</v>
      </c>
      <c r="AG38" s="192">
        <f t="shared" si="20"/>
        <v>0</v>
      </c>
      <c r="AH38" s="192">
        <f t="shared" si="20"/>
        <v>0</v>
      </c>
      <c r="AM38" t="s">
        <v>434</v>
      </c>
      <c r="AN38" t="s">
        <v>480</v>
      </c>
      <c r="AO38">
        <v>0.20054340460630099</v>
      </c>
      <c r="AP38">
        <v>0.12555433417344</v>
      </c>
      <c r="AQ38">
        <v>1.5972638931705201</v>
      </c>
      <c r="AR38">
        <v>0.13421898847101399</v>
      </c>
      <c r="AS38">
        <v>0.95</v>
      </c>
    </row>
    <row r="39" spans="2:48" x14ac:dyDescent="0.2">
      <c r="B39" s="138" t="s">
        <v>30</v>
      </c>
      <c r="C39" s="192">
        <f t="shared" si="14"/>
        <v>0</v>
      </c>
      <c r="D39" s="192">
        <f t="shared" si="27"/>
        <v>0</v>
      </c>
      <c r="E39" s="192">
        <f t="shared" si="35"/>
        <v>0</v>
      </c>
      <c r="F39" s="192">
        <f t="shared" si="36"/>
        <v>0</v>
      </c>
      <c r="G39" s="192">
        <f t="shared" si="28"/>
        <v>0</v>
      </c>
      <c r="H39" s="192">
        <f t="shared" si="21"/>
        <v>0</v>
      </c>
      <c r="I39" s="192">
        <f t="shared" si="29"/>
        <v>0</v>
      </c>
      <c r="J39" s="192">
        <f t="shared" si="22"/>
        <v>0.1467895015168805</v>
      </c>
      <c r="K39" s="192">
        <f t="shared" si="22"/>
        <v>0</v>
      </c>
      <c r="L39" s="192">
        <f t="shared" si="22"/>
        <v>0</v>
      </c>
      <c r="M39" s="192">
        <f t="shared" si="22"/>
        <v>0</v>
      </c>
      <c r="N39" s="192">
        <f t="shared" si="30"/>
        <v>0.2408051012749145</v>
      </c>
      <c r="O39" s="192">
        <f t="shared" si="23"/>
        <v>0</v>
      </c>
      <c r="P39" s="192">
        <f t="shared" si="23"/>
        <v>0</v>
      </c>
      <c r="Q39" s="192">
        <f t="shared" si="31"/>
        <v>4.5415999192012311E-3</v>
      </c>
      <c r="R39" s="192">
        <f t="shared" si="24"/>
        <v>0.19123931623931623</v>
      </c>
      <c r="S39" s="192">
        <f t="shared" si="24"/>
        <v>2.3590804702244252E-2</v>
      </c>
      <c r="T39" s="192">
        <f t="shared" si="32"/>
        <v>8.1490982973226531E-2</v>
      </c>
      <c r="U39" s="192">
        <f t="shared" si="32"/>
        <v>0</v>
      </c>
      <c r="V39" s="192">
        <f t="shared" si="17"/>
        <v>0.17535903250189033</v>
      </c>
      <c r="W39" s="192">
        <f t="shared" si="25"/>
        <v>0.25240847784200438</v>
      </c>
      <c r="X39" s="192">
        <f t="shared" si="25"/>
        <v>0.42350332594235135</v>
      </c>
      <c r="Y39" s="192">
        <f t="shared" si="37"/>
        <v>0.33944687045123723</v>
      </c>
      <c r="Z39" s="192">
        <f t="shared" si="37"/>
        <v>0</v>
      </c>
      <c r="AA39" s="192">
        <f t="shared" si="33"/>
        <v>0</v>
      </c>
      <c r="AB39" s="192">
        <f t="shared" si="19"/>
        <v>6.8229258895560682E-2</v>
      </c>
      <c r="AC39" s="192">
        <f t="shared" si="34"/>
        <v>0</v>
      </c>
      <c r="AD39" s="192">
        <f t="shared" si="34"/>
        <v>2.0638298923525582E-2</v>
      </c>
      <c r="AE39" s="192">
        <f t="shared" si="26"/>
        <v>1.1342101050037532E-2</v>
      </c>
      <c r="AF39" s="192">
        <f t="shared" si="20"/>
        <v>0</v>
      </c>
      <c r="AG39" s="192">
        <f t="shared" si="20"/>
        <v>0</v>
      </c>
      <c r="AH39" s="192">
        <f t="shared" si="20"/>
        <v>0</v>
      </c>
      <c r="AM39" t="s">
        <v>434</v>
      </c>
      <c r="AN39" t="s">
        <v>1</v>
      </c>
      <c r="AO39">
        <v>0.476671612887616</v>
      </c>
      <c r="AP39">
        <v>0.181473081469121</v>
      </c>
      <c r="AQ39">
        <v>2.62667944484497</v>
      </c>
      <c r="AR39">
        <v>2.0918987599291401E-2</v>
      </c>
      <c r="AS39">
        <v>0.96470588235294097</v>
      </c>
    </row>
    <row r="40" spans="2:48" x14ac:dyDescent="0.2">
      <c r="B40" s="138" t="s">
        <v>31</v>
      </c>
      <c r="C40" s="192">
        <f t="shared" si="14"/>
        <v>0</v>
      </c>
      <c r="D40" s="192">
        <f t="shared" si="27"/>
        <v>0</v>
      </c>
      <c r="E40" s="192">
        <f t="shared" si="35"/>
        <v>0</v>
      </c>
      <c r="F40" s="192">
        <f t="shared" si="36"/>
        <v>0</v>
      </c>
      <c r="G40" s="192">
        <f t="shared" si="28"/>
        <v>0</v>
      </c>
      <c r="H40" s="192">
        <f t="shared" si="21"/>
        <v>0</v>
      </c>
      <c r="I40" s="192">
        <f t="shared" si="29"/>
        <v>0</v>
      </c>
      <c r="J40" s="192">
        <f t="shared" si="22"/>
        <v>0.1467895015168805</v>
      </c>
      <c r="K40" s="192">
        <f t="shared" si="22"/>
        <v>0</v>
      </c>
      <c r="L40" s="192">
        <f t="shared" si="22"/>
        <v>0</v>
      </c>
      <c r="M40" s="192">
        <f t="shared" si="22"/>
        <v>0</v>
      </c>
      <c r="N40" s="192">
        <f t="shared" si="30"/>
        <v>0.2408051012749145</v>
      </c>
      <c r="O40" s="192">
        <f t="shared" si="23"/>
        <v>0</v>
      </c>
      <c r="P40" s="192">
        <f t="shared" si="23"/>
        <v>0</v>
      </c>
      <c r="Q40" s="192">
        <f t="shared" si="31"/>
        <v>4.5415999192012311E-3</v>
      </c>
      <c r="R40" s="192">
        <f t="shared" si="24"/>
        <v>0.19123931623931623</v>
      </c>
      <c r="S40" s="192">
        <f t="shared" si="24"/>
        <v>2.3590804702244252E-2</v>
      </c>
      <c r="T40" s="192">
        <f t="shared" si="32"/>
        <v>8.1490982973226531E-2</v>
      </c>
      <c r="U40" s="192">
        <f t="shared" si="32"/>
        <v>0</v>
      </c>
      <c r="V40" s="192">
        <f t="shared" si="17"/>
        <v>0.17535903250189033</v>
      </c>
      <c r="W40" s="192">
        <f t="shared" si="25"/>
        <v>0.25240847784200438</v>
      </c>
      <c r="X40" s="192">
        <f t="shared" si="25"/>
        <v>0.42350332594235135</v>
      </c>
      <c r="Y40" s="192">
        <f t="shared" si="37"/>
        <v>0.33944687045123723</v>
      </c>
      <c r="Z40" s="192">
        <f t="shared" si="37"/>
        <v>0</v>
      </c>
      <c r="AA40" s="192">
        <f t="shared" si="33"/>
        <v>0</v>
      </c>
      <c r="AB40" s="192">
        <f t="shared" si="19"/>
        <v>6.8229258895560682E-2</v>
      </c>
      <c r="AC40" s="192">
        <f t="shared" si="34"/>
        <v>0</v>
      </c>
      <c r="AD40" s="192">
        <f t="shared" si="34"/>
        <v>2.0638298923525582E-2</v>
      </c>
      <c r="AE40" s="192">
        <f t="shared" si="26"/>
        <v>1.1342101050037532E-2</v>
      </c>
      <c r="AF40" s="192">
        <f t="shared" si="20"/>
        <v>0</v>
      </c>
      <c r="AG40" s="192">
        <f t="shared" si="20"/>
        <v>0</v>
      </c>
      <c r="AH40" s="192">
        <f t="shared" si="20"/>
        <v>0</v>
      </c>
      <c r="AS40"/>
    </row>
    <row r="41" spans="2:48" x14ac:dyDescent="0.2">
      <c r="B41" s="138" t="s">
        <v>32</v>
      </c>
      <c r="C41" s="192">
        <f t="shared" si="14"/>
        <v>0</v>
      </c>
      <c r="D41" s="192">
        <f t="shared" si="27"/>
        <v>0</v>
      </c>
      <c r="E41" s="192">
        <f t="shared" si="35"/>
        <v>0</v>
      </c>
      <c r="F41" s="192">
        <f t="shared" si="36"/>
        <v>0</v>
      </c>
      <c r="G41" s="192">
        <f t="shared" si="28"/>
        <v>0</v>
      </c>
      <c r="H41" s="192">
        <f t="shared" si="21"/>
        <v>0</v>
      </c>
      <c r="I41" s="192">
        <f t="shared" si="29"/>
        <v>0</v>
      </c>
      <c r="J41" s="192">
        <f t="shared" si="22"/>
        <v>0.1467895015168805</v>
      </c>
      <c r="K41" s="192">
        <f t="shared" si="22"/>
        <v>0</v>
      </c>
      <c r="L41" s="192">
        <f t="shared" si="22"/>
        <v>0</v>
      </c>
      <c r="M41" s="192">
        <f t="shared" si="22"/>
        <v>0</v>
      </c>
      <c r="N41" s="192">
        <f t="shared" si="30"/>
        <v>0.2408051012749145</v>
      </c>
      <c r="O41" s="192">
        <f t="shared" si="23"/>
        <v>0</v>
      </c>
      <c r="P41" s="192">
        <f t="shared" si="23"/>
        <v>0</v>
      </c>
      <c r="Q41" s="192">
        <f t="shared" si="31"/>
        <v>4.5415999192012311E-3</v>
      </c>
      <c r="R41" s="192">
        <f t="shared" si="24"/>
        <v>0.19123931623931623</v>
      </c>
      <c r="S41" s="192">
        <f t="shared" si="24"/>
        <v>2.3590804702244252E-2</v>
      </c>
      <c r="T41" s="192">
        <f t="shared" si="32"/>
        <v>8.1490982973226531E-2</v>
      </c>
      <c r="U41" s="192">
        <f t="shared" si="32"/>
        <v>0</v>
      </c>
      <c r="V41" s="192">
        <f t="shared" si="17"/>
        <v>0.17535903250189033</v>
      </c>
      <c r="W41" s="192">
        <f t="shared" si="25"/>
        <v>0.25240847784200438</v>
      </c>
      <c r="X41" s="192">
        <f t="shared" si="25"/>
        <v>0.42350332594235135</v>
      </c>
      <c r="Y41" s="192">
        <f t="shared" si="37"/>
        <v>0.33944687045123723</v>
      </c>
      <c r="Z41" s="192">
        <f t="shared" si="37"/>
        <v>0</v>
      </c>
      <c r="AA41" s="192">
        <f t="shared" si="33"/>
        <v>0</v>
      </c>
      <c r="AB41" s="192">
        <f t="shared" si="19"/>
        <v>6.8229258895560682E-2</v>
      </c>
      <c r="AC41" s="192">
        <f t="shared" si="34"/>
        <v>0</v>
      </c>
      <c r="AD41" s="192">
        <f t="shared" si="34"/>
        <v>2.0638298923525582E-2</v>
      </c>
      <c r="AE41" s="192">
        <f t="shared" si="26"/>
        <v>1.1342101050037532E-2</v>
      </c>
      <c r="AF41" s="192">
        <f t="shared" si="20"/>
        <v>0</v>
      </c>
      <c r="AG41" s="192">
        <f t="shared" si="20"/>
        <v>0</v>
      </c>
      <c r="AH41" s="192">
        <f t="shared" si="20"/>
        <v>0</v>
      </c>
      <c r="AM41" t="s">
        <v>443</v>
      </c>
      <c r="AN41" t="s">
        <v>616</v>
      </c>
      <c r="AO41">
        <v>2.4971429055854899</v>
      </c>
      <c r="AP41">
        <v>2.0770827130417699</v>
      </c>
      <c r="AQ41">
        <v>1.20223565961347</v>
      </c>
      <c r="AR41">
        <v>0.25071413653470997</v>
      </c>
      <c r="AS41"/>
    </row>
    <row r="42" spans="2:48" x14ac:dyDescent="0.2">
      <c r="B42" s="138" t="s">
        <v>33</v>
      </c>
      <c r="C42" s="192">
        <f t="shared" si="14"/>
        <v>0</v>
      </c>
      <c r="D42" s="192">
        <f t="shared" si="27"/>
        <v>0</v>
      </c>
      <c r="E42" s="192">
        <f t="shared" si="35"/>
        <v>0</v>
      </c>
      <c r="F42" s="192">
        <f t="shared" si="36"/>
        <v>0</v>
      </c>
      <c r="G42" s="192">
        <f t="shared" si="28"/>
        <v>0</v>
      </c>
      <c r="H42" s="192">
        <f t="shared" si="21"/>
        <v>0</v>
      </c>
      <c r="I42" s="192">
        <f t="shared" si="29"/>
        <v>0</v>
      </c>
      <c r="J42" s="192">
        <f t="shared" si="22"/>
        <v>0.1467895015168805</v>
      </c>
      <c r="K42" s="192">
        <f t="shared" si="22"/>
        <v>0</v>
      </c>
      <c r="L42" s="192">
        <f t="shared" si="22"/>
        <v>0</v>
      </c>
      <c r="M42" s="192">
        <f t="shared" si="22"/>
        <v>0</v>
      </c>
      <c r="N42" s="192">
        <f t="shared" si="30"/>
        <v>0.2408051012749145</v>
      </c>
      <c r="O42" s="192">
        <f t="shared" si="23"/>
        <v>0</v>
      </c>
      <c r="P42" s="192">
        <f t="shared" si="23"/>
        <v>0</v>
      </c>
      <c r="Q42" s="192">
        <f t="shared" si="31"/>
        <v>4.5415999192012311E-3</v>
      </c>
      <c r="R42" s="192">
        <f t="shared" si="24"/>
        <v>0.19123931623931623</v>
      </c>
      <c r="S42" s="192">
        <f t="shared" si="24"/>
        <v>2.3590804702244252E-2</v>
      </c>
      <c r="T42" s="192">
        <f t="shared" si="32"/>
        <v>8.1490982973226531E-2</v>
      </c>
      <c r="U42" s="192">
        <f t="shared" si="32"/>
        <v>0</v>
      </c>
      <c r="V42" s="192">
        <f t="shared" si="17"/>
        <v>0.17535903250189033</v>
      </c>
      <c r="W42" s="192">
        <f t="shared" si="25"/>
        <v>0.25240847784200438</v>
      </c>
      <c r="X42" s="192">
        <f t="shared" si="25"/>
        <v>0.42350332594235135</v>
      </c>
      <c r="Y42" s="192">
        <f t="shared" si="37"/>
        <v>0.33944687045123723</v>
      </c>
      <c r="Z42" s="192">
        <f t="shared" si="37"/>
        <v>0</v>
      </c>
      <c r="AA42" s="192">
        <f t="shared" si="33"/>
        <v>0</v>
      </c>
      <c r="AB42" s="192">
        <f t="shared" si="19"/>
        <v>6.8229258895560682E-2</v>
      </c>
      <c r="AC42" s="192">
        <f t="shared" si="34"/>
        <v>0</v>
      </c>
      <c r="AD42" s="192">
        <f t="shared" si="34"/>
        <v>2.0638298923525582E-2</v>
      </c>
      <c r="AE42" s="192">
        <f t="shared" si="26"/>
        <v>1.1342101050037532E-2</v>
      </c>
      <c r="AF42" s="192">
        <f t="shared" si="20"/>
        <v>0</v>
      </c>
      <c r="AG42" s="192">
        <f t="shared" si="20"/>
        <v>0</v>
      </c>
      <c r="AH42" s="192">
        <f t="shared" si="20"/>
        <v>0</v>
      </c>
      <c r="AM42" t="s">
        <v>443</v>
      </c>
      <c r="AN42" t="s">
        <v>480</v>
      </c>
      <c r="AO42">
        <v>-1.5540597636712001E-3</v>
      </c>
      <c r="AP42">
        <v>1.2145288784979599E-2</v>
      </c>
      <c r="AQ42">
        <v>-0.12795576879103501</v>
      </c>
      <c r="AR42">
        <v>0.90014219427068798</v>
      </c>
      <c r="AS42">
        <v>0.48823529411764699</v>
      </c>
    </row>
    <row r="43" spans="2:48" x14ac:dyDescent="0.2">
      <c r="B43" s="138" t="s">
        <v>34</v>
      </c>
      <c r="C43" s="192">
        <f t="shared" si="14"/>
        <v>0</v>
      </c>
      <c r="D43" s="192">
        <f t="shared" si="27"/>
        <v>0</v>
      </c>
      <c r="E43" s="192">
        <f t="shared" si="35"/>
        <v>0</v>
      </c>
      <c r="F43" s="192">
        <f t="shared" si="36"/>
        <v>0</v>
      </c>
      <c r="G43" s="192">
        <f t="shared" si="28"/>
        <v>0</v>
      </c>
      <c r="H43" s="192">
        <f t="shared" si="21"/>
        <v>0</v>
      </c>
      <c r="I43" s="192">
        <f t="shared" si="29"/>
        <v>0</v>
      </c>
      <c r="J43" s="192">
        <f t="shared" si="22"/>
        <v>0.1467895015168805</v>
      </c>
      <c r="K43" s="192">
        <f t="shared" si="22"/>
        <v>0</v>
      </c>
      <c r="L43" s="192">
        <f t="shared" si="22"/>
        <v>0</v>
      </c>
      <c r="M43" s="192">
        <f t="shared" si="22"/>
        <v>0</v>
      </c>
      <c r="N43" s="192">
        <f t="shared" si="30"/>
        <v>0.2408051012749145</v>
      </c>
      <c r="O43" s="192">
        <f t="shared" si="23"/>
        <v>0</v>
      </c>
      <c r="P43" s="192">
        <f t="shared" si="23"/>
        <v>0</v>
      </c>
      <c r="Q43" s="192">
        <f t="shared" si="31"/>
        <v>4.5415999192012311E-3</v>
      </c>
      <c r="R43" s="192">
        <f t="shared" si="24"/>
        <v>0.19123931623931623</v>
      </c>
      <c r="S43" s="192">
        <f t="shared" si="24"/>
        <v>2.3590804702244252E-2</v>
      </c>
      <c r="T43" s="192">
        <f t="shared" si="32"/>
        <v>8.1490982973226531E-2</v>
      </c>
      <c r="U43" s="192">
        <f t="shared" si="32"/>
        <v>0</v>
      </c>
      <c r="V43" s="192">
        <f t="shared" si="17"/>
        <v>0.17535903250189033</v>
      </c>
      <c r="W43" s="192">
        <f t="shared" si="25"/>
        <v>0.25240847784200438</v>
      </c>
      <c r="X43" s="192">
        <f t="shared" si="25"/>
        <v>0.42350332594235135</v>
      </c>
      <c r="Y43" s="192">
        <f t="shared" si="37"/>
        <v>0.33944687045123723</v>
      </c>
      <c r="Z43" s="192">
        <f t="shared" si="37"/>
        <v>0</v>
      </c>
      <c r="AA43" s="192">
        <f t="shared" si="33"/>
        <v>0</v>
      </c>
      <c r="AB43" s="192">
        <f t="shared" si="19"/>
        <v>6.8229258895560682E-2</v>
      </c>
      <c r="AC43" s="192">
        <f t="shared" si="34"/>
        <v>0</v>
      </c>
      <c r="AD43" s="192">
        <f t="shared" si="34"/>
        <v>2.0638298923525582E-2</v>
      </c>
      <c r="AE43" s="192">
        <f t="shared" si="26"/>
        <v>1.1342101050037532E-2</v>
      </c>
      <c r="AF43" s="192">
        <f t="shared" si="20"/>
        <v>0</v>
      </c>
      <c r="AG43" s="192">
        <f t="shared" si="20"/>
        <v>0</v>
      </c>
      <c r="AH43" s="192">
        <f t="shared" si="20"/>
        <v>0</v>
      </c>
      <c r="AM43" t="s">
        <v>443</v>
      </c>
      <c r="AN43" t="s">
        <v>1</v>
      </c>
      <c r="AO43">
        <v>0.20267791447648301</v>
      </c>
      <c r="AP43">
        <v>0.13690428019698</v>
      </c>
      <c r="AQ43">
        <v>1.4804351930039601</v>
      </c>
      <c r="AR43">
        <v>0.162581579824955</v>
      </c>
      <c r="AS43">
        <v>0.5</v>
      </c>
    </row>
    <row r="44" spans="2:48" x14ac:dyDescent="0.2">
      <c r="B44" s="138" t="s">
        <v>35</v>
      </c>
      <c r="C44" s="192">
        <f t="shared" si="14"/>
        <v>0</v>
      </c>
      <c r="D44" s="192">
        <f t="shared" si="27"/>
        <v>0</v>
      </c>
      <c r="E44" s="192">
        <f t="shared" si="35"/>
        <v>0</v>
      </c>
      <c r="F44" s="192">
        <f t="shared" si="36"/>
        <v>0</v>
      </c>
      <c r="G44" s="192">
        <f t="shared" si="28"/>
        <v>0</v>
      </c>
      <c r="H44" s="192">
        <f t="shared" si="21"/>
        <v>0</v>
      </c>
      <c r="I44" s="192">
        <f t="shared" si="29"/>
        <v>0</v>
      </c>
      <c r="J44" s="192">
        <f t="shared" si="22"/>
        <v>0.1467895015168805</v>
      </c>
      <c r="K44" s="192">
        <f t="shared" si="22"/>
        <v>0</v>
      </c>
      <c r="L44" s="192">
        <f t="shared" si="22"/>
        <v>0</v>
      </c>
      <c r="M44" s="192">
        <f t="shared" si="22"/>
        <v>0</v>
      </c>
      <c r="N44" s="192">
        <f t="shared" si="30"/>
        <v>0.2408051012749145</v>
      </c>
      <c r="O44" s="192">
        <f t="shared" si="23"/>
        <v>0</v>
      </c>
      <c r="P44" s="192">
        <f t="shared" si="23"/>
        <v>0</v>
      </c>
      <c r="Q44" s="192">
        <f t="shared" si="31"/>
        <v>4.5415999192012311E-3</v>
      </c>
      <c r="R44" s="192">
        <f t="shared" si="24"/>
        <v>0.19123931623931623</v>
      </c>
      <c r="S44" s="192">
        <f t="shared" si="24"/>
        <v>2.3590804702244252E-2</v>
      </c>
      <c r="T44" s="192">
        <f t="shared" si="32"/>
        <v>8.1490982973226531E-2</v>
      </c>
      <c r="U44" s="192">
        <f t="shared" si="32"/>
        <v>0</v>
      </c>
      <c r="V44" s="192">
        <f t="shared" si="17"/>
        <v>0.17535903250189033</v>
      </c>
      <c r="W44" s="192">
        <f t="shared" si="25"/>
        <v>0.25240847784200438</v>
      </c>
      <c r="X44" s="192">
        <f t="shared" si="25"/>
        <v>0.42350332594235135</v>
      </c>
      <c r="Y44" s="192">
        <f t="shared" si="37"/>
        <v>0.33944687045123723</v>
      </c>
      <c r="Z44" s="192">
        <f t="shared" si="37"/>
        <v>0</v>
      </c>
      <c r="AA44" s="192">
        <f t="shared" si="33"/>
        <v>0</v>
      </c>
      <c r="AB44" s="192">
        <f t="shared" si="19"/>
        <v>6.8229258895560682E-2</v>
      </c>
      <c r="AC44" s="192">
        <f t="shared" si="34"/>
        <v>0</v>
      </c>
      <c r="AD44" s="192">
        <f t="shared" si="34"/>
        <v>2.0638298923525582E-2</v>
      </c>
      <c r="AE44" s="192">
        <f t="shared" si="26"/>
        <v>1.1342101050037532E-2</v>
      </c>
      <c r="AF44" s="192">
        <f t="shared" si="20"/>
        <v>0</v>
      </c>
      <c r="AG44" s="192">
        <f t="shared" si="20"/>
        <v>0</v>
      </c>
      <c r="AH44" s="192">
        <f t="shared" si="20"/>
        <v>0</v>
      </c>
      <c r="AS44"/>
    </row>
    <row r="45" spans="2:48" x14ac:dyDescent="0.2">
      <c r="B45" s="138" t="s">
        <v>36</v>
      </c>
      <c r="C45" s="192">
        <f t="shared" si="14"/>
        <v>0</v>
      </c>
      <c r="D45" s="192">
        <f t="shared" si="27"/>
        <v>0</v>
      </c>
      <c r="E45" s="192">
        <f t="shared" si="35"/>
        <v>0</v>
      </c>
      <c r="F45" s="192">
        <f t="shared" si="36"/>
        <v>0</v>
      </c>
      <c r="G45" s="192">
        <f t="shared" si="28"/>
        <v>0</v>
      </c>
      <c r="H45" s="192">
        <f t="shared" si="21"/>
        <v>0</v>
      </c>
      <c r="I45" s="192">
        <f t="shared" si="29"/>
        <v>0</v>
      </c>
      <c r="J45" s="192">
        <f t="shared" si="22"/>
        <v>0.1467895015168805</v>
      </c>
      <c r="K45" s="192">
        <f t="shared" si="22"/>
        <v>0</v>
      </c>
      <c r="L45" s="192">
        <f t="shared" si="22"/>
        <v>0</v>
      </c>
      <c r="M45" s="192">
        <f t="shared" si="22"/>
        <v>0</v>
      </c>
      <c r="N45" s="192">
        <f t="shared" si="30"/>
        <v>0.2408051012749145</v>
      </c>
      <c r="O45" s="192">
        <f t="shared" si="23"/>
        <v>0</v>
      </c>
      <c r="P45" s="192">
        <f t="shared" si="23"/>
        <v>0</v>
      </c>
      <c r="Q45" s="192">
        <f t="shared" si="31"/>
        <v>4.5415999192012311E-3</v>
      </c>
      <c r="R45" s="192">
        <f t="shared" si="24"/>
        <v>0.19123931623931623</v>
      </c>
      <c r="S45" s="192">
        <f t="shared" si="24"/>
        <v>2.3590804702244252E-2</v>
      </c>
      <c r="T45" s="192">
        <f t="shared" si="32"/>
        <v>8.1490982973226531E-2</v>
      </c>
      <c r="U45" s="192">
        <f t="shared" si="32"/>
        <v>0</v>
      </c>
      <c r="V45" s="192">
        <f t="shared" si="17"/>
        <v>0.17535903250189033</v>
      </c>
      <c r="W45" s="192">
        <f t="shared" si="25"/>
        <v>0.25240847784200438</v>
      </c>
      <c r="X45" s="192">
        <f t="shared" si="25"/>
        <v>0.42350332594235135</v>
      </c>
      <c r="Y45" s="192">
        <f t="shared" si="37"/>
        <v>0.33944687045123723</v>
      </c>
      <c r="Z45" s="192">
        <f t="shared" si="37"/>
        <v>0</v>
      </c>
      <c r="AA45" s="192">
        <f t="shared" si="33"/>
        <v>0</v>
      </c>
      <c r="AB45" s="192">
        <f t="shared" si="19"/>
        <v>6.8229258895560682E-2</v>
      </c>
      <c r="AC45" s="192">
        <f t="shared" si="34"/>
        <v>0</v>
      </c>
      <c r="AD45" s="192">
        <f t="shared" si="34"/>
        <v>2.0638298923525582E-2</v>
      </c>
      <c r="AE45" s="192">
        <f t="shared" si="26"/>
        <v>1.1342101050037532E-2</v>
      </c>
      <c r="AF45" s="192">
        <f t="shared" si="20"/>
        <v>0</v>
      </c>
      <c r="AG45" s="192">
        <f t="shared" si="20"/>
        <v>0</v>
      </c>
      <c r="AH45" s="192">
        <f t="shared" si="20"/>
        <v>0</v>
      </c>
      <c r="AM45" t="s">
        <v>426</v>
      </c>
      <c r="AN45" t="s">
        <v>616</v>
      </c>
      <c r="AO45">
        <v>1.4418536787312</v>
      </c>
      <c r="AP45">
        <v>0.61042166964317301</v>
      </c>
      <c r="AQ45">
        <v>2.3620617524506402</v>
      </c>
      <c r="AR45">
        <v>3.4442530744919E-2</v>
      </c>
      <c r="AS45"/>
    </row>
    <row r="46" spans="2:48" x14ac:dyDescent="0.2">
      <c r="B46" s="138" t="s">
        <v>37</v>
      </c>
      <c r="C46" s="192">
        <f t="shared" si="14"/>
        <v>0</v>
      </c>
      <c r="D46" s="192">
        <f t="shared" si="27"/>
        <v>0</v>
      </c>
      <c r="E46" s="192">
        <f t="shared" si="35"/>
        <v>0</v>
      </c>
      <c r="F46" s="192">
        <f t="shared" si="36"/>
        <v>0</v>
      </c>
      <c r="G46" s="192">
        <f t="shared" si="28"/>
        <v>0</v>
      </c>
      <c r="H46" s="192">
        <f t="shared" si="21"/>
        <v>0</v>
      </c>
      <c r="I46" s="192">
        <f t="shared" si="29"/>
        <v>0</v>
      </c>
      <c r="J46" s="192">
        <f t="shared" si="22"/>
        <v>0.1467895015168805</v>
      </c>
      <c r="K46" s="192">
        <f t="shared" si="22"/>
        <v>0</v>
      </c>
      <c r="L46" s="192">
        <f t="shared" si="22"/>
        <v>0</v>
      </c>
      <c r="M46" s="192">
        <f t="shared" si="22"/>
        <v>0</v>
      </c>
      <c r="N46" s="192">
        <f t="shared" si="30"/>
        <v>0.2408051012749145</v>
      </c>
      <c r="O46" s="192">
        <f t="shared" si="23"/>
        <v>0</v>
      </c>
      <c r="P46" s="192">
        <f t="shared" si="23"/>
        <v>0</v>
      </c>
      <c r="Q46" s="192">
        <f t="shared" si="31"/>
        <v>4.5415999192012311E-3</v>
      </c>
      <c r="R46" s="192">
        <f t="shared" si="24"/>
        <v>0.19123931623931623</v>
      </c>
      <c r="S46" s="192">
        <f t="shared" si="24"/>
        <v>2.3590804702244252E-2</v>
      </c>
      <c r="T46" s="192">
        <f t="shared" si="32"/>
        <v>8.1490982973226531E-2</v>
      </c>
      <c r="U46" s="192">
        <f t="shared" si="32"/>
        <v>0</v>
      </c>
      <c r="V46" s="192">
        <f t="shared" si="17"/>
        <v>0.17535903250189033</v>
      </c>
      <c r="W46" s="192">
        <f t="shared" si="25"/>
        <v>0.25240847784200438</v>
      </c>
      <c r="X46" s="192">
        <f t="shared" si="25"/>
        <v>0.42350332594235135</v>
      </c>
      <c r="Y46" s="192">
        <f t="shared" si="37"/>
        <v>0.33944687045123723</v>
      </c>
      <c r="Z46" s="192">
        <f t="shared" si="37"/>
        <v>0</v>
      </c>
      <c r="AA46" s="192">
        <f t="shared" si="33"/>
        <v>0</v>
      </c>
      <c r="AB46" s="192">
        <f t="shared" si="19"/>
        <v>6.8229258895560682E-2</v>
      </c>
      <c r="AC46" s="192">
        <f t="shared" si="34"/>
        <v>0</v>
      </c>
      <c r="AD46" s="192">
        <f t="shared" si="34"/>
        <v>2.0638298923525582E-2</v>
      </c>
      <c r="AE46" s="192">
        <f t="shared" si="26"/>
        <v>1.1342101050037532E-2</v>
      </c>
      <c r="AF46" s="192">
        <f t="shared" si="20"/>
        <v>0</v>
      </c>
      <c r="AG46" s="192">
        <f t="shared" si="20"/>
        <v>0</v>
      </c>
      <c r="AH46" s="192">
        <f t="shared" si="20"/>
        <v>0</v>
      </c>
      <c r="AM46" t="s">
        <v>426</v>
      </c>
      <c r="AN46" t="s">
        <v>480</v>
      </c>
      <c r="AO46">
        <v>1.46235448742561E-2</v>
      </c>
      <c r="AP46">
        <v>2.6769548473271499E-2</v>
      </c>
      <c r="AQ46">
        <v>0.54627536541594202</v>
      </c>
      <c r="AR46">
        <v>0.59412844283597499</v>
      </c>
      <c r="AS46">
        <v>0.86534239762673304</v>
      </c>
    </row>
    <row r="47" spans="2:48" x14ac:dyDescent="0.2">
      <c r="B47" s="138" t="s">
        <v>38</v>
      </c>
      <c r="C47" s="192">
        <f t="shared" si="14"/>
        <v>0</v>
      </c>
      <c r="D47" s="192">
        <f t="shared" si="27"/>
        <v>0</v>
      </c>
      <c r="E47" s="192">
        <f t="shared" si="35"/>
        <v>0</v>
      </c>
      <c r="F47" s="192">
        <f t="shared" si="36"/>
        <v>0</v>
      </c>
      <c r="G47" s="192">
        <f t="shared" si="28"/>
        <v>0</v>
      </c>
      <c r="H47" s="192">
        <f t="shared" si="21"/>
        <v>0</v>
      </c>
      <c r="I47" s="192">
        <f t="shared" si="29"/>
        <v>0</v>
      </c>
      <c r="J47" s="192">
        <f t="shared" si="22"/>
        <v>0.1467895015168805</v>
      </c>
      <c r="K47" s="192">
        <f t="shared" si="22"/>
        <v>0</v>
      </c>
      <c r="L47" s="192">
        <f t="shared" si="22"/>
        <v>0</v>
      </c>
      <c r="M47" s="192">
        <f t="shared" si="22"/>
        <v>0</v>
      </c>
      <c r="N47" s="192">
        <f t="shared" si="30"/>
        <v>0.2408051012749145</v>
      </c>
      <c r="O47" s="192">
        <f t="shared" si="23"/>
        <v>0</v>
      </c>
      <c r="P47" s="192">
        <f t="shared" si="23"/>
        <v>0</v>
      </c>
      <c r="Q47" s="192">
        <f t="shared" si="31"/>
        <v>4.5415999192012311E-3</v>
      </c>
      <c r="R47" s="192">
        <f t="shared" si="24"/>
        <v>0.19123931623931623</v>
      </c>
      <c r="S47" s="192">
        <f t="shared" si="24"/>
        <v>2.3590804702244252E-2</v>
      </c>
      <c r="T47" s="192">
        <f t="shared" si="32"/>
        <v>8.1490982973226531E-2</v>
      </c>
      <c r="U47" s="192">
        <f t="shared" si="32"/>
        <v>0</v>
      </c>
      <c r="V47" s="192">
        <f t="shared" si="17"/>
        <v>0.17535903250189033</v>
      </c>
      <c r="W47" s="192">
        <f t="shared" si="25"/>
        <v>0.25240847784200438</v>
      </c>
      <c r="X47" s="192">
        <f t="shared" si="25"/>
        <v>0.42350332594235135</v>
      </c>
      <c r="Y47" s="192">
        <f t="shared" si="37"/>
        <v>0.33944687045123723</v>
      </c>
      <c r="Z47" s="192">
        <f t="shared" si="37"/>
        <v>0</v>
      </c>
      <c r="AA47" s="192">
        <f t="shared" si="33"/>
        <v>0</v>
      </c>
      <c r="AB47" s="192">
        <f t="shared" si="19"/>
        <v>6.8229258895560682E-2</v>
      </c>
      <c r="AC47" s="192">
        <f t="shared" si="34"/>
        <v>0</v>
      </c>
      <c r="AD47" s="192">
        <f t="shared" si="34"/>
        <v>2.0638298923525582E-2</v>
      </c>
      <c r="AE47" s="192">
        <f t="shared" si="26"/>
        <v>1.1342101050037532E-2</v>
      </c>
      <c r="AF47" s="192">
        <f t="shared" si="20"/>
        <v>0</v>
      </c>
      <c r="AG47" s="192">
        <f t="shared" si="20"/>
        <v>0</v>
      </c>
      <c r="AH47" s="192">
        <f t="shared" si="20"/>
        <v>0</v>
      </c>
      <c r="AM47" t="s">
        <v>426</v>
      </c>
      <c r="AN47" t="s">
        <v>611</v>
      </c>
      <c r="AO47">
        <v>1.20386296658785</v>
      </c>
      <c r="AP47">
        <v>0.37330188208210502</v>
      </c>
      <c r="AQ47">
        <v>3.2249046264467198</v>
      </c>
      <c r="AR47">
        <v>6.6414223860377297E-3</v>
      </c>
      <c r="AS47">
        <v>0.87334409883781705</v>
      </c>
    </row>
    <row r="48" spans="2:48" x14ac:dyDescent="0.2">
      <c r="B48" s="137" t="s">
        <v>521</v>
      </c>
      <c r="C48" s="192">
        <f t="shared" si="14"/>
        <v>0</v>
      </c>
      <c r="D48" s="192">
        <f t="shared" si="27"/>
        <v>0</v>
      </c>
      <c r="E48" s="192">
        <f t="shared" si="35"/>
        <v>0</v>
      </c>
      <c r="F48" s="192">
        <f t="shared" si="36"/>
        <v>0</v>
      </c>
      <c r="G48" s="192">
        <f t="shared" si="28"/>
        <v>0</v>
      </c>
      <c r="H48" s="192">
        <f t="shared" si="21"/>
        <v>0</v>
      </c>
      <c r="I48" s="192">
        <f t="shared" si="29"/>
        <v>0</v>
      </c>
      <c r="J48" s="192">
        <f t="shared" si="22"/>
        <v>0.1467895015168805</v>
      </c>
      <c r="K48" s="192">
        <f t="shared" si="22"/>
        <v>0</v>
      </c>
      <c r="L48" s="192">
        <f t="shared" si="22"/>
        <v>0</v>
      </c>
      <c r="M48" s="192">
        <f t="shared" si="22"/>
        <v>0</v>
      </c>
      <c r="N48" s="192">
        <f t="shared" si="30"/>
        <v>0.2408051012749145</v>
      </c>
      <c r="O48" s="192">
        <f t="shared" si="23"/>
        <v>0</v>
      </c>
      <c r="P48" s="192">
        <f t="shared" si="23"/>
        <v>0</v>
      </c>
      <c r="Q48" s="192">
        <f t="shared" si="31"/>
        <v>4.5415999192012311E-3</v>
      </c>
      <c r="R48" s="192">
        <f t="shared" si="24"/>
        <v>0.19123931623931623</v>
      </c>
      <c r="S48" s="192">
        <f t="shared" si="24"/>
        <v>2.3590804702244252E-2</v>
      </c>
      <c r="T48" s="192">
        <f t="shared" si="32"/>
        <v>8.1490982973226531E-2</v>
      </c>
      <c r="U48" s="192">
        <f t="shared" si="32"/>
        <v>0</v>
      </c>
      <c r="V48" s="192">
        <f t="shared" si="17"/>
        <v>0.17535903250189033</v>
      </c>
      <c r="W48" s="192">
        <f t="shared" si="25"/>
        <v>0.25240847784200438</v>
      </c>
      <c r="X48" s="192">
        <f t="shared" si="25"/>
        <v>0.42350332594235135</v>
      </c>
      <c r="Y48" s="192">
        <f t="shared" si="37"/>
        <v>0.33944687045123723</v>
      </c>
      <c r="Z48" s="192">
        <f t="shared" si="37"/>
        <v>0</v>
      </c>
      <c r="AA48" s="192">
        <f t="shared" si="33"/>
        <v>0</v>
      </c>
      <c r="AB48" s="192">
        <f t="shared" si="19"/>
        <v>6.8229258895560682E-2</v>
      </c>
      <c r="AC48" s="192">
        <f t="shared" si="34"/>
        <v>0</v>
      </c>
      <c r="AD48" s="192">
        <f t="shared" si="34"/>
        <v>2.0638298923525582E-2</v>
      </c>
      <c r="AE48" s="192">
        <f t="shared" si="26"/>
        <v>1.1342101050037532E-2</v>
      </c>
      <c r="AF48" s="192">
        <f t="shared" si="20"/>
        <v>0</v>
      </c>
      <c r="AG48" s="192">
        <f t="shared" si="20"/>
        <v>0</v>
      </c>
      <c r="AH48" s="192">
        <f t="shared" si="20"/>
        <v>0</v>
      </c>
      <c r="AS48"/>
    </row>
    <row r="49" spans="1:48" x14ac:dyDescent="0.2">
      <c r="B49" s="138" t="s">
        <v>39</v>
      </c>
      <c r="C49" s="192">
        <f t="shared" si="14"/>
        <v>0</v>
      </c>
      <c r="D49" s="192">
        <f t="shared" si="27"/>
        <v>0</v>
      </c>
      <c r="E49" s="192">
        <f t="shared" si="35"/>
        <v>0</v>
      </c>
      <c r="F49" s="192">
        <f t="shared" si="36"/>
        <v>0</v>
      </c>
      <c r="G49" s="192">
        <f t="shared" si="28"/>
        <v>0</v>
      </c>
      <c r="H49" s="192">
        <f t="shared" si="21"/>
        <v>0</v>
      </c>
      <c r="I49" s="192">
        <f t="shared" si="29"/>
        <v>0</v>
      </c>
      <c r="J49" s="192">
        <f t="shared" si="22"/>
        <v>0.1467895015168805</v>
      </c>
      <c r="K49" s="192">
        <f t="shared" si="22"/>
        <v>0</v>
      </c>
      <c r="L49" s="192">
        <f t="shared" si="22"/>
        <v>0</v>
      </c>
      <c r="M49" s="192">
        <f t="shared" si="22"/>
        <v>0</v>
      </c>
      <c r="N49" s="192">
        <f t="shared" si="30"/>
        <v>0.2408051012749145</v>
      </c>
      <c r="O49" s="192">
        <f t="shared" si="23"/>
        <v>0</v>
      </c>
      <c r="P49" s="192">
        <f t="shared" si="23"/>
        <v>0</v>
      </c>
      <c r="Q49" s="192">
        <f t="shared" si="31"/>
        <v>4.5415999192012311E-3</v>
      </c>
      <c r="R49" s="192">
        <f t="shared" si="24"/>
        <v>0.19123931623931623</v>
      </c>
      <c r="S49" s="192">
        <f t="shared" si="24"/>
        <v>2.3590804702244252E-2</v>
      </c>
      <c r="T49" s="192">
        <f t="shared" si="32"/>
        <v>8.1490982973226531E-2</v>
      </c>
      <c r="U49" s="192">
        <f t="shared" si="32"/>
        <v>0</v>
      </c>
      <c r="V49" s="192">
        <f t="shared" si="17"/>
        <v>0.17535903250189033</v>
      </c>
      <c r="W49" s="192">
        <f t="shared" si="25"/>
        <v>0.25240847784200438</v>
      </c>
      <c r="X49" s="192">
        <f t="shared" si="25"/>
        <v>0.42350332594235135</v>
      </c>
      <c r="Y49" s="192">
        <f t="shared" si="37"/>
        <v>0.33944687045123723</v>
      </c>
      <c r="Z49" s="192">
        <f t="shared" si="37"/>
        <v>0</v>
      </c>
      <c r="AA49" s="192">
        <f t="shared" si="33"/>
        <v>0</v>
      </c>
      <c r="AB49" s="192">
        <f t="shared" si="19"/>
        <v>6.8229258895560682E-2</v>
      </c>
      <c r="AC49" s="192">
        <f t="shared" si="34"/>
        <v>0</v>
      </c>
      <c r="AD49" s="192">
        <f t="shared" si="34"/>
        <v>2.0638298923525582E-2</v>
      </c>
      <c r="AE49" s="192">
        <f t="shared" si="26"/>
        <v>1.1342101050037532E-2</v>
      </c>
      <c r="AF49" s="192">
        <f t="shared" si="20"/>
        <v>0</v>
      </c>
      <c r="AG49" s="192">
        <f t="shared" si="20"/>
        <v>0</v>
      </c>
      <c r="AH49" s="192">
        <f t="shared" si="20"/>
        <v>0</v>
      </c>
      <c r="AM49" t="s">
        <v>419</v>
      </c>
      <c r="AN49" t="s">
        <v>616</v>
      </c>
      <c r="AO49">
        <v>15.2436152440865</v>
      </c>
      <c r="AP49">
        <v>8.1539468379329598</v>
      </c>
      <c r="AQ49">
        <v>1.8694768983741401</v>
      </c>
      <c r="AR49">
        <v>8.4245569194134395E-2</v>
      </c>
      <c r="AS49"/>
    </row>
    <row r="50" spans="1:48" x14ac:dyDescent="0.2">
      <c r="B50" s="138" t="s">
        <v>40</v>
      </c>
      <c r="C50" s="192">
        <f t="shared" si="14"/>
        <v>0</v>
      </c>
      <c r="D50" s="192">
        <f t="shared" si="27"/>
        <v>0</v>
      </c>
      <c r="E50" s="192">
        <f t="shared" si="35"/>
        <v>0</v>
      </c>
      <c r="F50" s="192">
        <f t="shared" si="36"/>
        <v>0</v>
      </c>
      <c r="G50" s="192">
        <f t="shared" si="28"/>
        <v>0</v>
      </c>
      <c r="H50" s="192">
        <f t="shared" si="21"/>
        <v>0</v>
      </c>
      <c r="I50" s="192">
        <f t="shared" si="29"/>
        <v>0</v>
      </c>
      <c r="J50" s="192">
        <f t="shared" si="22"/>
        <v>0.1467895015168805</v>
      </c>
      <c r="K50" s="192">
        <f t="shared" si="22"/>
        <v>0</v>
      </c>
      <c r="L50" s="192">
        <f t="shared" si="22"/>
        <v>0</v>
      </c>
      <c r="M50" s="192">
        <f t="shared" si="22"/>
        <v>0</v>
      </c>
      <c r="N50" s="192">
        <f t="shared" si="30"/>
        <v>0.2408051012749145</v>
      </c>
      <c r="O50" s="192">
        <f t="shared" si="23"/>
        <v>0</v>
      </c>
      <c r="P50" s="192">
        <f t="shared" si="23"/>
        <v>0</v>
      </c>
      <c r="Q50" s="192">
        <f t="shared" si="31"/>
        <v>4.5415999192012311E-3</v>
      </c>
      <c r="R50" s="192">
        <f t="shared" si="24"/>
        <v>0.19123931623931623</v>
      </c>
      <c r="S50" s="192">
        <f t="shared" si="24"/>
        <v>2.3590804702244252E-2</v>
      </c>
      <c r="T50" s="192">
        <f t="shared" si="32"/>
        <v>8.1490982973226531E-2</v>
      </c>
      <c r="U50" s="192">
        <f t="shared" si="32"/>
        <v>0</v>
      </c>
      <c r="V50" s="192">
        <f t="shared" si="17"/>
        <v>0.17535903250189033</v>
      </c>
      <c r="W50" s="192">
        <f t="shared" si="25"/>
        <v>0.25240847784200438</v>
      </c>
      <c r="X50" s="192">
        <f t="shared" si="25"/>
        <v>0.42350332594235135</v>
      </c>
      <c r="Y50" s="192">
        <f t="shared" si="37"/>
        <v>0.33944687045123723</v>
      </c>
      <c r="Z50" s="192">
        <f t="shared" si="37"/>
        <v>0</v>
      </c>
      <c r="AA50" s="192">
        <f t="shared" si="33"/>
        <v>0</v>
      </c>
      <c r="AB50" s="192">
        <f t="shared" si="19"/>
        <v>6.8229258895560682E-2</v>
      </c>
      <c r="AC50" s="192">
        <f t="shared" si="34"/>
        <v>0</v>
      </c>
      <c r="AD50" s="192">
        <f t="shared" si="34"/>
        <v>2.0638298923525582E-2</v>
      </c>
      <c r="AE50" s="192">
        <f t="shared" si="26"/>
        <v>1.1342101050037532E-2</v>
      </c>
      <c r="AF50" s="192">
        <f t="shared" si="20"/>
        <v>0</v>
      </c>
      <c r="AG50" s="192">
        <f t="shared" si="20"/>
        <v>0</v>
      </c>
      <c r="AH50" s="192">
        <f t="shared" si="20"/>
        <v>0</v>
      </c>
      <c r="AM50" t="s">
        <v>419</v>
      </c>
      <c r="AN50" t="s">
        <v>480</v>
      </c>
      <c r="AO50">
        <v>-3.70356663484104E-2</v>
      </c>
      <c r="AP50">
        <v>3.40483203395959E-2</v>
      </c>
      <c r="AQ50">
        <v>-1.08773842524444</v>
      </c>
      <c r="AR50">
        <v>0.296466539575646</v>
      </c>
      <c r="AS50">
        <v>0.90588235294117603</v>
      </c>
    </row>
    <row r="51" spans="1:48" x14ac:dyDescent="0.2">
      <c r="B51" s="139" t="s">
        <v>41</v>
      </c>
      <c r="C51" s="192">
        <f t="shared" si="14"/>
        <v>0</v>
      </c>
      <c r="D51" s="192">
        <f t="shared" si="27"/>
        <v>0</v>
      </c>
      <c r="E51" s="192">
        <f t="shared" si="35"/>
        <v>0</v>
      </c>
      <c r="F51" s="192">
        <f t="shared" si="36"/>
        <v>0</v>
      </c>
      <c r="G51" s="192">
        <f t="shared" si="28"/>
        <v>0</v>
      </c>
      <c r="H51" s="192">
        <f t="shared" si="21"/>
        <v>0</v>
      </c>
      <c r="I51" s="192">
        <f t="shared" si="29"/>
        <v>0</v>
      </c>
      <c r="J51" s="192">
        <f t="shared" si="22"/>
        <v>0.1467895015168805</v>
      </c>
      <c r="K51" s="192">
        <f t="shared" si="22"/>
        <v>0</v>
      </c>
      <c r="L51" s="192">
        <f t="shared" si="22"/>
        <v>0</v>
      </c>
      <c r="M51" s="192">
        <f t="shared" si="22"/>
        <v>0</v>
      </c>
      <c r="N51" s="192">
        <f t="shared" si="30"/>
        <v>0.2408051012749145</v>
      </c>
      <c r="O51" s="192">
        <f t="shared" si="23"/>
        <v>0</v>
      </c>
      <c r="P51" s="192">
        <f t="shared" si="23"/>
        <v>0</v>
      </c>
      <c r="Q51" s="192">
        <f t="shared" si="31"/>
        <v>4.5415999192012311E-3</v>
      </c>
      <c r="R51" s="192">
        <f t="shared" si="24"/>
        <v>0.19123931623931623</v>
      </c>
      <c r="S51" s="192">
        <f t="shared" si="24"/>
        <v>2.3590804702244252E-2</v>
      </c>
      <c r="T51" s="192">
        <f t="shared" si="32"/>
        <v>8.1490982973226531E-2</v>
      </c>
      <c r="U51" s="192">
        <f t="shared" si="32"/>
        <v>0</v>
      </c>
      <c r="V51" s="192">
        <f t="shared" si="17"/>
        <v>0.17535903250189033</v>
      </c>
      <c r="W51" s="192">
        <f t="shared" si="25"/>
        <v>0.25240847784200438</v>
      </c>
      <c r="X51" s="192">
        <f t="shared" si="25"/>
        <v>0.42350332594235135</v>
      </c>
      <c r="Y51" s="192">
        <f t="shared" si="37"/>
        <v>0.33944687045123723</v>
      </c>
      <c r="Z51" s="192">
        <f t="shared" si="37"/>
        <v>0</v>
      </c>
      <c r="AA51" s="192">
        <f t="shared" si="33"/>
        <v>0</v>
      </c>
      <c r="AB51" s="192">
        <f t="shared" si="19"/>
        <v>6.8229258895560682E-2</v>
      </c>
      <c r="AC51" s="192">
        <f t="shared" si="34"/>
        <v>0</v>
      </c>
      <c r="AD51" s="192">
        <f t="shared" si="34"/>
        <v>2.0638298923525582E-2</v>
      </c>
      <c r="AE51" s="192">
        <f t="shared" si="26"/>
        <v>1.1342101050037532E-2</v>
      </c>
      <c r="AF51" s="192">
        <f t="shared" si="20"/>
        <v>0</v>
      </c>
      <c r="AG51" s="192">
        <f t="shared" si="20"/>
        <v>0</v>
      </c>
      <c r="AH51" s="192">
        <f t="shared" si="20"/>
        <v>0</v>
      </c>
      <c r="AM51" t="s">
        <v>419</v>
      </c>
      <c r="AN51" t="s">
        <v>1</v>
      </c>
      <c r="AO51">
        <v>0.72591157188882005</v>
      </c>
      <c r="AP51">
        <v>0.22543999740978199</v>
      </c>
      <c r="AQ51">
        <v>3.21997684629729</v>
      </c>
      <c r="AR51">
        <v>6.7047225803953401E-3</v>
      </c>
      <c r="AS51">
        <v>0.93235294117647005</v>
      </c>
    </row>
    <row r="52" spans="1:48" x14ac:dyDescent="0.2">
      <c r="AS52"/>
    </row>
    <row r="53" spans="1:48" x14ac:dyDescent="0.2">
      <c r="B53" s="199" t="s">
        <v>626</v>
      </c>
      <c r="AM53" t="s">
        <v>460</v>
      </c>
      <c r="AN53" t="s">
        <v>616</v>
      </c>
      <c r="AO53">
        <v>105.997318771038</v>
      </c>
      <c r="AP53">
        <v>36.346849481171702</v>
      </c>
      <c r="AQ53">
        <v>2.9162725321199199</v>
      </c>
      <c r="AR53">
        <v>1.20262787092558E-2</v>
      </c>
      <c r="AS53"/>
    </row>
    <row r="54" spans="1:48" x14ac:dyDescent="0.2">
      <c r="C54" s="155" t="s">
        <v>563</v>
      </c>
      <c r="D54" s="155" t="s">
        <v>409</v>
      </c>
      <c r="E54" s="155" t="s">
        <v>411</v>
      </c>
      <c r="F54" s="155" t="s">
        <v>431</v>
      </c>
      <c r="G54" s="155" t="s">
        <v>545</v>
      </c>
      <c r="H54" s="155" t="s">
        <v>429</v>
      </c>
      <c r="I54" s="193" t="s">
        <v>478</v>
      </c>
      <c r="J54" s="155" t="s">
        <v>446</v>
      </c>
      <c r="K54" s="193" t="s">
        <v>448</v>
      </c>
      <c r="L54" s="193" t="s">
        <v>450</v>
      </c>
      <c r="M54" s="155" t="s">
        <v>452</v>
      </c>
      <c r="N54" s="155" t="s">
        <v>434</v>
      </c>
      <c r="O54" s="165" t="s">
        <v>562</v>
      </c>
      <c r="P54" s="165" t="s">
        <v>404</v>
      </c>
      <c r="Q54" s="165" t="s">
        <v>443</v>
      </c>
      <c r="R54" s="165" t="s">
        <v>426</v>
      </c>
      <c r="S54" s="165" t="s">
        <v>436</v>
      </c>
      <c r="T54" s="165" t="s">
        <v>419</v>
      </c>
      <c r="U54" s="195" t="s">
        <v>454</v>
      </c>
      <c r="V54" s="195" t="s">
        <v>456</v>
      </c>
      <c r="W54" s="195" t="s">
        <v>458</v>
      </c>
      <c r="X54" s="195" t="s">
        <v>421</v>
      </c>
      <c r="Y54" s="195" t="s">
        <v>438</v>
      </c>
      <c r="Z54" s="195" t="s">
        <v>440</v>
      </c>
      <c r="AA54" s="165" t="s">
        <v>460</v>
      </c>
      <c r="AB54" s="195" t="s">
        <v>462</v>
      </c>
      <c r="AC54" s="165" t="s">
        <v>423</v>
      </c>
      <c r="AD54" s="167" t="s">
        <v>465</v>
      </c>
      <c r="AE54" s="167" t="s">
        <v>467</v>
      </c>
      <c r="AF54" s="168" t="s">
        <v>416</v>
      </c>
      <c r="AG54" s="169" t="s">
        <v>407</v>
      </c>
      <c r="AH54" s="172" t="s">
        <v>479</v>
      </c>
      <c r="AM54" t="s">
        <v>460</v>
      </c>
      <c r="AN54" t="s">
        <v>480</v>
      </c>
      <c r="AO54">
        <v>-0.132267466667464</v>
      </c>
      <c r="AP54">
        <v>0.116813206096111</v>
      </c>
      <c r="AQ54">
        <v>-1.13229891625985</v>
      </c>
      <c r="AR54">
        <v>0.27796228015858998</v>
      </c>
      <c r="AS54">
        <v>0.78823529411764703</v>
      </c>
    </row>
    <row r="55" spans="1:48" x14ac:dyDescent="0.2">
      <c r="B55" s="137" t="s">
        <v>480</v>
      </c>
      <c r="C55">
        <f>IFERROR(C7*'Input Data'!C46*VLOOKUP(C$54,'Energy Heat Value Conversion'!$A:$E,5,FALSE),0)</f>
        <v>0</v>
      </c>
      <c r="D55">
        <f>IFERROR(D7*'Input Data'!D46*VLOOKUP(D$54,'Energy Heat Value Conversion'!$A:$E,5,FALSE),0)</f>
        <v>0</v>
      </c>
      <c r="E55">
        <f>IFERROR(E7*'Input Data'!E46*VLOOKUP(E$54,'Energy Heat Value Conversion'!$A:$E,5,FALSE),0)</f>
        <v>0</v>
      </c>
      <c r="F55">
        <f>IFERROR(F7*'Input Data'!F46*VLOOKUP(F$54,'Energy Heat Value Conversion'!$A:$E,5,FALSE),0)</f>
        <v>0</v>
      </c>
      <c r="G55">
        <f>IFERROR(G7*'Input Data'!G46*VLOOKUP(G$54,'Energy Heat Value Conversion'!$A:$E,5,FALSE),0)</f>
        <v>0</v>
      </c>
      <c r="H55">
        <f>IFERROR(H7*'Input Data'!H46*VLOOKUP(H$54,'Energy Heat Value Conversion'!$A:$E,5,FALSE),0)</f>
        <v>0</v>
      </c>
      <c r="I55">
        <f>IFERROR(I7*'Input Data'!I46*VLOOKUP(I$54,'Energy Heat Value Conversion'!$A:$E,5,FALSE),0)</f>
        <v>0</v>
      </c>
      <c r="J55">
        <f>IFERROR(J7*'Input Data'!J46*VLOOKUP(J$54,'Energy Heat Value Conversion'!$A:$E,5,FALSE),0)</f>
        <v>173492917934154.84</v>
      </c>
      <c r="K55">
        <f>IFERROR(K7*'Input Data'!K46*VLOOKUP(K$54,'Energy Heat Value Conversion'!$A:$E,5,FALSE),0)</f>
        <v>0</v>
      </c>
      <c r="L55">
        <f>IFERROR(L7*'Input Data'!L46*VLOOKUP(L$54,'Energy Heat Value Conversion'!$A:$E,5,FALSE),0)</f>
        <v>0</v>
      </c>
      <c r="M55">
        <f>IFERROR(M7*'Input Data'!M46*VLOOKUP(M$54,'Energy Heat Value Conversion'!$A:$E,5,FALSE),0)</f>
        <v>0</v>
      </c>
      <c r="N55">
        <f>IFERROR(N7*'Input Data'!N46*VLOOKUP(N$54,'Energy Heat Value Conversion'!$A:$E,5,FALSE),0)</f>
        <v>76502510582103.266</v>
      </c>
      <c r="O55">
        <f>IFERROR(O7*'Input Data'!O46*VLOOKUP(O$54,'Energy Heat Value Conversion'!$A:$E,5,FALSE),0)</f>
        <v>0</v>
      </c>
      <c r="P55">
        <f>IFERROR(P7*'Input Data'!P46*VLOOKUP(P$54,'Energy Heat Value Conversion'!$A:$E,5,FALSE),0)</f>
        <v>0</v>
      </c>
      <c r="Q55">
        <f>IFERROR(Q7*'Input Data'!Q46*VLOOKUP(Q$54,'Energy Heat Value Conversion'!$A:$E,5,FALSE),0)</f>
        <v>297343537903.1084</v>
      </c>
      <c r="R55">
        <f>IFERROR(R7*'Input Data'!R46*VLOOKUP(R$54,'Energy Heat Value Conversion'!$A:$E,5,FALSE),0)</f>
        <v>733064513319.48755</v>
      </c>
      <c r="S55">
        <f>IFERROR(S7*'Input Data'!S46*VLOOKUP(S$54,'Energy Heat Value Conversion'!$A:$E,5,FALSE),0)</f>
        <v>8388456402568.6406</v>
      </c>
      <c r="T55">
        <f>IFERROR(T7*'Input Data'!T46*VLOOKUP(T$54,'Energy Heat Value Conversion'!$A:$E,5,FALSE),0)</f>
        <v>7450842149382.9648</v>
      </c>
      <c r="U55">
        <f>IFERROR(U7*'Input Data'!U46*VLOOKUP(U$54,'Energy Heat Value Conversion'!$A:$E,5,FALSE),0)</f>
        <v>0</v>
      </c>
      <c r="V55">
        <f>IFERROR(V7*'Input Data'!V46*VLOOKUP(V$54,'Energy Heat Value Conversion'!$A:$E,5,FALSE),0)</f>
        <v>18425114197163.113</v>
      </c>
      <c r="W55">
        <f>IFERROR(W7*'Input Data'!W46*VLOOKUP(W$54,'Energy Heat Value Conversion'!$A:$E,5,FALSE),0)</f>
        <v>18932108043314.18</v>
      </c>
      <c r="X55">
        <f>IFERROR(X7*'Input Data'!X46*VLOOKUP(X$54,'Energy Heat Value Conversion'!$A:$E,5,FALSE),0)</f>
        <v>7612425358215.5234</v>
      </c>
      <c r="Y55">
        <f>IFERROR(Y7*'Input Data'!Y46*VLOOKUP(Y$54,'Energy Heat Value Conversion'!$A:$E,5,FALSE),0)</f>
        <v>43778809783420.406</v>
      </c>
      <c r="Z55">
        <f>IFERROR(Z7*'Input Data'!Z46*VLOOKUP(Z$54,'Energy Heat Value Conversion'!$A:$E,5,FALSE),0)</f>
        <v>0</v>
      </c>
      <c r="AA55">
        <f>IFERROR(AA7*'Input Data'!AA46*VLOOKUP(AA$54,'Energy Heat Value Conversion'!$A:$E,5,FALSE),0)</f>
        <v>0</v>
      </c>
      <c r="AB55">
        <f>IFERROR(AB7*'Input Data'!AB46*VLOOKUP(AB$54,'Energy Heat Value Conversion'!$A:$E,5,FALSE),0)</f>
        <v>55434465388728.008</v>
      </c>
      <c r="AC55">
        <f>IFERROR(AC7*'Input Data'!AC46*VLOOKUP(AC$54,'Energy Heat Value Conversion'!$A:$E,5,FALSE),0)</f>
        <v>0</v>
      </c>
      <c r="AD55">
        <f>IFERROR(AD7*'Input Data'!AD46*VLOOKUP(AD$54,'Energy Heat Value Conversion'!$A:$E,5,FALSE),0)</f>
        <v>42806847612923.93</v>
      </c>
      <c r="AE55">
        <f>IFERROR(AE7*'Input Data'!AE46*VLOOKUP(AE$54,'Energy Heat Value Conversion'!$A:$E,5,FALSE),0)</f>
        <v>38939879374508.781</v>
      </c>
      <c r="AF55">
        <f>IFERROR(AF7*'Input Data'!AF46*VLOOKUP(AF$54,'Energy Heat Value Conversion'!$A:$E,5,FALSE),0)</f>
        <v>0</v>
      </c>
      <c r="AG55">
        <f>IFERROR(AG7*'Input Data'!AG46*VLOOKUP(AG$54,'Energy Heat Value Conversion'!$A:$E,5,FALSE),0)</f>
        <v>0</v>
      </c>
      <c r="AH55">
        <f>IFERROR(AH7*'Input Data'!AH46*VLOOKUP(AH$54,'Energy Heat Value Conversion'!$A:$E,5,FALSE),0)</f>
        <v>0</v>
      </c>
      <c r="AM55" t="s">
        <v>460</v>
      </c>
      <c r="AN55" t="s">
        <v>611</v>
      </c>
      <c r="AO55">
        <v>0.71124477096618899</v>
      </c>
      <c r="AP55">
        <v>0.19555355331511601</v>
      </c>
      <c r="AQ55">
        <v>3.6370843633819501</v>
      </c>
      <c r="AR55">
        <v>3.01069348550617E-3</v>
      </c>
      <c r="AS55">
        <v>0.85588235294117598</v>
      </c>
    </row>
    <row r="56" spans="1:48" x14ac:dyDescent="0.2">
      <c r="B56" s="137" t="s">
        <v>481</v>
      </c>
      <c r="C56">
        <f>IFERROR(C8*'Input Data'!C47*VLOOKUP(C$54,'Energy Heat Value Conversion'!$A:$E,5,FALSE),0)</f>
        <v>0</v>
      </c>
      <c r="D56">
        <f>IFERROR(D8*'Input Data'!D47*VLOOKUP(D$54,'Energy Heat Value Conversion'!$A:$E,5,FALSE),0)</f>
        <v>0</v>
      </c>
      <c r="E56">
        <f>IFERROR(E8*'Input Data'!E47*VLOOKUP(E$54,'Energy Heat Value Conversion'!$A:$E,5,FALSE),0)</f>
        <v>0</v>
      </c>
      <c r="F56">
        <f>IFERROR(F8*'Input Data'!F47*VLOOKUP(F$54,'Energy Heat Value Conversion'!$A:$E,5,FALSE),0)</f>
        <v>0</v>
      </c>
      <c r="G56">
        <f>IFERROR(G8*'Input Data'!G47*VLOOKUP(G$54,'Energy Heat Value Conversion'!$A:$E,5,FALSE),0)</f>
        <v>0</v>
      </c>
      <c r="H56">
        <f>IFERROR(H8*'Input Data'!H47*VLOOKUP(H$54,'Energy Heat Value Conversion'!$A:$E,5,FALSE),0)</f>
        <v>0</v>
      </c>
      <c r="I56">
        <f>IFERROR(I8*'Input Data'!I47*VLOOKUP(I$54,'Energy Heat Value Conversion'!$A:$E,5,FALSE),0)</f>
        <v>0</v>
      </c>
      <c r="J56">
        <f>IFERROR(J8*'Input Data'!J47*VLOOKUP(J$54,'Energy Heat Value Conversion'!$A:$E,5,FALSE),0)</f>
        <v>1540377990508.9316</v>
      </c>
      <c r="K56">
        <f>IFERROR(K8*'Input Data'!K47*VLOOKUP(K$54,'Energy Heat Value Conversion'!$A:$E,5,FALSE),0)</f>
        <v>0</v>
      </c>
      <c r="L56">
        <f>IFERROR(L8*'Input Data'!L47*VLOOKUP(L$54,'Energy Heat Value Conversion'!$A:$E,5,FALSE),0)</f>
        <v>0</v>
      </c>
      <c r="M56">
        <f>IFERROR(M8*'Input Data'!M47*VLOOKUP(M$54,'Energy Heat Value Conversion'!$A:$E,5,FALSE),0)</f>
        <v>0</v>
      </c>
      <c r="N56">
        <f>IFERROR(N8*'Input Data'!N47*VLOOKUP(N$54,'Energy Heat Value Conversion'!$A:$E,5,FALSE),0)</f>
        <v>43521129617.74807</v>
      </c>
      <c r="O56">
        <f>IFERROR(O8*'Input Data'!O47*VLOOKUP(O$54,'Energy Heat Value Conversion'!$A:$E,5,FALSE),0)</f>
        <v>0</v>
      </c>
      <c r="P56">
        <f>IFERROR(P8*'Input Data'!P47*VLOOKUP(P$54,'Energy Heat Value Conversion'!$A:$E,5,FALSE),0)</f>
        <v>0</v>
      </c>
      <c r="Q56">
        <f>IFERROR(Q8*'Input Data'!Q47*VLOOKUP(Q$54,'Energy Heat Value Conversion'!$A:$E,5,FALSE),0)</f>
        <v>25751974943.72226</v>
      </c>
      <c r="R56">
        <f>IFERROR(R8*'Input Data'!R47*VLOOKUP(R$54,'Energy Heat Value Conversion'!$A:$E,5,FALSE),0)</f>
        <v>81191383796.833557</v>
      </c>
      <c r="S56">
        <f>IFERROR(S8*'Input Data'!S47*VLOOKUP(S$54,'Energy Heat Value Conversion'!$A:$E,5,FALSE),0)</f>
        <v>3596265291212.4063</v>
      </c>
      <c r="T56">
        <f>IFERROR(T8*'Input Data'!T47*VLOOKUP(T$54,'Energy Heat Value Conversion'!$A:$E,5,FALSE),0)</f>
        <v>36496820966.677147</v>
      </c>
      <c r="U56">
        <f>IFERROR(U8*'Input Data'!U47*VLOOKUP(U$54,'Energy Heat Value Conversion'!$A:$E,5,FALSE),0)</f>
        <v>0</v>
      </c>
      <c r="V56">
        <f>IFERROR(V8*'Input Data'!V47*VLOOKUP(V$54,'Energy Heat Value Conversion'!$A:$E,5,FALSE),0)</f>
        <v>148622924288.11835</v>
      </c>
      <c r="W56">
        <f>IFERROR(W8*'Input Data'!W47*VLOOKUP(W$54,'Energy Heat Value Conversion'!$A:$E,5,FALSE),0)</f>
        <v>0</v>
      </c>
      <c r="X56">
        <f>IFERROR(X8*'Input Data'!X47*VLOOKUP(X$54,'Energy Heat Value Conversion'!$A:$E,5,FALSE),0)</f>
        <v>0</v>
      </c>
      <c r="Y56">
        <f>IFERROR(Y8*'Input Data'!Y47*VLOOKUP(Y$54,'Energy Heat Value Conversion'!$A:$E,5,FALSE),0)</f>
        <v>167840481545.50055</v>
      </c>
      <c r="Z56">
        <f>IFERROR(Z8*'Input Data'!Z47*VLOOKUP(Z$54,'Energy Heat Value Conversion'!$A:$E,5,FALSE),0)</f>
        <v>0</v>
      </c>
      <c r="AA56">
        <f>IFERROR(AA8*'Input Data'!AA47*VLOOKUP(AA$54,'Energy Heat Value Conversion'!$A:$E,5,FALSE),0)</f>
        <v>0</v>
      </c>
      <c r="AB56">
        <f>IFERROR(AB8*'Input Data'!AB47*VLOOKUP(AB$54,'Energy Heat Value Conversion'!$A:$E,5,FALSE),0)</f>
        <v>316204042285.60175</v>
      </c>
      <c r="AC56">
        <f>IFERROR(AC8*'Input Data'!AC47*VLOOKUP(AC$54,'Energy Heat Value Conversion'!$A:$E,5,FALSE),0)</f>
        <v>0</v>
      </c>
      <c r="AD56">
        <f>IFERROR(AD8*'Input Data'!AD47*VLOOKUP(AD$54,'Energy Heat Value Conversion'!$A:$E,5,FALSE),0)</f>
        <v>9734682405104.9824</v>
      </c>
      <c r="AE56">
        <f>IFERROR(AE8*'Input Data'!AE47*VLOOKUP(AE$54,'Energy Heat Value Conversion'!$A:$E,5,FALSE),0)</f>
        <v>247158690752.9216</v>
      </c>
      <c r="AF56">
        <f>IFERROR(AF8*'Input Data'!AF47*VLOOKUP(AF$54,'Energy Heat Value Conversion'!$A:$E,5,FALSE),0)</f>
        <v>0</v>
      </c>
      <c r="AG56">
        <f>IFERROR(AG8*'Input Data'!AG47*VLOOKUP(AG$54,'Energy Heat Value Conversion'!$A:$E,5,FALSE),0)</f>
        <v>0</v>
      </c>
      <c r="AH56">
        <f>IFERROR(AH8*'Input Data'!AH47*VLOOKUP(AH$54,'Energy Heat Value Conversion'!$A:$E,5,FALSE),0)</f>
        <v>0</v>
      </c>
      <c r="AS56"/>
    </row>
    <row r="57" spans="1:48" x14ac:dyDescent="0.2">
      <c r="A57" s="206" t="str">
        <f>IFERROR(VLOOKUP(B57,'Sector Code Switch'!F:H,3,FALSE),"")</f>
        <v>coal mining 05</v>
      </c>
      <c r="B57" s="138" t="s">
        <v>2</v>
      </c>
      <c r="C57">
        <f>IFERROR(C9*'Input Data'!C48*VLOOKUP(C$54,'Energy Heat Value Conversion'!$A:$E,5,FALSE),0)</f>
        <v>0</v>
      </c>
      <c r="D57">
        <f>IFERROR(D9*'Input Data'!D48*VLOOKUP(D$54,'Energy Heat Value Conversion'!$A:$E,5,FALSE),0)</f>
        <v>0</v>
      </c>
      <c r="E57">
        <f>IFERROR(E9*'Input Data'!E48*VLOOKUP(E$54,'Energy Heat Value Conversion'!$A:$E,5,FALSE),0)</f>
        <v>0</v>
      </c>
      <c r="F57">
        <f>IFERROR(F9*'Input Data'!F48*VLOOKUP(F$54,'Energy Heat Value Conversion'!$A:$E,5,FALSE),0)</f>
        <v>0</v>
      </c>
      <c r="G57">
        <f>IFERROR(G9*'Input Data'!G48*VLOOKUP(G$54,'Energy Heat Value Conversion'!$A:$E,5,FALSE),0)</f>
        <v>0</v>
      </c>
      <c r="H57">
        <f>IFERROR(H9*'Input Data'!H48*VLOOKUP(H$54,'Energy Heat Value Conversion'!$A:$E,5,FALSE),0)</f>
        <v>0</v>
      </c>
      <c r="I57">
        <f>IFERROR(I9*'Input Data'!I48*VLOOKUP(I$54,'Energy Heat Value Conversion'!$A:$E,5,FALSE),0)</f>
        <v>0</v>
      </c>
      <c r="J57">
        <f>IFERROR(J9*'Input Data'!J48*VLOOKUP(J$54,'Energy Heat Value Conversion'!$A:$E,5,FALSE),0)</f>
        <v>229366628680.797</v>
      </c>
      <c r="K57">
        <f>IFERROR(K9*'Input Data'!K48*VLOOKUP(K$54,'Energy Heat Value Conversion'!$A:$E,5,FALSE),0)</f>
        <v>0</v>
      </c>
      <c r="L57">
        <f>IFERROR(L9*'Input Data'!L48*VLOOKUP(L$54,'Energy Heat Value Conversion'!$A:$E,5,FALSE),0)</f>
        <v>0</v>
      </c>
      <c r="M57">
        <f>IFERROR(M9*'Input Data'!M48*VLOOKUP(M$54,'Energy Heat Value Conversion'!$A:$E,5,FALSE),0)</f>
        <v>0</v>
      </c>
      <c r="N57">
        <f>IFERROR(N9*'Input Data'!N48*VLOOKUP(N$54,'Energy Heat Value Conversion'!$A:$E,5,FALSE),0)</f>
        <v>43521129617.74807</v>
      </c>
      <c r="O57">
        <f>IFERROR(O9*'Input Data'!O48*VLOOKUP(O$54,'Energy Heat Value Conversion'!$A:$E,5,FALSE),0)</f>
        <v>0</v>
      </c>
      <c r="P57">
        <f>IFERROR(P9*'Input Data'!P48*VLOOKUP(P$54,'Energy Heat Value Conversion'!$A:$E,5,FALSE),0)</f>
        <v>0</v>
      </c>
      <c r="Q57">
        <f>IFERROR(Q9*'Input Data'!Q48*VLOOKUP(Q$54,'Energy Heat Value Conversion'!$A:$E,5,FALSE),0)</f>
        <v>5969860282.1299982</v>
      </c>
      <c r="R57">
        <f>IFERROR(R9*'Input Data'!R48*VLOOKUP(R$54,'Energy Heat Value Conversion'!$A:$E,5,FALSE),0)</f>
        <v>47621869342.37352</v>
      </c>
      <c r="S57">
        <f>IFERROR(S9*'Input Data'!S48*VLOOKUP(S$54,'Energy Heat Value Conversion'!$A:$E,5,FALSE),0)</f>
        <v>1405928105307.8389</v>
      </c>
      <c r="T57">
        <f>IFERROR(T9*'Input Data'!T48*VLOOKUP(T$54,'Energy Heat Value Conversion'!$A:$E,5,FALSE),0)</f>
        <v>6459614330.3853359</v>
      </c>
      <c r="U57">
        <f>IFERROR(U9*'Input Data'!U48*VLOOKUP(U$54,'Energy Heat Value Conversion'!$A:$E,5,FALSE),0)</f>
        <v>0</v>
      </c>
      <c r="V57">
        <f>IFERROR(V9*'Input Data'!V48*VLOOKUP(V$54,'Energy Heat Value Conversion'!$A:$E,5,FALSE),0)</f>
        <v>83944429459.0298</v>
      </c>
      <c r="W57">
        <f>IFERROR(W9*'Input Data'!W48*VLOOKUP(W$54,'Energy Heat Value Conversion'!$A:$E,5,FALSE),0)</f>
        <v>0</v>
      </c>
      <c r="X57">
        <f>IFERROR(X9*'Input Data'!X48*VLOOKUP(X$54,'Energy Heat Value Conversion'!$A:$E,5,FALSE),0)</f>
        <v>0</v>
      </c>
      <c r="Y57">
        <f>IFERROR(Y9*'Input Data'!Y48*VLOOKUP(Y$54,'Energy Heat Value Conversion'!$A:$E,5,FALSE),0)</f>
        <v>45091472654.015068</v>
      </c>
      <c r="Z57">
        <f>IFERROR(Z9*'Input Data'!Z48*VLOOKUP(Z$54,'Energy Heat Value Conversion'!$A:$E,5,FALSE),0)</f>
        <v>0</v>
      </c>
      <c r="AA57">
        <f>IFERROR(AA9*'Input Data'!AA48*VLOOKUP(AA$54,'Energy Heat Value Conversion'!$A:$E,5,FALSE),0)</f>
        <v>0</v>
      </c>
      <c r="AB57">
        <f>IFERROR(AB9*'Input Data'!AB48*VLOOKUP(AB$54,'Energy Heat Value Conversion'!$A:$E,5,FALSE),0)</f>
        <v>0</v>
      </c>
      <c r="AC57">
        <f>IFERROR(AC9*'Input Data'!AC48*VLOOKUP(AC$54,'Energy Heat Value Conversion'!$A:$E,5,FALSE),0)</f>
        <v>0</v>
      </c>
      <c r="AD57">
        <f>IFERROR(AD9*'Input Data'!AD48*VLOOKUP(AD$54,'Energy Heat Value Conversion'!$A:$E,5,FALSE),0)</f>
        <v>602805503240.68042</v>
      </c>
      <c r="AE57">
        <f>IFERROR(AE9*'Input Data'!AE48*VLOOKUP(AE$54,'Energy Heat Value Conversion'!$A:$E,5,FALSE),0)</f>
        <v>84100306182.369965</v>
      </c>
      <c r="AF57">
        <f>IFERROR(AF9*'Input Data'!AF48*VLOOKUP(AF$54,'Energy Heat Value Conversion'!$A:$E,5,FALSE),0)</f>
        <v>0</v>
      </c>
      <c r="AG57">
        <f>IFERROR(AG9*'Input Data'!AG48*VLOOKUP(AG$54,'Energy Heat Value Conversion'!$A:$E,5,FALSE),0)</f>
        <v>0</v>
      </c>
      <c r="AH57">
        <f>IFERROR(AH9*'Input Data'!AH48*VLOOKUP(AH$54,'Energy Heat Value Conversion'!$A:$E,5,FALSE),0)</f>
        <v>0</v>
      </c>
      <c r="AM57" t="s">
        <v>467</v>
      </c>
      <c r="AN57" t="s">
        <v>616</v>
      </c>
      <c r="AO57">
        <v>67.555916367194897</v>
      </c>
      <c r="AP57">
        <v>39.271151722175603</v>
      </c>
      <c r="AQ57">
        <v>1.7202428094067701</v>
      </c>
      <c r="AR57">
        <v>0.123700030429106</v>
      </c>
      <c r="AS57"/>
    </row>
    <row r="58" spans="1:48" x14ac:dyDescent="0.2">
      <c r="A58" s="206" t="str">
        <f>IFERROR(VLOOKUP(B58,'Sector Code Switch'!F:H,3,FALSE),"")</f>
        <v>oil and gas extraction 06</v>
      </c>
      <c r="B58" s="138" t="s">
        <v>3</v>
      </c>
      <c r="C58">
        <f>IFERROR(C10*'Input Data'!C49*VLOOKUP(C$54,'Energy Heat Value Conversion'!$A:$E,5,FALSE),0)</f>
        <v>0</v>
      </c>
      <c r="D58">
        <f>IFERROR(D10*'Input Data'!D49*VLOOKUP(D$54,'Energy Heat Value Conversion'!$A:$E,5,FALSE),0)</f>
        <v>0</v>
      </c>
      <c r="E58">
        <f>IFERROR(E10*'Input Data'!E49*VLOOKUP(E$54,'Energy Heat Value Conversion'!$A:$E,5,FALSE),0)</f>
        <v>0</v>
      </c>
      <c r="F58">
        <f>IFERROR(F10*'Input Data'!F49*VLOOKUP(F$54,'Energy Heat Value Conversion'!$A:$E,5,FALSE),0)</f>
        <v>0</v>
      </c>
      <c r="G58">
        <f>IFERROR(G10*'Input Data'!G49*VLOOKUP(G$54,'Energy Heat Value Conversion'!$A:$E,5,FALSE),0)</f>
        <v>0</v>
      </c>
      <c r="H58">
        <f>IFERROR(H10*'Input Data'!H49*VLOOKUP(H$54,'Energy Heat Value Conversion'!$A:$E,5,FALSE),0)</f>
        <v>0</v>
      </c>
      <c r="I58">
        <f>IFERROR(I10*'Input Data'!I49*VLOOKUP(I$54,'Energy Heat Value Conversion'!$A:$E,5,FALSE),0)</f>
        <v>0</v>
      </c>
      <c r="J58">
        <f>IFERROR(J10*'Input Data'!J49*VLOOKUP(J$54,'Energy Heat Value Conversion'!$A:$E,5,FALSE),0)</f>
        <v>0</v>
      </c>
      <c r="K58">
        <f>IFERROR(K10*'Input Data'!K49*VLOOKUP(K$54,'Energy Heat Value Conversion'!$A:$E,5,FALSE),0)</f>
        <v>0</v>
      </c>
      <c r="L58">
        <f>IFERROR(L10*'Input Data'!L49*VLOOKUP(L$54,'Energy Heat Value Conversion'!$A:$E,5,FALSE),0)</f>
        <v>0</v>
      </c>
      <c r="M58">
        <f>IFERROR(M10*'Input Data'!M49*VLOOKUP(M$54,'Energy Heat Value Conversion'!$A:$E,5,FALSE),0)</f>
        <v>0</v>
      </c>
      <c r="N58">
        <f>IFERROR(N10*'Input Data'!N49*VLOOKUP(N$54,'Energy Heat Value Conversion'!$A:$E,5,FALSE),0)</f>
        <v>0</v>
      </c>
      <c r="O58">
        <f>IFERROR(O10*'Input Data'!O49*VLOOKUP(O$54,'Energy Heat Value Conversion'!$A:$E,5,FALSE),0)</f>
        <v>0</v>
      </c>
      <c r="P58">
        <f>IFERROR(P10*'Input Data'!P49*VLOOKUP(P$54,'Energy Heat Value Conversion'!$A:$E,5,FALSE),0)</f>
        <v>0</v>
      </c>
      <c r="Q58">
        <f>IFERROR(Q10*'Input Data'!Q49*VLOOKUP(Q$54,'Energy Heat Value Conversion'!$A:$E,5,FALSE),0)</f>
        <v>10475065401.874065</v>
      </c>
      <c r="R58">
        <f>IFERROR(R10*'Input Data'!R49*VLOOKUP(R$54,'Energy Heat Value Conversion'!$A:$E,5,FALSE),0)</f>
        <v>0</v>
      </c>
      <c r="S58">
        <f>IFERROR(S10*'Input Data'!S49*VLOOKUP(S$54,'Energy Heat Value Conversion'!$A:$E,5,FALSE),0)</f>
        <v>238422212947.33398</v>
      </c>
      <c r="T58">
        <f>IFERROR(T10*'Input Data'!T49*VLOOKUP(T$54,'Energy Heat Value Conversion'!$A:$E,5,FALSE),0)</f>
        <v>9689421495.5780029</v>
      </c>
      <c r="U58">
        <f>IFERROR(U10*'Input Data'!U49*VLOOKUP(U$54,'Energy Heat Value Conversion'!$A:$E,5,FALSE),0)</f>
        <v>0</v>
      </c>
      <c r="V58">
        <f>IFERROR(V10*'Input Data'!V49*VLOOKUP(V$54,'Energy Heat Value Conversion'!$A:$E,5,FALSE),0)</f>
        <v>688069093.92647386</v>
      </c>
      <c r="W58">
        <f>IFERROR(W10*'Input Data'!W49*VLOOKUP(W$54,'Energy Heat Value Conversion'!$A:$E,5,FALSE),0)</f>
        <v>0</v>
      </c>
      <c r="X58">
        <f>IFERROR(X10*'Input Data'!X49*VLOOKUP(X$54,'Energy Heat Value Conversion'!$A:$E,5,FALSE),0)</f>
        <v>0</v>
      </c>
      <c r="Y58">
        <f>IFERROR(Y10*'Input Data'!Y49*VLOOKUP(Y$54,'Energy Heat Value Conversion'!$A:$E,5,FALSE),0)</f>
        <v>0</v>
      </c>
      <c r="Z58">
        <f>IFERROR(Z10*'Input Data'!Z49*VLOOKUP(Z$54,'Energy Heat Value Conversion'!$A:$E,5,FALSE),0)</f>
        <v>0</v>
      </c>
      <c r="AA58">
        <f>IFERROR(AA10*'Input Data'!AA49*VLOOKUP(AA$54,'Energy Heat Value Conversion'!$A:$E,5,FALSE),0)</f>
        <v>0</v>
      </c>
      <c r="AB58">
        <f>IFERROR(AB10*'Input Data'!AB49*VLOOKUP(AB$54,'Energy Heat Value Conversion'!$A:$E,5,FALSE),0)</f>
        <v>316204042285.60175</v>
      </c>
      <c r="AC58">
        <f>IFERROR(AC10*'Input Data'!AC49*VLOOKUP(AC$54,'Energy Heat Value Conversion'!$A:$E,5,FALSE),0)</f>
        <v>0</v>
      </c>
      <c r="AD58">
        <f>IFERROR(AD10*'Input Data'!AD49*VLOOKUP(AD$54,'Energy Heat Value Conversion'!$A:$E,5,FALSE),0)</f>
        <v>8804719180705.9648</v>
      </c>
      <c r="AE58">
        <f>IFERROR(AE10*'Input Data'!AE49*VLOOKUP(AE$54,'Energy Heat Value Conversion'!$A:$E,5,FALSE),0)</f>
        <v>64416079357.305069</v>
      </c>
      <c r="AF58">
        <f>IFERROR(AF10*'Input Data'!AF49*VLOOKUP(AF$54,'Energy Heat Value Conversion'!$A:$E,5,FALSE),0)</f>
        <v>0</v>
      </c>
      <c r="AG58">
        <f>IFERROR(AG10*'Input Data'!AG49*VLOOKUP(AG$54,'Energy Heat Value Conversion'!$A:$E,5,FALSE),0)</f>
        <v>0</v>
      </c>
      <c r="AH58">
        <f>IFERROR(AH10*'Input Data'!AH49*VLOOKUP(AH$54,'Energy Heat Value Conversion'!$A:$E,5,FALSE),0)</f>
        <v>0</v>
      </c>
      <c r="AM58" t="s">
        <v>467</v>
      </c>
      <c r="AN58" t="s">
        <v>480</v>
      </c>
      <c r="AO58">
        <v>-6.4124595078319802E-3</v>
      </c>
      <c r="AP58">
        <v>8.6083728665998591E-3</v>
      </c>
      <c r="AQ58">
        <v>-0.74490959060475503</v>
      </c>
      <c r="AR58">
        <v>0.47763673291332298</v>
      </c>
      <c r="AS58">
        <v>-8.3333333333333301E-2</v>
      </c>
    </row>
    <row r="59" spans="1:48" x14ac:dyDescent="0.2">
      <c r="A59" s="206" t="str">
        <f>IFERROR(VLOOKUP(B59,'Sector Code Switch'!F:H,3,FALSE),"")</f>
        <v>other mining and quarrying 07T08</v>
      </c>
      <c r="B59" s="138" t="s">
        <v>4</v>
      </c>
      <c r="C59">
        <f>IFERROR(C11*'Input Data'!C50*VLOOKUP(C$54,'Energy Heat Value Conversion'!$A:$E,5,FALSE),0)</f>
        <v>0</v>
      </c>
      <c r="D59">
        <f>IFERROR(D11*'Input Data'!D50*VLOOKUP(D$54,'Energy Heat Value Conversion'!$A:$E,5,FALSE),0)</f>
        <v>0</v>
      </c>
      <c r="E59">
        <f>IFERROR(E11*'Input Data'!E50*VLOOKUP(E$54,'Energy Heat Value Conversion'!$A:$E,5,FALSE),0)</f>
        <v>0</v>
      </c>
      <c r="F59">
        <f>IFERROR(F11*'Input Data'!F50*VLOOKUP(F$54,'Energy Heat Value Conversion'!$A:$E,5,FALSE),0)</f>
        <v>0</v>
      </c>
      <c r="G59">
        <f>IFERROR(G11*'Input Data'!G50*VLOOKUP(G$54,'Energy Heat Value Conversion'!$A:$E,5,FALSE),0)</f>
        <v>0</v>
      </c>
      <c r="H59">
        <f>IFERROR(H11*'Input Data'!H50*VLOOKUP(H$54,'Energy Heat Value Conversion'!$A:$E,5,FALSE),0)</f>
        <v>0</v>
      </c>
      <c r="I59">
        <f>IFERROR(I11*'Input Data'!I50*VLOOKUP(I$54,'Energy Heat Value Conversion'!$A:$E,5,FALSE),0)</f>
        <v>0</v>
      </c>
      <c r="J59">
        <f>IFERROR(J11*'Input Data'!J50*VLOOKUP(J$54,'Energy Heat Value Conversion'!$A:$E,5,FALSE),0)</f>
        <v>668784801521.90283</v>
      </c>
      <c r="K59">
        <f>IFERROR(K11*'Input Data'!K50*VLOOKUP(K$54,'Energy Heat Value Conversion'!$A:$E,5,FALSE),0)</f>
        <v>0</v>
      </c>
      <c r="L59">
        <f>IFERROR(L11*'Input Data'!L50*VLOOKUP(L$54,'Energy Heat Value Conversion'!$A:$E,5,FALSE),0)</f>
        <v>0</v>
      </c>
      <c r="M59">
        <f>IFERROR(M11*'Input Data'!M50*VLOOKUP(M$54,'Energy Heat Value Conversion'!$A:$E,5,FALSE),0)</f>
        <v>0</v>
      </c>
      <c r="N59">
        <f>IFERROR(N11*'Input Data'!N50*VLOOKUP(N$54,'Energy Heat Value Conversion'!$A:$E,5,FALSE),0)</f>
        <v>0</v>
      </c>
      <c r="O59">
        <f>IFERROR(O11*'Input Data'!O50*VLOOKUP(O$54,'Energy Heat Value Conversion'!$A:$E,5,FALSE),0)</f>
        <v>0</v>
      </c>
      <c r="P59">
        <f>IFERROR(P11*'Input Data'!P50*VLOOKUP(P$54,'Energy Heat Value Conversion'!$A:$E,5,FALSE),0)</f>
        <v>0</v>
      </c>
      <c r="Q59">
        <f>IFERROR(Q11*'Input Data'!Q50*VLOOKUP(Q$54,'Energy Heat Value Conversion'!$A:$E,5,FALSE),0)</f>
        <v>1112396325.8627324</v>
      </c>
      <c r="R59">
        <f>IFERROR(R11*'Input Data'!R50*VLOOKUP(R$54,'Energy Heat Value Conversion'!$A:$E,5,FALSE),0)</f>
        <v>780686382.66186106</v>
      </c>
      <c r="S59">
        <f>IFERROR(S11*'Input Data'!S50*VLOOKUP(S$54,'Energy Heat Value Conversion'!$A:$E,5,FALSE),0)</f>
        <v>332742040389.29932</v>
      </c>
      <c r="T59">
        <f>IFERROR(T11*'Input Data'!T50*VLOOKUP(T$54,'Energy Heat Value Conversion'!$A:$E,5,FALSE),0)</f>
        <v>322980716.51926684</v>
      </c>
      <c r="U59">
        <f>IFERROR(U11*'Input Data'!U50*VLOOKUP(U$54,'Energy Heat Value Conversion'!$A:$E,5,FALSE),0)</f>
        <v>0</v>
      </c>
      <c r="V59">
        <f>IFERROR(V11*'Input Data'!V50*VLOOKUP(V$54,'Energy Heat Value Conversion'!$A:$E,5,FALSE),0)</f>
        <v>19954003723.867737</v>
      </c>
      <c r="W59">
        <f>IFERROR(W11*'Input Data'!W50*VLOOKUP(W$54,'Energy Heat Value Conversion'!$A:$E,5,FALSE),0)</f>
        <v>0</v>
      </c>
      <c r="X59">
        <f>IFERROR(X11*'Input Data'!X50*VLOOKUP(X$54,'Energy Heat Value Conversion'!$A:$E,5,FALSE),0)</f>
        <v>0</v>
      </c>
      <c r="Y59">
        <f>IFERROR(Y11*'Input Data'!Y50*VLOOKUP(Y$54,'Energy Heat Value Conversion'!$A:$E,5,FALSE),0)</f>
        <v>0</v>
      </c>
      <c r="Z59">
        <f>IFERROR(Z11*'Input Data'!Z50*VLOOKUP(Z$54,'Energy Heat Value Conversion'!$A:$E,5,FALSE),0)</f>
        <v>0</v>
      </c>
      <c r="AA59">
        <f>IFERROR(AA11*'Input Data'!AA50*VLOOKUP(AA$54,'Energy Heat Value Conversion'!$A:$E,5,FALSE),0)</f>
        <v>0</v>
      </c>
      <c r="AB59">
        <f>IFERROR(AB11*'Input Data'!AB50*VLOOKUP(AB$54,'Energy Heat Value Conversion'!$A:$E,5,FALSE),0)</f>
        <v>0</v>
      </c>
      <c r="AC59">
        <f>IFERROR(AC11*'Input Data'!AC50*VLOOKUP(AC$54,'Energy Heat Value Conversion'!$A:$E,5,FALSE),0)</f>
        <v>0</v>
      </c>
      <c r="AD59">
        <f>IFERROR(AD11*'Input Data'!AD50*VLOOKUP(AD$54,'Energy Heat Value Conversion'!$A:$E,5,FALSE),0)</f>
        <v>3480401288.918478</v>
      </c>
      <c r="AE59">
        <f>IFERROR(AE11*'Input Data'!AE50*VLOOKUP(AE$54,'Energy Heat Value Conversion'!$A:$E,5,FALSE),0)</f>
        <v>0</v>
      </c>
      <c r="AF59">
        <f>IFERROR(AF11*'Input Data'!AF50*VLOOKUP(AF$54,'Energy Heat Value Conversion'!$A:$E,5,FALSE),0)</f>
        <v>0</v>
      </c>
      <c r="AG59">
        <f>IFERROR(AG11*'Input Data'!AG50*VLOOKUP(AG$54,'Energy Heat Value Conversion'!$A:$E,5,FALSE),0)</f>
        <v>0</v>
      </c>
      <c r="AH59">
        <f>IFERROR(AH11*'Input Data'!AH50*VLOOKUP(AH$54,'Energy Heat Value Conversion'!$A:$E,5,FALSE),0)</f>
        <v>0</v>
      </c>
      <c r="AM59" t="s">
        <v>467</v>
      </c>
      <c r="AN59" t="s">
        <v>611</v>
      </c>
      <c r="AO59">
        <v>0.15617194903909501</v>
      </c>
      <c r="AP59">
        <v>7.3057270533906801E-2</v>
      </c>
      <c r="AQ59">
        <v>2.13766471013468</v>
      </c>
      <c r="AR59">
        <v>6.5012410208442797E-2</v>
      </c>
      <c r="AS59">
        <v>0.133333333333333</v>
      </c>
    </row>
    <row r="60" spans="1:48" x14ac:dyDescent="0.2">
      <c r="A60" s="206" t="str">
        <f>IFERROR(VLOOKUP(B60,'Sector Code Switch'!F:H,3,FALSE),"")</f>
        <v>other mining and quarrying 07T08</v>
      </c>
      <c r="B60" s="138" t="s">
        <v>5</v>
      </c>
      <c r="C60">
        <f>IFERROR(C12*'Input Data'!C51*VLOOKUP(C$54,'Energy Heat Value Conversion'!$A:$E,5,FALSE),0)</f>
        <v>0</v>
      </c>
      <c r="D60">
        <f>IFERROR(D12*'Input Data'!D51*VLOOKUP(D$54,'Energy Heat Value Conversion'!$A:$E,5,FALSE),0)</f>
        <v>0</v>
      </c>
      <c r="E60">
        <f>IFERROR(E12*'Input Data'!E51*VLOOKUP(E$54,'Energy Heat Value Conversion'!$A:$E,5,FALSE),0)</f>
        <v>0</v>
      </c>
      <c r="F60">
        <f>IFERROR(F12*'Input Data'!F51*VLOOKUP(F$54,'Energy Heat Value Conversion'!$A:$E,5,FALSE),0)</f>
        <v>0</v>
      </c>
      <c r="G60">
        <f>IFERROR(G12*'Input Data'!G51*VLOOKUP(G$54,'Energy Heat Value Conversion'!$A:$E,5,FALSE),0)</f>
        <v>0</v>
      </c>
      <c r="H60">
        <f>IFERROR(H12*'Input Data'!H51*VLOOKUP(H$54,'Energy Heat Value Conversion'!$A:$E,5,FALSE),0)</f>
        <v>0</v>
      </c>
      <c r="I60">
        <f>IFERROR(I12*'Input Data'!I51*VLOOKUP(I$54,'Energy Heat Value Conversion'!$A:$E,5,FALSE),0)</f>
        <v>0</v>
      </c>
      <c r="J60">
        <f>IFERROR(J12*'Input Data'!J51*VLOOKUP(J$54,'Energy Heat Value Conversion'!$A:$E,5,FALSE),0)</f>
        <v>243852942071.16315</v>
      </c>
      <c r="K60">
        <f>IFERROR(K12*'Input Data'!K51*VLOOKUP(K$54,'Energy Heat Value Conversion'!$A:$E,5,FALSE),0)</f>
        <v>0</v>
      </c>
      <c r="L60">
        <f>IFERROR(L12*'Input Data'!L51*VLOOKUP(L$54,'Energy Heat Value Conversion'!$A:$E,5,FALSE),0)</f>
        <v>0</v>
      </c>
      <c r="M60">
        <f>IFERROR(M12*'Input Data'!M51*VLOOKUP(M$54,'Energy Heat Value Conversion'!$A:$E,5,FALSE),0)</f>
        <v>0</v>
      </c>
      <c r="N60">
        <f>IFERROR(N12*'Input Data'!N51*VLOOKUP(N$54,'Energy Heat Value Conversion'!$A:$E,5,FALSE),0)</f>
        <v>0</v>
      </c>
      <c r="O60">
        <f>IFERROR(O12*'Input Data'!O51*VLOOKUP(O$54,'Energy Heat Value Conversion'!$A:$E,5,FALSE),0)</f>
        <v>0</v>
      </c>
      <c r="P60">
        <f>IFERROR(P12*'Input Data'!P51*VLOOKUP(P$54,'Energy Heat Value Conversion'!$A:$E,5,FALSE),0)</f>
        <v>0</v>
      </c>
      <c r="Q60">
        <f>IFERROR(Q12*'Input Data'!Q51*VLOOKUP(Q$54,'Energy Heat Value Conversion'!$A:$E,5,FALSE),0)</f>
        <v>1983773447.7885399</v>
      </c>
      <c r="R60">
        <f>IFERROR(R12*'Input Data'!R51*VLOOKUP(R$54,'Energy Heat Value Conversion'!$A:$E,5,FALSE),0)</f>
        <v>31227455306.474445</v>
      </c>
      <c r="S60">
        <f>IFERROR(S12*'Input Data'!S51*VLOOKUP(S$54,'Energy Heat Value Conversion'!$A:$E,5,FALSE),0)</f>
        <v>158026242741.49295</v>
      </c>
      <c r="T60">
        <f>IFERROR(T12*'Input Data'!T51*VLOOKUP(T$54,'Energy Heat Value Conversion'!$A:$E,5,FALSE),0)</f>
        <v>16794997259.001873</v>
      </c>
      <c r="U60">
        <f>IFERROR(U12*'Input Data'!U51*VLOOKUP(U$54,'Energy Heat Value Conversion'!$A:$E,5,FALSE),0)</f>
        <v>0</v>
      </c>
      <c r="V60">
        <f>IFERROR(V12*'Input Data'!V51*VLOOKUP(V$54,'Energy Heat Value Conversion'!$A:$E,5,FALSE),0)</f>
        <v>2752276375.7058954</v>
      </c>
      <c r="W60">
        <f>IFERROR(W12*'Input Data'!W51*VLOOKUP(W$54,'Energy Heat Value Conversion'!$A:$E,5,FALSE),0)</f>
        <v>0</v>
      </c>
      <c r="X60">
        <f>IFERROR(X12*'Input Data'!X51*VLOOKUP(X$54,'Energy Heat Value Conversion'!$A:$E,5,FALSE),0)</f>
        <v>0</v>
      </c>
      <c r="Y60">
        <f>IFERROR(Y12*'Input Data'!Y51*VLOOKUP(Y$54,'Energy Heat Value Conversion'!$A:$E,5,FALSE),0)</f>
        <v>50101636282.238968</v>
      </c>
      <c r="Z60">
        <f>IFERROR(Z12*'Input Data'!Z51*VLOOKUP(Z$54,'Energy Heat Value Conversion'!$A:$E,5,FALSE),0)</f>
        <v>0</v>
      </c>
      <c r="AA60">
        <f>IFERROR(AA12*'Input Data'!AA51*VLOOKUP(AA$54,'Energy Heat Value Conversion'!$A:$E,5,FALSE),0)</f>
        <v>0</v>
      </c>
      <c r="AB60">
        <f>IFERROR(AB12*'Input Data'!AB51*VLOOKUP(AB$54,'Energy Heat Value Conversion'!$A:$E,5,FALSE),0)</f>
        <v>0</v>
      </c>
      <c r="AC60">
        <f>IFERROR(AC12*'Input Data'!AC51*VLOOKUP(AC$54,'Energy Heat Value Conversion'!$A:$E,5,FALSE),0)</f>
        <v>0</v>
      </c>
      <c r="AD60">
        <f>IFERROR(AD12*'Input Data'!AD51*VLOOKUP(AD$54,'Energy Heat Value Conversion'!$A:$E,5,FALSE),0)</f>
        <v>57774661396.04673</v>
      </c>
      <c r="AE60">
        <f>IFERROR(AE12*'Input Data'!AE51*VLOOKUP(AE$54,'Energy Heat Value Conversion'!$A:$E,5,FALSE),0)</f>
        <v>0</v>
      </c>
      <c r="AF60">
        <f>IFERROR(AF12*'Input Data'!AF51*VLOOKUP(AF$54,'Energy Heat Value Conversion'!$A:$E,5,FALSE),0)</f>
        <v>0</v>
      </c>
      <c r="AG60">
        <f>IFERROR(AG12*'Input Data'!AG51*VLOOKUP(AG$54,'Energy Heat Value Conversion'!$A:$E,5,FALSE),0)</f>
        <v>0</v>
      </c>
      <c r="AH60">
        <f>IFERROR(AH12*'Input Data'!AH51*VLOOKUP(AH$54,'Energy Heat Value Conversion'!$A:$E,5,FALSE),0)</f>
        <v>0</v>
      </c>
    </row>
    <row r="61" spans="1:48" x14ac:dyDescent="0.2">
      <c r="A61" s="206" t="str">
        <f>IFERROR(VLOOKUP(B61,'Sector Code Switch'!F:H,3,FALSE),"")</f>
        <v>other mining and quarrying 07T08</v>
      </c>
      <c r="B61" s="138" t="s">
        <v>6</v>
      </c>
      <c r="C61">
        <f>IFERROR(C13*'Input Data'!C52*VLOOKUP(C$54,'Energy Heat Value Conversion'!$A:$E,5,FALSE),0)</f>
        <v>0</v>
      </c>
      <c r="D61">
        <f>IFERROR(D13*'Input Data'!D52*VLOOKUP(D$54,'Energy Heat Value Conversion'!$A:$E,5,FALSE),0)</f>
        <v>0</v>
      </c>
      <c r="E61">
        <f>IFERROR(E13*'Input Data'!E52*VLOOKUP(E$54,'Energy Heat Value Conversion'!$A:$E,5,FALSE),0)</f>
        <v>0</v>
      </c>
      <c r="F61">
        <f>IFERROR(F13*'Input Data'!F52*VLOOKUP(F$54,'Energy Heat Value Conversion'!$A:$E,5,FALSE),0)</f>
        <v>0</v>
      </c>
      <c r="G61">
        <f>IFERROR(G13*'Input Data'!G52*VLOOKUP(G$54,'Energy Heat Value Conversion'!$A:$E,5,FALSE),0)</f>
        <v>0</v>
      </c>
      <c r="H61">
        <f>IFERROR(H13*'Input Data'!H52*VLOOKUP(H$54,'Energy Heat Value Conversion'!$A:$E,5,FALSE),0)</f>
        <v>0</v>
      </c>
      <c r="I61">
        <f>IFERROR(I13*'Input Data'!I52*VLOOKUP(I$54,'Energy Heat Value Conversion'!$A:$E,5,FALSE),0)</f>
        <v>0</v>
      </c>
      <c r="J61">
        <f>IFERROR(J13*'Input Data'!J52*VLOOKUP(J$54,'Energy Heat Value Conversion'!$A:$E,5,FALSE),0)</f>
        <v>400788003800.12952</v>
      </c>
      <c r="K61">
        <f>IFERROR(K13*'Input Data'!K52*VLOOKUP(K$54,'Energy Heat Value Conversion'!$A:$E,5,FALSE),0)</f>
        <v>0</v>
      </c>
      <c r="L61">
        <f>IFERROR(L13*'Input Data'!L52*VLOOKUP(L$54,'Energy Heat Value Conversion'!$A:$E,5,FALSE),0)</f>
        <v>0</v>
      </c>
      <c r="M61">
        <f>IFERROR(M13*'Input Data'!M52*VLOOKUP(M$54,'Energy Heat Value Conversion'!$A:$E,5,FALSE),0)</f>
        <v>0</v>
      </c>
      <c r="N61">
        <f>IFERROR(N13*'Input Data'!N52*VLOOKUP(N$54,'Energy Heat Value Conversion'!$A:$E,5,FALSE),0)</f>
        <v>0</v>
      </c>
      <c r="O61">
        <f>IFERROR(O13*'Input Data'!O52*VLOOKUP(O$54,'Energy Heat Value Conversion'!$A:$E,5,FALSE),0)</f>
        <v>0</v>
      </c>
      <c r="P61">
        <f>IFERROR(P13*'Input Data'!P52*VLOOKUP(P$54,'Energy Heat Value Conversion'!$A:$E,5,FALSE),0)</f>
        <v>0</v>
      </c>
      <c r="Q61">
        <f>IFERROR(Q13*'Input Data'!Q52*VLOOKUP(Q$54,'Energy Heat Value Conversion'!$A:$E,5,FALSE),0)</f>
        <v>1427575284.8571734</v>
      </c>
      <c r="R61">
        <f>IFERROR(R13*'Input Data'!R52*VLOOKUP(R$54,'Energy Heat Value Conversion'!$A:$E,5,FALSE),0)</f>
        <v>780686382.66186106</v>
      </c>
      <c r="S61">
        <f>IFERROR(S13*'Input Data'!S52*VLOOKUP(S$54,'Energy Heat Value Conversion'!$A:$E,5,FALSE),0)</f>
        <v>456054008925.66046</v>
      </c>
      <c r="T61">
        <f>IFERROR(T13*'Input Data'!T52*VLOOKUP(T$54,'Energy Heat Value Conversion'!$A:$E,5,FALSE),0)</f>
        <v>1291922866.0770674</v>
      </c>
      <c r="U61">
        <f>IFERROR(U13*'Input Data'!U52*VLOOKUP(U$54,'Energy Heat Value Conversion'!$A:$E,5,FALSE),0)</f>
        <v>0</v>
      </c>
      <c r="V61">
        <f>IFERROR(V13*'Input Data'!V52*VLOOKUP(V$54,'Energy Heat Value Conversion'!$A:$E,5,FALSE),0)</f>
        <v>11009105502.823582</v>
      </c>
      <c r="W61">
        <f>IFERROR(W13*'Input Data'!W52*VLOOKUP(W$54,'Energy Heat Value Conversion'!$A:$E,5,FALSE),0)</f>
        <v>0</v>
      </c>
      <c r="X61">
        <f>IFERROR(X13*'Input Data'!X52*VLOOKUP(X$54,'Energy Heat Value Conversion'!$A:$E,5,FALSE),0)</f>
        <v>0</v>
      </c>
      <c r="Y61">
        <f>IFERROR(Y13*'Input Data'!Y52*VLOOKUP(Y$54,'Energy Heat Value Conversion'!$A:$E,5,FALSE),0)</f>
        <v>73899913516.302475</v>
      </c>
      <c r="Z61">
        <f>IFERROR(Z13*'Input Data'!Z52*VLOOKUP(Z$54,'Energy Heat Value Conversion'!$A:$E,5,FALSE),0)</f>
        <v>0</v>
      </c>
      <c r="AA61">
        <f>IFERROR(AA13*'Input Data'!AA52*VLOOKUP(AA$54,'Energy Heat Value Conversion'!$A:$E,5,FALSE),0)</f>
        <v>0</v>
      </c>
      <c r="AB61">
        <f>IFERROR(AB13*'Input Data'!AB52*VLOOKUP(AB$54,'Energy Heat Value Conversion'!$A:$E,5,FALSE),0)</f>
        <v>0</v>
      </c>
      <c r="AC61">
        <f>IFERROR(AC13*'Input Data'!AC52*VLOOKUP(AC$54,'Energy Heat Value Conversion'!$A:$E,5,FALSE),0)</f>
        <v>0</v>
      </c>
      <c r="AD61">
        <f>IFERROR(AD13*'Input Data'!AD52*VLOOKUP(AD$54,'Energy Heat Value Conversion'!$A:$E,5,FALSE),0)</f>
        <v>58470741653.830421</v>
      </c>
      <c r="AE61">
        <f>IFERROR(AE13*'Input Data'!AE52*VLOOKUP(AE$54,'Energy Heat Value Conversion'!$A:$E,5,FALSE),0)</f>
        <v>95877666614.220596</v>
      </c>
      <c r="AF61">
        <f>IFERROR(AF13*'Input Data'!AF52*VLOOKUP(AF$54,'Energy Heat Value Conversion'!$A:$E,5,FALSE),0)</f>
        <v>0</v>
      </c>
      <c r="AG61">
        <f>IFERROR(AG13*'Input Data'!AG52*VLOOKUP(AG$54,'Energy Heat Value Conversion'!$A:$E,5,FALSE),0)</f>
        <v>0</v>
      </c>
      <c r="AH61">
        <f>IFERROR(AH13*'Input Data'!AH52*VLOOKUP(AH$54,'Energy Heat Value Conversion'!$A:$E,5,FALSE),0)</f>
        <v>0</v>
      </c>
      <c r="AJ61" s="41" t="s">
        <v>585</v>
      </c>
    </row>
    <row r="62" spans="1:48" x14ac:dyDescent="0.2">
      <c r="A62" s="206" t="str">
        <f>IFERROR(VLOOKUP(B62,'Sector Code Switch'!F:H,3,FALSE),"")</f>
        <v>Mining Support Service Activities 09</v>
      </c>
      <c r="B62" s="138" t="s">
        <v>7</v>
      </c>
      <c r="C62">
        <f>IFERROR(C14*'Input Data'!C53*VLOOKUP(C$54,'Energy Heat Value Conversion'!$A:$E,5,FALSE),0)</f>
        <v>0</v>
      </c>
      <c r="D62">
        <f>IFERROR(D14*'Input Data'!D53*VLOOKUP(D$54,'Energy Heat Value Conversion'!$A:$E,5,FALSE),0)</f>
        <v>0</v>
      </c>
      <c r="E62">
        <f>IFERROR(E14*'Input Data'!E53*VLOOKUP(E$54,'Energy Heat Value Conversion'!$A:$E,5,FALSE),0)</f>
        <v>0</v>
      </c>
      <c r="F62">
        <f>IFERROR(F14*'Input Data'!F53*VLOOKUP(F$54,'Energy Heat Value Conversion'!$A:$E,5,FALSE),0)</f>
        <v>0</v>
      </c>
      <c r="G62">
        <f>IFERROR(G14*'Input Data'!G53*VLOOKUP(G$54,'Energy Heat Value Conversion'!$A:$E,5,FALSE),0)</f>
        <v>0</v>
      </c>
      <c r="H62">
        <f>IFERROR(H14*'Input Data'!H53*VLOOKUP(H$54,'Energy Heat Value Conversion'!$A:$E,5,FALSE),0)</f>
        <v>0</v>
      </c>
      <c r="I62">
        <f>IFERROR(I14*'Input Data'!I53*VLOOKUP(I$54,'Energy Heat Value Conversion'!$A:$E,5,FALSE),0)</f>
        <v>0</v>
      </c>
      <c r="J62">
        <f>IFERROR(J14*'Input Data'!J53*VLOOKUP(J$54,'Energy Heat Value Conversion'!$A:$E,5,FALSE),0)</f>
        <v>0</v>
      </c>
      <c r="K62">
        <f>IFERROR(K14*'Input Data'!K53*VLOOKUP(K$54,'Energy Heat Value Conversion'!$A:$E,5,FALSE),0)</f>
        <v>0</v>
      </c>
      <c r="L62">
        <f>IFERROR(L14*'Input Data'!L53*VLOOKUP(L$54,'Energy Heat Value Conversion'!$A:$E,5,FALSE),0)</f>
        <v>0</v>
      </c>
      <c r="M62">
        <f>IFERROR(M14*'Input Data'!M53*VLOOKUP(M$54,'Energy Heat Value Conversion'!$A:$E,5,FALSE),0)</f>
        <v>0</v>
      </c>
      <c r="N62">
        <f>IFERROR(N14*'Input Data'!N53*VLOOKUP(N$54,'Energy Heat Value Conversion'!$A:$E,5,FALSE),0)</f>
        <v>0</v>
      </c>
      <c r="O62">
        <f>IFERROR(O14*'Input Data'!O53*VLOOKUP(O$54,'Energy Heat Value Conversion'!$A:$E,5,FALSE),0)</f>
        <v>0</v>
      </c>
      <c r="P62">
        <f>IFERROR(P14*'Input Data'!P53*VLOOKUP(P$54,'Energy Heat Value Conversion'!$A:$E,5,FALSE),0)</f>
        <v>0</v>
      </c>
      <c r="Q62">
        <f>IFERROR(Q14*'Input Data'!Q53*VLOOKUP(Q$54,'Energy Heat Value Conversion'!$A:$E,5,FALSE),0)</f>
        <v>4801844139.9741287</v>
      </c>
      <c r="R62">
        <f>IFERROR(R14*'Input Data'!R53*VLOOKUP(R$54,'Energy Heat Value Conversion'!$A:$E,5,FALSE),0)</f>
        <v>0</v>
      </c>
      <c r="S62">
        <f>IFERROR(S14*'Input Data'!S53*VLOOKUP(S$54,'Energy Heat Value Conversion'!$A:$E,5,FALSE),0)</f>
        <v>1002994565426.8446</v>
      </c>
      <c r="T62">
        <f>IFERROR(T14*'Input Data'!T53*VLOOKUP(T$54,'Energy Heat Value Conversion'!$A:$E,5,FALSE),0)</f>
        <v>2260865015.6348677</v>
      </c>
      <c r="U62">
        <f>IFERROR(U14*'Input Data'!U53*VLOOKUP(U$54,'Energy Heat Value Conversion'!$A:$E,5,FALSE),0)</f>
        <v>0</v>
      </c>
      <c r="V62">
        <f>IFERROR(V14*'Input Data'!V53*VLOOKUP(V$54,'Energy Heat Value Conversion'!$A:$E,5,FALSE),0)</f>
        <v>30275040132.764847</v>
      </c>
      <c r="W62">
        <f>IFERROR(W14*'Input Data'!W53*VLOOKUP(W$54,'Energy Heat Value Conversion'!$A:$E,5,FALSE),0)</f>
        <v>0</v>
      </c>
      <c r="X62">
        <f>IFERROR(X14*'Input Data'!X53*VLOOKUP(X$54,'Energy Heat Value Conversion'!$A:$E,5,FALSE),0)</f>
        <v>0</v>
      </c>
      <c r="Y62">
        <f>IFERROR(Y14*'Input Data'!Y53*VLOOKUP(Y$54,'Energy Heat Value Conversion'!$A:$E,5,FALSE),0)</f>
        <v>0</v>
      </c>
      <c r="Z62">
        <f>IFERROR(Z14*'Input Data'!Z53*VLOOKUP(Z$54,'Energy Heat Value Conversion'!$A:$E,5,FALSE),0)</f>
        <v>0</v>
      </c>
      <c r="AA62">
        <f>IFERROR(AA14*'Input Data'!AA53*VLOOKUP(AA$54,'Energy Heat Value Conversion'!$A:$E,5,FALSE),0)</f>
        <v>0</v>
      </c>
      <c r="AB62">
        <f>IFERROR(AB14*'Input Data'!AB53*VLOOKUP(AB$54,'Energy Heat Value Conversion'!$A:$E,5,FALSE),0)</f>
        <v>0</v>
      </c>
      <c r="AC62">
        <f>IFERROR(AC14*'Input Data'!AC53*VLOOKUP(AC$54,'Energy Heat Value Conversion'!$A:$E,5,FALSE),0)</f>
        <v>0</v>
      </c>
      <c r="AD62">
        <f>IFERROR(AD14*'Input Data'!AD53*VLOOKUP(AD$54,'Energy Heat Value Conversion'!$A:$E,5,FALSE),0)</f>
        <v>206735836561.7576</v>
      </c>
      <c r="AE62">
        <f>IFERROR(AE14*'Input Data'!AE53*VLOOKUP(AE$54,'Energy Heat Value Conversion'!$A:$E,5,FALSE),0)</f>
        <v>2764638599.0259686</v>
      </c>
      <c r="AF62">
        <f>IFERROR(AF14*'Input Data'!AF53*VLOOKUP(AF$54,'Energy Heat Value Conversion'!$A:$E,5,FALSE),0)</f>
        <v>0</v>
      </c>
      <c r="AG62">
        <f>IFERROR(AG14*'Input Data'!AG53*VLOOKUP(AG$54,'Energy Heat Value Conversion'!$A:$E,5,FALSE),0)</f>
        <v>0</v>
      </c>
      <c r="AH62">
        <f>IFERROR(AH14*'Input Data'!AH53*VLOOKUP(AH$54,'Energy Heat Value Conversion'!$A:$E,5,FALSE),0)</f>
        <v>0</v>
      </c>
      <c r="AK62" t="s">
        <v>576</v>
      </c>
      <c r="AL62" t="s">
        <v>577</v>
      </c>
      <c r="AM62" t="s">
        <v>578</v>
      </c>
      <c r="AN62" t="s">
        <v>579</v>
      </c>
      <c r="AO62" t="s">
        <v>580</v>
      </c>
      <c r="AP62" t="s">
        <v>578</v>
      </c>
      <c r="AQ62" t="s">
        <v>618</v>
      </c>
      <c r="AR62" t="s">
        <v>581</v>
      </c>
      <c r="AS62" s="191" t="s">
        <v>583</v>
      </c>
      <c r="AV62" t="s">
        <v>582</v>
      </c>
    </row>
    <row r="63" spans="1:48" x14ac:dyDescent="0.2">
      <c r="A63" s="206" t="str">
        <f>IFERROR(VLOOKUP(B63,'Sector Code Switch'!F:H,3,FALSE),"")</f>
        <v>Mining Support Service Activities 09</v>
      </c>
      <c r="B63" s="138" t="s">
        <v>8</v>
      </c>
      <c r="C63">
        <f>IFERROR(C15*'Input Data'!C54*VLOOKUP(C$54,'Energy Heat Value Conversion'!$A:$E,5,FALSE),0)</f>
        <v>0</v>
      </c>
      <c r="D63">
        <f>IFERROR(D15*'Input Data'!D54*VLOOKUP(D$54,'Energy Heat Value Conversion'!$A:$E,5,FALSE),0)</f>
        <v>0</v>
      </c>
      <c r="E63">
        <f>IFERROR(E15*'Input Data'!E54*VLOOKUP(E$54,'Energy Heat Value Conversion'!$A:$E,5,FALSE),0)</f>
        <v>0</v>
      </c>
      <c r="F63">
        <f>IFERROR(F15*'Input Data'!F54*VLOOKUP(F$54,'Energy Heat Value Conversion'!$A:$E,5,FALSE),0)</f>
        <v>0</v>
      </c>
      <c r="G63">
        <f>IFERROR(G15*'Input Data'!G54*VLOOKUP(G$54,'Energy Heat Value Conversion'!$A:$E,5,FALSE),0)</f>
        <v>0</v>
      </c>
      <c r="H63">
        <f>IFERROR(H15*'Input Data'!H54*VLOOKUP(H$54,'Energy Heat Value Conversion'!$A:$E,5,FALSE),0)</f>
        <v>0</v>
      </c>
      <c r="I63">
        <f>IFERROR(I15*'Input Data'!I54*VLOOKUP(I$54,'Energy Heat Value Conversion'!$A:$E,5,FALSE),0)</f>
        <v>0</v>
      </c>
      <c r="J63">
        <f>IFERROR(J15*'Input Data'!J54*VLOOKUP(J$54,'Energy Heat Value Conversion'!$A:$E,5,FALSE),0)</f>
        <v>0</v>
      </c>
      <c r="K63">
        <f>IFERROR(K15*'Input Data'!K54*VLOOKUP(K$54,'Energy Heat Value Conversion'!$A:$E,5,FALSE),0)</f>
        <v>0</v>
      </c>
      <c r="L63">
        <f>IFERROR(L15*'Input Data'!L54*VLOOKUP(L$54,'Energy Heat Value Conversion'!$A:$E,5,FALSE),0)</f>
        <v>0</v>
      </c>
      <c r="M63">
        <f>IFERROR(M15*'Input Data'!M54*VLOOKUP(M$54,'Energy Heat Value Conversion'!$A:$E,5,FALSE),0)</f>
        <v>0</v>
      </c>
      <c r="N63">
        <f>IFERROR(N15*'Input Data'!N54*VLOOKUP(N$54,'Energy Heat Value Conversion'!$A:$E,5,FALSE),0)</f>
        <v>0</v>
      </c>
      <c r="O63">
        <f>IFERROR(O15*'Input Data'!O54*VLOOKUP(O$54,'Energy Heat Value Conversion'!$A:$E,5,FALSE),0)</f>
        <v>0</v>
      </c>
      <c r="P63">
        <f>IFERROR(P15*'Input Data'!P54*VLOOKUP(P$54,'Energy Heat Value Conversion'!$A:$E,5,FALSE),0)</f>
        <v>0</v>
      </c>
      <c r="Q63">
        <f>IFERROR(Q15*'Input Data'!Q54*VLOOKUP(Q$54,'Energy Heat Value Conversion'!$A:$E,5,FALSE),0)</f>
        <v>0</v>
      </c>
      <c r="R63">
        <f>IFERROR(R15*'Input Data'!R54*VLOOKUP(R$54,'Energy Heat Value Conversion'!$A:$E,5,FALSE),0)</f>
        <v>0</v>
      </c>
      <c r="S63">
        <f>IFERROR(S15*'Input Data'!S54*VLOOKUP(S$54,'Energy Heat Value Conversion'!$A:$E,5,FALSE),0)</f>
        <v>2193484359.1154728</v>
      </c>
      <c r="T63">
        <f>IFERROR(T15*'Input Data'!T54*VLOOKUP(T$54,'Energy Heat Value Conversion'!$A:$E,5,FALSE),0)</f>
        <v>0</v>
      </c>
      <c r="U63">
        <f>IFERROR(U15*'Input Data'!U54*VLOOKUP(U$54,'Energy Heat Value Conversion'!$A:$E,5,FALSE),0)</f>
        <v>0</v>
      </c>
      <c r="V63">
        <f>IFERROR(V15*'Input Data'!V54*VLOOKUP(V$54,'Energy Heat Value Conversion'!$A:$E,5,FALSE),0)</f>
        <v>0</v>
      </c>
      <c r="W63">
        <f>IFERROR(W15*'Input Data'!W54*VLOOKUP(W$54,'Energy Heat Value Conversion'!$A:$E,5,FALSE),0)</f>
        <v>0</v>
      </c>
      <c r="X63">
        <f>IFERROR(X15*'Input Data'!X54*VLOOKUP(X$54,'Energy Heat Value Conversion'!$A:$E,5,FALSE),0)</f>
        <v>0</v>
      </c>
      <c r="Y63">
        <f>IFERROR(Y15*'Input Data'!Y54*VLOOKUP(Y$54,'Energy Heat Value Conversion'!$A:$E,5,FALSE),0)</f>
        <v>0</v>
      </c>
      <c r="Z63">
        <f>IFERROR(Z15*'Input Data'!Z54*VLOOKUP(Z$54,'Energy Heat Value Conversion'!$A:$E,5,FALSE),0)</f>
        <v>0</v>
      </c>
      <c r="AA63">
        <f>IFERROR(AA15*'Input Data'!AA54*VLOOKUP(AA$54,'Energy Heat Value Conversion'!$A:$E,5,FALSE),0)</f>
        <v>0</v>
      </c>
      <c r="AB63">
        <f>IFERROR(AB15*'Input Data'!AB54*VLOOKUP(AB$54,'Energy Heat Value Conversion'!$A:$E,5,FALSE),0)</f>
        <v>0</v>
      </c>
      <c r="AC63">
        <f>IFERROR(AC15*'Input Data'!AC54*VLOOKUP(AC$54,'Energy Heat Value Conversion'!$A:$E,5,FALSE),0)</f>
        <v>0</v>
      </c>
      <c r="AD63">
        <f>IFERROR(AD15*'Input Data'!AD54*VLOOKUP(AD$54,'Energy Heat Value Conversion'!$A:$E,5,FALSE),0)</f>
        <v>0</v>
      </c>
      <c r="AE63">
        <f>IFERROR(AE15*'Input Data'!AE54*VLOOKUP(AE$54,'Energy Heat Value Conversion'!$A:$E,5,FALSE),0)</f>
        <v>0</v>
      </c>
      <c r="AF63">
        <f>IFERROR(AF15*'Input Data'!AF54*VLOOKUP(AF$54,'Energy Heat Value Conversion'!$A:$E,5,FALSE),0)</f>
        <v>0</v>
      </c>
      <c r="AG63">
        <f>IFERROR(AG15*'Input Data'!AG54*VLOOKUP(AG$54,'Energy Heat Value Conversion'!$A:$E,5,FALSE),0)</f>
        <v>0</v>
      </c>
      <c r="AH63">
        <f>IFERROR(AH15*'Input Data'!AH54*VLOOKUP(AH$54,'Energy Heat Value Conversion'!$A:$E,5,FALSE),0)</f>
        <v>0</v>
      </c>
      <c r="AJ63" s="155" t="s">
        <v>431</v>
      </c>
      <c r="AK63" s="147">
        <v>13300.72</v>
      </c>
      <c r="AL63" s="189">
        <v>2302.54</v>
      </c>
      <c r="AM63" s="196">
        <f>AL63/AK63</f>
        <v>0.17311393668914166</v>
      </c>
      <c r="AN63" s="138" t="s">
        <v>507</v>
      </c>
      <c r="AO63" s="145">
        <v>9828.51</v>
      </c>
      <c r="AP63" s="196">
        <f>AO63/AK63</f>
        <v>0.73894571120961883</v>
      </c>
      <c r="AR63">
        <f>AL63-AO63</f>
        <v>-7525.97</v>
      </c>
      <c r="AS63" s="204">
        <f>IF(AR63&gt;0,100%,AL63/AO63)</f>
        <v>0.23427152233654946</v>
      </c>
      <c r="AV63" s="203">
        <f>IF(AR63&gt;0,AR63/(AK63-AO63),0)</f>
        <v>0</v>
      </c>
    </row>
    <row r="64" spans="1:48" x14ac:dyDescent="0.2">
      <c r="A64" s="206" t="str">
        <f>IFERROR(VLOOKUP(B64,'Sector Code Switch'!F:H,3,FALSE),"")</f>
        <v/>
      </c>
      <c r="B64" s="137" t="s">
        <v>489</v>
      </c>
      <c r="C64">
        <f>IFERROR(C16*'Input Data'!C55*VLOOKUP(C$54,'Energy Heat Value Conversion'!$A:$E,5,FALSE),0)</f>
        <v>0</v>
      </c>
      <c r="D64">
        <f>IFERROR(D16*'Input Data'!D55*VLOOKUP(D$54,'Energy Heat Value Conversion'!$A:$E,5,FALSE),0)</f>
        <v>0</v>
      </c>
      <c r="E64">
        <f>IFERROR(E16*'Input Data'!E55*VLOOKUP(E$54,'Energy Heat Value Conversion'!$A:$E,5,FALSE),0)</f>
        <v>0</v>
      </c>
      <c r="F64">
        <f>IFERROR(F16*'Input Data'!F55*VLOOKUP(F$54,'Energy Heat Value Conversion'!$A:$E,5,FALSE),0)</f>
        <v>0</v>
      </c>
      <c r="G64">
        <f>IFERROR(G16*'Input Data'!G55*VLOOKUP(G$54,'Energy Heat Value Conversion'!$A:$E,5,FALSE),0)</f>
        <v>0</v>
      </c>
      <c r="H64">
        <f>IFERROR(H16*'Input Data'!H55*VLOOKUP(H$54,'Energy Heat Value Conversion'!$A:$E,5,FALSE),0)</f>
        <v>0</v>
      </c>
      <c r="I64">
        <f>IFERROR(I16*'Input Data'!I55*VLOOKUP(I$54,'Energy Heat Value Conversion'!$A:$E,5,FALSE),0)</f>
        <v>0</v>
      </c>
      <c r="J64">
        <f>IFERROR(J16*'Input Data'!J55*VLOOKUP(J$54,'Energy Heat Value Conversion'!$A:$E,5,FALSE),0)</f>
        <v>171525193698630.13</v>
      </c>
      <c r="K64">
        <f>IFERROR(K16*'Input Data'!K55*VLOOKUP(K$54,'Energy Heat Value Conversion'!$A:$E,5,FALSE),0)</f>
        <v>0</v>
      </c>
      <c r="L64">
        <f>IFERROR(L16*'Input Data'!L55*VLOOKUP(L$54,'Energy Heat Value Conversion'!$A:$E,5,FALSE),0)</f>
        <v>0</v>
      </c>
      <c r="M64">
        <f>IFERROR(M16*'Input Data'!M55*VLOOKUP(M$54,'Energy Heat Value Conversion'!$A:$E,5,FALSE),0)</f>
        <v>0</v>
      </c>
      <c r="N64">
        <f>IFERROR(N16*'Input Data'!N55*VLOOKUP(N$54,'Energy Heat Value Conversion'!$A:$E,5,FALSE),0)</f>
        <v>76439901237740.906</v>
      </c>
      <c r="O64">
        <f>IFERROR(O16*'Input Data'!O55*VLOOKUP(O$54,'Energy Heat Value Conversion'!$A:$E,5,FALSE),0)</f>
        <v>0</v>
      </c>
      <c r="P64">
        <f>IFERROR(P16*'Input Data'!P55*VLOOKUP(P$54,'Energy Heat Value Conversion'!$A:$E,5,FALSE),0)</f>
        <v>0</v>
      </c>
      <c r="Q64">
        <f>IFERROR(Q16*'Input Data'!Q55*VLOOKUP(Q$54,'Energy Heat Value Conversion'!$A:$E,5,FALSE),0)</f>
        <v>238831491162.72867</v>
      </c>
      <c r="R64">
        <f>IFERROR(R16*'Input Data'!R55*VLOOKUP(R$54,'Energy Heat Value Conversion'!$A:$E,5,FALSE),0)</f>
        <v>651873129522.65393</v>
      </c>
      <c r="S64">
        <f>IFERROR(S16*'Input Data'!S55*VLOOKUP(S$54,'Energy Heat Value Conversion'!$A:$E,5,FALSE),0)</f>
        <v>4596780265624.5996</v>
      </c>
      <c r="T64">
        <f>IFERROR(T16*'Input Data'!T55*VLOOKUP(T$54,'Energy Heat Value Conversion'!$A:$E,5,FALSE),0)</f>
        <v>7389152832527.7852</v>
      </c>
      <c r="U64">
        <f>IFERROR(U16*'Input Data'!U55*VLOOKUP(U$54,'Energy Heat Value Conversion'!$A:$E,5,FALSE),0)</f>
        <v>0</v>
      </c>
      <c r="V64">
        <f>IFERROR(V16*'Input Data'!V55*VLOOKUP(V$54,'Energy Heat Value Conversion'!$A:$E,5,FALSE),0)</f>
        <v>18251720785493.645</v>
      </c>
      <c r="W64">
        <f>IFERROR(W16*'Input Data'!W55*VLOOKUP(W$54,'Energy Heat Value Conversion'!$A:$E,5,FALSE),0)</f>
        <v>18930197735252.695</v>
      </c>
      <c r="X64">
        <f>IFERROR(X16*'Input Data'!X55*VLOOKUP(X$54,'Energy Heat Value Conversion'!$A:$E,5,FALSE),0)</f>
        <v>7612425358215.5234</v>
      </c>
      <c r="Y64">
        <f>IFERROR(Y16*'Input Data'!Y55*VLOOKUP(Y$54,'Energy Heat Value Conversion'!$A:$E,5,FALSE),0)</f>
        <v>43610969301874.906</v>
      </c>
      <c r="Z64">
        <f>IFERROR(Z16*'Input Data'!Z55*VLOOKUP(Z$54,'Energy Heat Value Conversion'!$A:$E,5,FALSE),0)</f>
        <v>0</v>
      </c>
      <c r="AA64">
        <f>IFERROR(AA16*'Input Data'!AA55*VLOOKUP(AA$54,'Energy Heat Value Conversion'!$A:$E,5,FALSE),0)</f>
        <v>0</v>
      </c>
      <c r="AB64">
        <f>IFERROR(AB16*'Input Data'!AB55*VLOOKUP(AB$54,'Energy Heat Value Conversion'!$A:$E,5,FALSE),0)</f>
        <v>55083458079323.484</v>
      </c>
      <c r="AC64">
        <f>IFERROR(AC16*'Input Data'!AC55*VLOOKUP(AC$54,'Energy Heat Value Conversion'!$A:$E,5,FALSE),0)</f>
        <v>0</v>
      </c>
      <c r="AD64">
        <f>IFERROR(AD16*'Input Data'!AD55*VLOOKUP(AD$54,'Energy Heat Value Conversion'!$A:$E,5,FALSE),0)</f>
        <v>32597438472010.465</v>
      </c>
      <c r="AE64">
        <f>IFERROR(AE16*'Input Data'!AE55*VLOOKUP(AE$54,'Energy Heat Value Conversion'!$A:$E,5,FALSE),0)</f>
        <v>38321429719906.68</v>
      </c>
      <c r="AF64">
        <f>IFERROR(AF16*'Input Data'!AF55*VLOOKUP(AF$54,'Energy Heat Value Conversion'!$A:$E,5,FALSE),0)</f>
        <v>0</v>
      </c>
      <c r="AG64">
        <f>IFERROR(AG16*'Input Data'!AG55*VLOOKUP(AG$54,'Energy Heat Value Conversion'!$A:$E,5,FALSE),0)</f>
        <v>0</v>
      </c>
      <c r="AH64">
        <f>IFERROR(AH16*'Input Data'!AH55*VLOOKUP(AH$54,'Energy Heat Value Conversion'!$A:$E,5,FALSE),0)</f>
        <v>0</v>
      </c>
      <c r="AJ64" s="155" t="s">
        <v>478</v>
      </c>
      <c r="AK64" s="147">
        <v>47724.27</v>
      </c>
      <c r="AL64" s="189">
        <v>1818.29</v>
      </c>
      <c r="AM64" s="191">
        <f>AL64/AK64</f>
        <v>3.8099901790011666E-2</v>
      </c>
      <c r="AN64" s="138" t="s">
        <v>503</v>
      </c>
      <c r="AO64" s="145">
        <v>4059.94</v>
      </c>
      <c r="AP64" s="196">
        <f>AO64/AK64</f>
        <v>8.5070761690016428E-2</v>
      </c>
      <c r="AR64">
        <f>AL64-AO64</f>
        <v>-2241.65</v>
      </c>
      <c r="AS64" s="204">
        <f>IF(AR64&gt;0,100%,AL64/AO64)</f>
        <v>0.44786129844283412</v>
      </c>
      <c r="AV64" s="203">
        <f t="shared" ref="AV64:AV68" si="38">IF(AR64&gt;0,AR64/(AK64-AO64),0)</f>
        <v>0</v>
      </c>
    </row>
    <row r="65" spans="1:48" x14ac:dyDescent="0.2">
      <c r="A65" s="206" t="str">
        <f>IFERROR(VLOOKUP(B65,'Sector Code Switch'!F:H,3,FALSE),"")</f>
        <v>food beverage and tobacco 10T12</v>
      </c>
      <c r="B65" s="138" t="s">
        <v>9</v>
      </c>
      <c r="C65">
        <f>IFERROR(C17*'Input Data'!C56*VLOOKUP(C$54,'Energy Heat Value Conversion'!$A:$E,5,FALSE),0)</f>
        <v>0</v>
      </c>
      <c r="D65">
        <f>IFERROR(D17*'Input Data'!D56*VLOOKUP(D$54,'Energy Heat Value Conversion'!$A:$E,5,FALSE),0)</f>
        <v>0</v>
      </c>
      <c r="E65">
        <f>IFERROR(E17*'Input Data'!E56*VLOOKUP(E$54,'Energy Heat Value Conversion'!$A:$E,5,FALSE),0)</f>
        <v>0</v>
      </c>
      <c r="F65">
        <f>IFERROR(F17*'Input Data'!F56*VLOOKUP(F$54,'Energy Heat Value Conversion'!$A:$E,5,FALSE),0)</f>
        <v>0</v>
      </c>
      <c r="G65">
        <f>IFERROR(G17*'Input Data'!G56*VLOOKUP(G$54,'Energy Heat Value Conversion'!$A:$E,5,FALSE),0)</f>
        <v>0</v>
      </c>
      <c r="H65">
        <f>IFERROR(H17*'Input Data'!H56*VLOOKUP(H$54,'Energy Heat Value Conversion'!$A:$E,5,FALSE),0)</f>
        <v>0</v>
      </c>
      <c r="I65">
        <f>IFERROR(I17*'Input Data'!I56*VLOOKUP(I$54,'Energy Heat Value Conversion'!$A:$E,5,FALSE),0)</f>
        <v>0</v>
      </c>
      <c r="J65">
        <f>IFERROR(J17*'Input Data'!J56*VLOOKUP(J$54,'Energy Heat Value Conversion'!$A:$E,5,FALSE),0)</f>
        <v>7243156695.1830626</v>
      </c>
      <c r="K65">
        <f>IFERROR(K17*'Input Data'!K56*VLOOKUP(K$54,'Energy Heat Value Conversion'!$A:$E,5,FALSE),0)</f>
        <v>0</v>
      </c>
      <c r="L65">
        <f>IFERROR(L17*'Input Data'!L56*VLOOKUP(L$54,'Energy Heat Value Conversion'!$A:$E,5,FALSE),0)</f>
        <v>0</v>
      </c>
      <c r="M65">
        <f>IFERROR(M17*'Input Data'!M56*VLOOKUP(M$54,'Energy Heat Value Conversion'!$A:$E,5,FALSE),0)</f>
        <v>0</v>
      </c>
      <c r="N65">
        <f>IFERROR(N17*'Input Data'!N56*VLOOKUP(N$54,'Energy Heat Value Conversion'!$A:$E,5,FALSE),0)</f>
        <v>0</v>
      </c>
      <c r="O65">
        <f>IFERROR(O17*'Input Data'!O56*VLOOKUP(O$54,'Energy Heat Value Conversion'!$A:$E,5,FALSE),0)</f>
        <v>0</v>
      </c>
      <c r="P65">
        <f>IFERROR(P17*'Input Data'!P56*VLOOKUP(P$54,'Energy Heat Value Conversion'!$A:$E,5,FALSE),0)</f>
        <v>0</v>
      </c>
      <c r="Q65">
        <f>IFERROR(Q17*'Input Data'!Q56*VLOOKUP(Q$54,'Energy Heat Value Conversion'!$A:$E,5,FALSE),0)</f>
        <v>8991870300.7237549</v>
      </c>
      <c r="R65">
        <f>IFERROR(R17*'Input Data'!R56*VLOOKUP(R$54,'Energy Heat Value Conversion'!$A:$E,5,FALSE),0)</f>
        <v>3122745530.6474442</v>
      </c>
      <c r="S65">
        <f>IFERROR(S17*'Input Data'!S56*VLOOKUP(S$54,'Energy Heat Value Conversion'!$A:$E,5,FALSE),0)</f>
        <v>117589835425.62512</v>
      </c>
      <c r="T65">
        <f>IFERROR(T17*'Input Data'!T56*VLOOKUP(T$54,'Energy Heat Value Conversion'!$A:$E,5,FALSE),0)</f>
        <v>30037206636.291809</v>
      </c>
      <c r="U65">
        <f>IFERROR(U17*'Input Data'!U56*VLOOKUP(U$54,'Energy Heat Value Conversion'!$A:$E,5,FALSE),0)</f>
        <v>0</v>
      </c>
      <c r="V65">
        <f>IFERROR(V17*'Input Data'!V56*VLOOKUP(V$54,'Energy Heat Value Conversion'!$A:$E,5,FALSE),0)</f>
        <v>2064207281.7794211</v>
      </c>
      <c r="W65">
        <f>IFERROR(W17*'Input Data'!W56*VLOOKUP(W$54,'Energy Heat Value Conversion'!$A:$E,5,FALSE),0)</f>
        <v>1910308061.481679</v>
      </c>
      <c r="X65">
        <f>IFERROR(X17*'Input Data'!X56*VLOOKUP(X$54,'Energy Heat Value Conversion'!$A:$E,5,FALSE),0)</f>
        <v>230992979619.76453</v>
      </c>
      <c r="Y65">
        <f>IFERROR(Y17*'Input Data'!Y56*VLOOKUP(Y$54,'Energy Heat Value Conversion'!$A:$E,5,FALSE),0)</f>
        <v>0</v>
      </c>
      <c r="Z65">
        <f>IFERROR(Z17*'Input Data'!Z56*VLOOKUP(Z$54,'Energy Heat Value Conversion'!$A:$E,5,FALSE),0)</f>
        <v>0</v>
      </c>
      <c r="AA65">
        <f>IFERROR(AA17*'Input Data'!AA56*VLOOKUP(AA$54,'Energy Heat Value Conversion'!$A:$E,5,FALSE),0)</f>
        <v>0</v>
      </c>
      <c r="AB65">
        <f>IFERROR(AB17*'Input Data'!AB56*VLOOKUP(AB$54,'Energy Heat Value Conversion'!$A:$E,5,FALSE),0)</f>
        <v>0</v>
      </c>
      <c r="AC65">
        <f>IFERROR(AC17*'Input Data'!AC56*VLOOKUP(AC$54,'Energy Heat Value Conversion'!$A:$E,5,FALSE),0)</f>
        <v>0</v>
      </c>
      <c r="AD65">
        <f>IFERROR(AD17*'Input Data'!AD56*VLOOKUP(AD$54,'Energy Heat Value Conversion'!$A:$E,5,FALSE),0)</f>
        <v>292353708269.15216</v>
      </c>
      <c r="AE65">
        <f>IFERROR(AE17*'Input Data'!AE56*VLOOKUP(AE$54,'Energy Heat Value Conversion'!$A:$E,5,FALSE),0)</f>
        <v>1034472470983.537</v>
      </c>
      <c r="AF65">
        <f>IFERROR(AF17*'Input Data'!AF56*VLOOKUP(AF$54,'Energy Heat Value Conversion'!$A:$E,5,FALSE),0)</f>
        <v>0</v>
      </c>
      <c r="AG65">
        <f>IFERROR(AG17*'Input Data'!AG56*VLOOKUP(AG$54,'Energy Heat Value Conversion'!$A:$E,5,FALSE),0)</f>
        <v>0</v>
      </c>
      <c r="AH65">
        <f>IFERROR(AH17*'Input Data'!AH56*VLOOKUP(AH$54,'Energy Heat Value Conversion'!$A:$E,5,FALSE),0)</f>
        <v>0</v>
      </c>
      <c r="AJ65" s="155" t="s">
        <v>545</v>
      </c>
      <c r="AK65" s="147">
        <v>897.76</v>
      </c>
      <c r="AL65" s="189">
        <v>165.3</v>
      </c>
      <c r="AM65" s="191">
        <f>AL65/AK65</f>
        <v>0.18412493316699341</v>
      </c>
      <c r="AN65" t="s">
        <v>611</v>
      </c>
      <c r="AO65">
        <v>39.299999999999955</v>
      </c>
      <c r="AP65" s="196">
        <f>AO65/(AO65+AO66)</f>
        <v>0.16500818742914714</v>
      </c>
      <c r="AQ65">
        <f>AP65*AL65</f>
        <v>27.275853382038022</v>
      </c>
      <c r="AR65">
        <f>AL65-(AQ65+AQ66)</f>
        <v>0</v>
      </c>
      <c r="AS65" s="204">
        <f>AQ65/AO65</f>
        <v>0.69404207078977231</v>
      </c>
      <c r="AV65" s="203">
        <f t="shared" si="38"/>
        <v>0</v>
      </c>
    </row>
    <row r="66" spans="1:48" x14ac:dyDescent="0.2">
      <c r="A66" s="206" t="str">
        <f>IFERROR(VLOOKUP(B66,'Sector Code Switch'!F:H,3,FALSE),"")</f>
        <v>food beverage and tobacco 10T12</v>
      </c>
      <c r="B66" s="138" t="s">
        <v>10</v>
      </c>
      <c r="C66">
        <f>IFERROR(C18*'Input Data'!C57*VLOOKUP(C$54,'Energy Heat Value Conversion'!$A:$E,5,FALSE),0)</f>
        <v>0</v>
      </c>
      <c r="D66">
        <f>IFERROR(D18*'Input Data'!D57*VLOOKUP(D$54,'Energy Heat Value Conversion'!$A:$E,5,FALSE),0)</f>
        <v>0</v>
      </c>
      <c r="E66">
        <f>IFERROR(E18*'Input Data'!E57*VLOOKUP(E$54,'Energy Heat Value Conversion'!$A:$E,5,FALSE),0)</f>
        <v>0</v>
      </c>
      <c r="F66">
        <f>IFERROR(F18*'Input Data'!F57*VLOOKUP(F$54,'Energy Heat Value Conversion'!$A:$E,5,FALSE),0)</f>
        <v>0</v>
      </c>
      <c r="G66">
        <f>IFERROR(G18*'Input Data'!G57*VLOOKUP(G$54,'Energy Heat Value Conversion'!$A:$E,5,FALSE),0)</f>
        <v>0</v>
      </c>
      <c r="H66">
        <f>IFERROR(H18*'Input Data'!H57*VLOOKUP(H$54,'Energy Heat Value Conversion'!$A:$E,5,FALSE),0)</f>
        <v>0</v>
      </c>
      <c r="I66">
        <f>IFERROR(I18*'Input Data'!I57*VLOOKUP(I$54,'Energy Heat Value Conversion'!$A:$E,5,FALSE),0)</f>
        <v>0</v>
      </c>
      <c r="J66">
        <f>IFERROR(J18*'Input Data'!J57*VLOOKUP(J$54,'Energy Heat Value Conversion'!$A:$E,5,FALSE),0)</f>
        <v>0</v>
      </c>
      <c r="K66">
        <f>IFERROR(K18*'Input Data'!K57*VLOOKUP(K$54,'Energy Heat Value Conversion'!$A:$E,5,FALSE),0)</f>
        <v>0</v>
      </c>
      <c r="L66">
        <f>IFERROR(L18*'Input Data'!L57*VLOOKUP(L$54,'Energy Heat Value Conversion'!$A:$E,5,FALSE),0)</f>
        <v>0</v>
      </c>
      <c r="M66">
        <f>IFERROR(M18*'Input Data'!M57*VLOOKUP(M$54,'Energy Heat Value Conversion'!$A:$E,5,FALSE),0)</f>
        <v>0</v>
      </c>
      <c r="N66">
        <f>IFERROR(N18*'Input Data'!N57*VLOOKUP(N$54,'Energy Heat Value Conversion'!$A:$E,5,FALSE),0)</f>
        <v>0</v>
      </c>
      <c r="O66">
        <f>IFERROR(O18*'Input Data'!O57*VLOOKUP(O$54,'Energy Heat Value Conversion'!$A:$E,5,FALSE),0)</f>
        <v>0</v>
      </c>
      <c r="P66">
        <f>IFERROR(P18*'Input Data'!P57*VLOOKUP(P$54,'Energy Heat Value Conversion'!$A:$E,5,FALSE),0)</f>
        <v>0</v>
      </c>
      <c r="Q66">
        <f>IFERROR(Q18*'Input Data'!Q57*VLOOKUP(Q$54,'Energy Heat Value Conversion'!$A:$E,5,FALSE),0)</f>
        <v>6841237404.0558052</v>
      </c>
      <c r="R66">
        <f>IFERROR(R18*'Input Data'!R57*VLOOKUP(R$54,'Energy Heat Value Conversion'!$A:$E,5,FALSE),0)</f>
        <v>780686382.66186106</v>
      </c>
      <c r="S66">
        <f>IFERROR(S18*'Input Data'!S57*VLOOKUP(S$54,'Energy Heat Value Conversion'!$A:$E,5,FALSE),0)</f>
        <v>47779811474.645729</v>
      </c>
      <c r="T66">
        <f>IFERROR(T18*'Input Data'!T57*VLOOKUP(T$54,'Energy Heat Value Conversion'!$A:$E,5,FALSE),0)</f>
        <v>13888170810.32847</v>
      </c>
      <c r="U66">
        <f>IFERROR(U18*'Input Data'!U57*VLOOKUP(U$54,'Energy Heat Value Conversion'!$A:$E,5,FALSE),0)</f>
        <v>0</v>
      </c>
      <c r="V66">
        <f>IFERROR(V18*'Input Data'!V57*VLOOKUP(V$54,'Energy Heat Value Conversion'!$A:$E,5,FALSE),0)</f>
        <v>688069093.92647386</v>
      </c>
      <c r="W66">
        <f>IFERROR(W18*'Input Data'!W57*VLOOKUP(W$54,'Energy Heat Value Conversion'!$A:$E,5,FALSE),0)</f>
        <v>0</v>
      </c>
      <c r="X66">
        <f>IFERROR(X18*'Input Data'!X57*VLOOKUP(X$54,'Energy Heat Value Conversion'!$A:$E,5,FALSE),0)</f>
        <v>0</v>
      </c>
      <c r="Y66">
        <f>IFERROR(Y18*'Input Data'!Y57*VLOOKUP(Y$54,'Energy Heat Value Conversion'!$A:$E,5,FALSE),0)</f>
        <v>0</v>
      </c>
      <c r="Z66">
        <f>IFERROR(Z18*'Input Data'!Z57*VLOOKUP(Z$54,'Energy Heat Value Conversion'!$A:$E,5,FALSE),0)</f>
        <v>0</v>
      </c>
      <c r="AA66">
        <f>IFERROR(AA18*'Input Data'!AA57*VLOOKUP(AA$54,'Energy Heat Value Conversion'!$A:$E,5,FALSE),0)</f>
        <v>0</v>
      </c>
      <c r="AB66">
        <f>IFERROR(AB18*'Input Data'!AB57*VLOOKUP(AB$54,'Energy Heat Value Conversion'!$A:$E,5,FALSE),0)</f>
        <v>0</v>
      </c>
      <c r="AC66">
        <f>IFERROR(AC18*'Input Data'!AC57*VLOOKUP(AC$54,'Energy Heat Value Conversion'!$A:$E,5,FALSE),0)</f>
        <v>0</v>
      </c>
      <c r="AD66">
        <f>IFERROR(AD18*'Input Data'!AD57*VLOOKUP(AD$54,'Energy Heat Value Conversion'!$A:$E,5,FALSE),0)</f>
        <v>965463317545.98584</v>
      </c>
      <c r="AE66">
        <f>IFERROR(AE18*'Input Data'!AE57*VLOOKUP(AE$54,'Energy Heat Value Conversion'!$A:$E,5,FALSE),0)</f>
        <v>493653868242.0769</v>
      </c>
      <c r="AF66">
        <f>IFERROR(AF18*'Input Data'!AF57*VLOOKUP(AF$54,'Energy Heat Value Conversion'!$A:$E,5,FALSE),0)</f>
        <v>0</v>
      </c>
      <c r="AG66">
        <f>IFERROR(AG18*'Input Data'!AG57*VLOOKUP(AG$54,'Energy Heat Value Conversion'!$A:$E,5,FALSE),0)</f>
        <v>0</v>
      </c>
      <c r="AH66">
        <f>IFERROR(AH18*'Input Data'!AH57*VLOOKUP(AH$54,'Energy Heat Value Conversion'!$A:$E,5,FALSE),0)</f>
        <v>0</v>
      </c>
      <c r="AJ66" s="155"/>
      <c r="AK66" s="147"/>
      <c r="AL66" s="189"/>
      <c r="AM66" s="191"/>
      <c r="AN66" t="s">
        <v>1</v>
      </c>
      <c r="AO66">
        <v>198.86999999999992</v>
      </c>
      <c r="AP66" s="196">
        <f>AO66/(AO65+AO66)</f>
        <v>0.83499181257085286</v>
      </c>
      <c r="AQ66">
        <f>AP66*AL65</f>
        <v>138.02414661796197</v>
      </c>
      <c r="AR66">
        <f>AL65-(AQ65+AQ66)</f>
        <v>0</v>
      </c>
      <c r="AS66" s="204">
        <f t="shared" ref="AS66:AS68" si="39">AQ66/AO66</f>
        <v>0.69404207078977231</v>
      </c>
      <c r="AV66" s="203">
        <f t="shared" si="38"/>
        <v>0</v>
      </c>
    </row>
    <row r="67" spans="1:48" x14ac:dyDescent="0.2">
      <c r="A67" s="206" t="str">
        <f>IFERROR(VLOOKUP(B67,'Sector Code Switch'!F:H,3,FALSE),"")</f>
        <v>food beverage and tobacco 10T12</v>
      </c>
      <c r="B67" s="138" t="s">
        <v>11</v>
      </c>
      <c r="C67">
        <f>IFERROR(C19*'Input Data'!C58*VLOOKUP(C$54,'Energy Heat Value Conversion'!$A:$E,5,FALSE),0)</f>
        <v>0</v>
      </c>
      <c r="D67">
        <f>IFERROR(D19*'Input Data'!D58*VLOOKUP(D$54,'Energy Heat Value Conversion'!$A:$E,5,FALSE),0)</f>
        <v>0</v>
      </c>
      <c r="E67">
        <f>IFERROR(E19*'Input Data'!E58*VLOOKUP(E$54,'Energy Heat Value Conversion'!$A:$E,5,FALSE),0)</f>
        <v>0</v>
      </c>
      <c r="F67">
        <f>IFERROR(F19*'Input Data'!F58*VLOOKUP(F$54,'Energy Heat Value Conversion'!$A:$E,5,FALSE),0)</f>
        <v>0</v>
      </c>
      <c r="G67">
        <f>IFERROR(G19*'Input Data'!G58*VLOOKUP(G$54,'Energy Heat Value Conversion'!$A:$E,5,FALSE),0)</f>
        <v>0</v>
      </c>
      <c r="H67">
        <f>IFERROR(H19*'Input Data'!H58*VLOOKUP(H$54,'Energy Heat Value Conversion'!$A:$E,5,FALSE),0)</f>
        <v>0</v>
      </c>
      <c r="I67">
        <f>IFERROR(I19*'Input Data'!I58*VLOOKUP(I$54,'Energy Heat Value Conversion'!$A:$E,5,FALSE),0)</f>
        <v>0</v>
      </c>
      <c r="J67">
        <f>IFERROR(J19*'Input Data'!J58*VLOOKUP(J$54,'Energy Heat Value Conversion'!$A:$E,5,FALSE),0)</f>
        <v>4828771130.1220427</v>
      </c>
      <c r="K67">
        <f>IFERROR(K19*'Input Data'!K58*VLOOKUP(K$54,'Energy Heat Value Conversion'!$A:$E,5,FALSE),0)</f>
        <v>0</v>
      </c>
      <c r="L67">
        <f>IFERROR(L19*'Input Data'!L58*VLOOKUP(L$54,'Energy Heat Value Conversion'!$A:$E,5,FALSE),0)</f>
        <v>0</v>
      </c>
      <c r="M67">
        <f>IFERROR(M19*'Input Data'!M58*VLOOKUP(M$54,'Energy Heat Value Conversion'!$A:$E,5,FALSE),0)</f>
        <v>0</v>
      </c>
      <c r="N67">
        <f>IFERROR(N19*'Input Data'!N58*VLOOKUP(N$54,'Energy Heat Value Conversion'!$A:$E,5,FALSE),0)</f>
        <v>763528589.78505397</v>
      </c>
      <c r="O67">
        <f>IFERROR(O19*'Input Data'!O58*VLOOKUP(O$54,'Energy Heat Value Conversion'!$A:$E,5,FALSE),0)</f>
        <v>0</v>
      </c>
      <c r="P67">
        <f>IFERROR(P19*'Input Data'!P58*VLOOKUP(P$54,'Energy Heat Value Conversion'!$A:$E,5,FALSE),0)</f>
        <v>0</v>
      </c>
      <c r="Q67">
        <f>IFERROR(Q19*'Input Data'!Q58*VLOOKUP(Q$54,'Energy Heat Value Conversion'!$A:$E,5,FALSE),0)</f>
        <v>3374268855.1169558</v>
      </c>
      <c r="R67">
        <f>IFERROR(R19*'Input Data'!R58*VLOOKUP(R$54,'Energy Heat Value Conversion'!$A:$E,5,FALSE),0)</f>
        <v>0</v>
      </c>
      <c r="S67">
        <f>IFERROR(S19*'Input Data'!S58*VLOOKUP(S$54,'Energy Heat Value Conversion'!$A:$E,5,FALSE),0)</f>
        <v>27561607816.711807</v>
      </c>
      <c r="T67">
        <f>IFERROR(T19*'Input Data'!T58*VLOOKUP(T$54,'Energy Heat Value Conversion'!$A:$E,5,FALSE),0)</f>
        <v>12596247944.251406</v>
      </c>
      <c r="U67">
        <f>IFERROR(U19*'Input Data'!U58*VLOOKUP(U$54,'Energy Heat Value Conversion'!$A:$E,5,FALSE),0)</f>
        <v>0</v>
      </c>
      <c r="V67">
        <f>IFERROR(V19*'Input Data'!V58*VLOOKUP(V$54,'Energy Heat Value Conversion'!$A:$E,5,FALSE),0)</f>
        <v>688069093.92647386</v>
      </c>
      <c r="W67">
        <f>IFERROR(W19*'Input Data'!W58*VLOOKUP(W$54,'Energy Heat Value Conversion'!$A:$E,5,FALSE),0)</f>
        <v>0</v>
      </c>
      <c r="X67">
        <f>IFERROR(X19*'Input Data'!X58*VLOOKUP(X$54,'Energy Heat Value Conversion'!$A:$E,5,FALSE),0)</f>
        <v>0</v>
      </c>
      <c r="Y67">
        <f>IFERROR(Y19*'Input Data'!Y58*VLOOKUP(Y$54,'Energy Heat Value Conversion'!$A:$E,5,FALSE),0)</f>
        <v>0</v>
      </c>
      <c r="Z67">
        <f>IFERROR(Z19*'Input Data'!Z58*VLOOKUP(Z$54,'Energy Heat Value Conversion'!$A:$E,5,FALSE),0)</f>
        <v>0</v>
      </c>
      <c r="AA67">
        <f>IFERROR(AA19*'Input Data'!AA58*VLOOKUP(AA$54,'Energy Heat Value Conversion'!$A:$E,5,FALSE),0)</f>
        <v>0</v>
      </c>
      <c r="AB67">
        <f>IFERROR(AB19*'Input Data'!AB58*VLOOKUP(AB$54,'Energy Heat Value Conversion'!$A:$E,5,FALSE),0)</f>
        <v>0</v>
      </c>
      <c r="AC67">
        <f>IFERROR(AC19*'Input Data'!AC58*VLOOKUP(AC$54,'Energy Heat Value Conversion'!$A:$E,5,FALSE),0)</f>
        <v>0</v>
      </c>
      <c r="AD67">
        <f>IFERROR(AD19*'Input Data'!AD58*VLOOKUP(AD$54,'Energy Heat Value Conversion'!$A:$E,5,FALSE),0)</f>
        <v>693992017010.3446</v>
      </c>
      <c r="AE67">
        <f>IFERROR(AE19*'Input Data'!AE58*VLOOKUP(AE$54,'Energy Heat Value Conversion'!$A:$E,5,FALSE),0)</f>
        <v>191921211544.38272</v>
      </c>
      <c r="AF67">
        <f>IFERROR(AF19*'Input Data'!AF58*VLOOKUP(AF$54,'Energy Heat Value Conversion'!$A:$E,5,FALSE),0)</f>
        <v>0</v>
      </c>
      <c r="AG67">
        <f>IFERROR(AG19*'Input Data'!AG58*VLOOKUP(AG$54,'Energy Heat Value Conversion'!$A:$E,5,FALSE),0)</f>
        <v>0</v>
      </c>
      <c r="AH67">
        <f>IFERROR(AH19*'Input Data'!AH58*VLOOKUP(AH$54,'Energy Heat Value Conversion'!$A:$E,5,FALSE),0)</f>
        <v>0</v>
      </c>
      <c r="AJ67" s="155" t="s">
        <v>409</v>
      </c>
      <c r="AK67" s="147">
        <v>44258.69</v>
      </c>
      <c r="AL67" s="189">
        <v>11477.5</v>
      </c>
      <c r="AM67" s="191">
        <f>AL67/AK67</f>
        <v>0.25932760323452864</v>
      </c>
      <c r="AN67" t="s">
        <v>611</v>
      </c>
      <c r="AO67">
        <v>1138.29</v>
      </c>
      <c r="AP67" s="196">
        <f>AO67/(AO67+AO68)</f>
        <v>8.7603695041339483E-2</v>
      </c>
      <c r="AQ67">
        <f t="shared" ref="AQ67" si="40">AP67*AL67</f>
        <v>1005.4714098369739</v>
      </c>
      <c r="AR67">
        <f>AL67-(AQ67+AQ68)</f>
        <v>0</v>
      </c>
      <c r="AS67" s="204">
        <f t="shared" si="39"/>
        <v>0.88331744093067133</v>
      </c>
      <c r="AV67" s="203">
        <f t="shared" si="38"/>
        <v>0</v>
      </c>
    </row>
    <row r="68" spans="1:48" x14ac:dyDescent="0.2">
      <c r="A68" s="206" t="str">
        <f>IFERROR(VLOOKUP(B68,'Sector Code Switch'!F:H,3,FALSE),"")</f>
        <v>food beverage and tobacco 10T12</v>
      </c>
      <c r="B68" s="138" t="s">
        <v>12</v>
      </c>
      <c r="C68">
        <f>IFERROR(C20*'Input Data'!C59*VLOOKUP(C$54,'Energy Heat Value Conversion'!$A:$E,5,FALSE),0)</f>
        <v>0</v>
      </c>
      <c r="D68">
        <f>IFERROR(D20*'Input Data'!D59*VLOOKUP(D$54,'Energy Heat Value Conversion'!$A:$E,5,FALSE),0)</f>
        <v>0</v>
      </c>
      <c r="E68">
        <f>IFERROR(E20*'Input Data'!E59*VLOOKUP(E$54,'Energy Heat Value Conversion'!$A:$E,5,FALSE),0)</f>
        <v>0</v>
      </c>
      <c r="F68">
        <f>IFERROR(F20*'Input Data'!F59*VLOOKUP(F$54,'Energy Heat Value Conversion'!$A:$E,5,FALSE),0)</f>
        <v>0</v>
      </c>
      <c r="G68">
        <f>IFERROR(G20*'Input Data'!G59*VLOOKUP(G$54,'Energy Heat Value Conversion'!$A:$E,5,FALSE),0)</f>
        <v>0</v>
      </c>
      <c r="H68">
        <f>IFERROR(H20*'Input Data'!H59*VLOOKUP(H$54,'Energy Heat Value Conversion'!$A:$E,5,FALSE),0)</f>
        <v>0</v>
      </c>
      <c r="I68">
        <f>IFERROR(I20*'Input Data'!I59*VLOOKUP(I$54,'Energy Heat Value Conversion'!$A:$E,5,FALSE),0)</f>
        <v>0</v>
      </c>
      <c r="J68">
        <f>IFERROR(J20*'Input Data'!J59*VLOOKUP(J$54,'Energy Heat Value Conversion'!$A:$E,5,FALSE),0)</f>
        <v>0</v>
      </c>
      <c r="K68">
        <f>IFERROR(K20*'Input Data'!K59*VLOOKUP(K$54,'Energy Heat Value Conversion'!$A:$E,5,FALSE),0)</f>
        <v>0</v>
      </c>
      <c r="L68">
        <f>IFERROR(L20*'Input Data'!L59*VLOOKUP(L$54,'Energy Heat Value Conversion'!$A:$E,5,FALSE),0)</f>
        <v>0</v>
      </c>
      <c r="M68">
        <f>IFERROR(M20*'Input Data'!M59*VLOOKUP(M$54,'Energy Heat Value Conversion'!$A:$E,5,FALSE),0)</f>
        <v>0</v>
      </c>
      <c r="N68">
        <f>IFERROR(N20*'Input Data'!N59*VLOOKUP(N$54,'Energy Heat Value Conversion'!$A:$E,5,FALSE),0)</f>
        <v>0</v>
      </c>
      <c r="O68">
        <f>IFERROR(O20*'Input Data'!O59*VLOOKUP(O$54,'Energy Heat Value Conversion'!$A:$E,5,FALSE),0)</f>
        <v>0</v>
      </c>
      <c r="P68">
        <f>IFERROR(P20*'Input Data'!P59*VLOOKUP(P$54,'Energy Heat Value Conversion'!$A:$E,5,FALSE),0)</f>
        <v>0</v>
      </c>
      <c r="Q68">
        <f>IFERROR(Q20*'Input Data'!Q59*VLOOKUP(Q$54,'Energy Heat Value Conversion'!$A:$E,5,FALSE),0)</f>
        <v>148319510.115031</v>
      </c>
      <c r="R68">
        <f>IFERROR(R20*'Input Data'!R59*VLOOKUP(R$54,'Energy Heat Value Conversion'!$A:$E,5,FALSE),0)</f>
        <v>0</v>
      </c>
      <c r="S68">
        <f>IFERROR(S20*'Input Data'!S59*VLOOKUP(S$54,'Energy Heat Value Conversion'!$A:$E,5,FALSE),0)</f>
        <v>5245288684.8413477</v>
      </c>
      <c r="T68">
        <f>IFERROR(T20*'Input Data'!T59*VLOOKUP(T$54,'Energy Heat Value Conversion'!$A:$E,5,FALSE),0)</f>
        <v>0</v>
      </c>
      <c r="U68">
        <f>IFERROR(U20*'Input Data'!U59*VLOOKUP(U$54,'Energy Heat Value Conversion'!$A:$E,5,FALSE),0)</f>
        <v>0</v>
      </c>
      <c r="V68">
        <f>IFERROR(V20*'Input Data'!V59*VLOOKUP(V$54,'Energy Heat Value Conversion'!$A:$E,5,FALSE),0)</f>
        <v>0</v>
      </c>
      <c r="W68">
        <f>IFERROR(W20*'Input Data'!W59*VLOOKUP(W$54,'Energy Heat Value Conversion'!$A:$E,5,FALSE),0)</f>
        <v>0</v>
      </c>
      <c r="X68">
        <f>IFERROR(X20*'Input Data'!X59*VLOOKUP(X$54,'Energy Heat Value Conversion'!$A:$E,5,FALSE),0)</f>
        <v>0</v>
      </c>
      <c r="Y68">
        <f>IFERROR(Y20*'Input Data'!Y59*VLOOKUP(Y$54,'Energy Heat Value Conversion'!$A:$E,5,FALSE),0)</f>
        <v>0</v>
      </c>
      <c r="Z68">
        <f>IFERROR(Z20*'Input Data'!Z59*VLOOKUP(Z$54,'Energy Heat Value Conversion'!$A:$E,5,FALSE),0)</f>
        <v>0</v>
      </c>
      <c r="AA68">
        <f>IFERROR(AA20*'Input Data'!AA59*VLOOKUP(AA$54,'Energy Heat Value Conversion'!$A:$E,5,FALSE),0)</f>
        <v>0</v>
      </c>
      <c r="AB68">
        <f>IFERROR(AB20*'Input Data'!AB59*VLOOKUP(AB$54,'Energy Heat Value Conversion'!$A:$E,5,FALSE),0)</f>
        <v>0</v>
      </c>
      <c r="AC68">
        <f>IFERROR(AC20*'Input Data'!AC59*VLOOKUP(AC$54,'Energy Heat Value Conversion'!$A:$E,5,FALSE),0)</f>
        <v>0</v>
      </c>
      <c r="AD68">
        <f>IFERROR(AD20*'Input Data'!AD59*VLOOKUP(AD$54,'Energy Heat Value Conversion'!$A:$E,5,FALSE),0)</f>
        <v>79353149387.341293</v>
      </c>
      <c r="AE68">
        <f>IFERROR(AE20*'Input Data'!AE59*VLOOKUP(AE$54,'Energy Heat Value Conversion'!$A:$E,5,FALSE),0)</f>
        <v>0</v>
      </c>
      <c r="AF68">
        <f>IFERROR(AF20*'Input Data'!AF59*VLOOKUP(AF$54,'Energy Heat Value Conversion'!$A:$E,5,FALSE),0)</f>
        <v>0</v>
      </c>
      <c r="AG68">
        <f>IFERROR(AG20*'Input Data'!AG59*VLOOKUP(AG$54,'Energy Heat Value Conversion'!$A:$E,5,FALSE),0)</f>
        <v>0</v>
      </c>
      <c r="AH68">
        <f>IFERROR(AH20*'Input Data'!AH59*VLOOKUP(AH$54,'Energy Heat Value Conversion'!$A:$E,5,FALSE),0)</f>
        <v>0</v>
      </c>
      <c r="AJ68" s="155"/>
      <c r="AK68" s="147"/>
      <c r="AL68" s="147"/>
      <c r="AM68" s="191"/>
      <c r="AN68" t="s">
        <v>1</v>
      </c>
      <c r="AO68">
        <v>11855.34</v>
      </c>
      <c r="AP68" s="196">
        <f>AO68/(AO67+AO68)</f>
        <v>0.91239630495866042</v>
      </c>
      <c r="AQ68">
        <f>AP68*AL67</f>
        <v>10472.028590163025</v>
      </c>
      <c r="AR68">
        <f>AL67-(AQ67+AQ68)</f>
        <v>0</v>
      </c>
      <c r="AS68" s="204">
        <f t="shared" si="39"/>
        <v>0.88331744093067133</v>
      </c>
      <c r="AV68" s="203">
        <f t="shared" si="38"/>
        <v>0</v>
      </c>
    </row>
    <row r="69" spans="1:48" x14ac:dyDescent="0.2">
      <c r="A69" s="206" t="str">
        <f>IFERROR(VLOOKUP(B69,'Sector Code Switch'!F:H,3,FALSE),"")</f>
        <v>textiles apparel and leather 13T15</v>
      </c>
      <c r="B69" s="138" t="s">
        <v>13</v>
      </c>
      <c r="C69">
        <f>IFERROR(C21*'Input Data'!C60*VLOOKUP(C$54,'Energy Heat Value Conversion'!$A:$E,5,FALSE),0)</f>
        <v>0</v>
      </c>
      <c r="D69">
        <f>IFERROR(D21*'Input Data'!D60*VLOOKUP(D$54,'Energy Heat Value Conversion'!$A:$E,5,FALSE),0)</f>
        <v>0</v>
      </c>
      <c r="E69">
        <f>IFERROR(E21*'Input Data'!E60*VLOOKUP(E$54,'Energy Heat Value Conversion'!$A:$E,5,FALSE),0)</f>
        <v>0</v>
      </c>
      <c r="F69">
        <f>IFERROR(F21*'Input Data'!F60*VLOOKUP(F$54,'Energy Heat Value Conversion'!$A:$E,5,FALSE),0)</f>
        <v>0</v>
      </c>
      <c r="G69">
        <f>IFERROR(G21*'Input Data'!G60*VLOOKUP(G$54,'Energy Heat Value Conversion'!$A:$E,5,FALSE),0)</f>
        <v>0</v>
      </c>
      <c r="H69">
        <f>IFERROR(H21*'Input Data'!H60*VLOOKUP(H$54,'Energy Heat Value Conversion'!$A:$E,5,FALSE),0)</f>
        <v>0</v>
      </c>
      <c r="I69">
        <f>IFERROR(I21*'Input Data'!I60*VLOOKUP(I$54,'Energy Heat Value Conversion'!$A:$E,5,FALSE),0)</f>
        <v>0</v>
      </c>
      <c r="J69">
        <f>IFERROR(J21*'Input Data'!J60*VLOOKUP(J$54,'Energy Heat Value Conversion'!$A:$E,5,FALSE),0)</f>
        <v>0</v>
      </c>
      <c r="K69">
        <f>IFERROR(K21*'Input Data'!K60*VLOOKUP(K$54,'Energy Heat Value Conversion'!$A:$E,5,FALSE),0)</f>
        <v>0</v>
      </c>
      <c r="L69">
        <f>IFERROR(L21*'Input Data'!L60*VLOOKUP(L$54,'Energy Heat Value Conversion'!$A:$E,5,FALSE),0)</f>
        <v>0</v>
      </c>
      <c r="M69">
        <f>IFERROR(M21*'Input Data'!M60*VLOOKUP(M$54,'Energy Heat Value Conversion'!$A:$E,5,FALSE),0)</f>
        <v>0</v>
      </c>
      <c r="N69">
        <f>IFERROR(N21*'Input Data'!N60*VLOOKUP(N$54,'Energy Heat Value Conversion'!$A:$E,5,FALSE),0)</f>
        <v>0</v>
      </c>
      <c r="O69">
        <f>IFERROR(O21*'Input Data'!O60*VLOOKUP(O$54,'Energy Heat Value Conversion'!$A:$E,5,FALSE),0)</f>
        <v>0</v>
      </c>
      <c r="P69">
        <f>IFERROR(P21*'Input Data'!P60*VLOOKUP(P$54,'Energy Heat Value Conversion'!$A:$E,5,FALSE),0)</f>
        <v>0</v>
      </c>
      <c r="Q69">
        <f>IFERROR(Q21*'Input Data'!Q60*VLOOKUP(Q$54,'Energy Heat Value Conversion'!$A:$E,5,FALSE),0)</f>
        <v>6062559975.9518919</v>
      </c>
      <c r="R69">
        <f>IFERROR(R21*'Input Data'!R60*VLOOKUP(R$54,'Energy Heat Value Conversion'!$A:$E,5,FALSE),0)</f>
        <v>780686382.66186106</v>
      </c>
      <c r="S69">
        <f>IFERROR(S21*'Input Data'!S60*VLOOKUP(S$54,'Energy Heat Value Conversion'!$A:$E,5,FALSE),0)</f>
        <v>36240176367.994759</v>
      </c>
      <c r="T69">
        <f>IFERROR(T21*'Input Data'!T60*VLOOKUP(T$54,'Energy Heat Value Conversion'!$A:$E,5,FALSE),0)</f>
        <v>37788743832.754211</v>
      </c>
      <c r="U69">
        <f>IFERROR(U21*'Input Data'!U60*VLOOKUP(U$54,'Energy Heat Value Conversion'!$A:$E,5,FALSE),0)</f>
        <v>0</v>
      </c>
      <c r="V69">
        <f>IFERROR(V21*'Input Data'!V60*VLOOKUP(V$54,'Energy Heat Value Conversion'!$A:$E,5,FALSE),0)</f>
        <v>6880690939.2647381</v>
      </c>
      <c r="W69">
        <f>IFERROR(W21*'Input Data'!W60*VLOOKUP(W$54,'Energy Heat Value Conversion'!$A:$E,5,FALSE),0)</f>
        <v>0</v>
      </c>
      <c r="X69">
        <f>IFERROR(X21*'Input Data'!X60*VLOOKUP(X$54,'Energy Heat Value Conversion'!$A:$E,5,FALSE),0)</f>
        <v>0</v>
      </c>
      <c r="Y69">
        <f>IFERROR(Y21*'Input Data'!Y60*VLOOKUP(Y$54,'Energy Heat Value Conversion'!$A:$E,5,FALSE),0)</f>
        <v>197901463314.84393</v>
      </c>
      <c r="Z69">
        <f>IFERROR(Z21*'Input Data'!Z60*VLOOKUP(Z$54,'Energy Heat Value Conversion'!$A:$E,5,FALSE),0)</f>
        <v>0</v>
      </c>
      <c r="AA69">
        <f>IFERROR(AA21*'Input Data'!AA60*VLOOKUP(AA$54,'Energy Heat Value Conversion'!$A:$E,5,FALSE),0)</f>
        <v>0</v>
      </c>
      <c r="AB69">
        <f>IFERROR(AB21*'Input Data'!AB60*VLOOKUP(AB$54,'Energy Heat Value Conversion'!$A:$E,5,FALSE),0)</f>
        <v>0</v>
      </c>
      <c r="AC69">
        <f>IFERROR(AC21*'Input Data'!AC60*VLOOKUP(AC$54,'Energy Heat Value Conversion'!$A:$E,5,FALSE),0)</f>
        <v>0</v>
      </c>
      <c r="AD69">
        <f>IFERROR(AD21*'Input Data'!AD60*VLOOKUP(AD$54,'Energy Heat Value Conversion'!$A:$E,5,FALSE),0)</f>
        <v>1106767609876.0762</v>
      </c>
      <c r="AE69">
        <f>IFERROR(AE21*'Input Data'!AE60*VLOOKUP(AE$54,'Energy Heat Value Conversion'!$A:$E,5,FALSE),0)</f>
        <v>1396806005771.8804</v>
      </c>
      <c r="AF69">
        <f>IFERROR(AF21*'Input Data'!AF60*VLOOKUP(AF$54,'Energy Heat Value Conversion'!$A:$E,5,FALSE),0)</f>
        <v>0</v>
      </c>
      <c r="AG69">
        <f>IFERROR(AG21*'Input Data'!AG60*VLOOKUP(AG$54,'Energy Heat Value Conversion'!$A:$E,5,FALSE),0)</f>
        <v>0</v>
      </c>
      <c r="AH69">
        <f>IFERROR(AH21*'Input Data'!AH60*VLOOKUP(AH$54,'Energy Heat Value Conversion'!$A:$E,5,FALSE),0)</f>
        <v>0</v>
      </c>
    </row>
    <row r="70" spans="1:48" x14ac:dyDescent="0.2">
      <c r="A70" s="206" t="str">
        <f>IFERROR(VLOOKUP(B70,'Sector Code Switch'!F:H,3,FALSE),"")</f>
        <v>textiles apparel and leather 13T15</v>
      </c>
      <c r="B70" s="138" t="s">
        <v>14</v>
      </c>
      <c r="C70">
        <f>IFERROR(C22*'Input Data'!C61*VLOOKUP(C$54,'Energy Heat Value Conversion'!$A:$E,5,FALSE),0)</f>
        <v>0</v>
      </c>
      <c r="D70">
        <f>IFERROR(D22*'Input Data'!D61*VLOOKUP(D$54,'Energy Heat Value Conversion'!$A:$E,5,FALSE),0)</f>
        <v>0</v>
      </c>
      <c r="E70">
        <f>IFERROR(E22*'Input Data'!E61*VLOOKUP(E$54,'Energy Heat Value Conversion'!$A:$E,5,FALSE),0)</f>
        <v>0</v>
      </c>
      <c r="F70">
        <f>IFERROR(F22*'Input Data'!F61*VLOOKUP(F$54,'Energy Heat Value Conversion'!$A:$E,5,FALSE),0)</f>
        <v>0</v>
      </c>
      <c r="G70">
        <f>IFERROR(G22*'Input Data'!G61*VLOOKUP(G$54,'Energy Heat Value Conversion'!$A:$E,5,FALSE),0)</f>
        <v>0</v>
      </c>
      <c r="H70">
        <f>IFERROR(H22*'Input Data'!H61*VLOOKUP(H$54,'Energy Heat Value Conversion'!$A:$E,5,FALSE),0)</f>
        <v>0</v>
      </c>
      <c r="I70">
        <f>IFERROR(I22*'Input Data'!I61*VLOOKUP(I$54,'Energy Heat Value Conversion'!$A:$E,5,FALSE),0)</f>
        <v>0</v>
      </c>
      <c r="J70">
        <f>IFERROR(J22*'Input Data'!J61*VLOOKUP(J$54,'Energy Heat Value Conversion'!$A:$E,5,FALSE),0)</f>
        <v>0</v>
      </c>
      <c r="K70">
        <f>IFERROR(K22*'Input Data'!K61*VLOOKUP(K$54,'Energy Heat Value Conversion'!$A:$E,5,FALSE),0)</f>
        <v>0</v>
      </c>
      <c r="L70">
        <f>IFERROR(L22*'Input Data'!L61*VLOOKUP(L$54,'Energy Heat Value Conversion'!$A:$E,5,FALSE),0)</f>
        <v>0</v>
      </c>
      <c r="M70">
        <f>IFERROR(M22*'Input Data'!M61*VLOOKUP(M$54,'Energy Heat Value Conversion'!$A:$E,5,FALSE),0)</f>
        <v>0</v>
      </c>
      <c r="N70">
        <f>IFERROR(N22*'Input Data'!N61*VLOOKUP(N$54,'Energy Heat Value Conversion'!$A:$E,5,FALSE),0)</f>
        <v>0</v>
      </c>
      <c r="O70">
        <f>IFERROR(O22*'Input Data'!O61*VLOOKUP(O$54,'Energy Heat Value Conversion'!$A:$E,5,FALSE),0)</f>
        <v>0</v>
      </c>
      <c r="P70">
        <f>IFERROR(P22*'Input Data'!P61*VLOOKUP(P$54,'Energy Heat Value Conversion'!$A:$E,5,FALSE),0)</f>
        <v>0</v>
      </c>
      <c r="Q70">
        <f>IFERROR(Q22*'Input Data'!Q61*VLOOKUP(Q$54,'Energy Heat Value Conversion'!$A:$E,5,FALSE),0)</f>
        <v>5358042302.9054947</v>
      </c>
      <c r="R70">
        <f>IFERROR(R22*'Input Data'!R61*VLOOKUP(R$54,'Energy Heat Value Conversion'!$A:$E,5,FALSE),0)</f>
        <v>0</v>
      </c>
      <c r="S70">
        <f>IFERROR(S22*'Input Data'!S61*VLOOKUP(S$54,'Energy Heat Value Conversion'!$A:$E,5,FALSE),0)</f>
        <v>20599679198.649658</v>
      </c>
      <c r="T70">
        <f>IFERROR(T22*'Input Data'!T61*VLOOKUP(T$54,'Energy Heat Value Conversion'!$A:$E,5,FALSE),0)</f>
        <v>8074517912.9816694</v>
      </c>
      <c r="U70">
        <f>IFERROR(U22*'Input Data'!U61*VLOOKUP(U$54,'Energy Heat Value Conversion'!$A:$E,5,FALSE),0)</f>
        <v>0</v>
      </c>
      <c r="V70">
        <f>IFERROR(V22*'Input Data'!V61*VLOOKUP(V$54,'Energy Heat Value Conversion'!$A:$E,5,FALSE),0)</f>
        <v>1376138187.8529477</v>
      </c>
      <c r="W70">
        <f>IFERROR(W22*'Input Data'!W61*VLOOKUP(W$54,'Energy Heat Value Conversion'!$A:$E,5,FALSE),0)</f>
        <v>0</v>
      </c>
      <c r="X70">
        <f>IFERROR(X22*'Input Data'!X61*VLOOKUP(X$54,'Energy Heat Value Conversion'!$A:$E,5,FALSE),0)</f>
        <v>0</v>
      </c>
      <c r="Y70">
        <f>IFERROR(Y22*'Input Data'!Y61*VLOOKUP(Y$54,'Energy Heat Value Conversion'!$A:$E,5,FALSE),0)</f>
        <v>0</v>
      </c>
      <c r="Z70">
        <f>IFERROR(Z22*'Input Data'!Z61*VLOOKUP(Z$54,'Energy Heat Value Conversion'!$A:$E,5,FALSE),0)</f>
        <v>0</v>
      </c>
      <c r="AA70">
        <f>IFERROR(AA22*'Input Data'!AA61*VLOOKUP(AA$54,'Energy Heat Value Conversion'!$A:$E,5,FALSE),0)</f>
        <v>0</v>
      </c>
      <c r="AB70">
        <f>IFERROR(AB22*'Input Data'!AB61*VLOOKUP(AB$54,'Energy Heat Value Conversion'!$A:$E,5,FALSE),0)</f>
        <v>0</v>
      </c>
      <c r="AC70">
        <f>IFERROR(AC22*'Input Data'!AC61*VLOOKUP(AC$54,'Energy Heat Value Conversion'!$A:$E,5,FALSE),0)</f>
        <v>0</v>
      </c>
      <c r="AD70">
        <f>IFERROR(AD22*'Input Data'!AD61*VLOOKUP(AD$54,'Energy Heat Value Conversion'!$A:$E,5,FALSE),0)</f>
        <v>70304106036.153259</v>
      </c>
      <c r="AE70">
        <f>IFERROR(AE22*'Input Data'!AE61*VLOOKUP(AE$54,'Energy Heat Value Conversion'!$A:$E,5,FALSE),0)</f>
        <v>423929682774.64203</v>
      </c>
      <c r="AF70">
        <f>IFERROR(AF22*'Input Data'!AF61*VLOOKUP(AF$54,'Energy Heat Value Conversion'!$A:$E,5,FALSE),0)</f>
        <v>0</v>
      </c>
      <c r="AG70">
        <f>IFERROR(AG22*'Input Data'!AG61*VLOOKUP(AG$54,'Energy Heat Value Conversion'!$A:$E,5,FALSE),0)</f>
        <v>0</v>
      </c>
      <c r="AH70">
        <f>IFERROR(AH22*'Input Data'!AH61*VLOOKUP(AH$54,'Energy Heat Value Conversion'!$A:$E,5,FALSE),0)</f>
        <v>0</v>
      </c>
      <c r="AJ70" s="41" t="s">
        <v>586</v>
      </c>
    </row>
    <row r="71" spans="1:48" x14ac:dyDescent="0.2">
      <c r="A71" s="206" t="str">
        <f>IFERROR(VLOOKUP(B71,'Sector Code Switch'!F:H,3,FALSE),"")</f>
        <v>textiles apparel and leather 13T15</v>
      </c>
      <c r="B71" s="138" t="s">
        <v>15</v>
      </c>
      <c r="C71">
        <f>IFERROR(C23*'Input Data'!C62*VLOOKUP(C$54,'Energy Heat Value Conversion'!$A:$E,5,FALSE),0)</f>
        <v>0</v>
      </c>
      <c r="D71">
        <f>IFERROR(D23*'Input Data'!D62*VLOOKUP(D$54,'Energy Heat Value Conversion'!$A:$E,5,FALSE),0)</f>
        <v>0</v>
      </c>
      <c r="E71">
        <f>IFERROR(E23*'Input Data'!E62*VLOOKUP(E$54,'Energy Heat Value Conversion'!$A:$E,5,FALSE),0)</f>
        <v>0</v>
      </c>
      <c r="F71">
        <f>IFERROR(F23*'Input Data'!F62*VLOOKUP(F$54,'Energy Heat Value Conversion'!$A:$E,5,FALSE),0)</f>
        <v>0</v>
      </c>
      <c r="G71">
        <f>IFERROR(G23*'Input Data'!G62*VLOOKUP(G$54,'Energy Heat Value Conversion'!$A:$E,5,FALSE),0)</f>
        <v>0</v>
      </c>
      <c r="H71">
        <f>IFERROR(H23*'Input Data'!H62*VLOOKUP(H$54,'Energy Heat Value Conversion'!$A:$E,5,FALSE),0)</f>
        <v>0</v>
      </c>
      <c r="I71">
        <f>IFERROR(I23*'Input Data'!I62*VLOOKUP(I$54,'Energy Heat Value Conversion'!$A:$E,5,FALSE),0)</f>
        <v>0</v>
      </c>
      <c r="J71">
        <f>IFERROR(J23*'Input Data'!J62*VLOOKUP(J$54,'Energy Heat Value Conversion'!$A:$E,5,FALSE),0)</f>
        <v>0</v>
      </c>
      <c r="K71">
        <f>IFERROR(K23*'Input Data'!K62*VLOOKUP(K$54,'Energy Heat Value Conversion'!$A:$E,5,FALSE),0)</f>
        <v>0</v>
      </c>
      <c r="L71">
        <f>IFERROR(L23*'Input Data'!L62*VLOOKUP(L$54,'Energy Heat Value Conversion'!$A:$E,5,FALSE),0)</f>
        <v>0</v>
      </c>
      <c r="M71">
        <f>IFERROR(M23*'Input Data'!M62*VLOOKUP(M$54,'Energy Heat Value Conversion'!$A:$E,5,FALSE),0)</f>
        <v>0</v>
      </c>
      <c r="N71">
        <f>IFERROR(N23*'Input Data'!N62*VLOOKUP(N$54,'Energy Heat Value Conversion'!$A:$E,5,FALSE),0)</f>
        <v>0</v>
      </c>
      <c r="O71">
        <f>IFERROR(O23*'Input Data'!O62*VLOOKUP(O$54,'Energy Heat Value Conversion'!$A:$E,5,FALSE),0)</f>
        <v>0</v>
      </c>
      <c r="P71">
        <f>IFERROR(P23*'Input Data'!P62*VLOOKUP(P$54,'Energy Heat Value Conversion'!$A:$E,5,FALSE),0)</f>
        <v>0</v>
      </c>
      <c r="Q71">
        <f>IFERROR(Q23*'Input Data'!Q62*VLOOKUP(Q$54,'Energy Heat Value Conversion'!$A:$E,5,FALSE),0)</f>
        <v>2892230447.2431045</v>
      </c>
      <c r="R71">
        <f>IFERROR(R23*'Input Data'!R62*VLOOKUP(R$54,'Energy Heat Value Conversion'!$A:$E,5,FALSE),0)</f>
        <v>0</v>
      </c>
      <c r="S71">
        <f>IFERROR(S23*'Input Data'!S62*VLOOKUP(S$54,'Energy Heat Value Conversion'!$A:$E,5,FALSE),0)</f>
        <v>9536888517.8933582</v>
      </c>
      <c r="T71">
        <f>IFERROR(T23*'Input Data'!T62*VLOOKUP(T$54,'Energy Heat Value Conversion'!$A:$E,5,FALSE),0)</f>
        <v>4521730031.2697353</v>
      </c>
      <c r="U71">
        <f>IFERROR(U23*'Input Data'!U62*VLOOKUP(U$54,'Energy Heat Value Conversion'!$A:$E,5,FALSE),0)</f>
        <v>0</v>
      </c>
      <c r="V71">
        <f>IFERROR(V23*'Input Data'!V62*VLOOKUP(V$54,'Energy Heat Value Conversion'!$A:$E,5,FALSE),0)</f>
        <v>2752276375.7058954</v>
      </c>
      <c r="W71">
        <f>IFERROR(W23*'Input Data'!W62*VLOOKUP(W$54,'Energy Heat Value Conversion'!$A:$E,5,FALSE),0)</f>
        <v>0</v>
      </c>
      <c r="X71">
        <f>IFERROR(X23*'Input Data'!X62*VLOOKUP(X$54,'Energy Heat Value Conversion'!$A:$E,5,FALSE),0)</f>
        <v>17238282061.17646</v>
      </c>
      <c r="Y71">
        <f>IFERROR(Y23*'Input Data'!Y62*VLOOKUP(Y$54,'Energy Heat Value Conversion'!$A:$E,5,FALSE),0)</f>
        <v>0</v>
      </c>
      <c r="Z71">
        <f>IFERROR(Z23*'Input Data'!Z62*VLOOKUP(Z$54,'Energy Heat Value Conversion'!$A:$E,5,FALSE),0)</f>
        <v>0</v>
      </c>
      <c r="AA71">
        <f>IFERROR(AA23*'Input Data'!AA62*VLOOKUP(AA$54,'Energy Heat Value Conversion'!$A:$E,5,FALSE),0)</f>
        <v>0</v>
      </c>
      <c r="AB71">
        <f>IFERROR(AB23*'Input Data'!AB62*VLOOKUP(AB$54,'Energy Heat Value Conversion'!$A:$E,5,FALSE),0)</f>
        <v>0</v>
      </c>
      <c r="AC71">
        <f>IFERROR(AC23*'Input Data'!AC62*VLOOKUP(AC$54,'Energy Heat Value Conversion'!$A:$E,5,FALSE),0)</f>
        <v>0</v>
      </c>
      <c r="AD71">
        <f>IFERROR(AD23*'Input Data'!AD62*VLOOKUP(AD$54,'Energy Heat Value Conversion'!$A:$E,5,FALSE),0)</f>
        <v>7656882835.6206522</v>
      </c>
      <c r="AE71">
        <f>IFERROR(AE23*'Input Data'!AE62*VLOOKUP(AE$54,'Energy Heat Value Conversion'!$A:$E,5,FALSE),0)</f>
        <v>112907840384.22057</v>
      </c>
      <c r="AF71">
        <f>IFERROR(AF23*'Input Data'!AF62*VLOOKUP(AF$54,'Energy Heat Value Conversion'!$A:$E,5,FALSE),0)</f>
        <v>0</v>
      </c>
      <c r="AG71">
        <f>IFERROR(AG23*'Input Data'!AG62*VLOOKUP(AG$54,'Energy Heat Value Conversion'!$A:$E,5,FALSE),0)</f>
        <v>0</v>
      </c>
      <c r="AH71">
        <f>IFERROR(AH23*'Input Data'!AH62*VLOOKUP(AH$54,'Energy Heat Value Conversion'!$A:$E,5,FALSE),0)</f>
        <v>0</v>
      </c>
      <c r="AJ71" t="s">
        <v>587</v>
      </c>
    </row>
    <row r="72" spans="1:48" x14ac:dyDescent="0.2">
      <c r="A72" s="206" t="str">
        <f>IFERROR(VLOOKUP(B72,'Sector Code Switch'!F:H,3,FALSE),"")</f>
        <v>wood products 16</v>
      </c>
      <c r="B72" s="138" t="s">
        <v>16</v>
      </c>
      <c r="C72">
        <f>IFERROR(C24*'Input Data'!C63*VLOOKUP(C$54,'Energy Heat Value Conversion'!$A:$E,5,FALSE),0)</f>
        <v>0</v>
      </c>
      <c r="D72">
        <f>IFERROR(D24*'Input Data'!D63*VLOOKUP(D$54,'Energy Heat Value Conversion'!$A:$E,5,FALSE),0)</f>
        <v>0</v>
      </c>
      <c r="E72">
        <f>IFERROR(E24*'Input Data'!E63*VLOOKUP(E$54,'Energy Heat Value Conversion'!$A:$E,5,FALSE),0)</f>
        <v>0</v>
      </c>
      <c r="F72">
        <f>IFERROR(F24*'Input Data'!F63*VLOOKUP(F$54,'Energy Heat Value Conversion'!$A:$E,5,FALSE),0)</f>
        <v>0</v>
      </c>
      <c r="G72">
        <f>IFERROR(G24*'Input Data'!G63*VLOOKUP(G$54,'Energy Heat Value Conversion'!$A:$E,5,FALSE),0)</f>
        <v>0</v>
      </c>
      <c r="H72">
        <f>IFERROR(H24*'Input Data'!H63*VLOOKUP(H$54,'Energy Heat Value Conversion'!$A:$E,5,FALSE),0)</f>
        <v>0</v>
      </c>
      <c r="I72">
        <f>IFERROR(I24*'Input Data'!I63*VLOOKUP(I$54,'Energy Heat Value Conversion'!$A:$E,5,FALSE),0)</f>
        <v>0</v>
      </c>
      <c r="J72">
        <f>IFERROR(J24*'Input Data'!J63*VLOOKUP(J$54,'Energy Heat Value Conversion'!$A:$E,5,FALSE),0)</f>
        <v>0</v>
      </c>
      <c r="K72">
        <f>IFERROR(K24*'Input Data'!K63*VLOOKUP(K$54,'Energy Heat Value Conversion'!$A:$E,5,FALSE),0)</f>
        <v>0</v>
      </c>
      <c r="L72">
        <f>IFERROR(L24*'Input Data'!L63*VLOOKUP(L$54,'Energy Heat Value Conversion'!$A:$E,5,FALSE),0)</f>
        <v>0</v>
      </c>
      <c r="M72">
        <f>IFERROR(M24*'Input Data'!M63*VLOOKUP(M$54,'Energy Heat Value Conversion'!$A:$E,5,FALSE),0)</f>
        <v>0</v>
      </c>
      <c r="N72">
        <f>IFERROR(N24*'Input Data'!N63*VLOOKUP(N$54,'Energy Heat Value Conversion'!$A:$E,5,FALSE),0)</f>
        <v>0</v>
      </c>
      <c r="O72">
        <f>IFERROR(O24*'Input Data'!O63*VLOOKUP(O$54,'Energy Heat Value Conversion'!$A:$E,5,FALSE),0)</f>
        <v>0</v>
      </c>
      <c r="P72">
        <f>IFERROR(P24*'Input Data'!P63*VLOOKUP(P$54,'Energy Heat Value Conversion'!$A:$E,5,FALSE),0)</f>
        <v>0</v>
      </c>
      <c r="Q72">
        <f>IFERROR(Q24*'Input Data'!Q63*VLOOKUP(Q$54,'Energy Heat Value Conversion'!$A:$E,5,FALSE),0)</f>
        <v>2354572223.076117</v>
      </c>
      <c r="R72">
        <f>IFERROR(R24*'Input Data'!R63*VLOOKUP(R$54,'Energy Heat Value Conversion'!$A:$E,5,FALSE),0)</f>
        <v>0</v>
      </c>
      <c r="S72">
        <f>IFERROR(S24*'Input Data'!S63*VLOOKUP(S$54,'Energy Heat Value Conversion'!$A:$E,5,FALSE),0)</f>
        <v>37003127449.426231</v>
      </c>
      <c r="T72">
        <f>IFERROR(T24*'Input Data'!T63*VLOOKUP(T$54,'Energy Heat Value Conversion'!$A:$E,5,FALSE),0)</f>
        <v>4198749314.7504683</v>
      </c>
      <c r="U72">
        <f>IFERROR(U24*'Input Data'!U63*VLOOKUP(U$54,'Energy Heat Value Conversion'!$A:$E,5,FALSE),0)</f>
        <v>0</v>
      </c>
      <c r="V72">
        <f>IFERROR(V24*'Input Data'!V63*VLOOKUP(V$54,'Energy Heat Value Conversion'!$A:$E,5,FALSE),0)</f>
        <v>4816483657.4853172</v>
      </c>
      <c r="W72">
        <f>IFERROR(W24*'Input Data'!W63*VLOOKUP(W$54,'Energy Heat Value Conversion'!$A:$E,5,FALSE),0)</f>
        <v>161421031195.20187</v>
      </c>
      <c r="X72">
        <f>IFERROR(X24*'Input Data'!X63*VLOOKUP(X$54,'Energy Heat Value Conversion'!$A:$E,5,FALSE),0)</f>
        <v>0</v>
      </c>
      <c r="Y72">
        <f>IFERROR(Y24*'Input Data'!Y63*VLOOKUP(Y$54,'Energy Heat Value Conversion'!$A:$E,5,FALSE),0)</f>
        <v>0</v>
      </c>
      <c r="Z72">
        <f>IFERROR(Z24*'Input Data'!Z63*VLOOKUP(Z$54,'Energy Heat Value Conversion'!$A:$E,5,FALSE),0)</f>
        <v>0</v>
      </c>
      <c r="AA72">
        <f>IFERROR(AA24*'Input Data'!AA63*VLOOKUP(AA$54,'Energy Heat Value Conversion'!$A:$E,5,FALSE),0)</f>
        <v>0</v>
      </c>
      <c r="AB72">
        <f>IFERROR(AB24*'Input Data'!AB63*VLOOKUP(AB$54,'Energy Heat Value Conversion'!$A:$E,5,FALSE),0)</f>
        <v>0</v>
      </c>
      <c r="AC72">
        <f>IFERROR(AC24*'Input Data'!AC63*VLOOKUP(AC$54,'Energy Heat Value Conversion'!$A:$E,5,FALSE),0)</f>
        <v>0</v>
      </c>
      <c r="AD72">
        <f>IFERROR(AD24*'Input Data'!AD63*VLOOKUP(AD$54,'Energy Heat Value Conversion'!$A:$E,5,FALSE),0)</f>
        <v>195598552437.21848</v>
      </c>
      <c r="AE72">
        <f>IFERROR(AE24*'Input Data'!AE63*VLOOKUP(AE$54,'Energy Heat Value Conversion'!$A:$E,5,FALSE),0)</f>
        <v>12662044783.538935</v>
      </c>
      <c r="AF72">
        <f>IFERROR(AF24*'Input Data'!AF63*VLOOKUP(AF$54,'Energy Heat Value Conversion'!$A:$E,5,FALSE),0)</f>
        <v>0</v>
      </c>
      <c r="AG72">
        <f>IFERROR(AG24*'Input Data'!AG63*VLOOKUP(AG$54,'Energy Heat Value Conversion'!$A:$E,5,FALSE),0)</f>
        <v>0</v>
      </c>
      <c r="AH72">
        <f>IFERROR(AH24*'Input Data'!AH63*VLOOKUP(AH$54,'Energy Heat Value Conversion'!$A:$E,5,FALSE),0)</f>
        <v>0</v>
      </c>
      <c r="AJ72" t="s">
        <v>588</v>
      </c>
    </row>
    <row r="73" spans="1:48" x14ac:dyDescent="0.2">
      <c r="A73" s="206" t="str">
        <f>IFERROR(VLOOKUP(B73,'Sector Code Switch'!F:H,3,FALSE),"")</f>
        <v>wood products 16</v>
      </c>
      <c r="B73" s="138" t="s">
        <v>17</v>
      </c>
      <c r="C73">
        <f>IFERROR(C25*'Input Data'!C64*VLOOKUP(C$54,'Energy Heat Value Conversion'!$A:$E,5,FALSE),0)</f>
        <v>0</v>
      </c>
      <c r="D73">
        <f>IFERROR(D25*'Input Data'!D64*VLOOKUP(D$54,'Energy Heat Value Conversion'!$A:$E,5,FALSE),0)</f>
        <v>0</v>
      </c>
      <c r="E73">
        <f>IFERROR(E25*'Input Data'!E64*VLOOKUP(E$54,'Energy Heat Value Conversion'!$A:$E,5,FALSE),0)</f>
        <v>0</v>
      </c>
      <c r="F73">
        <f>IFERROR(F25*'Input Data'!F64*VLOOKUP(F$54,'Energy Heat Value Conversion'!$A:$E,5,FALSE),0)</f>
        <v>0</v>
      </c>
      <c r="G73">
        <f>IFERROR(G25*'Input Data'!G64*VLOOKUP(G$54,'Energy Heat Value Conversion'!$A:$E,5,FALSE),0)</f>
        <v>0</v>
      </c>
      <c r="H73">
        <f>IFERROR(H25*'Input Data'!H64*VLOOKUP(H$54,'Energy Heat Value Conversion'!$A:$E,5,FALSE),0)</f>
        <v>0</v>
      </c>
      <c r="I73">
        <f>IFERROR(I25*'Input Data'!I64*VLOOKUP(I$54,'Energy Heat Value Conversion'!$A:$E,5,FALSE),0)</f>
        <v>0</v>
      </c>
      <c r="J73">
        <f>IFERROR(J25*'Input Data'!J64*VLOOKUP(J$54,'Energy Heat Value Conversion'!$A:$E,5,FALSE),0)</f>
        <v>0</v>
      </c>
      <c r="K73">
        <f>IFERROR(K25*'Input Data'!K64*VLOOKUP(K$54,'Energy Heat Value Conversion'!$A:$E,5,FALSE),0)</f>
        <v>0</v>
      </c>
      <c r="L73">
        <f>IFERROR(L25*'Input Data'!L64*VLOOKUP(L$54,'Energy Heat Value Conversion'!$A:$E,5,FALSE),0)</f>
        <v>0</v>
      </c>
      <c r="M73">
        <f>IFERROR(M25*'Input Data'!M64*VLOOKUP(M$54,'Energy Heat Value Conversion'!$A:$E,5,FALSE),0)</f>
        <v>0</v>
      </c>
      <c r="N73">
        <f>IFERROR(N25*'Input Data'!N64*VLOOKUP(N$54,'Energy Heat Value Conversion'!$A:$E,5,FALSE),0)</f>
        <v>0</v>
      </c>
      <c r="O73">
        <f>IFERROR(O25*'Input Data'!O64*VLOOKUP(O$54,'Energy Heat Value Conversion'!$A:$E,5,FALSE),0)</f>
        <v>0</v>
      </c>
      <c r="P73">
        <f>IFERROR(P25*'Input Data'!P64*VLOOKUP(P$54,'Energy Heat Value Conversion'!$A:$E,5,FALSE),0)</f>
        <v>0</v>
      </c>
      <c r="Q73">
        <f>IFERROR(Q25*'Input Data'!Q64*VLOOKUP(Q$54,'Energy Heat Value Conversion'!$A:$E,5,FALSE),0)</f>
        <v>3022010018.5937567</v>
      </c>
      <c r="R73">
        <f>IFERROR(R25*'Input Data'!R64*VLOOKUP(R$54,'Energy Heat Value Conversion'!$A:$E,5,FALSE),0)</f>
        <v>1561372765.3237221</v>
      </c>
      <c r="S73">
        <f>IFERROR(S25*'Input Data'!S64*VLOOKUP(S$54,'Energy Heat Value Conversion'!$A:$E,5,FALSE),0)</f>
        <v>17929350413.639515</v>
      </c>
      <c r="T73">
        <f>IFERROR(T25*'Input Data'!T64*VLOOKUP(T$54,'Energy Heat Value Conversion'!$A:$E,5,FALSE),0)</f>
        <v>1937884299.1156008</v>
      </c>
      <c r="U73">
        <f>IFERROR(U25*'Input Data'!U64*VLOOKUP(U$54,'Energy Heat Value Conversion'!$A:$E,5,FALSE),0)</f>
        <v>0</v>
      </c>
      <c r="V73">
        <f>IFERROR(V25*'Input Data'!V64*VLOOKUP(V$54,'Energy Heat Value Conversion'!$A:$E,5,FALSE),0)</f>
        <v>5504552751.4117908</v>
      </c>
      <c r="W73">
        <f>IFERROR(W25*'Input Data'!W64*VLOOKUP(W$54,'Energy Heat Value Conversion'!$A:$E,5,FALSE),0)</f>
        <v>0</v>
      </c>
      <c r="X73">
        <f>IFERROR(X25*'Input Data'!X64*VLOOKUP(X$54,'Energy Heat Value Conversion'!$A:$E,5,FALSE),0)</f>
        <v>0</v>
      </c>
      <c r="Y73">
        <f>IFERROR(Y25*'Input Data'!Y64*VLOOKUP(Y$54,'Energy Heat Value Conversion'!$A:$E,5,FALSE),0)</f>
        <v>0</v>
      </c>
      <c r="Z73">
        <f>IFERROR(Z25*'Input Data'!Z64*VLOOKUP(Z$54,'Energy Heat Value Conversion'!$A:$E,5,FALSE),0)</f>
        <v>0</v>
      </c>
      <c r="AA73">
        <f>IFERROR(AA25*'Input Data'!AA64*VLOOKUP(AA$54,'Energy Heat Value Conversion'!$A:$E,5,FALSE),0)</f>
        <v>0</v>
      </c>
      <c r="AB73">
        <f>IFERROR(AB25*'Input Data'!AB64*VLOOKUP(AB$54,'Energy Heat Value Conversion'!$A:$E,5,FALSE),0)</f>
        <v>0</v>
      </c>
      <c r="AC73">
        <f>IFERROR(AC25*'Input Data'!AC64*VLOOKUP(AC$54,'Energy Heat Value Conversion'!$A:$E,5,FALSE),0)</f>
        <v>0</v>
      </c>
      <c r="AD73">
        <f>IFERROR(AD25*'Input Data'!AD64*VLOOKUP(AD$54,'Energy Heat Value Conversion'!$A:$E,5,FALSE),0)</f>
        <v>95362995316.366302</v>
      </c>
      <c r="AE73">
        <f>IFERROR(AE25*'Input Data'!AE64*VLOOKUP(AE$54,'Energy Heat Value Conversion'!$A:$E,5,FALSE),0)</f>
        <v>12330288151.655821</v>
      </c>
      <c r="AF73">
        <f>IFERROR(AF25*'Input Data'!AF64*VLOOKUP(AF$54,'Energy Heat Value Conversion'!$A:$E,5,FALSE),0)</f>
        <v>0</v>
      </c>
      <c r="AG73">
        <f>IFERROR(AG25*'Input Data'!AG64*VLOOKUP(AG$54,'Energy Heat Value Conversion'!$A:$E,5,FALSE),0)</f>
        <v>0</v>
      </c>
      <c r="AH73">
        <f>IFERROR(AH25*'Input Data'!AH64*VLOOKUP(AH$54,'Energy Heat Value Conversion'!$A:$E,5,FALSE),0)</f>
        <v>0</v>
      </c>
      <c r="AJ73" t="s">
        <v>598</v>
      </c>
    </row>
    <row r="74" spans="1:48" x14ac:dyDescent="0.2">
      <c r="A74" s="206" t="str">
        <f>IFERROR(VLOOKUP(B74,'Sector Code Switch'!F:H,3,FALSE),"")</f>
        <v>pulp paper and printing 17T18</v>
      </c>
      <c r="B74" s="138" t="s">
        <v>18</v>
      </c>
      <c r="C74">
        <f>IFERROR(C26*'Input Data'!C65*VLOOKUP(C$54,'Energy Heat Value Conversion'!$A:$E,5,FALSE),0)</f>
        <v>0</v>
      </c>
      <c r="D74">
        <f>IFERROR(D26*'Input Data'!D65*VLOOKUP(D$54,'Energy Heat Value Conversion'!$A:$E,5,FALSE),0)</f>
        <v>0</v>
      </c>
      <c r="E74">
        <f>IFERROR(E26*'Input Data'!E65*VLOOKUP(E$54,'Energy Heat Value Conversion'!$A:$E,5,FALSE),0)</f>
        <v>0</v>
      </c>
      <c r="F74">
        <f>IFERROR(F26*'Input Data'!F65*VLOOKUP(F$54,'Energy Heat Value Conversion'!$A:$E,5,FALSE),0)</f>
        <v>0</v>
      </c>
      <c r="G74">
        <f>IFERROR(G26*'Input Data'!G65*VLOOKUP(G$54,'Energy Heat Value Conversion'!$A:$E,5,FALSE),0)</f>
        <v>0</v>
      </c>
      <c r="H74">
        <f>IFERROR(H26*'Input Data'!H65*VLOOKUP(H$54,'Energy Heat Value Conversion'!$A:$E,5,FALSE),0)</f>
        <v>0</v>
      </c>
      <c r="I74">
        <f>IFERROR(I26*'Input Data'!I65*VLOOKUP(I$54,'Energy Heat Value Conversion'!$A:$E,5,FALSE),0)</f>
        <v>0</v>
      </c>
      <c r="J74">
        <f>IFERROR(J26*'Input Data'!J65*VLOOKUP(J$54,'Energy Heat Value Conversion'!$A:$E,5,FALSE),0)</f>
        <v>16900698955.427149</v>
      </c>
      <c r="K74">
        <f>IFERROR(K26*'Input Data'!K65*VLOOKUP(K$54,'Energy Heat Value Conversion'!$A:$E,5,FALSE),0)</f>
        <v>0</v>
      </c>
      <c r="L74">
        <f>IFERROR(L26*'Input Data'!L65*VLOOKUP(L$54,'Energy Heat Value Conversion'!$A:$E,5,FALSE),0)</f>
        <v>0</v>
      </c>
      <c r="M74">
        <f>IFERROR(M26*'Input Data'!M65*VLOOKUP(M$54,'Energy Heat Value Conversion'!$A:$E,5,FALSE),0)</f>
        <v>0</v>
      </c>
      <c r="N74">
        <f>IFERROR(N26*'Input Data'!N65*VLOOKUP(N$54,'Energy Heat Value Conversion'!$A:$E,5,FALSE),0)</f>
        <v>0</v>
      </c>
      <c r="O74">
        <f>IFERROR(O26*'Input Data'!O65*VLOOKUP(O$54,'Energy Heat Value Conversion'!$A:$E,5,FALSE),0)</f>
        <v>0</v>
      </c>
      <c r="P74">
        <f>IFERROR(P26*'Input Data'!P65*VLOOKUP(P$54,'Energy Heat Value Conversion'!$A:$E,5,FALSE),0)</f>
        <v>0</v>
      </c>
      <c r="Q74">
        <f>IFERROR(Q26*'Input Data'!Q65*VLOOKUP(Q$54,'Energy Heat Value Conversion'!$A:$E,5,FALSE),0)</f>
        <v>3022010018.5937567</v>
      </c>
      <c r="R74">
        <f>IFERROR(R26*'Input Data'!R65*VLOOKUP(R$54,'Energy Heat Value Conversion'!$A:$E,5,FALSE),0)</f>
        <v>0</v>
      </c>
      <c r="S74">
        <f>IFERROR(S26*'Input Data'!S65*VLOOKUP(S$54,'Energy Heat Value Conversion'!$A:$E,5,FALSE),0)</f>
        <v>88025481020.155701</v>
      </c>
      <c r="T74">
        <f>IFERROR(T26*'Input Data'!T65*VLOOKUP(T$54,'Energy Heat Value Conversion'!$A:$E,5,FALSE),0)</f>
        <v>87850754893.24057</v>
      </c>
      <c r="U74">
        <f>IFERROR(U26*'Input Data'!U65*VLOOKUP(U$54,'Energy Heat Value Conversion'!$A:$E,5,FALSE),0)</f>
        <v>0</v>
      </c>
      <c r="V74">
        <f>IFERROR(V26*'Input Data'!V65*VLOOKUP(V$54,'Energy Heat Value Conversion'!$A:$E,5,FALSE),0)</f>
        <v>6192621845.3382635</v>
      </c>
      <c r="W74">
        <f>IFERROR(W26*'Input Data'!W65*VLOOKUP(W$54,'Energy Heat Value Conversion'!$A:$E,5,FALSE),0)</f>
        <v>2865462092.222518</v>
      </c>
      <c r="X74">
        <f>IFERROR(X26*'Input Data'!X65*VLOOKUP(X$54,'Energy Heat Value Conversion'!$A:$E,5,FALSE),0)</f>
        <v>44819533359.058792</v>
      </c>
      <c r="Y74">
        <f>IFERROR(Y26*'Input Data'!Y65*VLOOKUP(Y$54,'Energy Heat Value Conversion'!$A:$E,5,FALSE),0)</f>
        <v>0</v>
      </c>
      <c r="Z74">
        <f>IFERROR(Z26*'Input Data'!Z65*VLOOKUP(Z$54,'Energy Heat Value Conversion'!$A:$E,5,FALSE),0)</f>
        <v>0</v>
      </c>
      <c r="AA74">
        <f>IFERROR(AA26*'Input Data'!AA65*VLOOKUP(AA$54,'Energy Heat Value Conversion'!$A:$E,5,FALSE),0)</f>
        <v>0</v>
      </c>
      <c r="AB74">
        <f>IFERROR(AB26*'Input Data'!AB65*VLOOKUP(AB$54,'Energy Heat Value Conversion'!$A:$E,5,FALSE),0)</f>
        <v>0</v>
      </c>
      <c r="AC74">
        <f>IFERROR(AC26*'Input Data'!AC65*VLOOKUP(AC$54,'Energy Heat Value Conversion'!$A:$E,5,FALSE),0)</f>
        <v>0</v>
      </c>
      <c r="AD74">
        <f>IFERROR(AD26*'Input Data'!AD65*VLOOKUP(AD$54,'Energy Heat Value Conversion'!$A:$E,5,FALSE),0)</f>
        <v>355697011727.46844</v>
      </c>
      <c r="AE74">
        <f>IFERROR(AE26*'Input Data'!AE65*VLOOKUP(AE$54,'Energy Heat Value Conversion'!$A:$E,5,FALSE),0)</f>
        <v>646427797224.25195</v>
      </c>
      <c r="AF74">
        <f>IFERROR(AF26*'Input Data'!AF65*VLOOKUP(AF$54,'Energy Heat Value Conversion'!$A:$E,5,FALSE),0)</f>
        <v>0</v>
      </c>
      <c r="AG74">
        <f>IFERROR(AG26*'Input Data'!AG65*VLOOKUP(AG$54,'Energy Heat Value Conversion'!$A:$E,5,FALSE),0)</f>
        <v>0</v>
      </c>
      <c r="AH74">
        <f>IFERROR(AH26*'Input Data'!AH65*VLOOKUP(AH$54,'Energy Heat Value Conversion'!$A:$E,5,FALSE),0)</f>
        <v>0</v>
      </c>
      <c r="AJ74" s="41" t="s">
        <v>589</v>
      </c>
    </row>
    <row r="75" spans="1:48" x14ac:dyDescent="0.2">
      <c r="A75" s="206" t="str">
        <f>IFERROR(VLOOKUP(B75,'Sector Code Switch'!F:H,3,FALSE),"")</f>
        <v>pulp paper and printing 17T18</v>
      </c>
      <c r="B75" s="138" t="s">
        <v>19</v>
      </c>
      <c r="C75">
        <f>IFERROR(C27*'Input Data'!C66*VLOOKUP(C$54,'Energy Heat Value Conversion'!$A:$E,5,FALSE),0)</f>
        <v>0</v>
      </c>
      <c r="D75">
        <f>IFERROR(D27*'Input Data'!D66*VLOOKUP(D$54,'Energy Heat Value Conversion'!$A:$E,5,FALSE),0)</f>
        <v>0</v>
      </c>
      <c r="E75">
        <f>IFERROR(E27*'Input Data'!E66*VLOOKUP(E$54,'Energy Heat Value Conversion'!$A:$E,5,FALSE),0)</f>
        <v>0</v>
      </c>
      <c r="F75">
        <f>IFERROR(F27*'Input Data'!F66*VLOOKUP(F$54,'Energy Heat Value Conversion'!$A:$E,5,FALSE),0)</f>
        <v>0</v>
      </c>
      <c r="G75">
        <f>IFERROR(G27*'Input Data'!G66*VLOOKUP(G$54,'Energy Heat Value Conversion'!$A:$E,5,FALSE),0)</f>
        <v>0</v>
      </c>
      <c r="H75">
        <f>IFERROR(H27*'Input Data'!H66*VLOOKUP(H$54,'Energy Heat Value Conversion'!$A:$E,5,FALSE),0)</f>
        <v>0</v>
      </c>
      <c r="I75">
        <f>IFERROR(I27*'Input Data'!I66*VLOOKUP(I$54,'Energy Heat Value Conversion'!$A:$E,5,FALSE),0)</f>
        <v>0</v>
      </c>
      <c r="J75">
        <f>IFERROR(J27*'Input Data'!J66*VLOOKUP(J$54,'Energy Heat Value Conversion'!$A:$E,5,FALSE),0)</f>
        <v>96575422602.440842</v>
      </c>
      <c r="K75">
        <f>IFERROR(K27*'Input Data'!K66*VLOOKUP(K$54,'Energy Heat Value Conversion'!$A:$E,5,FALSE),0)</f>
        <v>0</v>
      </c>
      <c r="L75">
        <f>IFERROR(L27*'Input Data'!L66*VLOOKUP(L$54,'Energy Heat Value Conversion'!$A:$E,5,FALSE),0)</f>
        <v>0</v>
      </c>
      <c r="M75">
        <f>IFERROR(M27*'Input Data'!M66*VLOOKUP(M$54,'Energy Heat Value Conversion'!$A:$E,5,FALSE),0)</f>
        <v>0</v>
      </c>
      <c r="N75">
        <f>IFERROR(N27*'Input Data'!N66*VLOOKUP(N$54,'Energy Heat Value Conversion'!$A:$E,5,FALSE),0)</f>
        <v>0</v>
      </c>
      <c r="O75">
        <f>IFERROR(O27*'Input Data'!O66*VLOOKUP(O$54,'Energy Heat Value Conversion'!$A:$E,5,FALSE),0)</f>
        <v>0</v>
      </c>
      <c r="P75">
        <f>IFERROR(P27*'Input Data'!P66*VLOOKUP(P$54,'Energy Heat Value Conversion'!$A:$E,5,FALSE),0)</f>
        <v>0</v>
      </c>
      <c r="Q75">
        <f>IFERROR(Q27*'Input Data'!Q66*VLOOKUP(Q$54,'Energy Heat Value Conversion'!$A:$E,5,FALSE),0)</f>
        <v>5246802670.3192225</v>
      </c>
      <c r="R75">
        <f>IFERROR(R27*'Input Data'!R66*VLOOKUP(R$54,'Energy Heat Value Conversion'!$A:$E,5,FALSE),0)</f>
        <v>780686382.66186106</v>
      </c>
      <c r="S75">
        <f>IFERROR(S27*'Input Data'!S66*VLOOKUP(S$54,'Energy Heat Value Conversion'!$A:$E,5,FALSE),0)</f>
        <v>29755092175.827278</v>
      </c>
      <c r="T75">
        <f>IFERROR(T27*'Input Data'!T66*VLOOKUP(T$54,'Energy Heat Value Conversion'!$A:$E,5,FALSE),0)</f>
        <v>5167691464.3082695</v>
      </c>
      <c r="U75">
        <f>IFERROR(U27*'Input Data'!U66*VLOOKUP(U$54,'Energy Heat Value Conversion'!$A:$E,5,FALSE),0)</f>
        <v>0</v>
      </c>
      <c r="V75">
        <f>IFERROR(V27*'Input Data'!V66*VLOOKUP(V$54,'Energy Heat Value Conversion'!$A:$E,5,FALSE),0)</f>
        <v>4128414563.5588422</v>
      </c>
      <c r="W75">
        <f>IFERROR(W27*'Input Data'!W66*VLOOKUP(W$54,'Energy Heat Value Conversion'!$A:$E,5,FALSE),0)</f>
        <v>0</v>
      </c>
      <c r="X75">
        <f>IFERROR(X27*'Input Data'!X66*VLOOKUP(X$54,'Energy Heat Value Conversion'!$A:$E,5,FALSE),0)</f>
        <v>3447656412.235292</v>
      </c>
      <c r="Y75">
        <f>IFERROR(Y27*'Input Data'!Y66*VLOOKUP(Y$54,'Energy Heat Value Conversion'!$A:$E,5,FALSE),0)</f>
        <v>0</v>
      </c>
      <c r="Z75">
        <f>IFERROR(Z27*'Input Data'!Z66*VLOOKUP(Z$54,'Energy Heat Value Conversion'!$A:$E,5,FALSE),0)</f>
        <v>0</v>
      </c>
      <c r="AA75">
        <f>IFERROR(AA27*'Input Data'!AA66*VLOOKUP(AA$54,'Energy Heat Value Conversion'!$A:$E,5,FALSE),0)</f>
        <v>0</v>
      </c>
      <c r="AB75">
        <f>IFERROR(AB27*'Input Data'!AB66*VLOOKUP(AB$54,'Energy Heat Value Conversion'!$A:$E,5,FALSE),0)</f>
        <v>0</v>
      </c>
      <c r="AC75">
        <f>IFERROR(AC27*'Input Data'!AC66*VLOOKUP(AC$54,'Energy Heat Value Conversion'!$A:$E,5,FALSE),0)</f>
        <v>0</v>
      </c>
      <c r="AD75">
        <f>IFERROR(AD27*'Input Data'!AD66*VLOOKUP(AD$54,'Energy Heat Value Conversion'!$A:$E,5,FALSE),0)</f>
        <v>248500652028.77933</v>
      </c>
      <c r="AE75">
        <f>IFERROR(AE27*'Input Data'!AE66*VLOOKUP(AE$54,'Energy Heat Value Conversion'!$A:$E,5,FALSE),0)</f>
        <v>45505951339.967445</v>
      </c>
      <c r="AF75">
        <f>IFERROR(AF27*'Input Data'!AF66*VLOOKUP(AF$54,'Energy Heat Value Conversion'!$A:$E,5,FALSE),0)</f>
        <v>0</v>
      </c>
      <c r="AG75">
        <f>IFERROR(AG27*'Input Data'!AG66*VLOOKUP(AG$54,'Energy Heat Value Conversion'!$A:$E,5,FALSE),0)</f>
        <v>0</v>
      </c>
      <c r="AH75">
        <f>IFERROR(AH27*'Input Data'!AH66*VLOOKUP(AH$54,'Energy Heat Value Conversion'!$A:$E,5,FALSE),0)</f>
        <v>0</v>
      </c>
      <c r="AJ75" t="s">
        <v>590</v>
      </c>
    </row>
    <row r="76" spans="1:48" x14ac:dyDescent="0.2">
      <c r="A76" s="206" t="str">
        <f>IFERROR(VLOOKUP(B76,'Sector Code Switch'!F:H,3,FALSE),"")</f>
        <v>pulp paper and printing 17T18</v>
      </c>
      <c r="B76" s="138" t="s">
        <v>20</v>
      </c>
      <c r="C76">
        <f>IFERROR(C28*'Input Data'!C67*VLOOKUP(C$54,'Energy Heat Value Conversion'!$A:$E,5,FALSE),0)</f>
        <v>0</v>
      </c>
      <c r="D76">
        <f>IFERROR(D28*'Input Data'!D67*VLOOKUP(D$54,'Energy Heat Value Conversion'!$A:$E,5,FALSE),0)</f>
        <v>0</v>
      </c>
      <c r="E76">
        <f>IFERROR(E28*'Input Data'!E67*VLOOKUP(E$54,'Energy Heat Value Conversion'!$A:$E,5,FALSE),0)</f>
        <v>0</v>
      </c>
      <c r="F76">
        <f>IFERROR(F28*'Input Data'!F67*VLOOKUP(F$54,'Energy Heat Value Conversion'!$A:$E,5,FALSE),0)</f>
        <v>0</v>
      </c>
      <c r="G76">
        <f>IFERROR(G28*'Input Data'!G67*VLOOKUP(G$54,'Energy Heat Value Conversion'!$A:$E,5,FALSE),0)</f>
        <v>0</v>
      </c>
      <c r="H76">
        <f>IFERROR(H28*'Input Data'!H67*VLOOKUP(H$54,'Energy Heat Value Conversion'!$A:$E,5,FALSE),0)</f>
        <v>0</v>
      </c>
      <c r="I76">
        <f>IFERROR(I28*'Input Data'!I67*VLOOKUP(I$54,'Energy Heat Value Conversion'!$A:$E,5,FALSE),0)</f>
        <v>0</v>
      </c>
      <c r="J76">
        <f>IFERROR(J28*'Input Data'!J67*VLOOKUP(J$54,'Energy Heat Value Conversion'!$A:$E,5,FALSE),0)</f>
        <v>0</v>
      </c>
      <c r="K76">
        <f>IFERROR(K28*'Input Data'!K67*VLOOKUP(K$54,'Energy Heat Value Conversion'!$A:$E,5,FALSE),0)</f>
        <v>0</v>
      </c>
      <c r="L76">
        <f>IFERROR(L28*'Input Data'!L67*VLOOKUP(L$54,'Energy Heat Value Conversion'!$A:$E,5,FALSE),0)</f>
        <v>0</v>
      </c>
      <c r="M76">
        <f>IFERROR(M28*'Input Data'!M67*VLOOKUP(M$54,'Energy Heat Value Conversion'!$A:$E,5,FALSE),0)</f>
        <v>0</v>
      </c>
      <c r="N76">
        <f>IFERROR(N28*'Input Data'!N67*VLOOKUP(N$54,'Energy Heat Value Conversion'!$A:$E,5,FALSE),0)</f>
        <v>0</v>
      </c>
      <c r="O76">
        <f>IFERROR(O28*'Input Data'!O67*VLOOKUP(O$54,'Energy Heat Value Conversion'!$A:$E,5,FALSE),0)</f>
        <v>0</v>
      </c>
      <c r="P76">
        <f>IFERROR(P28*'Input Data'!P67*VLOOKUP(P$54,'Energy Heat Value Conversion'!$A:$E,5,FALSE),0)</f>
        <v>0</v>
      </c>
      <c r="Q76">
        <f>IFERROR(Q28*'Input Data'!Q67*VLOOKUP(Q$54,'Energy Heat Value Conversion'!$A:$E,5,FALSE),0)</f>
        <v>3819227385.4620485</v>
      </c>
      <c r="R76">
        <f>IFERROR(R28*'Input Data'!R67*VLOOKUP(R$54,'Energy Heat Value Conversion'!$A:$E,5,FALSE),0)</f>
        <v>0</v>
      </c>
      <c r="S76">
        <f>IFERROR(S28*'Input Data'!S67*VLOOKUP(S$54,'Energy Heat Value Conversion'!$A:$E,5,FALSE),0)</f>
        <v>18883039265.428852</v>
      </c>
      <c r="T76">
        <f>IFERROR(T28*'Input Data'!T67*VLOOKUP(T$54,'Energy Heat Value Conversion'!$A:$E,5,FALSE),0)</f>
        <v>8720479346.0202045</v>
      </c>
      <c r="U76">
        <f>IFERROR(U28*'Input Data'!U67*VLOOKUP(U$54,'Energy Heat Value Conversion'!$A:$E,5,FALSE),0)</f>
        <v>0</v>
      </c>
      <c r="V76">
        <f>IFERROR(V28*'Input Data'!V67*VLOOKUP(V$54,'Energy Heat Value Conversion'!$A:$E,5,FALSE),0)</f>
        <v>1376138187.8529477</v>
      </c>
      <c r="W76">
        <f>IFERROR(W28*'Input Data'!W67*VLOOKUP(W$54,'Energy Heat Value Conversion'!$A:$E,5,FALSE),0)</f>
        <v>48712855567.782806</v>
      </c>
      <c r="X76">
        <f>IFERROR(X28*'Input Data'!X67*VLOOKUP(X$54,'Energy Heat Value Conversion'!$A:$E,5,FALSE),0)</f>
        <v>10342969236.705873</v>
      </c>
      <c r="Y76">
        <f>IFERROR(Y28*'Input Data'!Y67*VLOOKUP(Y$54,'Energy Heat Value Conversion'!$A:$E,5,FALSE),0)</f>
        <v>0</v>
      </c>
      <c r="Z76">
        <f>IFERROR(Z28*'Input Data'!Z67*VLOOKUP(Z$54,'Energy Heat Value Conversion'!$A:$E,5,FALSE),0)</f>
        <v>0</v>
      </c>
      <c r="AA76">
        <f>IFERROR(AA28*'Input Data'!AA67*VLOOKUP(AA$54,'Energy Heat Value Conversion'!$A:$E,5,FALSE),0)</f>
        <v>0</v>
      </c>
      <c r="AB76">
        <f>IFERROR(AB28*'Input Data'!AB67*VLOOKUP(AB$54,'Energy Heat Value Conversion'!$A:$E,5,FALSE),0)</f>
        <v>0</v>
      </c>
      <c r="AC76">
        <f>IFERROR(AC28*'Input Data'!AC67*VLOOKUP(AC$54,'Energy Heat Value Conversion'!$A:$E,5,FALSE),0)</f>
        <v>0</v>
      </c>
      <c r="AD76">
        <f>IFERROR(AD28*'Input Data'!AD67*VLOOKUP(AD$54,'Energy Heat Value Conversion'!$A:$E,5,FALSE),0)</f>
        <v>225530003521.91742</v>
      </c>
      <c r="AE76">
        <f>IFERROR(AE28*'Input Data'!AE67*VLOOKUP(AE$54,'Energy Heat Value Conversion'!$A:$E,5,FALSE),0)</f>
        <v>530589439925.0639</v>
      </c>
      <c r="AF76">
        <f>IFERROR(AF28*'Input Data'!AF67*VLOOKUP(AF$54,'Energy Heat Value Conversion'!$A:$E,5,FALSE),0)</f>
        <v>0</v>
      </c>
      <c r="AG76">
        <f>IFERROR(AG28*'Input Data'!AG67*VLOOKUP(AG$54,'Energy Heat Value Conversion'!$A:$E,5,FALSE),0)</f>
        <v>0</v>
      </c>
      <c r="AH76">
        <f>IFERROR(AH28*'Input Data'!AH67*VLOOKUP(AH$54,'Energy Heat Value Conversion'!$A:$E,5,FALSE),0)</f>
        <v>0</v>
      </c>
      <c r="AJ76" t="s">
        <v>591</v>
      </c>
    </row>
    <row r="77" spans="1:48" x14ac:dyDescent="0.2">
      <c r="A77" s="206" t="str">
        <f>IFERROR(VLOOKUP(B77,'Sector Code Switch'!F:H,3,FALSE),"")</f>
        <v>refined petroleum and coke 19</v>
      </c>
      <c r="B77" s="138" t="s">
        <v>21</v>
      </c>
      <c r="C77">
        <f>IFERROR(C29*'Input Data'!C68*VLOOKUP(C$54,'Energy Heat Value Conversion'!$A:$E,5,FALSE),0)</f>
        <v>0</v>
      </c>
      <c r="D77">
        <f>IFERROR(D29*'Input Data'!D68*VLOOKUP(D$54,'Energy Heat Value Conversion'!$A:$E,5,FALSE),0)</f>
        <v>199253871127973.47</v>
      </c>
      <c r="E77">
        <f>IFERROR(E29*'Input Data'!E68*VLOOKUP(E$54,'Energy Heat Value Conversion'!$A:$E,5,FALSE),0)</f>
        <v>0</v>
      </c>
      <c r="F77">
        <f>IFERROR(F29*'Input Data'!F68*VLOOKUP(F$54,'Energy Heat Value Conversion'!$A:$E,5,FALSE),0)</f>
        <v>0</v>
      </c>
      <c r="G77">
        <f>IFERROR(G29*'Input Data'!G68*VLOOKUP(G$54,'Energy Heat Value Conversion'!$A:$E,5,FALSE),0)</f>
        <v>4000160554346.7129</v>
      </c>
      <c r="H77">
        <f>IFERROR(H29*'Input Data'!H68*VLOOKUP(H$54,'Energy Heat Value Conversion'!$A:$E,5,FALSE),0)</f>
        <v>0</v>
      </c>
      <c r="I77">
        <f>IFERROR(I29*'Input Data'!I68*VLOOKUP(I$54,'Energy Heat Value Conversion'!$A:$E,5,FALSE),0)</f>
        <v>0</v>
      </c>
      <c r="J77">
        <f>IFERROR(J29*'Input Data'!J68*VLOOKUP(J$54,'Energy Heat Value Conversion'!$A:$E,5,FALSE),0)</f>
        <v>47512693534835.836</v>
      </c>
      <c r="K77">
        <f>IFERROR(K29*'Input Data'!K68*VLOOKUP(K$54,'Energy Heat Value Conversion'!$A:$E,5,FALSE),0)</f>
        <v>0</v>
      </c>
      <c r="L77">
        <f>IFERROR(L29*'Input Data'!L68*VLOOKUP(L$54,'Energy Heat Value Conversion'!$A:$E,5,FALSE),0)</f>
        <v>0</v>
      </c>
      <c r="M77">
        <f>IFERROR(M29*'Input Data'!M68*VLOOKUP(M$54,'Energy Heat Value Conversion'!$A:$E,5,FALSE),0)</f>
        <v>0</v>
      </c>
      <c r="N77">
        <f>IFERROR(N29*'Input Data'!N68*VLOOKUP(N$54,'Energy Heat Value Conversion'!$A:$E,5,FALSE),0)</f>
        <v>6958799567300.9814</v>
      </c>
      <c r="O77">
        <f>IFERROR(O29*'Input Data'!O68*VLOOKUP(O$54,'Energy Heat Value Conversion'!$A:$E,5,FALSE),0)</f>
        <v>0</v>
      </c>
      <c r="P77">
        <f>IFERROR(P29*'Input Data'!P68*VLOOKUP(P$54,'Energy Heat Value Conversion'!$A:$E,5,FALSE),0)</f>
        <v>0</v>
      </c>
      <c r="Q77">
        <f>IFERROR(Q29*'Input Data'!Q68*VLOOKUP(Q$54,'Energy Heat Value Conversion'!$A:$E,5,FALSE),0)</f>
        <v>2206252712.9610863</v>
      </c>
      <c r="R77">
        <f>IFERROR(R29*'Input Data'!R68*VLOOKUP(R$54,'Energy Heat Value Conversion'!$A:$E,5,FALSE),0)</f>
        <v>12246745041.98048</v>
      </c>
      <c r="S77">
        <f>IFERROR(S29*'Input Data'!S68*VLOOKUP(S$54,'Energy Heat Value Conversion'!$A:$E,5,FALSE),0)</f>
        <v>111772333429.71016</v>
      </c>
      <c r="T77">
        <f>IFERROR(T29*'Input Data'!T68*VLOOKUP(T$54,'Energy Heat Value Conversion'!$A:$E,5,FALSE),0)</f>
        <v>3767893038913.7661</v>
      </c>
      <c r="U77">
        <f>IFERROR(U29*'Input Data'!U68*VLOOKUP(U$54,'Energy Heat Value Conversion'!$A:$E,5,FALSE),0)</f>
        <v>513541741135973.63</v>
      </c>
      <c r="V77">
        <f>IFERROR(V29*'Input Data'!V68*VLOOKUP(V$54,'Energy Heat Value Conversion'!$A:$E,5,FALSE),0)</f>
        <v>16604483374633.666</v>
      </c>
      <c r="W77">
        <f>IFERROR(W29*'Input Data'!W68*VLOOKUP(W$54,'Energy Heat Value Conversion'!$A:$E,5,FALSE),0)</f>
        <v>7568319724.4961014</v>
      </c>
      <c r="X77">
        <f>IFERROR(X29*'Input Data'!X68*VLOOKUP(X$54,'Energy Heat Value Conversion'!$A:$E,5,FALSE),0)</f>
        <v>427392066495.81635</v>
      </c>
      <c r="Y77">
        <f>IFERROR(Y29*'Input Data'!Y68*VLOOKUP(Y$54,'Energy Heat Value Conversion'!$A:$E,5,FALSE),0)</f>
        <v>987002234760.10767</v>
      </c>
      <c r="Z77">
        <f>IFERROR(Z29*'Input Data'!Z68*VLOOKUP(Z$54,'Energy Heat Value Conversion'!$A:$E,5,FALSE),0)</f>
        <v>0</v>
      </c>
      <c r="AA77">
        <f>IFERROR(AA29*'Input Data'!AA68*VLOOKUP(AA$54,'Energy Heat Value Conversion'!$A:$E,5,FALSE),0)</f>
        <v>361369552047884.44</v>
      </c>
      <c r="AB77">
        <f>IFERROR(AB29*'Input Data'!AB68*VLOOKUP(AB$54,'Energy Heat Value Conversion'!$A:$E,5,FALSE),0)</f>
        <v>49389108143788.891</v>
      </c>
      <c r="AC77">
        <f>IFERROR(AC29*'Input Data'!AC68*VLOOKUP(AC$54,'Energy Heat Value Conversion'!$A:$E,5,FALSE),0)</f>
        <v>1320051037125494.3</v>
      </c>
      <c r="AD77">
        <f>IFERROR(AD29*'Input Data'!AD68*VLOOKUP(AD$54,'Energy Heat Value Conversion'!$A:$E,5,FALSE),0)</f>
        <v>1910044227358.4609</v>
      </c>
      <c r="AE77">
        <f>IFERROR(AE29*'Input Data'!AE68*VLOOKUP(AE$54,'Energy Heat Value Conversion'!$A:$E,5,FALSE),0)</f>
        <v>43685612072781.891</v>
      </c>
      <c r="AF77">
        <f>IFERROR(AF29*'Input Data'!AF68*VLOOKUP(AF$54,'Energy Heat Value Conversion'!$A:$E,5,FALSE),0)</f>
        <v>0</v>
      </c>
      <c r="AG77">
        <f>IFERROR(AG29*'Input Data'!AG68*VLOOKUP(AG$54,'Energy Heat Value Conversion'!$A:$E,5,FALSE),0)</f>
        <v>0</v>
      </c>
      <c r="AH77">
        <f>IFERROR(AH29*'Input Data'!AH68*VLOOKUP(AH$54,'Energy Heat Value Conversion'!$A:$E,5,FALSE),0)</f>
        <v>0</v>
      </c>
      <c r="AJ77" t="s">
        <v>593</v>
      </c>
    </row>
    <row r="78" spans="1:48" x14ac:dyDescent="0.2">
      <c r="A78" s="206" t="str">
        <f>IFERROR(VLOOKUP(B78,'Sector Code Switch'!F:H,3,FALSE),"")</f>
        <v>chemicals 20</v>
      </c>
      <c r="B78" s="199" t="s">
        <v>1</v>
      </c>
      <c r="C78">
        <f>IFERROR(C30*'Input Data'!C69*VLOOKUP(C$54,'Energy Heat Value Conversion'!$A:$E,5,FALSE),0)</f>
        <v>0</v>
      </c>
      <c r="D78">
        <f>IFERROR(D30*'Input Data'!D69*VLOOKUP(D$54,'Energy Heat Value Conversion'!$A:$E,5,FALSE),0)</f>
        <v>2075237758864884</v>
      </c>
      <c r="E78">
        <f>IFERROR(E30*'Input Data'!E69*VLOOKUP(E$54,'Energy Heat Value Conversion'!$A:$E,5,FALSE),0)</f>
        <v>0</v>
      </c>
      <c r="F78">
        <f>IFERROR(F30*'Input Data'!F69*VLOOKUP(F$54,'Energy Heat Value Conversion'!$A:$E,5,FALSE),0)</f>
        <v>0</v>
      </c>
      <c r="G78">
        <f>IFERROR(G30*'Input Data'!G69*VLOOKUP(G$54,'Energy Heat Value Conversion'!$A:$E,5,FALSE),0)</f>
        <v>20242033828064.414</v>
      </c>
      <c r="H78">
        <f>IFERROR(H30*'Input Data'!H69*VLOOKUP(H$54,'Energy Heat Value Conversion'!$A:$E,5,FALSE),0)</f>
        <v>0</v>
      </c>
      <c r="I78">
        <f>IFERROR(I30*'Input Data'!I69*VLOOKUP(I$54,'Energy Heat Value Conversion'!$A:$E,5,FALSE),0)</f>
        <v>490050608695264.81</v>
      </c>
      <c r="J78">
        <f>IFERROR(J30*'Input Data'!J69*VLOOKUP(J$54,'Energy Heat Value Conversion'!$A:$E,5,FALSE),0)</f>
        <v>21830874279281.754</v>
      </c>
      <c r="K78">
        <f>IFERROR(K30*'Input Data'!K69*VLOOKUP(K$54,'Energy Heat Value Conversion'!$A:$E,5,FALSE),0)</f>
        <v>0</v>
      </c>
      <c r="L78">
        <f>IFERROR(L30*'Input Data'!L69*VLOOKUP(L$54,'Energy Heat Value Conversion'!$A:$E,5,FALSE),0)</f>
        <v>0</v>
      </c>
      <c r="M78">
        <f>IFERROR(M30*'Input Data'!M69*VLOOKUP(M$54,'Energy Heat Value Conversion'!$A:$E,5,FALSE),0)</f>
        <v>0</v>
      </c>
      <c r="N78">
        <f>IFERROR(N30*'Input Data'!N69*VLOOKUP(N$54,'Energy Heat Value Conversion'!$A:$E,5,FALSE),0)</f>
        <v>82470955939811.578</v>
      </c>
      <c r="O78">
        <f>IFERROR(O30*'Input Data'!O69*VLOOKUP(O$54,'Energy Heat Value Conversion'!$A:$E,5,FALSE),0)</f>
        <v>0</v>
      </c>
      <c r="P78">
        <f>IFERROR(P30*'Input Data'!P69*VLOOKUP(P$54,'Energy Heat Value Conversion'!$A:$E,5,FALSE),0)</f>
        <v>0</v>
      </c>
      <c r="Q78">
        <f>IFERROR(Q30*'Input Data'!Q69*VLOOKUP(Q$54,'Energy Heat Value Conversion'!$A:$E,5,FALSE),0)</f>
        <v>727268410060.50696</v>
      </c>
      <c r="R78">
        <f>IFERROR(R30*'Input Data'!R69*VLOOKUP(R$54,'Energy Heat Value Conversion'!$A:$E,5,FALSE),0)</f>
        <v>156137276532.37222</v>
      </c>
      <c r="S78">
        <f>IFERROR(S30*'Input Data'!S69*VLOOKUP(S$54,'Energy Heat Value Conversion'!$A:$E,5,FALSE),0)</f>
        <v>243095288321.10172</v>
      </c>
      <c r="T78">
        <f>IFERROR(T30*'Input Data'!T69*VLOOKUP(T$54,'Energy Heat Value Conversion'!$A:$E,5,FALSE),0)</f>
        <v>8567920936879.9229</v>
      </c>
      <c r="U78">
        <f>IFERROR(U30*'Input Data'!U69*VLOOKUP(U$54,'Energy Heat Value Conversion'!$A:$E,5,FALSE),0)</f>
        <v>1879525267212447.5</v>
      </c>
      <c r="V78">
        <f>IFERROR(V30*'Input Data'!V69*VLOOKUP(V$54,'Energy Heat Value Conversion'!$A:$E,5,FALSE),0)</f>
        <v>81880222177.250381</v>
      </c>
      <c r="W78">
        <f>IFERROR(W30*'Input Data'!W69*VLOOKUP(W$54,'Energy Heat Value Conversion'!$A:$E,5,FALSE),0)</f>
        <v>18436383101359.684</v>
      </c>
      <c r="X78">
        <f>IFERROR(X30*'Input Data'!X69*VLOOKUP(X$54,'Energy Heat Value Conversion'!$A:$E,5,FALSE),0)</f>
        <v>6834978837256.4648</v>
      </c>
      <c r="Y78">
        <f>IFERROR(Y30*'Input Data'!Y69*VLOOKUP(Y$54,'Energy Heat Value Conversion'!$A:$E,5,FALSE),0)</f>
        <v>4892424782960.6348</v>
      </c>
      <c r="Z78">
        <f>IFERROR(Z30*'Input Data'!Z69*VLOOKUP(Z$54,'Energy Heat Value Conversion'!$A:$E,5,FALSE),0)</f>
        <v>0</v>
      </c>
      <c r="AA78">
        <f>IFERROR(AA30*'Input Data'!AA69*VLOOKUP(AA$54,'Energy Heat Value Conversion'!$A:$E,5,FALSE),0)</f>
        <v>50865971218490.492</v>
      </c>
      <c r="AB78">
        <f>IFERROR(AB30*'Input Data'!AB69*VLOOKUP(AB$54,'Energy Heat Value Conversion'!$A:$E,5,FALSE),0)</f>
        <v>5664306089560.1387</v>
      </c>
      <c r="AC78">
        <f>IFERROR(AC30*'Input Data'!AC69*VLOOKUP(AC$54,'Energy Heat Value Conversion'!$A:$E,5,FALSE),0)</f>
        <v>380377454882772.38</v>
      </c>
      <c r="AD78">
        <f>IFERROR(AD30*'Input Data'!AD69*VLOOKUP(AD$54,'Energy Heat Value Conversion'!$A:$E,5,FALSE),0)</f>
        <v>265101002982227.97</v>
      </c>
      <c r="AE78">
        <f>IFERROR(AE30*'Input Data'!AE69*VLOOKUP(AE$54,'Energy Heat Value Conversion'!$A:$E,5,FALSE),0)</f>
        <v>9484700934450.3691</v>
      </c>
      <c r="AF78">
        <f>IFERROR(AF30*'Input Data'!AF69*VLOOKUP(AF$54,'Energy Heat Value Conversion'!$A:$E,5,FALSE),0)</f>
        <v>0</v>
      </c>
      <c r="AG78">
        <f>IFERROR(AG30*'Input Data'!AG69*VLOOKUP(AG$54,'Energy Heat Value Conversion'!$A:$E,5,FALSE),0)</f>
        <v>0</v>
      </c>
      <c r="AH78">
        <f>IFERROR(AH30*'Input Data'!AH69*VLOOKUP(AH$54,'Energy Heat Value Conversion'!$A:$E,5,FALSE),0)</f>
        <v>0</v>
      </c>
      <c r="AJ78" t="s">
        <v>592</v>
      </c>
    </row>
    <row r="79" spans="1:48" x14ac:dyDescent="0.2">
      <c r="A79" s="206">
        <f>IFERROR(VLOOKUP(B79,'Sector Code Switch'!F:H,3,FALSE),"")</f>
        <v>0</v>
      </c>
      <c r="B79" s="138" t="s">
        <v>22</v>
      </c>
      <c r="C79">
        <f>IFERROR(C31*'Input Data'!C70*VLOOKUP(C$54,'Energy Heat Value Conversion'!$A:$E,5,FALSE),0)</f>
        <v>0</v>
      </c>
      <c r="D79">
        <f>IFERROR(D31*'Input Data'!D70*VLOOKUP(D$54,'Energy Heat Value Conversion'!$A:$E,5,FALSE),0)</f>
        <v>0</v>
      </c>
      <c r="E79">
        <f>IFERROR(E31*'Input Data'!E70*VLOOKUP(E$54,'Energy Heat Value Conversion'!$A:$E,5,FALSE),0)</f>
        <v>0</v>
      </c>
      <c r="F79">
        <f>IFERROR(F31*'Input Data'!F70*VLOOKUP(F$54,'Energy Heat Value Conversion'!$A:$E,5,FALSE),0)</f>
        <v>0</v>
      </c>
      <c r="G79">
        <f>IFERROR(G31*'Input Data'!G70*VLOOKUP(G$54,'Energy Heat Value Conversion'!$A:$E,5,FALSE),0)</f>
        <v>0</v>
      </c>
      <c r="H79">
        <f>IFERROR(H31*'Input Data'!H70*VLOOKUP(H$54,'Energy Heat Value Conversion'!$A:$E,5,FALSE),0)</f>
        <v>0</v>
      </c>
      <c r="I79">
        <f>IFERROR(I31*'Input Data'!I70*VLOOKUP(I$54,'Energy Heat Value Conversion'!$A:$E,5,FALSE),0)</f>
        <v>0</v>
      </c>
      <c r="J79">
        <f>IFERROR(J31*'Input Data'!J70*VLOOKUP(J$54,'Energy Heat Value Conversion'!$A:$E,5,FALSE),0)</f>
        <v>36215783475.915314</v>
      </c>
      <c r="K79">
        <f>IFERROR(K31*'Input Data'!K70*VLOOKUP(K$54,'Energy Heat Value Conversion'!$A:$E,5,FALSE),0)</f>
        <v>0</v>
      </c>
      <c r="L79">
        <f>IFERROR(L31*'Input Data'!L70*VLOOKUP(L$54,'Energy Heat Value Conversion'!$A:$E,5,FALSE),0)</f>
        <v>0</v>
      </c>
      <c r="M79">
        <f>IFERROR(M31*'Input Data'!M70*VLOOKUP(M$54,'Energy Heat Value Conversion'!$A:$E,5,FALSE),0)</f>
        <v>0</v>
      </c>
      <c r="N79">
        <f>IFERROR(N31*'Input Data'!N70*VLOOKUP(N$54,'Energy Heat Value Conversion'!$A:$E,5,FALSE),0)</f>
        <v>763528589.78505397</v>
      </c>
      <c r="O79">
        <f>IFERROR(O31*'Input Data'!O70*VLOOKUP(O$54,'Energy Heat Value Conversion'!$A:$E,5,FALSE),0)</f>
        <v>0</v>
      </c>
      <c r="P79">
        <f>IFERROR(P31*'Input Data'!P70*VLOOKUP(P$54,'Energy Heat Value Conversion'!$A:$E,5,FALSE),0)</f>
        <v>0</v>
      </c>
      <c r="Q79">
        <f>IFERROR(Q31*'Input Data'!Q70*VLOOKUP(Q$54,'Energy Heat Value Conversion'!$A:$E,5,FALSE),0)</f>
        <v>5524901751.7849054</v>
      </c>
      <c r="R79">
        <f>IFERROR(R31*'Input Data'!R70*VLOOKUP(R$54,'Energy Heat Value Conversion'!$A:$E,5,FALSE),0)</f>
        <v>780686382.66186106</v>
      </c>
      <c r="S79">
        <f>IFERROR(S31*'Input Data'!S70*VLOOKUP(S$54,'Energy Heat Value Conversion'!$A:$E,5,FALSE),0)</f>
        <v>35858700827.27903</v>
      </c>
      <c r="T79">
        <f>IFERROR(T31*'Input Data'!T70*VLOOKUP(T$54,'Energy Heat Value Conversion'!$A:$E,5,FALSE),0)</f>
        <v>48447107477.890015</v>
      </c>
      <c r="U79">
        <f>IFERROR(U31*'Input Data'!U70*VLOOKUP(U$54,'Energy Heat Value Conversion'!$A:$E,5,FALSE),0)</f>
        <v>0</v>
      </c>
      <c r="V79">
        <f>IFERROR(V31*'Input Data'!V70*VLOOKUP(V$54,'Energy Heat Value Conversion'!$A:$E,5,FALSE),0)</f>
        <v>688069093.92647386</v>
      </c>
      <c r="W79">
        <f>IFERROR(W31*'Input Data'!W70*VLOOKUP(W$54,'Energy Heat Value Conversion'!$A:$E,5,FALSE),0)</f>
        <v>2865462092.222518</v>
      </c>
      <c r="X79">
        <f>IFERROR(X31*'Input Data'!X70*VLOOKUP(X$54,'Energy Heat Value Conversion'!$A:$E,5,FALSE),0)</f>
        <v>58610159007.999954</v>
      </c>
      <c r="Y79">
        <f>IFERROR(Y31*'Input Data'!Y70*VLOOKUP(Y$54,'Energy Heat Value Conversion'!$A:$E,5,FALSE),0)</f>
        <v>0</v>
      </c>
      <c r="Z79">
        <f>IFERROR(Z31*'Input Data'!Z70*VLOOKUP(Z$54,'Energy Heat Value Conversion'!$A:$E,5,FALSE),0)</f>
        <v>0</v>
      </c>
      <c r="AA79">
        <f>IFERROR(AA31*'Input Data'!AA70*VLOOKUP(AA$54,'Energy Heat Value Conversion'!$A:$E,5,FALSE),0)</f>
        <v>0</v>
      </c>
      <c r="AB79">
        <f>IFERROR(AB31*'Input Data'!AB70*VLOOKUP(AB$54,'Energy Heat Value Conversion'!$A:$E,5,FALSE),0)</f>
        <v>0</v>
      </c>
      <c r="AC79">
        <f>IFERROR(AC31*'Input Data'!AC70*VLOOKUP(AC$54,'Energy Heat Value Conversion'!$A:$E,5,FALSE),0)</f>
        <v>0</v>
      </c>
      <c r="AD79">
        <f>IFERROR(AD31*'Input Data'!AD70*VLOOKUP(AD$54,'Energy Heat Value Conversion'!$A:$E,5,FALSE),0)</f>
        <v>556168125969.17273</v>
      </c>
      <c r="AE79">
        <f>IFERROR(AE31*'Input Data'!AE70*VLOOKUP(AE$54,'Energy Heat Value Conversion'!$A:$E,5,FALSE),0)</f>
        <v>452792509748.47314</v>
      </c>
      <c r="AF79">
        <f>IFERROR(AF31*'Input Data'!AF70*VLOOKUP(AF$54,'Energy Heat Value Conversion'!$A:$E,5,FALSE),0)</f>
        <v>0</v>
      </c>
      <c r="AG79">
        <f>IFERROR(AG31*'Input Data'!AG70*VLOOKUP(AG$54,'Energy Heat Value Conversion'!$A:$E,5,FALSE),0)</f>
        <v>0</v>
      </c>
      <c r="AH79">
        <f>IFERROR(AH31*'Input Data'!AH70*VLOOKUP(AH$54,'Energy Heat Value Conversion'!$A:$E,5,FALSE),0)</f>
        <v>0</v>
      </c>
      <c r="AJ79" t="s">
        <v>597</v>
      </c>
    </row>
    <row r="80" spans="1:48" x14ac:dyDescent="0.2">
      <c r="A80" s="206" t="str">
        <f>IFERROR(VLOOKUP(B80,'Sector Code Switch'!F:H,3,FALSE),"")</f>
        <v>chemicals 20</v>
      </c>
      <c r="B80" s="138" t="s">
        <v>23</v>
      </c>
      <c r="C80">
        <f>IFERROR(C32*'Input Data'!C71*VLOOKUP(C$54,'Energy Heat Value Conversion'!$A:$E,5,FALSE),0)</f>
        <v>0</v>
      </c>
      <c r="D80">
        <f>IFERROR(D32*'Input Data'!D71*VLOOKUP(D$54,'Energy Heat Value Conversion'!$A:$E,5,FALSE),0)</f>
        <v>0</v>
      </c>
      <c r="E80">
        <f>IFERROR(E32*'Input Data'!E71*VLOOKUP(E$54,'Energy Heat Value Conversion'!$A:$E,5,FALSE),0)</f>
        <v>0</v>
      </c>
      <c r="F80">
        <f>IFERROR(F32*'Input Data'!F71*VLOOKUP(F$54,'Energy Heat Value Conversion'!$A:$E,5,FALSE),0)</f>
        <v>0</v>
      </c>
      <c r="G80">
        <f>IFERROR(G32*'Input Data'!G71*VLOOKUP(G$54,'Energy Heat Value Conversion'!$A:$E,5,FALSE),0)</f>
        <v>0</v>
      </c>
      <c r="H80">
        <f>IFERROR(H32*'Input Data'!H71*VLOOKUP(H$54,'Energy Heat Value Conversion'!$A:$E,5,FALSE),0)</f>
        <v>0</v>
      </c>
      <c r="I80">
        <f>IFERROR(I32*'Input Data'!I71*VLOOKUP(I$54,'Energy Heat Value Conversion'!$A:$E,5,FALSE),0)</f>
        <v>0</v>
      </c>
      <c r="J80">
        <f>IFERROR(J32*'Input Data'!J71*VLOOKUP(J$54,'Energy Heat Value Conversion'!$A:$E,5,FALSE),0)</f>
        <v>0</v>
      </c>
      <c r="K80">
        <f>IFERROR(K32*'Input Data'!K71*VLOOKUP(K$54,'Energy Heat Value Conversion'!$A:$E,5,FALSE),0)</f>
        <v>0</v>
      </c>
      <c r="L80">
        <f>IFERROR(L32*'Input Data'!L71*VLOOKUP(L$54,'Energy Heat Value Conversion'!$A:$E,5,FALSE),0)</f>
        <v>0</v>
      </c>
      <c r="M80">
        <f>IFERROR(M32*'Input Data'!M71*VLOOKUP(M$54,'Energy Heat Value Conversion'!$A:$E,5,FALSE),0)</f>
        <v>0</v>
      </c>
      <c r="N80">
        <f>IFERROR(N32*'Input Data'!N71*VLOOKUP(N$54,'Energy Heat Value Conversion'!$A:$E,5,FALSE),0)</f>
        <v>0</v>
      </c>
      <c r="O80">
        <f>IFERROR(O32*'Input Data'!O71*VLOOKUP(O$54,'Energy Heat Value Conversion'!$A:$E,5,FALSE),0)</f>
        <v>0</v>
      </c>
      <c r="P80">
        <f>IFERROR(P32*'Input Data'!P71*VLOOKUP(P$54,'Energy Heat Value Conversion'!$A:$E,5,FALSE),0)</f>
        <v>0</v>
      </c>
      <c r="Q80">
        <f>IFERROR(Q32*'Input Data'!Q71*VLOOKUP(Q$54,'Energy Heat Value Conversion'!$A:$E,5,FALSE),0)</f>
        <v>685977734.28201842</v>
      </c>
      <c r="R80">
        <f>IFERROR(R32*'Input Data'!R71*VLOOKUP(R$54,'Energy Heat Value Conversion'!$A:$E,5,FALSE),0)</f>
        <v>1561372765.3237221</v>
      </c>
      <c r="S80">
        <f>IFERROR(S32*'Input Data'!S71*VLOOKUP(S$54,'Energy Heat Value Conversion'!$A:$E,5,FALSE),0)</f>
        <v>10585946254.861629</v>
      </c>
      <c r="T80">
        <f>IFERROR(T32*'Input Data'!T71*VLOOKUP(T$54,'Energy Heat Value Conversion'!$A:$E,5,FALSE),0)</f>
        <v>20347785140.713806</v>
      </c>
      <c r="U80">
        <f>IFERROR(U32*'Input Data'!U71*VLOOKUP(U$54,'Energy Heat Value Conversion'!$A:$E,5,FALSE),0)</f>
        <v>0</v>
      </c>
      <c r="V80">
        <f>IFERROR(V32*'Input Data'!V71*VLOOKUP(V$54,'Energy Heat Value Conversion'!$A:$E,5,FALSE),0)</f>
        <v>2752276375.7058954</v>
      </c>
      <c r="W80">
        <f>IFERROR(W32*'Input Data'!W71*VLOOKUP(W$54,'Energy Heat Value Conversion'!$A:$E,5,FALSE),0)</f>
        <v>0</v>
      </c>
      <c r="X80">
        <f>IFERROR(X32*'Input Data'!X71*VLOOKUP(X$54,'Energy Heat Value Conversion'!$A:$E,5,FALSE),0)</f>
        <v>15514453855.058811</v>
      </c>
      <c r="Y80">
        <f>IFERROR(Y32*'Input Data'!Y71*VLOOKUP(Y$54,'Energy Heat Value Conversion'!$A:$E,5,FALSE),0)</f>
        <v>0</v>
      </c>
      <c r="Z80">
        <f>IFERROR(Z32*'Input Data'!Z71*VLOOKUP(Z$54,'Energy Heat Value Conversion'!$A:$E,5,FALSE),0)</f>
        <v>0</v>
      </c>
      <c r="AA80">
        <f>IFERROR(AA32*'Input Data'!AA71*VLOOKUP(AA$54,'Energy Heat Value Conversion'!$A:$E,5,FALSE),0)</f>
        <v>0</v>
      </c>
      <c r="AB80">
        <f>IFERROR(AB32*'Input Data'!AB71*VLOOKUP(AB$54,'Energy Heat Value Conversion'!$A:$E,5,FALSE),0)</f>
        <v>0</v>
      </c>
      <c r="AC80">
        <f>IFERROR(AC32*'Input Data'!AC71*VLOOKUP(AC$54,'Energy Heat Value Conversion'!$A:$E,5,FALSE),0)</f>
        <v>0</v>
      </c>
      <c r="AD80">
        <f>IFERROR(AD32*'Input Data'!AD71*VLOOKUP(AD$54,'Energy Heat Value Conversion'!$A:$E,5,FALSE),0)</f>
        <v>158010218516.8989</v>
      </c>
      <c r="AE80">
        <f>IFERROR(AE32*'Input Data'!AE71*VLOOKUP(AE$54,'Energy Heat Value Conversion'!$A:$E,5,FALSE),0)</f>
        <v>640843227254.21948</v>
      </c>
      <c r="AF80">
        <f>IFERROR(AF32*'Input Data'!AF71*VLOOKUP(AF$54,'Energy Heat Value Conversion'!$A:$E,5,FALSE),0)</f>
        <v>0</v>
      </c>
      <c r="AG80">
        <f>IFERROR(AG32*'Input Data'!AG71*VLOOKUP(AG$54,'Energy Heat Value Conversion'!$A:$E,5,FALSE),0)</f>
        <v>0</v>
      </c>
      <c r="AH80">
        <f>IFERROR(AH32*'Input Data'!AH71*VLOOKUP(AH$54,'Energy Heat Value Conversion'!$A:$E,5,FALSE),0)</f>
        <v>0</v>
      </c>
      <c r="AJ80" s="41" t="s">
        <v>595</v>
      </c>
    </row>
    <row r="81" spans="1:48" x14ac:dyDescent="0.2">
      <c r="A81" s="206" t="str">
        <f>IFERROR(VLOOKUP(B81,'Sector Code Switch'!F:H,3,FALSE),"")</f>
        <v>rubber and plastic products 22</v>
      </c>
      <c r="B81" s="138" t="s">
        <v>24</v>
      </c>
      <c r="C81">
        <f>IFERROR(C33*'Input Data'!C72*VLOOKUP(C$54,'Energy Heat Value Conversion'!$A:$E,5,FALSE),0)</f>
        <v>0</v>
      </c>
      <c r="D81">
        <f>IFERROR(D33*'Input Data'!D72*VLOOKUP(D$54,'Energy Heat Value Conversion'!$A:$E,5,FALSE),0)</f>
        <v>0</v>
      </c>
      <c r="E81">
        <f>IFERROR(E33*'Input Data'!E72*VLOOKUP(E$54,'Energy Heat Value Conversion'!$A:$E,5,FALSE),0)</f>
        <v>0</v>
      </c>
      <c r="F81">
        <f>IFERROR(F33*'Input Data'!F72*VLOOKUP(F$54,'Energy Heat Value Conversion'!$A:$E,5,FALSE),0)</f>
        <v>0</v>
      </c>
      <c r="G81">
        <f>IFERROR(G33*'Input Data'!G72*VLOOKUP(G$54,'Energy Heat Value Conversion'!$A:$E,5,FALSE),0)</f>
        <v>0</v>
      </c>
      <c r="H81">
        <f>IFERROR(H33*'Input Data'!H72*VLOOKUP(H$54,'Energy Heat Value Conversion'!$A:$E,5,FALSE),0)</f>
        <v>0</v>
      </c>
      <c r="I81">
        <f>IFERROR(I33*'Input Data'!I72*VLOOKUP(I$54,'Energy Heat Value Conversion'!$A:$E,5,FALSE),0)</f>
        <v>0</v>
      </c>
      <c r="J81">
        <f>IFERROR(J33*'Input Data'!J72*VLOOKUP(J$54,'Energy Heat Value Conversion'!$A:$E,5,FALSE),0)</f>
        <v>171421375119.33249</v>
      </c>
      <c r="K81">
        <f>IFERROR(K33*'Input Data'!K72*VLOOKUP(K$54,'Energy Heat Value Conversion'!$A:$E,5,FALSE),0)</f>
        <v>0</v>
      </c>
      <c r="L81">
        <f>IFERROR(L33*'Input Data'!L72*VLOOKUP(L$54,'Energy Heat Value Conversion'!$A:$E,5,FALSE),0)</f>
        <v>0</v>
      </c>
      <c r="M81">
        <f>IFERROR(M33*'Input Data'!M72*VLOOKUP(M$54,'Energy Heat Value Conversion'!$A:$E,5,FALSE),0)</f>
        <v>0</v>
      </c>
      <c r="N81">
        <f>IFERROR(N33*'Input Data'!N72*VLOOKUP(N$54,'Energy Heat Value Conversion'!$A:$E,5,FALSE),0)</f>
        <v>195463318984.97382</v>
      </c>
      <c r="O81">
        <f>IFERROR(O33*'Input Data'!O72*VLOOKUP(O$54,'Energy Heat Value Conversion'!$A:$E,5,FALSE),0)</f>
        <v>0</v>
      </c>
      <c r="P81">
        <f>IFERROR(P33*'Input Data'!P72*VLOOKUP(P$54,'Energy Heat Value Conversion'!$A:$E,5,FALSE),0)</f>
        <v>0</v>
      </c>
      <c r="Q81">
        <f>IFERROR(Q33*'Input Data'!Q72*VLOOKUP(Q$54,'Energy Heat Value Conversion'!$A:$E,5,FALSE),0)</f>
        <v>10975643748.512295</v>
      </c>
      <c r="R81">
        <f>IFERROR(R33*'Input Data'!R72*VLOOKUP(R$54,'Energy Heat Value Conversion'!$A:$E,5,FALSE),0)</f>
        <v>3903431913.3093057</v>
      </c>
      <c r="S81">
        <f>IFERROR(S33*'Input Data'!S72*VLOOKUP(S$54,'Energy Heat Value Conversion'!$A:$E,5,FALSE),0)</f>
        <v>73338672702.59993</v>
      </c>
      <c r="T81">
        <f>IFERROR(T33*'Input Data'!T72*VLOOKUP(T$54,'Energy Heat Value Conversion'!$A:$E,5,FALSE),0)</f>
        <v>71378738350.757965</v>
      </c>
      <c r="U81">
        <f>IFERROR(U33*'Input Data'!U72*VLOOKUP(U$54,'Energy Heat Value Conversion'!$A:$E,5,FALSE),0)</f>
        <v>0</v>
      </c>
      <c r="V81">
        <f>IFERROR(V33*'Input Data'!V72*VLOOKUP(V$54,'Energy Heat Value Conversion'!$A:$E,5,FALSE),0)</f>
        <v>37155731072.029587</v>
      </c>
      <c r="W81">
        <f>IFERROR(W33*'Input Data'!W72*VLOOKUP(W$54,'Energy Heat Value Conversion'!$A:$E,5,FALSE),0)</f>
        <v>120349407873.34576</v>
      </c>
      <c r="X81">
        <f>IFERROR(X33*'Input Data'!X72*VLOOKUP(X$54,'Energy Heat Value Conversion'!$A:$E,5,FALSE),0)</f>
        <v>86191410305.882294</v>
      </c>
      <c r="Y81">
        <f>IFERROR(Y33*'Input Data'!Y72*VLOOKUP(Y$54,'Energy Heat Value Conversion'!$A:$E,5,FALSE),0)</f>
        <v>361984322139.17651</v>
      </c>
      <c r="Z81">
        <f>IFERROR(Z33*'Input Data'!Z72*VLOOKUP(Z$54,'Energy Heat Value Conversion'!$A:$E,5,FALSE),0)</f>
        <v>0</v>
      </c>
      <c r="AA81">
        <f>IFERROR(AA33*'Input Data'!AA72*VLOOKUP(AA$54,'Energy Heat Value Conversion'!$A:$E,5,FALSE),0)</f>
        <v>0</v>
      </c>
      <c r="AB81">
        <f>IFERROR(AB33*'Input Data'!AB72*VLOOKUP(AB$54,'Energy Heat Value Conversion'!$A:$E,5,FALSE),0)</f>
        <v>297463821.52925843</v>
      </c>
      <c r="AC81">
        <f>IFERROR(AC33*'Input Data'!AC72*VLOOKUP(AC$54,'Energy Heat Value Conversion'!$A:$E,5,FALSE),0)</f>
        <v>0</v>
      </c>
      <c r="AD81">
        <f>IFERROR(AD33*'Input Data'!AD72*VLOOKUP(AD$54,'Energy Heat Value Conversion'!$A:$E,5,FALSE),0)</f>
        <v>576354453444.8999</v>
      </c>
      <c r="AE81">
        <f>IFERROR(AE33*'Input Data'!AE72*VLOOKUP(AE$54,'Energy Heat Value Conversion'!$A:$E,5,FALSE),0)</f>
        <v>424814367126.33032</v>
      </c>
      <c r="AF81">
        <f>IFERROR(AF33*'Input Data'!AF72*VLOOKUP(AF$54,'Energy Heat Value Conversion'!$A:$E,5,FALSE),0)</f>
        <v>0</v>
      </c>
      <c r="AG81">
        <f>IFERROR(AG33*'Input Data'!AG72*VLOOKUP(AG$54,'Energy Heat Value Conversion'!$A:$E,5,FALSE),0)</f>
        <v>0</v>
      </c>
      <c r="AH81">
        <f>IFERROR(AH33*'Input Data'!AH72*VLOOKUP(AH$54,'Energy Heat Value Conversion'!$A:$E,5,FALSE),0)</f>
        <v>0</v>
      </c>
      <c r="AJ81" t="s">
        <v>594</v>
      </c>
    </row>
    <row r="82" spans="1:48" x14ac:dyDescent="0.2">
      <c r="A82" s="206" t="str">
        <f>IFERROR(VLOOKUP(B82,'Sector Code Switch'!F:H,3,FALSE),"")</f>
        <v>glass and glass products 231</v>
      </c>
      <c r="B82" s="138" t="s">
        <v>25</v>
      </c>
      <c r="C82">
        <f>IFERROR(C34*'Input Data'!C73*VLOOKUP(C$54,'Energy Heat Value Conversion'!$A:$E,5,FALSE),0)</f>
        <v>0</v>
      </c>
      <c r="D82">
        <f>IFERROR(D34*'Input Data'!D73*VLOOKUP(D$54,'Energy Heat Value Conversion'!$A:$E,5,FALSE),0)</f>
        <v>0</v>
      </c>
      <c r="E82">
        <f>IFERROR(E34*'Input Data'!E73*VLOOKUP(E$54,'Energy Heat Value Conversion'!$A:$E,5,FALSE),0)</f>
        <v>0</v>
      </c>
      <c r="F82">
        <f>IFERROR(F34*'Input Data'!F73*VLOOKUP(F$54,'Energy Heat Value Conversion'!$A:$E,5,FALSE),0)</f>
        <v>182513011230637.69</v>
      </c>
      <c r="G82">
        <f>IFERROR(G34*'Input Data'!G73*VLOOKUP(G$54,'Energy Heat Value Conversion'!$A:$E,5,FALSE),0)</f>
        <v>0</v>
      </c>
      <c r="H82">
        <f>IFERROR(H34*'Input Data'!H73*VLOOKUP(H$54,'Energy Heat Value Conversion'!$A:$E,5,FALSE),0)</f>
        <v>0</v>
      </c>
      <c r="I82">
        <f>IFERROR(I34*'Input Data'!I73*VLOOKUP(I$54,'Energy Heat Value Conversion'!$A:$E,5,FALSE),0)</f>
        <v>0</v>
      </c>
      <c r="J82">
        <f>IFERROR(J34*'Input Data'!J73*VLOOKUP(J$54,'Energy Heat Value Conversion'!$A:$E,5,FALSE),0)</f>
        <v>9239853557488.5293</v>
      </c>
      <c r="K82">
        <f>IFERROR(K34*'Input Data'!K73*VLOOKUP(K$54,'Energy Heat Value Conversion'!$A:$E,5,FALSE),0)</f>
        <v>0</v>
      </c>
      <c r="L82">
        <f>IFERROR(L34*'Input Data'!L73*VLOOKUP(L$54,'Energy Heat Value Conversion'!$A:$E,5,FALSE),0)</f>
        <v>0</v>
      </c>
      <c r="M82">
        <f>IFERROR(M34*'Input Data'!M73*VLOOKUP(M$54,'Energy Heat Value Conversion'!$A:$E,5,FALSE),0)</f>
        <v>0</v>
      </c>
      <c r="N82">
        <f>IFERROR(N34*'Input Data'!N73*VLOOKUP(N$54,'Energy Heat Value Conversion'!$A:$E,5,FALSE),0)</f>
        <v>1264403344684.0493</v>
      </c>
      <c r="O82">
        <f>IFERROR(O34*'Input Data'!O73*VLOOKUP(O$54,'Energy Heat Value Conversion'!$A:$E,5,FALSE),0)</f>
        <v>0</v>
      </c>
      <c r="P82">
        <f>IFERROR(P34*'Input Data'!P73*VLOOKUP(P$54,'Energy Heat Value Conversion'!$A:$E,5,FALSE),0)</f>
        <v>0</v>
      </c>
      <c r="Q82">
        <f>IFERROR(Q34*'Input Data'!Q73*VLOOKUP(Q$54,'Energy Heat Value Conversion'!$A:$E,5,FALSE),0)</f>
        <v>23953600883.577507</v>
      </c>
      <c r="R82">
        <f>IFERROR(R34*'Input Data'!R73*VLOOKUP(R$54,'Energy Heat Value Conversion'!$A:$E,5,FALSE),0)</f>
        <v>41376378281.078636</v>
      </c>
      <c r="S82">
        <f>IFERROR(S34*'Input Data'!S73*VLOOKUP(S$54,'Energy Heat Value Conversion'!$A:$E,5,FALSE),0)</f>
        <v>2215133096051.0908</v>
      </c>
      <c r="T82">
        <f>IFERROR(T34*'Input Data'!T73*VLOOKUP(T$54,'Energy Heat Value Conversion'!$A:$E,5,FALSE),0)</f>
        <v>1882654596590.8059</v>
      </c>
      <c r="U82">
        <f>IFERROR(U34*'Input Data'!U73*VLOOKUP(U$54,'Energy Heat Value Conversion'!$A:$E,5,FALSE),0)</f>
        <v>0</v>
      </c>
      <c r="V82">
        <f>IFERROR(V34*'Input Data'!V73*VLOOKUP(V$54,'Energy Heat Value Conversion'!$A:$E,5,FALSE),0)</f>
        <v>54357458420.191437</v>
      </c>
      <c r="W82">
        <f>IFERROR(W34*'Input Data'!W73*VLOOKUP(W$54,'Energy Heat Value Conversion'!$A:$E,5,FALSE),0)</f>
        <v>85008708735.934708</v>
      </c>
      <c r="X82">
        <f>IFERROR(X34*'Input Data'!X73*VLOOKUP(X$54,'Energy Heat Value Conversion'!$A:$E,5,FALSE),0)</f>
        <v>44819533359.058792</v>
      </c>
      <c r="Y82">
        <f>IFERROR(Y34*'Input Data'!Y73*VLOOKUP(Y$54,'Energy Heat Value Conversion'!$A:$E,5,FALSE),0)</f>
        <v>103621087168039.5</v>
      </c>
      <c r="Z82">
        <f>IFERROR(Z34*'Input Data'!Z73*VLOOKUP(Z$54,'Energy Heat Value Conversion'!$A:$E,5,FALSE),0)</f>
        <v>733691390934423</v>
      </c>
      <c r="AA82">
        <f>IFERROR(AA34*'Input Data'!AA73*VLOOKUP(AA$54,'Energy Heat Value Conversion'!$A:$E,5,FALSE),0)</f>
        <v>0</v>
      </c>
      <c r="AB82">
        <f>IFERROR(AB34*'Input Data'!AB73*VLOOKUP(AB$54,'Energy Heat Value Conversion'!$A:$E,5,FALSE),0)</f>
        <v>2379710572.2340674</v>
      </c>
      <c r="AC82">
        <f>IFERROR(AC34*'Input Data'!AC73*VLOOKUP(AC$54,'Energy Heat Value Conversion'!$A:$E,5,FALSE),0)</f>
        <v>0</v>
      </c>
      <c r="AD82">
        <f>IFERROR(AD34*'Input Data'!AD73*VLOOKUP(AD$54,'Energy Heat Value Conversion'!$A:$E,5,FALSE),0)</f>
        <v>2954164614034.0039</v>
      </c>
      <c r="AE82">
        <f>IFERROR(AE34*'Input Data'!AE73*VLOOKUP(AE$54,'Energy Heat Value Conversion'!$A:$E,5,FALSE),0)</f>
        <v>7369088892931.7383</v>
      </c>
      <c r="AF82">
        <f>IFERROR(AF34*'Input Data'!AF73*VLOOKUP(AF$54,'Energy Heat Value Conversion'!$A:$E,5,FALSE),0)</f>
        <v>0</v>
      </c>
      <c r="AG82">
        <f>IFERROR(AG34*'Input Data'!AG73*VLOOKUP(AG$54,'Energy Heat Value Conversion'!$A:$E,5,FALSE),0)</f>
        <v>0</v>
      </c>
      <c r="AH82">
        <f>IFERROR(AH34*'Input Data'!AH73*VLOOKUP(AH$54,'Energy Heat Value Conversion'!$A:$E,5,FALSE),0)</f>
        <v>0</v>
      </c>
      <c r="AJ82" t="s">
        <v>596</v>
      </c>
    </row>
    <row r="83" spans="1:48" x14ac:dyDescent="0.2">
      <c r="A83" s="206" t="str">
        <f>IFERROR(VLOOKUP(B83,'Sector Code Switch'!F:H,3,FALSE),"")</f>
        <v>iron and steel 241</v>
      </c>
      <c r="B83" s="138" t="s">
        <v>26</v>
      </c>
      <c r="C83">
        <f>IFERROR(C35*'Input Data'!C74*VLOOKUP(C$54,'Energy Heat Value Conversion'!$A:$E,5,FALSE),0)</f>
        <v>0</v>
      </c>
      <c r="D83">
        <f>IFERROR(D35*'Input Data'!D74*VLOOKUP(D$54,'Energy Heat Value Conversion'!$A:$E,5,FALSE),0)</f>
        <v>0</v>
      </c>
      <c r="E83">
        <f>IFERROR(E35*'Input Data'!E74*VLOOKUP(E$54,'Energy Heat Value Conversion'!$A:$E,5,FALSE),0)</f>
        <v>0</v>
      </c>
      <c r="F83">
        <f>IFERROR(F35*'Input Data'!F74*VLOOKUP(F$54,'Energy Heat Value Conversion'!$A:$E,5,FALSE),0)</f>
        <v>0</v>
      </c>
      <c r="G83">
        <f>IFERROR(G35*'Input Data'!G74*VLOOKUP(G$54,'Energy Heat Value Conversion'!$A:$E,5,FALSE),0)</f>
        <v>0</v>
      </c>
      <c r="H83">
        <f>IFERROR(H35*'Input Data'!H74*VLOOKUP(H$54,'Energy Heat Value Conversion'!$A:$E,5,FALSE),0)</f>
        <v>0</v>
      </c>
      <c r="I83">
        <f>IFERROR(I35*'Input Data'!I74*VLOOKUP(I$54,'Energy Heat Value Conversion'!$A:$E,5,FALSE),0)</f>
        <v>0</v>
      </c>
      <c r="J83">
        <f>IFERROR(J35*'Input Data'!J74*VLOOKUP(J$54,'Energy Heat Value Conversion'!$A:$E,5,FALSE),0)</f>
        <v>85394403050643.25</v>
      </c>
      <c r="K83">
        <f>IFERROR(K35*'Input Data'!K74*VLOOKUP(K$54,'Energy Heat Value Conversion'!$A:$E,5,FALSE),0)</f>
        <v>0</v>
      </c>
      <c r="L83">
        <f>IFERROR(L35*'Input Data'!L74*VLOOKUP(L$54,'Energy Heat Value Conversion'!$A:$E,5,FALSE),0)</f>
        <v>0</v>
      </c>
      <c r="M83">
        <f>IFERROR(M35*'Input Data'!M74*VLOOKUP(M$54,'Energy Heat Value Conversion'!$A:$E,5,FALSE),0)</f>
        <v>0</v>
      </c>
      <c r="N83">
        <f>IFERROR(N35*'Input Data'!N74*VLOOKUP(N$54,'Energy Heat Value Conversion'!$A:$E,5,FALSE),0)</f>
        <v>25122381189697.629</v>
      </c>
      <c r="O83">
        <f>IFERROR(O35*'Input Data'!O74*VLOOKUP(O$54,'Energy Heat Value Conversion'!$A:$E,5,FALSE),0)</f>
        <v>0</v>
      </c>
      <c r="P83">
        <f>IFERROR(P35*'Input Data'!P74*VLOOKUP(P$54,'Energy Heat Value Conversion'!$A:$E,5,FALSE),0)</f>
        <v>0</v>
      </c>
      <c r="Q83">
        <f>IFERROR(Q35*'Input Data'!Q74*VLOOKUP(Q$54,'Energy Heat Value Conversion'!$A:$E,5,FALSE),0)</f>
        <v>4634984691.0947189</v>
      </c>
      <c r="R83">
        <f>IFERROR(R35*'Input Data'!R74*VLOOKUP(R$54,'Energy Heat Value Conversion'!$A:$E,5,FALSE),0)</f>
        <v>1561372765.3237221</v>
      </c>
      <c r="S83">
        <f>IFERROR(S35*'Input Data'!S74*VLOOKUP(S$54,'Energy Heat Value Conversion'!$A:$E,5,FALSE),0)</f>
        <v>390535584807.73309</v>
      </c>
      <c r="T83">
        <f>IFERROR(T35*'Input Data'!T74*VLOOKUP(T$54,'Energy Heat Value Conversion'!$A:$E,5,FALSE),0)</f>
        <v>8720479346.0202045</v>
      </c>
      <c r="U83">
        <f>IFERROR(U35*'Input Data'!U74*VLOOKUP(U$54,'Energy Heat Value Conversion'!$A:$E,5,FALSE),0)</f>
        <v>0</v>
      </c>
      <c r="V83">
        <f>IFERROR(V35*'Input Data'!V74*VLOOKUP(V$54,'Energy Heat Value Conversion'!$A:$E,5,FALSE),0)</f>
        <v>88760913116.515121</v>
      </c>
      <c r="W83">
        <f>IFERROR(W35*'Input Data'!W74*VLOOKUP(W$54,'Energy Heat Value Conversion'!$A:$E,5,FALSE),0)</f>
        <v>955154030.74083948</v>
      </c>
      <c r="X83">
        <f>IFERROR(X35*'Input Data'!X74*VLOOKUP(X$54,'Energy Heat Value Conversion'!$A:$E,5,FALSE),0)</f>
        <v>0</v>
      </c>
      <c r="Y83">
        <f>IFERROR(Y35*'Input Data'!Y74*VLOOKUP(Y$54,'Energy Heat Value Conversion'!$A:$E,5,FALSE),0)</f>
        <v>0</v>
      </c>
      <c r="Z83">
        <f>IFERROR(Z35*'Input Data'!Z74*VLOOKUP(Z$54,'Energy Heat Value Conversion'!$A:$E,5,FALSE),0)</f>
        <v>0</v>
      </c>
      <c r="AA83">
        <f>IFERROR(AA35*'Input Data'!AA74*VLOOKUP(AA$54,'Energy Heat Value Conversion'!$A:$E,5,FALSE),0)</f>
        <v>0</v>
      </c>
      <c r="AB83">
        <f>IFERROR(AB35*'Input Data'!AB74*VLOOKUP(AB$54,'Energy Heat Value Conversion'!$A:$E,5,FALSE),0)</f>
        <v>27366671580.691776</v>
      </c>
      <c r="AC83">
        <f>IFERROR(AC35*'Input Data'!AC74*VLOOKUP(AC$54,'Energy Heat Value Conversion'!$A:$E,5,FALSE),0)</f>
        <v>0</v>
      </c>
      <c r="AD83">
        <f>IFERROR(AD35*'Input Data'!AD74*VLOOKUP(AD$54,'Energy Heat Value Conversion'!$A:$E,5,FALSE),0)</f>
        <v>3362067645095.2495</v>
      </c>
      <c r="AE83">
        <f>IFERROR(AE35*'Input Data'!AE74*VLOOKUP(AE$54,'Energy Heat Value Conversion'!$A:$E,5,FALSE),0)</f>
        <v>3824877501752.4272</v>
      </c>
      <c r="AF83">
        <f>IFERROR(AF35*'Input Data'!AF74*VLOOKUP(AF$54,'Energy Heat Value Conversion'!$A:$E,5,FALSE),0)</f>
        <v>0</v>
      </c>
      <c r="AG83">
        <f>IFERROR(AG35*'Input Data'!AG74*VLOOKUP(AG$54,'Energy Heat Value Conversion'!$A:$E,5,FALSE),0)</f>
        <v>0</v>
      </c>
      <c r="AH83">
        <f>IFERROR(AH35*'Input Data'!AH74*VLOOKUP(AH$54,'Energy Heat Value Conversion'!$A:$E,5,FALSE),0)</f>
        <v>0</v>
      </c>
      <c r="AJ83" s="41" t="s">
        <v>599</v>
      </c>
    </row>
    <row r="84" spans="1:48" ht="17.25" x14ac:dyDescent="0.2">
      <c r="A84" s="206" t="str">
        <f>IFERROR(VLOOKUP(B84,'Sector Code Switch'!F:H,3,FALSE),"")</f>
        <v>other metals 242</v>
      </c>
      <c r="B84" s="138" t="s">
        <v>27</v>
      </c>
      <c r="C84">
        <f>IFERROR(C36*'Input Data'!C75*VLOOKUP(C$54,'Energy Heat Value Conversion'!$A:$E,5,FALSE),0)</f>
        <v>0</v>
      </c>
      <c r="D84">
        <f>IFERROR(D36*'Input Data'!D75*VLOOKUP(D$54,'Energy Heat Value Conversion'!$A:$E,5,FALSE),0)</f>
        <v>0</v>
      </c>
      <c r="E84">
        <f>IFERROR(E36*'Input Data'!E75*VLOOKUP(E$54,'Energy Heat Value Conversion'!$A:$E,5,FALSE),0)</f>
        <v>0</v>
      </c>
      <c r="F84">
        <f>IFERROR(F36*'Input Data'!F75*VLOOKUP(F$54,'Energy Heat Value Conversion'!$A:$E,5,FALSE),0)</f>
        <v>0</v>
      </c>
      <c r="G84">
        <f>IFERROR(G36*'Input Data'!G75*VLOOKUP(G$54,'Energy Heat Value Conversion'!$A:$E,5,FALSE),0)</f>
        <v>0</v>
      </c>
      <c r="H84">
        <f>IFERROR(H36*'Input Data'!H75*VLOOKUP(H$54,'Energy Heat Value Conversion'!$A:$E,5,FALSE),0)</f>
        <v>0</v>
      </c>
      <c r="I84">
        <f>IFERROR(I36*'Input Data'!I75*VLOOKUP(I$54,'Energy Heat Value Conversion'!$A:$E,5,FALSE),0)</f>
        <v>0</v>
      </c>
      <c r="J84">
        <f>IFERROR(J36*'Input Data'!J75*VLOOKUP(J$54,'Energy Heat Value Conversion'!$A:$E,5,FALSE),0)</f>
        <v>5702778704674.1318</v>
      </c>
      <c r="K84">
        <f>IFERROR(K36*'Input Data'!K75*VLOOKUP(K$54,'Energy Heat Value Conversion'!$A:$E,5,FALSE),0)</f>
        <v>0</v>
      </c>
      <c r="L84">
        <f>IFERROR(L36*'Input Data'!L75*VLOOKUP(L$54,'Energy Heat Value Conversion'!$A:$E,5,FALSE),0)</f>
        <v>0</v>
      </c>
      <c r="M84">
        <f>IFERROR(M36*'Input Data'!M75*VLOOKUP(M$54,'Energy Heat Value Conversion'!$A:$E,5,FALSE),0)</f>
        <v>0</v>
      </c>
      <c r="N84">
        <f>IFERROR(N36*'Input Data'!N75*VLOOKUP(N$54,'Energy Heat Value Conversion'!$A:$E,5,FALSE),0)</f>
        <v>747494489399.56775</v>
      </c>
      <c r="O84">
        <f>IFERROR(O36*'Input Data'!O75*VLOOKUP(O$54,'Energy Heat Value Conversion'!$A:$E,5,FALSE),0)</f>
        <v>0</v>
      </c>
      <c r="P84">
        <f>IFERROR(P36*'Input Data'!P75*VLOOKUP(P$54,'Energy Heat Value Conversion'!$A:$E,5,FALSE),0)</f>
        <v>0</v>
      </c>
      <c r="Q84">
        <f>IFERROR(Q36*'Input Data'!Q75*VLOOKUP(Q$54,'Energy Heat Value Conversion'!$A:$E,5,FALSE),0)</f>
        <v>4597904813.5659609</v>
      </c>
      <c r="R84">
        <f>IFERROR(R36*'Input Data'!R75*VLOOKUP(R$54,'Energy Heat Value Conversion'!$A:$E,5,FALSE),0)</f>
        <v>28885396158.488857</v>
      </c>
      <c r="S84">
        <f>IFERROR(S36*'Input Data'!S75*VLOOKUP(S$54,'Energy Heat Value Conversion'!$A:$E,5,FALSE),0)</f>
        <v>231174177673.73502</v>
      </c>
      <c r="T84">
        <f>IFERROR(T36*'Input Data'!T75*VLOOKUP(T$54,'Energy Heat Value Conversion'!$A:$E,5,FALSE),0)</f>
        <v>249341113152.87396</v>
      </c>
      <c r="U84">
        <f>IFERROR(U36*'Input Data'!U75*VLOOKUP(U$54,'Energy Heat Value Conversion'!$A:$E,5,FALSE),0)</f>
        <v>0</v>
      </c>
      <c r="V84">
        <f>IFERROR(V36*'Input Data'!V75*VLOOKUP(V$54,'Energy Heat Value Conversion'!$A:$E,5,FALSE),0)</f>
        <v>33027316508.470737</v>
      </c>
      <c r="W84">
        <f>IFERROR(W36*'Input Data'!W75*VLOOKUP(W$54,'Energy Heat Value Conversion'!$A:$E,5,FALSE),0)</f>
        <v>955154030.74083948</v>
      </c>
      <c r="X84">
        <f>IFERROR(X36*'Input Data'!X75*VLOOKUP(X$54,'Energy Heat Value Conversion'!$A:$E,5,FALSE),0)</f>
        <v>17238282061.17646</v>
      </c>
      <c r="Y84">
        <f>IFERROR(Y36*'Input Data'!Y75*VLOOKUP(Y$54,'Energy Heat Value Conversion'!$A:$E,5,FALSE),0)</f>
        <v>1966489224077.8792</v>
      </c>
      <c r="Z84">
        <f>IFERROR(Z36*'Input Data'!Z75*VLOOKUP(Z$54,'Energy Heat Value Conversion'!$A:$E,5,FALSE),0)</f>
        <v>0</v>
      </c>
      <c r="AA84">
        <f>IFERROR(AA36*'Input Data'!AA75*VLOOKUP(AA$54,'Energy Heat Value Conversion'!$A:$E,5,FALSE),0)</f>
        <v>0</v>
      </c>
      <c r="AB84">
        <f>IFERROR(AB36*'Input Data'!AB75*VLOOKUP(AB$54,'Energy Heat Value Conversion'!$A:$E,5,FALSE),0)</f>
        <v>0</v>
      </c>
      <c r="AC84">
        <f>IFERROR(AC36*'Input Data'!AC75*VLOOKUP(AC$54,'Energy Heat Value Conversion'!$A:$E,5,FALSE),0)</f>
        <v>0</v>
      </c>
      <c r="AD84">
        <f>IFERROR(AD36*'Input Data'!AD75*VLOOKUP(AD$54,'Energy Heat Value Conversion'!$A:$E,5,FALSE),0)</f>
        <v>1523719684288.5098</v>
      </c>
      <c r="AE84">
        <f>IFERROR(AE36*'Input Data'!AE75*VLOOKUP(AE$54,'Energy Heat Value Conversion'!$A:$E,5,FALSE),0)</f>
        <v>1211906976269.0237</v>
      </c>
      <c r="AF84">
        <f>IFERROR(AF36*'Input Data'!AF75*VLOOKUP(AF$54,'Energy Heat Value Conversion'!$A:$E,5,FALSE),0)</f>
        <v>0</v>
      </c>
      <c r="AG84">
        <f>IFERROR(AG36*'Input Data'!AG75*VLOOKUP(AG$54,'Energy Heat Value Conversion'!$A:$E,5,FALSE),0)</f>
        <v>0</v>
      </c>
      <c r="AH84">
        <f>IFERROR(AH36*'Input Data'!AH75*VLOOKUP(AH$54,'Energy Heat Value Conversion'!$A:$E,5,FALSE),0)</f>
        <v>0</v>
      </c>
      <c r="AJ84" s="200" t="s">
        <v>600</v>
      </c>
    </row>
    <row r="85" spans="1:48" x14ac:dyDescent="0.2">
      <c r="A85" s="206" t="str">
        <f>IFERROR(VLOOKUP(B85,'Sector Code Switch'!F:H,3,FALSE),"")</f>
        <v>metal products except machinery and vehicles 25</v>
      </c>
      <c r="B85" s="138" t="s">
        <v>28</v>
      </c>
      <c r="C85">
        <f>IFERROR(C37*'Input Data'!C76*VLOOKUP(C$54,'Energy Heat Value Conversion'!$A:$E,5,FALSE),0)</f>
        <v>0</v>
      </c>
      <c r="D85">
        <f>IFERROR(D37*'Input Data'!D76*VLOOKUP(D$54,'Energy Heat Value Conversion'!$A:$E,5,FALSE),0)</f>
        <v>0</v>
      </c>
      <c r="E85">
        <f>IFERROR(E37*'Input Data'!E76*VLOOKUP(E$54,'Energy Heat Value Conversion'!$A:$E,5,FALSE),0)</f>
        <v>0</v>
      </c>
      <c r="F85">
        <f>IFERROR(F37*'Input Data'!F76*VLOOKUP(F$54,'Energy Heat Value Conversion'!$A:$E,5,FALSE),0)</f>
        <v>0</v>
      </c>
      <c r="G85">
        <f>IFERROR(G37*'Input Data'!G76*VLOOKUP(G$54,'Energy Heat Value Conversion'!$A:$E,5,FALSE),0)</f>
        <v>0</v>
      </c>
      <c r="H85">
        <f>IFERROR(H37*'Input Data'!H76*VLOOKUP(H$54,'Energy Heat Value Conversion'!$A:$E,5,FALSE),0)</f>
        <v>0</v>
      </c>
      <c r="I85">
        <f>IFERROR(I37*'Input Data'!I76*VLOOKUP(I$54,'Energy Heat Value Conversion'!$A:$E,5,FALSE),0)</f>
        <v>0</v>
      </c>
      <c r="J85">
        <f>IFERROR(J37*'Input Data'!J76*VLOOKUP(J$54,'Energy Heat Value Conversion'!$A:$E,5,FALSE),0)</f>
        <v>775017766384.58777</v>
      </c>
      <c r="K85">
        <f>IFERROR(K37*'Input Data'!K76*VLOOKUP(K$54,'Energy Heat Value Conversion'!$A:$E,5,FALSE),0)</f>
        <v>0</v>
      </c>
      <c r="L85">
        <f>IFERROR(L37*'Input Data'!L76*VLOOKUP(L$54,'Energy Heat Value Conversion'!$A:$E,5,FALSE),0)</f>
        <v>0</v>
      </c>
      <c r="M85">
        <f>IFERROR(M37*'Input Data'!M76*VLOOKUP(M$54,'Energy Heat Value Conversion'!$A:$E,5,FALSE),0)</f>
        <v>0</v>
      </c>
      <c r="N85">
        <f>IFERROR(N37*'Input Data'!N76*VLOOKUP(N$54,'Energy Heat Value Conversion'!$A:$E,5,FALSE),0)</f>
        <v>229822105525.30124</v>
      </c>
      <c r="O85">
        <f>IFERROR(O37*'Input Data'!O76*VLOOKUP(O$54,'Energy Heat Value Conversion'!$A:$E,5,FALSE),0)</f>
        <v>0</v>
      </c>
      <c r="P85">
        <f>IFERROR(P37*'Input Data'!P76*VLOOKUP(P$54,'Energy Heat Value Conversion'!$A:$E,5,FALSE),0)</f>
        <v>0</v>
      </c>
      <c r="Q85">
        <f>IFERROR(Q37*'Input Data'!Q76*VLOOKUP(Q$54,'Energy Heat Value Conversion'!$A:$E,5,FALSE),0)</f>
        <v>15276909541.848194</v>
      </c>
      <c r="R85">
        <f>IFERROR(R37*'Input Data'!R76*VLOOKUP(R$54,'Energy Heat Value Conversion'!$A:$E,5,FALSE),0)</f>
        <v>23420591479.855831</v>
      </c>
      <c r="S85">
        <f>IFERROR(S37*'Input Data'!S76*VLOOKUP(S$54,'Energy Heat Value Conversion'!$A:$E,5,FALSE),0)</f>
        <v>125028608469.58192</v>
      </c>
      <c r="T85">
        <f>IFERROR(T37*'Input Data'!T76*VLOOKUP(T$54,'Energy Heat Value Conversion'!$A:$E,5,FALSE),0)</f>
        <v>24223553738.945007</v>
      </c>
      <c r="U85">
        <f>IFERROR(U37*'Input Data'!U76*VLOOKUP(U$54,'Energy Heat Value Conversion'!$A:$E,5,FALSE),0)</f>
        <v>0</v>
      </c>
      <c r="V85">
        <f>IFERROR(V37*'Input Data'!V76*VLOOKUP(V$54,'Energy Heat Value Conversion'!$A:$E,5,FALSE),0)</f>
        <v>45412560199.14727</v>
      </c>
      <c r="W85">
        <f>IFERROR(W37*'Input Data'!W76*VLOOKUP(W$54,'Energy Heat Value Conversion'!$A:$E,5,FALSE),0)</f>
        <v>2865462092.222518</v>
      </c>
      <c r="X85">
        <f>IFERROR(X37*'Input Data'!X76*VLOOKUP(X$54,'Energy Heat Value Conversion'!$A:$E,5,FALSE),0)</f>
        <v>3447656412.235292</v>
      </c>
      <c r="Y85">
        <f>IFERROR(Y37*'Input Data'!Y76*VLOOKUP(Y$54,'Energy Heat Value Conversion'!$A:$E,5,FALSE),0)</f>
        <v>23798277234.063511</v>
      </c>
      <c r="Z85">
        <f>IFERROR(Z37*'Input Data'!Z76*VLOOKUP(Z$54,'Energy Heat Value Conversion'!$A:$E,5,FALSE),0)</f>
        <v>0</v>
      </c>
      <c r="AA85">
        <f>IFERROR(AA37*'Input Data'!AA76*VLOOKUP(AA$54,'Energy Heat Value Conversion'!$A:$E,5,FALSE),0)</f>
        <v>0</v>
      </c>
      <c r="AB85">
        <f>IFERROR(AB37*'Input Data'!AB76*VLOOKUP(AB$54,'Energy Heat Value Conversion'!$A:$E,5,FALSE),0)</f>
        <v>0</v>
      </c>
      <c r="AC85">
        <f>IFERROR(AC37*'Input Data'!AC76*VLOOKUP(AC$54,'Energy Heat Value Conversion'!$A:$E,5,FALSE),0)</f>
        <v>0</v>
      </c>
      <c r="AD85">
        <f>IFERROR(AD37*'Input Data'!AD76*VLOOKUP(AD$54,'Energy Heat Value Conversion'!$A:$E,5,FALSE),0)</f>
        <v>941100508523.55652</v>
      </c>
      <c r="AE85">
        <f>IFERROR(AE37*'Input Data'!AE76*VLOOKUP(AE$54,'Energy Heat Value Conversion'!$A:$E,5,FALSE),0)</f>
        <v>2432384332195.0278</v>
      </c>
      <c r="AF85">
        <f>IFERROR(AF37*'Input Data'!AF76*VLOOKUP(AF$54,'Energy Heat Value Conversion'!$A:$E,5,FALSE),0)</f>
        <v>0</v>
      </c>
      <c r="AG85">
        <f>IFERROR(AG37*'Input Data'!AG76*VLOOKUP(AG$54,'Energy Heat Value Conversion'!$A:$E,5,FALSE),0)</f>
        <v>0</v>
      </c>
      <c r="AH85">
        <f>IFERROR(AH37*'Input Data'!AH76*VLOOKUP(AH$54,'Energy Heat Value Conversion'!$A:$E,5,FALSE),0)</f>
        <v>0</v>
      </c>
      <c r="AJ85" t="s">
        <v>601</v>
      </c>
    </row>
    <row r="86" spans="1:48" x14ac:dyDescent="0.2">
      <c r="A86" s="206" t="str">
        <f>IFERROR(VLOOKUP(B86,'Sector Code Switch'!F:H,3,FALSE),"")</f>
        <v>other manufacturing 31T33</v>
      </c>
      <c r="B86" s="138" t="s">
        <v>29</v>
      </c>
      <c r="C86">
        <f>IFERROR(C38*'Input Data'!C77*VLOOKUP(C$54,'Energy Heat Value Conversion'!$A:$E,5,FALSE),0)</f>
        <v>0</v>
      </c>
      <c r="D86">
        <f>IFERROR(D38*'Input Data'!D77*VLOOKUP(D$54,'Energy Heat Value Conversion'!$A:$E,5,FALSE),0)</f>
        <v>0</v>
      </c>
      <c r="E86">
        <f>IFERROR(E38*'Input Data'!E77*VLOOKUP(E$54,'Energy Heat Value Conversion'!$A:$E,5,FALSE),0)</f>
        <v>0</v>
      </c>
      <c r="F86">
        <f>IFERROR(F38*'Input Data'!F77*VLOOKUP(F$54,'Energy Heat Value Conversion'!$A:$E,5,FALSE),0)</f>
        <v>0</v>
      </c>
      <c r="G86">
        <f>IFERROR(G38*'Input Data'!G77*VLOOKUP(G$54,'Energy Heat Value Conversion'!$A:$E,5,FALSE),0)</f>
        <v>0</v>
      </c>
      <c r="H86">
        <f>IFERROR(H38*'Input Data'!H77*VLOOKUP(H$54,'Energy Heat Value Conversion'!$A:$E,5,FALSE),0)</f>
        <v>0</v>
      </c>
      <c r="I86">
        <f>IFERROR(I38*'Input Data'!I77*VLOOKUP(I$54,'Energy Heat Value Conversion'!$A:$E,5,FALSE),0)</f>
        <v>0</v>
      </c>
      <c r="J86">
        <f>IFERROR(J38*'Input Data'!J77*VLOOKUP(J$54,'Energy Heat Value Conversion'!$A:$E,5,FALSE),0)</f>
        <v>282483111112.13947</v>
      </c>
      <c r="K86">
        <f>IFERROR(K38*'Input Data'!K77*VLOOKUP(K$54,'Energy Heat Value Conversion'!$A:$E,5,FALSE),0)</f>
        <v>0</v>
      </c>
      <c r="L86">
        <f>IFERROR(L38*'Input Data'!L77*VLOOKUP(L$54,'Energy Heat Value Conversion'!$A:$E,5,FALSE),0)</f>
        <v>0</v>
      </c>
      <c r="M86">
        <f>IFERROR(M38*'Input Data'!M77*VLOOKUP(M$54,'Energy Heat Value Conversion'!$A:$E,5,FALSE),0)</f>
        <v>0</v>
      </c>
      <c r="N86">
        <f>IFERROR(N38*'Input Data'!N77*VLOOKUP(N$54,'Energy Heat Value Conversion'!$A:$E,5,FALSE),0)</f>
        <v>0</v>
      </c>
      <c r="O86">
        <f>IFERROR(O38*'Input Data'!O77*VLOOKUP(O$54,'Energy Heat Value Conversion'!$A:$E,5,FALSE),0)</f>
        <v>0</v>
      </c>
      <c r="P86">
        <f>IFERROR(P38*'Input Data'!P77*VLOOKUP(P$54,'Energy Heat Value Conversion'!$A:$E,5,FALSE),0)</f>
        <v>0</v>
      </c>
      <c r="Q86">
        <f>IFERROR(Q38*'Input Data'!Q77*VLOOKUP(Q$54,'Energy Heat Value Conversion'!$A:$E,5,FALSE),0)</f>
        <v>20171453375.644218</v>
      </c>
      <c r="R86">
        <f>IFERROR(R38*'Input Data'!R77*VLOOKUP(R$54,'Energy Heat Value Conversion'!$A:$E,5,FALSE),0)</f>
        <v>112418839103.30798</v>
      </c>
      <c r="S86">
        <f>IFERROR(S38*'Input Data'!S77*VLOOKUP(S$54,'Energy Heat Value Conversion'!$A:$E,5,FALSE),0)</f>
        <v>140001523442.6745</v>
      </c>
      <c r="T86">
        <f>IFERROR(T38*'Input Data'!T77*VLOOKUP(T$54,'Energy Heat Value Conversion'!$A:$E,5,FALSE),0)</f>
        <v>14534132243.367006</v>
      </c>
      <c r="U86">
        <f>IFERROR(U38*'Input Data'!U77*VLOOKUP(U$54,'Energy Heat Value Conversion'!$A:$E,5,FALSE),0)</f>
        <v>0</v>
      </c>
      <c r="V86">
        <f>IFERROR(V38*'Input Data'!V77*VLOOKUP(V$54,'Energy Heat Value Conversion'!$A:$E,5,FALSE),0)</f>
        <v>247704873813.53058</v>
      </c>
      <c r="W86">
        <f>IFERROR(W38*'Input Data'!W77*VLOOKUP(W$54,'Energy Heat Value Conversion'!$A:$E,5,FALSE),0)</f>
        <v>13372156430.371754</v>
      </c>
      <c r="X86">
        <f>IFERROR(X38*'Input Data'!X77*VLOOKUP(X$54,'Energy Heat Value Conversion'!$A:$E,5,FALSE),0)</f>
        <v>6895312824.4705839</v>
      </c>
      <c r="Y86">
        <f>IFERROR(Y38*'Input Data'!Y77*VLOOKUP(Y$54,'Energy Heat Value Conversion'!$A:$E,5,FALSE),0)</f>
        <v>0</v>
      </c>
      <c r="Z86">
        <f>IFERROR(Z38*'Input Data'!Z77*VLOOKUP(Z$54,'Energy Heat Value Conversion'!$A:$E,5,FALSE),0)</f>
        <v>0</v>
      </c>
      <c r="AA86">
        <f>IFERROR(AA38*'Input Data'!AA77*VLOOKUP(AA$54,'Energy Heat Value Conversion'!$A:$E,5,FALSE),0)</f>
        <v>0</v>
      </c>
      <c r="AB86">
        <f>IFERROR(AB38*'Input Data'!AB77*VLOOKUP(AB$54,'Energy Heat Value Conversion'!$A:$E,5,FALSE),0)</f>
        <v>0</v>
      </c>
      <c r="AC86">
        <f>IFERROR(AC38*'Input Data'!AC77*VLOOKUP(AC$54,'Energy Heat Value Conversion'!$A:$E,5,FALSE),0)</f>
        <v>0</v>
      </c>
      <c r="AD86">
        <f>IFERROR(AD38*'Input Data'!AD77*VLOOKUP(AD$54,'Energy Heat Value Conversion'!$A:$E,5,FALSE),0)</f>
        <v>726011708868.39453</v>
      </c>
      <c r="AE86">
        <f>IFERROR(AE38*'Input Data'!AE77*VLOOKUP(AE$54,'Energy Heat Value Conversion'!$A:$E,5,FALSE),0)</f>
        <v>469103877482.72638</v>
      </c>
      <c r="AF86">
        <f>IFERROR(AF38*'Input Data'!AF77*VLOOKUP(AF$54,'Energy Heat Value Conversion'!$A:$E,5,FALSE),0)</f>
        <v>0</v>
      </c>
      <c r="AG86">
        <f>IFERROR(AG38*'Input Data'!AG77*VLOOKUP(AG$54,'Energy Heat Value Conversion'!$A:$E,5,FALSE),0)</f>
        <v>0</v>
      </c>
      <c r="AH86">
        <f>IFERROR(AH38*'Input Data'!AH77*VLOOKUP(AH$54,'Energy Heat Value Conversion'!$A:$E,5,FALSE),0)</f>
        <v>0</v>
      </c>
      <c r="AJ86" t="s">
        <v>603</v>
      </c>
    </row>
    <row r="87" spans="1:48" x14ac:dyDescent="0.2">
      <c r="A87" s="206" t="str">
        <f>IFERROR(VLOOKUP(B87,'Sector Code Switch'!F:H,3,FALSE),"")</f>
        <v>cement and other nonmetallic minerals 239</v>
      </c>
      <c r="B87" s="138" t="s">
        <v>30</v>
      </c>
      <c r="C87">
        <f>IFERROR(C39*'Input Data'!C78*VLOOKUP(C$54,'Energy Heat Value Conversion'!$A:$E,5,FALSE),0)</f>
        <v>0</v>
      </c>
      <c r="D87">
        <f>IFERROR(D39*'Input Data'!D78*VLOOKUP(D$54,'Energy Heat Value Conversion'!$A:$E,5,FALSE),0)</f>
        <v>0</v>
      </c>
      <c r="E87">
        <f>IFERROR(E39*'Input Data'!E78*VLOOKUP(E$54,'Energy Heat Value Conversion'!$A:$E,5,FALSE),0)</f>
        <v>0</v>
      </c>
      <c r="F87">
        <f>IFERROR(F39*'Input Data'!F78*VLOOKUP(F$54,'Energy Heat Value Conversion'!$A:$E,5,FALSE),0)</f>
        <v>0</v>
      </c>
      <c r="G87">
        <f>IFERROR(G39*'Input Data'!G78*VLOOKUP(G$54,'Energy Heat Value Conversion'!$A:$E,5,FALSE),0)</f>
        <v>0</v>
      </c>
      <c r="H87">
        <f>IFERROR(H39*'Input Data'!H78*VLOOKUP(H$54,'Energy Heat Value Conversion'!$A:$E,5,FALSE),0)</f>
        <v>0</v>
      </c>
      <c r="I87">
        <f>IFERROR(I39*'Input Data'!I78*VLOOKUP(I$54,'Energy Heat Value Conversion'!$A:$E,5,FALSE),0)</f>
        <v>0</v>
      </c>
      <c r="J87">
        <f>IFERROR(J39*'Input Data'!J78*VLOOKUP(J$54,'Energy Heat Value Conversion'!$A:$E,5,FALSE),0)</f>
        <v>79674723647.013687</v>
      </c>
      <c r="K87">
        <f>IFERROR(K39*'Input Data'!K78*VLOOKUP(K$54,'Energy Heat Value Conversion'!$A:$E,5,FALSE),0)</f>
        <v>0</v>
      </c>
      <c r="L87">
        <f>IFERROR(L39*'Input Data'!L78*VLOOKUP(L$54,'Energy Heat Value Conversion'!$A:$E,5,FALSE),0)</f>
        <v>0</v>
      </c>
      <c r="M87">
        <f>IFERROR(M39*'Input Data'!M78*VLOOKUP(M$54,'Energy Heat Value Conversion'!$A:$E,5,FALSE),0)</f>
        <v>0</v>
      </c>
      <c r="N87">
        <f>IFERROR(N39*'Input Data'!N78*VLOOKUP(N$54,'Energy Heat Value Conversion'!$A:$E,5,FALSE),0)</f>
        <v>211497419370.45996</v>
      </c>
      <c r="O87">
        <f>IFERROR(O39*'Input Data'!O78*VLOOKUP(O$54,'Energy Heat Value Conversion'!$A:$E,5,FALSE),0)</f>
        <v>0</v>
      </c>
      <c r="P87">
        <f>IFERROR(P39*'Input Data'!P78*VLOOKUP(P$54,'Energy Heat Value Conversion'!$A:$E,5,FALSE),0)</f>
        <v>0</v>
      </c>
      <c r="Q87">
        <f>IFERROR(Q39*'Input Data'!Q78*VLOOKUP(Q$54,'Energy Heat Value Conversion'!$A:$E,5,FALSE),0)</f>
        <v>15388149174.434469</v>
      </c>
      <c r="R87">
        <f>IFERROR(R39*'Input Data'!R78*VLOOKUP(R$54,'Energy Heat Value Conversion'!$A:$E,5,FALSE),0)</f>
        <v>68700401674.243774</v>
      </c>
      <c r="S87">
        <f>IFERROR(S39*'Input Data'!S78*VLOOKUP(S$54,'Energy Heat Value Conversion'!$A:$E,5,FALSE),0)</f>
        <v>143148696653.57932</v>
      </c>
      <c r="T87">
        <f>IFERROR(T39*'Input Data'!T78*VLOOKUP(T$54,'Energy Heat Value Conversion'!$A:$E,5,FALSE),0)</f>
        <v>12273267227.732138</v>
      </c>
      <c r="U87">
        <f>IFERROR(U39*'Input Data'!U78*VLOOKUP(U$54,'Energy Heat Value Conversion'!$A:$E,5,FALSE),0)</f>
        <v>0</v>
      </c>
      <c r="V87">
        <f>IFERROR(V39*'Input Data'!V78*VLOOKUP(V$54,'Energy Heat Value Conversion'!$A:$E,5,FALSE),0)</f>
        <v>253897495658.8688</v>
      </c>
      <c r="W87">
        <f>IFERROR(W39*'Input Data'!W78*VLOOKUP(W$54,'Energy Heat Value Conversion'!$A:$E,5,FALSE),0)</f>
        <v>2865462092.222518</v>
      </c>
      <c r="X87">
        <f>IFERROR(X39*'Input Data'!X78*VLOOKUP(X$54,'Energy Heat Value Conversion'!$A:$E,5,FALSE),0)</f>
        <v>6895312824.4705839</v>
      </c>
      <c r="Y87">
        <f>IFERROR(Y39*'Input Data'!Y78*VLOOKUP(Y$54,'Energy Heat Value Conversion'!$A:$E,5,FALSE),0)</f>
        <v>0</v>
      </c>
      <c r="Z87">
        <f>IFERROR(Z39*'Input Data'!Z78*VLOOKUP(Z$54,'Energy Heat Value Conversion'!$A:$E,5,FALSE),0)</f>
        <v>0</v>
      </c>
      <c r="AA87">
        <f>IFERROR(AA39*'Input Data'!AA78*VLOOKUP(AA$54,'Energy Heat Value Conversion'!$A:$E,5,FALSE),0)</f>
        <v>0</v>
      </c>
      <c r="AB87">
        <f>IFERROR(AB39*'Input Data'!AB78*VLOOKUP(AB$54,'Energy Heat Value Conversion'!$A:$E,5,FALSE),0)</f>
        <v>0</v>
      </c>
      <c r="AC87">
        <f>IFERROR(AC39*'Input Data'!AC78*VLOOKUP(AC$54,'Energy Heat Value Conversion'!$A:$E,5,FALSE),0)</f>
        <v>0</v>
      </c>
      <c r="AD87">
        <f>IFERROR(AD39*'Input Data'!AD78*VLOOKUP(AD$54,'Energy Heat Value Conversion'!$A:$E,5,FALSE),0)</f>
        <v>367530376109.79126</v>
      </c>
      <c r="AE87">
        <f>IFERROR(AE39*'Input Data'!AE78*VLOOKUP(AE$54,'Energy Heat Value Conversion'!$A:$E,5,FALSE),0)</f>
        <v>517263881877.75867</v>
      </c>
      <c r="AF87">
        <f>IFERROR(AF39*'Input Data'!AF78*VLOOKUP(AF$54,'Energy Heat Value Conversion'!$A:$E,5,FALSE),0)</f>
        <v>0</v>
      </c>
      <c r="AG87">
        <f>IFERROR(AG39*'Input Data'!AG78*VLOOKUP(AG$54,'Energy Heat Value Conversion'!$A:$E,5,FALSE),0)</f>
        <v>0</v>
      </c>
      <c r="AH87">
        <f>IFERROR(AH39*'Input Data'!AH78*VLOOKUP(AH$54,'Energy Heat Value Conversion'!$A:$E,5,FALSE),0)</f>
        <v>0</v>
      </c>
      <c r="AJ87" t="s">
        <v>602</v>
      </c>
    </row>
    <row r="88" spans="1:48" x14ac:dyDescent="0.2">
      <c r="A88" s="206" t="str">
        <f>IFERROR(VLOOKUP(B88,'Sector Code Switch'!F:H,3,FALSE),"")</f>
        <v>road vehicles 29</v>
      </c>
      <c r="B88" s="138" t="s">
        <v>31</v>
      </c>
      <c r="C88">
        <f>IFERROR(C40*'Input Data'!C79*VLOOKUP(C$54,'Energy Heat Value Conversion'!$A:$E,5,FALSE),0)</f>
        <v>0</v>
      </c>
      <c r="D88">
        <f>IFERROR(D40*'Input Data'!D79*VLOOKUP(D$54,'Energy Heat Value Conversion'!$A:$E,5,FALSE),0)</f>
        <v>0</v>
      </c>
      <c r="E88">
        <f>IFERROR(E40*'Input Data'!E79*VLOOKUP(E$54,'Energy Heat Value Conversion'!$A:$E,5,FALSE),0)</f>
        <v>0</v>
      </c>
      <c r="F88">
        <f>IFERROR(F40*'Input Data'!F79*VLOOKUP(F$54,'Energy Heat Value Conversion'!$A:$E,5,FALSE),0)</f>
        <v>0</v>
      </c>
      <c r="G88">
        <f>IFERROR(G40*'Input Data'!G79*VLOOKUP(G$54,'Energy Heat Value Conversion'!$A:$E,5,FALSE),0)</f>
        <v>0</v>
      </c>
      <c r="H88">
        <f>IFERROR(H40*'Input Data'!H79*VLOOKUP(H$54,'Energy Heat Value Conversion'!$A:$E,5,FALSE),0)</f>
        <v>0</v>
      </c>
      <c r="I88">
        <f>IFERROR(I40*'Input Data'!I79*VLOOKUP(I$54,'Energy Heat Value Conversion'!$A:$E,5,FALSE),0)</f>
        <v>0</v>
      </c>
      <c r="J88">
        <f>IFERROR(J40*'Input Data'!J79*VLOOKUP(J$54,'Energy Heat Value Conversion'!$A:$E,5,FALSE),0)</f>
        <v>14486313390.366125</v>
      </c>
      <c r="K88">
        <f>IFERROR(K40*'Input Data'!K79*VLOOKUP(K$54,'Energy Heat Value Conversion'!$A:$E,5,FALSE),0)</f>
        <v>0</v>
      </c>
      <c r="L88">
        <f>IFERROR(L40*'Input Data'!L79*VLOOKUP(L$54,'Energy Heat Value Conversion'!$A:$E,5,FALSE),0)</f>
        <v>0</v>
      </c>
      <c r="M88">
        <f>IFERROR(M40*'Input Data'!M79*VLOOKUP(M$54,'Energy Heat Value Conversion'!$A:$E,5,FALSE),0)</f>
        <v>0</v>
      </c>
      <c r="N88">
        <f>IFERROR(N40*'Input Data'!N79*VLOOKUP(N$54,'Energy Heat Value Conversion'!$A:$E,5,FALSE),0)</f>
        <v>0</v>
      </c>
      <c r="O88">
        <f>IFERROR(O40*'Input Data'!O79*VLOOKUP(O$54,'Energy Heat Value Conversion'!$A:$E,5,FALSE),0)</f>
        <v>0</v>
      </c>
      <c r="P88">
        <f>IFERROR(P40*'Input Data'!P79*VLOOKUP(P$54,'Energy Heat Value Conversion'!$A:$E,5,FALSE),0)</f>
        <v>0</v>
      </c>
      <c r="Q88">
        <f>IFERROR(Q40*'Input Data'!Q79*VLOOKUP(Q$54,'Energy Heat Value Conversion'!$A:$E,5,FALSE),0)</f>
        <v>25251396597.084026</v>
      </c>
      <c r="R88">
        <f>IFERROR(R40*'Input Data'!R79*VLOOKUP(R$54,'Energy Heat Value Conversion'!$A:$E,5,FALSE),0)</f>
        <v>18736473183.884663</v>
      </c>
      <c r="S88">
        <f>IFERROR(S40*'Input Data'!S79*VLOOKUP(S$54,'Energy Heat Value Conversion'!$A:$E,5,FALSE),0)</f>
        <v>155737389497.19855</v>
      </c>
      <c r="T88">
        <f>IFERROR(T40*'Input Data'!T79*VLOOKUP(T$54,'Energy Heat Value Conversion'!$A:$E,5,FALSE),0)</f>
        <v>5490672180.8275356</v>
      </c>
      <c r="U88">
        <f>IFERROR(U40*'Input Data'!U79*VLOOKUP(U$54,'Energy Heat Value Conversion'!$A:$E,5,FALSE),0)</f>
        <v>0</v>
      </c>
      <c r="V88">
        <f>IFERROR(V40*'Input Data'!V79*VLOOKUP(V$54,'Energy Heat Value Conversion'!$A:$E,5,FALSE),0)</f>
        <v>575225762522.5321</v>
      </c>
      <c r="W88">
        <f>IFERROR(W40*'Input Data'!W79*VLOOKUP(W$54,'Energy Heat Value Conversion'!$A:$E,5,FALSE),0)</f>
        <v>955154030.74083948</v>
      </c>
      <c r="X88">
        <f>IFERROR(X40*'Input Data'!X79*VLOOKUP(X$54,'Energy Heat Value Conversion'!$A:$E,5,FALSE),0)</f>
        <v>20685938473.411747</v>
      </c>
      <c r="Y88">
        <f>IFERROR(Y40*'Input Data'!Y79*VLOOKUP(Y$54,'Energy Heat Value Conversion'!$A:$E,5,FALSE),0)</f>
        <v>1252540907.0559742</v>
      </c>
      <c r="Z88">
        <f>IFERROR(Z40*'Input Data'!Z79*VLOOKUP(Z$54,'Energy Heat Value Conversion'!$A:$E,5,FALSE),0)</f>
        <v>0</v>
      </c>
      <c r="AA88">
        <f>IFERROR(AA40*'Input Data'!AA79*VLOOKUP(AA$54,'Energy Heat Value Conversion'!$A:$E,5,FALSE),0)</f>
        <v>0</v>
      </c>
      <c r="AB88">
        <f>IFERROR(AB40*'Input Data'!AB79*VLOOKUP(AB$54,'Energy Heat Value Conversion'!$A:$E,5,FALSE),0)</f>
        <v>0</v>
      </c>
      <c r="AC88">
        <f>IFERROR(AC40*'Input Data'!AC79*VLOOKUP(AC$54,'Energy Heat Value Conversion'!$A:$E,5,FALSE),0)</f>
        <v>0</v>
      </c>
      <c r="AD88">
        <f>IFERROR(AD40*'Input Data'!AD79*VLOOKUP(AD$54,'Energy Heat Value Conversion'!$A:$E,5,FALSE),0)</f>
        <v>478903217355.1825</v>
      </c>
      <c r="AE88">
        <f>IFERROR(AE40*'Input Data'!AE79*VLOOKUP(AE$54,'Energy Heat Value Conversion'!$A:$E,5,FALSE),0)</f>
        <v>881256199825.51782</v>
      </c>
      <c r="AF88">
        <f>IFERROR(AF40*'Input Data'!AF79*VLOOKUP(AF$54,'Energy Heat Value Conversion'!$A:$E,5,FALSE),0)</f>
        <v>0</v>
      </c>
      <c r="AG88">
        <f>IFERROR(AG40*'Input Data'!AG79*VLOOKUP(AG$54,'Energy Heat Value Conversion'!$A:$E,5,FALSE),0)</f>
        <v>0</v>
      </c>
      <c r="AH88">
        <f>IFERROR(AH40*'Input Data'!AH79*VLOOKUP(AH$54,'Energy Heat Value Conversion'!$A:$E,5,FALSE),0)</f>
        <v>0</v>
      </c>
    </row>
    <row r="89" spans="1:48" x14ac:dyDescent="0.2">
      <c r="A89" s="206" t="str">
        <f>IFERROR(VLOOKUP(B89,'Sector Code Switch'!F:H,3,FALSE),"")</f>
        <v>nonroad vehicles 30</v>
      </c>
      <c r="B89" s="138" t="s">
        <v>32</v>
      </c>
      <c r="C89">
        <f>IFERROR(C41*'Input Data'!C80*VLOOKUP(C$54,'Energy Heat Value Conversion'!$A:$E,5,FALSE),0)</f>
        <v>0</v>
      </c>
      <c r="D89">
        <f>IFERROR(D41*'Input Data'!D80*VLOOKUP(D$54,'Energy Heat Value Conversion'!$A:$E,5,FALSE),0)</f>
        <v>0</v>
      </c>
      <c r="E89">
        <f>IFERROR(E41*'Input Data'!E80*VLOOKUP(E$54,'Energy Heat Value Conversion'!$A:$E,5,FALSE),0)</f>
        <v>0</v>
      </c>
      <c r="F89">
        <f>IFERROR(F41*'Input Data'!F80*VLOOKUP(F$54,'Energy Heat Value Conversion'!$A:$E,5,FALSE),0)</f>
        <v>0</v>
      </c>
      <c r="G89">
        <f>IFERROR(G41*'Input Data'!G80*VLOOKUP(G$54,'Energy Heat Value Conversion'!$A:$E,5,FALSE),0)</f>
        <v>0</v>
      </c>
      <c r="H89">
        <f>IFERROR(H41*'Input Data'!H80*VLOOKUP(H$54,'Energy Heat Value Conversion'!$A:$E,5,FALSE),0)</f>
        <v>0</v>
      </c>
      <c r="I89">
        <f>IFERROR(I41*'Input Data'!I80*VLOOKUP(I$54,'Energy Heat Value Conversion'!$A:$E,5,FALSE),0)</f>
        <v>0</v>
      </c>
      <c r="J89">
        <f>IFERROR(J41*'Input Data'!J80*VLOOKUP(J$54,'Energy Heat Value Conversion'!$A:$E,5,FALSE),0)</f>
        <v>57945253561.4645</v>
      </c>
      <c r="K89">
        <f>IFERROR(K41*'Input Data'!K80*VLOOKUP(K$54,'Energy Heat Value Conversion'!$A:$E,5,FALSE),0)</f>
        <v>0</v>
      </c>
      <c r="L89">
        <f>IFERROR(L41*'Input Data'!L80*VLOOKUP(L$54,'Energy Heat Value Conversion'!$A:$E,5,FALSE),0)</f>
        <v>0</v>
      </c>
      <c r="M89">
        <f>IFERROR(M41*'Input Data'!M80*VLOOKUP(M$54,'Energy Heat Value Conversion'!$A:$E,5,FALSE),0)</f>
        <v>0</v>
      </c>
      <c r="N89">
        <f>IFERROR(N41*'Input Data'!N80*VLOOKUP(N$54,'Energy Heat Value Conversion'!$A:$E,5,FALSE),0)</f>
        <v>0</v>
      </c>
      <c r="O89">
        <f>IFERROR(O41*'Input Data'!O80*VLOOKUP(O$54,'Energy Heat Value Conversion'!$A:$E,5,FALSE),0)</f>
        <v>0</v>
      </c>
      <c r="P89">
        <f>IFERROR(P41*'Input Data'!P80*VLOOKUP(P$54,'Energy Heat Value Conversion'!$A:$E,5,FALSE),0)</f>
        <v>0</v>
      </c>
      <c r="Q89">
        <f>IFERROR(Q41*'Input Data'!Q80*VLOOKUP(Q$54,'Energy Heat Value Conversion'!$A:$E,5,FALSE),0)</f>
        <v>5024323405.1466751</v>
      </c>
      <c r="R89">
        <f>IFERROR(R41*'Input Data'!R80*VLOOKUP(R$54,'Energy Heat Value Conversion'!$A:$E,5,FALSE),0)</f>
        <v>101489229746.04195</v>
      </c>
      <c r="S89">
        <f>IFERROR(S41*'Input Data'!S80*VLOOKUP(S$54,'Energy Heat Value Conversion'!$A:$E,5,FALSE),0)</f>
        <v>72384983850.810593</v>
      </c>
      <c r="T89">
        <f>IFERROR(T41*'Input Data'!T80*VLOOKUP(T$54,'Energy Heat Value Conversion'!$A:$E,5,FALSE),0)</f>
        <v>31652110218.888145</v>
      </c>
      <c r="U89">
        <f>IFERROR(U41*'Input Data'!U80*VLOOKUP(U$54,'Energy Heat Value Conversion'!$A:$E,5,FALSE),0)</f>
        <v>0</v>
      </c>
      <c r="V89">
        <f>IFERROR(V41*'Input Data'!V80*VLOOKUP(V$54,'Energy Heat Value Conversion'!$A:$E,5,FALSE),0)</f>
        <v>23394349193.500111</v>
      </c>
      <c r="W89">
        <f>IFERROR(W41*'Input Data'!W80*VLOOKUP(W$54,'Energy Heat Value Conversion'!$A:$E,5,FALSE),0)</f>
        <v>21013388676.298466</v>
      </c>
      <c r="X89">
        <f>IFERROR(X41*'Input Data'!X80*VLOOKUP(X$54,'Energy Heat Value Conversion'!$A:$E,5,FALSE),0)</f>
        <v>5171484618.3529367</v>
      </c>
      <c r="Y89">
        <f>IFERROR(Y41*'Input Data'!Y80*VLOOKUP(Y$54,'Energy Heat Value Conversion'!$A:$E,5,FALSE),0)</f>
        <v>0</v>
      </c>
      <c r="Z89">
        <f>IFERROR(Z41*'Input Data'!Z80*VLOOKUP(Z$54,'Energy Heat Value Conversion'!$A:$E,5,FALSE),0)</f>
        <v>0</v>
      </c>
      <c r="AA89">
        <f>IFERROR(AA41*'Input Data'!AA80*VLOOKUP(AA$54,'Energy Heat Value Conversion'!$A:$E,5,FALSE),0)</f>
        <v>0</v>
      </c>
      <c r="AB89">
        <f>IFERROR(AB41*'Input Data'!AB80*VLOOKUP(AB$54,'Energy Heat Value Conversion'!$A:$E,5,FALSE),0)</f>
        <v>0</v>
      </c>
      <c r="AC89">
        <f>IFERROR(AC41*'Input Data'!AC80*VLOOKUP(AC$54,'Energy Heat Value Conversion'!$A:$E,5,FALSE),0)</f>
        <v>0</v>
      </c>
      <c r="AD89">
        <f>IFERROR(AD41*'Input Data'!AD80*VLOOKUP(AD$54,'Energy Heat Value Conversion'!$A:$E,5,FALSE),0)</f>
        <v>347344048634.06415</v>
      </c>
      <c r="AE89">
        <f>IFERROR(AE41*'Input Data'!AE80*VLOOKUP(AE$54,'Energy Heat Value Conversion'!$A:$E,5,FALSE),0)</f>
        <v>704595793347.7583</v>
      </c>
      <c r="AF89">
        <f>IFERROR(AF41*'Input Data'!AF80*VLOOKUP(AF$54,'Energy Heat Value Conversion'!$A:$E,5,FALSE),0)</f>
        <v>0</v>
      </c>
      <c r="AG89">
        <f>IFERROR(AG41*'Input Data'!AG80*VLOOKUP(AG$54,'Energy Heat Value Conversion'!$A:$E,5,FALSE),0)</f>
        <v>0</v>
      </c>
      <c r="AH89">
        <f>IFERROR(AH41*'Input Data'!AH80*VLOOKUP(AH$54,'Energy Heat Value Conversion'!$A:$E,5,FALSE),0)</f>
        <v>0</v>
      </c>
    </row>
    <row r="90" spans="1:48" x14ac:dyDescent="0.2">
      <c r="A90" s="206" t="str">
        <f>IFERROR(VLOOKUP(B90,'Sector Code Switch'!F:H,3,FALSE),"")</f>
        <v>appliances and electrical equipment 27</v>
      </c>
      <c r="B90" s="138" t="s">
        <v>33</v>
      </c>
      <c r="C90">
        <f>IFERROR(C42*'Input Data'!C81*VLOOKUP(C$54,'Energy Heat Value Conversion'!$A:$E,5,FALSE),0)</f>
        <v>0</v>
      </c>
      <c r="D90">
        <f>IFERROR(D42*'Input Data'!D81*VLOOKUP(D$54,'Energy Heat Value Conversion'!$A:$E,5,FALSE),0)</f>
        <v>0</v>
      </c>
      <c r="E90">
        <f>IFERROR(E42*'Input Data'!E81*VLOOKUP(E$54,'Energy Heat Value Conversion'!$A:$E,5,FALSE),0)</f>
        <v>0</v>
      </c>
      <c r="F90">
        <f>IFERROR(F42*'Input Data'!F81*VLOOKUP(F$54,'Energy Heat Value Conversion'!$A:$E,5,FALSE),0)</f>
        <v>0</v>
      </c>
      <c r="G90">
        <f>IFERROR(G42*'Input Data'!G81*VLOOKUP(G$54,'Energy Heat Value Conversion'!$A:$E,5,FALSE),0)</f>
        <v>0</v>
      </c>
      <c r="H90">
        <f>IFERROR(H42*'Input Data'!H81*VLOOKUP(H$54,'Energy Heat Value Conversion'!$A:$E,5,FALSE),0)</f>
        <v>0</v>
      </c>
      <c r="I90">
        <f>IFERROR(I42*'Input Data'!I81*VLOOKUP(I$54,'Energy Heat Value Conversion'!$A:$E,5,FALSE),0)</f>
        <v>0</v>
      </c>
      <c r="J90">
        <f>IFERROR(J42*'Input Data'!J81*VLOOKUP(J$54,'Energy Heat Value Conversion'!$A:$E,5,FALSE),0)</f>
        <v>0</v>
      </c>
      <c r="K90">
        <f>IFERROR(K42*'Input Data'!K81*VLOOKUP(K$54,'Energy Heat Value Conversion'!$A:$E,5,FALSE),0)</f>
        <v>0</v>
      </c>
      <c r="L90">
        <f>IFERROR(L42*'Input Data'!L81*VLOOKUP(L$54,'Energy Heat Value Conversion'!$A:$E,5,FALSE),0)</f>
        <v>0</v>
      </c>
      <c r="M90">
        <f>IFERROR(M42*'Input Data'!M81*VLOOKUP(M$54,'Energy Heat Value Conversion'!$A:$E,5,FALSE),0)</f>
        <v>0</v>
      </c>
      <c r="N90">
        <f>IFERROR(N42*'Input Data'!N81*VLOOKUP(N$54,'Energy Heat Value Conversion'!$A:$E,5,FALSE),0)</f>
        <v>0</v>
      </c>
      <c r="O90">
        <f>IFERROR(O42*'Input Data'!O81*VLOOKUP(O$54,'Energy Heat Value Conversion'!$A:$E,5,FALSE),0)</f>
        <v>0</v>
      </c>
      <c r="P90">
        <f>IFERROR(P42*'Input Data'!P81*VLOOKUP(P$54,'Energy Heat Value Conversion'!$A:$E,5,FALSE),0)</f>
        <v>0</v>
      </c>
      <c r="Q90">
        <f>IFERROR(Q42*'Input Data'!Q81*VLOOKUP(Q$54,'Energy Heat Value Conversion'!$A:$E,5,FALSE),0)</f>
        <v>19021977172.252724</v>
      </c>
      <c r="R90">
        <f>IFERROR(R42*'Input Data'!R81*VLOOKUP(R$54,'Energy Heat Value Conversion'!$A:$E,5,FALSE),0)</f>
        <v>9368236591.9423313</v>
      </c>
      <c r="S90">
        <f>IFERROR(S42*'Input Data'!S81*VLOOKUP(S$54,'Energy Heat Value Conversion'!$A:$E,5,FALSE),0)</f>
        <v>61894406481.127899</v>
      </c>
      <c r="T90">
        <f>IFERROR(T42*'Input Data'!T81*VLOOKUP(T$54,'Energy Heat Value Conversion'!$A:$E,5,FALSE),0)</f>
        <v>38434705265.792747</v>
      </c>
      <c r="U90">
        <f>IFERROR(U42*'Input Data'!U81*VLOOKUP(U$54,'Energy Heat Value Conversion'!$A:$E,5,FALSE),0)</f>
        <v>0</v>
      </c>
      <c r="V90">
        <f>IFERROR(V42*'Input Data'!V81*VLOOKUP(V$54,'Energy Heat Value Conversion'!$A:$E,5,FALSE),0)</f>
        <v>130045058752.10355</v>
      </c>
      <c r="W90">
        <f>IFERROR(W42*'Input Data'!W81*VLOOKUP(W$54,'Energy Heat Value Conversion'!$A:$E,5,FALSE),0)</f>
        <v>13372156430.371754</v>
      </c>
      <c r="X90">
        <f>IFERROR(X42*'Input Data'!X81*VLOOKUP(X$54,'Energy Heat Value Conversion'!$A:$E,5,FALSE),0)</f>
        <v>15514453855.058811</v>
      </c>
      <c r="Y90">
        <f>IFERROR(Y42*'Input Data'!Y81*VLOOKUP(Y$54,'Energy Heat Value Conversion'!$A:$E,5,FALSE),0)</f>
        <v>5010163628.223897</v>
      </c>
      <c r="Z90">
        <f>IFERROR(Z42*'Input Data'!Z81*VLOOKUP(Z$54,'Energy Heat Value Conversion'!$A:$E,5,FALSE),0)</f>
        <v>0</v>
      </c>
      <c r="AA90">
        <f>IFERROR(AA42*'Input Data'!AA81*VLOOKUP(AA$54,'Energy Heat Value Conversion'!$A:$E,5,FALSE),0)</f>
        <v>0</v>
      </c>
      <c r="AB90">
        <f>IFERROR(AB42*'Input Data'!AB81*VLOOKUP(AB$54,'Energy Heat Value Conversion'!$A:$E,5,FALSE),0)</f>
        <v>0</v>
      </c>
      <c r="AC90">
        <f>IFERROR(AC42*'Input Data'!AC81*VLOOKUP(AC$54,'Energy Heat Value Conversion'!$A:$E,5,FALSE),0)</f>
        <v>0</v>
      </c>
      <c r="AD90">
        <f>IFERROR(AD42*'Input Data'!AD81*VLOOKUP(AD$54,'Energy Heat Value Conversion'!$A:$E,5,FALSE),0)</f>
        <v>239451608677.59125</v>
      </c>
      <c r="AE90">
        <f>IFERROR(AE42*'Input Data'!AE81*VLOOKUP(AE$54,'Energy Heat Value Conversion'!$A:$E,5,FALSE),0)</f>
        <v>485083488585.0965</v>
      </c>
      <c r="AF90">
        <f>IFERROR(AF42*'Input Data'!AF81*VLOOKUP(AF$54,'Energy Heat Value Conversion'!$A:$E,5,FALSE),0)</f>
        <v>0</v>
      </c>
      <c r="AG90">
        <f>IFERROR(AG42*'Input Data'!AG81*VLOOKUP(AG$54,'Energy Heat Value Conversion'!$A:$E,5,FALSE),0)</f>
        <v>0</v>
      </c>
      <c r="AH90">
        <f>IFERROR(AH42*'Input Data'!AH81*VLOOKUP(AH$54,'Energy Heat Value Conversion'!$A:$E,5,FALSE),0)</f>
        <v>0</v>
      </c>
      <c r="AJ90" s="41" t="s">
        <v>619</v>
      </c>
    </row>
    <row r="91" spans="1:48" x14ac:dyDescent="0.2">
      <c r="A91" s="206" t="str">
        <f>IFERROR(VLOOKUP(B91,'Sector Code Switch'!F:H,3,FALSE),"")</f>
        <v>computers and electronics 26</v>
      </c>
      <c r="B91" s="138" t="s">
        <v>34</v>
      </c>
      <c r="C91">
        <f>IFERROR(C43*'Input Data'!C82*VLOOKUP(C$54,'Energy Heat Value Conversion'!$A:$E,5,FALSE),0)</f>
        <v>0</v>
      </c>
      <c r="D91">
        <f>IFERROR(D43*'Input Data'!D82*VLOOKUP(D$54,'Energy Heat Value Conversion'!$A:$E,5,FALSE),0)</f>
        <v>0</v>
      </c>
      <c r="E91">
        <f>IFERROR(E43*'Input Data'!E82*VLOOKUP(E$54,'Energy Heat Value Conversion'!$A:$E,5,FALSE),0)</f>
        <v>0</v>
      </c>
      <c r="F91">
        <f>IFERROR(F43*'Input Data'!F82*VLOOKUP(F$54,'Energy Heat Value Conversion'!$A:$E,5,FALSE),0)</f>
        <v>0</v>
      </c>
      <c r="G91">
        <f>IFERROR(G43*'Input Data'!G82*VLOOKUP(G$54,'Energy Heat Value Conversion'!$A:$E,5,FALSE),0)</f>
        <v>0</v>
      </c>
      <c r="H91">
        <f>IFERROR(H43*'Input Data'!H82*VLOOKUP(H$54,'Energy Heat Value Conversion'!$A:$E,5,FALSE),0)</f>
        <v>0</v>
      </c>
      <c r="I91">
        <f>IFERROR(I43*'Input Data'!I82*VLOOKUP(I$54,'Energy Heat Value Conversion'!$A:$E,5,FALSE),0)</f>
        <v>0</v>
      </c>
      <c r="J91">
        <f>IFERROR(J43*'Input Data'!J82*VLOOKUP(J$54,'Energy Heat Value Conversion'!$A:$E,5,FALSE),0)</f>
        <v>12071927825.305105</v>
      </c>
      <c r="K91">
        <f>IFERROR(K43*'Input Data'!K82*VLOOKUP(K$54,'Energy Heat Value Conversion'!$A:$E,5,FALSE),0)</f>
        <v>0</v>
      </c>
      <c r="L91">
        <f>IFERROR(L43*'Input Data'!L82*VLOOKUP(L$54,'Energy Heat Value Conversion'!$A:$E,5,FALSE),0)</f>
        <v>0</v>
      </c>
      <c r="M91">
        <f>IFERROR(M43*'Input Data'!M82*VLOOKUP(M$54,'Energy Heat Value Conversion'!$A:$E,5,FALSE),0)</f>
        <v>0</v>
      </c>
      <c r="N91">
        <f>IFERROR(N43*'Input Data'!N82*VLOOKUP(N$54,'Energy Heat Value Conversion'!$A:$E,5,FALSE),0)</f>
        <v>0</v>
      </c>
      <c r="O91">
        <f>IFERROR(O43*'Input Data'!O82*VLOOKUP(O$54,'Energy Heat Value Conversion'!$A:$E,5,FALSE),0)</f>
        <v>0</v>
      </c>
      <c r="P91">
        <f>IFERROR(P43*'Input Data'!P82*VLOOKUP(P$54,'Energy Heat Value Conversion'!$A:$E,5,FALSE),0)</f>
        <v>0</v>
      </c>
      <c r="Q91">
        <f>IFERROR(Q43*'Input Data'!Q82*VLOOKUP(Q$54,'Energy Heat Value Conversion'!$A:$E,5,FALSE),0)</f>
        <v>11661621482.794313</v>
      </c>
      <c r="R91">
        <f>IFERROR(R43*'Input Data'!R82*VLOOKUP(R$54,'Energy Heat Value Conversion'!$A:$E,5,FALSE),0)</f>
        <v>1561372765.3237221</v>
      </c>
      <c r="S91">
        <f>IFERROR(S43*'Input Data'!S82*VLOOKUP(S$54,'Energy Heat Value Conversion'!$A:$E,5,FALSE),0)</f>
        <v>33569847582.984623</v>
      </c>
      <c r="T91">
        <f>IFERROR(T43*'Input Data'!T82*VLOOKUP(T$54,'Energy Heat Value Conversion'!$A:$E,5,FALSE),0)</f>
        <v>8397498629.5009365</v>
      </c>
      <c r="U91">
        <f>IFERROR(U43*'Input Data'!U82*VLOOKUP(U$54,'Energy Heat Value Conversion'!$A:$E,5,FALSE),0)</f>
        <v>0</v>
      </c>
      <c r="V91">
        <f>IFERROR(V43*'Input Data'!V82*VLOOKUP(V$54,'Energy Heat Value Conversion'!$A:$E,5,FALSE),0)</f>
        <v>22018211005.647163</v>
      </c>
      <c r="W91">
        <f>IFERROR(W43*'Input Data'!W82*VLOOKUP(W$54,'Energy Heat Value Conversion'!$A:$E,5,FALSE),0)</f>
        <v>955154030.74083948</v>
      </c>
      <c r="X91">
        <f>IFERROR(X43*'Input Data'!X82*VLOOKUP(X$54,'Energy Heat Value Conversion'!$A:$E,5,FALSE),0)</f>
        <v>5171484618.3529367</v>
      </c>
      <c r="Y91">
        <f>IFERROR(Y43*'Input Data'!Y82*VLOOKUP(Y$54,'Energy Heat Value Conversion'!$A:$E,5,FALSE),0)</f>
        <v>0</v>
      </c>
      <c r="Z91">
        <f>IFERROR(Z43*'Input Data'!Z82*VLOOKUP(Z$54,'Energy Heat Value Conversion'!$A:$E,5,FALSE),0)</f>
        <v>0</v>
      </c>
      <c r="AA91">
        <f>IFERROR(AA43*'Input Data'!AA82*VLOOKUP(AA$54,'Energy Heat Value Conversion'!$A:$E,5,FALSE),0)</f>
        <v>0</v>
      </c>
      <c r="AB91">
        <f>IFERROR(AB43*'Input Data'!AB82*VLOOKUP(AB$54,'Energy Heat Value Conversion'!$A:$E,5,FALSE),0)</f>
        <v>0</v>
      </c>
      <c r="AC91">
        <f>IFERROR(AC43*'Input Data'!AC82*VLOOKUP(AC$54,'Energy Heat Value Conversion'!$A:$E,5,FALSE),0)</f>
        <v>0</v>
      </c>
      <c r="AD91">
        <f>IFERROR(AD43*'Input Data'!AD82*VLOOKUP(AD$54,'Energy Heat Value Conversion'!$A:$E,5,FALSE),0)</f>
        <v>868708161714.05212</v>
      </c>
      <c r="AE91">
        <f>IFERROR(AE43*'Input Data'!AE82*VLOOKUP(AE$54,'Energy Heat Value Conversion'!$A:$E,5,FALSE),0)</f>
        <v>626909448715.12866</v>
      </c>
      <c r="AF91">
        <f>IFERROR(AF43*'Input Data'!AF82*VLOOKUP(AF$54,'Energy Heat Value Conversion'!$A:$E,5,FALSE),0)</f>
        <v>0</v>
      </c>
      <c r="AG91">
        <f>IFERROR(AG43*'Input Data'!AG82*VLOOKUP(AG$54,'Energy Heat Value Conversion'!$A:$E,5,FALSE),0)</f>
        <v>0</v>
      </c>
      <c r="AH91">
        <f>IFERROR(AH43*'Input Data'!AH82*VLOOKUP(AH$54,'Energy Heat Value Conversion'!$A:$E,5,FALSE),0)</f>
        <v>0</v>
      </c>
      <c r="AK91" t="s">
        <v>576</v>
      </c>
      <c r="AL91" t="s">
        <v>577</v>
      </c>
      <c r="AM91" t="s">
        <v>578</v>
      </c>
      <c r="AN91" t="s">
        <v>579</v>
      </c>
      <c r="AO91" t="s">
        <v>580</v>
      </c>
      <c r="AP91" t="s">
        <v>578</v>
      </c>
      <c r="AQ91" t="s">
        <v>618</v>
      </c>
      <c r="AR91" t="s">
        <v>581</v>
      </c>
      <c r="AS91" s="191" t="s">
        <v>583</v>
      </c>
      <c r="AV91" t="s">
        <v>582</v>
      </c>
    </row>
    <row r="92" spans="1:48" x14ac:dyDescent="0.2">
      <c r="A92" s="206" t="str">
        <f>IFERROR(VLOOKUP(B92,'Sector Code Switch'!F:H,3,FALSE),"")</f>
        <v>computers and electronics 26</v>
      </c>
      <c r="B92" s="138" t="s">
        <v>35</v>
      </c>
      <c r="C92">
        <f>IFERROR(C44*'Input Data'!C83*VLOOKUP(C$54,'Energy Heat Value Conversion'!$A:$E,5,FALSE),0)</f>
        <v>0</v>
      </c>
      <c r="D92">
        <f>IFERROR(D44*'Input Data'!D83*VLOOKUP(D$54,'Energy Heat Value Conversion'!$A:$E,5,FALSE),0)</f>
        <v>0</v>
      </c>
      <c r="E92">
        <f>IFERROR(E44*'Input Data'!E83*VLOOKUP(E$54,'Energy Heat Value Conversion'!$A:$E,5,FALSE),0)</f>
        <v>0</v>
      </c>
      <c r="F92">
        <f>IFERROR(F44*'Input Data'!F83*VLOOKUP(F$54,'Energy Heat Value Conversion'!$A:$E,5,FALSE),0)</f>
        <v>0</v>
      </c>
      <c r="G92">
        <f>IFERROR(G44*'Input Data'!G83*VLOOKUP(G$54,'Energy Heat Value Conversion'!$A:$E,5,FALSE),0)</f>
        <v>0</v>
      </c>
      <c r="H92">
        <f>IFERROR(H44*'Input Data'!H83*VLOOKUP(H$54,'Energy Heat Value Conversion'!$A:$E,5,FALSE),0)</f>
        <v>0</v>
      </c>
      <c r="I92">
        <f>IFERROR(I44*'Input Data'!I83*VLOOKUP(I$54,'Energy Heat Value Conversion'!$A:$E,5,FALSE),0)</f>
        <v>0</v>
      </c>
      <c r="J92">
        <f>IFERROR(J44*'Input Data'!J83*VLOOKUP(J$54,'Energy Heat Value Conversion'!$A:$E,5,FALSE),0)</f>
        <v>0</v>
      </c>
      <c r="K92">
        <f>IFERROR(K44*'Input Data'!K83*VLOOKUP(K$54,'Energy Heat Value Conversion'!$A:$E,5,FALSE),0)</f>
        <v>0</v>
      </c>
      <c r="L92">
        <f>IFERROR(L44*'Input Data'!L83*VLOOKUP(L$54,'Energy Heat Value Conversion'!$A:$E,5,FALSE),0)</f>
        <v>0</v>
      </c>
      <c r="M92">
        <f>IFERROR(M44*'Input Data'!M83*VLOOKUP(M$54,'Energy Heat Value Conversion'!$A:$E,5,FALSE),0)</f>
        <v>0</v>
      </c>
      <c r="N92">
        <f>IFERROR(N44*'Input Data'!N83*VLOOKUP(N$54,'Energy Heat Value Conversion'!$A:$E,5,FALSE),0)</f>
        <v>0</v>
      </c>
      <c r="O92">
        <f>IFERROR(O44*'Input Data'!O83*VLOOKUP(O$54,'Energy Heat Value Conversion'!$A:$E,5,FALSE),0)</f>
        <v>0</v>
      </c>
      <c r="P92">
        <f>IFERROR(P44*'Input Data'!P83*VLOOKUP(P$54,'Energy Heat Value Conversion'!$A:$E,5,FALSE),0)</f>
        <v>0</v>
      </c>
      <c r="Q92">
        <f>IFERROR(Q44*'Input Data'!Q83*VLOOKUP(Q$54,'Energy Heat Value Conversion'!$A:$E,5,FALSE),0)</f>
        <v>4913083772.5604019</v>
      </c>
      <c r="R92">
        <f>IFERROR(R44*'Input Data'!R83*VLOOKUP(R$54,'Energy Heat Value Conversion'!$A:$E,5,FALSE),0)</f>
        <v>3122745530.6474442</v>
      </c>
      <c r="S92">
        <f>IFERROR(S44*'Input Data'!S83*VLOOKUP(S$54,'Energy Heat Value Conversion'!$A:$E,5,FALSE),0)</f>
        <v>6675821962.5253506</v>
      </c>
      <c r="T92">
        <f>IFERROR(T44*'Input Data'!T83*VLOOKUP(T$54,'Energy Heat Value Conversion'!$A:$E,5,FALSE),0)</f>
        <v>2260865015.6348677</v>
      </c>
      <c r="U92">
        <f>IFERROR(U44*'Input Data'!U83*VLOOKUP(U$54,'Energy Heat Value Conversion'!$A:$E,5,FALSE),0)</f>
        <v>0</v>
      </c>
      <c r="V92">
        <f>IFERROR(V44*'Input Data'!V83*VLOOKUP(V$54,'Energy Heat Value Conversion'!$A:$E,5,FALSE),0)</f>
        <v>5504552751.4117908</v>
      </c>
      <c r="W92">
        <f>IFERROR(W44*'Input Data'!W83*VLOOKUP(W$54,'Energy Heat Value Conversion'!$A:$E,5,FALSE),0)</f>
        <v>5730924184.4450359</v>
      </c>
      <c r="X92">
        <f>IFERROR(X44*'Input Data'!X83*VLOOKUP(X$54,'Energy Heat Value Conversion'!$A:$E,5,FALSE),0)</f>
        <v>0</v>
      </c>
      <c r="Y92">
        <f>IFERROR(Y44*'Input Data'!Y83*VLOOKUP(Y$54,'Energy Heat Value Conversion'!$A:$E,5,FALSE),0)</f>
        <v>0</v>
      </c>
      <c r="Z92">
        <f>IFERROR(Z44*'Input Data'!Z83*VLOOKUP(Z$54,'Energy Heat Value Conversion'!$A:$E,5,FALSE),0)</f>
        <v>0</v>
      </c>
      <c r="AA92">
        <f>IFERROR(AA44*'Input Data'!AA83*VLOOKUP(AA$54,'Energy Heat Value Conversion'!$A:$E,5,FALSE),0)</f>
        <v>0</v>
      </c>
      <c r="AB92">
        <f>IFERROR(AB44*'Input Data'!AB83*VLOOKUP(AB$54,'Energy Heat Value Conversion'!$A:$E,5,FALSE),0)</f>
        <v>0</v>
      </c>
      <c r="AC92">
        <f>IFERROR(AC44*'Input Data'!AC83*VLOOKUP(AC$54,'Energy Heat Value Conversion'!$A:$E,5,FALSE),0)</f>
        <v>0</v>
      </c>
      <c r="AD92">
        <f>IFERROR(AD44*'Input Data'!AD83*VLOOKUP(AD$54,'Energy Heat Value Conversion'!$A:$E,5,FALSE),0)</f>
        <v>36196173404.752174</v>
      </c>
      <c r="AE92">
        <f>IFERROR(AE44*'Input Data'!AE83*VLOOKUP(AE$54,'Energy Heat Value Conversion'!$A:$E,5,FALSE),0)</f>
        <v>14984341206.720749</v>
      </c>
      <c r="AF92">
        <f>IFERROR(AF44*'Input Data'!AF83*VLOOKUP(AF$54,'Energy Heat Value Conversion'!$A:$E,5,FALSE),0)</f>
        <v>0</v>
      </c>
      <c r="AG92">
        <f>IFERROR(AG44*'Input Data'!AG83*VLOOKUP(AG$54,'Energy Heat Value Conversion'!$A:$E,5,FALSE),0)</f>
        <v>0</v>
      </c>
      <c r="AH92">
        <f>IFERROR(AH44*'Input Data'!AH83*VLOOKUP(AH$54,'Energy Heat Value Conversion'!$A:$E,5,FALSE),0)</f>
        <v>0</v>
      </c>
      <c r="AJ92" s="165" t="s">
        <v>462</v>
      </c>
      <c r="AK92" s="147">
        <v>1863.57</v>
      </c>
      <c r="AL92" s="189">
        <v>127.15</v>
      </c>
      <c r="AM92" s="191">
        <f>AL92/AK92</f>
        <v>6.8229258895560682E-2</v>
      </c>
      <c r="AV92" s="203">
        <f>AM92</f>
        <v>6.8229258895560682E-2</v>
      </c>
    </row>
    <row r="93" spans="1:48" x14ac:dyDescent="0.2">
      <c r="A93" s="206" t="str">
        <f>IFERROR(VLOOKUP(B93,'Sector Code Switch'!F:H,3,FALSE),"")</f>
        <v>other machinery 28</v>
      </c>
      <c r="B93" s="138" t="s">
        <v>36</v>
      </c>
      <c r="C93">
        <f>IFERROR(C45*'Input Data'!C84*VLOOKUP(C$54,'Energy Heat Value Conversion'!$A:$E,5,FALSE),0)</f>
        <v>0</v>
      </c>
      <c r="D93">
        <f>IFERROR(D45*'Input Data'!D84*VLOOKUP(D$54,'Energy Heat Value Conversion'!$A:$E,5,FALSE),0)</f>
        <v>0</v>
      </c>
      <c r="E93">
        <f>IFERROR(E45*'Input Data'!E84*VLOOKUP(E$54,'Energy Heat Value Conversion'!$A:$E,5,FALSE),0)</f>
        <v>0</v>
      </c>
      <c r="F93">
        <f>IFERROR(F45*'Input Data'!F84*VLOOKUP(F$54,'Energy Heat Value Conversion'!$A:$E,5,FALSE),0)</f>
        <v>0</v>
      </c>
      <c r="G93">
        <f>IFERROR(G45*'Input Data'!G84*VLOOKUP(G$54,'Energy Heat Value Conversion'!$A:$E,5,FALSE),0)</f>
        <v>0</v>
      </c>
      <c r="H93">
        <f>IFERROR(H45*'Input Data'!H84*VLOOKUP(H$54,'Energy Heat Value Conversion'!$A:$E,5,FALSE),0)</f>
        <v>0</v>
      </c>
      <c r="I93">
        <f>IFERROR(I45*'Input Data'!I84*VLOOKUP(I$54,'Energy Heat Value Conversion'!$A:$E,5,FALSE),0)</f>
        <v>0</v>
      </c>
      <c r="J93">
        <f>IFERROR(J45*'Input Data'!J84*VLOOKUP(J$54,'Energy Heat Value Conversion'!$A:$E,5,FALSE),0)</f>
        <v>0</v>
      </c>
      <c r="K93">
        <f>IFERROR(K45*'Input Data'!K84*VLOOKUP(K$54,'Energy Heat Value Conversion'!$A:$E,5,FALSE),0)</f>
        <v>0</v>
      </c>
      <c r="L93">
        <f>IFERROR(L45*'Input Data'!L84*VLOOKUP(L$54,'Energy Heat Value Conversion'!$A:$E,5,FALSE),0)</f>
        <v>0</v>
      </c>
      <c r="M93">
        <f>IFERROR(M45*'Input Data'!M84*VLOOKUP(M$54,'Energy Heat Value Conversion'!$A:$E,5,FALSE),0)</f>
        <v>0</v>
      </c>
      <c r="N93">
        <f>IFERROR(N45*'Input Data'!N84*VLOOKUP(N$54,'Energy Heat Value Conversion'!$A:$E,5,FALSE),0)</f>
        <v>0</v>
      </c>
      <c r="O93">
        <f>IFERROR(O45*'Input Data'!O84*VLOOKUP(O$54,'Energy Heat Value Conversion'!$A:$E,5,FALSE),0)</f>
        <v>0</v>
      </c>
      <c r="P93">
        <f>IFERROR(P45*'Input Data'!P84*VLOOKUP(P$54,'Energy Heat Value Conversion'!$A:$E,5,FALSE),0)</f>
        <v>0</v>
      </c>
      <c r="Q93">
        <f>IFERROR(Q45*'Input Data'!Q84*VLOOKUP(Q$54,'Energy Heat Value Conversion'!$A:$E,5,FALSE),0)</f>
        <v>834297244.39704943</v>
      </c>
      <c r="R93">
        <f>IFERROR(R45*'Input Data'!R84*VLOOKUP(R$54,'Energy Heat Value Conversion'!$A:$E,5,FALSE),0)</f>
        <v>7026177443.956749</v>
      </c>
      <c r="S93">
        <f>IFERROR(S45*'Input Data'!S84*VLOOKUP(S$54,'Energy Heat Value Conversion'!$A:$E,5,FALSE),0)</f>
        <v>7915617469.8514872</v>
      </c>
      <c r="T93">
        <f>IFERROR(T45*'Input Data'!T84*VLOOKUP(T$54,'Energy Heat Value Conversion'!$A:$E,5,FALSE),0)</f>
        <v>0</v>
      </c>
      <c r="U93">
        <f>IFERROR(U45*'Input Data'!U84*VLOOKUP(U$54,'Energy Heat Value Conversion'!$A:$E,5,FALSE),0)</f>
        <v>0</v>
      </c>
      <c r="V93">
        <f>IFERROR(V45*'Input Data'!V84*VLOOKUP(V$54,'Energy Heat Value Conversion'!$A:$E,5,FALSE),0)</f>
        <v>688069093.92647386</v>
      </c>
      <c r="W93">
        <f>IFERROR(W45*'Input Data'!W84*VLOOKUP(W$54,'Energy Heat Value Conversion'!$A:$E,5,FALSE),0)</f>
        <v>6686078215.1858768</v>
      </c>
      <c r="X93">
        <f>IFERROR(X45*'Input Data'!X84*VLOOKUP(X$54,'Energy Heat Value Conversion'!$A:$E,5,FALSE),0)</f>
        <v>0</v>
      </c>
      <c r="Y93">
        <f>IFERROR(Y45*'Input Data'!Y84*VLOOKUP(Y$54,'Energy Heat Value Conversion'!$A:$E,5,FALSE),0)</f>
        <v>0</v>
      </c>
      <c r="Z93">
        <f>IFERROR(Z45*'Input Data'!Z84*VLOOKUP(Z$54,'Energy Heat Value Conversion'!$A:$E,5,FALSE),0)</f>
        <v>0</v>
      </c>
      <c r="AA93">
        <f>IFERROR(AA45*'Input Data'!AA84*VLOOKUP(AA$54,'Energy Heat Value Conversion'!$A:$E,5,FALSE),0)</f>
        <v>0</v>
      </c>
      <c r="AB93">
        <f>IFERROR(AB45*'Input Data'!AB84*VLOOKUP(AB$54,'Energy Heat Value Conversion'!$A:$E,5,FALSE),0)</f>
        <v>0</v>
      </c>
      <c r="AC93">
        <f>IFERROR(AC45*'Input Data'!AC84*VLOOKUP(AC$54,'Energy Heat Value Conversion'!$A:$E,5,FALSE),0)</f>
        <v>0</v>
      </c>
      <c r="AD93">
        <f>IFERROR(AD45*'Input Data'!AD84*VLOOKUP(AD$54,'Energy Heat Value Conversion'!$A:$E,5,FALSE),0)</f>
        <v>3480401288.918478</v>
      </c>
      <c r="AE93">
        <f>IFERROR(AE45*'Input Data'!AE84*VLOOKUP(AE$54,'Energy Heat Value Conversion'!$A:$E,5,FALSE),0)</f>
        <v>165048924361.85031</v>
      </c>
      <c r="AF93">
        <f>IFERROR(AF45*'Input Data'!AF84*VLOOKUP(AF$54,'Energy Heat Value Conversion'!$A:$E,5,FALSE),0)</f>
        <v>0</v>
      </c>
      <c r="AG93">
        <f>IFERROR(AG45*'Input Data'!AG84*VLOOKUP(AG$54,'Energy Heat Value Conversion'!$A:$E,5,FALSE),0)</f>
        <v>0</v>
      </c>
      <c r="AH93">
        <f>IFERROR(AH45*'Input Data'!AH84*VLOOKUP(AH$54,'Energy Heat Value Conversion'!$A:$E,5,FALSE),0)</f>
        <v>0</v>
      </c>
      <c r="AJ93" s="165" t="s">
        <v>436</v>
      </c>
      <c r="AK93" s="147">
        <v>879.58</v>
      </c>
      <c r="AL93" s="189">
        <v>20.75</v>
      </c>
      <c r="AM93" s="191">
        <f>AL93/AK93</f>
        <v>2.3590804702244252E-2</v>
      </c>
      <c r="AV93" s="203">
        <f t="shared" ref="AV93:AV94" si="41">AM93</f>
        <v>2.3590804702244252E-2</v>
      </c>
    </row>
    <row r="94" spans="1:48" x14ac:dyDescent="0.2">
      <c r="A94" s="206" t="str">
        <f>IFERROR(VLOOKUP(B94,'Sector Code Switch'!F:H,3,FALSE),"")</f>
        <v>water and waste 36T39</v>
      </c>
      <c r="B94" s="138" t="s">
        <v>37</v>
      </c>
      <c r="C94">
        <f>IFERROR(C46*'Input Data'!C85*VLOOKUP(C$54,'Energy Heat Value Conversion'!$A:$E,5,FALSE),0)</f>
        <v>0</v>
      </c>
      <c r="D94">
        <f>IFERROR(D46*'Input Data'!D85*VLOOKUP(D$54,'Energy Heat Value Conversion'!$A:$E,5,FALSE),0)</f>
        <v>0</v>
      </c>
      <c r="E94">
        <f>IFERROR(E46*'Input Data'!E85*VLOOKUP(E$54,'Energy Heat Value Conversion'!$A:$E,5,FALSE),0)</f>
        <v>0</v>
      </c>
      <c r="F94">
        <f>IFERROR(F46*'Input Data'!F85*VLOOKUP(F$54,'Energy Heat Value Conversion'!$A:$E,5,FALSE),0)</f>
        <v>0</v>
      </c>
      <c r="G94">
        <f>IFERROR(G46*'Input Data'!G85*VLOOKUP(G$54,'Energy Heat Value Conversion'!$A:$E,5,FALSE),0)</f>
        <v>0</v>
      </c>
      <c r="H94">
        <f>IFERROR(H46*'Input Data'!H85*VLOOKUP(H$54,'Energy Heat Value Conversion'!$A:$E,5,FALSE),0)</f>
        <v>0</v>
      </c>
      <c r="I94">
        <f>IFERROR(I46*'Input Data'!I85*VLOOKUP(I$54,'Energy Heat Value Conversion'!$A:$E,5,FALSE),0)</f>
        <v>0</v>
      </c>
      <c r="J94">
        <f>IFERROR(J46*'Input Data'!J85*VLOOKUP(J$54,'Energy Heat Value Conversion'!$A:$E,5,FALSE),0)</f>
        <v>275239954416.95636</v>
      </c>
      <c r="K94">
        <f>IFERROR(K46*'Input Data'!K85*VLOOKUP(K$54,'Energy Heat Value Conversion'!$A:$E,5,FALSE),0)</f>
        <v>0</v>
      </c>
      <c r="L94">
        <f>IFERROR(L46*'Input Data'!L85*VLOOKUP(L$54,'Energy Heat Value Conversion'!$A:$E,5,FALSE),0)</f>
        <v>0</v>
      </c>
      <c r="M94">
        <f>IFERROR(M46*'Input Data'!M85*VLOOKUP(M$54,'Energy Heat Value Conversion'!$A:$E,5,FALSE),0)</f>
        <v>0</v>
      </c>
      <c r="N94">
        <f>IFERROR(N46*'Input Data'!N85*VLOOKUP(N$54,'Energy Heat Value Conversion'!$A:$E,5,FALSE),0)</f>
        <v>45811715387.103233</v>
      </c>
      <c r="O94">
        <f>IFERROR(O46*'Input Data'!O85*VLOOKUP(O$54,'Energy Heat Value Conversion'!$A:$E,5,FALSE),0)</f>
        <v>0</v>
      </c>
      <c r="P94">
        <f>IFERROR(P46*'Input Data'!P85*VLOOKUP(P$54,'Energy Heat Value Conversion'!$A:$E,5,FALSE),0)</f>
        <v>0</v>
      </c>
      <c r="Q94">
        <f>IFERROR(Q46*'Input Data'!Q85*VLOOKUP(Q$54,'Energy Heat Value Conversion'!$A:$E,5,FALSE),0)</f>
        <v>444958530.34509301</v>
      </c>
      <c r="R94">
        <f>IFERROR(R46*'Input Data'!R85*VLOOKUP(R$54,'Energy Heat Value Conversion'!$A:$E,5,FALSE),0)</f>
        <v>780686382.66186106</v>
      </c>
      <c r="S94">
        <f>IFERROR(S46*'Input Data'!S85*VLOOKUP(S$54,'Energy Heat Value Conversion'!$A:$E,5,FALSE),0)</f>
        <v>39005874038.183838</v>
      </c>
      <c r="T94">
        <f>IFERROR(T46*'Input Data'!T85*VLOOKUP(T$54,'Energy Heat Value Conversion'!$A:$E,5,FALSE),0)</f>
        <v>20993746573.752342</v>
      </c>
      <c r="U94">
        <f>IFERROR(U46*'Input Data'!U85*VLOOKUP(U$54,'Energy Heat Value Conversion'!$A:$E,5,FALSE),0)</f>
        <v>0</v>
      </c>
      <c r="V94">
        <f>IFERROR(V46*'Input Data'!V85*VLOOKUP(V$54,'Energy Heat Value Conversion'!$A:$E,5,FALSE),0)</f>
        <v>1376138187.8529477</v>
      </c>
      <c r="W94">
        <f>IFERROR(W46*'Input Data'!W85*VLOOKUP(W$54,'Energy Heat Value Conversion'!$A:$E,5,FALSE),0)</f>
        <v>0</v>
      </c>
      <c r="X94">
        <f>IFERROR(X46*'Input Data'!X85*VLOOKUP(X$54,'Energy Heat Value Conversion'!$A:$E,5,FALSE),0)</f>
        <v>0</v>
      </c>
      <c r="Y94">
        <f>IFERROR(Y46*'Input Data'!Y85*VLOOKUP(Y$54,'Energy Heat Value Conversion'!$A:$E,5,FALSE),0)</f>
        <v>0</v>
      </c>
      <c r="Z94">
        <f>IFERROR(Z46*'Input Data'!Z85*VLOOKUP(Z$54,'Energy Heat Value Conversion'!$A:$E,5,FALSE),0)</f>
        <v>0</v>
      </c>
      <c r="AA94">
        <f>IFERROR(AA46*'Input Data'!AA85*VLOOKUP(AA$54,'Energy Heat Value Conversion'!$A:$E,5,FALSE),0)</f>
        <v>0</v>
      </c>
      <c r="AB94">
        <f>IFERROR(AB46*'Input Data'!AB85*VLOOKUP(AB$54,'Energy Heat Value Conversion'!$A:$E,5,FALSE),0)</f>
        <v>0</v>
      </c>
      <c r="AC94">
        <f>IFERROR(AC46*'Input Data'!AC85*VLOOKUP(AC$54,'Energy Heat Value Conversion'!$A:$E,5,FALSE),0)</f>
        <v>0</v>
      </c>
      <c r="AD94">
        <f>IFERROR(AD46*'Input Data'!AD85*VLOOKUP(AD$54,'Energy Heat Value Conversion'!$A:$E,5,FALSE),0)</f>
        <v>202559355015.05542</v>
      </c>
      <c r="AE94">
        <f>IFERROR(AE46*'Input Data'!AE85*VLOOKUP(AE$54,'Energy Heat Value Conversion'!$A:$E,5,FALSE),0)</f>
        <v>525944847078.70026</v>
      </c>
      <c r="AF94">
        <f>IFERROR(AF46*'Input Data'!AF85*VLOOKUP(AF$54,'Energy Heat Value Conversion'!$A:$E,5,FALSE),0)</f>
        <v>0</v>
      </c>
      <c r="AG94">
        <f>IFERROR(AG46*'Input Data'!AG85*VLOOKUP(AG$54,'Energy Heat Value Conversion'!$A:$E,5,FALSE),0)</f>
        <v>0</v>
      </c>
      <c r="AH94">
        <f>IFERROR(AH46*'Input Data'!AH85*VLOOKUP(AH$54,'Energy Heat Value Conversion'!$A:$E,5,FALSE),0)</f>
        <v>0</v>
      </c>
      <c r="AJ94" s="155" t="s">
        <v>446</v>
      </c>
      <c r="AK94" s="147">
        <v>718.58</v>
      </c>
      <c r="AL94" s="189">
        <v>105.48</v>
      </c>
      <c r="AM94" s="191">
        <f>AL94/AK94</f>
        <v>0.1467895015168805</v>
      </c>
      <c r="AV94" s="203">
        <f t="shared" si="41"/>
        <v>0.1467895015168805</v>
      </c>
    </row>
    <row r="95" spans="1:48" x14ac:dyDescent="0.2">
      <c r="A95" s="206" t="str">
        <f>IFERROR(VLOOKUP(B95,'Sector Code Switch'!F:H,3,FALSE),"")</f>
        <v>other machinery 28</v>
      </c>
      <c r="B95" s="138" t="s">
        <v>38</v>
      </c>
      <c r="C95">
        <f>IFERROR(C47*'Input Data'!C86*VLOOKUP(C$54,'Energy Heat Value Conversion'!$A:$E,5,FALSE),0)</f>
        <v>0</v>
      </c>
      <c r="D95">
        <f>IFERROR(D47*'Input Data'!D86*VLOOKUP(D$54,'Energy Heat Value Conversion'!$A:$E,5,FALSE),0)</f>
        <v>0</v>
      </c>
      <c r="E95">
        <f>IFERROR(E47*'Input Data'!E86*VLOOKUP(E$54,'Energy Heat Value Conversion'!$A:$E,5,FALSE),0)</f>
        <v>0</v>
      </c>
      <c r="F95">
        <f>IFERROR(F47*'Input Data'!F86*VLOOKUP(F$54,'Energy Heat Value Conversion'!$A:$E,5,FALSE),0)</f>
        <v>0</v>
      </c>
      <c r="G95">
        <f>IFERROR(G47*'Input Data'!G86*VLOOKUP(G$54,'Energy Heat Value Conversion'!$A:$E,5,FALSE),0)</f>
        <v>0</v>
      </c>
      <c r="H95">
        <f>IFERROR(H47*'Input Data'!H86*VLOOKUP(H$54,'Energy Heat Value Conversion'!$A:$E,5,FALSE),0)</f>
        <v>0</v>
      </c>
      <c r="I95">
        <f>IFERROR(I47*'Input Data'!I86*VLOOKUP(I$54,'Energy Heat Value Conversion'!$A:$E,5,FALSE),0)</f>
        <v>0</v>
      </c>
      <c r="J95">
        <f>IFERROR(J47*'Input Data'!J86*VLOOKUP(J$54,'Energy Heat Value Conversion'!$A:$E,5,FALSE),0)</f>
        <v>14486313390.366125</v>
      </c>
      <c r="K95">
        <f>IFERROR(K47*'Input Data'!K86*VLOOKUP(K$54,'Energy Heat Value Conversion'!$A:$E,5,FALSE),0)</f>
        <v>0</v>
      </c>
      <c r="L95">
        <f>IFERROR(L47*'Input Data'!L86*VLOOKUP(L$54,'Energy Heat Value Conversion'!$A:$E,5,FALSE),0)</f>
        <v>0</v>
      </c>
      <c r="M95">
        <f>IFERROR(M47*'Input Data'!M86*VLOOKUP(M$54,'Energy Heat Value Conversion'!$A:$E,5,FALSE),0)</f>
        <v>0</v>
      </c>
      <c r="N95">
        <f>IFERROR(N47*'Input Data'!N86*VLOOKUP(N$54,'Energy Heat Value Conversion'!$A:$E,5,FALSE),0)</f>
        <v>0</v>
      </c>
      <c r="O95">
        <f>IFERROR(O47*'Input Data'!O86*VLOOKUP(O$54,'Energy Heat Value Conversion'!$A:$E,5,FALSE),0)</f>
        <v>0</v>
      </c>
      <c r="P95">
        <f>IFERROR(P47*'Input Data'!P86*VLOOKUP(P$54,'Energy Heat Value Conversion'!$A:$E,5,FALSE),0)</f>
        <v>0</v>
      </c>
      <c r="Q95">
        <f>IFERROR(Q47*'Input Data'!Q86*VLOOKUP(Q$54,'Energy Heat Value Conversion'!$A:$E,5,FALSE),0)</f>
        <v>778677428.10391271</v>
      </c>
      <c r="R95">
        <f>IFERROR(R47*'Input Data'!R86*VLOOKUP(R$54,'Energy Heat Value Conversion'!$A:$E,5,FALSE),0)</f>
        <v>61674224230.287033</v>
      </c>
      <c r="S95">
        <f>IFERROR(S47*'Input Data'!S86*VLOOKUP(S$54,'Energy Heat Value Conversion'!$A:$E,5,FALSE),0)</f>
        <v>43774318297.130516</v>
      </c>
      <c r="T95">
        <f>IFERROR(T47*'Input Data'!T86*VLOOKUP(T$54,'Energy Heat Value Conversion'!$A:$E,5,FALSE),0)</f>
        <v>5490672180.8275356</v>
      </c>
      <c r="U95">
        <f>IFERROR(U47*'Input Data'!U86*VLOOKUP(U$54,'Energy Heat Value Conversion'!$A:$E,5,FALSE),0)</f>
        <v>0</v>
      </c>
      <c r="V95">
        <f>IFERROR(V47*'Input Data'!V86*VLOOKUP(V$54,'Energy Heat Value Conversion'!$A:$E,5,FALSE),0)</f>
        <v>6880690939.2647381</v>
      </c>
      <c r="W95">
        <f>IFERROR(W47*'Input Data'!W86*VLOOKUP(W$54,'Energy Heat Value Conversion'!$A:$E,5,FALSE),0)</f>
        <v>0</v>
      </c>
      <c r="X95">
        <f>IFERROR(X47*'Input Data'!X86*VLOOKUP(X$54,'Energy Heat Value Conversion'!$A:$E,5,FALSE),0)</f>
        <v>0</v>
      </c>
      <c r="Y95">
        <f>IFERROR(Y47*'Input Data'!Y86*VLOOKUP(Y$54,'Energy Heat Value Conversion'!$A:$E,5,FALSE),0)</f>
        <v>0</v>
      </c>
      <c r="Z95">
        <f>IFERROR(Z47*'Input Data'!Z86*VLOOKUP(Z$54,'Energy Heat Value Conversion'!$A:$E,5,FALSE),0)</f>
        <v>0</v>
      </c>
      <c r="AA95">
        <f>IFERROR(AA47*'Input Data'!AA86*VLOOKUP(AA$54,'Energy Heat Value Conversion'!$A:$E,5,FALSE),0)</f>
        <v>0</v>
      </c>
      <c r="AB95">
        <f>IFERROR(AB47*'Input Data'!AB86*VLOOKUP(AB$54,'Energy Heat Value Conversion'!$A:$E,5,FALSE),0)</f>
        <v>0</v>
      </c>
      <c r="AC95">
        <f>IFERROR(AC47*'Input Data'!AC86*VLOOKUP(AC$54,'Energy Heat Value Conversion'!$A:$E,5,FALSE),0)</f>
        <v>0</v>
      </c>
      <c r="AD95">
        <f>IFERROR(AD47*'Input Data'!AD86*VLOOKUP(AD$54,'Energy Heat Value Conversion'!$A:$E,5,FALSE),0)</f>
        <v>16009845929.025002</v>
      </c>
      <c r="AE95">
        <f>IFERROR(AE47*'Input Data'!AE86*VLOOKUP(AE$54,'Energy Heat Value Conversion'!$A:$E,5,FALSE),0)</f>
        <v>16090196646.331137</v>
      </c>
      <c r="AF95">
        <f>IFERROR(AF47*'Input Data'!AF86*VLOOKUP(AF$54,'Energy Heat Value Conversion'!$A:$E,5,FALSE),0)</f>
        <v>0</v>
      </c>
      <c r="AG95">
        <f>IFERROR(AG47*'Input Data'!AG86*VLOOKUP(AG$54,'Energy Heat Value Conversion'!$A:$E,5,FALSE),0)</f>
        <v>0</v>
      </c>
      <c r="AH95">
        <f>IFERROR(AH47*'Input Data'!AH86*VLOOKUP(AH$54,'Energy Heat Value Conversion'!$A:$E,5,FALSE),0)</f>
        <v>0</v>
      </c>
    </row>
    <row r="96" spans="1:48" x14ac:dyDescent="0.2">
      <c r="A96" s="206" t="str">
        <f>IFERROR(VLOOKUP(B96,'Sector Code Switch'!F:H,3,FALSE),"")</f>
        <v/>
      </c>
      <c r="B96" s="137" t="s">
        <v>521</v>
      </c>
      <c r="C96">
        <f>IFERROR(C48*'Input Data'!C87*VLOOKUP(C$54,'Energy Heat Value Conversion'!$A:$E,5,FALSE),0)</f>
        <v>0</v>
      </c>
      <c r="D96">
        <f>IFERROR(D48*'Input Data'!D87*VLOOKUP(D$54,'Energy Heat Value Conversion'!$A:$E,5,FALSE),0)</f>
        <v>0</v>
      </c>
      <c r="E96">
        <f>IFERROR(E48*'Input Data'!E87*VLOOKUP(E$54,'Energy Heat Value Conversion'!$A:$E,5,FALSE),0)</f>
        <v>0</v>
      </c>
      <c r="F96">
        <f>IFERROR(F48*'Input Data'!F87*VLOOKUP(F$54,'Energy Heat Value Conversion'!$A:$E,5,FALSE),0)</f>
        <v>0</v>
      </c>
      <c r="G96">
        <f>IFERROR(G48*'Input Data'!G87*VLOOKUP(G$54,'Energy Heat Value Conversion'!$A:$E,5,FALSE),0)</f>
        <v>0</v>
      </c>
      <c r="H96">
        <f>IFERROR(H48*'Input Data'!H87*VLOOKUP(H$54,'Energy Heat Value Conversion'!$A:$E,5,FALSE),0)</f>
        <v>0</v>
      </c>
      <c r="I96">
        <f>IFERROR(I48*'Input Data'!I87*VLOOKUP(I$54,'Energy Heat Value Conversion'!$A:$E,5,FALSE),0)</f>
        <v>0</v>
      </c>
      <c r="J96">
        <f>IFERROR(J48*'Input Data'!J87*VLOOKUP(J$54,'Energy Heat Value Conversion'!$A:$E,5,FALSE),0)</f>
        <v>427346245015.80072</v>
      </c>
      <c r="K96">
        <f>IFERROR(K48*'Input Data'!K87*VLOOKUP(K$54,'Energy Heat Value Conversion'!$A:$E,5,FALSE),0)</f>
        <v>0</v>
      </c>
      <c r="L96">
        <f>IFERROR(L48*'Input Data'!L87*VLOOKUP(L$54,'Energy Heat Value Conversion'!$A:$E,5,FALSE),0)</f>
        <v>0</v>
      </c>
      <c r="M96">
        <f>IFERROR(M48*'Input Data'!M87*VLOOKUP(M$54,'Energy Heat Value Conversion'!$A:$E,5,FALSE),0)</f>
        <v>0</v>
      </c>
      <c r="N96">
        <f>IFERROR(N48*'Input Data'!N87*VLOOKUP(N$54,'Energy Heat Value Conversion'!$A:$E,5,FALSE),0)</f>
        <v>19088214744.62635</v>
      </c>
      <c r="O96">
        <f>IFERROR(O48*'Input Data'!O87*VLOOKUP(O$54,'Energy Heat Value Conversion'!$A:$E,5,FALSE),0)</f>
        <v>0</v>
      </c>
      <c r="P96">
        <f>IFERROR(P48*'Input Data'!P87*VLOOKUP(P$54,'Energy Heat Value Conversion'!$A:$E,5,FALSE),0)</f>
        <v>0</v>
      </c>
      <c r="Q96">
        <f>IFERROR(Q48*'Input Data'!Q87*VLOOKUP(Q$54,'Energy Heat Value Conversion'!$A:$E,5,FALSE),0)</f>
        <v>32760071796.657478</v>
      </c>
      <c r="R96">
        <f>IFERROR(R48*'Input Data'!R87*VLOOKUP(R$54,'Energy Heat Value Conversion'!$A:$E,5,FALSE),0)</f>
        <v>0</v>
      </c>
      <c r="S96">
        <f>IFERROR(S48*'Input Data'!S87*VLOOKUP(S$54,'Energy Heat Value Conversion'!$A:$E,5,FALSE),0)</f>
        <v>195410845731.63492</v>
      </c>
      <c r="T96">
        <f>IFERROR(T48*'Input Data'!T87*VLOOKUP(T$54,'Energy Heat Value Conversion'!$A:$E,5,FALSE),0)</f>
        <v>25192495888.502811</v>
      </c>
      <c r="U96">
        <f>IFERROR(U48*'Input Data'!U87*VLOOKUP(U$54,'Energy Heat Value Conversion'!$A:$E,5,FALSE),0)</f>
        <v>0</v>
      </c>
      <c r="V96">
        <f>IFERROR(V48*'Input Data'!V87*VLOOKUP(V$54,'Energy Heat Value Conversion'!$A:$E,5,FALSE),0)</f>
        <v>24082418287.426579</v>
      </c>
      <c r="W96">
        <f>IFERROR(W48*'Input Data'!W87*VLOOKUP(W$54,'Energy Heat Value Conversion'!$A:$E,5,FALSE),0)</f>
        <v>1910308061.481679</v>
      </c>
      <c r="X96">
        <f>IFERROR(X48*'Input Data'!X87*VLOOKUP(X$54,'Energy Heat Value Conversion'!$A:$E,5,FALSE),0)</f>
        <v>0</v>
      </c>
      <c r="Y96">
        <f>IFERROR(Y48*'Input Data'!Y87*VLOOKUP(Y$54,'Energy Heat Value Conversion'!$A:$E,5,FALSE),0)</f>
        <v>0</v>
      </c>
      <c r="Z96">
        <f>IFERROR(Z48*'Input Data'!Z87*VLOOKUP(Z$54,'Energy Heat Value Conversion'!$A:$E,5,FALSE),0)</f>
        <v>0</v>
      </c>
      <c r="AA96">
        <f>IFERROR(AA48*'Input Data'!AA87*VLOOKUP(AA$54,'Energy Heat Value Conversion'!$A:$E,5,FALSE),0)</f>
        <v>0</v>
      </c>
      <c r="AB96">
        <f>IFERROR(AB48*'Input Data'!AB87*VLOOKUP(AB$54,'Energy Heat Value Conversion'!$A:$E,5,FALSE),0)</f>
        <v>34803267118.923233</v>
      </c>
      <c r="AC96">
        <f>IFERROR(AC48*'Input Data'!AC87*VLOOKUP(AC$54,'Energy Heat Value Conversion'!$A:$E,5,FALSE),0)</f>
        <v>0</v>
      </c>
      <c r="AD96">
        <f>IFERROR(AD48*'Input Data'!AD87*VLOOKUP(AD$54,'Energy Heat Value Conversion'!$A:$E,5,FALSE),0)</f>
        <v>475422816066.2641</v>
      </c>
      <c r="AE96">
        <f>IFERROR(AE48*'Input Data'!AE87*VLOOKUP(AE$54,'Energy Heat Value Conversion'!$A:$E,5,FALSE),0)</f>
        <v>371290963849.18762</v>
      </c>
      <c r="AF96">
        <f>IFERROR(AF48*'Input Data'!AF87*VLOOKUP(AF$54,'Energy Heat Value Conversion'!$A:$E,5,FALSE),0)</f>
        <v>0</v>
      </c>
      <c r="AG96">
        <f>IFERROR(AG48*'Input Data'!AG87*VLOOKUP(AG$54,'Energy Heat Value Conversion'!$A:$E,5,FALSE),0)</f>
        <v>0</v>
      </c>
      <c r="AH96">
        <f>IFERROR(AH48*'Input Data'!AH87*VLOOKUP(AH$54,'Energy Heat Value Conversion'!$A:$E,5,FALSE),0)</f>
        <v>0</v>
      </c>
    </row>
    <row r="97" spans="1:45" x14ac:dyDescent="0.2">
      <c r="A97" s="206">
        <f>IFERROR(VLOOKUP(B97,'Sector Code Switch'!F:H,3,FALSE),"")</f>
        <v>0</v>
      </c>
      <c r="B97" s="138" t="s">
        <v>39</v>
      </c>
      <c r="C97">
        <f>IFERROR(C49*'Input Data'!C88*VLOOKUP(C$54,'Energy Heat Value Conversion'!$A:$E,5,FALSE),0)</f>
        <v>0</v>
      </c>
      <c r="D97">
        <f>IFERROR(D49*'Input Data'!D88*VLOOKUP(D$54,'Energy Heat Value Conversion'!$A:$E,5,FALSE),0)</f>
        <v>0</v>
      </c>
      <c r="E97">
        <f>IFERROR(E49*'Input Data'!E88*VLOOKUP(E$54,'Energy Heat Value Conversion'!$A:$E,5,FALSE),0)</f>
        <v>0</v>
      </c>
      <c r="F97">
        <f>IFERROR(F49*'Input Data'!F88*VLOOKUP(F$54,'Energy Heat Value Conversion'!$A:$E,5,FALSE),0)</f>
        <v>0</v>
      </c>
      <c r="G97">
        <f>IFERROR(G49*'Input Data'!G88*VLOOKUP(G$54,'Energy Heat Value Conversion'!$A:$E,5,FALSE),0)</f>
        <v>0</v>
      </c>
      <c r="H97">
        <f>IFERROR(H49*'Input Data'!H88*VLOOKUP(H$54,'Energy Heat Value Conversion'!$A:$E,5,FALSE),0)</f>
        <v>0</v>
      </c>
      <c r="I97">
        <f>IFERROR(I49*'Input Data'!I88*VLOOKUP(I$54,'Energy Heat Value Conversion'!$A:$E,5,FALSE),0)</f>
        <v>0</v>
      </c>
      <c r="J97">
        <f>IFERROR(J49*'Input Data'!J88*VLOOKUP(J$54,'Energy Heat Value Conversion'!$A:$E,5,FALSE),0)</f>
        <v>19315084520.488171</v>
      </c>
      <c r="K97">
        <f>IFERROR(K49*'Input Data'!K88*VLOOKUP(K$54,'Energy Heat Value Conversion'!$A:$E,5,FALSE),0)</f>
        <v>0</v>
      </c>
      <c r="L97">
        <f>IFERROR(L49*'Input Data'!L88*VLOOKUP(L$54,'Energy Heat Value Conversion'!$A:$E,5,FALSE),0)</f>
        <v>0</v>
      </c>
      <c r="M97">
        <f>IFERROR(M49*'Input Data'!M88*VLOOKUP(M$54,'Energy Heat Value Conversion'!$A:$E,5,FALSE),0)</f>
        <v>0</v>
      </c>
      <c r="N97">
        <f>IFERROR(N49*'Input Data'!N88*VLOOKUP(N$54,'Energy Heat Value Conversion'!$A:$E,5,FALSE),0)</f>
        <v>19088214744.62635</v>
      </c>
      <c r="O97">
        <f>IFERROR(O49*'Input Data'!O88*VLOOKUP(O$54,'Energy Heat Value Conversion'!$A:$E,5,FALSE),0)</f>
        <v>0</v>
      </c>
      <c r="P97">
        <f>IFERROR(P49*'Input Data'!P88*VLOOKUP(P$54,'Energy Heat Value Conversion'!$A:$E,5,FALSE),0)</f>
        <v>0</v>
      </c>
      <c r="Q97">
        <f>IFERROR(Q49*'Input Data'!Q88*VLOOKUP(Q$54,'Energy Heat Value Conversion'!$A:$E,5,FALSE),0)</f>
        <v>25214316719.555267</v>
      </c>
      <c r="R97">
        <f>IFERROR(R49*'Input Data'!R88*VLOOKUP(R$54,'Energy Heat Value Conversion'!$A:$E,5,FALSE),0)</f>
        <v>0</v>
      </c>
      <c r="S97">
        <f>IFERROR(S49*'Input Data'!S88*VLOOKUP(S$54,'Energy Heat Value Conversion'!$A:$E,5,FALSE),0)</f>
        <v>179388873021.57407</v>
      </c>
      <c r="T97">
        <f>IFERROR(T49*'Input Data'!T88*VLOOKUP(T$54,'Energy Heat Value Conversion'!$A:$E,5,FALSE),0)</f>
        <v>23254611589.387207</v>
      </c>
      <c r="U97">
        <f>IFERROR(U49*'Input Data'!U88*VLOOKUP(U$54,'Energy Heat Value Conversion'!$A:$E,5,FALSE),0)</f>
        <v>0</v>
      </c>
      <c r="V97">
        <f>IFERROR(V49*'Input Data'!V88*VLOOKUP(V$54,'Energy Heat Value Conversion'!$A:$E,5,FALSE),0)</f>
        <v>22018211005.647163</v>
      </c>
      <c r="W97">
        <f>IFERROR(W49*'Input Data'!W88*VLOOKUP(W$54,'Energy Heat Value Conversion'!$A:$E,5,FALSE),0)</f>
        <v>0</v>
      </c>
      <c r="X97">
        <f>IFERROR(X49*'Input Data'!X88*VLOOKUP(X$54,'Energy Heat Value Conversion'!$A:$E,5,FALSE),0)</f>
        <v>0</v>
      </c>
      <c r="Y97">
        <f>IFERROR(Y49*'Input Data'!Y88*VLOOKUP(Y$54,'Energy Heat Value Conversion'!$A:$E,5,FALSE),0)</f>
        <v>0</v>
      </c>
      <c r="Z97">
        <f>IFERROR(Z49*'Input Data'!Z88*VLOOKUP(Z$54,'Energy Heat Value Conversion'!$A:$E,5,FALSE),0)</f>
        <v>0</v>
      </c>
      <c r="AA97">
        <f>IFERROR(AA49*'Input Data'!AA88*VLOOKUP(AA$54,'Energy Heat Value Conversion'!$A:$E,5,FALSE),0)</f>
        <v>0</v>
      </c>
      <c r="AB97">
        <f>IFERROR(AB49*'Input Data'!AB88*VLOOKUP(AB$54,'Energy Heat Value Conversion'!$A:$E,5,FALSE),0)</f>
        <v>34803267118.923233</v>
      </c>
      <c r="AC97">
        <f>IFERROR(AC49*'Input Data'!AC88*VLOOKUP(AC$54,'Energy Heat Value Conversion'!$A:$E,5,FALSE),0)</f>
        <v>0</v>
      </c>
      <c r="AD97">
        <f>IFERROR(AD49*'Input Data'!AD88*VLOOKUP(AD$54,'Energy Heat Value Conversion'!$A:$E,5,FALSE),0)</f>
        <v>178892626250.40976</v>
      </c>
      <c r="AE97">
        <f>IFERROR(AE49*'Input Data'!AE88*VLOOKUP(AE$54,'Energy Heat Value Conversion'!$A:$E,5,FALSE),0)</f>
        <v>0</v>
      </c>
      <c r="AF97">
        <f>IFERROR(AF49*'Input Data'!AF88*VLOOKUP(AF$54,'Energy Heat Value Conversion'!$A:$E,5,FALSE),0)</f>
        <v>0</v>
      </c>
      <c r="AG97">
        <f>IFERROR(AG49*'Input Data'!AG88*VLOOKUP(AG$54,'Energy Heat Value Conversion'!$A:$E,5,FALSE),0)</f>
        <v>0</v>
      </c>
      <c r="AH97">
        <f>IFERROR(AH49*'Input Data'!AH88*VLOOKUP(AH$54,'Energy Heat Value Conversion'!$A:$E,5,FALSE),0)</f>
        <v>0</v>
      </c>
      <c r="AJ97" s="41" t="s">
        <v>637</v>
      </c>
    </row>
    <row r="98" spans="1:45" x14ac:dyDescent="0.2">
      <c r="A98" s="206" t="str">
        <f>IFERROR(VLOOKUP(B98,'Sector Code Switch'!F:H,3,FALSE),"")</f>
        <v>energy pipelines and gas processing 352T353</v>
      </c>
      <c r="B98" s="138" t="s">
        <v>40</v>
      </c>
      <c r="C98">
        <f>IFERROR(C50*'Input Data'!C89*VLOOKUP(C$54,'Energy Heat Value Conversion'!$A:$E,5,FALSE),0)</f>
        <v>0</v>
      </c>
      <c r="D98">
        <f>IFERROR(D50*'Input Data'!D89*VLOOKUP(D$54,'Energy Heat Value Conversion'!$A:$E,5,FALSE),0)</f>
        <v>0</v>
      </c>
      <c r="E98">
        <f>IFERROR(E50*'Input Data'!E89*VLOOKUP(E$54,'Energy Heat Value Conversion'!$A:$E,5,FALSE),0)</f>
        <v>0</v>
      </c>
      <c r="F98">
        <f>IFERROR(F50*'Input Data'!F89*VLOOKUP(F$54,'Energy Heat Value Conversion'!$A:$E,5,FALSE),0)</f>
        <v>0</v>
      </c>
      <c r="G98">
        <f>IFERROR(G50*'Input Data'!G89*VLOOKUP(G$54,'Energy Heat Value Conversion'!$A:$E,5,FALSE),0)</f>
        <v>0</v>
      </c>
      <c r="H98">
        <f>IFERROR(H50*'Input Data'!H89*VLOOKUP(H$54,'Energy Heat Value Conversion'!$A:$E,5,FALSE),0)</f>
        <v>0</v>
      </c>
      <c r="I98">
        <f>IFERROR(I50*'Input Data'!I89*VLOOKUP(I$54,'Energy Heat Value Conversion'!$A:$E,5,FALSE),0)</f>
        <v>0</v>
      </c>
      <c r="J98">
        <f>IFERROR(J50*'Input Data'!J89*VLOOKUP(J$54,'Energy Heat Value Conversion'!$A:$E,5,FALSE),0)</f>
        <v>408031160495.31256</v>
      </c>
      <c r="K98">
        <f>IFERROR(K50*'Input Data'!K89*VLOOKUP(K$54,'Energy Heat Value Conversion'!$A:$E,5,FALSE),0)</f>
        <v>0</v>
      </c>
      <c r="L98">
        <f>IFERROR(L50*'Input Data'!L89*VLOOKUP(L$54,'Energy Heat Value Conversion'!$A:$E,5,FALSE),0)</f>
        <v>0</v>
      </c>
      <c r="M98">
        <f>IFERROR(M50*'Input Data'!M89*VLOOKUP(M$54,'Energy Heat Value Conversion'!$A:$E,5,FALSE),0)</f>
        <v>0</v>
      </c>
      <c r="N98">
        <f>IFERROR(N50*'Input Data'!N89*VLOOKUP(N$54,'Energy Heat Value Conversion'!$A:$E,5,FALSE),0)</f>
        <v>0</v>
      </c>
      <c r="O98">
        <f>IFERROR(O50*'Input Data'!O89*VLOOKUP(O$54,'Energy Heat Value Conversion'!$A:$E,5,FALSE),0)</f>
        <v>0</v>
      </c>
      <c r="P98">
        <f>IFERROR(P50*'Input Data'!P89*VLOOKUP(P$54,'Energy Heat Value Conversion'!$A:$E,5,FALSE),0)</f>
        <v>0</v>
      </c>
      <c r="Q98">
        <f>IFERROR(Q50*'Input Data'!Q89*VLOOKUP(Q$54,'Energy Heat Value Conversion'!$A:$E,5,FALSE),0)</f>
        <v>4227106038.2783833</v>
      </c>
      <c r="R98">
        <f>IFERROR(R50*'Input Data'!R89*VLOOKUP(R$54,'Energy Heat Value Conversion'!$A:$E,5,FALSE),0)</f>
        <v>0</v>
      </c>
      <c r="S98">
        <f>IFERROR(S50*'Input Data'!S89*VLOOKUP(S$54,'Energy Heat Value Conversion'!$A:$E,5,FALSE),0)</f>
        <v>7057297503.241086</v>
      </c>
      <c r="T98">
        <f>IFERROR(T50*'Input Data'!T89*VLOOKUP(T$54,'Energy Heat Value Conversion'!$A:$E,5,FALSE),0)</f>
        <v>0</v>
      </c>
      <c r="U98">
        <f>IFERROR(U50*'Input Data'!U89*VLOOKUP(U$54,'Energy Heat Value Conversion'!$A:$E,5,FALSE),0)</f>
        <v>0</v>
      </c>
      <c r="V98">
        <f>IFERROR(V50*'Input Data'!V89*VLOOKUP(V$54,'Energy Heat Value Conversion'!$A:$E,5,FALSE),0)</f>
        <v>2064207281.7794211</v>
      </c>
      <c r="W98">
        <f>IFERROR(W50*'Input Data'!W89*VLOOKUP(W$54,'Energy Heat Value Conversion'!$A:$E,5,FALSE),0)</f>
        <v>0</v>
      </c>
      <c r="X98">
        <f>IFERROR(X50*'Input Data'!X89*VLOOKUP(X$54,'Energy Heat Value Conversion'!$A:$E,5,FALSE),0)</f>
        <v>0</v>
      </c>
      <c r="Y98">
        <f>IFERROR(Y50*'Input Data'!Y89*VLOOKUP(Y$54,'Energy Heat Value Conversion'!$A:$E,5,FALSE),0)</f>
        <v>0</v>
      </c>
      <c r="Z98">
        <f>IFERROR(Z50*'Input Data'!Z89*VLOOKUP(Z$54,'Energy Heat Value Conversion'!$A:$E,5,FALSE),0)</f>
        <v>0</v>
      </c>
      <c r="AA98">
        <f>IFERROR(AA50*'Input Data'!AA89*VLOOKUP(AA$54,'Energy Heat Value Conversion'!$A:$E,5,FALSE),0)</f>
        <v>0</v>
      </c>
      <c r="AB98">
        <f>IFERROR(AB50*'Input Data'!AB89*VLOOKUP(AB$54,'Energy Heat Value Conversion'!$A:$E,5,FALSE),0)</f>
        <v>0</v>
      </c>
      <c r="AC98">
        <f>IFERROR(AC50*'Input Data'!AC89*VLOOKUP(AC$54,'Energy Heat Value Conversion'!$A:$E,5,FALSE),0)</f>
        <v>0</v>
      </c>
      <c r="AD98">
        <f>IFERROR(AD50*'Input Data'!AD89*VLOOKUP(AD$54,'Energy Heat Value Conversion'!$A:$E,5,FALSE),0)</f>
        <v>263118337442.23691</v>
      </c>
      <c r="AE98">
        <f>IFERROR(AE50*'Input Data'!AE89*VLOOKUP(AE$54,'Energy Heat Value Conversion'!$A:$E,5,FALSE),0)</f>
        <v>370627450585.42133</v>
      </c>
      <c r="AF98">
        <f>IFERROR(AF50*'Input Data'!AF89*VLOOKUP(AF$54,'Energy Heat Value Conversion'!$A:$E,5,FALSE),0)</f>
        <v>0</v>
      </c>
      <c r="AG98">
        <f>IFERROR(AG50*'Input Data'!AG89*VLOOKUP(AG$54,'Energy Heat Value Conversion'!$A:$E,5,FALSE),0)</f>
        <v>0</v>
      </c>
      <c r="AH98">
        <f>IFERROR(AH50*'Input Data'!AH89*VLOOKUP(AH$54,'Energy Heat Value Conversion'!$A:$E,5,FALSE),0)</f>
        <v>0</v>
      </c>
      <c r="AJ98" s="165" t="s">
        <v>438</v>
      </c>
      <c r="AS98" s="191">
        <v>1</v>
      </c>
    </row>
    <row r="99" spans="1:45" x14ac:dyDescent="0.2">
      <c r="A99" s="206" t="str">
        <f>IFERROR(VLOOKUP(B99,'Sector Code Switch'!F:H,3,FALSE),"")</f>
        <v>water and waste 36T39</v>
      </c>
      <c r="B99" s="139" t="s">
        <v>41</v>
      </c>
      <c r="C99">
        <f>IFERROR(C51*'Input Data'!C90*VLOOKUP(C$54,'Energy Heat Value Conversion'!$A:$E,5,FALSE),0)</f>
        <v>0</v>
      </c>
      <c r="D99">
        <f>IFERROR(D51*'Input Data'!D90*VLOOKUP(D$54,'Energy Heat Value Conversion'!$A:$E,5,FALSE),0)</f>
        <v>0</v>
      </c>
      <c r="E99">
        <f>IFERROR(E51*'Input Data'!E90*VLOOKUP(E$54,'Energy Heat Value Conversion'!$A:$E,5,FALSE),0)</f>
        <v>0</v>
      </c>
      <c r="F99">
        <f>IFERROR(F51*'Input Data'!F90*VLOOKUP(F$54,'Energy Heat Value Conversion'!$A:$E,5,FALSE),0)</f>
        <v>0</v>
      </c>
      <c r="G99">
        <f>IFERROR(G51*'Input Data'!G90*VLOOKUP(G$54,'Energy Heat Value Conversion'!$A:$E,5,FALSE),0)</f>
        <v>0</v>
      </c>
      <c r="H99">
        <f>IFERROR(H51*'Input Data'!H90*VLOOKUP(H$54,'Energy Heat Value Conversion'!$A:$E,5,FALSE),0)</f>
        <v>0</v>
      </c>
      <c r="I99">
        <f>IFERROR(I51*'Input Data'!I90*VLOOKUP(I$54,'Energy Heat Value Conversion'!$A:$E,5,FALSE),0)</f>
        <v>0</v>
      </c>
      <c r="J99">
        <f>IFERROR(J51*'Input Data'!J90*VLOOKUP(J$54,'Energy Heat Value Conversion'!$A:$E,5,FALSE),0)</f>
        <v>0</v>
      </c>
      <c r="K99">
        <f>IFERROR(K51*'Input Data'!K90*VLOOKUP(K$54,'Energy Heat Value Conversion'!$A:$E,5,FALSE),0)</f>
        <v>0</v>
      </c>
      <c r="L99">
        <f>IFERROR(L51*'Input Data'!L90*VLOOKUP(L$54,'Energy Heat Value Conversion'!$A:$E,5,FALSE),0)</f>
        <v>0</v>
      </c>
      <c r="M99">
        <f>IFERROR(M51*'Input Data'!M90*VLOOKUP(M$54,'Energy Heat Value Conversion'!$A:$E,5,FALSE),0)</f>
        <v>0</v>
      </c>
      <c r="N99">
        <f>IFERROR(N51*'Input Data'!N90*VLOOKUP(N$54,'Energy Heat Value Conversion'!$A:$E,5,FALSE),0)</f>
        <v>0</v>
      </c>
      <c r="O99">
        <f>IFERROR(O51*'Input Data'!O90*VLOOKUP(O$54,'Energy Heat Value Conversion'!$A:$E,5,FALSE),0)</f>
        <v>0</v>
      </c>
      <c r="P99">
        <f>IFERROR(P51*'Input Data'!P90*VLOOKUP(P$54,'Energy Heat Value Conversion'!$A:$E,5,FALSE),0)</f>
        <v>0</v>
      </c>
      <c r="Q99">
        <f>IFERROR(Q51*'Input Data'!Q90*VLOOKUP(Q$54,'Energy Heat Value Conversion'!$A:$E,5,FALSE),0)</f>
        <v>3318649038.8238187</v>
      </c>
      <c r="R99">
        <f>IFERROR(R51*'Input Data'!R90*VLOOKUP(R$54,'Energy Heat Value Conversion'!$A:$E,5,FALSE),0)</f>
        <v>0</v>
      </c>
      <c r="S99">
        <f>IFERROR(S51*'Input Data'!S90*VLOOKUP(S$54,'Energy Heat Value Conversion'!$A:$E,5,FALSE),0)</f>
        <v>8964675206.8197575</v>
      </c>
      <c r="T99">
        <f>IFERROR(T51*'Input Data'!T90*VLOOKUP(T$54,'Energy Heat Value Conversion'!$A:$E,5,FALSE),0)</f>
        <v>1937884299.1156008</v>
      </c>
      <c r="U99">
        <f>IFERROR(U51*'Input Data'!U90*VLOOKUP(U$54,'Energy Heat Value Conversion'!$A:$E,5,FALSE),0)</f>
        <v>0</v>
      </c>
      <c r="V99">
        <f>IFERROR(V51*'Input Data'!V90*VLOOKUP(V$54,'Energy Heat Value Conversion'!$A:$E,5,FALSE),0)</f>
        <v>0</v>
      </c>
      <c r="W99">
        <f>IFERROR(W51*'Input Data'!W90*VLOOKUP(W$54,'Energy Heat Value Conversion'!$A:$E,5,FALSE),0)</f>
        <v>1910308061.481679</v>
      </c>
      <c r="X99">
        <f>IFERROR(X51*'Input Data'!X90*VLOOKUP(X$54,'Energy Heat Value Conversion'!$A:$E,5,FALSE),0)</f>
        <v>0</v>
      </c>
      <c r="Y99">
        <f>IFERROR(Y51*'Input Data'!Y90*VLOOKUP(Y$54,'Energy Heat Value Conversion'!$A:$E,5,FALSE),0)</f>
        <v>0</v>
      </c>
      <c r="Z99">
        <f>IFERROR(Z51*'Input Data'!Z90*VLOOKUP(Z$54,'Energy Heat Value Conversion'!$A:$E,5,FALSE),0)</f>
        <v>0</v>
      </c>
      <c r="AA99">
        <f>IFERROR(AA51*'Input Data'!AA90*VLOOKUP(AA$54,'Energy Heat Value Conversion'!$A:$E,5,FALSE),0)</f>
        <v>0</v>
      </c>
      <c r="AB99">
        <f>IFERROR(AB51*'Input Data'!AB90*VLOOKUP(AB$54,'Energy Heat Value Conversion'!$A:$E,5,FALSE),0)</f>
        <v>0</v>
      </c>
      <c r="AC99">
        <f>IFERROR(AC51*'Input Data'!AC90*VLOOKUP(AC$54,'Energy Heat Value Conversion'!$A:$E,5,FALSE),0)</f>
        <v>0</v>
      </c>
      <c r="AD99">
        <f>IFERROR(AD51*'Input Data'!AD90*VLOOKUP(AD$54,'Energy Heat Value Conversion'!$A:$E,5,FALSE),0)</f>
        <v>32715772115.833691</v>
      </c>
      <c r="AE99">
        <f>IFERROR(AE51*'Input Data'!AE90*VLOOKUP(AE$54,'Energy Heat Value Conversion'!$A:$E,5,FALSE),0)</f>
        <v>663513263.76623237</v>
      </c>
      <c r="AF99">
        <f>IFERROR(AF51*'Input Data'!AF90*VLOOKUP(AF$54,'Energy Heat Value Conversion'!$A:$E,5,FALSE),0)</f>
        <v>0</v>
      </c>
      <c r="AG99">
        <f>IFERROR(AG51*'Input Data'!AG90*VLOOKUP(AG$54,'Energy Heat Value Conversion'!$A:$E,5,FALSE),0)</f>
        <v>0</v>
      </c>
      <c r="AH99">
        <f>IFERROR(AH51*'Input Data'!AH90*VLOOKUP(AH$54,'Energy Heat Value Conversion'!$A:$E,5,FALSE),0)</f>
        <v>0</v>
      </c>
      <c r="AJ99" t="s">
        <v>635</v>
      </c>
    </row>
    <row r="100" spans="1:45" x14ac:dyDescent="0.2">
      <c r="AJ100" t="s">
        <v>634</v>
      </c>
    </row>
    <row r="101" spans="1:45" x14ac:dyDescent="0.2">
      <c r="B101" s="199" t="s">
        <v>627</v>
      </c>
      <c r="AJ101" t="s">
        <v>636</v>
      </c>
    </row>
    <row r="102" spans="1:45" x14ac:dyDescent="0.2">
      <c r="A102" s="206" t="s">
        <v>374</v>
      </c>
      <c r="B102" s="188" t="s">
        <v>89</v>
      </c>
      <c r="C102">
        <f>'Input Data'!C120</f>
        <v>0</v>
      </c>
      <c r="D102">
        <f>'Input Data'!D120</f>
        <v>1.7867702743129666E+16</v>
      </c>
      <c r="E102">
        <f>'Input Data'!E120</f>
        <v>0</v>
      </c>
      <c r="F102">
        <f>'Input Data'!F120</f>
        <v>0</v>
      </c>
      <c r="G102">
        <f>'Input Data'!G120</f>
        <v>0</v>
      </c>
      <c r="H102">
        <f>'Input Data'!H120</f>
        <v>0</v>
      </c>
      <c r="I102">
        <f>'Input Data'!I120</f>
        <v>0</v>
      </c>
      <c r="J102">
        <f>'Input Data'!J120</f>
        <v>0</v>
      </c>
      <c r="K102">
        <f>'Input Data'!K120</f>
        <v>0</v>
      </c>
      <c r="L102">
        <f>'Input Data'!L120</f>
        <v>0</v>
      </c>
      <c r="M102">
        <f>'Input Data'!M120</f>
        <v>0</v>
      </c>
      <c r="N102">
        <f>'Input Data'!N120</f>
        <v>0</v>
      </c>
      <c r="O102">
        <f>'Input Data'!O120</f>
        <v>0</v>
      </c>
      <c r="P102">
        <f>'Input Data'!P120</f>
        <v>0</v>
      </c>
      <c r="Q102">
        <f>'Input Data'!Q120</f>
        <v>0</v>
      </c>
      <c r="R102">
        <f>'Input Data'!R120</f>
        <v>0</v>
      </c>
      <c r="S102">
        <f>'Input Data'!S120</f>
        <v>0</v>
      </c>
      <c r="T102">
        <f>'Input Data'!T120</f>
        <v>0</v>
      </c>
      <c r="U102">
        <f>'Input Data'!U120</f>
        <v>0</v>
      </c>
      <c r="V102">
        <f>'Input Data'!V120</f>
        <v>0</v>
      </c>
      <c r="W102">
        <f>'Input Data'!W120</f>
        <v>0</v>
      </c>
      <c r="X102">
        <f>'Input Data'!X120</f>
        <v>0</v>
      </c>
      <c r="Y102">
        <f>'Input Data'!Y120</f>
        <v>0</v>
      </c>
      <c r="Z102">
        <f>'Input Data'!Z120</f>
        <v>0</v>
      </c>
      <c r="AA102">
        <f>'Input Data'!AA120</f>
        <v>0</v>
      </c>
      <c r="AB102">
        <f>'Input Data'!AB120</f>
        <v>0</v>
      </c>
      <c r="AC102">
        <f>'Input Data'!AC120</f>
        <v>0</v>
      </c>
      <c r="AD102">
        <f>'Input Data'!AD120</f>
        <v>0</v>
      </c>
      <c r="AE102">
        <f>'Input Data'!AE120</f>
        <v>0</v>
      </c>
      <c r="AF102">
        <f>'Input Data'!AF120</f>
        <v>0</v>
      </c>
      <c r="AG102">
        <f>'Input Data'!AG120</f>
        <v>0</v>
      </c>
      <c r="AH102">
        <f>'Input Data'!AH120</f>
        <v>0</v>
      </c>
      <c r="AJ102" t="s">
        <v>633</v>
      </c>
      <c r="AS102"/>
    </row>
    <row r="103" spans="1:45" x14ac:dyDescent="0.2">
      <c r="A103" s="206" t="s">
        <v>381</v>
      </c>
      <c r="B103" s="188" t="s">
        <v>90</v>
      </c>
      <c r="C103">
        <f>'Input Data'!C121</f>
        <v>0</v>
      </c>
      <c r="D103">
        <f>'Input Data'!D121</f>
        <v>2171940841615162</v>
      </c>
      <c r="E103">
        <f>'Input Data'!E121</f>
        <v>1.3735017010900418E+16</v>
      </c>
      <c r="F103">
        <f>'Input Data'!F121</f>
        <v>0</v>
      </c>
      <c r="G103">
        <f>'Input Data'!G121</f>
        <v>0</v>
      </c>
      <c r="H103">
        <f>'Input Data'!H121</f>
        <v>0</v>
      </c>
      <c r="I103">
        <f>'Input Data'!I121</f>
        <v>0</v>
      </c>
      <c r="J103">
        <f>'Input Data'!J121</f>
        <v>0</v>
      </c>
      <c r="K103">
        <f>'Input Data'!K121</f>
        <v>0</v>
      </c>
      <c r="L103">
        <f>'Input Data'!L121</f>
        <v>0</v>
      </c>
      <c r="M103">
        <f>'Input Data'!M121</f>
        <v>0</v>
      </c>
      <c r="N103">
        <f>'Input Data'!N121</f>
        <v>0</v>
      </c>
      <c r="O103">
        <f>'Input Data'!O121</f>
        <v>0</v>
      </c>
      <c r="P103">
        <f>'Input Data'!P121</f>
        <v>0</v>
      </c>
      <c r="Q103">
        <f>'Input Data'!Q121</f>
        <v>0</v>
      </c>
      <c r="R103">
        <f>'Input Data'!R121</f>
        <v>0</v>
      </c>
      <c r="S103">
        <f>'Input Data'!S121</f>
        <v>0</v>
      </c>
      <c r="T103">
        <f>'Input Data'!T121</f>
        <v>0</v>
      </c>
      <c r="U103">
        <f>'Input Data'!U121</f>
        <v>0</v>
      </c>
      <c r="V103">
        <f>'Input Data'!V121</f>
        <v>0</v>
      </c>
      <c r="W103">
        <f>'Input Data'!W121</f>
        <v>0</v>
      </c>
      <c r="X103">
        <f>'Input Data'!X121</f>
        <v>0</v>
      </c>
      <c r="Y103">
        <f>'Input Data'!Y121</f>
        <v>0</v>
      </c>
      <c r="Z103">
        <f>'Input Data'!Z121</f>
        <v>1392876026420.7813</v>
      </c>
      <c r="AA103">
        <f>'Input Data'!AA121</f>
        <v>0</v>
      </c>
      <c r="AB103">
        <f>'Input Data'!AB121</f>
        <v>0</v>
      </c>
      <c r="AC103">
        <f>'Input Data'!AC121</f>
        <v>0</v>
      </c>
      <c r="AD103">
        <f>'Input Data'!AD121</f>
        <v>0</v>
      </c>
      <c r="AE103">
        <f>'Input Data'!AE121</f>
        <v>0</v>
      </c>
      <c r="AF103">
        <f>'Input Data'!AF121</f>
        <v>0</v>
      </c>
      <c r="AG103">
        <f>'Input Data'!AG121</f>
        <v>0</v>
      </c>
      <c r="AH103">
        <f>'Input Data'!AH121</f>
        <v>0</v>
      </c>
      <c r="AJ103" t="s">
        <v>632</v>
      </c>
      <c r="AS103"/>
    </row>
    <row r="104" spans="1:45" x14ac:dyDescent="0.2">
      <c r="A104" s="206" t="s">
        <v>381</v>
      </c>
      <c r="B104" s="188" t="s">
        <v>91</v>
      </c>
      <c r="C104">
        <f>'Input Data'!C122</f>
        <v>0</v>
      </c>
      <c r="D104">
        <f>'Input Data'!D122</f>
        <v>577521713566158.63</v>
      </c>
      <c r="E104">
        <f>'Input Data'!E122</f>
        <v>0</v>
      </c>
      <c r="F104">
        <f>'Input Data'!F122</f>
        <v>10543163473289.113</v>
      </c>
      <c r="G104">
        <f>'Input Data'!G122</f>
        <v>0</v>
      </c>
      <c r="H104">
        <f>'Input Data'!H122</f>
        <v>0</v>
      </c>
      <c r="I104">
        <f>'Input Data'!I122</f>
        <v>0</v>
      </c>
      <c r="J104">
        <f>'Input Data'!J122</f>
        <v>0</v>
      </c>
      <c r="K104">
        <f>'Input Data'!K122</f>
        <v>0</v>
      </c>
      <c r="L104">
        <f>'Input Data'!L122</f>
        <v>0</v>
      </c>
      <c r="M104">
        <f>'Input Data'!M122</f>
        <v>0</v>
      </c>
      <c r="N104">
        <f>'Input Data'!N122</f>
        <v>130653208358590.69</v>
      </c>
      <c r="O104">
        <f>'Input Data'!O122</f>
        <v>0</v>
      </c>
      <c r="P104">
        <f>'Input Data'!P122</f>
        <v>2.7356889750244024E+16</v>
      </c>
      <c r="Q104">
        <f>'Input Data'!Q122</f>
        <v>0</v>
      </c>
      <c r="R104">
        <f>'Input Data'!R122</f>
        <v>0</v>
      </c>
      <c r="S104">
        <f>'Input Data'!S122</f>
        <v>0</v>
      </c>
      <c r="T104">
        <f>'Input Data'!T122</f>
        <v>0</v>
      </c>
      <c r="U104">
        <f>'Input Data'!U122</f>
        <v>0</v>
      </c>
      <c r="V104">
        <f>'Input Data'!V122</f>
        <v>0</v>
      </c>
      <c r="W104">
        <f>'Input Data'!W122</f>
        <v>0</v>
      </c>
      <c r="X104">
        <f>'Input Data'!X122</f>
        <v>0</v>
      </c>
      <c r="Y104">
        <f>'Input Data'!Y122</f>
        <v>0</v>
      </c>
      <c r="Z104">
        <f>'Input Data'!Z122</f>
        <v>0</v>
      </c>
      <c r="AA104">
        <f>'Input Data'!AA122</f>
        <v>0</v>
      </c>
      <c r="AB104">
        <f>'Input Data'!AB122</f>
        <v>0</v>
      </c>
      <c r="AC104">
        <f>'Input Data'!AC122</f>
        <v>0</v>
      </c>
      <c r="AD104">
        <f>'Input Data'!AD122</f>
        <v>105972114177652.31</v>
      </c>
      <c r="AE104">
        <f>'Input Data'!AE122</f>
        <v>0</v>
      </c>
      <c r="AF104">
        <f>'Input Data'!AF122</f>
        <v>0</v>
      </c>
      <c r="AG104">
        <f>'Input Data'!AG122</f>
        <v>0</v>
      </c>
      <c r="AH104">
        <f>'Input Data'!AH122</f>
        <v>115202337771976.72</v>
      </c>
      <c r="AS104"/>
    </row>
    <row r="105" spans="1:45" x14ac:dyDescent="0.2">
      <c r="A105" s="206" t="s">
        <v>381</v>
      </c>
      <c r="B105" s="188" t="s">
        <v>92</v>
      </c>
      <c r="C105">
        <f>'Input Data'!C123</f>
        <v>0</v>
      </c>
      <c r="D105">
        <f>'Input Data'!D123</f>
        <v>0</v>
      </c>
      <c r="E105">
        <f>'Input Data'!E123</f>
        <v>0</v>
      </c>
      <c r="F105">
        <f>'Input Data'!F123</f>
        <v>0</v>
      </c>
      <c r="G105">
        <f>'Input Data'!G123</f>
        <v>0</v>
      </c>
      <c r="H105">
        <f>'Input Data'!H123</f>
        <v>0</v>
      </c>
      <c r="I105">
        <f>'Input Data'!I123</f>
        <v>0</v>
      </c>
      <c r="J105">
        <f>'Input Data'!J123</f>
        <v>0</v>
      </c>
      <c r="K105">
        <f>'Input Data'!K123</f>
        <v>0</v>
      </c>
      <c r="L105">
        <f>'Input Data'!L123</f>
        <v>0</v>
      </c>
      <c r="M105">
        <f>'Input Data'!M123</f>
        <v>0</v>
      </c>
      <c r="N105">
        <f>'Input Data'!N123</f>
        <v>0</v>
      </c>
      <c r="O105">
        <f>'Input Data'!O123</f>
        <v>0</v>
      </c>
      <c r="P105">
        <f>'Input Data'!P123</f>
        <v>0</v>
      </c>
      <c r="Q105">
        <f>'Input Data'!Q123</f>
        <v>9630023851343.9844</v>
      </c>
      <c r="R105">
        <f>'Input Data'!R123</f>
        <v>0</v>
      </c>
      <c r="S105">
        <f>'Input Data'!S123</f>
        <v>46910673780918.805</v>
      </c>
      <c r="T105">
        <f>'Input Data'!T123</f>
        <v>1098188567742646</v>
      </c>
      <c r="U105">
        <f>'Input Data'!U123</f>
        <v>652872932461348</v>
      </c>
      <c r="V105">
        <f>'Input Data'!V123</f>
        <v>1746079129365.5215</v>
      </c>
      <c r="W105">
        <f>'Input Data'!W123</f>
        <v>3852274739768.5151</v>
      </c>
      <c r="X105">
        <f>'Input Data'!X123</f>
        <v>944332946924.08936</v>
      </c>
      <c r="Y105">
        <f>'Input Data'!Y123</f>
        <v>232075516570994.84</v>
      </c>
      <c r="Z105">
        <f>'Input Data'!Z123</f>
        <v>12820515425794.758</v>
      </c>
      <c r="AA105">
        <f>'Input Data'!AA123</f>
        <v>264854998150097.94</v>
      </c>
      <c r="AB105">
        <f>'Input Data'!AB123</f>
        <v>96433734953462.422</v>
      </c>
      <c r="AC105">
        <f>'Input Data'!AC123</f>
        <v>3411227676714934.5</v>
      </c>
      <c r="AD105">
        <f>'Input Data'!AD123</f>
        <v>0</v>
      </c>
      <c r="AE105">
        <f>'Input Data'!AE123</f>
        <v>0</v>
      </c>
      <c r="AF105">
        <f>'Input Data'!AF123</f>
        <v>0</v>
      </c>
      <c r="AG105">
        <f>'Input Data'!AG123</f>
        <v>0</v>
      </c>
      <c r="AH105">
        <f>'Input Data'!AH123</f>
        <v>0</v>
      </c>
      <c r="AS105"/>
    </row>
    <row r="106" spans="1:45" x14ac:dyDescent="0.2">
      <c r="A106" s="206" t="s">
        <v>395</v>
      </c>
      <c r="B106" s="188" t="s">
        <v>93</v>
      </c>
      <c r="C106">
        <f>'Input Data'!C124</f>
        <v>0</v>
      </c>
      <c r="D106">
        <f>'Input Data'!D124</f>
        <v>624351172689104.63</v>
      </c>
      <c r="E106">
        <f>'Input Data'!E124</f>
        <v>0</v>
      </c>
      <c r="F106">
        <f>'Input Data'!F124</f>
        <v>12551762544134.51</v>
      </c>
      <c r="G106">
        <f>'Input Data'!G124</f>
        <v>0</v>
      </c>
      <c r="H106">
        <f>'Input Data'!H124</f>
        <v>0</v>
      </c>
      <c r="I106">
        <f>'Input Data'!I124</f>
        <v>0</v>
      </c>
      <c r="J106">
        <f>'Input Data'!J124</f>
        <v>0</v>
      </c>
      <c r="K106">
        <f>'Input Data'!K124</f>
        <v>0</v>
      </c>
      <c r="L106">
        <f>'Input Data'!L124</f>
        <v>0</v>
      </c>
      <c r="M106">
        <f>'Input Data'!M124</f>
        <v>0</v>
      </c>
      <c r="N106">
        <f>'Input Data'!N124</f>
        <v>0</v>
      </c>
      <c r="O106">
        <f>'Input Data'!O124</f>
        <v>0</v>
      </c>
      <c r="P106">
        <f>'Input Data'!P124</f>
        <v>0</v>
      </c>
      <c r="Q106">
        <f>'Input Data'!Q124</f>
        <v>0</v>
      </c>
      <c r="R106">
        <f>'Input Data'!R124</f>
        <v>0</v>
      </c>
      <c r="S106">
        <f>'Input Data'!S124</f>
        <v>0</v>
      </c>
      <c r="T106">
        <f>'Input Data'!T124</f>
        <v>0</v>
      </c>
      <c r="U106">
        <f>'Input Data'!U124</f>
        <v>0</v>
      </c>
      <c r="V106">
        <f>'Input Data'!V124</f>
        <v>0</v>
      </c>
      <c r="W106">
        <f>'Input Data'!W124</f>
        <v>0</v>
      </c>
      <c r="X106">
        <f>'Input Data'!X124</f>
        <v>0</v>
      </c>
      <c r="Y106">
        <f>'Input Data'!Y124</f>
        <v>0</v>
      </c>
      <c r="Z106">
        <f>'Input Data'!Z124</f>
        <v>2800892009650.4844</v>
      </c>
      <c r="AA106">
        <f>'Input Data'!AA124</f>
        <v>1769251172817.0601</v>
      </c>
      <c r="AB106">
        <f>'Input Data'!AB124</f>
        <v>6932033029341.5273</v>
      </c>
      <c r="AC106">
        <f>'Input Data'!AC124</f>
        <v>0</v>
      </c>
      <c r="AD106">
        <f>'Input Data'!AD124</f>
        <v>0</v>
      </c>
      <c r="AE106">
        <f>'Input Data'!AE124</f>
        <v>0</v>
      </c>
      <c r="AF106">
        <f>'Input Data'!AF124</f>
        <v>0</v>
      </c>
      <c r="AG106">
        <f>'Input Data'!AG124</f>
        <v>0</v>
      </c>
      <c r="AH106">
        <f>'Input Data'!AH124</f>
        <v>0</v>
      </c>
      <c r="AS106"/>
    </row>
    <row r="107" spans="1:45" x14ac:dyDescent="0.2">
      <c r="A107" s="206" t="s">
        <v>395</v>
      </c>
      <c r="B107" s="188" t="s">
        <v>525</v>
      </c>
      <c r="C107">
        <f>'Input Data'!C125</f>
        <v>0</v>
      </c>
      <c r="D107">
        <f>'Input Data'!D125</f>
        <v>0</v>
      </c>
      <c r="E107">
        <f>'Input Data'!E125</f>
        <v>0</v>
      </c>
      <c r="F107">
        <f>'Input Data'!F125</f>
        <v>0</v>
      </c>
      <c r="G107">
        <f>'Input Data'!G125</f>
        <v>0</v>
      </c>
      <c r="H107">
        <f>'Input Data'!H125</f>
        <v>0</v>
      </c>
      <c r="I107">
        <f>'Input Data'!I125</f>
        <v>4740712541426.124</v>
      </c>
      <c r="J107">
        <f>'Input Data'!J125</f>
        <v>75644096471291.078</v>
      </c>
      <c r="K107">
        <f>'Input Data'!K125</f>
        <v>0</v>
      </c>
      <c r="L107">
        <f>'Input Data'!L125</f>
        <v>0</v>
      </c>
      <c r="M107">
        <f>'Input Data'!M125</f>
        <v>0</v>
      </c>
      <c r="N107">
        <f>'Input Data'!N125</f>
        <v>2102195727363.6272</v>
      </c>
      <c r="O107">
        <f>'Input Data'!O125</f>
        <v>0</v>
      </c>
      <c r="P107">
        <f>'Input Data'!P125</f>
        <v>0</v>
      </c>
      <c r="Q107">
        <f>'Input Data'!Q125</f>
        <v>0</v>
      </c>
      <c r="R107">
        <f>'Input Data'!R125</f>
        <v>0</v>
      </c>
      <c r="S107">
        <f>'Input Data'!S125</f>
        <v>0</v>
      </c>
      <c r="T107">
        <f>'Input Data'!T125</f>
        <v>0</v>
      </c>
      <c r="U107">
        <f>'Input Data'!U125</f>
        <v>0</v>
      </c>
      <c r="V107">
        <f>'Input Data'!V125</f>
        <v>0</v>
      </c>
      <c r="W107">
        <f>'Input Data'!W125</f>
        <v>0</v>
      </c>
      <c r="X107">
        <f>'Input Data'!X125</f>
        <v>0</v>
      </c>
      <c r="Y107">
        <f>'Input Data'!Y125</f>
        <v>0</v>
      </c>
      <c r="Z107">
        <f>'Input Data'!Z125</f>
        <v>0</v>
      </c>
      <c r="AA107">
        <f>'Input Data'!AA125</f>
        <v>0</v>
      </c>
      <c r="AB107">
        <f>'Input Data'!AB125</f>
        <v>0</v>
      </c>
      <c r="AC107">
        <f>'Input Data'!AC125</f>
        <v>0</v>
      </c>
      <c r="AD107">
        <f>'Input Data'!AD125</f>
        <v>51164766775142.758</v>
      </c>
      <c r="AE107">
        <f>'Input Data'!AE125</f>
        <v>0</v>
      </c>
      <c r="AF107">
        <f>'Input Data'!AF125</f>
        <v>0</v>
      </c>
      <c r="AG107">
        <f>'Input Data'!AG125</f>
        <v>0</v>
      </c>
      <c r="AH107">
        <f>'Input Data'!AH125</f>
        <v>0</v>
      </c>
      <c r="AS107"/>
    </row>
    <row r="108" spans="1:45" x14ac:dyDescent="0.2">
      <c r="A108" s="206" t="s">
        <v>395</v>
      </c>
      <c r="B108" s="188" t="s">
        <v>95</v>
      </c>
      <c r="C108">
        <f>'Input Data'!C126</f>
        <v>0</v>
      </c>
      <c r="D108">
        <f>'Input Data'!D126</f>
        <v>0</v>
      </c>
      <c r="E108">
        <f>'Input Data'!E126</f>
        <v>0</v>
      </c>
      <c r="F108">
        <f>'Input Data'!F126</f>
        <v>0</v>
      </c>
      <c r="G108">
        <f>'Input Data'!G126</f>
        <v>0</v>
      </c>
      <c r="H108">
        <f>'Input Data'!H126</f>
        <v>0</v>
      </c>
      <c r="I108">
        <f>'Input Data'!I126</f>
        <v>0</v>
      </c>
      <c r="J108">
        <f>'Input Data'!J126</f>
        <v>0</v>
      </c>
      <c r="K108">
        <f>'Input Data'!K126</f>
        <v>0</v>
      </c>
      <c r="L108">
        <f>'Input Data'!L126</f>
        <v>0</v>
      </c>
      <c r="M108">
        <f>'Input Data'!M126</f>
        <v>0</v>
      </c>
      <c r="N108">
        <f>'Input Data'!N126</f>
        <v>0</v>
      </c>
      <c r="O108">
        <f>'Input Data'!O126</f>
        <v>0</v>
      </c>
      <c r="P108">
        <f>'Input Data'!P126</f>
        <v>0</v>
      </c>
      <c r="Q108">
        <f>'Input Data'!Q126</f>
        <v>0</v>
      </c>
      <c r="R108">
        <f>'Input Data'!R126</f>
        <v>0</v>
      </c>
      <c r="S108">
        <f>'Input Data'!S126</f>
        <v>0</v>
      </c>
      <c r="T108">
        <f>'Input Data'!T126</f>
        <v>0</v>
      </c>
      <c r="U108">
        <f>'Input Data'!U126</f>
        <v>0</v>
      </c>
      <c r="V108">
        <f>'Input Data'!V126</f>
        <v>0</v>
      </c>
      <c r="W108">
        <f>'Input Data'!W126</f>
        <v>0</v>
      </c>
      <c r="X108">
        <f>'Input Data'!X126</f>
        <v>0</v>
      </c>
      <c r="Y108">
        <f>'Input Data'!Y126</f>
        <v>0</v>
      </c>
      <c r="Z108">
        <f>'Input Data'!Z126</f>
        <v>0</v>
      </c>
      <c r="AA108">
        <f>'Input Data'!AA126</f>
        <v>0</v>
      </c>
      <c r="AB108">
        <f>'Input Data'!AB126</f>
        <v>0</v>
      </c>
      <c r="AC108">
        <f>'Input Data'!AC126</f>
        <v>0</v>
      </c>
      <c r="AD108">
        <f>'Input Data'!AD126</f>
        <v>668649638310616.5</v>
      </c>
      <c r="AE108">
        <f>'Input Data'!AE126</f>
        <v>0</v>
      </c>
      <c r="AF108">
        <f>'Input Data'!AF126</f>
        <v>0</v>
      </c>
      <c r="AG108">
        <f>'Input Data'!AG126</f>
        <v>0</v>
      </c>
      <c r="AH108">
        <f>'Input Data'!AH126</f>
        <v>0</v>
      </c>
      <c r="AS108"/>
    </row>
    <row r="109" spans="1:45" x14ac:dyDescent="0.2">
      <c r="A109" s="206" t="s">
        <v>381</v>
      </c>
      <c r="B109" s="188" t="s">
        <v>96</v>
      </c>
      <c r="C109">
        <f>'Input Data'!C127</f>
        <v>0</v>
      </c>
      <c r="D109">
        <f>'Input Data'!D127</f>
        <v>88744312066512.875</v>
      </c>
      <c r="E109">
        <f>'Input Data'!E127</f>
        <v>0</v>
      </c>
      <c r="F109">
        <f>'Input Data'!F127</f>
        <v>91090839788244.391</v>
      </c>
      <c r="G109">
        <f>'Input Data'!G127</f>
        <v>0</v>
      </c>
      <c r="H109">
        <f>'Input Data'!H127</f>
        <v>0</v>
      </c>
      <c r="I109">
        <f>'Input Data'!I127</f>
        <v>0</v>
      </c>
      <c r="J109">
        <f>'Input Data'!J127</f>
        <v>0</v>
      </c>
      <c r="K109">
        <f>'Input Data'!K127</f>
        <v>0</v>
      </c>
      <c r="L109">
        <f>'Input Data'!L127</f>
        <v>0</v>
      </c>
      <c r="M109">
        <f>'Input Data'!M127</f>
        <v>0</v>
      </c>
      <c r="N109">
        <f>'Input Data'!N127</f>
        <v>0</v>
      </c>
      <c r="O109">
        <f>'Input Data'!O127</f>
        <v>0</v>
      </c>
      <c r="P109">
        <f>'Input Data'!P127</f>
        <v>0</v>
      </c>
      <c r="Q109">
        <f>'Input Data'!Q127</f>
        <v>0</v>
      </c>
      <c r="R109">
        <f>'Input Data'!R127</f>
        <v>0</v>
      </c>
      <c r="S109">
        <f>'Input Data'!S127</f>
        <v>0</v>
      </c>
      <c r="T109">
        <f>'Input Data'!T127</f>
        <v>0</v>
      </c>
      <c r="U109">
        <f>'Input Data'!U127</f>
        <v>0</v>
      </c>
      <c r="V109">
        <f>'Input Data'!V127</f>
        <v>0</v>
      </c>
      <c r="W109">
        <f>'Input Data'!W127</f>
        <v>0</v>
      </c>
      <c r="X109">
        <f>'Input Data'!X127</f>
        <v>0</v>
      </c>
      <c r="Y109">
        <f>'Input Data'!Y127</f>
        <v>0</v>
      </c>
      <c r="Z109">
        <f>'Input Data'!Z127</f>
        <v>0</v>
      </c>
      <c r="AA109">
        <f>'Input Data'!AA127</f>
        <v>0</v>
      </c>
      <c r="AB109">
        <f>'Input Data'!AB127</f>
        <v>0</v>
      </c>
      <c r="AC109">
        <f>'Input Data'!AC127</f>
        <v>0</v>
      </c>
      <c r="AD109">
        <f>'Input Data'!AD127</f>
        <v>0</v>
      </c>
      <c r="AE109">
        <f>'Input Data'!AE127</f>
        <v>0</v>
      </c>
      <c r="AF109">
        <f>'Input Data'!AF127</f>
        <v>0</v>
      </c>
      <c r="AG109">
        <f>'Input Data'!AG127</f>
        <v>0</v>
      </c>
      <c r="AH109">
        <f>'Input Data'!AH127</f>
        <v>0</v>
      </c>
      <c r="AS109"/>
    </row>
    <row r="113" spans="1:34" x14ac:dyDescent="0.2">
      <c r="A113" s="178" t="s">
        <v>373</v>
      </c>
      <c r="C113">
        <f>SUMIFS(C$55:C$109,$A$55:$A$109,$A113)</f>
        <v>0</v>
      </c>
      <c r="D113">
        <f t="shared" ref="D113:AH121" si="42">SUMIFS(D$55:D$109,$A$55:$A$109,$A113)</f>
        <v>0</v>
      </c>
      <c r="E113">
        <f t="shared" si="42"/>
        <v>0</v>
      </c>
      <c r="F113">
        <f t="shared" si="42"/>
        <v>0</v>
      </c>
      <c r="G113">
        <f t="shared" si="42"/>
        <v>0</v>
      </c>
      <c r="H113">
        <f t="shared" si="42"/>
        <v>0</v>
      </c>
      <c r="I113">
        <f t="shared" si="42"/>
        <v>0</v>
      </c>
      <c r="J113">
        <f t="shared" si="42"/>
        <v>0</v>
      </c>
      <c r="K113">
        <f t="shared" si="42"/>
        <v>0</v>
      </c>
      <c r="L113">
        <f t="shared" si="42"/>
        <v>0</v>
      </c>
      <c r="M113">
        <f t="shared" si="42"/>
        <v>0</v>
      </c>
      <c r="N113">
        <f t="shared" si="42"/>
        <v>0</v>
      </c>
      <c r="O113">
        <f t="shared" si="42"/>
        <v>0</v>
      </c>
      <c r="P113">
        <f t="shared" si="42"/>
        <v>0</v>
      </c>
      <c r="Q113">
        <f t="shared" si="42"/>
        <v>0</v>
      </c>
      <c r="R113">
        <f t="shared" si="42"/>
        <v>0</v>
      </c>
      <c r="S113">
        <f t="shared" si="42"/>
        <v>0</v>
      </c>
      <c r="T113">
        <f t="shared" si="42"/>
        <v>0</v>
      </c>
      <c r="U113">
        <f t="shared" si="42"/>
        <v>0</v>
      </c>
      <c r="V113">
        <f t="shared" si="42"/>
        <v>0</v>
      </c>
      <c r="W113">
        <f t="shared" si="42"/>
        <v>0</v>
      </c>
      <c r="X113">
        <f t="shared" si="42"/>
        <v>0</v>
      </c>
      <c r="Y113">
        <f t="shared" si="42"/>
        <v>0</v>
      </c>
      <c r="Z113">
        <f t="shared" si="42"/>
        <v>0</v>
      </c>
      <c r="AA113">
        <f t="shared" si="42"/>
        <v>0</v>
      </c>
      <c r="AB113">
        <f t="shared" si="42"/>
        <v>0</v>
      </c>
      <c r="AC113">
        <f t="shared" si="42"/>
        <v>0</v>
      </c>
      <c r="AD113">
        <f t="shared" si="42"/>
        <v>0</v>
      </c>
      <c r="AE113">
        <f t="shared" si="42"/>
        <v>0</v>
      </c>
      <c r="AF113">
        <f t="shared" si="42"/>
        <v>0</v>
      </c>
      <c r="AG113">
        <f t="shared" si="42"/>
        <v>0</v>
      </c>
      <c r="AH113">
        <f t="shared" si="42"/>
        <v>0</v>
      </c>
    </row>
    <row r="114" spans="1:34" x14ac:dyDescent="0.2">
      <c r="A114" s="178" t="s">
        <v>374</v>
      </c>
      <c r="C114">
        <f t="shared" ref="C114:R137" si="43">SUMIFS(C$55:C$109,$A$55:$A$109,$A114)</f>
        <v>0</v>
      </c>
      <c r="D114">
        <f t="shared" si="42"/>
        <v>1.7867702743129666E+16</v>
      </c>
      <c r="E114">
        <f t="shared" si="42"/>
        <v>0</v>
      </c>
      <c r="F114">
        <f t="shared" si="42"/>
        <v>0</v>
      </c>
      <c r="G114">
        <f t="shared" si="42"/>
        <v>0</v>
      </c>
      <c r="H114">
        <f t="shared" si="42"/>
        <v>0</v>
      </c>
      <c r="I114">
        <f t="shared" si="42"/>
        <v>0</v>
      </c>
      <c r="J114">
        <f t="shared" si="42"/>
        <v>229366628680.797</v>
      </c>
      <c r="K114">
        <f t="shared" si="42"/>
        <v>0</v>
      </c>
      <c r="L114">
        <f t="shared" si="42"/>
        <v>0</v>
      </c>
      <c r="M114">
        <f t="shared" si="42"/>
        <v>0</v>
      </c>
      <c r="N114">
        <f t="shared" si="42"/>
        <v>43521129617.74807</v>
      </c>
      <c r="O114">
        <f t="shared" si="42"/>
        <v>0</v>
      </c>
      <c r="P114">
        <f t="shared" si="42"/>
        <v>0</v>
      </c>
      <c r="Q114">
        <f t="shared" si="42"/>
        <v>5969860282.1299982</v>
      </c>
      <c r="R114">
        <f t="shared" si="42"/>
        <v>47621869342.37352</v>
      </c>
      <c r="S114">
        <f t="shared" si="42"/>
        <v>1405928105307.8389</v>
      </c>
      <c r="T114">
        <f t="shared" si="42"/>
        <v>6459614330.3853359</v>
      </c>
      <c r="U114">
        <f t="shared" si="42"/>
        <v>0</v>
      </c>
      <c r="V114">
        <f t="shared" si="42"/>
        <v>83944429459.0298</v>
      </c>
      <c r="W114">
        <f t="shared" si="42"/>
        <v>0</v>
      </c>
      <c r="X114">
        <f t="shared" si="42"/>
        <v>0</v>
      </c>
      <c r="Y114">
        <f t="shared" si="42"/>
        <v>45091472654.015068</v>
      </c>
      <c r="Z114">
        <f t="shared" si="42"/>
        <v>0</v>
      </c>
      <c r="AA114">
        <f t="shared" si="42"/>
        <v>0</v>
      </c>
      <c r="AB114">
        <f t="shared" si="42"/>
        <v>0</v>
      </c>
      <c r="AC114">
        <f t="shared" si="42"/>
        <v>0</v>
      </c>
      <c r="AD114">
        <f t="shared" si="42"/>
        <v>602805503240.68042</v>
      </c>
      <c r="AE114">
        <f t="shared" si="42"/>
        <v>84100306182.369965</v>
      </c>
      <c r="AF114">
        <f t="shared" si="42"/>
        <v>0</v>
      </c>
      <c r="AG114">
        <f t="shared" si="42"/>
        <v>0</v>
      </c>
      <c r="AH114">
        <f t="shared" si="42"/>
        <v>0</v>
      </c>
    </row>
    <row r="115" spans="1:34" x14ac:dyDescent="0.2">
      <c r="A115" s="178" t="s">
        <v>375</v>
      </c>
      <c r="C115">
        <f t="shared" si="43"/>
        <v>0</v>
      </c>
      <c r="D115">
        <f t="shared" si="42"/>
        <v>0</v>
      </c>
      <c r="E115">
        <f t="shared" si="42"/>
        <v>0</v>
      </c>
      <c r="F115">
        <f t="shared" si="42"/>
        <v>0</v>
      </c>
      <c r="G115">
        <f t="shared" si="42"/>
        <v>0</v>
      </c>
      <c r="H115">
        <f t="shared" si="42"/>
        <v>0</v>
      </c>
      <c r="I115">
        <f t="shared" si="42"/>
        <v>0</v>
      </c>
      <c r="J115">
        <f t="shared" si="42"/>
        <v>0</v>
      </c>
      <c r="K115">
        <f t="shared" si="42"/>
        <v>0</v>
      </c>
      <c r="L115">
        <f t="shared" si="42"/>
        <v>0</v>
      </c>
      <c r="M115">
        <f t="shared" si="42"/>
        <v>0</v>
      </c>
      <c r="N115">
        <f t="shared" si="42"/>
        <v>0</v>
      </c>
      <c r="O115">
        <f t="shared" si="42"/>
        <v>0</v>
      </c>
      <c r="P115">
        <f t="shared" si="42"/>
        <v>0</v>
      </c>
      <c r="Q115">
        <f t="shared" si="42"/>
        <v>10475065401.874065</v>
      </c>
      <c r="R115">
        <f t="shared" si="42"/>
        <v>0</v>
      </c>
      <c r="S115">
        <f t="shared" si="42"/>
        <v>238422212947.33398</v>
      </c>
      <c r="T115">
        <f t="shared" si="42"/>
        <v>9689421495.5780029</v>
      </c>
      <c r="U115">
        <f t="shared" si="42"/>
        <v>0</v>
      </c>
      <c r="V115">
        <f t="shared" si="42"/>
        <v>688069093.92647386</v>
      </c>
      <c r="W115">
        <f t="shared" si="42"/>
        <v>0</v>
      </c>
      <c r="X115">
        <f t="shared" si="42"/>
        <v>0</v>
      </c>
      <c r="Y115">
        <f t="shared" si="42"/>
        <v>0</v>
      </c>
      <c r="Z115">
        <f t="shared" si="42"/>
        <v>0</v>
      </c>
      <c r="AA115">
        <f t="shared" si="42"/>
        <v>0</v>
      </c>
      <c r="AB115">
        <f t="shared" si="42"/>
        <v>316204042285.60175</v>
      </c>
      <c r="AC115">
        <f t="shared" si="42"/>
        <v>0</v>
      </c>
      <c r="AD115">
        <f t="shared" si="42"/>
        <v>8804719180705.9648</v>
      </c>
      <c r="AE115">
        <f t="shared" si="42"/>
        <v>64416079357.305069</v>
      </c>
      <c r="AF115">
        <f t="shared" si="42"/>
        <v>0</v>
      </c>
      <c r="AG115">
        <f t="shared" si="42"/>
        <v>0</v>
      </c>
      <c r="AH115">
        <f t="shared" si="42"/>
        <v>0</v>
      </c>
    </row>
    <row r="116" spans="1:34" x14ac:dyDescent="0.2">
      <c r="A116" s="178" t="s">
        <v>376</v>
      </c>
      <c r="C116">
        <f t="shared" si="43"/>
        <v>0</v>
      </c>
      <c r="D116">
        <f t="shared" si="42"/>
        <v>0</v>
      </c>
      <c r="E116">
        <f t="shared" si="42"/>
        <v>0</v>
      </c>
      <c r="F116">
        <f t="shared" si="42"/>
        <v>0</v>
      </c>
      <c r="G116">
        <f t="shared" si="42"/>
        <v>0</v>
      </c>
      <c r="H116">
        <f t="shared" si="42"/>
        <v>0</v>
      </c>
      <c r="I116">
        <f t="shared" si="42"/>
        <v>0</v>
      </c>
      <c r="J116">
        <f t="shared" si="42"/>
        <v>1313425747393.1953</v>
      </c>
      <c r="K116">
        <f t="shared" si="42"/>
        <v>0</v>
      </c>
      <c r="L116">
        <f t="shared" si="42"/>
        <v>0</v>
      </c>
      <c r="M116">
        <f t="shared" si="42"/>
        <v>0</v>
      </c>
      <c r="N116">
        <f t="shared" si="42"/>
        <v>0</v>
      </c>
      <c r="O116">
        <f t="shared" si="42"/>
        <v>0</v>
      </c>
      <c r="P116">
        <f t="shared" si="42"/>
        <v>0</v>
      </c>
      <c r="Q116">
        <f t="shared" si="42"/>
        <v>4523745058.5084457</v>
      </c>
      <c r="R116">
        <f t="shared" si="42"/>
        <v>32788828071.798168</v>
      </c>
      <c r="S116">
        <f t="shared" si="42"/>
        <v>946822292056.45264</v>
      </c>
      <c r="T116">
        <f t="shared" si="42"/>
        <v>18409900841.598206</v>
      </c>
      <c r="U116">
        <f t="shared" si="42"/>
        <v>0</v>
      </c>
      <c r="V116">
        <f t="shared" si="42"/>
        <v>33715385602.397213</v>
      </c>
      <c r="W116">
        <f t="shared" si="42"/>
        <v>0</v>
      </c>
      <c r="X116">
        <f t="shared" si="42"/>
        <v>0</v>
      </c>
      <c r="Y116">
        <f t="shared" si="42"/>
        <v>124001549798.54144</v>
      </c>
      <c r="Z116">
        <f t="shared" si="42"/>
        <v>0</v>
      </c>
      <c r="AA116">
        <f t="shared" si="42"/>
        <v>0</v>
      </c>
      <c r="AB116">
        <f t="shared" si="42"/>
        <v>0</v>
      </c>
      <c r="AC116">
        <f t="shared" si="42"/>
        <v>0</v>
      </c>
      <c r="AD116">
        <f t="shared" si="42"/>
        <v>119725804338.79562</v>
      </c>
      <c r="AE116">
        <f t="shared" si="42"/>
        <v>95877666614.220596</v>
      </c>
      <c r="AF116">
        <f t="shared" si="42"/>
        <v>0</v>
      </c>
      <c r="AG116">
        <f t="shared" si="42"/>
        <v>0</v>
      </c>
      <c r="AH116">
        <f t="shared" si="42"/>
        <v>0</v>
      </c>
    </row>
    <row r="117" spans="1:34" x14ac:dyDescent="0.2">
      <c r="A117" s="178" t="s">
        <v>377</v>
      </c>
      <c r="C117">
        <f t="shared" si="43"/>
        <v>0</v>
      </c>
      <c r="D117">
        <f t="shared" si="42"/>
        <v>0</v>
      </c>
      <c r="E117">
        <f t="shared" si="42"/>
        <v>0</v>
      </c>
      <c r="F117">
        <f t="shared" si="42"/>
        <v>0</v>
      </c>
      <c r="G117">
        <f t="shared" si="42"/>
        <v>0</v>
      </c>
      <c r="H117">
        <f t="shared" si="42"/>
        <v>0</v>
      </c>
      <c r="I117">
        <f t="shared" si="42"/>
        <v>0</v>
      </c>
      <c r="J117">
        <f t="shared" si="42"/>
        <v>12071927825.305105</v>
      </c>
      <c r="K117">
        <f t="shared" si="42"/>
        <v>0</v>
      </c>
      <c r="L117">
        <f t="shared" si="42"/>
        <v>0</v>
      </c>
      <c r="M117">
        <f t="shared" si="42"/>
        <v>0</v>
      </c>
      <c r="N117">
        <f t="shared" si="42"/>
        <v>763528589.78505397</v>
      </c>
      <c r="O117">
        <f t="shared" si="42"/>
        <v>0</v>
      </c>
      <c r="P117">
        <f t="shared" si="42"/>
        <v>0</v>
      </c>
      <c r="Q117">
        <f t="shared" si="42"/>
        <v>19355696070.011547</v>
      </c>
      <c r="R117">
        <f t="shared" si="42"/>
        <v>3903431913.3093052</v>
      </c>
      <c r="S117">
        <f t="shared" si="42"/>
        <v>198176543401.82401</v>
      </c>
      <c r="T117">
        <f t="shared" si="42"/>
        <v>56521625390.871681</v>
      </c>
      <c r="U117">
        <f t="shared" si="42"/>
        <v>0</v>
      </c>
      <c r="V117">
        <f t="shared" si="42"/>
        <v>3440345469.632369</v>
      </c>
      <c r="W117">
        <f t="shared" si="42"/>
        <v>1910308061.481679</v>
      </c>
      <c r="X117">
        <f t="shared" si="42"/>
        <v>230992979619.76453</v>
      </c>
      <c r="Y117">
        <f t="shared" si="42"/>
        <v>0</v>
      </c>
      <c r="Z117">
        <f t="shared" si="42"/>
        <v>0</v>
      </c>
      <c r="AA117">
        <f t="shared" si="42"/>
        <v>0</v>
      </c>
      <c r="AB117">
        <f t="shared" si="42"/>
        <v>0</v>
      </c>
      <c r="AC117">
        <f t="shared" si="42"/>
        <v>0</v>
      </c>
      <c r="AD117">
        <f t="shared" si="42"/>
        <v>2031162192212.8237</v>
      </c>
      <c r="AE117">
        <f t="shared" si="42"/>
        <v>1720047550769.9966</v>
      </c>
      <c r="AF117">
        <f t="shared" si="42"/>
        <v>0</v>
      </c>
      <c r="AG117">
        <f t="shared" si="42"/>
        <v>0</v>
      </c>
      <c r="AH117">
        <f t="shared" si="42"/>
        <v>0</v>
      </c>
    </row>
    <row r="118" spans="1:34" x14ac:dyDescent="0.2">
      <c r="A118" s="178" t="s">
        <v>378</v>
      </c>
      <c r="C118">
        <f t="shared" si="43"/>
        <v>0</v>
      </c>
      <c r="D118">
        <f t="shared" si="42"/>
        <v>0</v>
      </c>
      <c r="E118">
        <f t="shared" si="42"/>
        <v>0</v>
      </c>
      <c r="F118">
        <f t="shared" si="42"/>
        <v>0</v>
      </c>
      <c r="G118">
        <f t="shared" si="42"/>
        <v>0</v>
      </c>
      <c r="H118">
        <f t="shared" si="42"/>
        <v>0</v>
      </c>
      <c r="I118">
        <f t="shared" si="42"/>
        <v>0</v>
      </c>
      <c r="J118">
        <f t="shared" si="42"/>
        <v>0</v>
      </c>
      <c r="K118">
        <f t="shared" si="42"/>
        <v>0</v>
      </c>
      <c r="L118">
        <f t="shared" si="42"/>
        <v>0</v>
      </c>
      <c r="M118">
        <f t="shared" si="42"/>
        <v>0</v>
      </c>
      <c r="N118">
        <f t="shared" si="42"/>
        <v>0</v>
      </c>
      <c r="O118">
        <f t="shared" si="42"/>
        <v>0</v>
      </c>
      <c r="P118">
        <f t="shared" si="42"/>
        <v>0</v>
      </c>
      <c r="Q118">
        <f t="shared" si="42"/>
        <v>14312832726.100492</v>
      </c>
      <c r="R118">
        <f t="shared" si="42"/>
        <v>780686382.66186106</v>
      </c>
      <c r="S118">
        <f t="shared" si="42"/>
        <v>66376744084.537773</v>
      </c>
      <c r="T118">
        <f t="shared" si="42"/>
        <v>50384991777.005615</v>
      </c>
      <c r="U118">
        <f t="shared" si="42"/>
        <v>0</v>
      </c>
      <c r="V118">
        <f t="shared" si="42"/>
        <v>11009105502.823582</v>
      </c>
      <c r="W118">
        <f t="shared" si="42"/>
        <v>0</v>
      </c>
      <c r="X118">
        <f t="shared" si="42"/>
        <v>17238282061.17646</v>
      </c>
      <c r="Y118">
        <f t="shared" si="42"/>
        <v>197901463314.84393</v>
      </c>
      <c r="Z118">
        <f t="shared" si="42"/>
        <v>0</v>
      </c>
      <c r="AA118">
        <f t="shared" si="42"/>
        <v>0</v>
      </c>
      <c r="AB118">
        <f t="shared" si="42"/>
        <v>0</v>
      </c>
      <c r="AC118">
        <f t="shared" si="42"/>
        <v>0</v>
      </c>
      <c r="AD118">
        <f t="shared" si="42"/>
        <v>1184728598747.8501</v>
      </c>
      <c r="AE118">
        <f t="shared" si="42"/>
        <v>1933643528930.7429</v>
      </c>
      <c r="AF118">
        <f t="shared" si="42"/>
        <v>0</v>
      </c>
      <c r="AG118">
        <f t="shared" si="42"/>
        <v>0</v>
      </c>
      <c r="AH118">
        <f t="shared" si="42"/>
        <v>0</v>
      </c>
    </row>
    <row r="119" spans="1:34" x14ac:dyDescent="0.2">
      <c r="A119" s="178" t="s">
        <v>379</v>
      </c>
      <c r="C119">
        <f t="shared" si="43"/>
        <v>0</v>
      </c>
      <c r="D119">
        <f t="shared" si="42"/>
        <v>0</v>
      </c>
      <c r="E119">
        <f t="shared" si="42"/>
        <v>0</v>
      </c>
      <c r="F119">
        <f t="shared" si="42"/>
        <v>0</v>
      </c>
      <c r="G119">
        <f t="shared" si="42"/>
        <v>0</v>
      </c>
      <c r="H119">
        <f t="shared" si="42"/>
        <v>0</v>
      </c>
      <c r="I119">
        <f t="shared" si="42"/>
        <v>0</v>
      </c>
      <c r="J119">
        <f t="shared" si="42"/>
        <v>0</v>
      </c>
      <c r="K119">
        <f t="shared" si="42"/>
        <v>0</v>
      </c>
      <c r="L119">
        <f t="shared" si="42"/>
        <v>0</v>
      </c>
      <c r="M119">
        <f t="shared" si="42"/>
        <v>0</v>
      </c>
      <c r="N119">
        <f t="shared" si="42"/>
        <v>0</v>
      </c>
      <c r="O119">
        <f t="shared" si="42"/>
        <v>0</v>
      </c>
      <c r="P119">
        <f t="shared" si="42"/>
        <v>0</v>
      </c>
      <c r="Q119">
        <f t="shared" si="42"/>
        <v>5376582241.6698742</v>
      </c>
      <c r="R119">
        <f t="shared" si="42"/>
        <v>1561372765.3237221</v>
      </c>
      <c r="S119">
        <f t="shared" si="42"/>
        <v>54932477863.06575</v>
      </c>
      <c r="T119">
        <f t="shared" si="42"/>
        <v>6136633613.8660688</v>
      </c>
      <c r="U119">
        <f t="shared" si="42"/>
        <v>0</v>
      </c>
      <c r="V119">
        <f t="shared" si="42"/>
        <v>10321036408.897108</v>
      </c>
      <c r="W119">
        <f t="shared" si="42"/>
        <v>161421031195.20187</v>
      </c>
      <c r="X119">
        <f t="shared" si="42"/>
        <v>0</v>
      </c>
      <c r="Y119">
        <f t="shared" si="42"/>
        <v>0</v>
      </c>
      <c r="Z119">
        <f t="shared" si="42"/>
        <v>0</v>
      </c>
      <c r="AA119">
        <f t="shared" si="42"/>
        <v>0</v>
      </c>
      <c r="AB119">
        <f t="shared" si="42"/>
        <v>0</v>
      </c>
      <c r="AC119">
        <f t="shared" si="42"/>
        <v>0</v>
      </c>
      <c r="AD119">
        <f t="shared" si="42"/>
        <v>290961547753.58478</v>
      </c>
      <c r="AE119">
        <f t="shared" si="42"/>
        <v>24992332935.194756</v>
      </c>
      <c r="AF119">
        <f t="shared" si="42"/>
        <v>0</v>
      </c>
      <c r="AG119">
        <f t="shared" si="42"/>
        <v>0</v>
      </c>
      <c r="AH119">
        <f t="shared" si="42"/>
        <v>0</v>
      </c>
    </row>
    <row r="120" spans="1:34" x14ac:dyDescent="0.2">
      <c r="A120" s="178" t="s">
        <v>380</v>
      </c>
      <c r="C120">
        <f t="shared" si="43"/>
        <v>0</v>
      </c>
      <c r="D120">
        <f t="shared" si="42"/>
        <v>0</v>
      </c>
      <c r="E120">
        <f t="shared" si="42"/>
        <v>0</v>
      </c>
      <c r="F120">
        <f t="shared" si="42"/>
        <v>0</v>
      </c>
      <c r="G120">
        <f t="shared" si="42"/>
        <v>0</v>
      </c>
      <c r="H120">
        <f t="shared" si="42"/>
        <v>0</v>
      </c>
      <c r="I120">
        <f t="shared" si="42"/>
        <v>0</v>
      </c>
      <c r="J120">
        <f t="shared" si="42"/>
        <v>113476121557.868</v>
      </c>
      <c r="K120">
        <f t="shared" si="42"/>
        <v>0</v>
      </c>
      <c r="L120">
        <f t="shared" si="42"/>
        <v>0</v>
      </c>
      <c r="M120">
        <f t="shared" si="42"/>
        <v>0</v>
      </c>
      <c r="N120">
        <f t="shared" si="42"/>
        <v>0</v>
      </c>
      <c r="O120">
        <f t="shared" si="42"/>
        <v>0</v>
      </c>
      <c r="P120">
        <f t="shared" si="42"/>
        <v>0</v>
      </c>
      <c r="Q120">
        <f t="shared" si="42"/>
        <v>12088040074.375027</v>
      </c>
      <c r="R120">
        <f t="shared" si="42"/>
        <v>780686382.66186106</v>
      </c>
      <c r="S120">
        <f t="shared" si="42"/>
        <v>136663612461.41182</v>
      </c>
      <c r="T120">
        <f t="shared" si="42"/>
        <v>101738925703.56905</v>
      </c>
      <c r="U120">
        <f t="shared" si="42"/>
        <v>0</v>
      </c>
      <c r="V120">
        <f t="shared" si="42"/>
        <v>11697174596.750053</v>
      </c>
      <c r="W120">
        <f t="shared" si="42"/>
        <v>51578317660.005325</v>
      </c>
      <c r="X120">
        <f t="shared" si="42"/>
        <v>58610159007.999954</v>
      </c>
      <c r="Y120">
        <f t="shared" si="42"/>
        <v>0</v>
      </c>
      <c r="Z120">
        <f t="shared" si="42"/>
        <v>0</v>
      </c>
      <c r="AA120">
        <f t="shared" si="42"/>
        <v>0</v>
      </c>
      <c r="AB120">
        <f t="shared" si="42"/>
        <v>0</v>
      </c>
      <c r="AC120">
        <f t="shared" si="42"/>
        <v>0</v>
      </c>
      <c r="AD120">
        <f t="shared" si="42"/>
        <v>829727667278.16528</v>
      </c>
      <c r="AE120">
        <f t="shared" si="42"/>
        <v>1222523188489.2832</v>
      </c>
      <c r="AF120">
        <f t="shared" si="42"/>
        <v>0</v>
      </c>
      <c r="AG120">
        <f t="shared" si="42"/>
        <v>0</v>
      </c>
      <c r="AH120">
        <f t="shared" si="42"/>
        <v>0</v>
      </c>
    </row>
    <row r="121" spans="1:34" x14ac:dyDescent="0.2">
      <c r="A121" s="178" t="s">
        <v>381</v>
      </c>
      <c r="C121">
        <f t="shared" si="43"/>
        <v>0</v>
      </c>
      <c r="D121">
        <f t="shared" si="42"/>
        <v>3037460738375807</v>
      </c>
      <c r="E121">
        <f t="shared" si="42"/>
        <v>1.3735017010900418E+16</v>
      </c>
      <c r="F121">
        <f t="shared" si="42"/>
        <v>101634003261533.5</v>
      </c>
      <c r="G121">
        <f t="shared" si="42"/>
        <v>4000160554346.7129</v>
      </c>
      <c r="H121">
        <f t="shared" si="42"/>
        <v>0</v>
      </c>
      <c r="I121">
        <f t="shared" si="42"/>
        <v>0</v>
      </c>
      <c r="J121">
        <f t="shared" si="42"/>
        <v>47512693534835.836</v>
      </c>
      <c r="K121">
        <f t="shared" ref="K121:Z136" si="44">SUMIFS(K$55:K$109,$A$55:$A$109,$A121)</f>
        <v>0</v>
      </c>
      <c r="L121">
        <f t="shared" si="44"/>
        <v>0</v>
      </c>
      <c r="M121">
        <f t="shared" si="44"/>
        <v>0</v>
      </c>
      <c r="N121">
        <f t="shared" si="44"/>
        <v>137612007925891.67</v>
      </c>
      <c r="O121">
        <f t="shared" si="44"/>
        <v>0</v>
      </c>
      <c r="P121">
        <f t="shared" si="44"/>
        <v>2.7356889750244024E+16</v>
      </c>
      <c r="Q121">
        <f t="shared" si="44"/>
        <v>9632230104056.9453</v>
      </c>
      <c r="R121">
        <f t="shared" si="44"/>
        <v>12246745041.98048</v>
      </c>
      <c r="S121">
        <f t="shared" si="44"/>
        <v>47022446114348.516</v>
      </c>
      <c r="T121">
        <f t="shared" si="44"/>
        <v>1101956460781559.8</v>
      </c>
      <c r="U121">
        <f t="shared" si="44"/>
        <v>1166414673597321.5</v>
      </c>
      <c r="V121">
        <f t="shared" si="44"/>
        <v>18350562503999.188</v>
      </c>
      <c r="W121">
        <f t="shared" si="44"/>
        <v>3859843059493.0112</v>
      </c>
      <c r="X121">
        <f t="shared" si="44"/>
        <v>1371725013419.9058</v>
      </c>
      <c r="Y121">
        <f t="shared" si="44"/>
        <v>233062518805754.94</v>
      </c>
      <c r="Z121">
        <f t="shared" si="44"/>
        <v>14213391452215.539</v>
      </c>
      <c r="AA121">
        <f t="shared" ref="AA121:AH136" si="45">SUMIFS(AA$55:AA$109,$A$55:$A$109,$A121)</f>
        <v>626224550197982.38</v>
      </c>
      <c r="AB121">
        <f t="shared" si="45"/>
        <v>145822843097251.31</v>
      </c>
      <c r="AC121">
        <f t="shared" si="45"/>
        <v>4731278713840429</v>
      </c>
      <c r="AD121">
        <f t="shared" si="45"/>
        <v>107882158405010.78</v>
      </c>
      <c r="AE121">
        <f t="shared" si="45"/>
        <v>43685612072781.891</v>
      </c>
      <c r="AF121">
        <f t="shared" si="45"/>
        <v>0</v>
      </c>
      <c r="AG121">
        <f t="shared" si="45"/>
        <v>0</v>
      </c>
      <c r="AH121">
        <f>SUMIFS(AH$55:AH$109,$A$55:$A$109,$A121)</f>
        <v>115202337771976.72</v>
      </c>
    </row>
    <row r="122" spans="1:34" x14ac:dyDescent="0.2">
      <c r="A122" s="178" t="s">
        <v>382</v>
      </c>
      <c r="C122">
        <f t="shared" si="43"/>
        <v>0</v>
      </c>
      <c r="D122">
        <f t="shared" si="43"/>
        <v>2075237758864884</v>
      </c>
      <c r="E122">
        <f t="shared" si="43"/>
        <v>0</v>
      </c>
      <c r="F122">
        <f t="shared" si="43"/>
        <v>0</v>
      </c>
      <c r="G122">
        <f t="shared" si="43"/>
        <v>20242033828064.414</v>
      </c>
      <c r="H122">
        <f t="shared" si="43"/>
        <v>0</v>
      </c>
      <c r="I122">
        <f t="shared" si="43"/>
        <v>490050608695264.81</v>
      </c>
      <c r="J122">
        <f t="shared" si="43"/>
        <v>21830874279281.754</v>
      </c>
      <c r="K122">
        <f t="shared" si="43"/>
        <v>0</v>
      </c>
      <c r="L122">
        <f t="shared" si="43"/>
        <v>0</v>
      </c>
      <c r="M122">
        <f t="shared" si="43"/>
        <v>0</v>
      </c>
      <c r="N122">
        <f t="shared" si="43"/>
        <v>82470955939811.578</v>
      </c>
      <c r="O122">
        <f t="shared" si="43"/>
        <v>0</v>
      </c>
      <c r="P122">
        <f t="shared" si="43"/>
        <v>0</v>
      </c>
      <c r="Q122">
        <f t="shared" si="43"/>
        <v>727954387794.78894</v>
      </c>
      <c r="R122">
        <f t="shared" si="43"/>
        <v>157698649297.69595</v>
      </c>
      <c r="S122">
        <f t="shared" si="44"/>
        <v>253681234575.96335</v>
      </c>
      <c r="T122">
        <f t="shared" si="44"/>
        <v>8588268722020.6367</v>
      </c>
      <c r="U122">
        <f t="shared" si="44"/>
        <v>1879525267212447.5</v>
      </c>
      <c r="V122">
        <f t="shared" si="44"/>
        <v>84632498552.956284</v>
      </c>
      <c r="W122">
        <f t="shared" si="44"/>
        <v>18436383101359.684</v>
      </c>
      <c r="X122">
        <f t="shared" si="44"/>
        <v>6850493291111.5234</v>
      </c>
      <c r="Y122">
        <f t="shared" si="44"/>
        <v>4892424782960.6348</v>
      </c>
      <c r="Z122">
        <f t="shared" si="44"/>
        <v>0</v>
      </c>
      <c r="AA122">
        <f t="shared" si="45"/>
        <v>50865971218490.492</v>
      </c>
      <c r="AB122">
        <f t="shared" si="45"/>
        <v>5664306089560.1387</v>
      </c>
      <c r="AC122">
        <f t="shared" si="45"/>
        <v>380377454882772.38</v>
      </c>
      <c r="AD122">
        <f t="shared" si="45"/>
        <v>265259013200744.88</v>
      </c>
      <c r="AE122">
        <f t="shared" si="45"/>
        <v>10125544161704.588</v>
      </c>
      <c r="AF122">
        <f t="shared" si="45"/>
        <v>0</v>
      </c>
      <c r="AG122">
        <f t="shared" si="45"/>
        <v>0</v>
      </c>
      <c r="AH122">
        <f t="shared" si="45"/>
        <v>0</v>
      </c>
    </row>
    <row r="123" spans="1:34" x14ac:dyDescent="0.2">
      <c r="A123" s="178" t="s">
        <v>383</v>
      </c>
      <c r="C123">
        <f t="shared" si="43"/>
        <v>0</v>
      </c>
      <c r="D123">
        <f t="shared" si="43"/>
        <v>0</v>
      </c>
      <c r="E123">
        <f t="shared" si="43"/>
        <v>0</v>
      </c>
      <c r="F123">
        <f t="shared" si="43"/>
        <v>0</v>
      </c>
      <c r="G123">
        <f t="shared" si="43"/>
        <v>0</v>
      </c>
      <c r="H123">
        <f t="shared" si="43"/>
        <v>0</v>
      </c>
      <c r="I123">
        <f t="shared" si="43"/>
        <v>0</v>
      </c>
      <c r="J123">
        <f t="shared" si="43"/>
        <v>171421375119.33249</v>
      </c>
      <c r="K123">
        <f t="shared" si="43"/>
        <v>0</v>
      </c>
      <c r="L123">
        <f t="shared" si="43"/>
        <v>0</v>
      </c>
      <c r="M123">
        <f t="shared" si="43"/>
        <v>0</v>
      </c>
      <c r="N123">
        <f t="shared" si="43"/>
        <v>195463318984.97382</v>
      </c>
      <c r="O123">
        <f t="shared" si="43"/>
        <v>0</v>
      </c>
      <c r="P123">
        <f t="shared" si="43"/>
        <v>0</v>
      </c>
      <c r="Q123">
        <f t="shared" si="43"/>
        <v>10975643748.512295</v>
      </c>
      <c r="R123">
        <f t="shared" si="43"/>
        <v>3903431913.3093057</v>
      </c>
      <c r="S123">
        <f t="shared" si="44"/>
        <v>73338672702.59993</v>
      </c>
      <c r="T123">
        <f t="shared" si="44"/>
        <v>71378738350.757965</v>
      </c>
      <c r="U123">
        <f t="shared" si="44"/>
        <v>0</v>
      </c>
      <c r="V123">
        <f t="shared" si="44"/>
        <v>37155731072.029587</v>
      </c>
      <c r="W123">
        <f t="shared" si="44"/>
        <v>120349407873.34576</v>
      </c>
      <c r="X123">
        <f t="shared" si="44"/>
        <v>86191410305.882294</v>
      </c>
      <c r="Y123">
        <f t="shared" si="44"/>
        <v>361984322139.17651</v>
      </c>
      <c r="Z123">
        <f t="shared" si="44"/>
        <v>0</v>
      </c>
      <c r="AA123">
        <f t="shared" si="45"/>
        <v>0</v>
      </c>
      <c r="AB123">
        <f t="shared" si="45"/>
        <v>297463821.52925843</v>
      </c>
      <c r="AC123">
        <f t="shared" si="45"/>
        <v>0</v>
      </c>
      <c r="AD123">
        <f t="shared" si="45"/>
        <v>576354453444.8999</v>
      </c>
      <c r="AE123">
        <f t="shared" si="45"/>
        <v>424814367126.33032</v>
      </c>
      <c r="AF123">
        <f t="shared" si="45"/>
        <v>0</v>
      </c>
      <c r="AG123">
        <f t="shared" si="45"/>
        <v>0</v>
      </c>
      <c r="AH123">
        <f t="shared" si="45"/>
        <v>0</v>
      </c>
    </row>
    <row r="124" spans="1:34" x14ac:dyDescent="0.2">
      <c r="A124" s="178" t="s">
        <v>384</v>
      </c>
      <c r="C124">
        <f t="shared" si="43"/>
        <v>0</v>
      </c>
      <c r="D124">
        <f t="shared" si="43"/>
        <v>0</v>
      </c>
      <c r="E124">
        <f t="shared" si="43"/>
        <v>0</v>
      </c>
      <c r="F124">
        <f t="shared" si="43"/>
        <v>182513011230637.69</v>
      </c>
      <c r="G124">
        <f t="shared" si="43"/>
        <v>0</v>
      </c>
      <c r="H124">
        <f t="shared" si="43"/>
        <v>0</v>
      </c>
      <c r="I124">
        <f t="shared" si="43"/>
        <v>0</v>
      </c>
      <c r="J124">
        <f t="shared" si="43"/>
        <v>9239853557488.5293</v>
      </c>
      <c r="K124">
        <f t="shared" si="43"/>
        <v>0</v>
      </c>
      <c r="L124">
        <f t="shared" si="43"/>
        <v>0</v>
      </c>
      <c r="M124">
        <f t="shared" si="43"/>
        <v>0</v>
      </c>
      <c r="N124">
        <f t="shared" si="43"/>
        <v>1264403344684.0493</v>
      </c>
      <c r="O124">
        <f t="shared" si="43"/>
        <v>0</v>
      </c>
      <c r="P124">
        <f t="shared" si="43"/>
        <v>0</v>
      </c>
      <c r="Q124">
        <f t="shared" si="43"/>
        <v>23953600883.577507</v>
      </c>
      <c r="R124">
        <f t="shared" si="43"/>
        <v>41376378281.078636</v>
      </c>
      <c r="S124">
        <f t="shared" si="44"/>
        <v>2215133096051.0908</v>
      </c>
      <c r="T124">
        <f t="shared" si="44"/>
        <v>1882654596590.8059</v>
      </c>
      <c r="U124">
        <f t="shared" si="44"/>
        <v>0</v>
      </c>
      <c r="V124">
        <f t="shared" si="44"/>
        <v>54357458420.191437</v>
      </c>
      <c r="W124">
        <f t="shared" si="44"/>
        <v>85008708735.934708</v>
      </c>
      <c r="X124">
        <f t="shared" si="44"/>
        <v>44819533359.058792</v>
      </c>
      <c r="Y124">
        <f t="shared" si="44"/>
        <v>103621087168039.5</v>
      </c>
      <c r="Z124">
        <f t="shared" si="44"/>
        <v>733691390934423</v>
      </c>
      <c r="AA124">
        <f t="shared" si="45"/>
        <v>0</v>
      </c>
      <c r="AB124">
        <f t="shared" si="45"/>
        <v>2379710572.2340674</v>
      </c>
      <c r="AC124">
        <f t="shared" si="45"/>
        <v>0</v>
      </c>
      <c r="AD124">
        <f t="shared" si="45"/>
        <v>2954164614034.0039</v>
      </c>
      <c r="AE124">
        <f t="shared" si="45"/>
        <v>7369088892931.7383</v>
      </c>
      <c r="AF124">
        <f t="shared" si="45"/>
        <v>0</v>
      </c>
      <c r="AG124">
        <f t="shared" si="45"/>
        <v>0</v>
      </c>
      <c r="AH124">
        <f t="shared" si="45"/>
        <v>0</v>
      </c>
    </row>
    <row r="125" spans="1:34" x14ac:dyDescent="0.2">
      <c r="A125" s="178" t="s">
        <v>385</v>
      </c>
      <c r="C125">
        <f t="shared" si="43"/>
        <v>0</v>
      </c>
      <c r="D125">
        <f t="shared" si="43"/>
        <v>0</v>
      </c>
      <c r="E125">
        <f t="shared" si="43"/>
        <v>0</v>
      </c>
      <c r="F125">
        <f t="shared" si="43"/>
        <v>0</v>
      </c>
      <c r="G125">
        <f t="shared" si="43"/>
        <v>0</v>
      </c>
      <c r="H125">
        <f t="shared" si="43"/>
        <v>0</v>
      </c>
      <c r="I125">
        <f t="shared" si="43"/>
        <v>0</v>
      </c>
      <c r="J125">
        <f t="shared" si="43"/>
        <v>79674723647.013687</v>
      </c>
      <c r="K125">
        <f t="shared" si="43"/>
        <v>0</v>
      </c>
      <c r="L125">
        <f t="shared" si="43"/>
        <v>0</v>
      </c>
      <c r="M125">
        <f t="shared" si="43"/>
        <v>0</v>
      </c>
      <c r="N125">
        <f t="shared" si="43"/>
        <v>211497419370.45996</v>
      </c>
      <c r="O125">
        <f t="shared" si="43"/>
        <v>0</v>
      </c>
      <c r="P125">
        <f t="shared" si="43"/>
        <v>0</v>
      </c>
      <c r="Q125">
        <f t="shared" si="43"/>
        <v>15388149174.434469</v>
      </c>
      <c r="R125">
        <f t="shared" si="43"/>
        <v>68700401674.243774</v>
      </c>
      <c r="S125">
        <f t="shared" si="44"/>
        <v>143148696653.57932</v>
      </c>
      <c r="T125">
        <f t="shared" si="44"/>
        <v>12273267227.732138</v>
      </c>
      <c r="U125">
        <f t="shared" si="44"/>
        <v>0</v>
      </c>
      <c r="V125">
        <f t="shared" si="44"/>
        <v>253897495658.8688</v>
      </c>
      <c r="W125">
        <f t="shared" si="44"/>
        <v>2865462092.222518</v>
      </c>
      <c r="X125">
        <f t="shared" si="44"/>
        <v>6895312824.4705839</v>
      </c>
      <c r="Y125">
        <f t="shared" si="44"/>
        <v>0</v>
      </c>
      <c r="Z125">
        <f t="shared" si="44"/>
        <v>0</v>
      </c>
      <c r="AA125">
        <f t="shared" si="45"/>
        <v>0</v>
      </c>
      <c r="AB125">
        <f t="shared" si="45"/>
        <v>0</v>
      </c>
      <c r="AC125">
        <f t="shared" si="45"/>
        <v>0</v>
      </c>
      <c r="AD125">
        <f t="shared" si="45"/>
        <v>367530376109.79126</v>
      </c>
      <c r="AE125">
        <f t="shared" si="45"/>
        <v>517263881877.75867</v>
      </c>
      <c r="AF125">
        <f t="shared" si="45"/>
        <v>0</v>
      </c>
      <c r="AG125">
        <f t="shared" si="45"/>
        <v>0</v>
      </c>
      <c r="AH125">
        <f t="shared" si="45"/>
        <v>0</v>
      </c>
    </row>
    <row r="126" spans="1:34" x14ac:dyDescent="0.2">
      <c r="A126" s="178" t="s">
        <v>386</v>
      </c>
      <c r="C126">
        <f t="shared" si="43"/>
        <v>0</v>
      </c>
      <c r="D126">
        <f t="shared" si="43"/>
        <v>0</v>
      </c>
      <c r="E126">
        <f t="shared" si="43"/>
        <v>0</v>
      </c>
      <c r="F126">
        <f t="shared" si="43"/>
        <v>0</v>
      </c>
      <c r="G126">
        <f t="shared" si="43"/>
        <v>0</v>
      </c>
      <c r="H126">
        <f t="shared" si="43"/>
        <v>0</v>
      </c>
      <c r="I126">
        <f t="shared" si="43"/>
        <v>0</v>
      </c>
      <c r="J126">
        <f t="shared" si="43"/>
        <v>85394403050643.25</v>
      </c>
      <c r="K126">
        <f t="shared" si="43"/>
        <v>0</v>
      </c>
      <c r="L126">
        <f t="shared" si="43"/>
        <v>0</v>
      </c>
      <c r="M126">
        <f t="shared" si="43"/>
        <v>0</v>
      </c>
      <c r="N126">
        <f t="shared" si="43"/>
        <v>25122381189697.629</v>
      </c>
      <c r="O126">
        <f t="shared" si="43"/>
        <v>0</v>
      </c>
      <c r="P126">
        <f t="shared" si="43"/>
        <v>0</v>
      </c>
      <c r="Q126">
        <f t="shared" si="43"/>
        <v>4634984691.0947189</v>
      </c>
      <c r="R126">
        <f t="shared" si="43"/>
        <v>1561372765.3237221</v>
      </c>
      <c r="S126">
        <f t="shared" si="44"/>
        <v>390535584807.73309</v>
      </c>
      <c r="T126">
        <f t="shared" si="44"/>
        <v>8720479346.0202045</v>
      </c>
      <c r="U126">
        <f t="shared" si="44"/>
        <v>0</v>
      </c>
      <c r="V126">
        <f t="shared" si="44"/>
        <v>88760913116.515121</v>
      </c>
      <c r="W126">
        <f t="shared" si="44"/>
        <v>955154030.74083948</v>
      </c>
      <c r="X126">
        <f t="shared" si="44"/>
        <v>0</v>
      </c>
      <c r="Y126">
        <f t="shared" si="44"/>
        <v>0</v>
      </c>
      <c r="Z126">
        <f t="shared" si="44"/>
        <v>0</v>
      </c>
      <c r="AA126">
        <f t="shared" si="45"/>
        <v>0</v>
      </c>
      <c r="AB126">
        <f t="shared" si="45"/>
        <v>27366671580.691776</v>
      </c>
      <c r="AC126">
        <f t="shared" si="45"/>
        <v>0</v>
      </c>
      <c r="AD126">
        <f t="shared" si="45"/>
        <v>3362067645095.2495</v>
      </c>
      <c r="AE126">
        <f t="shared" si="45"/>
        <v>3824877501752.4272</v>
      </c>
      <c r="AF126">
        <f t="shared" si="45"/>
        <v>0</v>
      </c>
      <c r="AG126">
        <f t="shared" si="45"/>
        <v>0</v>
      </c>
      <c r="AH126">
        <f t="shared" si="45"/>
        <v>0</v>
      </c>
    </row>
    <row r="127" spans="1:34" x14ac:dyDescent="0.2">
      <c r="A127" s="178" t="s">
        <v>387</v>
      </c>
      <c r="C127">
        <f t="shared" si="43"/>
        <v>0</v>
      </c>
      <c r="D127">
        <f t="shared" si="43"/>
        <v>0</v>
      </c>
      <c r="E127">
        <f t="shared" si="43"/>
        <v>0</v>
      </c>
      <c r="F127">
        <f t="shared" si="43"/>
        <v>0</v>
      </c>
      <c r="G127">
        <f t="shared" si="43"/>
        <v>0</v>
      </c>
      <c r="H127">
        <f t="shared" si="43"/>
        <v>0</v>
      </c>
      <c r="I127">
        <f t="shared" si="43"/>
        <v>0</v>
      </c>
      <c r="J127">
        <f t="shared" si="43"/>
        <v>5702778704674.1318</v>
      </c>
      <c r="K127">
        <f t="shared" si="43"/>
        <v>0</v>
      </c>
      <c r="L127">
        <f t="shared" si="43"/>
        <v>0</v>
      </c>
      <c r="M127">
        <f t="shared" si="43"/>
        <v>0</v>
      </c>
      <c r="N127">
        <f t="shared" si="43"/>
        <v>747494489399.56775</v>
      </c>
      <c r="O127">
        <f t="shared" si="43"/>
        <v>0</v>
      </c>
      <c r="P127">
        <f t="shared" si="43"/>
        <v>0</v>
      </c>
      <c r="Q127">
        <f t="shared" si="43"/>
        <v>4597904813.5659609</v>
      </c>
      <c r="R127">
        <f t="shared" si="43"/>
        <v>28885396158.488857</v>
      </c>
      <c r="S127">
        <f t="shared" si="44"/>
        <v>231174177673.73502</v>
      </c>
      <c r="T127">
        <f t="shared" si="44"/>
        <v>249341113152.87396</v>
      </c>
      <c r="U127">
        <f t="shared" si="44"/>
        <v>0</v>
      </c>
      <c r="V127">
        <f t="shared" si="44"/>
        <v>33027316508.470737</v>
      </c>
      <c r="W127">
        <f t="shared" si="44"/>
        <v>955154030.74083948</v>
      </c>
      <c r="X127">
        <f t="shared" si="44"/>
        <v>17238282061.17646</v>
      </c>
      <c r="Y127">
        <f t="shared" si="44"/>
        <v>1966489224077.8792</v>
      </c>
      <c r="Z127">
        <f t="shared" si="44"/>
        <v>0</v>
      </c>
      <c r="AA127">
        <f t="shared" si="45"/>
        <v>0</v>
      </c>
      <c r="AB127">
        <f t="shared" si="45"/>
        <v>0</v>
      </c>
      <c r="AC127">
        <f t="shared" si="45"/>
        <v>0</v>
      </c>
      <c r="AD127">
        <f t="shared" si="45"/>
        <v>1523719684288.5098</v>
      </c>
      <c r="AE127">
        <f t="shared" si="45"/>
        <v>1211906976269.0237</v>
      </c>
      <c r="AF127">
        <f t="shared" si="45"/>
        <v>0</v>
      </c>
      <c r="AG127">
        <f t="shared" si="45"/>
        <v>0</v>
      </c>
      <c r="AH127">
        <f t="shared" si="45"/>
        <v>0</v>
      </c>
    </row>
    <row r="128" spans="1:34" x14ac:dyDescent="0.2">
      <c r="A128" s="178" t="s">
        <v>388</v>
      </c>
      <c r="C128">
        <f t="shared" si="43"/>
        <v>0</v>
      </c>
      <c r="D128">
        <f t="shared" si="43"/>
        <v>0</v>
      </c>
      <c r="E128">
        <f t="shared" si="43"/>
        <v>0</v>
      </c>
      <c r="F128">
        <f t="shared" si="43"/>
        <v>0</v>
      </c>
      <c r="G128">
        <f t="shared" si="43"/>
        <v>0</v>
      </c>
      <c r="H128">
        <f t="shared" si="43"/>
        <v>0</v>
      </c>
      <c r="I128">
        <f t="shared" si="43"/>
        <v>0</v>
      </c>
      <c r="J128">
        <f t="shared" si="43"/>
        <v>775017766384.58777</v>
      </c>
      <c r="K128">
        <f t="shared" si="43"/>
        <v>0</v>
      </c>
      <c r="L128">
        <f t="shared" si="43"/>
        <v>0</v>
      </c>
      <c r="M128">
        <f t="shared" si="43"/>
        <v>0</v>
      </c>
      <c r="N128">
        <f t="shared" si="43"/>
        <v>229822105525.30124</v>
      </c>
      <c r="O128">
        <f t="shared" si="43"/>
        <v>0</v>
      </c>
      <c r="P128">
        <f t="shared" si="43"/>
        <v>0</v>
      </c>
      <c r="Q128">
        <f t="shared" si="43"/>
        <v>15276909541.848194</v>
      </c>
      <c r="R128">
        <f t="shared" si="43"/>
        <v>23420591479.855831</v>
      </c>
      <c r="S128">
        <f t="shared" si="44"/>
        <v>125028608469.58192</v>
      </c>
      <c r="T128">
        <f t="shared" si="44"/>
        <v>24223553738.945007</v>
      </c>
      <c r="U128">
        <f t="shared" si="44"/>
        <v>0</v>
      </c>
      <c r="V128">
        <f t="shared" si="44"/>
        <v>45412560199.14727</v>
      </c>
      <c r="W128">
        <f t="shared" si="44"/>
        <v>2865462092.222518</v>
      </c>
      <c r="X128">
        <f t="shared" si="44"/>
        <v>3447656412.235292</v>
      </c>
      <c r="Y128">
        <f t="shared" si="44"/>
        <v>23798277234.063511</v>
      </c>
      <c r="Z128">
        <f t="shared" si="44"/>
        <v>0</v>
      </c>
      <c r="AA128">
        <f t="shared" si="45"/>
        <v>0</v>
      </c>
      <c r="AB128">
        <f t="shared" si="45"/>
        <v>0</v>
      </c>
      <c r="AC128">
        <f t="shared" si="45"/>
        <v>0</v>
      </c>
      <c r="AD128">
        <f t="shared" si="45"/>
        <v>941100508523.55652</v>
      </c>
      <c r="AE128">
        <f t="shared" si="45"/>
        <v>2432384332195.0278</v>
      </c>
      <c r="AF128">
        <f t="shared" si="45"/>
        <v>0</v>
      </c>
      <c r="AG128">
        <f t="shared" si="45"/>
        <v>0</v>
      </c>
      <c r="AH128">
        <f t="shared" si="45"/>
        <v>0</v>
      </c>
    </row>
    <row r="129" spans="1:34" x14ac:dyDescent="0.2">
      <c r="A129" s="178" t="s">
        <v>389</v>
      </c>
      <c r="C129">
        <f t="shared" si="43"/>
        <v>0</v>
      </c>
      <c r="D129">
        <f t="shared" si="43"/>
        <v>0</v>
      </c>
      <c r="E129">
        <f t="shared" si="43"/>
        <v>0</v>
      </c>
      <c r="F129">
        <f t="shared" si="43"/>
        <v>0</v>
      </c>
      <c r="G129">
        <f t="shared" si="43"/>
        <v>0</v>
      </c>
      <c r="H129">
        <f t="shared" si="43"/>
        <v>0</v>
      </c>
      <c r="I129">
        <f t="shared" si="43"/>
        <v>0</v>
      </c>
      <c r="J129">
        <f t="shared" si="43"/>
        <v>12071927825.305105</v>
      </c>
      <c r="K129">
        <f t="shared" si="43"/>
        <v>0</v>
      </c>
      <c r="L129">
        <f t="shared" si="43"/>
        <v>0</v>
      </c>
      <c r="M129">
        <f t="shared" si="43"/>
        <v>0</v>
      </c>
      <c r="N129">
        <f t="shared" si="43"/>
        <v>0</v>
      </c>
      <c r="O129">
        <f t="shared" si="43"/>
        <v>0</v>
      </c>
      <c r="P129">
        <f t="shared" si="43"/>
        <v>0</v>
      </c>
      <c r="Q129">
        <f t="shared" si="43"/>
        <v>16574705255.354715</v>
      </c>
      <c r="R129">
        <f t="shared" si="43"/>
        <v>4684118295.9711666</v>
      </c>
      <c r="S129">
        <f t="shared" si="44"/>
        <v>40245669545.509972</v>
      </c>
      <c r="T129">
        <f t="shared" si="44"/>
        <v>10658363645.135803</v>
      </c>
      <c r="U129">
        <f t="shared" si="44"/>
        <v>0</v>
      </c>
      <c r="V129">
        <f t="shared" si="44"/>
        <v>27522763757.058952</v>
      </c>
      <c r="W129">
        <f t="shared" si="44"/>
        <v>6686078215.1858749</v>
      </c>
      <c r="X129">
        <f t="shared" si="44"/>
        <v>5171484618.3529367</v>
      </c>
      <c r="Y129">
        <f t="shared" si="44"/>
        <v>0</v>
      </c>
      <c r="Z129">
        <f t="shared" si="44"/>
        <v>0</v>
      </c>
      <c r="AA129">
        <f t="shared" si="45"/>
        <v>0</v>
      </c>
      <c r="AB129">
        <f t="shared" si="45"/>
        <v>0</v>
      </c>
      <c r="AC129">
        <f t="shared" si="45"/>
        <v>0</v>
      </c>
      <c r="AD129">
        <f t="shared" si="45"/>
        <v>904904335118.80432</v>
      </c>
      <c r="AE129">
        <f t="shared" si="45"/>
        <v>641893789921.84937</v>
      </c>
      <c r="AF129">
        <f t="shared" si="45"/>
        <v>0</v>
      </c>
      <c r="AG129">
        <f t="shared" si="45"/>
        <v>0</v>
      </c>
      <c r="AH129">
        <f t="shared" si="45"/>
        <v>0</v>
      </c>
    </row>
    <row r="130" spans="1:34" x14ac:dyDescent="0.2">
      <c r="A130" s="178" t="s">
        <v>390</v>
      </c>
      <c r="C130">
        <f t="shared" si="43"/>
        <v>0</v>
      </c>
      <c r="D130">
        <f t="shared" si="43"/>
        <v>0</v>
      </c>
      <c r="E130">
        <f t="shared" si="43"/>
        <v>0</v>
      </c>
      <c r="F130">
        <f t="shared" si="43"/>
        <v>0</v>
      </c>
      <c r="G130">
        <f t="shared" si="43"/>
        <v>0</v>
      </c>
      <c r="H130">
        <f t="shared" si="43"/>
        <v>0</v>
      </c>
      <c r="I130">
        <f t="shared" si="43"/>
        <v>0</v>
      </c>
      <c r="J130">
        <f t="shared" si="43"/>
        <v>0</v>
      </c>
      <c r="K130">
        <f t="shared" si="43"/>
        <v>0</v>
      </c>
      <c r="L130">
        <f t="shared" si="43"/>
        <v>0</v>
      </c>
      <c r="M130">
        <f t="shared" si="43"/>
        <v>0</v>
      </c>
      <c r="N130">
        <f t="shared" si="43"/>
        <v>0</v>
      </c>
      <c r="O130">
        <f t="shared" si="43"/>
        <v>0</v>
      </c>
      <c r="P130">
        <f t="shared" si="43"/>
        <v>0</v>
      </c>
      <c r="Q130">
        <f t="shared" si="43"/>
        <v>19021977172.252724</v>
      </c>
      <c r="R130">
        <f t="shared" si="43"/>
        <v>9368236591.9423313</v>
      </c>
      <c r="S130">
        <f t="shared" si="44"/>
        <v>61894406481.127899</v>
      </c>
      <c r="T130">
        <f t="shared" si="44"/>
        <v>38434705265.792747</v>
      </c>
      <c r="U130">
        <f t="shared" si="44"/>
        <v>0</v>
      </c>
      <c r="V130">
        <f t="shared" si="44"/>
        <v>130045058752.10355</v>
      </c>
      <c r="W130">
        <f t="shared" si="44"/>
        <v>13372156430.371754</v>
      </c>
      <c r="X130">
        <f t="shared" si="44"/>
        <v>15514453855.058811</v>
      </c>
      <c r="Y130">
        <f t="shared" si="44"/>
        <v>5010163628.223897</v>
      </c>
      <c r="Z130">
        <f t="shared" si="44"/>
        <v>0</v>
      </c>
      <c r="AA130">
        <f t="shared" si="45"/>
        <v>0</v>
      </c>
      <c r="AB130">
        <f t="shared" si="45"/>
        <v>0</v>
      </c>
      <c r="AC130">
        <f t="shared" si="45"/>
        <v>0</v>
      </c>
      <c r="AD130">
        <f t="shared" si="45"/>
        <v>239451608677.59125</v>
      </c>
      <c r="AE130">
        <f t="shared" si="45"/>
        <v>485083488585.0965</v>
      </c>
      <c r="AF130">
        <f t="shared" si="45"/>
        <v>0</v>
      </c>
      <c r="AG130">
        <f t="shared" si="45"/>
        <v>0</v>
      </c>
      <c r="AH130">
        <f t="shared" si="45"/>
        <v>0</v>
      </c>
    </row>
    <row r="131" spans="1:34" x14ac:dyDescent="0.2">
      <c r="A131" s="178" t="s">
        <v>391</v>
      </c>
      <c r="C131">
        <f t="shared" si="43"/>
        <v>0</v>
      </c>
      <c r="D131">
        <f t="shared" si="43"/>
        <v>0</v>
      </c>
      <c r="E131">
        <f t="shared" si="43"/>
        <v>0</v>
      </c>
      <c r="F131">
        <f t="shared" si="43"/>
        <v>0</v>
      </c>
      <c r="G131">
        <f t="shared" si="43"/>
        <v>0</v>
      </c>
      <c r="H131">
        <f t="shared" si="43"/>
        <v>0</v>
      </c>
      <c r="I131">
        <f t="shared" si="43"/>
        <v>0</v>
      </c>
      <c r="J131">
        <f t="shared" si="43"/>
        <v>14486313390.366125</v>
      </c>
      <c r="K131">
        <f t="shared" si="43"/>
        <v>0</v>
      </c>
      <c r="L131">
        <f t="shared" si="43"/>
        <v>0</v>
      </c>
      <c r="M131">
        <f t="shared" si="43"/>
        <v>0</v>
      </c>
      <c r="N131">
        <f t="shared" si="43"/>
        <v>0</v>
      </c>
      <c r="O131">
        <f t="shared" si="43"/>
        <v>0</v>
      </c>
      <c r="P131">
        <f t="shared" si="43"/>
        <v>0</v>
      </c>
      <c r="Q131">
        <f t="shared" si="43"/>
        <v>1612974672.5009623</v>
      </c>
      <c r="R131">
        <f t="shared" si="43"/>
        <v>68700401674.243782</v>
      </c>
      <c r="S131">
        <f t="shared" si="44"/>
        <v>51689935766.982002</v>
      </c>
      <c r="T131">
        <f t="shared" si="44"/>
        <v>5490672180.8275356</v>
      </c>
      <c r="U131">
        <f t="shared" si="44"/>
        <v>0</v>
      </c>
      <c r="V131">
        <f t="shared" si="44"/>
        <v>7568760033.1912117</v>
      </c>
      <c r="W131">
        <f t="shared" si="44"/>
        <v>6686078215.1858768</v>
      </c>
      <c r="X131">
        <f t="shared" si="44"/>
        <v>0</v>
      </c>
      <c r="Y131">
        <f t="shared" si="44"/>
        <v>0</v>
      </c>
      <c r="Z131">
        <f t="shared" si="44"/>
        <v>0</v>
      </c>
      <c r="AA131">
        <f t="shared" si="45"/>
        <v>0</v>
      </c>
      <c r="AB131">
        <f t="shared" si="45"/>
        <v>0</v>
      </c>
      <c r="AC131">
        <f t="shared" si="45"/>
        <v>0</v>
      </c>
      <c r="AD131">
        <f t="shared" si="45"/>
        <v>19490247217.943481</v>
      </c>
      <c r="AE131">
        <f t="shared" si="45"/>
        <v>181139121008.18146</v>
      </c>
      <c r="AF131">
        <f t="shared" si="45"/>
        <v>0</v>
      </c>
      <c r="AG131">
        <f t="shared" si="45"/>
        <v>0</v>
      </c>
      <c r="AH131">
        <f t="shared" si="45"/>
        <v>0</v>
      </c>
    </row>
    <row r="132" spans="1:34" x14ac:dyDescent="0.2">
      <c r="A132" s="178" t="s">
        <v>392</v>
      </c>
      <c r="C132">
        <f t="shared" si="43"/>
        <v>0</v>
      </c>
      <c r="D132">
        <f t="shared" si="43"/>
        <v>0</v>
      </c>
      <c r="E132">
        <f t="shared" si="43"/>
        <v>0</v>
      </c>
      <c r="F132">
        <f t="shared" si="43"/>
        <v>0</v>
      </c>
      <c r="G132">
        <f t="shared" si="43"/>
        <v>0</v>
      </c>
      <c r="H132">
        <f t="shared" si="43"/>
        <v>0</v>
      </c>
      <c r="I132">
        <f t="shared" si="43"/>
        <v>0</v>
      </c>
      <c r="J132">
        <f t="shared" si="43"/>
        <v>14486313390.366125</v>
      </c>
      <c r="K132">
        <f t="shared" si="43"/>
        <v>0</v>
      </c>
      <c r="L132">
        <f t="shared" si="43"/>
        <v>0</v>
      </c>
      <c r="M132">
        <f t="shared" si="43"/>
        <v>0</v>
      </c>
      <c r="N132">
        <f t="shared" si="43"/>
        <v>0</v>
      </c>
      <c r="O132">
        <f t="shared" si="43"/>
        <v>0</v>
      </c>
      <c r="P132">
        <f t="shared" si="43"/>
        <v>0</v>
      </c>
      <c r="Q132">
        <f t="shared" si="43"/>
        <v>25251396597.084026</v>
      </c>
      <c r="R132">
        <f t="shared" si="43"/>
        <v>18736473183.884663</v>
      </c>
      <c r="S132">
        <f t="shared" si="44"/>
        <v>155737389497.19855</v>
      </c>
      <c r="T132">
        <f t="shared" si="44"/>
        <v>5490672180.8275356</v>
      </c>
      <c r="U132">
        <f t="shared" si="44"/>
        <v>0</v>
      </c>
      <c r="V132">
        <f t="shared" si="44"/>
        <v>575225762522.5321</v>
      </c>
      <c r="W132">
        <f t="shared" si="44"/>
        <v>955154030.74083948</v>
      </c>
      <c r="X132">
        <f t="shared" si="44"/>
        <v>20685938473.411747</v>
      </c>
      <c r="Y132">
        <f t="shared" si="44"/>
        <v>1252540907.0559742</v>
      </c>
      <c r="Z132">
        <f t="shared" si="44"/>
        <v>0</v>
      </c>
      <c r="AA132">
        <f t="shared" si="45"/>
        <v>0</v>
      </c>
      <c r="AB132">
        <f t="shared" si="45"/>
        <v>0</v>
      </c>
      <c r="AC132">
        <f t="shared" si="45"/>
        <v>0</v>
      </c>
      <c r="AD132">
        <f t="shared" si="45"/>
        <v>478903217355.1825</v>
      </c>
      <c r="AE132">
        <f t="shared" si="45"/>
        <v>881256199825.51782</v>
      </c>
      <c r="AF132">
        <f t="shared" si="45"/>
        <v>0</v>
      </c>
      <c r="AG132">
        <f t="shared" si="45"/>
        <v>0</v>
      </c>
      <c r="AH132">
        <f t="shared" si="45"/>
        <v>0</v>
      </c>
    </row>
    <row r="133" spans="1:34" x14ac:dyDescent="0.2">
      <c r="A133" s="178" t="s">
        <v>393</v>
      </c>
      <c r="C133">
        <f t="shared" si="43"/>
        <v>0</v>
      </c>
      <c r="D133">
        <f t="shared" si="43"/>
        <v>0</v>
      </c>
      <c r="E133">
        <f t="shared" si="43"/>
        <v>0</v>
      </c>
      <c r="F133">
        <f t="shared" si="43"/>
        <v>0</v>
      </c>
      <c r="G133">
        <f t="shared" si="43"/>
        <v>0</v>
      </c>
      <c r="H133">
        <f t="shared" si="43"/>
        <v>0</v>
      </c>
      <c r="I133">
        <f t="shared" si="43"/>
        <v>0</v>
      </c>
      <c r="J133">
        <f t="shared" si="43"/>
        <v>57945253561.4645</v>
      </c>
      <c r="K133">
        <f t="shared" si="43"/>
        <v>0</v>
      </c>
      <c r="L133">
        <f t="shared" si="43"/>
        <v>0</v>
      </c>
      <c r="M133">
        <f t="shared" si="43"/>
        <v>0</v>
      </c>
      <c r="N133">
        <f t="shared" si="43"/>
        <v>0</v>
      </c>
      <c r="O133">
        <f t="shared" si="43"/>
        <v>0</v>
      </c>
      <c r="P133">
        <f t="shared" si="43"/>
        <v>0</v>
      </c>
      <c r="Q133">
        <f t="shared" si="43"/>
        <v>5024323405.1466751</v>
      </c>
      <c r="R133">
        <f t="shared" si="43"/>
        <v>101489229746.04195</v>
      </c>
      <c r="S133">
        <f t="shared" si="44"/>
        <v>72384983850.810593</v>
      </c>
      <c r="T133">
        <f t="shared" si="44"/>
        <v>31652110218.888145</v>
      </c>
      <c r="U133">
        <f t="shared" si="44"/>
        <v>0</v>
      </c>
      <c r="V133">
        <f t="shared" si="44"/>
        <v>23394349193.500111</v>
      </c>
      <c r="W133">
        <f t="shared" si="44"/>
        <v>21013388676.298466</v>
      </c>
      <c r="X133">
        <f t="shared" si="44"/>
        <v>5171484618.3529367</v>
      </c>
      <c r="Y133">
        <f t="shared" si="44"/>
        <v>0</v>
      </c>
      <c r="Z133">
        <f t="shared" si="44"/>
        <v>0</v>
      </c>
      <c r="AA133">
        <f t="shared" si="45"/>
        <v>0</v>
      </c>
      <c r="AB133">
        <f t="shared" si="45"/>
        <v>0</v>
      </c>
      <c r="AC133">
        <f t="shared" si="45"/>
        <v>0</v>
      </c>
      <c r="AD133">
        <f t="shared" si="45"/>
        <v>347344048634.06415</v>
      </c>
      <c r="AE133">
        <f t="shared" si="45"/>
        <v>704595793347.7583</v>
      </c>
      <c r="AF133">
        <f t="shared" si="45"/>
        <v>0</v>
      </c>
      <c r="AG133">
        <f t="shared" si="45"/>
        <v>0</v>
      </c>
      <c r="AH133">
        <f t="shared" si="45"/>
        <v>0</v>
      </c>
    </row>
    <row r="134" spans="1:34" x14ac:dyDescent="0.2">
      <c r="A134" s="178" t="s">
        <v>394</v>
      </c>
      <c r="C134">
        <f t="shared" si="43"/>
        <v>0</v>
      </c>
      <c r="D134">
        <f t="shared" si="43"/>
        <v>0</v>
      </c>
      <c r="E134">
        <f t="shared" si="43"/>
        <v>0</v>
      </c>
      <c r="F134">
        <f t="shared" si="43"/>
        <v>0</v>
      </c>
      <c r="G134">
        <f t="shared" si="43"/>
        <v>0</v>
      </c>
      <c r="H134">
        <f t="shared" si="43"/>
        <v>0</v>
      </c>
      <c r="I134">
        <f t="shared" si="43"/>
        <v>0</v>
      </c>
      <c r="J134">
        <f t="shared" si="43"/>
        <v>282483111112.13947</v>
      </c>
      <c r="K134">
        <f t="shared" si="43"/>
        <v>0</v>
      </c>
      <c r="L134">
        <f t="shared" si="43"/>
        <v>0</v>
      </c>
      <c r="M134">
        <f t="shared" si="43"/>
        <v>0</v>
      </c>
      <c r="N134">
        <f t="shared" si="43"/>
        <v>0</v>
      </c>
      <c r="O134">
        <f t="shared" si="43"/>
        <v>0</v>
      </c>
      <c r="P134">
        <f t="shared" si="43"/>
        <v>0</v>
      </c>
      <c r="Q134">
        <f t="shared" si="43"/>
        <v>20171453375.644218</v>
      </c>
      <c r="R134">
        <f t="shared" si="43"/>
        <v>112418839103.30798</v>
      </c>
      <c r="S134">
        <f t="shared" si="44"/>
        <v>140001523442.6745</v>
      </c>
      <c r="T134">
        <f t="shared" si="44"/>
        <v>14534132243.367006</v>
      </c>
      <c r="U134">
        <f t="shared" si="44"/>
        <v>0</v>
      </c>
      <c r="V134">
        <f t="shared" si="44"/>
        <v>247704873813.53058</v>
      </c>
      <c r="W134">
        <f t="shared" si="44"/>
        <v>13372156430.371754</v>
      </c>
      <c r="X134">
        <f t="shared" si="44"/>
        <v>6895312824.4705839</v>
      </c>
      <c r="Y134">
        <f t="shared" si="44"/>
        <v>0</v>
      </c>
      <c r="Z134">
        <f t="shared" si="44"/>
        <v>0</v>
      </c>
      <c r="AA134">
        <f t="shared" si="45"/>
        <v>0</v>
      </c>
      <c r="AB134">
        <f t="shared" si="45"/>
        <v>0</v>
      </c>
      <c r="AC134">
        <f t="shared" si="45"/>
        <v>0</v>
      </c>
      <c r="AD134">
        <f t="shared" si="45"/>
        <v>726011708868.39453</v>
      </c>
      <c r="AE134">
        <f t="shared" si="45"/>
        <v>469103877482.72638</v>
      </c>
      <c r="AF134">
        <f t="shared" si="45"/>
        <v>0</v>
      </c>
      <c r="AG134">
        <f t="shared" si="45"/>
        <v>0</v>
      </c>
      <c r="AH134">
        <f t="shared" si="45"/>
        <v>0</v>
      </c>
    </row>
    <row r="135" spans="1:34" x14ac:dyDescent="0.2">
      <c r="A135" s="178" t="s">
        <v>395</v>
      </c>
      <c r="C135">
        <f t="shared" si="43"/>
        <v>0</v>
      </c>
      <c r="D135">
        <f t="shared" si="43"/>
        <v>624351172689104.63</v>
      </c>
      <c r="E135">
        <f t="shared" si="43"/>
        <v>0</v>
      </c>
      <c r="F135">
        <f t="shared" si="43"/>
        <v>12551762544134.51</v>
      </c>
      <c r="G135">
        <f t="shared" si="43"/>
        <v>0</v>
      </c>
      <c r="H135">
        <f t="shared" si="43"/>
        <v>0</v>
      </c>
      <c r="I135">
        <f t="shared" si="43"/>
        <v>4740712541426.124</v>
      </c>
      <c r="J135">
        <f t="shared" si="43"/>
        <v>76052127631786.391</v>
      </c>
      <c r="K135">
        <f t="shared" si="43"/>
        <v>0</v>
      </c>
      <c r="L135">
        <f t="shared" si="43"/>
        <v>0</v>
      </c>
      <c r="M135">
        <f t="shared" si="43"/>
        <v>0</v>
      </c>
      <c r="N135">
        <f t="shared" si="43"/>
        <v>2102195727363.6272</v>
      </c>
      <c r="O135">
        <f t="shared" si="43"/>
        <v>0</v>
      </c>
      <c r="P135">
        <f t="shared" si="43"/>
        <v>0</v>
      </c>
      <c r="Q135">
        <f t="shared" si="43"/>
        <v>4227106038.2783833</v>
      </c>
      <c r="R135">
        <f t="shared" si="43"/>
        <v>0</v>
      </c>
      <c r="S135">
        <f t="shared" si="44"/>
        <v>7057297503.241086</v>
      </c>
      <c r="T135">
        <f t="shared" si="44"/>
        <v>0</v>
      </c>
      <c r="U135">
        <f t="shared" si="44"/>
        <v>0</v>
      </c>
      <c r="V135">
        <f t="shared" si="44"/>
        <v>2064207281.7794211</v>
      </c>
      <c r="W135">
        <f t="shared" si="44"/>
        <v>0</v>
      </c>
      <c r="X135">
        <f t="shared" si="44"/>
        <v>0</v>
      </c>
      <c r="Y135">
        <f t="shared" si="44"/>
        <v>0</v>
      </c>
      <c r="Z135">
        <f t="shared" si="44"/>
        <v>2800892009650.4844</v>
      </c>
      <c r="AA135">
        <f t="shared" si="45"/>
        <v>1769251172817.0601</v>
      </c>
      <c r="AB135">
        <f t="shared" si="45"/>
        <v>6932033029341.5273</v>
      </c>
      <c r="AC135">
        <f t="shared" si="45"/>
        <v>0</v>
      </c>
      <c r="AD135">
        <f t="shared" si="45"/>
        <v>720077523423201.5</v>
      </c>
      <c r="AE135">
        <f t="shared" si="45"/>
        <v>370627450585.42133</v>
      </c>
      <c r="AF135">
        <f t="shared" si="45"/>
        <v>0</v>
      </c>
      <c r="AG135">
        <f t="shared" si="45"/>
        <v>0</v>
      </c>
      <c r="AH135">
        <f t="shared" si="45"/>
        <v>0</v>
      </c>
    </row>
    <row r="136" spans="1:34" x14ac:dyDescent="0.2">
      <c r="A136" s="178" t="s">
        <v>396</v>
      </c>
      <c r="C136">
        <f t="shared" si="43"/>
        <v>0</v>
      </c>
      <c r="D136">
        <f t="shared" si="43"/>
        <v>0</v>
      </c>
      <c r="E136">
        <f t="shared" si="43"/>
        <v>0</v>
      </c>
      <c r="F136">
        <f t="shared" si="43"/>
        <v>0</v>
      </c>
      <c r="G136">
        <f t="shared" si="43"/>
        <v>0</v>
      </c>
      <c r="H136">
        <f t="shared" si="43"/>
        <v>0</v>
      </c>
      <c r="I136">
        <f t="shared" si="43"/>
        <v>0</v>
      </c>
      <c r="J136">
        <f t="shared" si="43"/>
        <v>275239954416.95636</v>
      </c>
      <c r="K136">
        <f t="shared" si="43"/>
        <v>0</v>
      </c>
      <c r="L136">
        <f t="shared" si="43"/>
        <v>0</v>
      </c>
      <c r="M136">
        <f t="shared" si="43"/>
        <v>0</v>
      </c>
      <c r="N136">
        <f t="shared" si="43"/>
        <v>45811715387.103233</v>
      </c>
      <c r="O136">
        <f t="shared" si="43"/>
        <v>0</v>
      </c>
      <c r="P136">
        <f t="shared" si="43"/>
        <v>0</v>
      </c>
      <c r="Q136">
        <f t="shared" si="43"/>
        <v>3763607569.1689119</v>
      </c>
      <c r="R136">
        <f t="shared" si="43"/>
        <v>780686382.66186106</v>
      </c>
      <c r="S136">
        <f t="shared" si="44"/>
        <v>47970549245.003593</v>
      </c>
      <c r="T136">
        <f t="shared" si="44"/>
        <v>22931630872.867943</v>
      </c>
      <c r="U136">
        <f t="shared" si="44"/>
        <v>0</v>
      </c>
      <c r="V136">
        <f t="shared" si="44"/>
        <v>1376138187.8529477</v>
      </c>
      <c r="W136">
        <f t="shared" si="44"/>
        <v>1910308061.481679</v>
      </c>
      <c r="X136">
        <f t="shared" si="44"/>
        <v>0</v>
      </c>
      <c r="Y136">
        <f t="shared" si="44"/>
        <v>0</v>
      </c>
      <c r="Z136">
        <f t="shared" si="44"/>
        <v>0</v>
      </c>
      <c r="AA136">
        <f t="shared" si="45"/>
        <v>0</v>
      </c>
      <c r="AB136">
        <f t="shared" si="45"/>
        <v>0</v>
      </c>
      <c r="AC136">
        <f t="shared" si="45"/>
        <v>0</v>
      </c>
      <c r="AD136">
        <f t="shared" si="45"/>
        <v>235275127130.8891</v>
      </c>
      <c r="AE136">
        <f t="shared" si="45"/>
        <v>526608360342.46649</v>
      </c>
      <c r="AF136">
        <f t="shared" si="45"/>
        <v>0</v>
      </c>
      <c r="AG136">
        <f t="shared" si="45"/>
        <v>0</v>
      </c>
      <c r="AH136">
        <f t="shared" si="45"/>
        <v>0</v>
      </c>
    </row>
    <row r="137" spans="1:34" x14ac:dyDescent="0.2">
      <c r="A137" s="178" t="s">
        <v>397</v>
      </c>
      <c r="C137">
        <f t="shared" si="43"/>
        <v>0</v>
      </c>
      <c r="D137">
        <f t="shared" si="43"/>
        <v>0</v>
      </c>
      <c r="E137">
        <f>SUMIFS(E$55:E$109,$A$55:$A$109,$A137)</f>
        <v>0</v>
      </c>
      <c r="F137">
        <f t="shared" si="43"/>
        <v>0</v>
      </c>
      <c r="G137">
        <f t="shared" si="43"/>
        <v>0</v>
      </c>
      <c r="H137">
        <f t="shared" si="43"/>
        <v>0</v>
      </c>
      <c r="I137">
        <f t="shared" si="43"/>
        <v>0</v>
      </c>
      <c r="J137">
        <f t="shared" ref="J137:AH137" si="46">SUMIFS(J$55:J$109,$A$55:$A$109,$A137)</f>
        <v>0</v>
      </c>
      <c r="K137">
        <f t="shared" si="46"/>
        <v>0</v>
      </c>
      <c r="L137">
        <f t="shared" si="46"/>
        <v>0</v>
      </c>
      <c r="M137">
        <f t="shared" si="46"/>
        <v>0</v>
      </c>
      <c r="N137">
        <f t="shared" si="46"/>
        <v>0</v>
      </c>
      <c r="O137">
        <f t="shared" si="46"/>
        <v>0</v>
      </c>
      <c r="P137">
        <f t="shared" si="46"/>
        <v>0</v>
      </c>
      <c r="Q137">
        <f t="shared" si="46"/>
        <v>0</v>
      </c>
      <c r="R137">
        <f t="shared" si="46"/>
        <v>0</v>
      </c>
      <c r="S137">
        <f t="shared" si="46"/>
        <v>0</v>
      </c>
      <c r="T137">
        <f t="shared" si="46"/>
        <v>0</v>
      </c>
      <c r="U137">
        <f t="shared" si="46"/>
        <v>0</v>
      </c>
      <c r="V137">
        <f t="shared" si="46"/>
        <v>0</v>
      </c>
      <c r="W137">
        <f t="shared" si="46"/>
        <v>0</v>
      </c>
      <c r="X137">
        <f t="shared" si="46"/>
        <v>0</v>
      </c>
      <c r="Y137" s="215">
        <f>AS98*'Input Data'!Y117</f>
        <v>1113928532029844.9</v>
      </c>
      <c r="Z137">
        <f t="shared" si="46"/>
        <v>0</v>
      </c>
      <c r="AA137">
        <f t="shared" si="46"/>
        <v>0</v>
      </c>
      <c r="AB137">
        <f t="shared" si="46"/>
        <v>0</v>
      </c>
      <c r="AC137">
        <f t="shared" si="46"/>
        <v>0</v>
      </c>
      <c r="AD137">
        <f t="shared" si="46"/>
        <v>0</v>
      </c>
      <c r="AE137">
        <f t="shared" si="46"/>
        <v>0</v>
      </c>
      <c r="AF137">
        <f t="shared" si="46"/>
        <v>0</v>
      </c>
      <c r="AG137">
        <f t="shared" si="46"/>
        <v>0</v>
      </c>
      <c r="AH137">
        <f t="shared" si="46"/>
        <v>0</v>
      </c>
    </row>
  </sheetData>
  <phoneticPr fontId="3" type="noConversion"/>
  <conditionalFormatting sqref="C7:AH51">
    <cfRule type="dataBar" priority="2">
      <dataBar>
        <cfvo type="min"/>
        <cfvo type="max"/>
        <color rgb="FFFF555A"/>
      </dataBar>
      <extLst>
        <ext xmlns:x14="http://schemas.microsoft.com/office/spreadsheetml/2009/9/main" uri="{B025F937-C7B1-47D3-B67F-A62EFF666E3E}">
          <x14:id>{E742503A-620E-4040-9188-0A2291631112}</x14:id>
        </ext>
      </extLst>
    </cfRule>
  </conditionalFormatting>
  <conditionalFormatting sqref="C55:AH109">
    <cfRule type="colorScale" priority="1">
      <colorScale>
        <cfvo type="min"/>
        <cfvo type="max"/>
        <color rgb="FFFCFCFF"/>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742503A-620E-4040-9188-0A2291631112}">
            <x14:dataBar minLength="0" maxLength="100" border="1" negativeBarBorderColorSameAsPositive="0">
              <x14:cfvo type="autoMin"/>
              <x14:cfvo type="autoMax"/>
              <x14:borderColor rgb="FFFF555A"/>
              <x14:negativeFillColor rgb="FFFF0000"/>
              <x14:negativeBorderColor rgb="FFFF0000"/>
              <x14:axisColor rgb="FF000000"/>
            </x14:dataBar>
          </x14:cfRule>
          <xm:sqref>C7:AH51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472A7-6057-4721-B888-04D60C2D5DAD}">
  <sheetPr codeName="Sheet16"/>
  <dimension ref="A1:O84"/>
  <sheetViews>
    <sheetView topLeftCell="A85" workbookViewId="0">
      <selection activeCell="K39" sqref="K39"/>
    </sheetView>
  </sheetViews>
  <sheetFormatPr defaultRowHeight="14.25" x14ac:dyDescent="0.2"/>
  <cols>
    <col min="1" max="1" width="13" bestFit="1" customWidth="1"/>
    <col min="2" max="2" width="25.5" bestFit="1" customWidth="1"/>
    <col min="3" max="3" width="13.875" style="201" bestFit="1" customWidth="1"/>
    <col min="4" max="4" width="12.75" style="201" bestFit="1" customWidth="1"/>
    <col min="5" max="5" width="13.875" style="201" bestFit="1" customWidth="1"/>
    <col min="6" max="6" width="12.75" style="201" bestFit="1" customWidth="1"/>
    <col min="7" max="7" width="13.875" style="202" bestFit="1" customWidth="1"/>
  </cols>
  <sheetData>
    <row r="1" spans="1:15" x14ac:dyDescent="0.2">
      <c r="A1" t="s">
        <v>604</v>
      </c>
      <c r="B1" t="s">
        <v>605</v>
      </c>
      <c r="C1" s="201" t="s">
        <v>606</v>
      </c>
      <c r="D1" s="201" t="s">
        <v>607</v>
      </c>
      <c r="E1" s="201" t="s">
        <v>608</v>
      </c>
      <c r="F1" s="201" t="s">
        <v>609</v>
      </c>
      <c r="G1" s="202" t="s">
        <v>610</v>
      </c>
      <c r="I1" t="s">
        <v>409</v>
      </c>
      <c r="J1" t="s">
        <v>616</v>
      </c>
      <c r="K1">
        <v>9521.4761709646009</v>
      </c>
      <c r="L1">
        <v>1941.64106050687</v>
      </c>
      <c r="M1">
        <v>4.9038292219052204</v>
      </c>
      <c r="N1">
        <v>2.8812664272519299E-4</v>
      </c>
    </row>
    <row r="2" spans="1:15" x14ac:dyDescent="0.2">
      <c r="A2" t="s">
        <v>409</v>
      </c>
      <c r="B2" t="s">
        <v>480</v>
      </c>
      <c r="C2" s="201">
        <v>3.9590012872200403E-2</v>
      </c>
      <c r="D2" s="201">
        <v>6.8913857538353093E-2</v>
      </c>
      <c r="E2" s="201">
        <v>0.57448551403710202</v>
      </c>
      <c r="F2" s="201">
        <v>0.57833287040192605</v>
      </c>
      <c r="G2" s="202">
        <v>-0.34705882352941197</v>
      </c>
      <c r="I2" t="s">
        <v>409</v>
      </c>
      <c r="J2" t="s">
        <v>480</v>
      </c>
      <c r="K2">
        <v>-0.143945458227664</v>
      </c>
      <c r="L2">
        <v>3.09711835319532E-2</v>
      </c>
      <c r="M2">
        <v>-4.6477222311880402</v>
      </c>
      <c r="N2">
        <v>4.56400213473499E-4</v>
      </c>
      <c r="O2">
        <v>-0.34705882352941197</v>
      </c>
    </row>
    <row r="3" spans="1:15" x14ac:dyDescent="0.2">
      <c r="A3" t="s">
        <v>409</v>
      </c>
      <c r="B3" t="s">
        <v>23</v>
      </c>
      <c r="C3" s="201">
        <v>3.3534846117508801</v>
      </c>
      <c r="D3" s="201">
        <v>3.9808385785235298</v>
      </c>
      <c r="E3" s="201">
        <v>0.84240657982034395</v>
      </c>
      <c r="F3" s="201">
        <v>0.41925182901776098</v>
      </c>
      <c r="G3" s="202">
        <v>-0.42058823529411798</v>
      </c>
      <c r="I3" t="s">
        <v>409</v>
      </c>
      <c r="J3" t="s">
        <v>23</v>
      </c>
      <c r="O3">
        <v>-0.42058823529411798</v>
      </c>
    </row>
    <row r="4" spans="1:15" x14ac:dyDescent="0.2">
      <c r="A4" s="187" t="s">
        <v>409</v>
      </c>
      <c r="B4" s="187" t="s">
        <v>613</v>
      </c>
      <c r="C4" s="201">
        <v>1.2345210008695899</v>
      </c>
      <c r="D4" s="201">
        <v>0.292282865172727</v>
      </c>
      <c r="E4" s="201">
        <v>4.2237200601548599</v>
      </c>
      <c r="F4" s="201">
        <v>1.7612156172726601E-3</v>
      </c>
      <c r="G4" s="202">
        <v>0.1</v>
      </c>
      <c r="I4" t="s">
        <v>409</v>
      </c>
      <c r="J4" t="s">
        <v>1</v>
      </c>
      <c r="K4">
        <v>0.56577914494731796</v>
      </c>
      <c r="L4">
        <v>0.18487066453175199</v>
      </c>
      <c r="M4">
        <v>3.0604052102065298</v>
      </c>
      <c r="N4">
        <v>9.1156225549354E-3</v>
      </c>
      <c r="O4">
        <v>0.1</v>
      </c>
    </row>
    <row r="5" spans="1:15" x14ac:dyDescent="0.2">
      <c r="A5" t="s">
        <v>409</v>
      </c>
      <c r="B5" t="s">
        <v>612</v>
      </c>
      <c r="C5" s="201">
        <v>-0.485924743477334</v>
      </c>
      <c r="D5" s="201">
        <v>1.1260159996872501</v>
      </c>
      <c r="E5" s="201">
        <v>-0.43154337381733199</v>
      </c>
      <c r="F5" s="201">
        <v>0.67522884547358097</v>
      </c>
      <c r="G5" s="202">
        <v>-0.50882352941176501</v>
      </c>
      <c r="I5" t="s">
        <v>409</v>
      </c>
      <c r="J5" t="s">
        <v>611</v>
      </c>
      <c r="O5">
        <v>-0.50882352941176501</v>
      </c>
    </row>
    <row r="6" spans="1:15" x14ac:dyDescent="0.2">
      <c r="A6" t="s">
        <v>409</v>
      </c>
      <c r="B6" t="s">
        <v>24</v>
      </c>
      <c r="C6" s="201">
        <v>2.0871225798040798</v>
      </c>
      <c r="D6" s="201">
        <v>3.1695546558167198</v>
      </c>
      <c r="E6" s="201">
        <v>0.65849079963768098</v>
      </c>
      <c r="F6" s="201">
        <v>0.52509292895284398</v>
      </c>
      <c r="G6" s="202">
        <v>-0.79411764705882304</v>
      </c>
      <c r="I6" t="s">
        <v>409</v>
      </c>
      <c r="J6" t="s">
        <v>24</v>
      </c>
      <c r="O6">
        <v>-0.79411764705882304</v>
      </c>
    </row>
    <row r="7" spans="1:15" x14ac:dyDescent="0.2">
      <c r="A7" t="s">
        <v>409</v>
      </c>
      <c r="B7" t="s">
        <v>22</v>
      </c>
      <c r="C7" s="201">
        <v>-16.318172586072102</v>
      </c>
      <c r="D7" s="201">
        <v>3.7480620332493699</v>
      </c>
      <c r="E7" s="201">
        <v>-4.35376267556732</v>
      </c>
      <c r="F7" s="201">
        <v>1.4350949428421501E-3</v>
      </c>
      <c r="G7" s="202">
        <v>-0.21176470588235299</v>
      </c>
      <c r="I7" t="s">
        <v>409</v>
      </c>
      <c r="J7" t="s">
        <v>22</v>
      </c>
      <c r="O7">
        <v>-0.21176470588235299</v>
      </c>
    </row>
    <row r="9" spans="1:15" x14ac:dyDescent="0.2">
      <c r="A9" t="s">
        <v>446</v>
      </c>
      <c r="B9" t="s">
        <v>480</v>
      </c>
      <c r="C9" s="201">
        <v>-9.0516764524570404E-3</v>
      </c>
      <c r="D9" s="201">
        <v>3.8946066764965002E-2</v>
      </c>
      <c r="E9" s="201">
        <v>-0.232415676455413</v>
      </c>
      <c r="F9" s="201">
        <v>0.82090271283858396</v>
      </c>
      <c r="G9" s="202">
        <v>0.45474625997731399</v>
      </c>
    </row>
    <row r="10" spans="1:15" x14ac:dyDescent="0.2">
      <c r="A10" t="s">
        <v>446</v>
      </c>
      <c r="B10" t="s">
        <v>23</v>
      </c>
      <c r="C10" s="201">
        <v>-347.91653930603002</v>
      </c>
      <c r="D10" s="201">
        <v>553.89150921248995</v>
      </c>
      <c r="E10" s="201">
        <v>-0.62813120172340098</v>
      </c>
      <c r="F10" s="201">
        <v>0.54399572526846496</v>
      </c>
      <c r="G10" s="202">
        <v>8.4078650324285395E-2</v>
      </c>
    </row>
    <row r="11" spans="1:15" x14ac:dyDescent="0.2">
      <c r="A11" t="s">
        <v>446</v>
      </c>
      <c r="B11" t="s">
        <v>1</v>
      </c>
      <c r="C11" s="201">
        <v>-0.18408827407966299</v>
      </c>
      <c r="D11" s="201">
        <v>0.72374136155552904</v>
      </c>
      <c r="E11" s="201">
        <v>-0.25435643706199801</v>
      </c>
      <c r="F11" s="201">
        <v>0.80437412317260204</v>
      </c>
      <c r="G11" s="202">
        <v>0.48417967486257701</v>
      </c>
    </row>
    <row r="12" spans="1:15" x14ac:dyDescent="0.2">
      <c r="A12" t="s">
        <v>446</v>
      </c>
      <c r="B12" t="s">
        <v>612</v>
      </c>
      <c r="C12" s="201">
        <v>0.32588530865653198</v>
      </c>
      <c r="D12" s="201">
        <v>0.363769917086257</v>
      </c>
      <c r="E12" s="201">
        <v>0.89585557614776301</v>
      </c>
      <c r="F12" s="201">
        <v>0.39138472109309103</v>
      </c>
      <c r="G12" s="202">
        <v>0.46357628444289201</v>
      </c>
    </row>
    <row r="13" spans="1:15" x14ac:dyDescent="0.2">
      <c r="A13" t="s">
        <v>446</v>
      </c>
      <c r="B13" t="s">
        <v>24</v>
      </c>
      <c r="C13" s="201">
        <v>45.281223415107299</v>
      </c>
      <c r="D13" s="201">
        <v>55.2670275787994</v>
      </c>
      <c r="E13" s="201">
        <v>0.81931714801462197</v>
      </c>
      <c r="F13" s="201">
        <v>0.43169871757502598</v>
      </c>
      <c r="G13" s="202">
        <v>0.18275612921024501</v>
      </c>
    </row>
    <row r="14" spans="1:15" x14ac:dyDescent="0.2">
      <c r="A14" t="s">
        <v>446</v>
      </c>
      <c r="B14" t="s">
        <v>22</v>
      </c>
      <c r="C14" s="201">
        <v>-135.81938012966501</v>
      </c>
      <c r="D14" s="201">
        <v>79.653108107038605</v>
      </c>
      <c r="E14" s="201">
        <v>-1.7051359746960499</v>
      </c>
      <c r="F14" s="201">
        <v>0.11898371442012499</v>
      </c>
      <c r="G14" s="202">
        <v>-0.39440775946252399</v>
      </c>
    </row>
    <row r="15" spans="1:15" x14ac:dyDescent="0.2">
      <c r="I15" t="s">
        <v>434</v>
      </c>
      <c r="J15" t="s">
        <v>616</v>
      </c>
      <c r="K15">
        <v>-73.349823714653297</v>
      </c>
      <c r="L15">
        <v>47.730941239890797</v>
      </c>
      <c r="M15">
        <v>-1.5367353295214601</v>
      </c>
      <c r="N15">
        <v>0.14833375903555099</v>
      </c>
    </row>
    <row r="16" spans="1:15" x14ac:dyDescent="0.2">
      <c r="A16" t="s">
        <v>434</v>
      </c>
      <c r="B16" t="s">
        <v>615</v>
      </c>
      <c r="C16" s="201">
        <v>0.29439567540882</v>
      </c>
      <c r="D16" s="201">
        <v>0.100863339463753</v>
      </c>
      <c r="E16" s="201">
        <v>2.9187579647272801</v>
      </c>
      <c r="F16" s="201">
        <v>1.53330459408909E-2</v>
      </c>
      <c r="G16" s="202">
        <v>0.95</v>
      </c>
      <c r="I16" t="s">
        <v>434</v>
      </c>
      <c r="J16" t="s">
        <v>480</v>
      </c>
      <c r="K16">
        <v>0.20054340460630099</v>
      </c>
      <c r="L16">
        <v>0.12555433417344</v>
      </c>
      <c r="M16">
        <v>1.5972638931705201</v>
      </c>
      <c r="N16">
        <v>0.13421898847101399</v>
      </c>
      <c r="O16">
        <v>0.95</v>
      </c>
    </row>
    <row r="17" spans="1:15" x14ac:dyDescent="0.2">
      <c r="A17" t="s">
        <v>434</v>
      </c>
      <c r="B17" t="s">
        <v>23</v>
      </c>
      <c r="C17" s="201">
        <v>-15.4230020703836</v>
      </c>
      <c r="D17" s="201">
        <v>8.9904460223908096</v>
      </c>
      <c r="E17" s="201">
        <v>-1.71548797823516</v>
      </c>
      <c r="F17" s="201">
        <v>0.11701931727887301</v>
      </c>
      <c r="G17" s="202">
        <v>-0.37104830263599697</v>
      </c>
      <c r="I17" t="s">
        <v>434</v>
      </c>
      <c r="J17" t="s">
        <v>23</v>
      </c>
      <c r="O17">
        <v>-0.37104830263599697</v>
      </c>
    </row>
    <row r="18" spans="1:15" x14ac:dyDescent="0.2">
      <c r="A18" s="187" t="s">
        <v>434</v>
      </c>
      <c r="B18" s="187" t="s">
        <v>1</v>
      </c>
      <c r="C18" s="201">
        <v>0.275827474151353</v>
      </c>
      <c r="D18" s="201">
        <v>0.19058546877968999</v>
      </c>
      <c r="E18" s="201">
        <v>1.44726392792412</v>
      </c>
      <c r="F18" s="201">
        <v>0.17843433681790999</v>
      </c>
      <c r="G18" s="202">
        <v>0.96470588235294097</v>
      </c>
      <c r="I18" t="s">
        <v>434</v>
      </c>
      <c r="J18" t="s">
        <v>1</v>
      </c>
      <c r="K18">
        <v>0.476671612887616</v>
      </c>
      <c r="L18">
        <v>0.181473081469121</v>
      </c>
      <c r="M18">
        <v>2.62667944484497</v>
      </c>
      <c r="N18">
        <v>2.0918987599291401E-2</v>
      </c>
      <c r="O18">
        <v>0.96470588235294097</v>
      </c>
    </row>
    <row r="19" spans="1:15" x14ac:dyDescent="0.2">
      <c r="A19" t="s">
        <v>434</v>
      </c>
      <c r="B19" t="s">
        <v>611</v>
      </c>
      <c r="C19" s="201">
        <v>-0.74608247217222101</v>
      </c>
      <c r="D19" s="201">
        <v>0.45443289418736699</v>
      </c>
      <c r="E19" s="201">
        <v>-1.6417879993181199</v>
      </c>
      <c r="F19" s="201">
        <v>0.13166621518430399</v>
      </c>
      <c r="G19" s="202">
        <v>0.50882352941176501</v>
      </c>
      <c r="I19" t="s">
        <v>434</v>
      </c>
      <c r="J19" t="s">
        <v>611</v>
      </c>
      <c r="O19">
        <v>0.50882352941176501</v>
      </c>
    </row>
    <row r="20" spans="1:15" x14ac:dyDescent="0.2">
      <c r="A20" t="s">
        <v>434</v>
      </c>
      <c r="B20" t="s">
        <v>614</v>
      </c>
      <c r="C20" s="201">
        <v>6.5518040920999496</v>
      </c>
      <c r="D20" s="201">
        <v>7.5660843338975701</v>
      </c>
      <c r="E20" s="201">
        <v>0.86594383606676895</v>
      </c>
      <c r="F20" s="201">
        <v>0.40681692607942799</v>
      </c>
      <c r="G20" s="202">
        <v>0.61908394736136496</v>
      </c>
      <c r="I20" t="s">
        <v>434</v>
      </c>
      <c r="J20" t="s">
        <v>24</v>
      </c>
      <c r="O20">
        <v>0.61908394736136496</v>
      </c>
    </row>
    <row r="21" spans="1:15" x14ac:dyDescent="0.2">
      <c r="A21" t="s">
        <v>434</v>
      </c>
      <c r="B21" t="s">
        <v>22</v>
      </c>
      <c r="C21" s="201">
        <v>86.2788469161015</v>
      </c>
      <c r="D21" s="201">
        <v>71.663781853759303</v>
      </c>
      <c r="E21" s="201">
        <v>1.20393934961689</v>
      </c>
      <c r="F21" s="201">
        <v>0.25633683291269599</v>
      </c>
      <c r="G21" s="202">
        <v>0.79011516748625199</v>
      </c>
      <c r="I21" t="s">
        <v>434</v>
      </c>
      <c r="J21" t="s">
        <v>22</v>
      </c>
      <c r="O21">
        <v>0.79011516748625199</v>
      </c>
    </row>
    <row r="22" spans="1:15" x14ac:dyDescent="0.2">
      <c r="I22" t="s">
        <v>443</v>
      </c>
      <c r="J22" t="s">
        <v>616</v>
      </c>
      <c r="K22">
        <v>2.4971429055854899</v>
      </c>
      <c r="L22">
        <v>2.0770827130417699</v>
      </c>
      <c r="M22">
        <v>1.20223565961347</v>
      </c>
      <c r="N22">
        <v>0.25071413653470997</v>
      </c>
    </row>
    <row r="23" spans="1:15" x14ac:dyDescent="0.2">
      <c r="A23" t="s">
        <v>443</v>
      </c>
      <c r="B23" t="s">
        <v>480</v>
      </c>
      <c r="C23" s="201">
        <v>-1.45575918137692E-2</v>
      </c>
      <c r="D23" s="201">
        <v>1.99963895099705E-2</v>
      </c>
      <c r="E23" s="201">
        <v>-0.72801101451392602</v>
      </c>
      <c r="F23" s="201">
        <v>0.483304934038991</v>
      </c>
      <c r="G23" s="202">
        <v>0.48823529411764699</v>
      </c>
      <c r="I23" t="s">
        <v>443</v>
      </c>
      <c r="J23" t="s">
        <v>480</v>
      </c>
      <c r="K23">
        <v>-1.5540597636712001E-3</v>
      </c>
      <c r="L23">
        <v>1.2145288784979599E-2</v>
      </c>
      <c r="M23">
        <v>-0.12795576879103501</v>
      </c>
      <c r="N23">
        <v>0.90014219427068798</v>
      </c>
      <c r="O23">
        <v>0.48823529411764699</v>
      </c>
    </row>
    <row r="24" spans="1:15" x14ac:dyDescent="0.2">
      <c r="A24" t="s">
        <v>443</v>
      </c>
      <c r="B24" t="s">
        <v>23</v>
      </c>
      <c r="C24" s="201">
        <v>2.7429275180486998</v>
      </c>
      <c r="D24" s="201">
        <v>1.90251796184567</v>
      </c>
      <c r="E24" s="201">
        <v>1.44173541225741</v>
      </c>
      <c r="F24" s="201">
        <v>0.179951530494013</v>
      </c>
      <c r="G24" s="202">
        <v>0.66470588235294104</v>
      </c>
      <c r="I24" t="s">
        <v>443</v>
      </c>
      <c r="J24" t="s">
        <v>23</v>
      </c>
      <c r="O24">
        <v>0.66470588235294104</v>
      </c>
    </row>
    <row r="25" spans="1:15" x14ac:dyDescent="0.2">
      <c r="A25" s="187" t="s">
        <v>443</v>
      </c>
      <c r="B25" s="187" t="s">
        <v>1</v>
      </c>
      <c r="C25" s="201">
        <v>8.1982620063372202E-2</v>
      </c>
      <c r="D25" s="201">
        <v>0.11037141678175</v>
      </c>
      <c r="E25" s="201">
        <v>0.74278850859988499</v>
      </c>
      <c r="F25" s="201">
        <v>0.47469712844321099</v>
      </c>
      <c r="G25" s="202">
        <v>0.5</v>
      </c>
      <c r="I25" t="s">
        <v>443</v>
      </c>
      <c r="J25" t="s">
        <v>1</v>
      </c>
      <c r="K25">
        <v>0.20267791447648301</v>
      </c>
      <c r="L25">
        <v>0.13690428019698</v>
      </c>
      <c r="M25">
        <v>1.4804351930039601</v>
      </c>
      <c r="N25">
        <v>0.162581579824955</v>
      </c>
      <c r="O25">
        <v>0.5</v>
      </c>
    </row>
    <row r="26" spans="1:15" x14ac:dyDescent="0.2">
      <c r="A26" t="s">
        <v>443</v>
      </c>
      <c r="B26" t="s">
        <v>612</v>
      </c>
      <c r="C26" s="201">
        <v>-8.3508136518638504E-2</v>
      </c>
      <c r="D26" s="201">
        <v>5.5582715306377199E-2</v>
      </c>
      <c r="E26" s="201">
        <v>-1.5024119649127201</v>
      </c>
      <c r="F26" s="201">
        <v>0.163893539605067</v>
      </c>
      <c r="G26" s="202">
        <v>0.24117647058823499</v>
      </c>
      <c r="I26" t="s">
        <v>443</v>
      </c>
      <c r="J26" t="s">
        <v>611</v>
      </c>
      <c r="O26">
        <v>0.24117647058823499</v>
      </c>
    </row>
    <row r="27" spans="1:15" x14ac:dyDescent="0.2">
      <c r="A27" t="s">
        <v>443</v>
      </c>
      <c r="B27" t="s">
        <v>24</v>
      </c>
      <c r="C27" s="201">
        <v>0.23238095250253901</v>
      </c>
      <c r="D27" s="201">
        <v>0.29065534046550301</v>
      </c>
      <c r="E27" s="201">
        <v>0.79950690783925304</v>
      </c>
      <c r="F27" s="201">
        <v>0.44257327813490399</v>
      </c>
      <c r="G27" s="202">
        <v>0.59705882352941197</v>
      </c>
      <c r="I27" t="s">
        <v>443</v>
      </c>
      <c r="J27" t="s">
        <v>24</v>
      </c>
      <c r="O27">
        <v>0.59705882352941197</v>
      </c>
    </row>
    <row r="28" spans="1:15" x14ac:dyDescent="0.2">
      <c r="A28" t="s">
        <v>443</v>
      </c>
      <c r="B28" t="s">
        <v>22</v>
      </c>
      <c r="C28" s="201">
        <v>0.67830266668418004</v>
      </c>
      <c r="D28" s="201">
        <v>0.62959891752433905</v>
      </c>
      <c r="E28" s="201">
        <v>1.07735678668469</v>
      </c>
      <c r="F28" s="201">
        <v>0.30662375548119702</v>
      </c>
      <c r="G28" s="202">
        <v>0.57647058823529396</v>
      </c>
      <c r="I28" t="s">
        <v>443</v>
      </c>
      <c r="J28" t="s">
        <v>22</v>
      </c>
      <c r="O28">
        <v>0.57647058823529396</v>
      </c>
    </row>
    <row r="29" spans="1:15" x14ac:dyDescent="0.2">
      <c r="I29" t="s">
        <v>426</v>
      </c>
      <c r="J29" t="s">
        <v>616</v>
      </c>
      <c r="K29">
        <v>1.4418536787312</v>
      </c>
      <c r="L29">
        <v>0.61042166964317301</v>
      </c>
      <c r="M29">
        <v>2.3620617524506402</v>
      </c>
      <c r="N29">
        <v>3.4442530744919E-2</v>
      </c>
    </row>
    <row r="30" spans="1:15" x14ac:dyDescent="0.2">
      <c r="A30" t="s">
        <v>426</v>
      </c>
      <c r="B30" t="s">
        <v>480</v>
      </c>
      <c r="C30" s="201">
        <v>4.3043818135635799E-2</v>
      </c>
      <c r="D30" s="201">
        <v>5.0812504060731498E-2</v>
      </c>
      <c r="E30" s="201">
        <v>0.84711074431973499</v>
      </c>
      <c r="F30" s="201">
        <v>0.41674609861190198</v>
      </c>
      <c r="G30" s="202">
        <v>0.86534239762673304</v>
      </c>
      <c r="I30" t="s">
        <v>426</v>
      </c>
      <c r="J30" t="s">
        <v>480</v>
      </c>
      <c r="K30">
        <v>1.46235448742561E-2</v>
      </c>
      <c r="L30">
        <v>2.6769548473271499E-2</v>
      </c>
      <c r="M30">
        <v>0.54627536541594202</v>
      </c>
      <c r="N30">
        <v>0.59412844283597499</v>
      </c>
      <c r="O30">
        <v>0.86534239762673304</v>
      </c>
    </row>
    <row r="31" spans="1:15" x14ac:dyDescent="0.2">
      <c r="A31" t="s">
        <v>426</v>
      </c>
      <c r="B31" t="s">
        <v>23</v>
      </c>
      <c r="C31" s="201">
        <v>-7.63400795520056</v>
      </c>
      <c r="D31" s="201">
        <v>3.2649647652922198</v>
      </c>
      <c r="E31" s="201">
        <v>-2.33815936893191</v>
      </c>
      <c r="F31" s="201">
        <v>4.1469480566253797E-2</v>
      </c>
      <c r="G31" s="202">
        <v>0.23154453470609701</v>
      </c>
      <c r="I31" t="s">
        <v>426</v>
      </c>
      <c r="J31" t="s">
        <v>23</v>
      </c>
      <c r="O31">
        <v>0.23154453470609701</v>
      </c>
    </row>
    <row r="32" spans="1:15" x14ac:dyDescent="0.2">
      <c r="A32" t="s">
        <v>426</v>
      </c>
      <c r="B32" t="s">
        <v>1</v>
      </c>
      <c r="C32" s="201">
        <v>0.138495224929509</v>
      </c>
      <c r="D32" s="201">
        <v>0.33496018189072202</v>
      </c>
      <c r="E32" s="201">
        <v>0.41346772666457499</v>
      </c>
      <c r="F32" s="201">
        <v>0.68799106303160196</v>
      </c>
      <c r="G32" s="202">
        <v>0.79705882352941204</v>
      </c>
      <c r="I32" t="s">
        <v>426</v>
      </c>
      <c r="J32" t="s">
        <v>1</v>
      </c>
      <c r="O32">
        <v>0.79705882352941204</v>
      </c>
    </row>
    <row r="33" spans="1:15" x14ac:dyDescent="0.2">
      <c r="A33" s="187" t="s">
        <v>426</v>
      </c>
      <c r="B33" s="187" t="s">
        <v>611</v>
      </c>
      <c r="C33" s="201">
        <v>0.64993605282595202</v>
      </c>
      <c r="D33" s="201">
        <v>0.38731045103759998</v>
      </c>
      <c r="E33" s="201">
        <v>1.67807517479784</v>
      </c>
      <c r="F33" s="201">
        <v>0.124260303496789</v>
      </c>
      <c r="G33" s="202">
        <v>0.87334409883781705</v>
      </c>
      <c r="I33" t="s">
        <v>426</v>
      </c>
      <c r="J33" t="s">
        <v>611</v>
      </c>
      <c r="K33">
        <v>1.20386296658785</v>
      </c>
      <c r="L33">
        <v>0.37330188208210502</v>
      </c>
      <c r="M33">
        <v>3.2249046264467198</v>
      </c>
      <c r="N33">
        <v>6.6414223860377297E-3</v>
      </c>
      <c r="O33">
        <v>0.87334409883781705</v>
      </c>
    </row>
    <row r="34" spans="1:15" x14ac:dyDescent="0.2">
      <c r="A34" t="s">
        <v>426</v>
      </c>
      <c r="B34" t="s">
        <v>614</v>
      </c>
      <c r="C34" s="201">
        <v>3.2338191771056199</v>
      </c>
      <c r="D34" s="201">
        <v>1.8347569635016101</v>
      </c>
      <c r="E34" s="201">
        <v>1.7625327176488399</v>
      </c>
      <c r="F34" s="201">
        <v>0.10845767662029999</v>
      </c>
      <c r="G34" s="202">
        <v>0.710816969479102</v>
      </c>
      <c r="I34" t="s">
        <v>426</v>
      </c>
      <c r="J34" t="s">
        <v>24</v>
      </c>
      <c r="O34">
        <v>0.710816969479102</v>
      </c>
    </row>
    <row r="35" spans="1:15" x14ac:dyDescent="0.2">
      <c r="A35" t="s">
        <v>426</v>
      </c>
      <c r="B35" t="s">
        <v>22</v>
      </c>
      <c r="C35" s="201">
        <v>1.2850172261185899</v>
      </c>
      <c r="D35" s="201">
        <v>3.2093183647759198</v>
      </c>
      <c r="E35" s="201">
        <v>0.40040191718664703</v>
      </c>
      <c r="F35" s="201">
        <v>0.69728080452882002</v>
      </c>
      <c r="G35" s="202">
        <v>0.84536174153947297</v>
      </c>
      <c r="I35" t="s">
        <v>426</v>
      </c>
      <c r="J35" t="s">
        <v>22</v>
      </c>
      <c r="O35">
        <v>0.84536174153947297</v>
      </c>
    </row>
    <row r="37" spans="1:15" x14ac:dyDescent="0.2">
      <c r="A37" t="s">
        <v>436</v>
      </c>
      <c r="B37" t="s">
        <v>480</v>
      </c>
      <c r="C37" s="201">
        <v>2.52141482205832E-2</v>
      </c>
      <c r="D37" s="201">
        <v>8.1589859706695297E-3</v>
      </c>
      <c r="E37" s="201">
        <v>3.0903531776160298</v>
      </c>
      <c r="F37" s="201">
        <v>1.1437082901154401E-2</v>
      </c>
      <c r="G37" s="202">
        <v>0.108823529411765</v>
      </c>
    </row>
    <row r="38" spans="1:15" x14ac:dyDescent="0.2">
      <c r="A38" t="s">
        <v>436</v>
      </c>
      <c r="B38" t="s">
        <v>23</v>
      </c>
      <c r="C38" s="201">
        <v>-2.7912681812335301E-2</v>
      </c>
      <c r="D38" s="201">
        <v>1.21533528340724</v>
      </c>
      <c r="E38" s="201">
        <v>-2.2967062829017101E-2</v>
      </c>
      <c r="F38" s="201">
        <v>0.98212837487479998</v>
      </c>
      <c r="G38" s="202">
        <v>8.2352941176470601E-2</v>
      </c>
    </row>
    <row r="39" spans="1:15" x14ac:dyDescent="0.2">
      <c r="A39" t="s">
        <v>436</v>
      </c>
      <c r="B39" t="s">
        <v>1</v>
      </c>
      <c r="C39" s="201">
        <v>8.7671911376891495E-2</v>
      </c>
      <c r="D39" s="201">
        <v>0.20377735767584601</v>
      </c>
      <c r="E39" s="201">
        <v>0.43023382173967301</v>
      </c>
      <c r="F39" s="201">
        <v>0.67614989227794398</v>
      </c>
      <c r="G39" s="202">
        <v>3.5294117647058802E-2</v>
      </c>
    </row>
    <row r="40" spans="1:15" x14ac:dyDescent="0.2">
      <c r="A40" t="s">
        <v>436</v>
      </c>
      <c r="B40" t="s">
        <v>611</v>
      </c>
      <c r="C40" s="201">
        <v>-0.13312795504458699</v>
      </c>
      <c r="D40" s="201">
        <v>0.17849537122957199</v>
      </c>
      <c r="E40" s="201">
        <v>-0.74583421478960499</v>
      </c>
      <c r="F40" s="201">
        <v>0.47293517399891499</v>
      </c>
      <c r="G40" s="202">
        <v>-0.28529411764705898</v>
      </c>
    </row>
    <row r="41" spans="1:15" x14ac:dyDescent="0.2">
      <c r="A41" t="s">
        <v>436</v>
      </c>
      <c r="B41" t="s">
        <v>24</v>
      </c>
      <c r="C41" s="201">
        <v>-0.587644639513492</v>
      </c>
      <c r="D41" s="201">
        <v>0.61392346964858102</v>
      </c>
      <c r="E41" s="201">
        <v>-0.95719526710693903</v>
      </c>
      <c r="F41" s="201">
        <v>0.361037347125722</v>
      </c>
      <c r="G41" s="202">
        <v>2.3529411764705899E-2</v>
      </c>
    </row>
    <row r="42" spans="1:15" x14ac:dyDescent="0.2">
      <c r="A42" t="s">
        <v>436</v>
      </c>
      <c r="B42" t="s">
        <v>22</v>
      </c>
      <c r="C42" s="201">
        <v>-3.6728912452355697E-2</v>
      </c>
      <c r="D42" s="201">
        <v>1.15774735211512</v>
      </c>
      <c r="E42" s="201">
        <v>-3.17244624962904E-2</v>
      </c>
      <c r="F42" s="201">
        <v>0.97531604582026499</v>
      </c>
      <c r="G42" s="202">
        <v>0.375276039787103</v>
      </c>
    </row>
    <row r="43" spans="1:15" x14ac:dyDescent="0.2">
      <c r="I43" t="s">
        <v>419</v>
      </c>
      <c r="J43" t="s">
        <v>616</v>
      </c>
      <c r="K43">
        <v>15.2436152440865</v>
      </c>
      <c r="L43">
        <v>8.1539468379329598</v>
      </c>
      <c r="M43">
        <v>1.8694768983741401</v>
      </c>
      <c r="N43">
        <v>8.4245569194134395E-2</v>
      </c>
    </row>
    <row r="44" spans="1:15" x14ac:dyDescent="0.2">
      <c r="A44" t="s">
        <v>419</v>
      </c>
      <c r="B44" t="s">
        <v>480</v>
      </c>
      <c r="C44" s="201">
        <v>-0.198884163126721</v>
      </c>
      <c r="D44" s="201">
        <v>0.100416484072528</v>
      </c>
      <c r="E44" s="201">
        <v>-1.98059277780601</v>
      </c>
      <c r="F44" s="201">
        <v>7.5797882731503397E-2</v>
      </c>
      <c r="G44" s="202">
        <v>0.90588235294117603</v>
      </c>
      <c r="I44" t="s">
        <v>419</v>
      </c>
      <c r="J44" t="s">
        <v>480</v>
      </c>
      <c r="K44">
        <v>-3.70356663484104E-2</v>
      </c>
      <c r="L44">
        <v>3.40483203395959E-2</v>
      </c>
      <c r="M44">
        <v>-1.08773842524444</v>
      </c>
      <c r="N44">
        <v>0.296466539575646</v>
      </c>
      <c r="O44">
        <v>0.90588235294117603</v>
      </c>
    </row>
    <row r="45" spans="1:15" x14ac:dyDescent="0.2">
      <c r="A45" t="s">
        <v>419</v>
      </c>
      <c r="B45" t="s">
        <v>23</v>
      </c>
      <c r="C45" s="201">
        <v>1.70299902479298</v>
      </c>
      <c r="D45" s="201">
        <v>1.4197739919351799</v>
      </c>
      <c r="E45" s="201">
        <v>1.1994859988044699</v>
      </c>
      <c r="F45" s="201">
        <v>0.257987220254357</v>
      </c>
      <c r="G45" s="202">
        <v>0.82058823529411795</v>
      </c>
      <c r="I45" t="s">
        <v>419</v>
      </c>
      <c r="J45" t="s">
        <v>23</v>
      </c>
      <c r="O45">
        <v>0.82058823529411795</v>
      </c>
    </row>
    <row r="46" spans="1:15" x14ac:dyDescent="0.2">
      <c r="A46" s="187" t="s">
        <v>419</v>
      </c>
      <c r="B46" s="187" t="s">
        <v>1</v>
      </c>
      <c r="C46" s="201">
        <v>1.2288026021557099</v>
      </c>
      <c r="D46" s="201">
        <v>0.351220708306412</v>
      </c>
      <c r="E46" s="201">
        <v>3.4986621605571102</v>
      </c>
      <c r="F46" s="201">
        <v>5.7393196528473401E-3</v>
      </c>
      <c r="G46" s="202">
        <v>0.93235294117647005</v>
      </c>
      <c r="I46" t="s">
        <v>419</v>
      </c>
      <c r="J46" t="s">
        <v>1</v>
      </c>
      <c r="K46">
        <v>0.72591157188882005</v>
      </c>
      <c r="L46">
        <v>0.22543999740978199</v>
      </c>
      <c r="M46">
        <v>3.21997684629729</v>
      </c>
      <c r="N46">
        <v>6.7047225803953401E-3</v>
      </c>
      <c r="O46">
        <v>0.93235294117647005</v>
      </c>
    </row>
    <row r="47" spans="1:15" x14ac:dyDescent="0.2">
      <c r="A47" t="s">
        <v>419</v>
      </c>
      <c r="B47" t="s">
        <v>611</v>
      </c>
      <c r="C47" s="201">
        <v>0.35162122695501902</v>
      </c>
      <c r="D47" s="201">
        <v>0.19974795441547</v>
      </c>
      <c r="E47" s="201">
        <v>1.7603245449195299</v>
      </c>
      <c r="F47" s="201">
        <v>0.1088464191038</v>
      </c>
      <c r="G47" s="202">
        <v>0.77941176470588203</v>
      </c>
      <c r="I47" t="s">
        <v>419</v>
      </c>
      <c r="J47" t="s">
        <v>611</v>
      </c>
      <c r="O47">
        <v>0.77941176470588203</v>
      </c>
    </row>
    <row r="48" spans="1:15" x14ac:dyDescent="0.2">
      <c r="A48" t="s">
        <v>419</v>
      </c>
      <c r="B48" t="s">
        <v>24</v>
      </c>
      <c r="C48" s="201">
        <v>-0.76547629161428499</v>
      </c>
      <c r="D48" s="201">
        <v>2.6046146189658299</v>
      </c>
      <c r="E48" s="201">
        <v>-0.29389234247568602</v>
      </c>
      <c r="F48" s="201">
        <v>0.77484963329355805</v>
      </c>
      <c r="G48" s="202">
        <v>0.85294117647058798</v>
      </c>
      <c r="I48" t="s">
        <v>419</v>
      </c>
      <c r="J48" t="s">
        <v>24</v>
      </c>
      <c r="O48">
        <v>0.85294117647058798</v>
      </c>
    </row>
    <row r="49" spans="1:15" x14ac:dyDescent="0.2">
      <c r="A49" t="s">
        <v>419</v>
      </c>
      <c r="B49" t="s">
        <v>22</v>
      </c>
      <c r="C49" s="201">
        <v>6.1923822454320101</v>
      </c>
      <c r="D49" s="201">
        <v>5.8444974996425003</v>
      </c>
      <c r="E49" s="201">
        <v>1.0595234655863499</v>
      </c>
      <c r="F49" s="201">
        <v>0.31428202697304503</v>
      </c>
      <c r="G49" s="202">
        <v>0.55882352941176505</v>
      </c>
      <c r="I49" t="s">
        <v>419</v>
      </c>
      <c r="J49" t="s">
        <v>22</v>
      </c>
      <c r="O49">
        <v>0.55882352941176505</v>
      </c>
    </row>
    <row r="50" spans="1:15" x14ac:dyDescent="0.2">
      <c r="I50" t="s">
        <v>460</v>
      </c>
      <c r="J50" t="s">
        <v>616</v>
      </c>
      <c r="K50">
        <v>209.50186331743501</v>
      </c>
      <c r="L50">
        <v>76.955304619625693</v>
      </c>
      <c r="M50">
        <v>2.7223836531212502</v>
      </c>
      <c r="N50">
        <v>1.8525881321174099E-2</v>
      </c>
    </row>
    <row r="51" spans="1:15" x14ac:dyDescent="0.2">
      <c r="A51" t="s">
        <v>460</v>
      </c>
      <c r="B51" t="s">
        <v>480</v>
      </c>
      <c r="C51" s="201">
        <v>-0.61179037071684195</v>
      </c>
      <c r="D51" s="201">
        <v>0.50713673824493899</v>
      </c>
      <c r="E51" s="201">
        <v>-1.20636176514066</v>
      </c>
      <c r="F51" s="201">
        <v>0.25544266099478502</v>
      </c>
      <c r="G51" s="202">
        <v>0.78823529411764703</v>
      </c>
      <c r="I51" t="s">
        <v>460</v>
      </c>
      <c r="J51" t="s">
        <v>480</v>
      </c>
      <c r="K51">
        <v>-0.55783352690890398</v>
      </c>
      <c r="L51">
        <v>0.30364299283860102</v>
      </c>
      <c r="M51">
        <v>-1.83713617658029</v>
      </c>
      <c r="N51">
        <v>9.1067754584846297E-2</v>
      </c>
      <c r="O51">
        <v>0.78823529411764703</v>
      </c>
    </row>
    <row r="52" spans="1:15" x14ac:dyDescent="0.2">
      <c r="A52" t="s">
        <v>460</v>
      </c>
      <c r="B52" t="s">
        <v>23</v>
      </c>
      <c r="C52" s="201">
        <v>51.561705179444601</v>
      </c>
      <c r="D52" s="201">
        <v>66.652993983178206</v>
      </c>
      <c r="E52" s="201">
        <v>0.77358423227706297</v>
      </c>
      <c r="F52" s="201">
        <v>0.45707418899153701</v>
      </c>
      <c r="G52" s="202">
        <v>-0.74760873808568096</v>
      </c>
      <c r="I52" t="s">
        <v>460</v>
      </c>
      <c r="J52" t="s">
        <v>23</v>
      </c>
      <c r="O52">
        <v>-0.74760873808568096</v>
      </c>
    </row>
    <row r="53" spans="1:15" x14ac:dyDescent="0.2">
      <c r="A53" s="187" t="s">
        <v>460</v>
      </c>
      <c r="B53" s="187" t="s">
        <v>613</v>
      </c>
      <c r="C53" s="201">
        <v>0.59344892772106905</v>
      </c>
      <c r="D53" s="201">
        <v>0.52251042032157702</v>
      </c>
      <c r="E53" s="201">
        <v>1.1357647706926699</v>
      </c>
      <c r="F53" s="201">
        <v>0.28254220142456798</v>
      </c>
      <c r="G53" s="202">
        <v>0.94411764705882295</v>
      </c>
      <c r="I53" t="s">
        <v>460</v>
      </c>
      <c r="J53" t="s">
        <v>1</v>
      </c>
      <c r="K53">
        <v>0.42781301158336699</v>
      </c>
      <c r="L53">
        <v>0.28392439405153502</v>
      </c>
      <c r="M53">
        <v>1.5067849770799</v>
      </c>
      <c r="N53">
        <v>0.157730410005996</v>
      </c>
      <c r="O53">
        <v>0.94411764705882295</v>
      </c>
    </row>
    <row r="54" spans="1:15" x14ac:dyDescent="0.2">
      <c r="A54" s="187" t="s">
        <v>460</v>
      </c>
      <c r="B54" s="187" t="s">
        <v>611</v>
      </c>
      <c r="C54" s="201">
        <v>1.1499462088282499</v>
      </c>
      <c r="D54" s="201">
        <v>0.51734930110315702</v>
      </c>
      <c r="E54" s="201">
        <v>2.2227655597024798</v>
      </c>
      <c r="F54" s="201">
        <v>5.0457503467843202E-2</v>
      </c>
      <c r="G54" s="202">
        <v>0.85588235294117598</v>
      </c>
      <c r="I54" t="s">
        <v>460</v>
      </c>
      <c r="J54" t="s">
        <v>611</v>
      </c>
      <c r="K54">
        <v>1.09060522337204</v>
      </c>
      <c r="L54">
        <v>0.31340712245364</v>
      </c>
      <c r="M54">
        <v>3.4798354767236099</v>
      </c>
      <c r="N54">
        <v>4.5477456285886002E-3</v>
      </c>
      <c r="O54">
        <v>0.85588235294117598</v>
      </c>
    </row>
    <row r="55" spans="1:15" x14ac:dyDescent="0.2">
      <c r="A55" t="s">
        <v>460</v>
      </c>
      <c r="B55" t="s">
        <v>24</v>
      </c>
      <c r="C55" s="201">
        <v>38.477899468238903</v>
      </c>
      <c r="D55" s="201">
        <v>31.171984098627501</v>
      </c>
      <c r="E55" s="201">
        <v>1.23437440961395</v>
      </c>
      <c r="F55" s="201">
        <v>0.24528368967129899</v>
      </c>
      <c r="G55" s="202">
        <v>-0.435294117647059</v>
      </c>
      <c r="I55" t="s">
        <v>460</v>
      </c>
      <c r="J55" t="s">
        <v>24</v>
      </c>
      <c r="O55">
        <v>-0.435294117647059</v>
      </c>
    </row>
    <row r="56" spans="1:15" x14ac:dyDescent="0.2">
      <c r="A56" t="s">
        <v>460</v>
      </c>
      <c r="B56" t="s">
        <v>22</v>
      </c>
      <c r="C56" s="201">
        <v>64.984065716542204</v>
      </c>
      <c r="D56" s="201">
        <v>39.4237344428497</v>
      </c>
      <c r="E56" s="201">
        <v>1.64834880903395</v>
      </c>
      <c r="F56" s="201">
        <v>0.130298601206848</v>
      </c>
      <c r="G56" s="202">
        <v>-0.442972894023208</v>
      </c>
      <c r="I56" t="s">
        <v>460</v>
      </c>
      <c r="J56" t="s">
        <v>22</v>
      </c>
      <c r="O56">
        <v>-0.442972894023208</v>
      </c>
    </row>
    <row r="58" spans="1:15" x14ac:dyDescent="0.2">
      <c r="A58" t="s">
        <v>462</v>
      </c>
      <c r="B58" t="s">
        <v>480</v>
      </c>
      <c r="C58" s="201">
        <v>-1.0416643535110299</v>
      </c>
      <c r="D58" s="201">
        <v>0.32775132825340397</v>
      </c>
      <c r="E58" s="201">
        <v>-3.17821550582905</v>
      </c>
      <c r="F58" s="201">
        <v>9.8492511541270304E-3</v>
      </c>
      <c r="G58" s="202">
        <v>0.73529411764705899</v>
      </c>
    </row>
    <row r="59" spans="1:15" x14ac:dyDescent="0.2">
      <c r="A59" t="s">
        <v>462</v>
      </c>
      <c r="B59" t="s">
        <v>23</v>
      </c>
      <c r="C59" s="201">
        <v>24.563208073040101</v>
      </c>
      <c r="D59" s="201">
        <v>12.4324021438189</v>
      </c>
      <c r="E59" s="201">
        <v>1.9757411149423201</v>
      </c>
      <c r="F59" s="201">
        <v>7.6411860961685604E-2</v>
      </c>
      <c r="G59" s="202">
        <v>-0.30038338673790399</v>
      </c>
    </row>
    <row r="60" spans="1:15" x14ac:dyDescent="0.2">
      <c r="A60" t="s">
        <v>462</v>
      </c>
      <c r="B60" t="s">
        <v>1</v>
      </c>
      <c r="C60" s="201">
        <v>1.6087355326486901</v>
      </c>
      <c r="D60" s="201">
        <v>0.38341173089318697</v>
      </c>
      <c r="E60" s="201">
        <v>4.1958432750636403</v>
      </c>
      <c r="F60" s="201">
        <v>1.8407997410941599E-3</v>
      </c>
      <c r="G60" s="202">
        <v>0.152941176470588</v>
      </c>
    </row>
    <row r="61" spans="1:15" x14ac:dyDescent="0.2">
      <c r="A61" t="s">
        <v>462</v>
      </c>
      <c r="B61" t="s">
        <v>611</v>
      </c>
      <c r="C61" s="201">
        <v>1.0497458572846701</v>
      </c>
      <c r="D61" s="201">
        <v>0.33049246328090398</v>
      </c>
      <c r="E61" s="201">
        <v>3.1763080067348701</v>
      </c>
      <c r="F61" s="201">
        <v>9.8812093301919E-3</v>
      </c>
      <c r="G61" s="202">
        <v>0.73235294117647098</v>
      </c>
    </row>
    <row r="62" spans="1:15" x14ac:dyDescent="0.2">
      <c r="A62" t="s">
        <v>462</v>
      </c>
      <c r="B62" t="s">
        <v>24</v>
      </c>
      <c r="C62" s="201">
        <v>117.17004885848</v>
      </c>
      <c r="D62" s="201">
        <v>506.63880714399602</v>
      </c>
      <c r="E62" s="201">
        <v>0.23126939193424001</v>
      </c>
      <c r="F62" s="201">
        <v>0.82176885326664895</v>
      </c>
      <c r="G62" s="202">
        <v>0.18429926790800599</v>
      </c>
    </row>
    <row r="63" spans="1:15" x14ac:dyDescent="0.2">
      <c r="A63" t="s">
        <v>462</v>
      </c>
      <c r="B63" t="s">
        <v>22</v>
      </c>
      <c r="C63" s="201">
        <v>78.746161819183101</v>
      </c>
      <c r="D63" s="201">
        <v>136.93706663058299</v>
      </c>
      <c r="E63" s="201">
        <v>0.575053663385516</v>
      </c>
      <c r="F63" s="201">
        <v>0.577963103474325</v>
      </c>
      <c r="G63" s="202">
        <v>0.24467172577489499</v>
      </c>
    </row>
    <row r="65" spans="1:15" x14ac:dyDescent="0.2">
      <c r="A65" t="s">
        <v>423</v>
      </c>
      <c r="B65" t="s">
        <v>480</v>
      </c>
      <c r="C65" s="201">
        <v>5.4797387205526196</v>
      </c>
      <c r="D65" s="201">
        <v>4.7646413015303297</v>
      </c>
      <c r="E65" s="201">
        <v>1.1500842086040399</v>
      </c>
      <c r="F65" s="201">
        <v>0.276869752702321</v>
      </c>
      <c r="G65" s="202">
        <v>0.752941176470588</v>
      </c>
    </row>
    <row r="66" spans="1:15" x14ac:dyDescent="0.2">
      <c r="A66" t="s">
        <v>423</v>
      </c>
      <c r="B66" t="s">
        <v>23</v>
      </c>
      <c r="C66" s="201">
        <v>27.307712608778299</v>
      </c>
      <c r="D66" s="201">
        <v>46.518433566552801</v>
      </c>
      <c r="E66" s="201">
        <v>0.58702992588324898</v>
      </c>
      <c r="F66" s="201">
        <v>0.57019867291250104</v>
      </c>
      <c r="G66" s="202">
        <v>0.168142324478077</v>
      </c>
    </row>
    <row r="67" spans="1:15" x14ac:dyDescent="0.2">
      <c r="A67" t="s">
        <v>423</v>
      </c>
      <c r="B67" t="s">
        <v>1</v>
      </c>
      <c r="C67" s="201">
        <v>-6.9440872512245004</v>
      </c>
      <c r="D67" s="201">
        <v>5.7161926806596304</v>
      </c>
      <c r="E67" s="201">
        <v>-1.21480986369115</v>
      </c>
      <c r="F67" s="201">
        <v>0.252343849702789</v>
      </c>
      <c r="G67" s="202">
        <v>0.66470588235294104</v>
      </c>
    </row>
    <row r="68" spans="1:15" x14ac:dyDescent="0.2">
      <c r="A68" t="s">
        <v>423</v>
      </c>
      <c r="B68" t="s">
        <v>611</v>
      </c>
      <c r="C68" s="201">
        <v>-4.4901422681773999</v>
      </c>
      <c r="D68" s="201">
        <v>4.6141843287957602</v>
      </c>
      <c r="E68" s="201">
        <v>-0.97311722900963205</v>
      </c>
      <c r="F68" s="201">
        <v>0.35344539993785701</v>
      </c>
      <c r="G68" s="202">
        <v>0.82352941176470595</v>
      </c>
    </row>
    <row r="69" spans="1:15" x14ac:dyDescent="0.2">
      <c r="A69" t="s">
        <v>423</v>
      </c>
      <c r="B69" t="s">
        <v>24</v>
      </c>
      <c r="C69" s="201">
        <v>109.046819942837</v>
      </c>
      <c r="D69" s="201">
        <v>67.185200692188502</v>
      </c>
      <c r="E69" s="201">
        <v>1.62307798174838</v>
      </c>
      <c r="F69" s="201">
        <v>0.135637091985225</v>
      </c>
      <c r="G69" s="202">
        <v>0.44411764705882401</v>
      </c>
    </row>
    <row r="70" spans="1:15" x14ac:dyDescent="0.2">
      <c r="A70" t="s">
        <v>423</v>
      </c>
      <c r="B70" t="s">
        <v>22</v>
      </c>
      <c r="C70" s="201">
        <v>-103.550100039622</v>
      </c>
      <c r="D70" s="201">
        <v>673.14394479426801</v>
      </c>
      <c r="E70" s="201">
        <v>-0.153830545220562</v>
      </c>
      <c r="F70" s="201">
        <v>0.88080346531541798</v>
      </c>
      <c r="G70" s="202">
        <v>0.32301025491841201</v>
      </c>
    </row>
    <row r="71" spans="1:15" x14ac:dyDescent="0.2">
      <c r="I71" t="s">
        <v>465</v>
      </c>
      <c r="J71" t="s">
        <v>616</v>
      </c>
      <c r="K71">
        <v>30.035594810532402</v>
      </c>
      <c r="L71">
        <v>19.240974489986598</v>
      </c>
      <c r="M71">
        <v>1.5610225368867701</v>
      </c>
      <c r="N71">
        <v>0.14252425310724501</v>
      </c>
    </row>
    <row r="72" spans="1:15" x14ac:dyDescent="0.2">
      <c r="A72" t="s">
        <v>465</v>
      </c>
      <c r="B72" t="s">
        <v>480</v>
      </c>
      <c r="C72" s="201">
        <v>0.231629202706986</v>
      </c>
      <c r="D72" s="201">
        <v>0.16893679338724099</v>
      </c>
      <c r="E72" s="201">
        <v>1.37109979456068</v>
      </c>
      <c r="F72" s="201">
        <v>0.20032681073130601</v>
      </c>
      <c r="G72" s="202">
        <v>0.191176470588235</v>
      </c>
      <c r="I72" t="s">
        <v>465</v>
      </c>
      <c r="J72" t="s">
        <v>480</v>
      </c>
      <c r="K72">
        <v>-2.6924101360014201E-2</v>
      </c>
      <c r="L72">
        <v>3.3276963082443503E-2</v>
      </c>
      <c r="M72">
        <v>-0.809091301189652</v>
      </c>
      <c r="N72">
        <v>0.43302180590745398</v>
      </c>
      <c r="O72">
        <v>0.191176470588235</v>
      </c>
    </row>
    <row r="73" spans="1:15" x14ac:dyDescent="0.2">
      <c r="A73" t="s">
        <v>465</v>
      </c>
      <c r="B73" t="s">
        <v>23</v>
      </c>
      <c r="C73" s="201">
        <v>12.5442083501478</v>
      </c>
      <c r="D73" s="201">
        <v>9.0513026602970097</v>
      </c>
      <c r="E73" s="201">
        <v>1.38590088310407</v>
      </c>
      <c r="F73" s="201">
        <v>0.19590258712615499</v>
      </c>
      <c r="G73" s="202">
        <v>-9.7130269121367893E-2</v>
      </c>
      <c r="I73" t="s">
        <v>465</v>
      </c>
      <c r="J73" t="s">
        <v>23</v>
      </c>
      <c r="O73">
        <v>-9.7130269121367893E-2</v>
      </c>
    </row>
    <row r="74" spans="1:15" x14ac:dyDescent="0.2">
      <c r="A74" s="187" t="s">
        <v>465</v>
      </c>
      <c r="B74" s="187" t="s">
        <v>1</v>
      </c>
      <c r="C74" s="201">
        <v>0.117454414885935</v>
      </c>
      <c r="D74" s="201">
        <v>0.28203612289762597</v>
      </c>
      <c r="E74" s="201">
        <v>0.41645167179017301</v>
      </c>
      <c r="F74" s="201">
        <v>0.68587703195684402</v>
      </c>
      <c r="G74" s="202">
        <v>0.50588235294117601</v>
      </c>
      <c r="I74" t="s">
        <v>465</v>
      </c>
      <c r="J74" t="s">
        <v>1</v>
      </c>
      <c r="K74">
        <v>0.421067212573279</v>
      </c>
      <c r="L74">
        <v>0.137510951860398</v>
      </c>
      <c r="M74">
        <v>3.0620631075315998</v>
      </c>
      <c r="N74">
        <v>9.0865864131965401E-3</v>
      </c>
      <c r="O74">
        <v>0.50588235294117601</v>
      </c>
    </row>
    <row r="75" spans="1:15" x14ac:dyDescent="0.2">
      <c r="A75" t="s">
        <v>465</v>
      </c>
      <c r="B75" t="s">
        <v>611</v>
      </c>
      <c r="C75" s="201">
        <v>2.9051490971426099E-2</v>
      </c>
      <c r="D75" s="201">
        <v>0.77148981802024696</v>
      </c>
      <c r="E75" s="201">
        <v>3.7656350470024802E-2</v>
      </c>
      <c r="F75" s="201">
        <v>0.97070281281507398</v>
      </c>
      <c r="G75" s="202">
        <v>0.42058823529411798</v>
      </c>
      <c r="I75" t="s">
        <v>465</v>
      </c>
      <c r="J75" t="s">
        <v>611</v>
      </c>
      <c r="O75">
        <v>0.42058823529411798</v>
      </c>
    </row>
    <row r="76" spans="1:15" x14ac:dyDescent="0.2">
      <c r="A76" t="s">
        <v>465</v>
      </c>
      <c r="B76" t="s">
        <v>24</v>
      </c>
      <c r="C76" s="201">
        <v>-11.155546046220501</v>
      </c>
      <c r="D76" s="201">
        <v>4.9471907589468103</v>
      </c>
      <c r="E76" s="201">
        <v>-2.2549253889282599</v>
      </c>
      <c r="F76" s="201">
        <v>4.7778459750816897E-2</v>
      </c>
      <c r="G76" s="202">
        <v>-0.15305375740336799</v>
      </c>
      <c r="I76" t="s">
        <v>465</v>
      </c>
      <c r="J76" t="s">
        <v>24</v>
      </c>
      <c r="O76">
        <v>-0.15305375740336799</v>
      </c>
    </row>
    <row r="77" spans="1:15" x14ac:dyDescent="0.2">
      <c r="A77" t="s">
        <v>465</v>
      </c>
      <c r="B77" t="s">
        <v>22</v>
      </c>
      <c r="C77" s="201">
        <v>-1.74401540843381</v>
      </c>
      <c r="D77" s="201">
        <v>9.3542978721682601</v>
      </c>
      <c r="E77" s="201">
        <v>-0.18644001209569799</v>
      </c>
      <c r="F77" s="201">
        <v>0.85582763957475105</v>
      </c>
      <c r="G77" s="202">
        <v>-0.120677001029578</v>
      </c>
      <c r="I77" t="s">
        <v>465</v>
      </c>
      <c r="J77" t="s">
        <v>22</v>
      </c>
      <c r="O77">
        <v>-0.120677001029578</v>
      </c>
    </row>
    <row r="78" spans="1:15" x14ac:dyDescent="0.2">
      <c r="I78" t="s">
        <v>467</v>
      </c>
      <c r="J78" t="s">
        <v>616</v>
      </c>
      <c r="K78">
        <v>67.555916367194897</v>
      </c>
      <c r="L78">
        <v>39.271151722175603</v>
      </c>
      <c r="M78">
        <v>1.7202428094067701</v>
      </c>
      <c r="N78">
        <v>0.123700030429106</v>
      </c>
    </row>
    <row r="79" spans="1:15" x14ac:dyDescent="0.2">
      <c r="A79" t="s">
        <v>467</v>
      </c>
      <c r="B79" t="s">
        <v>480</v>
      </c>
      <c r="C79" s="201">
        <v>-5.6553716107282902E-2</v>
      </c>
      <c r="D79" s="201">
        <v>0.72293069332083704</v>
      </c>
      <c r="E79" s="201">
        <v>-7.8228406443083903E-2</v>
      </c>
      <c r="F79" s="201">
        <v>0.94257195307936403</v>
      </c>
      <c r="G79" s="202">
        <v>-8.3333333333333301E-2</v>
      </c>
      <c r="I79" t="s">
        <v>467</v>
      </c>
      <c r="J79" t="s">
        <v>480</v>
      </c>
      <c r="K79">
        <v>-6.4124595078319802E-3</v>
      </c>
      <c r="L79">
        <v>8.6083728665998591E-3</v>
      </c>
      <c r="M79">
        <v>-0.74490959060475503</v>
      </c>
      <c r="N79">
        <v>0.47763673291332298</v>
      </c>
      <c r="O79">
        <v>-8.3333333333333301E-2</v>
      </c>
    </row>
    <row r="80" spans="1:15" x14ac:dyDescent="0.2">
      <c r="A80" t="s">
        <v>467</v>
      </c>
      <c r="B80" t="s">
        <v>23</v>
      </c>
      <c r="C80" s="201">
        <v>-2.7806519685117999</v>
      </c>
      <c r="D80" s="201">
        <v>60.462745844518203</v>
      </c>
      <c r="E80" s="201">
        <v>-4.5989508575451303E-2</v>
      </c>
      <c r="F80" s="201">
        <v>0.96620875291781005</v>
      </c>
      <c r="G80" s="202">
        <v>-7.5314466788015094E-2</v>
      </c>
      <c r="I80" t="s">
        <v>467</v>
      </c>
      <c r="J80" t="s">
        <v>23</v>
      </c>
      <c r="O80">
        <v>-7.5314466788015094E-2</v>
      </c>
    </row>
    <row r="81" spans="1:15" x14ac:dyDescent="0.2">
      <c r="A81" t="s">
        <v>467</v>
      </c>
      <c r="B81" t="s">
        <v>1</v>
      </c>
      <c r="C81" s="201">
        <v>0.203354417340327</v>
      </c>
      <c r="D81" s="201">
        <v>0.483551814073929</v>
      </c>
      <c r="E81" s="201">
        <v>0.42054317949314302</v>
      </c>
      <c r="F81" s="201">
        <v>0.70239591498419196</v>
      </c>
      <c r="G81" s="202">
        <v>-8.3333333333333301E-2</v>
      </c>
      <c r="I81" t="s">
        <v>467</v>
      </c>
      <c r="J81" t="s">
        <v>1</v>
      </c>
      <c r="O81">
        <v>-8.3333333333333301E-2</v>
      </c>
    </row>
    <row r="82" spans="1:15" x14ac:dyDescent="0.2">
      <c r="A82" s="187" t="s">
        <v>467</v>
      </c>
      <c r="B82" s="187" t="s">
        <v>611</v>
      </c>
      <c r="C82" s="201">
        <v>0.28131111705114198</v>
      </c>
      <c r="D82" s="201">
        <v>0.63498325988870796</v>
      </c>
      <c r="E82" s="201">
        <v>0.44302131224758101</v>
      </c>
      <c r="F82" s="201">
        <v>0.68774939632281096</v>
      </c>
      <c r="G82" s="202">
        <v>0.133333333333333</v>
      </c>
      <c r="I82" t="s">
        <v>467</v>
      </c>
      <c r="J82" t="s">
        <v>611</v>
      </c>
      <c r="K82">
        <v>0.15617194903909501</v>
      </c>
      <c r="L82">
        <v>7.3057270533906801E-2</v>
      </c>
      <c r="M82">
        <v>2.13766471013468</v>
      </c>
      <c r="N82">
        <v>6.5012410208442797E-2</v>
      </c>
      <c r="O82">
        <v>0.133333333333333</v>
      </c>
    </row>
    <row r="83" spans="1:15" x14ac:dyDescent="0.2">
      <c r="A83" t="s">
        <v>467</v>
      </c>
      <c r="B83" t="s">
        <v>24</v>
      </c>
      <c r="C83" s="201">
        <v>1.38110072862287</v>
      </c>
      <c r="D83" s="201">
        <v>11.0887842355686</v>
      </c>
      <c r="E83" s="201">
        <v>0.124549337355923</v>
      </c>
      <c r="F83" s="201">
        <v>0.90875729122204096</v>
      </c>
      <c r="G83" s="202">
        <v>-1.6666666666666701E-2</v>
      </c>
      <c r="I83" t="s">
        <v>467</v>
      </c>
      <c r="J83" t="s">
        <v>24</v>
      </c>
      <c r="O83">
        <v>-1.6666666666666701E-2</v>
      </c>
    </row>
    <row r="84" spans="1:15" x14ac:dyDescent="0.2">
      <c r="A84" t="s">
        <v>467</v>
      </c>
      <c r="B84" t="s">
        <v>22</v>
      </c>
      <c r="C84" s="201">
        <v>2.9699354122709098</v>
      </c>
      <c r="D84" s="201">
        <v>44.183382119195699</v>
      </c>
      <c r="E84" s="201">
        <v>6.7218380979952405E-2</v>
      </c>
      <c r="F84" s="201">
        <v>0.95063696550516896</v>
      </c>
      <c r="G84" s="202">
        <v>-0.16666666666666699</v>
      </c>
      <c r="I84" t="s">
        <v>467</v>
      </c>
      <c r="J84" t="s">
        <v>22</v>
      </c>
      <c r="O84">
        <v>-0.16666666666666699</v>
      </c>
    </row>
  </sheetData>
  <phoneticPr fontId="3" type="noConversion"/>
  <conditionalFormatting sqref="G2:G7 G79:G1048576 G72:G77 G65:G70 G58:G63 G51:G56 G44:G49 G37:G42 G30:G35 G23:G28 G16:G21 G9:G14">
    <cfRule type="cellIs" dxfId="2" priority="4" operator="greaterThan">
      <formula>0.5</formula>
    </cfRule>
  </conditionalFormatting>
  <conditionalFormatting sqref="C2:C7 C79:C1048576 C72:C77 C65:C70 C58:C63 C51:C56 C44:C49 C37:C42 C30:C35 C23:C28 C16:C21 C9:C14">
    <cfRule type="cellIs" dxfId="1" priority="2" operator="greaterThan">
      <formula>0</formula>
    </cfRule>
  </conditionalFormatting>
  <conditionalFormatting sqref="F2:F7 F9:F14 F16:F21 F23:F28 F30:F35 F37:F42 F44:F49 F51:F56 F58:F63 F65:F70 F72:F77 F79:F84">
    <cfRule type="cellIs" dxfId="0" priority="1" operator="lessThan">
      <formula>0.1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C4834-826B-4DD1-BCDA-AF4F2C3DA5E5}">
  <sheetPr codeName="Sheet17"/>
  <dimension ref="A1:K80"/>
  <sheetViews>
    <sheetView topLeftCell="A45" zoomScale="85" zoomScaleNormal="85" workbookViewId="0">
      <selection activeCell="E37" sqref="E37"/>
    </sheetView>
  </sheetViews>
  <sheetFormatPr defaultRowHeight="14.25" x14ac:dyDescent="0.2"/>
  <cols>
    <col min="1" max="1" width="45.125" bestFit="1" customWidth="1"/>
    <col min="2" max="11" width="9.375" style="208" customWidth="1"/>
    <col min="12" max="22" width="13.625" customWidth="1"/>
  </cols>
  <sheetData>
    <row r="1" spans="1:11" s="211" customFormat="1" ht="42.75" x14ac:dyDescent="0.2">
      <c r="A1" s="211" t="s">
        <v>629</v>
      </c>
      <c r="B1" s="210" t="s">
        <v>564</v>
      </c>
      <c r="C1" s="210" t="s">
        <v>565</v>
      </c>
      <c r="D1" s="210" t="s">
        <v>566</v>
      </c>
      <c r="E1" s="210" t="s">
        <v>567</v>
      </c>
      <c r="F1" s="210" t="s">
        <v>570</v>
      </c>
      <c r="G1" s="210" t="s">
        <v>568</v>
      </c>
      <c r="H1" s="210" t="s">
        <v>569</v>
      </c>
      <c r="I1" s="210" t="s">
        <v>417</v>
      </c>
      <c r="J1" s="210" t="s">
        <v>571</v>
      </c>
      <c r="K1" s="210" t="s">
        <v>572</v>
      </c>
    </row>
    <row r="2" spans="1:11" x14ac:dyDescent="0.2">
      <c r="A2" s="177" t="s">
        <v>373</v>
      </c>
      <c r="B2" s="213">
        <f>SUMIFS('Input Data'!$C93:$AH93,'Input Data'!$C$1:$AH$1,'Start Year Energy'!B$1)</f>
        <v>485244074993755.06</v>
      </c>
      <c r="C2" s="213">
        <f>SUMIFS('Input Data'!$C93:$AH93,'Input Data'!$C$1:$AH$1,'Start Year Energy'!C$1)</f>
        <v>443213008107580.31</v>
      </c>
      <c r="D2" s="213">
        <f>SUMIFS('Input Data'!$C93:$AH93,'Input Data'!$C$1:$AH$1,'Start Year Energy'!D$1)</f>
        <v>4317132595397.6753</v>
      </c>
      <c r="E2" s="213">
        <f>SUMIFS('Input Data'!$C93:$AH93,'Input Data'!$C$1:$AH$1,'Start Year Energy'!E$1)</f>
        <v>184835886460418.19</v>
      </c>
      <c r="F2" s="213">
        <f>SUMIFS('Input Data'!$C93:$AH93,'Input Data'!$C$1:$AH$1,'Start Year Energy'!F$1)</f>
        <v>714789423706811.38</v>
      </c>
      <c r="G2" s="213">
        <f>SUMIFS('Input Data'!$C93:$AH93,'Input Data'!$C$1:$AH$1,'Start Year Energy'!G$1)</f>
        <v>1060512578552.1212</v>
      </c>
      <c r="H2" s="213">
        <f>SUMIFS('Input Data'!$C93:$AH93,'Input Data'!$C$1:$AH$1,'Start Year Energy'!H$1)</f>
        <v>0</v>
      </c>
      <c r="I2" s="213">
        <f>SUMIFS('Input Data'!$C93:$AH93,'Input Data'!$C$1:$AH$1,'Start Year Energy'!I$1)</f>
        <v>447863305056.31525</v>
      </c>
      <c r="J2" s="213">
        <f>SUMIFS('Input Data'!$C93:$AH93,'Input Data'!$C$1:$AH$1,'Start Year Energy'!J$1)</f>
        <v>3077165346270.5317</v>
      </c>
      <c r="K2" s="213">
        <f>SUMIFS('Input Data'!$C93:$AH93,'Input Data'!$C$1:$AH$1,'Start Year Energy'!K$1)</f>
        <v>0</v>
      </c>
    </row>
    <row r="3" spans="1:11" x14ac:dyDescent="0.2">
      <c r="A3" s="177" t="s">
        <v>374</v>
      </c>
      <c r="B3" s="213">
        <f>SUMIFS('Input Data'!$C94:$AH94,'Input Data'!$C$1:$AH$1,'Start Year Energy'!B$1)+SUMIFS('Input Data'!$C120:$AH120,'Input Data'!$C$1:$AH$1,'Start Year Energy'!B$1)</f>
        <v>310098844530363</v>
      </c>
      <c r="C3" s="213">
        <f>SUMIFS('Input Data'!$C94:$AH94,'Input Data'!$C$1:$AH$1,'Start Year Energy'!C$1)+SUMIFS('Input Data'!$C120:$AH120,'Input Data'!$C$1:$AH$1,'Start Year Energy'!C$1)</f>
        <v>1.8158818910107936E+16</v>
      </c>
      <c r="D3" s="213">
        <f>SUMIFS('Input Data'!$C94:$AH94,'Input Data'!$C$1:$AH$1,'Start Year Energy'!D$1)+SUMIFS('Input Data'!$C120:$AH120,'Input Data'!$C$1:$AH$1,'Start Year Energy'!D$1)</f>
        <v>36622979153188.906</v>
      </c>
      <c r="E3" s="213">
        <f>SUMIFS('Input Data'!$C94:$AH94,'Input Data'!$C$1:$AH$1,'Start Year Energy'!E$1)+SUMIFS('Input Data'!$C120:$AH120,'Input Data'!$C$1:$AH$1,'Start Year Energy'!E$1)</f>
        <v>313502171472.72339</v>
      </c>
      <c r="F3" s="213">
        <f>SUMIFS('Input Data'!$C94:$AH94,'Input Data'!$C$1:$AH$1,'Start Year Energy'!F$1)+SUMIFS('Input Data'!$C120:$AH120,'Input Data'!$C$1:$AH$1,'Start Year Energy'!F$1)</f>
        <v>61340678315749.82</v>
      </c>
      <c r="G3" s="213">
        <f>SUMIFS('Input Data'!$C94:$AH94,'Input Data'!$C$1:$AH$1,'Start Year Energy'!G$1)+SUMIFS('Input Data'!$C120:$AH120,'Input Data'!$C$1:$AH$1,'Start Year Energy'!G$1)</f>
        <v>5948784606994.9756</v>
      </c>
      <c r="H3" s="213">
        <f>SUMIFS('Input Data'!$C94:$AH94,'Input Data'!$C$1:$AH$1,'Start Year Energy'!H$1)+SUMIFS('Input Data'!$C120:$AH120,'Input Data'!$C$1:$AH$1,'Start Year Energy'!H$1)</f>
        <v>31707136641.155064</v>
      </c>
      <c r="I3" s="213">
        <f>SUMIFS('Input Data'!$C94:$AH94,'Input Data'!$C$1:$AH$1,'Start Year Energy'!I$1)+SUMIFS('Input Data'!$C120:$AH120,'Input Data'!$C$1:$AH$1,'Start Year Energy'!I$1)</f>
        <v>406313656286.53687</v>
      </c>
      <c r="J3" s="213">
        <f>SUMIFS('Input Data'!$C94:$AH94,'Input Data'!$C$1:$AH$1,'Start Year Energy'!J$1)+SUMIFS('Input Data'!$C120:$AH120,'Input Data'!$C$1:$AH$1,'Start Year Energy'!J$1)</f>
        <v>79415374740588.375</v>
      </c>
      <c r="K3" s="213">
        <f>SUMIFS('Input Data'!$C94:$AH94,'Input Data'!$C$1:$AH$1,'Start Year Energy'!K$1)+SUMIFS('Input Data'!$C120:$AH120,'Input Data'!$C$1:$AH$1,'Start Year Energy'!K$1)</f>
        <v>0</v>
      </c>
    </row>
    <row r="4" spans="1:11" x14ac:dyDescent="0.2">
      <c r="A4" s="177" t="s">
        <v>375</v>
      </c>
      <c r="B4" s="213">
        <f>SUMIFS('Input Data'!$C95:$AH95,'Input Data'!$C$1:$AH$1,'Start Year Energy'!B$1)</f>
        <v>158091346538669.03</v>
      </c>
      <c r="C4" s="213">
        <f>SUMIFS('Input Data'!$C95:$AH95,'Input Data'!$C$1:$AH$1,'Start Year Energy'!C$1)</f>
        <v>12997944326833.504</v>
      </c>
      <c r="D4" s="213">
        <f>SUMIFS('Input Data'!$C95:$AH95,'Input Data'!$C$1:$AH$1,'Start Year Energy'!D$1)</f>
        <v>432299770196999.56</v>
      </c>
      <c r="E4" s="213">
        <f>SUMIFS('Input Data'!$C95:$AH95,'Input Data'!$C$1:$AH$1,'Start Year Energy'!E$1)</f>
        <v>0</v>
      </c>
      <c r="F4" s="213">
        <f>SUMIFS('Input Data'!$C95:$AH95,'Input Data'!$C$1:$AH$1,'Start Year Energy'!F$1)</f>
        <v>12413044295238.02</v>
      </c>
      <c r="G4" s="213">
        <f>SUMIFS('Input Data'!$C95:$AH95,'Input Data'!$C$1:$AH$1,'Start Year Energy'!G$1)</f>
        <v>25451922758401.844</v>
      </c>
      <c r="H4" s="213">
        <f>SUMIFS('Input Data'!$C95:$AH95,'Input Data'!$C$1:$AH$1,'Start Year Energy'!H$1)</f>
        <v>98097917375653.625</v>
      </c>
      <c r="I4" s="213">
        <f>SUMIFS('Input Data'!$C95:$AH95,'Input Data'!$C$1:$AH$1,'Start Year Energy'!I$1)</f>
        <v>6453957863936.7754</v>
      </c>
      <c r="J4" s="213">
        <f>SUMIFS('Input Data'!$C95:$AH95,'Input Data'!$C$1:$AH$1,'Start Year Energy'!J$1)</f>
        <v>4685918949219.6074</v>
      </c>
      <c r="K4" s="213">
        <f>SUMIFS('Input Data'!$C95:$AH95,'Input Data'!$C$1:$AH$1,'Start Year Energy'!K$1)</f>
        <v>0</v>
      </c>
    </row>
    <row r="5" spans="1:11" x14ac:dyDescent="0.2">
      <c r="A5" s="177" t="s">
        <v>376</v>
      </c>
      <c r="B5" s="213">
        <f>SUMIFS('Input Data'!$C96:$AH96,'Input Data'!$C$1:$AH$1,'Start Year Energy'!B$1)</f>
        <v>342104733128582.81</v>
      </c>
      <c r="C5" s="213">
        <f>SUMIFS('Input Data'!$C96:$AH96,'Input Data'!$C$1:$AH$1,'Start Year Energy'!C$1)</f>
        <v>147353427498648.53</v>
      </c>
      <c r="D5" s="213">
        <f>SUMIFS('Input Data'!$C96:$AH96,'Input Data'!$C$1:$AH$1,'Start Year Energy'!D$1)</f>
        <v>14254401413915.672</v>
      </c>
      <c r="E5" s="213">
        <f>SUMIFS('Input Data'!$C96:$AH96,'Input Data'!$C$1:$AH$1,'Start Year Energy'!E$1)</f>
        <v>2422012351289.2705</v>
      </c>
      <c r="F5" s="213">
        <f>SUMIFS('Input Data'!$C96:$AH96,'Input Data'!$C$1:$AH$1,'Start Year Energy'!F$1)</f>
        <v>41302749612733.766</v>
      </c>
      <c r="G5" s="213">
        <f>SUMIFS('Input Data'!$C96:$AH96,'Input Data'!$C$1:$AH$1,'Start Year Energy'!G$1)</f>
        <v>22941439545593.727</v>
      </c>
      <c r="H5" s="213">
        <f>SUMIFS('Input Data'!$C96:$AH96,'Input Data'!$C$1:$AH$1,'Start Year Energy'!H$1)</f>
        <v>0</v>
      </c>
      <c r="I5" s="213">
        <f>SUMIFS('Input Data'!$C96:$AH96,'Input Data'!$C$1:$AH$1,'Start Year Energy'!I$1)</f>
        <v>933318269359.86389</v>
      </c>
      <c r="J5" s="213">
        <f>SUMIFS('Input Data'!$C96:$AH96,'Input Data'!$C$1:$AH$1,'Start Year Energy'!J$1)</f>
        <v>17188769295957.178</v>
      </c>
      <c r="K5" s="213">
        <f>SUMIFS('Input Data'!$C96:$AH96,'Input Data'!$C$1:$AH$1,'Start Year Energy'!K$1)</f>
        <v>0</v>
      </c>
    </row>
    <row r="6" spans="1:11" x14ac:dyDescent="0.2">
      <c r="A6" s="177" t="s">
        <v>377</v>
      </c>
      <c r="B6" s="213">
        <f>SUMIFS('Input Data'!$C97:$AH97,'Input Data'!$C$1:$AH$1,'Start Year Energy'!B$1)</f>
        <v>478873606548885.5</v>
      </c>
      <c r="C6" s="213">
        <f>SUMIFS('Input Data'!$C97:$AH97,'Input Data'!$C$1:$AH$1,'Start Year Energy'!C$1)</f>
        <v>394538117674054.88</v>
      </c>
      <c r="D6" s="213">
        <f>SUMIFS('Input Data'!$C97:$AH97,'Input Data'!$C$1:$AH$1,'Start Year Energy'!D$1)</f>
        <v>250068712665779.75</v>
      </c>
      <c r="E6" s="213">
        <f>SUMIFS('Input Data'!$C97:$AH97,'Input Data'!$C$1:$AH$1,'Start Year Energy'!E$1)</f>
        <v>67361351534139.156</v>
      </c>
      <c r="F6" s="213">
        <f>SUMIFS('Input Data'!$C97:$AH97,'Input Data'!$C$1:$AH$1,'Start Year Energy'!F$1)</f>
        <v>12686033540309.738</v>
      </c>
      <c r="G6" s="213">
        <f>SUMIFS('Input Data'!$C97:$AH97,'Input Data'!$C$1:$AH$1,'Start Year Energy'!G$1)</f>
        <v>224000748396400.09</v>
      </c>
      <c r="H6" s="213">
        <f>SUMIFS('Input Data'!$C97:$AH97,'Input Data'!$C$1:$AH$1,'Start Year Energy'!H$1)</f>
        <v>0</v>
      </c>
      <c r="I6" s="213">
        <f>SUMIFS('Input Data'!$C97:$AH97,'Input Data'!$C$1:$AH$1,'Start Year Energy'!I$1)</f>
        <v>1697157548579.0635</v>
      </c>
      <c r="J6" s="213">
        <f>SUMIFS('Input Data'!$C97:$AH97,'Input Data'!$C$1:$AH$1,'Start Year Energy'!J$1)</f>
        <v>1569893480046.5776</v>
      </c>
      <c r="K6" s="213">
        <f>SUMIFS('Input Data'!$C97:$AH97,'Input Data'!$C$1:$AH$1,'Start Year Energy'!K$1)</f>
        <v>0</v>
      </c>
    </row>
    <row r="7" spans="1:11" x14ac:dyDescent="0.2">
      <c r="A7" s="177" t="s">
        <v>378</v>
      </c>
      <c r="B7" s="213">
        <f>SUMIFS('Input Data'!$C98:$AH98,'Input Data'!$C$1:$AH$1,'Start Year Energy'!B$1)</f>
        <v>686379588341223.88</v>
      </c>
      <c r="C7" s="213">
        <f>SUMIFS('Input Data'!$C98:$AH98,'Input Data'!$C$1:$AH$1,'Start Year Energy'!C$1)</f>
        <v>56201523928804.336</v>
      </c>
      <c r="D7" s="213">
        <f>SUMIFS('Input Data'!$C98:$AH98,'Input Data'!$C$1:$AH$1,'Start Year Energy'!D$1)</f>
        <v>227888088009748.53</v>
      </c>
      <c r="E7" s="213">
        <f>SUMIFS('Input Data'!$C98:$AH98,'Input Data'!$C$1:$AH$1,'Start Year Energy'!E$1)</f>
        <v>18335715497904.684</v>
      </c>
      <c r="F7" s="213">
        <f>SUMIFS('Input Data'!$C98:$AH98,'Input Data'!$C$1:$AH$1,'Start Year Energy'!F$1)</f>
        <v>5969248168236.7813</v>
      </c>
      <c r="G7" s="213">
        <f>SUMIFS('Input Data'!$C98:$AH98,'Input Data'!$C$1:$AH$1,'Start Year Energy'!G$1)</f>
        <v>308572005927458.75</v>
      </c>
      <c r="H7" s="213">
        <f>SUMIFS('Input Data'!$C98:$AH98,'Input Data'!$C$1:$AH$1,'Start Year Energy'!H$1)</f>
        <v>0</v>
      </c>
      <c r="I7" s="213">
        <f>SUMIFS('Input Data'!$C98:$AH98,'Input Data'!$C$1:$AH$1,'Start Year Energy'!I$1)</f>
        <v>1502243127697.9319</v>
      </c>
      <c r="J7" s="213">
        <f>SUMIFS('Input Data'!$C98:$AH98,'Input Data'!$C$1:$AH$1,'Start Year Energy'!J$1)</f>
        <v>924811895029.06421</v>
      </c>
      <c r="K7" s="213">
        <f>SUMIFS('Input Data'!$C98:$AH98,'Input Data'!$C$1:$AH$1,'Start Year Energy'!K$1)</f>
        <v>0</v>
      </c>
    </row>
    <row r="8" spans="1:11" x14ac:dyDescent="0.2">
      <c r="A8" s="177" t="s">
        <v>379</v>
      </c>
      <c r="B8" s="213">
        <f>SUMIFS('Input Data'!$C99:$AH99,'Input Data'!$C$1:$AH$1,'Start Year Energy'!B$1)</f>
        <v>138096196518885.72</v>
      </c>
      <c r="C8" s="213">
        <f>SUMIFS('Input Data'!$C99:$AH99,'Input Data'!$C$1:$AH$1,'Start Year Energy'!C$1)</f>
        <v>7036842836329.4697</v>
      </c>
      <c r="D8" s="213">
        <f>SUMIFS('Input Data'!$C99:$AH99,'Input Data'!$C$1:$AH$1,'Start Year Energy'!D$1)</f>
        <v>16301637301949.465</v>
      </c>
      <c r="E8" s="213">
        <f>SUMIFS('Input Data'!$C99:$AH99,'Input Data'!$C$1:$AH$1,'Start Year Energy'!E$1)</f>
        <v>23348975885968.5</v>
      </c>
      <c r="F8" s="213">
        <f>SUMIFS('Input Data'!$C99:$AH99,'Input Data'!$C$1:$AH$1,'Start Year Energy'!F$1)</f>
        <v>3520571162180.6563</v>
      </c>
      <c r="G8" s="213">
        <f>SUMIFS('Input Data'!$C99:$AH99,'Input Data'!$C$1:$AH$1,'Start Year Energy'!G$1)</f>
        <v>7302267458163.4707</v>
      </c>
      <c r="H8" s="213">
        <f>SUMIFS('Input Data'!$C99:$AH99,'Input Data'!$C$1:$AH$1,'Start Year Energy'!H$1)</f>
        <v>0</v>
      </c>
      <c r="I8" s="213">
        <f>SUMIFS('Input Data'!$C99:$AH99,'Input Data'!$C$1:$AH$1,'Start Year Energy'!I$1)</f>
        <v>714827466242.66382</v>
      </c>
      <c r="J8" s="213">
        <f>SUMIFS('Input Data'!$C99:$AH99,'Input Data'!$C$1:$AH$1,'Start Year Energy'!J$1)</f>
        <v>258610764539.1474</v>
      </c>
      <c r="K8" s="213">
        <f>SUMIFS('Input Data'!$C99:$AH99,'Input Data'!$C$1:$AH$1,'Start Year Energy'!K$1)</f>
        <v>0</v>
      </c>
    </row>
    <row r="9" spans="1:11" x14ac:dyDescent="0.2">
      <c r="A9" s="177" t="s">
        <v>380</v>
      </c>
      <c r="B9" s="213">
        <f>SUMIFS('Input Data'!$C100:$AH100,'Input Data'!$C$1:$AH$1,'Start Year Energy'!B$1)</f>
        <v>346615584378779.56</v>
      </c>
      <c r="C9" s="213">
        <f>SUMIFS('Input Data'!$C100:$AH100,'Input Data'!$C$1:$AH$1,'Start Year Energy'!C$1)</f>
        <v>111576230869673.86</v>
      </c>
      <c r="D9" s="213">
        <f>SUMIFS('Input Data'!$C100:$AH100,'Input Data'!$C$1:$AH$1,'Start Year Energy'!D$1)</f>
        <v>147989604531362.03</v>
      </c>
      <c r="E9" s="213">
        <f>SUMIFS('Input Data'!$C100:$AH100,'Input Data'!$C$1:$AH$1,'Start Year Energy'!E$1)</f>
        <v>20938060956678.262</v>
      </c>
      <c r="F9" s="213">
        <f>SUMIFS('Input Data'!$C100:$AH100,'Input Data'!$C$1:$AH$1,'Start Year Energy'!F$1)</f>
        <v>8458796375566.2793</v>
      </c>
      <c r="G9" s="213">
        <f>SUMIFS('Input Data'!$C100:$AH100,'Input Data'!$C$1:$AH$1,'Start Year Energy'!G$1)</f>
        <v>221068486564005.16</v>
      </c>
      <c r="H9" s="213">
        <f>SUMIFS('Input Data'!$C100:$AH100,'Input Data'!$C$1:$AH$1,'Start Year Energy'!H$1)</f>
        <v>11890176240.433147</v>
      </c>
      <c r="I9" s="213">
        <f>SUMIFS('Input Data'!$C100:$AH100,'Input Data'!$C$1:$AH$1,'Start Year Energy'!I$1)</f>
        <v>5106327688719.0381</v>
      </c>
      <c r="J9" s="213">
        <f>SUMIFS('Input Data'!$C100:$AH100,'Input Data'!$C$1:$AH$1,'Start Year Energy'!J$1)</f>
        <v>2052550677767.4375</v>
      </c>
      <c r="K9" s="213">
        <f>SUMIFS('Input Data'!$C100:$AH100,'Input Data'!$C$1:$AH$1,'Start Year Energy'!K$1)</f>
        <v>0</v>
      </c>
    </row>
    <row r="10" spans="1:11" x14ac:dyDescent="0.2">
      <c r="A10" s="177" t="s">
        <v>381</v>
      </c>
      <c r="B10" s="213">
        <f>SUMIFS('Input Data'!$C101:$AH101,'Input Data'!$C$1:$AH$1,'Start Year Energy'!B$1)+SUMIFS('Input Data'!$C121:$AH121,'Input Data'!$C$1:$AH$1,'Start Year Energy'!B$1)+SUMIFS('Input Data'!$C122:$AH122,'Input Data'!$C$1:$AH$1,'Start Year Energy'!B$1)+SUMIFS('Input Data'!$C123:$AH123,'Input Data'!$C$1:$AH$1,'Start Year Energy'!B$1)+SUMIFS('Input Data'!$C127:$AH127,'Input Data'!$C$1:$AH$1,'Start Year Energy'!B$1)</f>
        <v>437880136866688.19</v>
      </c>
      <c r="C10" s="213">
        <f>SUMIFS('Input Data'!$C101:$AH101,'Input Data'!$C$1:$AH$1,'Start Year Energy'!C$1)+SUMIFS('Input Data'!$C121:$AH121,'Input Data'!$C$1:$AH$1,'Start Year Energy'!C$1)+SUMIFS('Input Data'!$C122:$AH122,'Input Data'!$C$1:$AH$1,'Start Year Energy'!C$1)+SUMIFS('Input Data'!$C123:$AH123,'Input Data'!$C$1:$AH$1,'Start Year Energy'!C$1)+SUMIFS('Input Data'!$C127:$AH127,'Input Data'!$C$1:$AH$1,'Start Year Energy'!C$1)</f>
        <v>1.6973129807014482E+16</v>
      </c>
      <c r="D10" s="213">
        <f>SUMIFS('Input Data'!$C101:$AH101,'Input Data'!$C$1:$AH$1,'Start Year Energy'!D$1)+SUMIFS('Input Data'!$C121:$AH121,'Input Data'!$C$1:$AH$1,'Start Year Energy'!D$1)+SUMIFS('Input Data'!$C122:$AH122,'Input Data'!$C$1:$AH$1,'Start Year Energy'!D$1)+SUMIFS('Input Data'!$C123:$AH123,'Input Data'!$C$1:$AH$1,'Start Year Energy'!D$1)+SUMIFS('Input Data'!$C127:$AH127,'Input Data'!$C$1:$AH$1,'Start Year Energy'!D$1)</f>
        <v>478248292732560.13</v>
      </c>
      <c r="E10" s="213">
        <f>SUMIFS('Input Data'!$C101:$AH101,'Input Data'!$C$1:$AH$1,'Start Year Energy'!E$1)+SUMIFS('Input Data'!$C121:$AH121,'Input Data'!$C$1:$AH$1,'Start Year Energy'!E$1)+SUMIFS('Input Data'!$C122:$AH122,'Input Data'!$C$1:$AH$1,'Start Year Energy'!E$1)+SUMIFS('Input Data'!$C123:$AH123,'Input Data'!$C$1:$AH$1,'Start Year Energy'!E$1)+SUMIFS('Input Data'!$C127:$AH127,'Input Data'!$C$1:$AH$1,'Start Year Energy'!E$1)</f>
        <v>129656729925719.09</v>
      </c>
      <c r="F10" s="213">
        <f>SUMIFS('Input Data'!$C101:$AH101,'Input Data'!$C$1:$AH$1,'Start Year Energy'!F$1)+SUMIFS('Input Data'!$C121:$AH121,'Input Data'!$C$1:$AH$1,'Start Year Energy'!F$1)+SUMIFS('Input Data'!$C122:$AH122,'Input Data'!$C$1:$AH$1,'Start Year Energy'!F$1)+SUMIFS('Input Data'!$C123:$AH123,'Input Data'!$C$1:$AH$1,'Start Year Energy'!F$1)+SUMIFS('Input Data'!$C127:$AH127,'Input Data'!$C$1:$AH$1,'Start Year Energy'!F$1)</f>
        <v>221327959273435.63</v>
      </c>
      <c r="G10" s="213">
        <f>SUMIFS('Input Data'!$C101:$AH101,'Input Data'!$C$1:$AH$1,'Start Year Energy'!G$1)+SUMIFS('Input Data'!$C121:$AH121,'Input Data'!$C$1:$AH$1,'Start Year Energy'!G$1)+SUMIFS('Input Data'!$C122:$AH122,'Input Data'!$C$1:$AH$1,'Start Year Energy'!G$1)+SUMIFS('Input Data'!$C123:$AH123,'Input Data'!$C$1:$AH$1,'Start Year Energy'!G$1)+SUMIFS('Input Data'!$C127:$AH127,'Input Data'!$C$1:$AH$1,'Start Year Energy'!G$1)</f>
        <v>629932150037365.38</v>
      </c>
      <c r="H10" s="213">
        <f>SUMIFS('Input Data'!$C101:$AH101,'Input Data'!$C$1:$AH$1,'Start Year Energy'!H$1)+SUMIFS('Input Data'!$C121:$AH121,'Input Data'!$C$1:$AH$1,'Start Year Energy'!H$1)+SUMIFS('Input Data'!$C122:$AH122,'Input Data'!$C$1:$AH$1,'Start Year Energy'!H$1)+SUMIFS('Input Data'!$C123:$AH123,'Input Data'!$C$1:$AH$1,'Start Year Energy'!H$1)+SUMIFS('Input Data'!$C127:$AH127,'Input Data'!$C$1:$AH$1,'Start Year Energy'!H$1)</f>
        <v>2.737759847386278E+16</v>
      </c>
      <c r="I10" s="213">
        <f>SUMIFS('Input Data'!$C101:$AH101,'Input Data'!$C$1:$AH$1,'Start Year Energy'!I$1)+SUMIFS('Input Data'!$C121:$AH121,'Input Data'!$C$1:$AH$1,'Start Year Energy'!I$1)+SUMIFS('Input Data'!$C122:$AH122,'Input Data'!$C$1:$AH$1,'Start Year Energy'!I$1)+SUMIFS('Input Data'!$C123:$AH123,'Input Data'!$C$1:$AH$1,'Start Year Energy'!I$1)+SUMIFS('Input Data'!$C127:$AH127,'Input Data'!$C$1:$AH$1,'Start Year Energy'!I$1)</f>
        <v>7322813080843067</v>
      </c>
      <c r="J10" s="213">
        <f>SUMIFS('Input Data'!$C101:$AH101,'Input Data'!$C$1:$AH$1,'Start Year Energy'!J$1)+SUMIFS('Input Data'!$C121:$AH121,'Input Data'!$C$1:$AH$1,'Start Year Energy'!J$1)+SUMIFS('Input Data'!$C122:$AH122,'Input Data'!$C$1:$AH$1,'Start Year Energy'!J$1)+SUMIFS('Input Data'!$C123:$AH123,'Input Data'!$C$1:$AH$1,'Start Year Energy'!J$1)+SUMIFS('Input Data'!$C127:$AH127,'Input Data'!$C$1:$AH$1,'Start Year Energy'!J$1)</f>
        <v>3459103488123401.5</v>
      </c>
      <c r="K10" s="213">
        <f>SUMIFS('Input Data'!$C101:$AH101,'Input Data'!$C$1:$AH$1,'Start Year Energy'!K$1)+SUMIFS('Input Data'!$C122:$AH122,'Input Data'!$C$1:$AH$1,'Start Year Energy'!K$1)+SUMIFS('Input Data'!$C123:$AH123,'Input Data'!$C$1:$AH$1,'Start Year Energy'!K$1)+SUMIFS('Input Data'!$C127:$AH127,'Input Data'!$C$1:$AH$1,'Start Year Energy'!K$1)</f>
        <v>0</v>
      </c>
    </row>
    <row r="11" spans="1:11" x14ac:dyDescent="0.2">
      <c r="A11" s="177" t="s">
        <v>382</v>
      </c>
      <c r="B11" s="213">
        <f>SUMIFS('Input Data'!$C102:$AH102,'Input Data'!$C$1:$AH$1,'Start Year Energy'!B$1)</f>
        <v>2126279476105459.5</v>
      </c>
      <c r="C11" s="213">
        <f>SUMIFS('Input Data'!$C102:$AH102,'Input Data'!$C$1:$AH$1,'Start Year Energy'!C$1)</f>
        <v>3533190970790788</v>
      </c>
      <c r="D11" s="213">
        <f>SUMIFS('Input Data'!$C102:$AH102,'Input Data'!$C$1:$AH$1,'Start Year Energy'!D$1)</f>
        <v>1529988968261727.5</v>
      </c>
      <c r="E11" s="213">
        <f>SUMIFS('Input Data'!$C102:$AH102,'Input Data'!$C$1:$AH$1,'Start Year Energy'!E$1)</f>
        <v>68548775688035.844</v>
      </c>
      <c r="F11" s="213">
        <f>SUMIFS('Input Data'!$C102:$AH102,'Input Data'!$C$1:$AH$1,'Start Year Energy'!F$1)</f>
        <v>188331544533874.66</v>
      </c>
      <c r="G11" s="213">
        <f>SUMIFS('Input Data'!$C102:$AH102,'Input Data'!$C$1:$AH$1,'Start Year Energy'!G$1)</f>
        <v>1685815494980668.8</v>
      </c>
      <c r="H11" s="213">
        <f>SUMIFS('Input Data'!$C102:$AH102,'Input Data'!$C$1:$AH$1,'Start Year Energy'!H$1)</f>
        <v>46859184563547.039</v>
      </c>
      <c r="I11" s="213">
        <f>SUMIFS('Input Data'!$C102:$AH102,'Input Data'!$C$1:$AH$1,'Start Year Energy'!I$1)</f>
        <v>846306672011723.38</v>
      </c>
      <c r="J11" s="213">
        <f>SUMIFS('Input Data'!$C102:$AH102,'Input Data'!$C$1:$AH$1,'Start Year Energy'!J$1)</f>
        <v>2621259337977227</v>
      </c>
      <c r="K11" s="213">
        <f>SUMIFS('Input Data'!$C102:$AH102,'Input Data'!$C$1:$AH$1,'Start Year Energy'!K$1)</f>
        <v>0</v>
      </c>
    </row>
    <row r="12" spans="1:11" x14ac:dyDescent="0.2">
      <c r="A12" s="177" t="s">
        <v>383</v>
      </c>
      <c r="B12" s="213">
        <f>SUMIFS('Input Data'!$C103:$AH103,'Input Data'!$C$1:$AH$1,'Start Year Energy'!B$1)</f>
        <v>505256285721746.44</v>
      </c>
      <c r="C12" s="213">
        <f>SUMIFS('Input Data'!$C103:$AH103,'Input Data'!$C$1:$AH$1,'Start Year Energy'!C$1)</f>
        <v>40176666382163.563</v>
      </c>
      <c r="D12" s="213">
        <f>SUMIFS('Input Data'!$C103:$AH103,'Input Data'!$C$1:$AH$1,'Start Year Energy'!D$1)</f>
        <v>65381096365656.859</v>
      </c>
      <c r="E12" s="213">
        <f>SUMIFS('Input Data'!$C103:$AH103,'Input Data'!$C$1:$AH$1,'Start Year Energy'!E$1)</f>
        <v>3842482367165.6812</v>
      </c>
      <c r="F12" s="213">
        <f>SUMIFS('Input Data'!$C103:$AH103,'Input Data'!$C$1:$AH$1,'Start Year Energy'!F$1)</f>
        <v>6357591970131.25</v>
      </c>
      <c r="G12" s="213">
        <f>SUMIFS('Input Data'!$C103:$AH103,'Input Data'!$C$1:$AH$1,'Start Year Energy'!G$1)</f>
        <v>29628194564297.238</v>
      </c>
      <c r="H12" s="213">
        <f>SUMIFS('Input Data'!$C103:$AH103,'Input Data'!$C$1:$AH$1,'Start Year Energy'!H$1)</f>
        <v>19816960400.721916</v>
      </c>
      <c r="I12" s="213">
        <f>SUMIFS('Input Data'!$C103:$AH103,'Input Data'!$C$1:$AH$1,'Start Year Energy'!I$1)</f>
        <v>3780106522322.9653</v>
      </c>
      <c r="J12" s="213">
        <f>SUMIFS('Input Data'!$C103:$AH103,'Input Data'!$C$1:$AH$1,'Start Year Energy'!J$1)</f>
        <v>2596840726488.5547</v>
      </c>
      <c r="K12" s="213">
        <f>SUMIFS('Input Data'!$C103:$AH103,'Input Data'!$C$1:$AH$1,'Start Year Energy'!K$1)</f>
        <v>0</v>
      </c>
    </row>
    <row r="13" spans="1:11" x14ac:dyDescent="0.2">
      <c r="A13" s="177" t="s">
        <v>384</v>
      </c>
      <c r="B13" s="213">
        <f>SUMIFS('Input Data'!$C104:$AH104,'Input Data'!$C$1:$AH$1,'Start Year Energy'!B$1)</f>
        <v>1340811294492135.3</v>
      </c>
      <c r="C13" s="213">
        <f>SUMIFS('Input Data'!$C104:$AH104,'Input Data'!$C$1:$AH$1,'Start Year Energy'!C$1)</f>
        <v>3965497113162303</v>
      </c>
      <c r="D13" s="213">
        <f>SUMIFS('Input Data'!$C104:$AH104,'Input Data'!$C$1:$AH$1,'Start Year Energy'!D$1)</f>
        <v>792851022625958.63</v>
      </c>
      <c r="E13" s="213">
        <f>SUMIFS('Input Data'!$C104:$AH104,'Input Data'!$C$1:$AH$1,'Start Year Energy'!E$1)</f>
        <v>23035473714495.777</v>
      </c>
      <c r="F13" s="213">
        <f>SUMIFS('Input Data'!$C104:$AH104,'Input Data'!$C$1:$AH$1,'Start Year Energy'!F$1)</f>
        <v>104639514770710.97</v>
      </c>
      <c r="G13" s="213">
        <f>SUMIFS('Input Data'!$C104:$AH104,'Input Data'!$C$1:$AH$1,'Start Year Energy'!G$1)</f>
        <v>45359968384612.055</v>
      </c>
      <c r="H13" s="213">
        <f>SUMIFS('Input Data'!$C104:$AH104,'Input Data'!$C$1:$AH$1,'Start Year Energy'!H$1)</f>
        <v>146645506965.34216</v>
      </c>
      <c r="I13" s="213">
        <f>SUMIFS('Input Data'!$C104:$AH104,'Input Data'!$C$1:$AH$1,'Start Year Energy'!I$1)</f>
        <v>909732059681958.88</v>
      </c>
      <c r="J13" s="213">
        <f>SUMIFS('Input Data'!$C104:$AH104,'Input Data'!$C$1:$AH$1,'Start Year Energy'!J$1)</f>
        <v>116956576658951.3</v>
      </c>
      <c r="K13" s="213">
        <f>SUMIFS('Input Data'!$C104:$AH104,'Input Data'!$C$1:$AH$1,'Start Year Energy'!K$1)</f>
        <v>0</v>
      </c>
    </row>
    <row r="14" spans="1:11" x14ac:dyDescent="0.2">
      <c r="A14" s="177" t="s">
        <v>385</v>
      </c>
      <c r="B14" s="213">
        <f>SUMIFS('Input Data'!$C105:$AH105,'Input Data'!$C$1:$AH$1,'Start Year Energy'!B$1)</f>
        <v>170108909400388.63</v>
      </c>
      <c r="C14" s="213">
        <f>SUMIFS('Input Data'!$C105:$AH105,'Input Data'!$C$1:$AH$1,'Start Year Energy'!C$1)</f>
        <v>808531984349.4541</v>
      </c>
      <c r="D14" s="213">
        <f>SUMIFS('Input Data'!$C105:$AH105,'Input Data'!$C$1:$AH$1,'Start Year Energy'!D$1)</f>
        <v>63413821173542.625</v>
      </c>
      <c r="E14" s="213">
        <f>SUMIFS('Input Data'!$C105:$AH105,'Input Data'!$C$1:$AH$1,'Start Year Energy'!E$1)</f>
        <v>1206844642394.9973</v>
      </c>
      <c r="F14" s="213">
        <f>SUMIFS('Input Data'!$C105:$AH105,'Input Data'!$C$1:$AH$1,'Start Year Energy'!F$1)</f>
        <v>10693783935703.5</v>
      </c>
      <c r="G14" s="213">
        <f>SUMIFS('Input Data'!$C105:$AH105,'Input Data'!$C$1:$AH$1,'Start Year Energy'!G$1)</f>
        <v>7897780956335.1553</v>
      </c>
      <c r="H14" s="213">
        <f>SUMIFS('Input Data'!$C105:$AH105,'Input Data'!$C$1:$AH$1,'Start Year Energy'!H$1)</f>
        <v>3963392080.144383</v>
      </c>
      <c r="I14" s="213">
        <f>SUMIFS('Input Data'!$C105:$AH105,'Input Data'!$C$1:$AH$1,'Start Year Energy'!I$1)</f>
        <v>1405635824871.2615</v>
      </c>
      <c r="J14" s="213">
        <f>SUMIFS('Input Data'!$C105:$AH105,'Input Data'!$C$1:$AH$1,'Start Year Energy'!J$1)</f>
        <v>5433093897351.5</v>
      </c>
      <c r="K14" s="213">
        <f>SUMIFS('Input Data'!$C105:$AH105,'Input Data'!$C$1:$AH$1,'Start Year Energy'!K$1)</f>
        <v>0</v>
      </c>
    </row>
    <row r="15" spans="1:11" x14ac:dyDescent="0.2">
      <c r="A15" s="177" t="s">
        <v>386</v>
      </c>
      <c r="B15" s="213">
        <f>SUMIFS('Input Data'!$C106:$AH106,'Input Data'!$C$1:$AH$1,'Start Year Energy'!B$1)</f>
        <v>2315329183758376.5</v>
      </c>
      <c r="C15" s="213">
        <f>SUMIFS('Input Data'!$C106:$AH106,'Input Data'!$C$1:$AH$1,'Start Year Energy'!C$1)</f>
        <v>1.2685796889520114E+16</v>
      </c>
      <c r="D15" s="213">
        <f>SUMIFS('Input Data'!$C106:$AH106,'Input Data'!$C$1:$AH$1,'Start Year Energy'!D$1)</f>
        <v>500132604354546.75</v>
      </c>
      <c r="E15" s="213">
        <f>SUMIFS('Input Data'!$C106:$AH106,'Input Data'!$C$1:$AH$1,'Start Year Energy'!E$1)</f>
        <v>13119927158358.488</v>
      </c>
      <c r="F15" s="213">
        <f>SUMIFS('Input Data'!$C106:$AH106,'Input Data'!$C$1:$AH$1,'Start Year Energy'!F$1)</f>
        <v>121909910172053.91</v>
      </c>
      <c r="G15" s="213">
        <f>SUMIFS('Input Data'!$C106:$AH106,'Input Data'!$C$1:$AH$1,'Start Year Energy'!G$1)</f>
        <v>177706421892262.88</v>
      </c>
      <c r="H15" s="213">
        <f>SUMIFS('Input Data'!$C106:$AH106,'Input Data'!$C$1:$AH$1,'Start Year Energy'!H$1)</f>
        <v>0</v>
      </c>
      <c r="I15" s="213">
        <f>SUMIFS('Input Data'!$C106:$AH106,'Input Data'!$C$1:$AH$1,'Start Year Energy'!I$1)</f>
        <v>6715783529374.2979</v>
      </c>
      <c r="J15" s="213">
        <f>SUMIFS('Input Data'!$C106:$AH106,'Input Data'!$C$1:$AH$1,'Start Year Energy'!J$1)</f>
        <v>4034643788572899</v>
      </c>
      <c r="K15" s="213">
        <f>SUMIFS('Input Data'!$C106:$AH106,'Input Data'!$C$1:$AH$1,'Start Year Energy'!K$1)</f>
        <v>0</v>
      </c>
    </row>
    <row r="16" spans="1:11" x14ac:dyDescent="0.2">
      <c r="A16" s="177" t="s">
        <v>387</v>
      </c>
      <c r="B16" s="213">
        <f>SUMIFS('Input Data'!$C107:$AH107,'Input Data'!$C$1:$AH$1,'Start Year Energy'!B$1)</f>
        <v>2433853335821037.5</v>
      </c>
      <c r="C16" s="213">
        <f>SUMIFS('Input Data'!$C107:$AH107,'Input Data'!$C$1:$AH$1,'Start Year Energy'!C$1)</f>
        <v>530165759566187.88</v>
      </c>
      <c r="D16" s="213">
        <f>SUMIFS('Input Data'!$C107:$AH107,'Input Data'!$C$1:$AH$1,'Start Year Energy'!D$1)</f>
        <v>180680019640666.44</v>
      </c>
      <c r="E16" s="213">
        <f>SUMIFS('Input Data'!$C107:$AH107,'Input Data'!$C$1:$AH$1,'Start Year Energy'!E$1)</f>
        <v>1964243693829.0991</v>
      </c>
      <c r="F16" s="213">
        <f>SUMIFS('Input Data'!$C107:$AH107,'Input Data'!$C$1:$AH$1,'Start Year Energy'!F$1)</f>
        <v>14066922144453.301</v>
      </c>
      <c r="G16" s="213">
        <f>SUMIFS('Input Data'!$C107:$AH107,'Input Data'!$C$1:$AH$1,'Start Year Energy'!G$1)</f>
        <v>205348939584572.72</v>
      </c>
      <c r="H16" s="213">
        <f>SUMIFS('Input Data'!$C107:$AH107,'Input Data'!$C$1:$AH$1,'Start Year Energy'!H$1)</f>
        <v>83231233683.032043</v>
      </c>
      <c r="I16" s="213">
        <f>SUMIFS('Input Data'!$C107:$AH107,'Input Data'!$C$1:$AH$1,'Start Year Energy'!I$1)</f>
        <v>89647814663081.578</v>
      </c>
      <c r="J16" s="213">
        <f>SUMIFS('Input Data'!$C107:$AH107,'Input Data'!$C$1:$AH$1,'Start Year Energy'!J$1)</f>
        <v>75809338150203.156</v>
      </c>
      <c r="K16" s="213">
        <f>SUMIFS('Input Data'!$C107:$AH107,'Input Data'!$C$1:$AH$1,'Start Year Energy'!K$1)</f>
        <v>0</v>
      </c>
    </row>
    <row r="17" spans="1:11" x14ac:dyDescent="0.2">
      <c r="A17" s="177" t="s">
        <v>388</v>
      </c>
      <c r="B17" s="213">
        <f>SUMIFS('Input Data'!$C108:$AH108,'Input Data'!$C$1:$AH$1,'Start Year Energy'!B$1)</f>
        <v>529516612793531.25</v>
      </c>
      <c r="C17" s="213">
        <f>SUMIFS('Input Data'!$C108:$AH108,'Input Data'!$C$1:$AH$1,'Start Year Energy'!C$1)</f>
        <v>200470529782854.63</v>
      </c>
      <c r="D17" s="213">
        <f>SUMIFS('Input Data'!$C108:$AH108,'Input Data'!$C$1:$AH$1,'Start Year Energy'!D$1)</f>
        <v>260055951919512.16</v>
      </c>
      <c r="E17" s="213">
        <f>SUMIFS('Input Data'!$C108:$AH108,'Input Data'!$C$1:$AH$1,'Start Year Energy'!E$1)</f>
        <v>1287300951887.9971</v>
      </c>
      <c r="F17" s="213">
        <f>SUMIFS('Input Data'!$C108:$AH108,'Input Data'!$C$1:$AH$1,'Start Year Energy'!F$1)</f>
        <v>9740518001961.6973</v>
      </c>
      <c r="G17" s="213">
        <f>SUMIFS('Input Data'!$C108:$AH108,'Input Data'!$C$1:$AH$1,'Start Year Energy'!G$1)</f>
        <v>5967456604311.5166</v>
      </c>
      <c r="H17" s="213">
        <f>SUMIFS('Input Data'!$C108:$AH108,'Input Data'!$C$1:$AH$1,'Start Year Energy'!H$1)</f>
        <v>0</v>
      </c>
      <c r="I17" s="213">
        <f>SUMIFS('Input Data'!$C108:$AH108,'Input Data'!$C$1:$AH$1,'Start Year Energy'!I$1)</f>
        <v>592716868969.54321</v>
      </c>
      <c r="J17" s="213">
        <f>SUMIFS('Input Data'!$C108:$AH108,'Input Data'!$C$1:$AH$1,'Start Year Energy'!J$1)</f>
        <v>44531994585879.039</v>
      </c>
      <c r="K17" s="213">
        <f>SUMIFS('Input Data'!$C108:$AH108,'Input Data'!$C$1:$AH$1,'Start Year Energy'!K$1)</f>
        <v>0</v>
      </c>
    </row>
    <row r="18" spans="1:11" x14ac:dyDescent="0.2">
      <c r="A18" s="177" t="s">
        <v>389</v>
      </c>
      <c r="B18" s="213">
        <f>SUMIFS('Input Data'!$C109:$AH109,'Input Data'!$C$1:$AH$1,'Start Year Energy'!B$1)</f>
        <v>562266348269620.06</v>
      </c>
      <c r="C18" s="213">
        <f>SUMIFS('Input Data'!$C109:$AH109,'Input Data'!$C$1:$AH$1,'Start Year Energy'!C$1)</f>
        <v>3443234877092.0518</v>
      </c>
      <c r="D18" s="213">
        <f>SUMIFS('Input Data'!$C109:$AH109,'Input Data'!$C$1:$AH$1,'Start Year Energy'!D$1)</f>
        <v>100439782974522.16</v>
      </c>
      <c r="E18" s="213">
        <f>SUMIFS('Input Data'!$C109:$AH109,'Input Data'!$C$1:$AH$1,'Start Year Energy'!E$1)</f>
        <v>1131937043901.5146</v>
      </c>
      <c r="F18" s="213">
        <f>SUMIFS('Input Data'!$C109:$AH109,'Input Data'!$C$1:$AH$1,'Start Year Energy'!F$1)</f>
        <v>5380013200249.0674</v>
      </c>
      <c r="G18" s="213">
        <f>SUMIFS('Input Data'!$C109:$AH109,'Input Data'!$C$1:$AH$1,'Start Year Energy'!G$1)</f>
        <v>12545307435620.588</v>
      </c>
      <c r="H18" s="213">
        <f>SUMIFS('Input Data'!$C109:$AH109,'Input Data'!$C$1:$AH$1,'Start Year Energy'!H$1)</f>
        <v>0</v>
      </c>
      <c r="I18" s="213">
        <f>SUMIFS('Input Data'!$C109:$AH109,'Input Data'!$C$1:$AH$1,'Start Year Energy'!I$1)</f>
        <v>429730615682.57263</v>
      </c>
      <c r="J18" s="213">
        <f>SUMIFS('Input Data'!$C109:$AH109,'Input Data'!$C$1:$AH$1,'Start Year Energy'!J$1)</f>
        <v>1017993691992.7036</v>
      </c>
      <c r="K18" s="213">
        <f>SUMIFS('Input Data'!$C109:$AH109,'Input Data'!$C$1:$AH$1,'Start Year Energy'!K$1)</f>
        <v>0</v>
      </c>
    </row>
    <row r="19" spans="1:11" x14ac:dyDescent="0.2">
      <c r="A19" s="177" t="s">
        <v>390</v>
      </c>
      <c r="B19" s="213">
        <f>SUMIFS('Input Data'!$C110:$AH110,'Input Data'!$C$1:$AH$1,'Start Year Energy'!B$1)</f>
        <v>321717186820015.31</v>
      </c>
      <c r="C19" s="213">
        <f>SUMIFS('Input Data'!$C110:$AH110,'Input Data'!$C$1:$AH$1,'Start Year Energy'!C$1)</f>
        <v>2257548925016.6235</v>
      </c>
      <c r="D19" s="213">
        <f>SUMIFS('Input Data'!$C110:$AH110,'Input Data'!$C$1:$AH$1,'Start Year Energy'!D$1)</f>
        <v>54370691561020.211</v>
      </c>
      <c r="E19" s="213">
        <f>SUMIFS('Input Data'!$C110:$AH110,'Input Data'!$C$1:$AH$1,'Start Year Energy'!E$1)</f>
        <v>1320593217885.1003</v>
      </c>
      <c r="F19" s="213">
        <f>SUMIFS('Input Data'!$C110:$AH110,'Input Data'!$C$1:$AH$1,'Start Year Energy'!F$1)</f>
        <v>6861040389473.2207</v>
      </c>
      <c r="G19" s="213">
        <f>SUMIFS('Input Data'!$C110:$AH110,'Input Data'!$C$1:$AH$1,'Start Year Energy'!G$1)</f>
        <v>13244891253861.111</v>
      </c>
      <c r="H19" s="213">
        <f>SUMIFS('Input Data'!$C110:$AH110,'Input Data'!$C$1:$AH$1,'Start Year Energy'!H$1)</f>
        <v>0</v>
      </c>
      <c r="I19" s="213">
        <f>SUMIFS('Input Data'!$C110:$AH110,'Input Data'!$C$1:$AH$1,'Start Year Energy'!I$1)</f>
        <v>1120444950852.6016</v>
      </c>
      <c r="J19" s="213">
        <f>SUMIFS('Input Data'!$C110:$AH110,'Input Data'!$C$1:$AH$1,'Start Year Energy'!J$1)</f>
        <v>2011657108009.9695</v>
      </c>
      <c r="K19" s="213">
        <f>SUMIFS('Input Data'!$C110:$AH110,'Input Data'!$C$1:$AH$1,'Start Year Energy'!K$1)</f>
        <v>0</v>
      </c>
    </row>
    <row r="20" spans="1:11" x14ac:dyDescent="0.2">
      <c r="A20" s="177" t="s">
        <v>391</v>
      </c>
      <c r="B20" s="213">
        <f>SUMIFS('Input Data'!$C111:$AH111,'Input Data'!$C$1:$AH$1,'Start Year Energy'!B$1)</f>
        <v>210030966607123.25</v>
      </c>
      <c r="C20" s="213">
        <f>SUMIFS('Input Data'!$C111:$AH111,'Input Data'!$C$1:$AH$1,'Start Year Energy'!C$1)</f>
        <v>812812516038.84277</v>
      </c>
      <c r="D20" s="213">
        <f>SUMIFS('Input Data'!$C111:$AH111,'Input Data'!$C$1:$AH$1,'Start Year Energy'!D$1)</f>
        <v>16914881235908.039</v>
      </c>
      <c r="E20" s="213">
        <f>SUMIFS('Input Data'!$C111:$AH111,'Input Data'!$C$1:$AH$1,'Start Year Energy'!E$1)</f>
        <v>210851017981.65469</v>
      </c>
      <c r="F20" s="213">
        <f>SUMIFS('Input Data'!$C111:$AH111,'Input Data'!$C$1:$AH$1,'Start Year Energy'!F$1)</f>
        <v>2905498699429.0396</v>
      </c>
      <c r="G20" s="213">
        <f>SUMIFS('Input Data'!$C111:$AH111,'Input Data'!$C$1:$AH$1,'Start Year Energy'!G$1)</f>
        <v>1059090852868.1208</v>
      </c>
      <c r="H20" s="213">
        <f>SUMIFS('Input Data'!$C111:$AH111,'Input Data'!$C$1:$AH$1,'Start Year Energy'!H$1)</f>
        <v>0</v>
      </c>
      <c r="I20" s="213">
        <f>SUMIFS('Input Data'!$C111:$AH111,'Input Data'!$C$1:$AH$1,'Start Year Energy'!I$1)</f>
        <v>93866784398.190872</v>
      </c>
      <c r="J20" s="213">
        <f>SUMIFS('Input Data'!$C111:$AH111,'Input Data'!$C$1:$AH$1,'Start Year Energy'!J$1)</f>
        <v>1800692541537.0193</v>
      </c>
      <c r="K20" s="213">
        <f>SUMIFS('Input Data'!$C111:$AH111,'Input Data'!$C$1:$AH$1,'Start Year Energy'!K$1)</f>
        <v>0</v>
      </c>
    </row>
    <row r="21" spans="1:11" x14ac:dyDescent="0.2">
      <c r="A21" s="177" t="s">
        <v>392</v>
      </c>
      <c r="B21" s="213">
        <f>SUMIFS('Input Data'!$C112:$AH112,'Input Data'!$C$1:$AH$1,'Start Year Energy'!B$1)</f>
        <v>403584701226954</v>
      </c>
      <c r="C21" s="213">
        <f>SUMIFS('Input Data'!$C112:$AH112,'Input Data'!$C$1:$AH$1,'Start Year Energy'!C$1)</f>
        <v>6148581328656.6777</v>
      </c>
      <c r="D21" s="213">
        <f>SUMIFS('Input Data'!$C112:$AH112,'Input Data'!$C$1:$AH$1,'Start Year Energy'!D$1)</f>
        <v>100902378959369.78</v>
      </c>
      <c r="E21" s="213">
        <f>SUMIFS('Input Data'!$C112:$AH112,'Input Data'!$C$1:$AH$1,'Start Year Energy'!E$1)</f>
        <v>643650475943.99854</v>
      </c>
      <c r="F21" s="213">
        <f>SUMIFS('Input Data'!$C112:$AH112,'Input Data'!$C$1:$AH$1,'Start Year Energy'!F$1)</f>
        <v>12259610332476.711</v>
      </c>
      <c r="G21" s="213">
        <f>SUMIFS('Input Data'!$C112:$AH112,'Input Data'!$C$1:$AH$1,'Start Year Energy'!G$1)</f>
        <v>24758973660019.988</v>
      </c>
      <c r="H21" s="213">
        <f>SUMIFS('Input Data'!$C112:$AH112,'Input Data'!$C$1:$AH$1,'Start Year Energy'!H$1)</f>
        <v>3963392080.144383</v>
      </c>
      <c r="I21" s="213">
        <f>SUMIFS('Input Data'!$C112:$AH112,'Input Data'!$C$1:$AH$1,'Start Year Energy'!I$1)</f>
        <v>659709910143.61938</v>
      </c>
      <c r="J21" s="213">
        <f>SUMIFS('Input Data'!$C112:$AH112,'Input Data'!$C$1:$AH$1,'Start Year Energy'!J$1)</f>
        <v>4234456877330.2383</v>
      </c>
      <c r="K21" s="213">
        <f>SUMIFS('Input Data'!$C112:$AH112,'Input Data'!$C$1:$AH$1,'Start Year Energy'!K$1)</f>
        <v>0</v>
      </c>
    </row>
    <row r="22" spans="1:11" x14ac:dyDescent="0.2">
      <c r="A22" s="177" t="s">
        <v>393</v>
      </c>
      <c r="B22" s="213">
        <f>SUMIFS('Input Data'!$C113:$AH113,'Input Data'!$C$1:$AH$1,'Start Year Energy'!B$1)</f>
        <v>54512374866221.539</v>
      </c>
      <c r="C22" s="213">
        <f>SUMIFS('Input Data'!$C113:$AH113,'Input Data'!$C$1:$AH$1,'Start Year Energy'!C$1)</f>
        <v>4681124416304.5977</v>
      </c>
      <c r="D22" s="213">
        <f>SUMIFS('Input Data'!$C113:$AH113,'Input Data'!$C$1:$AH$1,'Start Year Energy'!D$1)</f>
        <v>78952229590499.891</v>
      </c>
      <c r="E22" s="213">
        <f>SUMIFS('Input Data'!$C113:$AH113,'Input Data'!$C$1:$AH$1,'Start Year Energy'!E$1)</f>
        <v>66584531994.206749</v>
      </c>
      <c r="F22" s="213">
        <f>SUMIFS('Input Data'!$C113:$AH113,'Input Data'!$C$1:$AH$1,'Start Year Energy'!F$1)</f>
        <v>4705337447301.9609</v>
      </c>
      <c r="G22" s="213">
        <f>SUMIFS('Input Data'!$C113:$AH113,'Input Data'!$C$1:$AH$1,'Start Year Energy'!G$1)</f>
        <v>5615437324952.9873</v>
      </c>
      <c r="H22" s="213">
        <f>SUMIFS('Input Data'!$C113:$AH113,'Input Data'!$C$1:$AH$1,'Start Year Energy'!H$1)</f>
        <v>0</v>
      </c>
      <c r="I22" s="213">
        <f>SUMIFS('Input Data'!$C113:$AH113,'Input Data'!$C$1:$AH$1,'Start Year Energy'!I$1)</f>
        <v>612052243490.23804</v>
      </c>
      <c r="J22" s="213">
        <f>SUMIFS('Input Data'!$C113:$AH113,'Input Data'!$C$1:$AH$1,'Start Year Energy'!J$1)</f>
        <v>1151201711264.8589</v>
      </c>
      <c r="K22" s="213">
        <f>SUMIFS('Input Data'!$C113:$AH113,'Input Data'!$C$1:$AH$1,'Start Year Energy'!K$1)</f>
        <v>0</v>
      </c>
    </row>
    <row r="23" spans="1:11" x14ac:dyDescent="0.2">
      <c r="A23" s="177" t="s">
        <v>394</v>
      </c>
      <c r="B23" s="213">
        <f>SUMIFS('Input Data'!$C114:$AH114,'Input Data'!$C$1:$AH$1,'Start Year Energy'!B$1)</f>
        <v>367648025457609.69</v>
      </c>
      <c r="C23" s="213">
        <f>SUMIFS('Input Data'!$C114:$AH114,'Input Data'!$C$1:$AH$1,'Start Year Energy'!C$1)</f>
        <v>113584705586912.77</v>
      </c>
      <c r="D23" s="213">
        <f>SUMIFS('Input Data'!$C114:$AH114,'Input Data'!$C$1:$AH$1,'Start Year Energy'!D$1)</f>
        <v>76537407095558.031</v>
      </c>
      <c r="E23" s="213">
        <f>SUMIFS('Input Data'!$C114:$AH114,'Input Data'!$C$1:$AH$1,'Start Year Energy'!E$1)</f>
        <v>1403823882877.8589</v>
      </c>
      <c r="F23" s="213">
        <f>SUMIFS('Input Data'!$C114:$AH114,'Input Data'!$C$1:$AH$1,'Start Year Energy'!F$1)</f>
        <v>10963910204374.488</v>
      </c>
      <c r="G23" s="213">
        <f>SUMIFS('Input Data'!$C114:$AH114,'Input Data'!$C$1:$AH$1,'Start Year Energy'!G$1)</f>
        <v>3330818932476.4185</v>
      </c>
      <c r="H23" s="213">
        <f>SUMIFS('Input Data'!$C114:$AH114,'Input Data'!$C$1:$AH$1,'Start Year Energy'!H$1)</f>
        <v>0</v>
      </c>
      <c r="I23" s="213">
        <f>SUMIFS('Input Data'!$C114:$AH114,'Input Data'!$C$1:$AH$1,'Start Year Energy'!I$1)</f>
        <v>841888133220.62537</v>
      </c>
      <c r="J23" s="213">
        <f>SUMIFS('Input Data'!$C114:$AH114,'Input Data'!$C$1:$AH$1,'Start Year Energy'!J$1)</f>
        <v>5031103234961.4473</v>
      </c>
      <c r="K23" s="213">
        <f>SUMIFS('Input Data'!$C114:$AH114,'Input Data'!$C$1:$AH$1,'Start Year Energy'!K$1)</f>
        <v>0</v>
      </c>
    </row>
    <row r="24" spans="1:11" x14ac:dyDescent="0.2">
      <c r="A24" s="177" t="s">
        <v>395</v>
      </c>
      <c r="B24" s="213">
        <f>SUMIFS('Input Data'!$C115:$AH115,'Input Data'!$C$1:$AH$1,'Start Year Energy'!B$1)+SUMIFS('Input Data'!$C124:$AH124,'Input Data'!$C$1:$AH$1,'Start Year Energy'!B$1)+SUMIFS('Input Data'!$C125:$AH125,'Input Data'!$C$1:$AH$1,'Start Year Energy'!B$1)+SUMIFS('Input Data'!$C126:$AH126,'Input Data'!$C$1:$AH$1,'Start Year Energy'!B$1)</f>
        <v>57846037250065.961</v>
      </c>
      <c r="C24" s="213">
        <f>SUMIFS('Input Data'!$C115:$AH115,'Input Data'!$C$1:$AH$1,'Start Year Energy'!C$1)+SUMIFS('Input Data'!$C124:$AH124,'Input Data'!$C$1:$AH$1,'Start Year Energy'!C$1)+SUMIFS('Input Data'!$C125:$AH125,'Input Data'!$C$1:$AH$1,'Start Year Energy'!C$1)+SUMIFS('Input Data'!$C126:$AH126,'Input Data'!$C$1:$AH$1,'Start Year Energy'!C$1)</f>
        <v>678336731652642</v>
      </c>
      <c r="D24" s="213">
        <f>SUMIFS('Input Data'!$C115:$AH115,'Input Data'!$C$1:$AH$1,'Start Year Energy'!D$1)+SUMIFS('Input Data'!$C124:$AH124,'Input Data'!$C$1:$AH$1,'Start Year Energy'!D$1)+SUMIFS('Input Data'!$C125:$AH125,'Input Data'!$C$1:$AH$1,'Start Year Energy'!D$1)+SUMIFS('Input Data'!$C126:$AH126,'Input Data'!$C$1:$AH$1,'Start Year Energy'!D$1)</f>
        <v>765240579633770.13</v>
      </c>
      <c r="E24" s="213">
        <f>SUMIFS('Input Data'!$C115:$AH115,'Input Data'!$C$1:$AH$1,'Start Year Energy'!E$1)+SUMIFS('Input Data'!$C124:$AH124,'Input Data'!$C$1:$AH$1,'Start Year Energy'!E$1)+SUMIFS('Input Data'!$C125:$AH125,'Input Data'!$C$1:$AH$1,'Start Year Energy'!E$1)+SUMIFS('Input Data'!$C126:$AH126,'Input Data'!$C$1:$AH$1,'Start Year Energy'!E$1)</f>
        <v>0</v>
      </c>
      <c r="F24" s="213">
        <f>SUMIFS('Input Data'!$C115:$AH115,'Input Data'!$C$1:$AH$1,'Start Year Energy'!F$1)+SUMIFS('Input Data'!$C124:$AH124,'Input Data'!$C$1:$AH$1,'Start Year Energy'!F$1)+SUMIFS('Input Data'!$C125:$AH125,'Input Data'!$C$1:$AH$1,'Start Year Energy'!F$1)+SUMIFS('Input Data'!$C126:$AH126,'Input Data'!$C$1:$AH$1,'Start Year Energy'!F$1)</f>
        <v>3332102940332.4951</v>
      </c>
      <c r="G24" s="213">
        <f>SUMIFS('Input Data'!$C115:$AH115,'Input Data'!$C$1:$AH$1,'Start Year Energy'!G$1)+SUMIFS('Input Data'!$C124:$AH124,'Input Data'!$C$1:$AH$1,'Start Year Energy'!G$1)+SUMIFS('Input Data'!$C125:$AH125,'Input Data'!$C$1:$AH$1,'Start Year Energy'!G$1)+SUMIFS('Input Data'!$C126:$AH126,'Input Data'!$C$1:$AH$1,'Start Year Energy'!G$1)</f>
        <v>38577389054806.914</v>
      </c>
      <c r="H24" s="213">
        <f>SUMIFS('Input Data'!$C115:$AH115,'Input Data'!$C$1:$AH$1,'Start Year Energy'!H$1)+SUMIFS('Input Data'!$C124:$AH124,'Input Data'!$C$1:$AH$1,'Start Year Energy'!H$1)+SUMIFS('Input Data'!$C125:$AH125,'Input Data'!$C$1:$AH$1,'Start Year Energy'!H$1)+SUMIFS('Input Data'!$C126:$AH126,'Input Data'!$C$1:$AH$1,'Start Year Energy'!H$1)</f>
        <v>0</v>
      </c>
      <c r="I24" s="213">
        <f>SUMIFS('Input Data'!$C115:$AH115,'Input Data'!$C$1:$AH$1,'Start Year Energy'!I$1)+SUMIFS('Input Data'!$C124:$AH124,'Input Data'!$C$1:$AH$1,'Start Year Energy'!I$1)+SUMIFS('Input Data'!$C125:$AH125,'Input Data'!$C$1:$AH$1,'Start Year Energy'!I$1)+SUMIFS('Input Data'!$C126:$AH126,'Input Data'!$C$1:$AH$1,'Start Year Energy'!I$1)</f>
        <v>2804776164219.1738</v>
      </c>
      <c r="J24" s="213">
        <f>SUMIFS('Input Data'!$C115:$AH115,'Input Data'!$C$1:$AH$1,'Start Year Energy'!J$1)+SUMIFS('Input Data'!$C124:$AH124,'Input Data'!$C$1:$AH$1,'Start Year Energy'!J$1)+SUMIFS('Input Data'!$C125:$AH125,'Input Data'!$C$1:$AH$1,'Start Year Energy'!J$1)+SUMIFS('Input Data'!$C126:$AH126,'Input Data'!$C$1:$AH$1,'Start Year Energy'!J$1)</f>
        <v>87842670034955.984</v>
      </c>
      <c r="K24" s="213">
        <f>SUMIFS('Input Data'!$C115:$AH115,'Input Data'!$C$1:$AH$1,'Start Year Energy'!K$1)+SUMIFS('Input Data'!$C124:$AH124,'Input Data'!$C$1:$AH$1,'Start Year Energy'!K$1)+SUMIFS('Input Data'!$C125:$AH125,'Input Data'!$C$1:$AH$1,'Start Year Energy'!K$1)+SUMIFS('Input Data'!$C126:$AH126,'Input Data'!$C$1:$AH$1,'Start Year Energy'!K$1)</f>
        <v>0</v>
      </c>
    </row>
    <row r="25" spans="1:11" x14ac:dyDescent="0.2">
      <c r="A25" s="177" t="s">
        <v>396</v>
      </c>
      <c r="B25" s="213">
        <f>SUMIFS('Input Data'!$C116:$AH116,'Input Data'!$C$1:$AH$1,'Start Year Energy'!B$1)</f>
        <v>242995667006632.88</v>
      </c>
      <c r="C25" s="213">
        <f>SUMIFS('Input Data'!$C116:$AH116,'Input Data'!$C$1:$AH$1,'Start Year Energy'!C$1)</f>
        <v>53198660905012.75</v>
      </c>
      <c r="D25" s="213">
        <f>SUMIFS('Input Data'!$C116:$AH116,'Input Data'!$C$1:$AH$1,'Start Year Energy'!D$1)</f>
        <v>57829452914743.813</v>
      </c>
      <c r="E25" s="213">
        <f>SUMIFS('Input Data'!$C116:$AH116,'Input Data'!$C$1:$AH$1,'Start Year Energy'!E$1)</f>
        <v>1664613299855.1687</v>
      </c>
      <c r="F25" s="213">
        <f>SUMIFS('Input Data'!$C116:$AH116,'Input Data'!$C$1:$AH$1,'Start Year Energy'!F$1)</f>
        <v>3056465304656.6206</v>
      </c>
      <c r="G25" s="213">
        <f>SUMIFS('Input Data'!$C116:$AH116,'Input Data'!$C$1:$AH$1,'Start Year Energy'!G$1)</f>
        <v>2281964504533.1011</v>
      </c>
      <c r="H25" s="213">
        <f>SUMIFS('Input Data'!$C116:$AH116,'Input Data'!$C$1:$AH$1,'Start Year Energy'!H$1)</f>
        <v>11890176240.433147</v>
      </c>
      <c r="I25" s="213">
        <f>SUMIFS('Input Data'!$C116:$AH116,'Input Data'!$C$1:$AH$1,'Start Year Energy'!I$1)</f>
        <v>1127263262887.9314</v>
      </c>
      <c r="J25" s="213">
        <f>SUMIFS('Input Data'!$C116:$AH116,'Input Data'!$C$1:$AH$1,'Start Year Energy'!J$1)</f>
        <v>7286137601151.6367</v>
      </c>
      <c r="K25" s="213">
        <f>SUMIFS('Input Data'!$C116:$AH116,'Input Data'!$C$1:$AH$1,'Start Year Energy'!K$1)</f>
        <v>0</v>
      </c>
    </row>
    <row r="26" spans="1:11" x14ac:dyDescent="0.2">
      <c r="A26" s="177" t="s">
        <v>397</v>
      </c>
      <c r="B26" s="213">
        <f>SUMIFS('Input Data'!$C117:$AH117,'Input Data'!$C$1:$AH$1,'Start Year Energy'!B$1)</f>
        <v>345001641382302.19</v>
      </c>
      <c r="C26" s="213">
        <f>SUMIFS('Input Data'!$C117:$AH117,'Input Data'!$C$1:$AH$1,'Start Year Energy'!C$1)</f>
        <v>122589068626082.69</v>
      </c>
      <c r="D26" s="213">
        <f>SUMIFS('Input Data'!$C117:$AH117,'Input Data'!$C$1:$AH$1,'Start Year Energy'!D$1)</f>
        <v>8904085978007.7051</v>
      </c>
      <c r="E26" s="213">
        <f>SUMIFS('Input Data'!$C117:$AH117,'Input Data'!$C$1:$AH$1,'Start Year Energy'!E$1)</f>
        <v>7920784951810.8447</v>
      </c>
      <c r="F26" s="213">
        <f>SUMIFS('Input Data'!$C117:$AH117,'Input Data'!$C$1:$AH$1,'Start Year Energy'!F$1)</f>
        <v>415666524573083.06</v>
      </c>
      <c r="G26" s="213">
        <f>SUMIFS('Input Data'!$C117:$AH117,'Input Data'!$C$1:$AH$1,'Start Year Energy'!G$1)</f>
        <v>18322347579988.301</v>
      </c>
      <c r="H26" s="213">
        <f>SUMIFS('Input Data'!$C117:$AH117,'Input Data'!$C$1:$AH$1,'Start Year Energy'!H$1)</f>
        <v>0</v>
      </c>
      <c r="I26" s="213">
        <f>SUMIFS('Input Data'!$C117:$AH117,'Input Data'!$C$1:$AH$1,'Start Year Energy'!I$1)</f>
        <v>1163584072065948.3</v>
      </c>
      <c r="J26" s="213">
        <f>SUMIFS('Input Data'!$C117:$AH117,'Input Data'!$C$1:$AH$1,'Start Year Energy'!J$1)</f>
        <v>5393362446168.1338</v>
      </c>
      <c r="K26" s="213">
        <f>SUMIFS('Input Data'!$C117:$AH117,'Input Data'!$C$1:$AH$1,'Start Year Energy'!K$1)</f>
        <v>0</v>
      </c>
    </row>
    <row r="28" spans="1:11" s="211" customFormat="1" ht="42.75" x14ac:dyDescent="0.2">
      <c r="A28" s="212" t="s">
        <v>628</v>
      </c>
      <c r="B28" s="210" t="s">
        <v>564</v>
      </c>
      <c r="C28" s="210" t="s">
        <v>565</v>
      </c>
      <c r="D28" s="210" t="s">
        <v>566</v>
      </c>
      <c r="E28" s="210" t="s">
        <v>567</v>
      </c>
      <c r="F28" s="210" t="s">
        <v>570</v>
      </c>
      <c r="G28" s="210" t="s">
        <v>568</v>
      </c>
      <c r="H28" s="210" t="s">
        <v>569</v>
      </c>
      <c r="I28" s="210" t="s">
        <v>417</v>
      </c>
      <c r="J28" s="210" t="s">
        <v>571</v>
      </c>
      <c r="K28" s="210" t="s">
        <v>572</v>
      </c>
    </row>
    <row r="29" spans="1:11" x14ac:dyDescent="0.2">
      <c r="A29" s="177" t="s">
        <v>373</v>
      </c>
      <c r="B29" s="214">
        <f>SUMIFS('Non Energy Use Worksheet'!$C113:$AH113,'Non Energy Use Worksheet'!$C$1:$AH$1,'Start Year Energy'!B$28)</f>
        <v>0</v>
      </c>
      <c r="C29" s="214">
        <f>SUMIFS('Non Energy Use Worksheet'!$C113:$AH113,'Non Energy Use Worksheet'!$C$1:$AH$1,'Start Year Energy'!C$28)</f>
        <v>0</v>
      </c>
      <c r="D29" s="214">
        <f>SUMIFS('Non Energy Use Worksheet'!$C113:$AH113,'Non Energy Use Worksheet'!$C$1:$AH$1,'Start Year Energy'!D$28)</f>
        <v>0</v>
      </c>
      <c r="E29" s="214">
        <f>SUMIFS('Non Energy Use Worksheet'!$C113:$AH113,'Non Energy Use Worksheet'!$C$1:$AH$1,'Start Year Energy'!E$28)</f>
        <v>0</v>
      </c>
      <c r="F29" s="214">
        <f>SUMIFS('Non Energy Use Worksheet'!$C113:$AH113,'Non Energy Use Worksheet'!$C$1:$AH$1,'Start Year Energy'!F$28)</f>
        <v>0</v>
      </c>
      <c r="G29" s="214">
        <f>SUMIFS('Non Energy Use Worksheet'!$C113:$AH113,'Non Energy Use Worksheet'!$C$1:$AH$1,'Start Year Energy'!G$28)</f>
        <v>0</v>
      </c>
      <c r="H29" s="214">
        <f>SUMIFS('Non Energy Use Worksheet'!$C113:$AH113,'Non Energy Use Worksheet'!$C$1:$AH$1,'Start Year Energy'!H$28)</f>
        <v>0</v>
      </c>
      <c r="I29" s="214">
        <f>SUMIFS('Non Energy Use Worksheet'!$C113:$AH113,'Non Energy Use Worksheet'!$C$1:$AH$1,'Start Year Energy'!I$28)</f>
        <v>0</v>
      </c>
      <c r="J29" s="214">
        <f>SUMIFS('Non Energy Use Worksheet'!$C113:$AH113,'Non Energy Use Worksheet'!$C$1:$AH$1,'Start Year Energy'!J$28)</f>
        <v>0</v>
      </c>
      <c r="K29" s="214">
        <f>SUMIFS('Non Energy Use Worksheet'!$C113:$AH113,'Non Energy Use Worksheet'!$C$1:$AH$1,'Start Year Energy'!K$28)</f>
        <v>0</v>
      </c>
    </row>
    <row r="30" spans="1:11" x14ac:dyDescent="0.2">
      <c r="A30" s="177" t="s">
        <v>374</v>
      </c>
      <c r="B30" s="214">
        <f>SUMIFS('Non Energy Use Worksheet'!$C114:$AH114,'Non Energy Use Worksheet'!$C$1:$AH$1,'Start Year Energy'!B$28)</f>
        <v>0</v>
      </c>
      <c r="C30" s="214">
        <f>SUMIFS('Non Energy Use Worksheet'!$C114:$AH114,'Non Energy Use Worksheet'!$C$1:$AH$1,'Start Year Energy'!C$28)</f>
        <v>1.7867702743129666E+16</v>
      </c>
      <c r="D30" s="214">
        <f>SUMIFS('Non Energy Use Worksheet'!$C114:$AH114,'Non Energy Use Worksheet'!$C$1:$AH$1,'Start Year Energy'!D$28)</f>
        <v>686905809423.05042</v>
      </c>
      <c r="E30" s="214">
        <f>SUMIFS('Non Energy Use Worksheet'!$C114:$AH114,'Non Energy Use Worksheet'!$C$1:$AH$1,'Start Year Energy'!E$28)</f>
        <v>0</v>
      </c>
      <c r="F30" s="214">
        <f>SUMIFS('Non Energy Use Worksheet'!$C114:$AH114,'Non Energy Use Worksheet'!$C$1:$AH$1,'Start Year Energy'!F$28)</f>
        <v>1503040964550.0903</v>
      </c>
      <c r="G30" s="214">
        <f>SUMIFS('Non Energy Use Worksheet'!$C114:$AH114,'Non Energy Use Worksheet'!$C$1:$AH$1,'Start Year Energy'!G$28)</f>
        <v>0</v>
      </c>
      <c r="H30" s="214">
        <f>SUMIFS('Non Energy Use Worksheet'!$C114:$AH114,'Non Energy Use Worksheet'!$C$1:$AH$1,'Start Year Energy'!H$28)</f>
        <v>0</v>
      </c>
      <c r="I30" s="214">
        <f>SUMIFS('Non Energy Use Worksheet'!$C114:$AH114,'Non Energy Use Worksheet'!$C$1:$AH$1,'Start Year Energy'!I$28)</f>
        <v>51551086984.400406</v>
      </c>
      <c r="J30" s="214">
        <f>SUMIFS('Non Energy Use Worksheet'!$C114:$AH114,'Non Energy Use Worksheet'!$C$1:$AH$1,'Start Year Energy'!J$28)</f>
        <v>313311058139.82678</v>
      </c>
      <c r="K30" s="214">
        <f>SUMIFS('Non Energy Use Worksheet'!$C114:$AH114,'Non Energy Use Worksheet'!$C$1:$AH$1,'Start Year Energy'!K$28)</f>
        <v>0</v>
      </c>
    </row>
    <row r="31" spans="1:11" x14ac:dyDescent="0.2">
      <c r="A31" s="177" t="s">
        <v>375</v>
      </c>
      <c r="B31" s="214">
        <f>SUMIFS('Non Energy Use Worksheet'!$C115:$AH115,'Non Energy Use Worksheet'!$C$1:$AH$1,'Start Year Energy'!B$28)</f>
        <v>0</v>
      </c>
      <c r="C31" s="214">
        <f>SUMIFS('Non Energy Use Worksheet'!$C115:$AH115,'Non Energy Use Worksheet'!$C$1:$AH$1,'Start Year Energy'!C$28)</f>
        <v>0</v>
      </c>
      <c r="D31" s="214">
        <f>SUMIFS('Non Energy Use Worksheet'!$C115:$AH115,'Non Energy Use Worksheet'!$C$1:$AH$1,'Start Year Energy'!D$28)</f>
        <v>8869135260063.2695</v>
      </c>
      <c r="E31" s="214">
        <f>SUMIFS('Non Energy Use Worksheet'!$C115:$AH115,'Non Energy Use Worksheet'!$C$1:$AH$1,'Start Year Energy'!E$28)</f>
        <v>0</v>
      </c>
      <c r="F31" s="214">
        <f>SUMIFS('Non Energy Use Worksheet'!$C115:$AH115,'Non Energy Use Worksheet'!$C$1:$AH$1,'Start Year Energy'!F$28)</f>
        <v>248897278349.20804</v>
      </c>
      <c r="G31" s="214">
        <f>SUMIFS('Non Energy Use Worksheet'!$C115:$AH115,'Non Energy Use Worksheet'!$C$1:$AH$1,'Start Year Energy'!G$28)</f>
        <v>0</v>
      </c>
      <c r="H31" s="214">
        <f>SUMIFS('Non Energy Use Worksheet'!$C115:$AH115,'Non Energy Use Worksheet'!$C$1:$AH$1,'Start Year Energy'!H$28)</f>
        <v>0</v>
      </c>
      <c r="I31" s="214">
        <f>SUMIFS('Non Energy Use Worksheet'!$C115:$AH115,'Non Energy Use Worksheet'!$C$1:$AH$1,'Start Year Energy'!I$28)</f>
        <v>9689421495.5780029</v>
      </c>
      <c r="J31" s="214">
        <f>SUMIFS('Non Energy Use Worksheet'!$C115:$AH115,'Non Energy Use Worksheet'!$C$1:$AH$1,'Start Year Energy'!J$28)</f>
        <v>316892111379.5282</v>
      </c>
      <c r="K31" s="214">
        <f>SUMIFS('Non Energy Use Worksheet'!$C115:$AH115,'Non Energy Use Worksheet'!$C$1:$AH$1,'Start Year Energy'!K$28)</f>
        <v>0</v>
      </c>
    </row>
    <row r="32" spans="1:11" x14ac:dyDescent="0.2">
      <c r="A32" s="177" t="s">
        <v>376</v>
      </c>
      <c r="B32" s="214">
        <f>SUMIFS('Non Energy Use Worksheet'!$C116:$AH116,'Non Energy Use Worksheet'!$C$1:$AH$1,'Start Year Energy'!B$28)</f>
        <v>0</v>
      </c>
      <c r="C32" s="214">
        <f>SUMIFS('Non Energy Use Worksheet'!$C116:$AH116,'Non Energy Use Worksheet'!$C$1:$AH$1,'Start Year Energy'!C$28)</f>
        <v>0</v>
      </c>
      <c r="D32" s="214">
        <f>SUMIFS('Non Energy Use Worksheet'!$C116:$AH116,'Non Energy Use Worksheet'!$C$1:$AH$1,'Start Year Energy'!D$28)</f>
        <v>215603470953.01624</v>
      </c>
      <c r="E32" s="214">
        <f>SUMIFS('Non Energy Use Worksheet'!$C116:$AH116,'Non Energy Use Worksheet'!$C$1:$AH$1,'Start Year Energy'!E$28)</f>
        <v>0</v>
      </c>
      <c r="F32" s="214">
        <f>SUMIFS('Non Energy Use Worksheet'!$C116:$AH116,'Non Energy Use Worksheet'!$C$1:$AH$1,'Start Year Energy'!F$28)</f>
        <v>984134865186.75928</v>
      </c>
      <c r="G32" s="214">
        <f>SUMIFS('Non Energy Use Worksheet'!$C116:$AH116,'Non Energy Use Worksheet'!$C$1:$AH$1,'Start Year Energy'!G$28)</f>
        <v>0</v>
      </c>
      <c r="H32" s="214">
        <f>SUMIFS('Non Energy Use Worksheet'!$C116:$AH116,'Non Energy Use Worksheet'!$C$1:$AH$1,'Start Year Energy'!H$28)</f>
        <v>0</v>
      </c>
      <c r="I32" s="214">
        <f>SUMIFS('Non Energy Use Worksheet'!$C116:$AH116,'Non Energy Use Worksheet'!$C$1:$AH$1,'Start Year Energy'!I$28)</f>
        <v>142411450640.13965</v>
      </c>
      <c r="J32" s="214">
        <f>SUMIFS('Non Energy Use Worksheet'!$C116:$AH116,'Non Energy Use Worksheet'!$C$1:$AH$1,'Start Year Energy'!J$28)</f>
        <v>1347141132995.5925</v>
      </c>
      <c r="K32" s="214">
        <f>SUMIFS('Non Energy Use Worksheet'!$C116:$AH116,'Non Energy Use Worksheet'!$C$1:$AH$1,'Start Year Energy'!K$28)</f>
        <v>0</v>
      </c>
    </row>
    <row r="33" spans="1:11" x14ac:dyDescent="0.2">
      <c r="A33" s="177" t="s">
        <v>377</v>
      </c>
      <c r="B33" s="214">
        <f>SUMIFS('Non Energy Use Worksheet'!$C117:$AH117,'Non Energy Use Worksheet'!$C$1:$AH$1,'Start Year Energy'!B$28)</f>
        <v>0</v>
      </c>
      <c r="C33" s="214">
        <f>SUMIFS('Non Energy Use Worksheet'!$C117:$AH117,'Non Energy Use Worksheet'!$C$1:$AH$1,'Start Year Energy'!C$28)</f>
        <v>0</v>
      </c>
      <c r="D33" s="214">
        <f>SUMIFS('Non Energy Use Worksheet'!$C117:$AH117,'Non Energy Use Worksheet'!$C$1:$AH$1,'Start Year Energy'!D$28)</f>
        <v>3751209742982.8203</v>
      </c>
      <c r="E33" s="214">
        <f>SUMIFS('Non Energy Use Worksheet'!$C117:$AH117,'Non Energy Use Worksheet'!$C$1:$AH$1,'Start Year Energy'!E$28)</f>
        <v>0</v>
      </c>
      <c r="F33" s="214">
        <f>SUMIFS('Non Energy Use Worksheet'!$C117:$AH117,'Non Energy Use Worksheet'!$C$1:$AH$1,'Start Year Energy'!F$28)</f>
        <v>222199199974.9299</v>
      </c>
      <c r="G33" s="214">
        <f>SUMIFS('Non Energy Use Worksheet'!$C117:$AH117,'Non Energy Use Worksheet'!$C$1:$AH$1,'Start Year Energy'!G$28)</f>
        <v>0</v>
      </c>
      <c r="H33" s="214">
        <f>SUMIFS('Non Energy Use Worksheet'!$C117:$AH117,'Non Energy Use Worksheet'!$C$1:$AH$1,'Start Year Energy'!H$28)</f>
        <v>0</v>
      </c>
      <c r="I33" s="214">
        <f>SUMIFS('Non Energy Use Worksheet'!$C117:$AH117,'Non Energy Use Worksheet'!$C$1:$AH$1,'Start Year Energy'!I$28)</f>
        <v>289424913072.11792</v>
      </c>
      <c r="J33" s="214">
        <f>SUMIFS('Non Energy Use Worksheet'!$C117:$AH117,'Non Energy Use Worksheet'!$C$1:$AH$1,'Start Year Energy'!J$28)</f>
        <v>15512273294.937473</v>
      </c>
      <c r="K33" s="214">
        <f>SUMIFS('Non Energy Use Worksheet'!$C117:$AH117,'Non Energy Use Worksheet'!$C$1:$AH$1,'Start Year Energy'!K$28)</f>
        <v>0</v>
      </c>
    </row>
    <row r="34" spans="1:11" x14ac:dyDescent="0.2">
      <c r="A34" s="177" t="s">
        <v>378</v>
      </c>
      <c r="B34" s="214">
        <f>SUMIFS('Non Energy Use Worksheet'!$C118:$AH118,'Non Energy Use Worksheet'!$C$1:$AH$1,'Start Year Energy'!B$28)</f>
        <v>0</v>
      </c>
      <c r="C34" s="214">
        <f>SUMIFS('Non Energy Use Worksheet'!$C118:$AH118,'Non Energy Use Worksheet'!$C$1:$AH$1,'Start Year Energy'!C$28)</f>
        <v>0</v>
      </c>
      <c r="D34" s="214">
        <f>SUMIFS('Non Energy Use Worksheet'!$C118:$AH118,'Non Energy Use Worksheet'!$C$1:$AH$1,'Start Year Energy'!D$28)</f>
        <v>3118372127678.5928</v>
      </c>
      <c r="E34" s="214">
        <f>SUMIFS('Non Energy Use Worksheet'!$C118:$AH118,'Non Energy Use Worksheet'!$C$1:$AH$1,'Start Year Energy'!E$28)</f>
        <v>0</v>
      </c>
      <c r="F34" s="214">
        <f>SUMIFS('Non Energy Use Worksheet'!$C118:$AH118,'Non Energy Use Worksheet'!$C$1:$AH$1,'Start Year Energy'!F$28)</f>
        <v>81470263193.300125</v>
      </c>
      <c r="G34" s="214">
        <f>SUMIFS('Non Energy Use Worksheet'!$C118:$AH118,'Non Energy Use Worksheet'!$C$1:$AH$1,'Start Year Energy'!G$28)</f>
        <v>0</v>
      </c>
      <c r="H34" s="214">
        <f>SUMIFS('Non Energy Use Worksheet'!$C118:$AH118,'Non Energy Use Worksheet'!$C$1:$AH$1,'Start Year Energy'!H$28)</f>
        <v>0</v>
      </c>
      <c r="I34" s="214">
        <f>SUMIFS('Non Energy Use Worksheet'!$C118:$AH118,'Non Energy Use Worksheet'!$C$1:$AH$1,'Start Year Energy'!I$28)</f>
        <v>265524737153.026</v>
      </c>
      <c r="J34" s="214">
        <f>SUMIFS('Non Energy Use Worksheet'!$C118:$AH118,'Non Energy Use Worksheet'!$C$1:$AH$1,'Start Year Energy'!J$28)</f>
        <v>11009105502.823582</v>
      </c>
      <c r="K34" s="214">
        <f>SUMIFS('Non Energy Use Worksheet'!$C118:$AH118,'Non Energy Use Worksheet'!$C$1:$AH$1,'Start Year Energy'!K$28)</f>
        <v>0</v>
      </c>
    </row>
    <row r="35" spans="1:11" x14ac:dyDescent="0.2">
      <c r="A35" s="177" t="s">
        <v>379</v>
      </c>
      <c r="B35" s="214">
        <f>SUMIFS('Non Energy Use Worksheet'!$C119:$AH119,'Non Energy Use Worksheet'!$C$1:$AH$1,'Start Year Energy'!B$28)</f>
        <v>0</v>
      </c>
      <c r="C35" s="214">
        <f>SUMIFS('Non Energy Use Worksheet'!$C119:$AH119,'Non Energy Use Worksheet'!$C$1:$AH$1,'Start Year Energy'!C$28)</f>
        <v>0</v>
      </c>
      <c r="D35" s="214">
        <f>SUMIFS('Non Energy Use Worksheet'!$C119:$AH119,'Non Energy Use Worksheet'!$C$1:$AH$1,'Start Year Energy'!D$28)</f>
        <v>315953880688.77954</v>
      </c>
      <c r="E35" s="214">
        <f>SUMIFS('Non Energy Use Worksheet'!$C119:$AH119,'Non Energy Use Worksheet'!$C$1:$AH$1,'Start Year Energy'!E$28)</f>
        <v>0</v>
      </c>
      <c r="F35" s="214">
        <f>SUMIFS('Non Energy Use Worksheet'!$C119:$AH119,'Non Energy Use Worksheet'!$C$1:$AH$1,'Start Year Energy'!F$28)</f>
        <v>61870432870.059349</v>
      </c>
      <c r="G35" s="214">
        <f>SUMIFS('Non Energy Use Worksheet'!$C119:$AH119,'Non Energy Use Worksheet'!$C$1:$AH$1,'Start Year Energy'!G$28)</f>
        <v>0</v>
      </c>
      <c r="H35" s="214">
        <f>SUMIFS('Non Energy Use Worksheet'!$C119:$AH119,'Non Energy Use Worksheet'!$C$1:$AH$1,'Start Year Energy'!H$28)</f>
        <v>0</v>
      </c>
      <c r="I35" s="214">
        <f>SUMIFS('Non Energy Use Worksheet'!$C119:$AH119,'Non Energy Use Worksheet'!$C$1:$AH$1,'Start Year Energy'!I$28)</f>
        <v>167557664809.06793</v>
      </c>
      <c r="J35" s="214">
        <f>SUMIFS('Non Energy Use Worksheet'!$C119:$AH119,'Non Energy Use Worksheet'!$C$1:$AH$1,'Start Year Energy'!J$28)</f>
        <v>10321036408.897108</v>
      </c>
      <c r="K35" s="214">
        <f>SUMIFS('Non Energy Use Worksheet'!$C119:$AH119,'Non Energy Use Worksheet'!$C$1:$AH$1,'Start Year Energy'!K$28)</f>
        <v>0</v>
      </c>
    </row>
    <row r="36" spans="1:11" x14ac:dyDescent="0.2">
      <c r="A36" s="177" t="s">
        <v>380</v>
      </c>
      <c r="B36" s="214">
        <f>SUMIFS('Non Energy Use Worksheet'!$C120:$AH120,'Non Energy Use Worksheet'!$C$1:$AH$1,'Start Year Energy'!B$28)</f>
        <v>0</v>
      </c>
      <c r="C36" s="214">
        <f>SUMIFS('Non Energy Use Worksheet'!$C120:$AH120,'Non Energy Use Worksheet'!$C$1:$AH$1,'Start Year Energy'!C$28)</f>
        <v>0</v>
      </c>
      <c r="D36" s="214">
        <f>SUMIFS('Non Energy Use Worksheet'!$C120:$AH120,'Non Energy Use Worksheet'!$C$1:$AH$1,'Start Year Energy'!D$28)</f>
        <v>2052250855767.4485</v>
      </c>
      <c r="E36" s="214">
        <f>SUMIFS('Non Energy Use Worksheet'!$C120:$AH120,'Non Energy Use Worksheet'!$C$1:$AH$1,'Start Year Energy'!E$28)</f>
        <v>0</v>
      </c>
      <c r="F36" s="214">
        <f>SUMIFS('Non Energy Use Worksheet'!$C120:$AH120,'Non Energy Use Worksheet'!$C$1:$AH$1,'Start Year Energy'!F$28)</f>
        <v>149532338918.4487</v>
      </c>
      <c r="G36" s="214">
        <f>SUMIFS('Non Energy Use Worksheet'!$C120:$AH120,'Non Energy Use Worksheet'!$C$1:$AH$1,'Start Year Energy'!G$28)</f>
        <v>0</v>
      </c>
      <c r="H36" s="214">
        <f>SUMIFS('Non Energy Use Worksheet'!$C120:$AH120,'Non Energy Use Worksheet'!$C$1:$AH$1,'Start Year Energy'!H$28)</f>
        <v>0</v>
      </c>
      <c r="I36" s="214">
        <f>SUMIFS('Non Energy Use Worksheet'!$C120:$AH120,'Non Energy Use Worksheet'!$C$1:$AH$1,'Start Year Energy'!I$28)</f>
        <v>211927402371.57434</v>
      </c>
      <c r="J36" s="214">
        <f>SUMIFS('Non Energy Use Worksheet'!$C120:$AH120,'Non Energy Use Worksheet'!$C$1:$AH$1,'Start Year Energy'!J$28)</f>
        <v>125173296154.61804</v>
      </c>
      <c r="K36" s="214">
        <f>SUMIFS('Non Energy Use Worksheet'!$C120:$AH120,'Non Energy Use Worksheet'!$C$1:$AH$1,'Start Year Energy'!K$28)</f>
        <v>0</v>
      </c>
    </row>
    <row r="37" spans="1:11" x14ac:dyDescent="0.2">
      <c r="A37" s="177" t="s">
        <v>381</v>
      </c>
      <c r="B37" s="214">
        <f>SUMIFS('Non Energy Use Worksheet'!$C121:$AH121,'Non Energy Use Worksheet'!$C$1:$AH$1,'Start Year Energy'!B$28)</f>
        <v>0</v>
      </c>
      <c r="C37" s="214">
        <f>SUMIFS('Non Energy Use Worksheet'!$C121:$AH121,'Non Energy Use Worksheet'!$C$1:$AH$1,'Start Year Energy'!C$28)</f>
        <v>1.6874111752537758E+16</v>
      </c>
      <c r="D37" s="214">
        <f>SUMIFS('Non Energy Use Worksheet'!$C121:$AH121,'Non Energy Use Worksheet'!$C$1:$AH$1,'Start Year Energy'!D$28)</f>
        <v>151567770477792.69</v>
      </c>
      <c r="E37" s="214">
        <f>SUMIFS('Non Energy Use Worksheet'!$C121:$AH121,'Non Energy Use Worksheet'!$C$1:$AH$1,'Start Year Energy'!E$28)</f>
        <v>115202337771976.72</v>
      </c>
      <c r="F37" s="214">
        <f>SUMIFS('Non Energy Use Worksheet'!$C121:$AH121,'Non Energy Use Worksheet'!$C$1:$AH$1,'Start Year Energy'!F$28)</f>
        <v>194278930889339.13</v>
      </c>
      <c r="G37" s="214">
        <f>SUMIFS('Non Energy Use Worksheet'!$C121:$AH121,'Non Energy Use Worksheet'!$C$1:$AH$1,'Start Year Energy'!G$28)</f>
        <v>0</v>
      </c>
      <c r="H37" s="214">
        <f>SUMIFS('Non Energy Use Worksheet'!$C121:$AH121,'Non Energy Use Worksheet'!$C$1:$AH$1,'Start Year Energy'!H$28)</f>
        <v>2.7356889750244024E+16</v>
      </c>
      <c r="I37" s="214">
        <f>SUMIFS('Non Energy Use Worksheet'!$C121:$AH121,'Non Energy Use Worksheet'!$C$1:$AH$1,'Start Year Energy'!I$28)</f>
        <v>6085742652952872</v>
      </c>
      <c r="J37" s="214">
        <f>SUMIFS('Non Energy Use Worksheet'!$C121:$AH121,'Non Energy Use Worksheet'!$C$1:$AH$1,'Start Year Energy'!J$28)</f>
        <v>2004325322931390.3</v>
      </c>
      <c r="K37" s="214">
        <f>SUMIFS('Non Energy Use Worksheet'!$C121:$AH121,'Non Energy Use Worksheet'!$C$1:$AH$1,'Start Year Energy'!K$28)</f>
        <v>0</v>
      </c>
    </row>
    <row r="38" spans="1:11" x14ac:dyDescent="0.2">
      <c r="A38" s="177" t="s">
        <v>382</v>
      </c>
      <c r="B38" s="214">
        <f>SUMIFS('Non Energy Use Worksheet'!$C122:$AH122,'Non Energy Use Worksheet'!$C$1:$AH$1,'Start Year Energy'!B$28)</f>
        <v>0</v>
      </c>
      <c r="C38" s="214">
        <f>SUMIFS('Non Energy Use Worksheet'!$C122:$AH122,'Non Energy Use Worksheet'!$C$1:$AH$1,'Start Year Energy'!C$28)</f>
        <v>2565288367560149</v>
      </c>
      <c r="D38" s="214">
        <f>SUMIFS('Non Energy Use Worksheet'!$C122:$AH122,'Non Energy Use Worksheet'!$C$1:$AH$1,'Start Year Energy'!D$28)</f>
        <v>275384557362449.47</v>
      </c>
      <c r="E38" s="214">
        <f>SUMIFS('Non Energy Use Worksheet'!$C122:$AH122,'Non Energy Use Worksheet'!$C$1:$AH$1,'Start Year Energy'!E$28)</f>
        <v>0</v>
      </c>
      <c r="F38" s="214">
        <f>SUMIFS('Non Energy Use Worksheet'!$C122:$AH122,'Non Energy Use Worksheet'!$C$1:$AH$1,'Start Year Energy'!F$28)</f>
        <v>83610290211480.031</v>
      </c>
      <c r="G38" s="214">
        <f>SUMIFS('Non Energy Use Worksheet'!$C122:$AH122,'Non Energy Use Worksheet'!$C$1:$AH$1,'Start Year Energy'!G$28)</f>
        <v>0</v>
      </c>
      <c r="H38" s="214">
        <f>SUMIFS('Non Energy Use Worksheet'!$C122:$AH122,'Non Energy Use Worksheet'!$C$1:$AH$1,'Start Year Energy'!H$28)</f>
        <v>0</v>
      </c>
      <c r="I38" s="214">
        <f>SUMIFS('Non Energy Use Worksheet'!$C122:$AH122,'Non Energy Use Worksheet'!$C$1:$AH$1,'Start Year Energy'!I$28)</f>
        <v>419145024780224.88</v>
      </c>
      <c r="J38" s="214">
        <f>SUMIFS('Non Energy Use Worksheet'!$C122:$AH122,'Non Energy Use Worksheet'!$C$1:$AH$1,'Start Year Energy'!J$28)</f>
        <v>1957971051298333</v>
      </c>
      <c r="K38" s="214">
        <f>SUMIFS('Non Energy Use Worksheet'!$C122:$AH122,'Non Energy Use Worksheet'!$C$1:$AH$1,'Start Year Energy'!K$28)</f>
        <v>0</v>
      </c>
    </row>
    <row r="39" spans="1:11" x14ac:dyDescent="0.2">
      <c r="A39" s="177" t="s">
        <v>383</v>
      </c>
      <c r="B39" s="214">
        <f>SUMIFS('Non Energy Use Worksheet'!$C123:$AH123,'Non Energy Use Worksheet'!$C$1:$AH$1,'Start Year Energy'!B$28)</f>
        <v>0</v>
      </c>
      <c r="C39" s="214">
        <f>SUMIFS('Non Energy Use Worksheet'!$C123:$AH123,'Non Energy Use Worksheet'!$C$1:$AH$1,'Start Year Energy'!C$28)</f>
        <v>0</v>
      </c>
      <c r="D39" s="214">
        <f>SUMIFS('Non Energy Use Worksheet'!$C123:$AH123,'Non Energy Use Worksheet'!$C$1:$AH$1,'Start Year Energy'!D$28)</f>
        <v>1001168820571.2302</v>
      </c>
      <c r="E39" s="214">
        <f>SUMIFS('Non Energy Use Worksheet'!$C123:$AH123,'Non Energy Use Worksheet'!$C$1:$AH$1,'Start Year Energy'!E$28)</f>
        <v>0</v>
      </c>
      <c r="F39" s="214">
        <f>SUMIFS('Non Energy Use Worksheet'!$C123:$AH123,'Non Energy Use Worksheet'!$C$1:$AH$1,'Start Year Energy'!F$28)</f>
        <v>283681067349.39532</v>
      </c>
      <c r="G39" s="214">
        <f>SUMIFS('Non Energy Use Worksheet'!$C123:$AH123,'Non Energy Use Worksheet'!$C$1:$AH$1,'Start Year Energy'!G$28)</f>
        <v>0</v>
      </c>
      <c r="H39" s="214">
        <f>SUMIFS('Non Energy Use Worksheet'!$C123:$AH123,'Non Energy Use Worksheet'!$C$1:$AH$1,'Start Year Energy'!H$28)</f>
        <v>0</v>
      </c>
      <c r="I39" s="214">
        <f>SUMIFS('Non Energy Use Worksheet'!$C123:$AH123,'Non Energy Use Worksheet'!$C$1:$AH$1,'Start Year Energy'!I$28)</f>
        <v>639903878669.1626</v>
      </c>
      <c r="J39" s="214">
        <f>SUMIFS('Non Energy Use Worksheet'!$C123:$AH123,'Non Energy Use Worksheet'!$C$1:$AH$1,'Start Year Energy'!J$28)</f>
        <v>208874570012.89133</v>
      </c>
      <c r="K39" s="214">
        <f>SUMIFS('Non Energy Use Worksheet'!$C123:$AH123,'Non Energy Use Worksheet'!$C$1:$AH$1,'Start Year Energy'!K$28)</f>
        <v>0</v>
      </c>
    </row>
    <row r="40" spans="1:11" x14ac:dyDescent="0.2">
      <c r="A40" s="177" t="s">
        <v>384</v>
      </c>
      <c r="B40" s="214">
        <f>SUMIFS('Non Energy Use Worksheet'!$C124:$AH124,'Non Energy Use Worksheet'!$C$1:$AH$1,'Start Year Energy'!B$28)</f>
        <v>0</v>
      </c>
      <c r="C40" s="214">
        <f>SUMIFS('Non Energy Use Worksheet'!$C124:$AH124,'Non Energy Use Worksheet'!$C$1:$AH$1,'Start Year Energy'!C$28)</f>
        <v>182513011230637.69</v>
      </c>
      <c r="D40" s="214">
        <f>SUMIFS('Non Energy Use Worksheet'!$C124:$AH124,'Non Energy Use Worksheet'!$C$1:$AH$1,'Start Year Energy'!D$28)</f>
        <v>10323253506965.742</v>
      </c>
      <c r="E40" s="214">
        <f>SUMIFS('Non Energy Use Worksheet'!$C124:$AH124,'Non Energy Use Worksheet'!$C$1:$AH$1,'Start Year Energy'!E$28)</f>
        <v>0</v>
      </c>
      <c r="F40" s="214">
        <f>SUMIFS('Non Energy Use Worksheet'!$C124:$AH124,'Non Energy Use Worksheet'!$C$1:$AH$1,'Start Year Energy'!F$28)</f>
        <v>3544866419899.7959</v>
      </c>
      <c r="G40" s="214">
        <f>SUMIFS('Non Energy Use Worksheet'!$C124:$AH124,'Non Energy Use Worksheet'!$C$1:$AH$1,'Start Year Energy'!G$28)</f>
        <v>0</v>
      </c>
      <c r="H40" s="214">
        <f>SUMIFS('Non Energy Use Worksheet'!$C124:$AH124,'Non Energy Use Worksheet'!$C$1:$AH$1,'Start Year Energy'!H$28)</f>
        <v>0</v>
      </c>
      <c r="I40" s="214">
        <f>SUMIFS('Non Energy Use Worksheet'!$C124:$AH124,'Non Energy Use Worksheet'!$C$1:$AH$1,'Start Year Energy'!I$28)</f>
        <v>839324960941148.25</v>
      </c>
      <c r="J40" s="214">
        <f>SUMIFS('Non Energy Use Worksheet'!$C124:$AH124,'Non Energy Use Worksheet'!$C$1:$AH$1,'Start Year Energy'!J$28)</f>
        <v>9296590726480.9551</v>
      </c>
      <c r="K40" s="214">
        <f>SUMIFS('Non Energy Use Worksheet'!$C124:$AH124,'Non Energy Use Worksheet'!$C$1:$AH$1,'Start Year Energy'!K$28)</f>
        <v>0</v>
      </c>
    </row>
    <row r="41" spans="1:11" x14ac:dyDescent="0.2">
      <c r="A41" s="177" t="s">
        <v>385</v>
      </c>
      <c r="B41" s="214">
        <f>SUMIFS('Non Energy Use Worksheet'!$C125:$AH125,'Non Energy Use Worksheet'!$C$1:$AH$1,'Start Year Energy'!B$28)</f>
        <v>0</v>
      </c>
      <c r="C41" s="214">
        <f>SUMIFS('Non Energy Use Worksheet'!$C125:$AH125,'Non Energy Use Worksheet'!$C$1:$AH$1,'Start Year Energy'!C$28)</f>
        <v>0</v>
      </c>
      <c r="D41" s="214">
        <f>SUMIFS('Non Energy Use Worksheet'!$C125:$AH125,'Non Energy Use Worksheet'!$C$1:$AH$1,'Start Year Energy'!D$28)</f>
        <v>884794257987.54993</v>
      </c>
      <c r="E41" s="214">
        <f>SUMIFS('Non Energy Use Worksheet'!$C125:$AH125,'Non Energy Use Worksheet'!$C$1:$AH$1,'Start Year Energy'!E$28)</f>
        <v>0</v>
      </c>
      <c r="F41" s="214">
        <f>SUMIFS('Non Energy Use Worksheet'!$C125:$AH125,'Non Energy Use Worksheet'!$C$1:$AH$1,'Start Year Energy'!F$28)</f>
        <v>438734666872.71753</v>
      </c>
      <c r="G41" s="214">
        <f>SUMIFS('Non Energy Use Worksheet'!$C125:$AH125,'Non Energy Use Worksheet'!$C$1:$AH$1,'Start Year Energy'!G$28)</f>
        <v>0</v>
      </c>
      <c r="H41" s="214">
        <f>SUMIFS('Non Energy Use Worksheet'!$C125:$AH125,'Non Energy Use Worksheet'!$C$1:$AH$1,'Start Year Energy'!H$28)</f>
        <v>0</v>
      </c>
      <c r="I41" s="214">
        <f>SUMIFS('Non Energy Use Worksheet'!$C125:$AH125,'Non Energy Use Worksheet'!$C$1:$AH$1,'Start Year Energy'!I$28)</f>
        <v>22034042144.42524</v>
      </c>
      <c r="J41" s="214">
        <f>SUMIFS('Non Energy Use Worksheet'!$C125:$AH125,'Non Energy Use Worksheet'!$C$1:$AH$1,'Start Year Energy'!J$28)</f>
        <v>333572219305.88251</v>
      </c>
      <c r="K41" s="214">
        <f>SUMIFS('Non Energy Use Worksheet'!$C125:$AH125,'Non Energy Use Worksheet'!$C$1:$AH$1,'Start Year Energy'!K$28)</f>
        <v>0</v>
      </c>
    </row>
    <row r="42" spans="1:11" x14ac:dyDescent="0.2">
      <c r="A42" s="177" t="s">
        <v>386</v>
      </c>
      <c r="B42" s="214">
        <f>SUMIFS('Non Energy Use Worksheet'!$C126:$AH126,'Non Energy Use Worksheet'!$C$1:$AH$1,'Start Year Energy'!B$28)</f>
        <v>0</v>
      </c>
      <c r="C42" s="214">
        <f>SUMIFS('Non Energy Use Worksheet'!$C126:$AH126,'Non Energy Use Worksheet'!$C$1:$AH$1,'Start Year Energy'!C$28)</f>
        <v>0</v>
      </c>
      <c r="D42" s="214">
        <f>SUMIFS('Non Energy Use Worksheet'!$C126:$AH126,'Non Energy Use Worksheet'!$C$1:$AH$1,'Start Year Energy'!D$28)</f>
        <v>7186945146847.6768</v>
      </c>
      <c r="E42" s="214">
        <f>SUMIFS('Non Energy Use Worksheet'!$C126:$AH126,'Non Energy Use Worksheet'!$C$1:$AH$1,'Start Year Energy'!E$28)</f>
        <v>0</v>
      </c>
      <c r="F42" s="214">
        <f>SUMIFS('Non Energy Use Worksheet'!$C126:$AH126,'Non Energy Use Worksheet'!$C$1:$AH$1,'Start Year Energy'!F$28)</f>
        <v>25519113131961.781</v>
      </c>
      <c r="G42" s="214">
        <f>SUMIFS('Non Energy Use Worksheet'!$C126:$AH126,'Non Energy Use Worksheet'!$C$1:$AH$1,'Start Year Energy'!G$28)</f>
        <v>0</v>
      </c>
      <c r="H42" s="214">
        <f>SUMIFS('Non Energy Use Worksheet'!$C126:$AH126,'Non Energy Use Worksheet'!$C$1:$AH$1,'Start Year Energy'!H$28)</f>
        <v>0</v>
      </c>
      <c r="I42" s="214">
        <f>SUMIFS('Non Energy Use Worksheet'!$C126:$AH126,'Non Energy Use Worksheet'!$C$1:$AH$1,'Start Year Energy'!I$28)</f>
        <v>9675633376.7610435</v>
      </c>
      <c r="J42" s="214">
        <f>SUMIFS('Non Energy Use Worksheet'!$C126:$AH126,'Non Energy Use Worksheet'!$C$1:$AH$1,'Start Year Energy'!J$28)</f>
        <v>85510530635340.453</v>
      </c>
      <c r="K42" s="214">
        <f>SUMIFS('Non Energy Use Worksheet'!$C126:$AH126,'Non Energy Use Worksheet'!$C$1:$AH$1,'Start Year Energy'!K$28)</f>
        <v>0</v>
      </c>
    </row>
    <row r="43" spans="1:11" x14ac:dyDescent="0.2">
      <c r="A43" s="177" t="s">
        <v>387</v>
      </c>
      <c r="B43" s="214">
        <f>SUMIFS('Non Energy Use Worksheet'!$C127:$AH127,'Non Energy Use Worksheet'!$C$1:$AH$1,'Start Year Energy'!B$28)</f>
        <v>0</v>
      </c>
      <c r="C43" s="214">
        <f>SUMIFS('Non Energy Use Worksheet'!$C127:$AH127,'Non Energy Use Worksheet'!$C$1:$AH$1,'Start Year Energy'!C$28)</f>
        <v>0</v>
      </c>
      <c r="D43" s="214">
        <f>SUMIFS('Non Energy Use Worksheet'!$C127:$AH127,'Non Energy Use Worksheet'!$C$1:$AH$1,'Start Year Energy'!D$28)</f>
        <v>2735626660557.5332</v>
      </c>
      <c r="E43" s="214">
        <f>SUMIFS('Non Energy Use Worksheet'!$C127:$AH127,'Non Energy Use Worksheet'!$C$1:$AH$1,'Start Year Energy'!E$28)</f>
        <v>0</v>
      </c>
      <c r="F43" s="214">
        <f>SUMIFS('Non Energy Use Worksheet'!$C127:$AH127,'Non Energy Use Worksheet'!$C$1:$AH$1,'Start Year Energy'!F$28)</f>
        <v>1012151968045.3575</v>
      </c>
      <c r="G43" s="214">
        <f>SUMIFS('Non Energy Use Worksheet'!$C127:$AH127,'Non Energy Use Worksheet'!$C$1:$AH$1,'Start Year Energy'!G$28)</f>
        <v>0</v>
      </c>
      <c r="H43" s="214">
        <f>SUMIFS('Non Energy Use Worksheet'!$C127:$AH127,'Non Energy Use Worksheet'!$C$1:$AH$1,'Start Year Energy'!H$28)</f>
        <v>0</v>
      </c>
      <c r="I43" s="214">
        <f>SUMIFS('Non Energy Use Worksheet'!$C127:$AH127,'Non Energy Use Worksheet'!$C$1:$AH$1,'Start Year Energy'!I$28)</f>
        <v>2234023773322.6704</v>
      </c>
      <c r="J43" s="214">
        <f>SUMIFS('Non Energy Use Worksheet'!$C127:$AH127,'Non Energy Use Worksheet'!$C$1:$AH$1,'Start Year Energy'!J$28)</f>
        <v>5735806021182.6025</v>
      </c>
      <c r="K43" s="214">
        <f>SUMIFS('Non Energy Use Worksheet'!$C127:$AH127,'Non Energy Use Worksheet'!$C$1:$AH$1,'Start Year Energy'!K$28)</f>
        <v>0</v>
      </c>
    </row>
    <row r="44" spans="1:11" x14ac:dyDescent="0.2">
      <c r="A44" s="177" t="s">
        <v>388</v>
      </c>
      <c r="B44" s="214">
        <f>SUMIFS('Non Energy Use Worksheet'!$C128:$AH128,'Non Energy Use Worksheet'!$C$1:$AH$1,'Start Year Energy'!B$28)</f>
        <v>0</v>
      </c>
      <c r="C44" s="214">
        <f>SUMIFS('Non Energy Use Worksheet'!$C128:$AH128,'Non Energy Use Worksheet'!$C$1:$AH$1,'Start Year Energy'!C$28)</f>
        <v>0</v>
      </c>
      <c r="D44" s="214">
        <f>SUMIFS('Non Energy Use Worksheet'!$C128:$AH128,'Non Energy Use Worksheet'!$C$1:$AH$1,'Start Year Energy'!D$28)</f>
        <v>3373484840718.5845</v>
      </c>
      <c r="E44" s="214">
        <f>SUMIFS('Non Energy Use Worksheet'!$C128:$AH128,'Non Energy Use Worksheet'!$C$1:$AH$1,'Start Year Energy'!E$28)</f>
        <v>0</v>
      </c>
      <c r="F44" s="214">
        <f>SUMIFS('Non Energy Use Worksheet'!$C128:$AH128,'Non Energy Use Worksheet'!$C$1:$AH$1,'Start Year Energy'!F$28)</f>
        <v>393548215016.58722</v>
      </c>
      <c r="G44" s="214">
        <f>SUMIFS('Non Energy Use Worksheet'!$C128:$AH128,'Non Energy Use Worksheet'!$C$1:$AH$1,'Start Year Energy'!G$28)</f>
        <v>0</v>
      </c>
      <c r="H44" s="214">
        <f>SUMIFS('Non Energy Use Worksheet'!$C128:$AH128,'Non Energy Use Worksheet'!$C$1:$AH$1,'Start Year Energy'!H$28)</f>
        <v>0</v>
      </c>
      <c r="I44" s="214">
        <f>SUMIFS('Non Energy Use Worksheet'!$C128:$AH128,'Non Energy Use Worksheet'!$C$1:$AH$1,'Start Year Energy'!I$28)</f>
        <v>54334949477.466324</v>
      </c>
      <c r="J44" s="214">
        <f>SUMIFS('Non Energy Use Worksheet'!$C128:$AH128,'Non Energy Use Worksheet'!$C$1:$AH$1,'Start Year Energy'!J$28)</f>
        <v>820430326583.73499</v>
      </c>
      <c r="K44" s="214">
        <f>SUMIFS('Non Energy Use Worksheet'!$C128:$AH128,'Non Energy Use Worksheet'!$C$1:$AH$1,'Start Year Energy'!K$28)</f>
        <v>0</v>
      </c>
    </row>
    <row r="45" spans="1:11" x14ac:dyDescent="0.2">
      <c r="A45" s="177" t="s">
        <v>389</v>
      </c>
      <c r="B45" s="214">
        <f>SUMIFS('Non Energy Use Worksheet'!$C129:$AH129,'Non Energy Use Worksheet'!$C$1:$AH$1,'Start Year Energy'!B$28)</f>
        <v>0</v>
      </c>
      <c r="C45" s="214">
        <f>SUMIFS('Non Energy Use Worksheet'!$C129:$AH129,'Non Energy Use Worksheet'!$C$1:$AH$1,'Start Year Energy'!C$28)</f>
        <v>0</v>
      </c>
      <c r="D45" s="214">
        <f>SUMIFS('Non Energy Use Worksheet'!$C129:$AH129,'Non Energy Use Worksheet'!$C$1:$AH$1,'Start Year Energy'!D$28)</f>
        <v>1546798125040.6538</v>
      </c>
      <c r="E45" s="214">
        <f>SUMIFS('Non Energy Use Worksheet'!$C129:$AH129,'Non Energy Use Worksheet'!$C$1:$AH$1,'Start Year Energy'!E$28)</f>
        <v>0</v>
      </c>
      <c r="F45" s="214">
        <f>SUMIFS('Non Energy Use Worksheet'!$C129:$AH129,'Non Energy Use Worksheet'!$C$1:$AH$1,'Start Year Energy'!F$28)</f>
        <v>61504493096.835854</v>
      </c>
      <c r="G45" s="214">
        <f>SUMIFS('Non Energy Use Worksheet'!$C129:$AH129,'Non Energy Use Worksheet'!$C$1:$AH$1,'Start Year Energy'!G$28)</f>
        <v>0</v>
      </c>
      <c r="H45" s="214">
        <f>SUMIFS('Non Energy Use Worksheet'!$C129:$AH129,'Non Energy Use Worksheet'!$C$1:$AH$1,'Start Year Energy'!H$28)</f>
        <v>0</v>
      </c>
      <c r="I45" s="214">
        <f>SUMIFS('Non Energy Use Worksheet'!$C129:$AH129,'Non Energy Use Worksheet'!$C$1:$AH$1,'Start Year Energy'!I$28)</f>
        <v>22515926478.674614</v>
      </c>
      <c r="J45" s="214">
        <f>SUMIFS('Non Energy Use Worksheet'!$C129:$AH129,'Non Energy Use Worksheet'!$C$1:$AH$1,'Start Year Energy'!J$28)</f>
        <v>39594691582.364059</v>
      </c>
      <c r="K45" s="214">
        <f>SUMIFS('Non Energy Use Worksheet'!$C129:$AH129,'Non Energy Use Worksheet'!$C$1:$AH$1,'Start Year Energy'!K$28)</f>
        <v>0</v>
      </c>
    </row>
    <row r="46" spans="1:11" x14ac:dyDescent="0.2">
      <c r="A46" s="177" t="s">
        <v>390</v>
      </c>
      <c r="B46" s="214">
        <f>SUMIFS('Non Energy Use Worksheet'!$C130:$AH130,'Non Energy Use Worksheet'!$C$1:$AH$1,'Start Year Energy'!B$28)</f>
        <v>0</v>
      </c>
      <c r="C46" s="214">
        <f>SUMIFS('Non Energy Use Worksheet'!$C130:$AH130,'Non Energy Use Worksheet'!$C$1:$AH$1,'Start Year Energy'!C$28)</f>
        <v>0</v>
      </c>
      <c r="D46" s="214">
        <f>SUMIFS('Non Energy Use Worksheet'!$C130:$AH130,'Non Energy Use Worksheet'!$C$1:$AH$1,'Start Year Energy'!D$28)</f>
        <v>724535097262.68774</v>
      </c>
      <c r="E46" s="214">
        <f>SUMIFS('Non Energy Use Worksheet'!$C130:$AH130,'Non Energy Use Worksheet'!$C$1:$AH$1,'Start Year Energy'!E$28)</f>
        <v>0</v>
      </c>
      <c r="F46" s="214">
        <f>SUMIFS('Non Energy Use Worksheet'!$C130:$AH130,'Non Energy Use Worksheet'!$C$1:$AH$1,'Start Year Energy'!F$28)</f>
        <v>90284620245.322952</v>
      </c>
      <c r="G46" s="214">
        <f>SUMIFS('Non Energy Use Worksheet'!$C130:$AH130,'Non Energy Use Worksheet'!$C$1:$AH$1,'Start Year Energy'!G$28)</f>
        <v>0</v>
      </c>
      <c r="H46" s="214">
        <f>SUMIFS('Non Energy Use Worksheet'!$C130:$AH130,'Non Energy Use Worksheet'!$C$1:$AH$1,'Start Year Energy'!H$28)</f>
        <v>0</v>
      </c>
      <c r="I46" s="214">
        <f>SUMIFS('Non Energy Use Worksheet'!$C130:$AH130,'Non Energy Use Worksheet'!$C$1:$AH$1,'Start Year Energy'!I$28)</f>
        <v>72331479179.447205</v>
      </c>
      <c r="J46" s="214">
        <f>SUMIFS('Non Energy Use Worksheet'!$C130:$AH130,'Non Energy Use Worksheet'!$C$1:$AH$1,'Start Year Energy'!J$28)</f>
        <v>130045058752.10355</v>
      </c>
      <c r="K46" s="214">
        <f>SUMIFS('Non Energy Use Worksheet'!$C130:$AH130,'Non Energy Use Worksheet'!$C$1:$AH$1,'Start Year Energy'!K$28)</f>
        <v>0</v>
      </c>
    </row>
    <row r="47" spans="1:11" x14ac:dyDescent="0.2">
      <c r="A47" s="177" t="s">
        <v>391</v>
      </c>
      <c r="B47" s="214">
        <f>SUMIFS('Non Energy Use Worksheet'!$C131:$AH131,'Non Energy Use Worksheet'!$C$1:$AH$1,'Start Year Energy'!B$28)</f>
        <v>0</v>
      </c>
      <c r="C47" s="214">
        <f>SUMIFS('Non Energy Use Worksheet'!$C131:$AH131,'Non Energy Use Worksheet'!$C$1:$AH$1,'Start Year Energy'!C$28)</f>
        <v>0</v>
      </c>
      <c r="D47" s="214">
        <f>SUMIFS('Non Energy Use Worksheet'!$C131:$AH131,'Non Energy Use Worksheet'!$C$1:$AH$1,'Start Year Energy'!D$28)</f>
        <v>200629368226.12494</v>
      </c>
      <c r="E47" s="214">
        <f>SUMIFS('Non Energy Use Worksheet'!$C131:$AH131,'Non Energy Use Worksheet'!$C$1:$AH$1,'Start Year Energy'!E$28)</f>
        <v>0</v>
      </c>
      <c r="F47" s="214">
        <f>SUMIFS('Non Energy Use Worksheet'!$C131:$AH131,'Non Energy Use Worksheet'!$C$1:$AH$1,'Start Year Energy'!F$28)</f>
        <v>122003312113.72675</v>
      </c>
      <c r="G47" s="214">
        <f>SUMIFS('Non Energy Use Worksheet'!$C131:$AH131,'Non Energy Use Worksheet'!$C$1:$AH$1,'Start Year Energy'!G$28)</f>
        <v>0</v>
      </c>
      <c r="H47" s="214">
        <f>SUMIFS('Non Energy Use Worksheet'!$C131:$AH131,'Non Energy Use Worksheet'!$C$1:$AH$1,'Start Year Energy'!H$28)</f>
        <v>0</v>
      </c>
      <c r="I47" s="214">
        <f>SUMIFS('Non Energy Use Worksheet'!$C131:$AH131,'Non Energy Use Worksheet'!$C$1:$AH$1,'Start Year Energy'!I$28)</f>
        <v>12176750396.013412</v>
      </c>
      <c r="J47" s="214">
        <f>SUMIFS('Non Energy Use Worksheet'!$C131:$AH131,'Non Energy Use Worksheet'!$C$1:$AH$1,'Start Year Energy'!J$28)</f>
        <v>22055073423.557335</v>
      </c>
      <c r="K47" s="214">
        <f>SUMIFS('Non Energy Use Worksheet'!$C131:$AH131,'Non Energy Use Worksheet'!$C$1:$AH$1,'Start Year Energy'!K$28)</f>
        <v>0</v>
      </c>
    </row>
    <row r="48" spans="1:11" x14ac:dyDescent="0.2">
      <c r="A48" s="177" t="s">
        <v>392</v>
      </c>
      <c r="B48" s="214">
        <f>SUMIFS('Non Energy Use Worksheet'!$C132:$AH132,'Non Energy Use Worksheet'!$C$1:$AH$1,'Start Year Energy'!B$28)</f>
        <v>0</v>
      </c>
      <c r="C48" s="214">
        <f>SUMIFS('Non Energy Use Worksheet'!$C132:$AH132,'Non Energy Use Worksheet'!$C$1:$AH$1,'Start Year Energy'!C$28)</f>
        <v>0</v>
      </c>
      <c r="D48" s="214">
        <f>SUMIFS('Non Energy Use Worksheet'!$C132:$AH132,'Non Energy Use Worksheet'!$C$1:$AH$1,'Start Year Energy'!D$28)</f>
        <v>1360159417180.7002</v>
      </c>
      <c r="E48" s="214">
        <f>SUMIFS('Non Energy Use Worksheet'!$C132:$AH132,'Non Energy Use Worksheet'!$C$1:$AH$1,'Start Year Energy'!E$28)</f>
        <v>0</v>
      </c>
      <c r="F48" s="214">
        <f>SUMIFS('Non Energy Use Worksheet'!$C132:$AH132,'Non Energy Use Worksheet'!$C$1:$AH$1,'Start Year Energy'!F$28)</f>
        <v>199725259278.16724</v>
      </c>
      <c r="G48" s="214">
        <f>SUMIFS('Non Energy Use Worksheet'!$C132:$AH132,'Non Energy Use Worksheet'!$C$1:$AH$1,'Start Year Energy'!G$28)</f>
        <v>0</v>
      </c>
      <c r="H48" s="214">
        <f>SUMIFS('Non Energy Use Worksheet'!$C132:$AH132,'Non Energy Use Worksheet'!$C$1:$AH$1,'Start Year Energy'!H$28)</f>
        <v>0</v>
      </c>
      <c r="I48" s="214">
        <f>SUMIFS('Non Energy Use Worksheet'!$C132:$AH132,'Non Energy Use Worksheet'!$C$1:$AH$1,'Start Year Energy'!I$28)</f>
        <v>28384305592.036095</v>
      </c>
      <c r="J48" s="214">
        <f>SUMIFS('Non Energy Use Worksheet'!$C132:$AH132,'Non Energy Use Worksheet'!$C$1:$AH$1,'Start Year Energy'!J$28)</f>
        <v>589712075912.89819</v>
      </c>
      <c r="K48" s="214">
        <f>SUMIFS('Non Energy Use Worksheet'!$C132:$AH132,'Non Energy Use Worksheet'!$C$1:$AH$1,'Start Year Energy'!K$28)</f>
        <v>0</v>
      </c>
    </row>
    <row r="49" spans="1:11" x14ac:dyDescent="0.2">
      <c r="A49" s="177" t="s">
        <v>393</v>
      </c>
      <c r="B49" s="214">
        <f>SUMIFS('Non Energy Use Worksheet'!$C133:$AH133,'Non Energy Use Worksheet'!$C$1:$AH$1,'Start Year Energy'!B$28)</f>
        <v>0</v>
      </c>
      <c r="C49" s="214">
        <f>SUMIFS('Non Energy Use Worksheet'!$C133:$AH133,'Non Energy Use Worksheet'!$C$1:$AH$1,'Start Year Energy'!C$28)</f>
        <v>0</v>
      </c>
      <c r="D49" s="214">
        <f>SUMIFS('Non Energy Use Worksheet'!$C133:$AH133,'Non Energy Use Worksheet'!$C$1:$AH$1,'Start Year Energy'!D$28)</f>
        <v>1051939841981.8225</v>
      </c>
      <c r="E49" s="214">
        <f>SUMIFS('Non Energy Use Worksheet'!$C133:$AH133,'Non Energy Use Worksheet'!$C$1:$AH$1,'Start Year Energy'!E$28)</f>
        <v>0</v>
      </c>
      <c r="F49" s="214">
        <f>SUMIFS('Non Energy Use Worksheet'!$C133:$AH133,'Non Energy Use Worksheet'!$C$1:$AH$1,'Start Year Energy'!F$28)</f>
        <v>178898537001.99921</v>
      </c>
      <c r="G49" s="214">
        <f>SUMIFS('Non Energy Use Worksheet'!$C133:$AH133,'Non Energy Use Worksheet'!$C$1:$AH$1,'Start Year Energy'!G$28)</f>
        <v>0</v>
      </c>
      <c r="H49" s="214">
        <f>SUMIFS('Non Energy Use Worksheet'!$C133:$AH133,'Non Energy Use Worksheet'!$C$1:$AH$1,'Start Year Energy'!H$28)</f>
        <v>0</v>
      </c>
      <c r="I49" s="214">
        <f>SUMIFS('Non Energy Use Worksheet'!$C133:$AH133,'Non Energy Use Worksheet'!$C$1:$AH$1,'Start Year Energy'!I$28)</f>
        <v>57836983513.539551</v>
      </c>
      <c r="J49" s="214">
        <f>SUMIFS('Non Energy Use Worksheet'!$C133:$AH133,'Non Energy Use Worksheet'!$C$1:$AH$1,'Start Year Energy'!J$28)</f>
        <v>81339602754.964615</v>
      </c>
      <c r="K49" s="214">
        <f>SUMIFS('Non Energy Use Worksheet'!$C133:$AH133,'Non Energy Use Worksheet'!$C$1:$AH$1,'Start Year Energy'!K$28)</f>
        <v>0</v>
      </c>
    </row>
    <row r="50" spans="1:11" x14ac:dyDescent="0.2">
      <c r="A50" s="177" t="s">
        <v>394</v>
      </c>
      <c r="B50" s="214">
        <f>SUMIFS('Non Energy Use Worksheet'!$C134:$AH134,'Non Energy Use Worksheet'!$C$1:$AH$1,'Start Year Energy'!B$28)</f>
        <v>0</v>
      </c>
      <c r="C50" s="214">
        <f>SUMIFS('Non Energy Use Worksheet'!$C134:$AH134,'Non Energy Use Worksheet'!$C$1:$AH$1,'Start Year Energy'!C$28)</f>
        <v>0</v>
      </c>
      <c r="D50" s="214">
        <f>SUMIFS('Non Energy Use Worksheet'!$C134:$AH134,'Non Energy Use Worksheet'!$C$1:$AH$1,'Start Year Energy'!D$28)</f>
        <v>1195115586351.1208</v>
      </c>
      <c r="E50" s="214">
        <f>SUMIFS('Non Energy Use Worksheet'!$C134:$AH134,'Non Energy Use Worksheet'!$C$1:$AH$1,'Start Year Energy'!E$28)</f>
        <v>0</v>
      </c>
      <c r="F50" s="214">
        <f>SUMIFS('Non Energy Use Worksheet'!$C134:$AH134,'Non Energy Use Worksheet'!$C$1:$AH$1,'Start Year Energy'!F$28)</f>
        <v>272591815921.62671</v>
      </c>
      <c r="G50" s="214">
        <f>SUMIFS('Non Energy Use Worksheet'!$C134:$AH134,'Non Energy Use Worksheet'!$C$1:$AH$1,'Start Year Energy'!G$28)</f>
        <v>0</v>
      </c>
      <c r="H50" s="214">
        <f>SUMIFS('Non Energy Use Worksheet'!$C134:$AH134,'Non Energy Use Worksheet'!$C$1:$AH$1,'Start Year Energy'!H$28)</f>
        <v>0</v>
      </c>
      <c r="I50" s="214">
        <f>SUMIFS('Non Energy Use Worksheet'!$C134:$AH134,'Non Energy Use Worksheet'!$C$1:$AH$1,'Start Year Energy'!I$28)</f>
        <v>34801601498.209343</v>
      </c>
      <c r="J50" s="214">
        <f>SUMIFS('Non Energy Use Worksheet'!$C134:$AH134,'Non Energy Use Worksheet'!$C$1:$AH$1,'Start Year Energy'!J$28)</f>
        <v>530187984925.67004</v>
      </c>
      <c r="K50" s="214">
        <f>SUMIFS('Non Energy Use Worksheet'!$C134:$AH134,'Non Energy Use Worksheet'!$C$1:$AH$1,'Start Year Energy'!K$28)</f>
        <v>0</v>
      </c>
    </row>
    <row r="51" spans="1:11" x14ac:dyDescent="0.2">
      <c r="A51" s="177" t="s">
        <v>395</v>
      </c>
      <c r="B51" s="214">
        <f>SUMIFS('Non Energy Use Worksheet'!$C135:$AH135,'Non Energy Use Worksheet'!$C$1:$AH$1,'Start Year Energy'!B$28)</f>
        <v>0</v>
      </c>
      <c r="C51" s="214">
        <f>SUMIFS('Non Energy Use Worksheet'!$C135:$AH135,'Non Energy Use Worksheet'!$C$1:$AH$1,'Start Year Energy'!C$28)</f>
        <v>641643647774665.25</v>
      </c>
      <c r="D51" s="214">
        <f>SUMIFS('Non Energy Use Worksheet'!$C135:$AH135,'Non Energy Use Worksheet'!$C$1:$AH$1,'Start Year Energy'!D$28)</f>
        <v>720448150873786.88</v>
      </c>
      <c r="E51" s="214">
        <f>SUMIFS('Non Energy Use Worksheet'!$C135:$AH135,'Non Energy Use Worksheet'!$C$1:$AH$1,'Start Year Energy'!E$28)</f>
        <v>0</v>
      </c>
      <c r="F51" s="214">
        <f>SUMIFS('Non Energy Use Worksheet'!$C135:$AH135,'Non Energy Use Worksheet'!$C$1:$AH$1,'Start Year Energy'!F$28)</f>
        <v>2113480130905.1465</v>
      </c>
      <c r="G51" s="214">
        <f>SUMIFS('Non Energy Use Worksheet'!$C135:$AH135,'Non Energy Use Worksheet'!$C$1:$AH$1,'Start Year Energy'!G$28)</f>
        <v>0</v>
      </c>
      <c r="H51" s="214">
        <f>SUMIFS('Non Energy Use Worksheet'!$C135:$AH135,'Non Energy Use Worksheet'!$C$1:$AH$1,'Start Year Energy'!H$28)</f>
        <v>0</v>
      </c>
      <c r="I51" s="214">
        <f>SUMIFS('Non Energy Use Worksheet'!$C135:$AH135,'Non Energy Use Worksheet'!$C$1:$AH$1,'Start Year Energy'!I$28)</f>
        <v>2800892009650.4844</v>
      </c>
      <c r="J51" s="214">
        <f>SUMIFS('Non Energy Use Worksheet'!$C135:$AH135,'Non Energy Use Worksheet'!$C$1:$AH$1,'Start Year Energy'!J$28)</f>
        <v>84755476041226.766</v>
      </c>
      <c r="K51" s="214">
        <f>SUMIFS('Non Energy Use Worksheet'!$C135:$AH135,'Non Energy Use Worksheet'!$C$1:$AH$1,'Start Year Energy'!K$28)</f>
        <v>0</v>
      </c>
    </row>
    <row r="52" spans="1:11" x14ac:dyDescent="0.2">
      <c r="A52" s="177" t="s">
        <v>396</v>
      </c>
      <c r="B52" s="214">
        <f>SUMIFS('Non Energy Use Worksheet'!$C136:$AH136,'Non Energy Use Worksheet'!$C$1:$AH$1,'Start Year Energy'!B$28)</f>
        <v>0</v>
      </c>
      <c r="C52" s="214">
        <f>SUMIFS('Non Energy Use Worksheet'!$C136:$AH136,'Non Energy Use Worksheet'!$C$1:$AH$1,'Start Year Energy'!C$28)</f>
        <v>0</v>
      </c>
      <c r="D52" s="214">
        <f>SUMIFS('Non Energy Use Worksheet'!$C136:$AH136,'Non Energy Use Worksheet'!$C$1:$AH$1,'Start Year Energy'!D$28)</f>
        <v>761883487473.35559</v>
      </c>
      <c r="E52" s="214">
        <f>SUMIFS('Non Energy Use Worksheet'!$C136:$AH136,'Non Energy Use Worksheet'!$C$1:$AH$1,'Start Year Energy'!E$28)</f>
        <v>0</v>
      </c>
      <c r="F52" s="214">
        <f>SUMIFS('Non Energy Use Worksheet'!$C136:$AH136,'Non Energy Use Worksheet'!$C$1:$AH$1,'Start Year Energy'!F$28)</f>
        <v>98326558583.937592</v>
      </c>
      <c r="G52" s="214">
        <f>SUMIFS('Non Energy Use Worksheet'!$C136:$AH136,'Non Energy Use Worksheet'!$C$1:$AH$1,'Start Year Energy'!G$28)</f>
        <v>0</v>
      </c>
      <c r="H52" s="214">
        <f>SUMIFS('Non Energy Use Worksheet'!$C136:$AH136,'Non Energy Use Worksheet'!$C$1:$AH$1,'Start Year Energy'!H$28)</f>
        <v>0</v>
      </c>
      <c r="I52" s="214">
        <f>SUMIFS('Non Energy Use Worksheet'!$C136:$AH136,'Non Energy Use Worksheet'!$C$1:$AH$1,'Start Year Energy'!I$28)</f>
        <v>24841938934.349621</v>
      </c>
      <c r="J52" s="214">
        <f>SUMIFS('Non Energy Use Worksheet'!$C136:$AH136,'Non Energy Use Worksheet'!$C$1:$AH$1,'Start Year Energy'!J$28)</f>
        <v>276616092604.80933</v>
      </c>
      <c r="K52" s="214">
        <f>SUMIFS('Non Energy Use Worksheet'!$C136:$AH136,'Non Energy Use Worksheet'!$C$1:$AH$1,'Start Year Energy'!K$28)</f>
        <v>0</v>
      </c>
    </row>
    <row r="53" spans="1:11" x14ac:dyDescent="0.2">
      <c r="A53" s="177" t="s">
        <v>397</v>
      </c>
      <c r="B53" s="214">
        <f>SUMIFS('Non Energy Use Worksheet'!$C137:$AH137,'Non Energy Use Worksheet'!$C$1:$AH$1,'Start Year Energy'!B$28)</f>
        <v>0</v>
      </c>
      <c r="C53" s="214">
        <f>SUMIFS('Non Energy Use Worksheet'!$C137:$AH137,'Non Energy Use Worksheet'!$C$1:$AH$1,'Start Year Energy'!C$28)</f>
        <v>0</v>
      </c>
      <c r="D53" s="214">
        <f>SUMIFS('Non Energy Use Worksheet'!$C137:$AH137,'Non Energy Use Worksheet'!$C$1:$AH$1,'Start Year Energy'!D$28)</f>
        <v>0</v>
      </c>
      <c r="E53" s="214">
        <f>SUMIFS('Non Energy Use Worksheet'!$C137:$AH137,'Non Energy Use Worksheet'!$C$1:$AH$1,'Start Year Energy'!E$28)</f>
        <v>0</v>
      </c>
      <c r="F53" s="214">
        <f>SUMIFS('Non Energy Use Worksheet'!$C137:$AH137,'Non Energy Use Worksheet'!$C$1:$AH$1,'Start Year Energy'!F$28)</f>
        <v>0</v>
      </c>
      <c r="G53" s="214">
        <f>SUMIFS('Non Energy Use Worksheet'!$C137:$AH137,'Non Energy Use Worksheet'!$C$1:$AH$1,'Start Year Energy'!G$28)</f>
        <v>0</v>
      </c>
      <c r="H53" s="214">
        <f>SUMIFS('Non Energy Use Worksheet'!$C137:$AH137,'Non Energy Use Worksheet'!$C$1:$AH$1,'Start Year Energy'!H$28)</f>
        <v>0</v>
      </c>
      <c r="I53" s="214">
        <f>SUMIFS('Non Energy Use Worksheet'!$C137:$AH137,'Non Energy Use Worksheet'!$C$1:$AH$1,'Start Year Energy'!I$28)</f>
        <v>1113928532029844.9</v>
      </c>
      <c r="J53" s="214">
        <f>SUMIFS('Non Energy Use Worksheet'!$C137:$AH137,'Non Energy Use Worksheet'!$C$1:$AH$1,'Start Year Energy'!J$28)</f>
        <v>0</v>
      </c>
      <c r="K53" s="214">
        <f>SUMIFS('Non Energy Use Worksheet'!$C137:$AH137,'Non Energy Use Worksheet'!$C$1:$AH$1,'Start Year Energy'!K$28)</f>
        <v>0</v>
      </c>
    </row>
    <row r="55" spans="1:11" s="211" customFormat="1" ht="42.75" x14ac:dyDescent="0.2">
      <c r="A55" s="212" t="s">
        <v>630</v>
      </c>
      <c r="B55" s="210" t="s">
        <v>564</v>
      </c>
      <c r="C55" s="210" t="s">
        <v>565</v>
      </c>
      <c r="D55" s="210" t="s">
        <v>566</v>
      </c>
      <c r="E55" s="210" t="s">
        <v>567</v>
      </c>
      <c r="F55" s="210" t="s">
        <v>570</v>
      </c>
      <c r="G55" s="210" t="s">
        <v>568</v>
      </c>
      <c r="H55" s="210" t="s">
        <v>569</v>
      </c>
      <c r="I55" s="210" t="s">
        <v>417</v>
      </c>
      <c r="J55" s="210" t="s">
        <v>571</v>
      </c>
      <c r="K55" s="210" t="s">
        <v>572</v>
      </c>
    </row>
    <row r="56" spans="1:11" x14ac:dyDescent="0.2">
      <c r="A56" t="s">
        <v>373</v>
      </c>
      <c r="B56" s="209">
        <f>1-IFERROR(B29/B2,0)</f>
        <v>1</v>
      </c>
      <c r="C56" s="209">
        <f t="shared" ref="C56:K56" si="0">1-IFERROR(C29/C2,0)</f>
        <v>1</v>
      </c>
      <c r="D56" s="209">
        <f t="shared" si="0"/>
        <v>1</v>
      </c>
      <c r="E56" s="209">
        <f t="shared" si="0"/>
        <v>1</v>
      </c>
      <c r="F56" s="209">
        <f t="shared" si="0"/>
        <v>1</v>
      </c>
      <c r="G56" s="209">
        <f t="shared" si="0"/>
        <v>1</v>
      </c>
      <c r="H56" s="209">
        <f t="shared" si="0"/>
        <v>1</v>
      </c>
      <c r="I56" s="209">
        <f t="shared" si="0"/>
        <v>1</v>
      </c>
      <c r="J56" s="209">
        <f t="shared" si="0"/>
        <v>1</v>
      </c>
      <c r="K56" s="209">
        <f t="shared" si="0"/>
        <v>1</v>
      </c>
    </row>
    <row r="57" spans="1:11" x14ac:dyDescent="0.2">
      <c r="A57" t="s">
        <v>374</v>
      </c>
      <c r="B57" s="209">
        <f t="shared" ref="B57:K57" si="1">1-IFERROR(B30/B3,0)</f>
        <v>1</v>
      </c>
      <c r="C57" s="209">
        <f t="shared" si="1"/>
        <v>1.6031668602423443E-2</v>
      </c>
      <c r="D57" s="209">
        <f t="shared" si="1"/>
        <v>0.98124385767335265</v>
      </c>
      <c r="E57" s="209">
        <f t="shared" si="1"/>
        <v>1</v>
      </c>
      <c r="F57" s="209">
        <f t="shared" si="1"/>
        <v>0.97549683169766688</v>
      </c>
      <c r="G57" s="209">
        <f t="shared" si="1"/>
        <v>1</v>
      </c>
      <c r="H57" s="209">
        <f t="shared" si="1"/>
        <v>1</v>
      </c>
      <c r="I57" s="209">
        <f t="shared" si="1"/>
        <v>0.87312489701786933</v>
      </c>
      <c r="J57" s="209">
        <f t="shared" si="1"/>
        <v>0.99605478083855603</v>
      </c>
      <c r="K57" s="209">
        <f t="shared" si="1"/>
        <v>1</v>
      </c>
    </row>
    <row r="58" spans="1:11" x14ac:dyDescent="0.2">
      <c r="A58" t="s">
        <v>375</v>
      </c>
      <c r="B58" s="209">
        <f t="shared" ref="B58:K58" si="2">1-IFERROR(B31/B4,0)</f>
        <v>1</v>
      </c>
      <c r="C58" s="209">
        <f t="shared" si="2"/>
        <v>1</v>
      </c>
      <c r="D58" s="209">
        <f t="shared" si="2"/>
        <v>0.97948383073157408</v>
      </c>
      <c r="E58" s="209">
        <f t="shared" si="2"/>
        <v>1</v>
      </c>
      <c r="F58" s="209">
        <f t="shared" si="2"/>
        <v>0.97994873196056409</v>
      </c>
      <c r="G58" s="209">
        <f t="shared" si="2"/>
        <v>1</v>
      </c>
      <c r="H58" s="209">
        <f t="shared" si="2"/>
        <v>1</v>
      </c>
      <c r="I58" s="209">
        <f t="shared" si="2"/>
        <v>0.99849868534938535</v>
      </c>
      <c r="J58" s="209">
        <f t="shared" si="2"/>
        <v>0.93237353978725912</v>
      </c>
      <c r="K58" s="209">
        <f t="shared" si="2"/>
        <v>1</v>
      </c>
    </row>
    <row r="59" spans="1:11" x14ac:dyDescent="0.2">
      <c r="A59" t="s">
        <v>376</v>
      </c>
      <c r="B59" s="209">
        <f t="shared" ref="B59:K59" si="3">1-IFERROR(B32/B5,0)</f>
        <v>1</v>
      </c>
      <c r="C59" s="209">
        <f t="shared" si="3"/>
        <v>1</v>
      </c>
      <c r="D59" s="209">
        <f t="shared" si="3"/>
        <v>0.98487460366153745</v>
      </c>
      <c r="E59" s="209">
        <f t="shared" si="3"/>
        <v>1</v>
      </c>
      <c r="F59" s="209">
        <f t="shared" si="3"/>
        <v>0.9761726549826758</v>
      </c>
      <c r="G59" s="209">
        <f t="shared" si="3"/>
        <v>1</v>
      </c>
      <c r="H59" s="209">
        <f t="shared" si="3"/>
        <v>1</v>
      </c>
      <c r="I59" s="209">
        <f t="shared" si="3"/>
        <v>0.847413840149282</v>
      </c>
      <c r="J59" s="209">
        <f t="shared" si="3"/>
        <v>0.92162666740122912</v>
      </c>
      <c r="K59" s="209">
        <f t="shared" si="3"/>
        <v>1</v>
      </c>
    </row>
    <row r="60" spans="1:11" x14ac:dyDescent="0.2">
      <c r="A60" t="s">
        <v>377</v>
      </c>
      <c r="B60" s="209">
        <f t="shared" ref="B60:K60" si="4">1-IFERROR(B33/B6,0)</f>
        <v>1</v>
      </c>
      <c r="C60" s="209">
        <f t="shared" si="4"/>
        <v>1</v>
      </c>
      <c r="D60" s="209">
        <f t="shared" si="4"/>
        <v>0.98499928398481273</v>
      </c>
      <c r="E60" s="209">
        <f t="shared" si="4"/>
        <v>1</v>
      </c>
      <c r="F60" s="209">
        <f t="shared" si="4"/>
        <v>0.98248473809651427</v>
      </c>
      <c r="G60" s="209">
        <f t="shared" si="4"/>
        <v>1</v>
      </c>
      <c r="H60" s="209">
        <f t="shared" si="4"/>
        <v>1</v>
      </c>
      <c r="I60" s="209">
        <f t="shared" si="4"/>
        <v>0.82946491130747557</v>
      </c>
      <c r="J60" s="209">
        <f t="shared" si="4"/>
        <v>0.99011890074575171</v>
      </c>
      <c r="K60" s="209">
        <f t="shared" si="4"/>
        <v>1</v>
      </c>
    </row>
    <row r="61" spans="1:11" x14ac:dyDescent="0.2">
      <c r="A61" t="s">
        <v>378</v>
      </c>
      <c r="B61" s="209">
        <f t="shared" ref="B61:K61" si="5">1-IFERROR(B34/B7,0)</f>
        <v>1</v>
      </c>
      <c r="C61" s="209">
        <f t="shared" si="5"/>
        <v>1</v>
      </c>
      <c r="D61" s="209">
        <f t="shared" si="5"/>
        <v>0.98631621268617953</v>
      </c>
      <c r="E61" s="209">
        <f t="shared" si="5"/>
        <v>1</v>
      </c>
      <c r="F61" s="209">
        <f t="shared" si="5"/>
        <v>0.98635167094797382</v>
      </c>
      <c r="G61" s="209">
        <f t="shared" si="5"/>
        <v>1</v>
      </c>
      <c r="H61" s="209">
        <f t="shared" si="5"/>
        <v>1</v>
      </c>
      <c r="I61" s="209">
        <f t="shared" si="5"/>
        <v>0.82324782702789157</v>
      </c>
      <c r="J61" s="209">
        <f t="shared" si="5"/>
        <v>0.98809584353099433</v>
      </c>
      <c r="K61" s="209">
        <f t="shared" si="5"/>
        <v>1</v>
      </c>
    </row>
    <row r="62" spans="1:11" x14ac:dyDescent="0.2">
      <c r="A62" t="s">
        <v>379</v>
      </c>
      <c r="B62" s="209">
        <f t="shared" ref="B62:K62" si="6">1-IFERROR(B35/B8,0)</f>
        <v>1</v>
      </c>
      <c r="C62" s="209">
        <f t="shared" si="6"/>
        <v>1</v>
      </c>
      <c r="D62" s="209">
        <f t="shared" si="6"/>
        <v>0.98061827319327022</v>
      </c>
      <c r="E62" s="209">
        <f t="shared" si="6"/>
        <v>1</v>
      </c>
      <c r="F62" s="209">
        <f t="shared" si="6"/>
        <v>0.98242602406828317</v>
      </c>
      <c r="G62" s="209">
        <f t="shared" si="6"/>
        <v>1</v>
      </c>
      <c r="H62" s="209">
        <f t="shared" si="6"/>
        <v>1</v>
      </c>
      <c r="I62" s="209">
        <f t="shared" si="6"/>
        <v>0.76559705282479062</v>
      </c>
      <c r="J62" s="209">
        <f t="shared" si="6"/>
        <v>0.96009046093928252</v>
      </c>
      <c r="K62" s="209">
        <f t="shared" si="6"/>
        <v>1</v>
      </c>
    </row>
    <row r="63" spans="1:11" x14ac:dyDescent="0.2">
      <c r="A63" t="s">
        <v>380</v>
      </c>
      <c r="B63" s="209">
        <f t="shared" ref="B63:K63" si="7">1-IFERROR(B36/B9,0)</f>
        <v>1</v>
      </c>
      <c r="C63" s="209">
        <f t="shared" si="7"/>
        <v>1</v>
      </c>
      <c r="D63" s="209">
        <f t="shared" si="7"/>
        <v>0.98613246611296579</v>
      </c>
      <c r="E63" s="209">
        <f t="shared" si="7"/>
        <v>1</v>
      </c>
      <c r="F63" s="209">
        <f t="shared" si="7"/>
        <v>0.98232226758048213</v>
      </c>
      <c r="G63" s="209">
        <f t="shared" si="7"/>
        <v>1</v>
      </c>
      <c r="H63" s="209">
        <f t="shared" si="7"/>
        <v>1</v>
      </c>
      <c r="I63" s="209">
        <f t="shared" si="7"/>
        <v>0.95849710099103769</v>
      </c>
      <c r="J63" s="209">
        <f t="shared" si="7"/>
        <v>0.93901573417384787</v>
      </c>
      <c r="K63" s="209">
        <f t="shared" si="7"/>
        <v>1</v>
      </c>
    </row>
    <row r="64" spans="1:11" x14ac:dyDescent="0.2">
      <c r="A64" t="s">
        <v>381</v>
      </c>
      <c r="B64" s="209">
        <f t="shared" ref="B64:K64" si="8">1-IFERROR(B37/B10,0)</f>
        <v>1</v>
      </c>
      <c r="C64" s="209">
        <f t="shared" si="8"/>
        <v>5.8338123612182713E-3</v>
      </c>
      <c r="D64" s="209">
        <f t="shared" si="8"/>
        <v>0.68307723669690024</v>
      </c>
      <c r="E64" s="209">
        <f t="shared" si="8"/>
        <v>0.11148200453631185</v>
      </c>
      <c r="F64" s="209">
        <f t="shared" si="8"/>
        <v>0.12221243295646744</v>
      </c>
      <c r="G64" s="209">
        <f t="shared" si="8"/>
        <v>1</v>
      </c>
      <c r="H64" s="209">
        <f t="shared" si="8"/>
        <v>7.5641125493630668E-4</v>
      </c>
      <c r="I64" s="209">
        <f t="shared" si="8"/>
        <v>0.16893377097477036</v>
      </c>
      <c r="J64" s="209">
        <f t="shared" si="8"/>
        <v>0.42056508866730757</v>
      </c>
      <c r="K64" s="209">
        <f t="shared" si="8"/>
        <v>1</v>
      </c>
    </row>
    <row r="65" spans="1:11" x14ac:dyDescent="0.2">
      <c r="A65" t="s">
        <v>382</v>
      </c>
      <c r="B65" s="209">
        <f t="shared" ref="B65:K65" si="9">1-IFERROR(B38/B11,0)</f>
        <v>1</v>
      </c>
      <c r="C65" s="209">
        <f t="shared" si="9"/>
        <v>0.27394573665346089</v>
      </c>
      <c r="D65" s="209">
        <f t="shared" si="9"/>
        <v>0.82000879543901339</v>
      </c>
      <c r="E65" s="209">
        <f t="shared" si="9"/>
        <v>1</v>
      </c>
      <c r="F65" s="209">
        <f t="shared" si="9"/>
        <v>0.556047339714557</v>
      </c>
      <c r="G65" s="209">
        <f t="shared" si="9"/>
        <v>1</v>
      </c>
      <c r="H65" s="209">
        <f t="shared" si="9"/>
        <v>1</v>
      </c>
      <c r="I65" s="209">
        <f t="shared" si="9"/>
        <v>0.50473623966133796</v>
      </c>
      <c r="J65" s="209">
        <f t="shared" si="9"/>
        <v>0.25304184025940002</v>
      </c>
      <c r="K65" s="209">
        <f t="shared" si="9"/>
        <v>1</v>
      </c>
    </row>
    <row r="66" spans="1:11" x14ac:dyDescent="0.2">
      <c r="A66" t="s">
        <v>383</v>
      </c>
      <c r="B66" s="209">
        <f t="shared" ref="B66:K66" si="10">1-IFERROR(B39/B12,0)</f>
        <v>1</v>
      </c>
      <c r="C66" s="209">
        <f t="shared" si="10"/>
        <v>1</v>
      </c>
      <c r="D66" s="209">
        <f t="shared" si="10"/>
        <v>0.98468718213331885</v>
      </c>
      <c r="E66" s="209">
        <f t="shared" si="10"/>
        <v>1</v>
      </c>
      <c r="F66" s="209">
        <f t="shared" si="10"/>
        <v>0.95537916420522673</v>
      </c>
      <c r="G66" s="209">
        <f t="shared" si="10"/>
        <v>1</v>
      </c>
      <c r="H66" s="209">
        <f t="shared" si="10"/>
        <v>1</v>
      </c>
      <c r="I66" s="209">
        <f t="shared" si="10"/>
        <v>0.83071803006336276</v>
      </c>
      <c r="J66" s="209">
        <f t="shared" si="10"/>
        <v>0.91956589101429742</v>
      </c>
      <c r="K66" s="209">
        <f t="shared" si="10"/>
        <v>1</v>
      </c>
    </row>
    <row r="67" spans="1:11" x14ac:dyDescent="0.2">
      <c r="A67" t="s">
        <v>384</v>
      </c>
      <c r="B67" s="209">
        <f t="shared" ref="B67:K67" si="11">1-IFERROR(B40/B13,0)</f>
        <v>1</v>
      </c>
      <c r="C67" s="209">
        <f t="shared" si="11"/>
        <v>0.95397474616112077</v>
      </c>
      <c r="D67" s="209">
        <f t="shared" si="11"/>
        <v>0.98697957975411998</v>
      </c>
      <c r="E67" s="209">
        <f t="shared" si="11"/>
        <v>1</v>
      </c>
      <c r="F67" s="209">
        <f t="shared" si="11"/>
        <v>0.96612306137249004</v>
      </c>
      <c r="G67" s="209">
        <f t="shared" si="11"/>
        <v>1</v>
      </c>
      <c r="H67" s="209">
        <f t="shared" si="11"/>
        <v>1</v>
      </c>
      <c r="I67" s="209">
        <f t="shared" si="11"/>
        <v>7.7393225831158263E-2</v>
      </c>
      <c r="J67" s="209">
        <f t="shared" si="11"/>
        <v>0.92051245862308306</v>
      </c>
      <c r="K67" s="209">
        <f t="shared" si="11"/>
        <v>1</v>
      </c>
    </row>
    <row r="68" spans="1:11" x14ac:dyDescent="0.2">
      <c r="A68" t="s">
        <v>385</v>
      </c>
      <c r="B68" s="209">
        <f t="shared" ref="B68:K68" si="12">1-IFERROR(B41/B14,0)</f>
        <v>1</v>
      </c>
      <c r="C68" s="209">
        <f t="shared" si="12"/>
        <v>1</v>
      </c>
      <c r="D68" s="209">
        <f t="shared" si="12"/>
        <v>0.98604729628946097</v>
      </c>
      <c r="E68" s="209">
        <f t="shared" si="12"/>
        <v>1</v>
      </c>
      <c r="F68" s="209">
        <f t="shared" si="12"/>
        <v>0.95897292581273241</v>
      </c>
      <c r="G68" s="209">
        <f t="shared" si="12"/>
        <v>1</v>
      </c>
      <c r="H68" s="209">
        <f t="shared" si="12"/>
        <v>1</v>
      </c>
      <c r="I68" s="209">
        <f t="shared" si="12"/>
        <v>0.98432450158529272</v>
      </c>
      <c r="J68" s="209">
        <f t="shared" si="12"/>
        <v>0.93860363439172456</v>
      </c>
      <c r="K68" s="209">
        <f t="shared" si="12"/>
        <v>1</v>
      </c>
    </row>
    <row r="69" spans="1:11" x14ac:dyDescent="0.2">
      <c r="A69" t="s">
        <v>386</v>
      </c>
      <c r="B69" s="209">
        <f t="shared" ref="B69:K69" si="13">1-IFERROR(B42/B15,0)</f>
        <v>1</v>
      </c>
      <c r="C69" s="209">
        <f t="shared" si="13"/>
        <v>1</v>
      </c>
      <c r="D69" s="209">
        <f t="shared" si="13"/>
        <v>0.98562992077646505</v>
      </c>
      <c r="E69" s="209">
        <f t="shared" si="13"/>
        <v>1</v>
      </c>
      <c r="F69" s="209">
        <f t="shared" si="13"/>
        <v>0.79067236538894869</v>
      </c>
      <c r="G69" s="209">
        <f t="shared" si="13"/>
        <v>1</v>
      </c>
      <c r="H69" s="209">
        <f t="shared" si="13"/>
        <v>1</v>
      </c>
      <c r="I69" s="209">
        <f t="shared" si="13"/>
        <v>0.9985592696169493</v>
      </c>
      <c r="J69" s="209">
        <f t="shared" si="13"/>
        <v>0.97880592807783251</v>
      </c>
      <c r="K69" s="209">
        <f t="shared" si="13"/>
        <v>1</v>
      </c>
    </row>
    <row r="70" spans="1:11" x14ac:dyDescent="0.2">
      <c r="A70" t="s">
        <v>387</v>
      </c>
      <c r="B70" s="209">
        <f t="shared" ref="B70:K70" si="14">1-IFERROR(B43/B16,0)</f>
        <v>1</v>
      </c>
      <c r="C70" s="209">
        <f t="shared" si="14"/>
        <v>1</v>
      </c>
      <c r="D70" s="209">
        <f t="shared" si="14"/>
        <v>0.98485927405809393</v>
      </c>
      <c r="E70" s="209">
        <f t="shared" si="14"/>
        <v>1</v>
      </c>
      <c r="F70" s="209">
        <f t="shared" si="14"/>
        <v>0.92804737542075211</v>
      </c>
      <c r="G70" s="209">
        <f t="shared" si="14"/>
        <v>1</v>
      </c>
      <c r="H70" s="209">
        <f t="shared" si="14"/>
        <v>1</v>
      </c>
      <c r="I70" s="209">
        <f t="shared" si="14"/>
        <v>0.97507999741300244</v>
      </c>
      <c r="J70" s="209">
        <f t="shared" si="14"/>
        <v>0.92433905688744977</v>
      </c>
      <c r="K70" s="209">
        <f t="shared" si="14"/>
        <v>1</v>
      </c>
    </row>
    <row r="71" spans="1:11" x14ac:dyDescent="0.2">
      <c r="A71" t="s">
        <v>388</v>
      </c>
      <c r="B71" s="209">
        <f t="shared" ref="B71:K71" si="15">1-IFERROR(B44/B17,0)</f>
        <v>1</v>
      </c>
      <c r="C71" s="209">
        <f t="shared" si="15"/>
        <v>1</v>
      </c>
      <c r="D71" s="209">
        <f t="shared" si="15"/>
        <v>0.98702784990761261</v>
      </c>
      <c r="E71" s="209">
        <f t="shared" si="15"/>
        <v>1</v>
      </c>
      <c r="F71" s="209">
        <f t="shared" si="15"/>
        <v>0.95959678787746927</v>
      </c>
      <c r="G71" s="209">
        <f t="shared" si="15"/>
        <v>1</v>
      </c>
      <c r="H71" s="209">
        <f t="shared" si="15"/>
        <v>1</v>
      </c>
      <c r="I71" s="209">
        <f t="shared" si="15"/>
        <v>0.90832899766809516</v>
      </c>
      <c r="J71" s="209">
        <f t="shared" si="15"/>
        <v>0.9815766094868813</v>
      </c>
      <c r="K71" s="209">
        <f t="shared" si="15"/>
        <v>1</v>
      </c>
    </row>
    <row r="72" spans="1:11" x14ac:dyDescent="0.2">
      <c r="A72" t="s">
        <v>389</v>
      </c>
      <c r="B72" s="209">
        <f t="shared" ref="B72:K72" si="16">1-IFERROR(B45/B18,0)</f>
        <v>1</v>
      </c>
      <c r="C72" s="209">
        <f t="shared" si="16"/>
        <v>1</v>
      </c>
      <c r="D72" s="209">
        <f t="shared" si="16"/>
        <v>0.98459974644277137</v>
      </c>
      <c r="E72" s="209">
        <f t="shared" si="16"/>
        <v>1</v>
      </c>
      <c r="F72" s="209">
        <f t="shared" si="16"/>
        <v>0.9885679661354756</v>
      </c>
      <c r="G72" s="209">
        <f t="shared" si="16"/>
        <v>1</v>
      </c>
      <c r="H72" s="209">
        <f t="shared" si="16"/>
        <v>1</v>
      </c>
      <c r="I72" s="209">
        <f t="shared" si="16"/>
        <v>0.9476045558380547</v>
      </c>
      <c r="J72" s="209">
        <f t="shared" si="16"/>
        <v>0.96110517000860962</v>
      </c>
      <c r="K72" s="209">
        <f t="shared" si="16"/>
        <v>1</v>
      </c>
    </row>
    <row r="73" spans="1:11" x14ac:dyDescent="0.2">
      <c r="A73" t="s">
        <v>390</v>
      </c>
      <c r="B73" s="209">
        <f t="shared" ref="B73:K73" si="17">1-IFERROR(B46/B19,0)</f>
        <v>1</v>
      </c>
      <c r="C73" s="209">
        <f t="shared" si="17"/>
        <v>1</v>
      </c>
      <c r="D73" s="209">
        <f t="shared" si="17"/>
        <v>0.98667416072040315</v>
      </c>
      <c r="E73" s="209">
        <f t="shared" si="17"/>
        <v>1</v>
      </c>
      <c r="F73" s="209">
        <f t="shared" si="17"/>
        <v>0.98684097234235124</v>
      </c>
      <c r="G73" s="209">
        <f t="shared" si="17"/>
        <v>1</v>
      </c>
      <c r="H73" s="209">
        <f t="shared" si="17"/>
        <v>1</v>
      </c>
      <c r="I73" s="209">
        <f t="shared" si="17"/>
        <v>0.93544396882291569</v>
      </c>
      <c r="J73" s="209">
        <f t="shared" si="17"/>
        <v>0.93535426180023762</v>
      </c>
      <c r="K73" s="209">
        <f t="shared" si="17"/>
        <v>1</v>
      </c>
    </row>
    <row r="74" spans="1:11" x14ac:dyDescent="0.2">
      <c r="A74" t="s">
        <v>391</v>
      </c>
      <c r="B74" s="209">
        <f t="shared" ref="B74:K74" si="18">1-IFERROR(B47/B20,0)</f>
        <v>1</v>
      </c>
      <c r="C74" s="209">
        <f t="shared" si="18"/>
        <v>1</v>
      </c>
      <c r="D74" s="209">
        <f t="shared" si="18"/>
        <v>0.98813888401414163</v>
      </c>
      <c r="E74" s="209">
        <f t="shared" si="18"/>
        <v>1</v>
      </c>
      <c r="F74" s="209">
        <f t="shared" si="18"/>
        <v>0.95800951067790818</v>
      </c>
      <c r="G74" s="209">
        <f t="shared" si="18"/>
        <v>1</v>
      </c>
      <c r="H74" s="209">
        <f t="shared" si="18"/>
        <v>1</v>
      </c>
      <c r="I74" s="209">
        <f t="shared" si="18"/>
        <v>0.87027625933835551</v>
      </c>
      <c r="J74" s="209">
        <f t="shared" si="18"/>
        <v>0.98775189383261852</v>
      </c>
      <c r="K74" s="209">
        <f t="shared" si="18"/>
        <v>1</v>
      </c>
    </row>
    <row r="75" spans="1:11" x14ac:dyDescent="0.2">
      <c r="A75" t="s">
        <v>392</v>
      </c>
      <c r="B75" s="209">
        <f t="shared" ref="B75:K75" si="19">1-IFERROR(B48/B21,0)</f>
        <v>1</v>
      </c>
      <c r="C75" s="209">
        <f t="shared" si="19"/>
        <v>1</v>
      </c>
      <c r="D75" s="209">
        <f t="shared" si="19"/>
        <v>0.98652004609595578</v>
      </c>
      <c r="E75" s="209">
        <f t="shared" si="19"/>
        <v>1</v>
      </c>
      <c r="F75" s="209">
        <f t="shared" si="19"/>
        <v>0.98370867801979978</v>
      </c>
      <c r="G75" s="209">
        <f t="shared" si="19"/>
        <v>1</v>
      </c>
      <c r="H75" s="209">
        <f t="shared" si="19"/>
        <v>1</v>
      </c>
      <c r="I75" s="209">
        <f t="shared" si="19"/>
        <v>0.95697456540275894</v>
      </c>
      <c r="J75" s="209">
        <f t="shared" si="19"/>
        <v>0.86073489635235045</v>
      </c>
      <c r="K75" s="209">
        <f t="shared" si="19"/>
        <v>1</v>
      </c>
    </row>
    <row r="76" spans="1:11" x14ac:dyDescent="0.2">
      <c r="A76" t="s">
        <v>393</v>
      </c>
      <c r="B76" s="209">
        <f t="shared" ref="B76:K76" si="20">1-IFERROR(B49/B22,0)</f>
        <v>1</v>
      </c>
      <c r="C76" s="209">
        <f t="shared" si="20"/>
        <v>1</v>
      </c>
      <c r="D76" s="209">
        <f t="shared" si="20"/>
        <v>0.98667624907570184</v>
      </c>
      <c r="E76" s="209">
        <f t="shared" si="20"/>
        <v>1</v>
      </c>
      <c r="F76" s="209">
        <f t="shared" si="20"/>
        <v>0.96197965841863697</v>
      </c>
      <c r="G76" s="209">
        <f t="shared" si="20"/>
        <v>1</v>
      </c>
      <c r="H76" s="209">
        <f t="shared" si="20"/>
        <v>1</v>
      </c>
      <c r="I76" s="209">
        <f t="shared" si="20"/>
        <v>0.90550319171493732</v>
      </c>
      <c r="J76" s="209">
        <f t="shared" si="20"/>
        <v>0.9293437440554233</v>
      </c>
      <c r="K76" s="209">
        <f t="shared" si="20"/>
        <v>1</v>
      </c>
    </row>
    <row r="77" spans="1:11" x14ac:dyDescent="0.2">
      <c r="A77" t="s">
        <v>394</v>
      </c>
      <c r="B77" s="209">
        <f t="shared" ref="B77:K77" si="21">1-IFERROR(B50/B23,0)</f>
        <v>1</v>
      </c>
      <c r="C77" s="209">
        <f t="shared" si="21"/>
        <v>1</v>
      </c>
      <c r="D77" s="209">
        <f t="shared" si="21"/>
        <v>0.98438520938057128</v>
      </c>
      <c r="E77" s="209">
        <f t="shared" si="21"/>
        <v>1</v>
      </c>
      <c r="F77" s="209">
        <f t="shared" si="21"/>
        <v>0.97513735420663461</v>
      </c>
      <c r="G77" s="209">
        <f t="shared" si="21"/>
        <v>1</v>
      </c>
      <c r="H77" s="209">
        <f t="shared" si="21"/>
        <v>1</v>
      </c>
      <c r="I77" s="209">
        <f t="shared" si="21"/>
        <v>0.95866243966989229</v>
      </c>
      <c r="J77" s="209">
        <f t="shared" si="21"/>
        <v>0.8946179475624032</v>
      </c>
      <c r="K77" s="209">
        <f t="shared" si="21"/>
        <v>1</v>
      </c>
    </row>
    <row r="78" spans="1:11" x14ac:dyDescent="0.2">
      <c r="A78" t="s">
        <v>395</v>
      </c>
      <c r="B78" s="209">
        <f t="shared" ref="B78:K78" si="22">1-IFERROR(B51/B24,0)</f>
        <v>1</v>
      </c>
      <c r="C78" s="209">
        <f t="shared" si="22"/>
        <v>5.4092727351769399E-2</v>
      </c>
      <c r="D78" s="209">
        <f t="shared" si="22"/>
        <v>5.8533786566075774E-2</v>
      </c>
      <c r="E78" s="209">
        <f t="shared" si="22"/>
        <v>1</v>
      </c>
      <c r="F78" s="209">
        <f t="shared" si="22"/>
        <v>0.36572183730486663</v>
      </c>
      <c r="G78" s="209">
        <f t="shared" si="22"/>
        <v>1</v>
      </c>
      <c r="H78" s="209">
        <f t="shared" si="22"/>
        <v>1</v>
      </c>
      <c r="I78" s="209">
        <f t="shared" si="22"/>
        <v>1.3848358447422493E-3</v>
      </c>
      <c r="J78" s="209">
        <f t="shared" si="22"/>
        <v>3.5144582837710936E-2</v>
      </c>
      <c r="K78" s="209">
        <f t="shared" si="22"/>
        <v>1</v>
      </c>
    </row>
    <row r="79" spans="1:11" x14ac:dyDescent="0.2">
      <c r="A79" t="s">
        <v>396</v>
      </c>
      <c r="B79" s="209">
        <f t="shared" ref="B79:K79" si="23">1-IFERROR(B52/B25,0)</f>
        <v>1</v>
      </c>
      <c r="C79" s="209">
        <f t="shared" si="23"/>
        <v>1</v>
      </c>
      <c r="D79" s="209">
        <f t="shared" si="23"/>
        <v>0.98682533814392859</v>
      </c>
      <c r="E79" s="209">
        <f t="shared" si="23"/>
        <v>1</v>
      </c>
      <c r="F79" s="209">
        <f t="shared" si="23"/>
        <v>0.96782997718503982</v>
      </c>
      <c r="G79" s="209">
        <f t="shared" si="23"/>
        <v>1</v>
      </c>
      <c r="H79" s="209">
        <f t="shared" si="23"/>
        <v>1</v>
      </c>
      <c r="I79" s="209">
        <f t="shared" si="23"/>
        <v>0.97796261108455962</v>
      </c>
      <c r="J79" s="209">
        <f t="shared" si="23"/>
        <v>0.96203529115877695</v>
      </c>
      <c r="K79" s="209">
        <f t="shared" si="23"/>
        <v>1</v>
      </c>
    </row>
    <row r="80" spans="1:11" x14ac:dyDescent="0.2">
      <c r="A80" t="s">
        <v>397</v>
      </c>
      <c r="B80" s="209">
        <f t="shared" ref="B80:K80" si="24">1-IFERROR(B53/B26,0)</f>
        <v>1</v>
      </c>
      <c r="C80" s="209">
        <f t="shared" si="24"/>
        <v>1</v>
      </c>
      <c r="D80" s="209">
        <f t="shared" si="24"/>
        <v>1</v>
      </c>
      <c r="E80" s="209">
        <f t="shared" si="24"/>
        <v>1</v>
      </c>
      <c r="F80" s="209">
        <f t="shared" si="24"/>
        <v>1</v>
      </c>
      <c r="G80" s="209">
        <f t="shared" si="24"/>
        <v>1</v>
      </c>
      <c r="H80" s="209">
        <f t="shared" si="24"/>
        <v>1</v>
      </c>
      <c r="I80" s="209">
        <f t="shared" si="24"/>
        <v>4.267464743474858E-2</v>
      </c>
      <c r="J80" s="209">
        <f t="shared" si="24"/>
        <v>1</v>
      </c>
      <c r="K80" s="209">
        <f t="shared" si="24"/>
        <v>1</v>
      </c>
    </row>
  </sheetData>
  <phoneticPr fontId="3" type="noConversion"/>
  <conditionalFormatting sqref="B56:K80">
    <cfRule type="dataBar" priority="3">
      <dataBar>
        <cfvo type="min"/>
        <cfvo type="max"/>
        <color rgb="FF638EC6"/>
      </dataBar>
      <extLst>
        <ext xmlns:x14="http://schemas.microsoft.com/office/spreadsheetml/2009/9/main" uri="{B025F937-C7B1-47D3-B67F-A62EFF666E3E}">
          <x14:id>{BA0B0505-AEE3-4A71-8F98-5855A4A2A6C3}</x14:id>
        </ext>
      </extLst>
    </cfRule>
  </conditionalFormatting>
  <conditionalFormatting sqref="B3:J3 B25:J25 B24:D24 F24:G24 B9:J14 B4:D4 F4:J4 B2:G2 I2:J2 B5:G8 I5:J8 B16:J16 B15:G15 I15:J15 B21:J21 B17:G20 I17:J20 B22:G23 I22:J24 B26:G26 I26:J26">
    <cfRule type="colorScale" priority="2">
      <colorScale>
        <cfvo type="min"/>
        <cfvo type="max"/>
        <color rgb="FFFCFCFF"/>
        <color rgb="FFF8696B"/>
      </colorScale>
    </cfRule>
  </conditionalFormatting>
  <conditionalFormatting sqref="C37:F37 D31:D36 C40:D40 D39 C51:D51 D41:D50 D52 C30:D30 F30:F36 C38:D38 F38:F52 I30:J36 I38:J52 H37:J37">
    <cfRule type="colorScale" priority="1">
      <colorScale>
        <cfvo type="min"/>
        <cfvo type="max"/>
        <color rgb="FFFCFCFF"/>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A0B0505-AEE3-4A71-8F98-5855A4A2A6C3}">
            <x14:dataBar minLength="0" maxLength="100" border="1" negativeBarBorderColorSameAsPositive="0">
              <x14:cfvo type="autoMin"/>
              <x14:cfvo type="autoMax"/>
              <x14:borderColor rgb="FF638EC6"/>
              <x14:negativeFillColor rgb="FFFF0000"/>
              <x14:negativeBorderColor rgb="FFFF0000"/>
              <x14:axisColor rgb="FF000000"/>
            </x14:dataBar>
          </x14:cfRule>
          <xm:sqref>B56:K80</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2CB74-2775-4120-BD75-DC33BC0F6FAF}">
  <sheetPr codeName="Sheet18"/>
  <dimension ref="A1:H44"/>
  <sheetViews>
    <sheetView topLeftCell="E9" workbookViewId="0">
      <selection activeCell="M39" sqref="M39"/>
    </sheetView>
  </sheetViews>
  <sheetFormatPr defaultRowHeight="14.25" x14ac:dyDescent="0.2"/>
  <cols>
    <col min="1" max="1" width="14.375" bestFit="1" customWidth="1"/>
    <col min="2" max="2" width="51.125" customWidth="1"/>
    <col min="3" max="3" width="66.625" hidden="1" customWidth="1"/>
    <col min="4" max="4" width="51.125" customWidth="1"/>
    <col min="6" max="7" width="35.375" customWidth="1"/>
    <col min="8" max="8" width="45.125" bestFit="1" customWidth="1"/>
  </cols>
  <sheetData>
    <row r="1" spans="1:8" ht="15" x14ac:dyDescent="0.2">
      <c r="A1" s="105" t="s">
        <v>206</v>
      </c>
      <c r="B1" s="105" t="s">
        <v>207</v>
      </c>
      <c r="C1" s="105" t="s">
        <v>208</v>
      </c>
      <c r="D1" s="106" t="s">
        <v>209</v>
      </c>
    </row>
    <row r="2" spans="1:8" x14ac:dyDescent="0.2">
      <c r="A2" s="107" t="s">
        <v>279</v>
      </c>
      <c r="B2" s="108" t="s">
        <v>280</v>
      </c>
      <c r="C2" s="109" t="s">
        <v>281</v>
      </c>
      <c r="D2" s="110" t="s">
        <v>282</v>
      </c>
      <c r="F2" s="18" t="s">
        <v>371</v>
      </c>
      <c r="G2" s="142" t="s">
        <v>100</v>
      </c>
      <c r="H2" s="103" t="s">
        <v>373</v>
      </c>
    </row>
    <row r="3" spans="1:8" x14ac:dyDescent="0.2">
      <c r="A3" s="107" t="s">
        <v>283</v>
      </c>
      <c r="B3" s="111" t="s">
        <v>284</v>
      </c>
      <c r="C3" s="112" t="s">
        <v>285</v>
      </c>
      <c r="D3" s="113" t="s">
        <v>286</v>
      </c>
      <c r="F3" s="18" t="s">
        <v>2</v>
      </c>
      <c r="G3" s="138" t="s">
        <v>482</v>
      </c>
      <c r="H3" s="103" t="s">
        <v>374</v>
      </c>
    </row>
    <row r="4" spans="1:8" x14ac:dyDescent="0.2">
      <c r="A4" s="107" t="s">
        <v>287</v>
      </c>
      <c r="B4" s="111" t="s">
        <v>288</v>
      </c>
      <c r="C4" s="112" t="s">
        <v>289</v>
      </c>
      <c r="D4" s="113" t="s">
        <v>290</v>
      </c>
      <c r="F4" s="18" t="s">
        <v>3</v>
      </c>
      <c r="G4" s="138" t="s">
        <v>483</v>
      </c>
      <c r="H4" s="103" t="s">
        <v>375</v>
      </c>
    </row>
    <row r="5" spans="1:8" x14ac:dyDescent="0.2">
      <c r="A5" s="107" t="s">
        <v>291</v>
      </c>
      <c r="B5" s="108" t="s">
        <v>292</v>
      </c>
      <c r="C5" s="114" t="s">
        <v>293</v>
      </c>
      <c r="D5" s="115" t="s">
        <v>294</v>
      </c>
      <c r="F5" s="18" t="s">
        <v>4</v>
      </c>
      <c r="G5" s="138" t="s">
        <v>484</v>
      </c>
      <c r="H5" s="103" t="s">
        <v>376</v>
      </c>
    </row>
    <row r="6" spans="1:8" x14ac:dyDescent="0.2">
      <c r="A6" s="107" t="s">
        <v>295</v>
      </c>
      <c r="B6" s="104" t="s">
        <v>296</v>
      </c>
      <c r="C6" s="116" t="s">
        <v>297</v>
      </c>
      <c r="D6" s="117" t="s">
        <v>398</v>
      </c>
      <c r="F6" s="18" t="s">
        <v>5</v>
      </c>
      <c r="G6" s="138" t="s">
        <v>485</v>
      </c>
      <c r="H6" s="103" t="s">
        <v>376</v>
      </c>
    </row>
    <row r="7" spans="1:8" x14ac:dyDescent="0.2">
      <c r="A7" s="107" t="s">
        <v>298</v>
      </c>
      <c r="B7" s="118" t="s">
        <v>299</v>
      </c>
      <c r="C7" s="114" t="s">
        <v>300</v>
      </c>
      <c r="D7" s="115" t="s">
        <v>301</v>
      </c>
      <c r="F7" s="18" t="s">
        <v>6</v>
      </c>
      <c r="G7" s="138" t="s">
        <v>486</v>
      </c>
      <c r="H7" s="103" t="s">
        <v>376</v>
      </c>
    </row>
    <row r="8" spans="1:8" x14ac:dyDescent="0.2">
      <c r="A8" s="107" t="s">
        <v>302</v>
      </c>
      <c r="B8" s="118" t="s">
        <v>303</v>
      </c>
      <c r="C8" s="114" t="s">
        <v>304</v>
      </c>
      <c r="D8" s="115" t="s">
        <v>305</v>
      </c>
      <c r="F8" s="18" t="s">
        <v>7</v>
      </c>
      <c r="G8" s="138" t="s">
        <v>487</v>
      </c>
      <c r="H8" s="104" t="s">
        <v>399</v>
      </c>
    </row>
    <row r="9" spans="1:8" x14ac:dyDescent="0.2">
      <c r="A9" s="107" t="s">
        <v>306</v>
      </c>
      <c r="B9" s="118" t="s">
        <v>307</v>
      </c>
      <c r="C9" s="119" t="s">
        <v>308</v>
      </c>
      <c r="D9" s="120" t="s">
        <v>309</v>
      </c>
      <c r="F9" s="18" t="s">
        <v>8</v>
      </c>
      <c r="G9" s="138" t="s">
        <v>488</v>
      </c>
      <c r="H9" s="104" t="s">
        <v>399</v>
      </c>
    </row>
    <row r="10" spans="1:8" x14ac:dyDescent="0.2">
      <c r="A10" s="107" t="s">
        <v>310</v>
      </c>
      <c r="B10" s="118" t="s">
        <v>311</v>
      </c>
      <c r="C10" s="114" t="s">
        <v>312</v>
      </c>
      <c r="D10" s="115" t="s">
        <v>313</v>
      </c>
      <c r="F10" s="18" t="s">
        <v>9</v>
      </c>
      <c r="G10" s="138" t="s">
        <v>490</v>
      </c>
      <c r="H10" s="103" t="s">
        <v>377</v>
      </c>
    </row>
    <row r="11" spans="1:8" x14ac:dyDescent="0.2">
      <c r="A11" s="107" t="s">
        <v>314</v>
      </c>
      <c r="B11" s="112" t="s">
        <v>315</v>
      </c>
      <c r="C11" s="112" t="s">
        <v>316</v>
      </c>
      <c r="D11" s="113" t="s">
        <v>317</v>
      </c>
      <c r="F11" s="18" t="s">
        <v>10</v>
      </c>
      <c r="G11" s="138" t="s">
        <v>491</v>
      </c>
      <c r="H11" s="103" t="s">
        <v>377</v>
      </c>
    </row>
    <row r="12" spans="1:8" x14ac:dyDescent="0.2">
      <c r="A12" s="107" t="s">
        <v>318</v>
      </c>
      <c r="B12" s="118" t="s">
        <v>319</v>
      </c>
      <c r="C12" s="121" t="s">
        <v>320</v>
      </c>
      <c r="D12" s="122" t="s">
        <v>321</v>
      </c>
      <c r="F12" s="18" t="s">
        <v>11</v>
      </c>
      <c r="G12" s="138" t="s">
        <v>492</v>
      </c>
      <c r="H12" s="103" t="s">
        <v>377</v>
      </c>
    </row>
    <row r="13" spans="1:8" x14ac:dyDescent="0.2">
      <c r="A13" s="107" t="s">
        <v>322</v>
      </c>
      <c r="B13" s="123" t="s">
        <v>323</v>
      </c>
      <c r="C13" s="116" t="s">
        <v>324</v>
      </c>
      <c r="D13" s="117" t="s">
        <v>22</v>
      </c>
      <c r="F13" s="18" t="s">
        <v>12</v>
      </c>
      <c r="G13" s="138" t="s">
        <v>493</v>
      </c>
      <c r="H13" s="103" t="s">
        <v>377</v>
      </c>
    </row>
    <row r="14" spans="1:8" x14ac:dyDescent="0.2">
      <c r="A14" s="107" t="s">
        <v>325</v>
      </c>
      <c r="B14" s="118" t="s">
        <v>326</v>
      </c>
      <c r="C14" s="116" t="s">
        <v>327</v>
      </c>
      <c r="D14" s="117" t="s">
        <v>24</v>
      </c>
      <c r="F14" s="18" t="s">
        <v>13</v>
      </c>
      <c r="G14" s="138" t="s">
        <v>494</v>
      </c>
      <c r="H14" s="103" t="s">
        <v>378</v>
      </c>
    </row>
    <row r="15" spans="1:8" x14ac:dyDescent="0.2">
      <c r="A15" s="107" t="s">
        <v>328</v>
      </c>
      <c r="B15" s="118" t="s">
        <v>329</v>
      </c>
      <c r="C15" s="119" t="s">
        <v>330</v>
      </c>
      <c r="D15" s="120" t="s">
        <v>331</v>
      </c>
      <c r="F15" s="18" t="s">
        <v>14</v>
      </c>
      <c r="G15" s="138" t="s">
        <v>495</v>
      </c>
      <c r="H15" s="103" t="s">
        <v>378</v>
      </c>
    </row>
    <row r="16" spans="1:8" x14ac:dyDescent="0.2">
      <c r="A16" s="107" t="s">
        <v>332</v>
      </c>
      <c r="B16" s="118" t="s">
        <v>333</v>
      </c>
      <c r="C16" s="124" t="s">
        <v>334</v>
      </c>
      <c r="D16" s="125" t="s">
        <v>335</v>
      </c>
      <c r="F16" s="18" t="s">
        <v>15</v>
      </c>
      <c r="G16" s="138" t="s">
        <v>496</v>
      </c>
      <c r="H16" s="103" t="s">
        <v>378</v>
      </c>
    </row>
    <row r="17" spans="1:8" x14ac:dyDescent="0.2">
      <c r="A17" s="107" t="s">
        <v>336</v>
      </c>
      <c r="B17" s="118" t="s">
        <v>337</v>
      </c>
      <c r="C17" s="116" t="s">
        <v>338</v>
      </c>
      <c r="D17" s="117" t="s">
        <v>339</v>
      </c>
      <c r="F17" s="18" t="s">
        <v>16</v>
      </c>
      <c r="G17" s="138" t="s">
        <v>497</v>
      </c>
      <c r="H17" s="103" t="s">
        <v>379</v>
      </c>
    </row>
    <row r="18" spans="1:8" x14ac:dyDescent="0.2">
      <c r="A18" s="107" t="s">
        <v>340</v>
      </c>
      <c r="B18" s="118" t="s">
        <v>341</v>
      </c>
      <c r="C18" s="116" t="s">
        <v>342</v>
      </c>
      <c r="D18" s="117" t="s">
        <v>343</v>
      </c>
      <c r="F18" s="18" t="s">
        <v>17</v>
      </c>
      <c r="G18" s="138" t="s">
        <v>498</v>
      </c>
      <c r="H18" s="103" t="s">
        <v>379</v>
      </c>
    </row>
    <row r="19" spans="1:8" x14ac:dyDescent="0.2">
      <c r="A19" s="107" t="s">
        <v>344</v>
      </c>
      <c r="B19" s="118" t="s">
        <v>345</v>
      </c>
      <c r="C19" s="109" t="s">
        <v>346</v>
      </c>
      <c r="D19" s="110" t="s">
        <v>347</v>
      </c>
      <c r="F19" s="18" t="s">
        <v>18</v>
      </c>
      <c r="G19" s="138" t="s">
        <v>499</v>
      </c>
      <c r="H19" s="103" t="s">
        <v>380</v>
      </c>
    </row>
    <row r="20" spans="1:8" x14ac:dyDescent="0.2">
      <c r="A20" s="107" t="s">
        <v>348</v>
      </c>
      <c r="B20" s="118" t="s">
        <v>349</v>
      </c>
      <c r="C20" s="119" t="s">
        <v>350</v>
      </c>
      <c r="D20" s="120" t="s">
        <v>351</v>
      </c>
      <c r="F20" s="18" t="s">
        <v>19</v>
      </c>
      <c r="G20" s="138" t="s">
        <v>500</v>
      </c>
      <c r="H20" s="103" t="s">
        <v>380</v>
      </c>
    </row>
    <row r="21" spans="1:8" x14ac:dyDescent="0.2">
      <c r="A21" s="107" t="s">
        <v>352</v>
      </c>
      <c r="B21" s="118" t="s">
        <v>353</v>
      </c>
      <c r="C21" s="119" t="s">
        <v>354</v>
      </c>
      <c r="D21" s="120" t="s">
        <v>355</v>
      </c>
      <c r="F21" s="18" t="s">
        <v>20</v>
      </c>
      <c r="G21" s="138" t="s">
        <v>501</v>
      </c>
      <c r="H21" s="103" t="s">
        <v>380</v>
      </c>
    </row>
    <row r="22" spans="1:8" x14ac:dyDescent="0.2">
      <c r="A22" s="107" t="s">
        <v>356</v>
      </c>
      <c r="B22" s="118" t="s">
        <v>357</v>
      </c>
      <c r="C22" s="109" t="s">
        <v>358</v>
      </c>
      <c r="D22" s="110" t="s">
        <v>359</v>
      </c>
      <c r="F22" s="18" t="s">
        <v>21</v>
      </c>
      <c r="G22" s="138" t="s">
        <v>502</v>
      </c>
      <c r="H22" s="103" t="s">
        <v>381</v>
      </c>
    </row>
    <row r="23" spans="1:8" x14ac:dyDescent="0.2">
      <c r="A23" s="107" t="s">
        <v>360</v>
      </c>
      <c r="B23" s="118" t="s">
        <v>361</v>
      </c>
      <c r="C23" s="116" t="s">
        <v>362</v>
      </c>
      <c r="D23" s="117" t="s">
        <v>31</v>
      </c>
      <c r="F23" s="18" t="s">
        <v>1</v>
      </c>
      <c r="G23" s="138" t="s">
        <v>503</v>
      </c>
      <c r="H23" s="103" t="s">
        <v>382</v>
      </c>
    </row>
    <row r="24" spans="1:8" x14ac:dyDescent="0.2">
      <c r="A24" s="107" t="s">
        <v>363</v>
      </c>
      <c r="B24" s="118" t="s">
        <v>364</v>
      </c>
      <c r="C24" s="116" t="s">
        <v>365</v>
      </c>
      <c r="D24" s="117" t="s">
        <v>366</v>
      </c>
      <c r="F24" s="18" t="s">
        <v>22</v>
      </c>
      <c r="G24" s="138" t="s">
        <v>504</v>
      </c>
    </row>
    <row r="25" spans="1:8" x14ac:dyDescent="0.2">
      <c r="A25" s="107" t="s">
        <v>367</v>
      </c>
      <c r="B25" s="118" t="s">
        <v>368</v>
      </c>
      <c r="C25" s="114" t="s">
        <v>369</v>
      </c>
      <c r="D25" s="115" t="s">
        <v>370</v>
      </c>
      <c r="F25" s="18" t="s">
        <v>23</v>
      </c>
      <c r="G25" s="138" t="s">
        <v>505</v>
      </c>
      <c r="H25" s="103" t="s">
        <v>382</v>
      </c>
    </row>
    <row r="26" spans="1:8" x14ac:dyDescent="0.2">
      <c r="A26" s="107" t="s">
        <v>210</v>
      </c>
      <c r="B26" s="126" t="s">
        <v>211</v>
      </c>
      <c r="C26" s="112" t="s">
        <v>212</v>
      </c>
      <c r="D26" s="113" t="s">
        <v>213</v>
      </c>
      <c r="F26" s="18" t="s">
        <v>24</v>
      </c>
      <c r="G26" s="138" t="s">
        <v>506</v>
      </c>
      <c r="H26" s="103" t="s">
        <v>383</v>
      </c>
    </row>
    <row r="27" spans="1:8" x14ac:dyDescent="0.2">
      <c r="A27" s="107" t="s">
        <v>214</v>
      </c>
      <c r="B27" s="111" t="s">
        <v>215</v>
      </c>
      <c r="C27" s="112" t="s">
        <v>216</v>
      </c>
      <c r="D27" s="113" t="s">
        <v>217</v>
      </c>
      <c r="F27" s="18" t="s">
        <v>25</v>
      </c>
      <c r="G27" s="138" t="s">
        <v>507</v>
      </c>
      <c r="H27" s="103" t="s">
        <v>384</v>
      </c>
    </row>
    <row r="28" spans="1:8" x14ac:dyDescent="0.2">
      <c r="A28" s="107" t="s">
        <v>218</v>
      </c>
      <c r="B28" s="108" t="s">
        <v>219</v>
      </c>
      <c r="C28" s="119" t="s">
        <v>220</v>
      </c>
      <c r="D28" s="120" t="s">
        <v>584</v>
      </c>
      <c r="F28" s="18" t="s">
        <v>26</v>
      </c>
      <c r="G28" s="138" t="s">
        <v>508</v>
      </c>
      <c r="H28" s="103" t="s">
        <v>386</v>
      </c>
    </row>
    <row r="29" spans="1:8" x14ac:dyDescent="0.2">
      <c r="A29" s="107" t="s">
        <v>221</v>
      </c>
      <c r="B29" s="118" t="s">
        <v>222</v>
      </c>
      <c r="C29" s="109" t="s">
        <v>222</v>
      </c>
      <c r="D29" s="110" t="s">
        <v>223</v>
      </c>
      <c r="F29" s="18" t="s">
        <v>27</v>
      </c>
      <c r="G29" s="138" t="s">
        <v>509</v>
      </c>
      <c r="H29" s="103" t="s">
        <v>387</v>
      </c>
    </row>
    <row r="30" spans="1:8" x14ac:dyDescent="0.2">
      <c r="A30" s="107" t="s">
        <v>224</v>
      </c>
      <c r="B30" s="109" t="s">
        <v>225</v>
      </c>
      <c r="C30" s="109" t="s">
        <v>226</v>
      </c>
      <c r="D30" s="110" t="s">
        <v>227</v>
      </c>
      <c r="F30" s="18" t="s">
        <v>28</v>
      </c>
      <c r="G30" s="138" t="s">
        <v>510</v>
      </c>
      <c r="H30" s="103" t="s">
        <v>388</v>
      </c>
    </row>
    <row r="31" spans="1:8" x14ac:dyDescent="0.2">
      <c r="A31" s="107" t="s">
        <v>228</v>
      </c>
      <c r="B31" s="109" t="s">
        <v>229</v>
      </c>
      <c r="C31" s="109" t="s">
        <v>230</v>
      </c>
      <c r="D31" s="110" t="s">
        <v>231</v>
      </c>
      <c r="F31" s="18" t="s">
        <v>29</v>
      </c>
      <c r="G31" s="138" t="s">
        <v>511</v>
      </c>
      <c r="H31" s="103" t="s">
        <v>394</v>
      </c>
    </row>
    <row r="32" spans="1:8" x14ac:dyDescent="0.2">
      <c r="A32" s="107" t="s">
        <v>232</v>
      </c>
      <c r="B32" s="109" t="s">
        <v>233</v>
      </c>
      <c r="C32" s="109" t="s">
        <v>234</v>
      </c>
      <c r="D32" s="110" t="s">
        <v>235</v>
      </c>
      <c r="F32" s="18" t="s">
        <v>30</v>
      </c>
      <c r="G32" s="138" t="s">
        <v>512</v>
      </c>
      <c r="H32" s="103" t="s">
        <v>385</v>
      </c>
    </row>
    <row r="33" spans="1:8" x14ac:dyDescent="0.2">
      <c r="A33" s="107" t="s">
        <v>236</v>
      </c>
      <c r="B33" s="109" t="s">
        <v>237</v>
      </c>
      <c r="C33" s="109" t="s">
        <v>238</v>
      </c>
      <c r="D33" s="110" t="s">
        <v>239</v>
      </c>
      <c r="F33" s="18" t="s">
        <v>31</v>
      </c>
      <c r="G33" s="138" t="s">
        <v>513</v>
      </c>
      <c r="H33" s="103" t="s">
        <v>392</v>
      </c>
    </row>
    <row r="34" spans="1:8" x14ac:dyDescent="0.2">
      <c r="A34" s="107" t="s">
        <v>240</v>
      </c>
      <c r="B34" s="109" t="s">
        <v>241</v>
      </c>
      <c r="C34" s="124" t="s">
        <v>242</v>
      </c>
      <c r="D34" s="125" t="s">
        <v>243</v>
      </c>
      <c r="F34" s="18" t="s">
        <v>32</v>
      </c>
      <c r="G34" s="138" t="s">
        <v>514</v>
      </c>
      <c r="H34" s="103" t="s">
        <v>393</v>
      </c>
    </row>
    <row r="35" spans="1:8" x14ac:dyDescent="0.2">
      <c r="A35" s="107" t="s">
        <v>244</v>
      </c>
      <c r="B35" s="109" t="s">
        <v>245</v>
      </c>
      <c r="C35" s="124" t="s">
        <v>246</v>
      </c>
      <c r="D35" s="125" t="s">
        <v>247</v>
      </c>
      <c r="F35" s="18" t="s">
        <v>33</v>
      </c>
      <c r="G35" s="138" t="s">
        <v>515</v>
      </c>
      <c r="H35" s="103" t="s">
        <v>390</v>
      </c>
    </row>
    <row r="36" spans="1:8" x14ac:dyDescent="0.2">
      <c r="A36" s="107" t="s">
        <v>248</v>
      </c>
      <c r="B36" s="109" t="s">
        <v>249</v>
      </c>
      <c r="C36" s="104" t="s">
        <v>250</v>
      </c>
      <c r="D36" s="110" t="s">
        <v>251</v>
      </c>
      <c r="F36" s="18" t="s">
        <v>34</v>
      </c>
      <c r="G36" s="138" t="s">
        <v>516</v>
      </c>
      <c r="H36" s="103" t="s">
        <v>389</v>
      </c>
    </row>
    <row r="37" spans="1:8" x14ac:dyDescent="0.2">
      <c r="A37" s="107" t="s">
        <v>252</v>
      </c>
      <c r="B37" s="109" t="s">
        <v>253</v>
      </c>
      <c r="C37" s="104" t="s">
        <v>254</v>
      </c>
      <c r="D37" s="110" t="s">
        <v>255</v>
      </c>
      <c r="F37" s="18" t="s">
        <v>35</v>
      </c>
      <c r="G37" s="138" t="s">
        <v>517</v>
      </c>
      <c r="H37" s="103" t="s">
        <v>389</v>
      </c>
    </row>
    <row r="38" spans="1:8" x14ac:dyDescent="0.2">
      <c r="A38" s="107" t="s">
        <v>256</v>
      </c>
      <c r="B38" s="109" t="s">
        <v>257</v>
      </c>
      <c r="C38" s="124" t="s">
        <v>258</v>
      </c>
      <c r="D38" s="125" t="s">
        <v>259</v>
      </c>
      <c r="F38" s="18" t="s">
        <v>36</v>
      </c>
      <c r="G38" s="138" t="s">
        <v>518</v>
      </c>
      <c r="H38" s="103" t="s">
        <v>391</v>
      </c>
    </row>
    <row r="39" spans="1:8" x14ac:dyDescent="0.2">
      <c r="A39" s="107" t="s">
        <v>260</v>
      </c>
      <c r="B39" s="127" t="s">
        <v>261</v>
      </c>
      <c r="C39" s="124" t="s">
        <v>262</v>
      </c>
      <c r="D39" s="125" t="s">
        <v>263</v>
      </c>
      <c r="F39" s="18" t="s">
        <v>37</v>
      </c>
      <c r="G39" s="138" t="s">
        <v>519</v>
      </c>
      <c r="H39" s="103" t="s">
        <v>396</v>
      </c>
    </row>
    <row r="40" spans="1:8" x14ac:dyDescent="0.2">
      <c r="A40" s="107" t="s">
        <v>264</v>
      </c>
      <c r="B40" s="127" t="s">
        <v>265</v>
      </c>
      <c r="C40" s="127" t="s">
        <v>265</v>
      </c>
      <c r="D40" s="128" t="s">
        <v>266</v>
      </c>
      <c r="F40" s="18" t="s">
        <v>38</v>
      </c>
      <c r="G40" s="138" t="s">
        <v>520</v>
      </c>
      <c r="H40" s="103" t="s">
        <v>391</v>
      </c>
    </row>
    <row r="41" spans="1:8" x14ac:dyDescent="0.2">
      <c r="A41" s="107" t="s">
        <v>267</v>
      </c>
      <c r="B41" s="109" t="s">
        <v>268</v>
      </c>
      <c r="C41" s="109" t="s">
        <v>269</v>
      </c>
      <c r="D41" s="110" t="s">
        <v>270</v>
      </c>
      <c r="F41" s="18" t="s">
        <v>39</v>
      </c>
      <c r="G41" s="138" t="s">
        <v>522</v>
      </c>
    </row>
    <row r="42" spans="1:8" x14ac:dyDescent="0.2">
      <c r="A42" s="107" t="s">
        <v>271</v>
      </c>
      <c r="B42" s="109" t="s">
        <v>272</v>
      </c>
      <c r="C42" s="109" t="s">
        <v>273</v>
      </c>
      <c r="D42" s="110" t="s">
        <v>274</v>
      </c>
      <c r="F42" s="18" t="s">
        <v>40</v>
      </c>
      <c r="G42" s="138" t="s">
        <v>523</v>
      </c>
      <c r="H42" s="103" t="s">
        <v>395</v>
      </c>
    </row>
    <row r="43" spans="1:8" x14ac:dyDescent="0.2">
      <c r="A43" s="107" t="s">
        <v>275</v>
      </c>
      <c r="B43" s="127" t="s">
        <v>276</v>
      </c>
      <c r="C43" s="124" t="s">
        <v>277</v>
      </c>
      <c r="D43" s="125" t="s">
        <v>278</v>
      </c>
      <c r="F43" s="18" t="s">
        <v>41</v>
      </c>
      <c r="G43" s="139" t="s">
        <v>524</v>
      </c>
      <c r="H43" s="103" t="s">
        <v>396</v>
      </c>
    </row>
    <row r="44" spans="1:8" x14ac:dyDescent="0.2">
      <c r="F44" s="18" t="s">
        <v>372</v>
      </c>
      <c r="G44" s="142" t="s">
        <v>103</v>
      </c>
      <c r="H44" s="103" t="s">
        <v>397</v>
      </c>
    </row>
  </sheetData>
  <autoFilter ref="A1:D43" xr:uid="{6BA2CB74-2775-4120-BD75-DC33BC0F6FAF}">
    <sortState xmlns:xlrd2="http://schemas.microsoft.com/office/spreadsheetml/2017/richdata2" ref="A2:D43">
      <sortCondition ref="A1:A43"/>
    </sortState>
  </autoFilter>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D2C4F-6BD6-469F-8FD8-495B8C6363BC}">
  <sheetPr codeName="Sheet19"/>
  <dimension ref="A1:D35"/>
  <sheetViews>
    <sheetView workbookViewId="0">
      <selection activeCell="H16" sqref="H16"/>
    </sheetView>
  </sheetViews>
  <sheetFormatPr defaultRowHeight="14.25" x14ac:dyDescent="0.2"/>
  <cols>
    <col min="1" max="1" width="23" bestFit="1" customWidth="1"/>
    <col min="2" max="2" width="13" bestFit="1" customWidth="1"/>
    <col min="3" max="3" width="20.25" bestFit="1" customWidth="1"/>
    <col min="4" max="4" width="23.625" bestFit="1" customWidth="1"/>
  </cols>
  <sheetData>
    <row r="1" spans="1:4" ht="15.75" thickBot="1" x14ac:dyDescent="0.25">
      <c r="A1" s="218" t="s">
        <v>401</v>
      </c>
      <c r="B1" s="219"/>
      <c r="C1" s="184" t="s">
        <v>400</v>
      </c>
      <c r="D1" s="184" t="s">
        <v>573</v>
      </c>
    </row>
    <row r="2" spans="1:4" ht="16.5" thickTop="1" thickBot="1" x14ac:dyDescent="0.3">
      <c r="A2" s="129" t="s">
        <v>403</v>
      </c>
      <c r="B2" s="130" t="s">
        <v>404</v>
      </c>
      <c r="C2" s="181" t="s">
        <v>402</v>
      </c>
      <c r="D2" s="181" t="s">
        <v>402</v>
      </c>
    </row>
    <row r="3" spans="1:4" ht="15.75" thickBot="1" x14ac:dyDescent="0.3">
      <c r="A3" s="131" t="s">
        <v>406</v>
      </c>
      <c r="B3" s="132" t="s">
        <v>407</v>
      </c>
      <c r="C3" s="182" t="s">
        <v>405</v>
      </c>
      <c r="D3" s="182" t="s">
        <v>405</v>
      </c>
    </row>
    <row r="4" spans="1:4" ht="15.75" thickBot="1" x14ac:dyDescent="0.3">
      <c r="A4" s="133" t="s">
        <v>408</v>
      </c>
      <c r="B4" s="134" t="s">
        <v>409</v>
      </c>
      <c r="C4" s="182" t="s">
        <v>565</v>
      </c>
      <c r="D4" s="182" t="s">
        <v>565</v>
      </c>
    </row>
    <row r="5" spans="1:4" ht="15.75" thickBot="1" x14ac:dyDescent="0.3">
      <c r="A5" s="131" t="s">
        <v>410</v>
      </c>
      <c r="B5" s="132" t="s">
        <v>411</v>
      </c>
      <c r="C5" s="182" t="s">
        <v>565</v>
      </c>
      <c r="D5" s="182" t="s">
        <v>565</v>
      </c>
    </row>
    <row r="6" spans="1:4" ht="15.75" thickBot="1" x14ac:dyDescent="0.3">
      <c r="A6" s="133" t="s">
        <v>412</v>
      </c>
      <c r="B6" s="134" t="s">
        <v>413</v>
      </c>
      <c r="C6" s="182" t="s">
        <v>565</v>
      </c>
      <c r="D6" s="182" t="s">
        <v>565</v>
      </c>
    </row>
    <row r="7" spans="1:4" ht="15.75" thickBot="1" x14ac:dyDescent="0.3">
      <c r="A7" s="131" t="s">
        <v>415</v>
      </c>
      <c r="B7" s="132" t="s">
        <v>416</v>
      </c>
      <c r="C7" s="182" t="s">
        <v>414</v>
      </c>
      <c r="D7" s="182" t="s">
        <v>414</v>
      </c>
    </row>
    <row r="8" spans="1:4" ht="15.75" thickBot="1" x14ac:dyDescent="0.3">
      <c r="A8" s="133" t="s">
        <v>418</v>
      </c>
      <c r="B8" s="134" t="s">
        <v>419</v>
      </c>
      <c r="C8" s="182" t="s">
        <v>417</v>
      </c>
      <c r="D8" s="182" t="s">
        <v>417</v>
      </c>
    </row>
    <row r="9" spans="1:4" ht="15.75" thickBot="1" x14ac:dyDescent="0.3">
      <c r="A9" s="131" t="s">
        <v>420</v>
      </c>
      <c r="B9" s="132" t="s">
        <v>421</v>
      </c>
      <c r="C9" s="182" t="s">
        <v>417</v>
      </c>
      <c r="D9" s="182" t="s">
        <v>417</v>
      </c>
    </row>
    <row r="10" spans="1:4" ht="15.75" thickBot="1" x14ac:dyDescent="0.3">
      <c r="A10" s="133" t="s">
        <v>422</v>
      </c>
      <c r="B10" s="134" t="s">
        <v>423</v>
      </c>
      <c r="C10" s="182" t="s">
        <v>417</v>
      </c>
      <c r="D10" s="182" t="s">
        <v>417</v>
      </c>
    </row>
    <row r="11" spans="1:4" ht="15.75" thickBot="1" x14ac:dyDescent="0.3">
      <c r="A11" s="131" t="s">
        <v>425</v>
      </c>
      <c r="B11" s="132" t="s">
        <v>426</v>
      </c>
      <c r="C11" s="182" t="s">
        <v>424</v>
      </c>
      <c r="D11" s="185" t="s">
        <v>432</v>
      </c>
    </row>
    <row r="12" spans="1:4" ht="15.75" thickBot="1" x14ac:dyDescent="0.3">
      <c r="A12" s="133" t="s">
        <v>428</v>
      </c>
      <c r="B12" s="134" t="s">
        <v>429</v>
      </c>
      <c r="C12" s="182" t="s">
        <v>427</v>
      </c>
      <c r="D12" s="185" t="s">
        <v>565</v>
      </c>
    </row>
    <row r="13" spans="1:4" ht="15.75" thickBot="1" x14ac:dyDescent="0.3">
      <c r="A13" s="131" t="s">
        <v>430</v>
      </c>
      <c r="B13" s="132" t="s">
        <v>431</v>
      </c>
      <c r="C13" s="182" t="s">
        <v>427</v>
      </c>
      <c r="D13" s="185" t="s">
        <v>565</v>
      </c>
    </row>
    <row r="14" spans="1:4" ht="15.75" thickBot="1" x14ac:dyDescent="0.3">
      <c r="A14" s="133" t="s">
        <v>433</v>
      </c>
      <c r="B14" s="134" t="s">
        <v>434</v>
      </c>
      <c r="C14" s="182" t="s">
        <v>432</v>
      </c>
      <c r="D14" s="182" t="s">
        <v>432</v>
      </c>
    </row>
    <row r="15" spans="1:4" ht="15.75" thickBot="1" x14ac:dyDescent="0.3">
      <c r="A15" s="131" t="s">
        <v>435</v>
      </c>
      <c r="B15" s="132" t="s">
        <v>436</v>
      </c>
      <c r="C15" s="182" t="s">
        <v>432</v>
      </c>
      <c r="D15" s="182" t="s">
        <v>432</v>
      </c>
    </row>
    <row r="16" spans="1:4" ht="15.75" thickBot="1" x14ac:dyDescent="0.3">
      <c r="A16" s="133" t="s">
        <v>437</v>
      </c>
      <c r="B16" s="134" t="s">
        <v>438</v>
      </c>
      <c r="C16" s="182" t="s">
        <v>432</v>
      </c>
      <c r="D16" s="185" t="s">
        <v>417</v>
      </c>
    </row>
    <row r="17" spans="1:4" ht="15.75" thickBot="1" x14ac:dyDescent="0.3">
      <c r="A17" s="131" t="s">
        <v>439</v>
      </c>
      <c r="B17" s="132" t="s">
        <v>440</v>
      </c>
      <c r="C17" s="182" t="s">
        <v>432</v>
      </c>
      <c r="D17" s="185" t="s">
        <v>417</v>
      </c>
    </row>
    <row r="18" spans="1:4" ht="15.75" thickBot="1" x14ac:dyDescent="0.3">
      <c r="A18" s="133" t="s">
        <v>442</v>
      </c>
      <c r="B18" s="134" t="s">
        <v>443</v>
      </c>
      <c r="C18" s="182" t="s">
        <v>441</v>
      </c>
      <c r="D18" s="185" t="s">
        <v>432</v>
      </c>
    </row>
    <row r="19" spans="1:4" ht="15.75" thickBot="1" x14ac:dyDescent="0.3">
      <c r="A19" s="131" t="s">
        <v>445</v>
      </c>
      <c r="B19" s="132" t="s">
        <v>446</v>
      </c>
      <c r="C19" s="182" t="s">
        <v>444</v>
      </c>
      <c r="D19" s="182" t="s">
        <v>444</v>
      </c>
    </row>
    <row r="20" spans="1:4" ht="16.5" thickTop="1" thickBot="1" x14ac:dyDescent="0.3">
      <c r="A20" s="129" t="s">
        <v>447</v>
      </c>
      <c r="B20" s="130" t="s">
        <v>448</v>
      </c>
      <c r="C20" s="181" t="s">
        <v>444</v>
      </c>
      <c r="D20" s="181" t="s">
        <v>444</v>
      </c>
    </row>
    <row r="21" spans="1:4" ht="15.75" thickBot="1" x14ac:dyDescent="0.3">
      <c r="A21" s="131" t="s">
        <v>449</v>
      </c>
      <c r="B21" s="132" t="s">
        <v>450</v>
      </c>
      <c r="C21" s="182" t="s">
        <v>444</v>
      </c>
      <c r="D21" s="182" t="s">
        <v>444</v>
      </c>
    </row>
    <row r="22" spans="1:4" ht="15.75" thickBot="1" x14ac:dyDescent="0.3">
      <c r="A22" s="133" t="s">
        <v>451</v>
      </c>
      <c r="B22" s="134" t="s">
        <v>452</v>
      </c>
      <c r="C22" s="182" t="s">
        <v>444</v>
      </c>
      <c r="D22" s="182" t="s">
        <v>444</v>
      </c>
    </row>
    <row r="23" spans="1:4" ht="15.75" thickBot="1" x14ac:dyDescent="0.3">
      <c r="A23" s="131" t="s">
        <v>453</v>
      </c>
      <c r="B23" s="132" t="s">
        <v>454</v>
      </c>
      <c r="C23" s="182" t="s">
        <v>444</v>
      </c>
      <c r="D23" s="182" t="s">
        <v>444</v>
      </c>
    </row>
    <row r="24" spans="1:4" ht="15.75" thickBot="1" x14ac:dyDescent="0.3">
      <c r="A24" s="133" t="s">
        <v>455</v>
      </c>
      <c r="B24" s="134" t="s">
        <v>456</v>
      </c>
      <c r="C24" s="182" t="s">
        <v>444</v>
      </c>
      <c r="D24" s="182" t="s">
        <v>444</v>
      </c>
    </row>
    <row r="25" spans="1:4" ht="15.75" thickBot="1" x14ac:dyDescent="0.3">
      <c r="A25" s="131" t="s">
        <v>457</v>
      </c>
      <c r="B25" s="132" t="s">
        <v>458</v>
      </c>
      <c r="C25" s="182" t="s">
        <v>444</v>
      </c>
      <c r="D25" s="185" t="s">
        <v>417</v>
      </c>
    </row>
    <row r="26" spans="1:4" ht="15.75" thickBot="1" x14ac:dyDescent="0.3">
      <c r="A26" s="133" t="s">
        <v>459</v>
      </c>
      <c r="B26" s="134" t="s">
        <v>460</v>
      </c>
      <c r="C26" s="182" t="s">
        <v>444</v>
      </c>
      <c r="D26" s="182" t="s">
        <v>444</v>
      </c>
    </row>
    <row r="27" spans="1:4" ht="15.75" thickBot="1" x14ac:dyDescent="0.3">
      <c r="A27" s="131" t="s">
        <v>461</v>
      </c>
      <c r="B27" s="132" t="s">
        <v>462</v>
      </c>
      <c r="C27" s="182" t="s">
        <v>444</v>
      </c>
      <c r="D27" s="182" t="s">
        <v>444</v>
      </c>
    </row>
    <row r="28" spans="1:4" ht="15.75" thickBot="1" x14ac:dyDescent="0.3">
      <c r="A28" s="133" t="s">
        <v>464</v>
      </c>
      <c r="B28" s="134" t="s">
        <v>465</v>
      </c>
      <c r="C28" s="182" t="s">
        <v>463</v>
      </c>
      <c r="D28" s="182" t="s">
        <v>463</v>
      </c>
    </row>
    <row r="29" spans="1:4" ht="15.75" thickBot="1" x14ac:dyDescent="0.3">
      <c r="A29" s="131" t="s">
        <v>466</v>
      </c>
      <c r="B29" s="132" t="s">
        <v>467</v>
      </c>
      <c r="C29" s="182" t="s">
        <v>463</v>
      </c>
      <c r="D29" s="182" t="s">
        <v>463</v>
      </c>
    </row>
    <row r="30" spans="1:4" ht="15.75" thickBot="1" x14ac:dyDescent="0.3">
      <c r="A30" s="135" t="s">
        <v>468</v>
      </c>
      <c r="B30" s="134" t="s">
        <v>469</v>
      </c>
      <c r="C30" s="182" t="s">
        <v>468</v>
      </c>
      <c r="D30" s="180" t="s">
        <v>574</v>
      </c>
    </row>
    <row r="31" spans="1:4" ht="15.75" thickBot="1" x14ac:dyDescent="0.3">
      <c r="A31" s="136" t="s">
        <v>470</v>
      </c>
      <c r="B31" s="132" t="s">
        <v>471</v>
      </c>
      <c r="C31" s="182" t="s">
        <v>470</v>
      </c>
      <c r="D31" s="180" t="s">
        <v>574</v>
      </c>
    </row>
    <row r="32" spans="1:4" ht="15.75" thickBot="1" x14ac:dyDescent="0.3">
      <c r="A32" s="135" t="s">
        <v>472</v>
      </c>
      <c r="B32" s="134" t="s">
        <v>473</v>
      </c>
      <c r="C32" s="182" t="s">
        <v>472</v>
      </c>
      <c r="D32" s="180" t="s">
        <v>574</v>
      </c>
    </row>
    <row r="33" spans="1:4" ht="15.75" thickBot="1" x14ac:dyDescent="0.3">
      <c r="A33" s="136" t="s">
        <v>474</v>
      </c>
      <c r="B33" s="132" t="s">
        <v>475</v>
      </c>
      <c r="C33" s="182" t="s">
        <v>474</v>
      </c>
      <c r="D33" s="180" t="s">
        <v>574</v>
      </c>
    </row>
    <row r="34" spans="1:4" ht="15.75" thickBot="1" x14ac:dyDescent="0.3">
      <c r="A34" s="133" t="s">
        <v>477</v>
      </c>
      <c r="B34" s="134" t="s">
        <v>478</v>
      </c>
      <c r="C34" s="182" t="s">
        <v>574</v>
      </c>
      <c r="D34" s="185" t="s">
        <v>565</v>
      </c>
    </row>
    <row r="35" spans="1:4" ht="15.75" thickBot="1" x14ac:dyDescent="0.25">
      <c r="A35" s="131" t="s">
        <v>476</v>
      </c>
      <c r="B35" s="132" t="s">
        <v>479</v>
      </c>
      <c r="C35" s="183" t="s">
        <v>574</v>
      </c>
      <c r="D35" s="186" t="s">
        <v>567</v>
      </c>
    </row>
  </sheetData>
  <mergeCells count="1">
    <mergeCell ref="A1:B1"/>
  </mergeCells>
  <phoneticPr fontId="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BB547-7712-411E-96D0-95D60E12D780}">
  <sheetPr codeName="Sheet20"/>
  <dimension ref="A1:J33"/>
  <sheetViews>
    <sheetView topLeftCell="A2" workbookViewId="0">
      <selection activeCell="B41" sqref="B41"/>
    </sheetView>
  </sheetViews>
  <sheetFormatPr defaultRowHeight="14.25" x14ac:dyDescent="0.2"/>
  <cols>
    <col min="1" max="1" width="13" bestFit="1" customWidth="1"/>
    <col min="2" max="2" width="11" bestFit="1" customWidth="1"/>
    <col min="3" max="3" width="15.125" bestFit="1" customWidth="1"/>
    <col min="4" max="4" width="13.875" bestFit="1" customWidth="1"/>
    <col min="5" max="5" width="13.875" customWidth="1"/>
    <col min="6" max="6" width="15.125" bestFit="1" customWidth="1"/>
    <col min="7" max="7" width="13" bestFit="1" customWidth="1"/>
    <col min="8" max="8" width="12.25" bestFit="1" customWidth="1"/>
    <col min="9" max="9" width="16.375" bestFit="1" customWidth="1"/>
    <col min="10" max="10" width="40.375" bestFit="1" customWidth="1"/>
  </cols>
  <sheetData>
    <row r="1" spans="1:10" x14ac:dyDescent="0.2">
      <c r="A1" s="154" t="s">
        <v>528</v>
      </c>
      <c r="B1" s="154" t="s">
        <v>529</v>
      </c>
      <c r="C1" s="154" t="s">
        <v>530</v>
      </c>
      <c r="D1" s="154" t="s">
        <v>531</v>
      </c>
      <c r="E1" s="154" t="s">
        <v>560</v>
      </c>
      <c r="F1" s="154" t="s">
        <v>532</v>
      </c>
      <c r="G1" s="154" t="s">
        <v>533</v>
      </c>
      <c r="H1" s="154" t="s">
        <v>534</v>
      </c>
      <c r="I1" s="154" t="s">
        <v>535</v>
      </c>
      <c r="J1" s="154" t="s">
        <v>536</v>
      </c>
    </row>
    <row r="2" spans="1:10" x14ac:dyDescent="0.2">
      <c r="A2" s="154"/>
      <c r="B2" s="154"/>
      <c r="C2" s="154" t="s">
        <v>537</v>
      </c>
      <c r="D2" s="154" t="s">
        <v>538</v>
      </c>
      <c r="E2" s="154" t="s">
        <v>561</v>
      </c>
      <c r="F2" s="154" t="s">
        <v>539</v>
      </c>
      <c r="G2" s="154" t="s">
        <v>540</v>
      </c>
      <c r="H2" s="154" t="s">
        <v>541</v>
      </c>
      <c r="I2" s="154" t="s">
        <v>542</v>
      </c>
      <c r="J2" s="154"/>
    </row>
    <row r="3" spans="1:10" x14ac:dyDescent="0.2">
      <c r="A3" s="155" t="s">
        <v>409</v>
      </c>
      <c r="B3" s="156" t="s">
        <v>543</v>
      </c>
      <c r="C3" s="156">
        <v>209.08</v>
      </c>
      <c r="D3" s="157">
        <v>0.71430000000000005</v>
      </c>
      <c r="E3" s="173">
        <f>C3*10^12/1055.05585</f>
        <v>198169604007.21915</v>
      </c>
      <c r="F3" s="158">
        <v>2.7489999999999997E-3</v>
      </c>
      <c r="G3" s="159">
        <v>0.94</v>
      </c>
      <c r="H3" s="160">
        <f t="shared" ref="H3:H29" si="0">C3*F3*G3*44/12</f>
        <v>1.9810093042666665</v>
      </c>
      <c r="I3" s="157">
        <f>H3/D3</f>
        <v>2.7733575588221564</v>
      </c>
      <c r="J3" s="161" t="s">
        <v>544</v>
      </c>
    </row>
    <row r="4" spans="1:10" x14ac:dyDescent="0.2">
      <c r="A4" s="155" t="s">
        <v>411</v>
      </c>
      <c r="B4" s="156" t="s">
        <v>543</v>
      </c>
      <c r="C4" s="156">
        <v>263.44</v>
      </c>
      <c r="D4" s="157">
        <v>0.9</v>
      </c>
      <c r="E4" s="173">
        <f t="shared" ref="E4:E33" si="1">C4*10^12/1055.05585</f>
        <v>249692942795.39801</v>
      </c>
      <c r="F4" s="158">
        <v>2.5399999999999997E-3</v>
      </c>
      <c r="G4" s="159">
        <v>0.93</v>
      </c>
      <c r="H4" s="160">
        <f t="shared" si="0"/>
        <v>2.2817592159999998</v>
      </c>
      <c r="I4" s="157">
        <f t="shared" ref="I4:I29" si="2">H4/D4</f>
        <v>2.5352880177777775</v>
      </c>
      <c r="J4" s="161" t="s">
        <v>544</v>
      </c>
    </row>
    <row r="5" spans="1:10" x14ac:dyDescent="0.2">
      <c r="A5" s="155" t="s">
        <v>431</v>
      </c>
      <c r="B5" s="156" t="s">
        <v>543</v>
      </c>
      <c r="C5" s="162">
        <v>83.63</v>
      </c>
      <c r="D5" s="163">
        <v>0.28570000000000001</v>
      </c>
      <c r="E5" s="173">
        <f t="shared" si="1"/>
        <v>79265945968.642319</v>
      </c>
      <c r="F5" s="164">
        <v>2.5400000000000002E-3</v>
      </c>
      <c r="G5" s="159">
        <v>0.9</v>
      </c>
      <c r="H5" s="160">
        <f t="shared" si="0"/>
        <v>0.70098665999999998</v>
      </c>
      <c r="I5" s="157">
        <f t="shared" si="2"/>
        <v>2.4535759887994399</v>
      </c>
      <c r="J5" s="161" t="s">
        <v>544</v>
      </c>
    </row>
    <row r="6" spans="1:10" x14ac:dyDescent="0.2">
      <c r="A6" s="155" t="s">
        <v>545</v>
      </c>
      <c r="B6" s="156" t="s">
        <v>546</v>
      </c>
      <c r="C6" s="156">
        <v>154.72999999999999</v>
      </c>
      <c r="D6" s="157">
        <f>C6/292.7</f>
        <v>0.5286299965835326</v>
      </c>
      <c r="E6" s="173">
        <f t="shared" si="1"/>
        <v>146655743390.26697</v>
      </c>
      <c r="F6" s="158">
        <v>2.66E-3</v>
      </c>
      <c r="G6" s="159">
        <v>0.9</v>
      </c>
      <c r="H6" s="160">
        <f t="shared" si="0"/>
        <v>1.3582199399999999</v>
      </c>
      <c r="I6" s="157">
        <f t="shared" si="2"/>
        <v>2.5693205999999997</v>
      </c>
      <c r="J6" s="161" t="s">
        <v>547</v>
      </c>
    </row>
    <row r="7" spans="1:10" x14ac:dyDescent="0.2">
      <c r="A7" s="155" t="s">
        <v>429</v>
      </c>
      <c r="B7" s="156" t="s">
        <v>546</v>
      </c>
      <c r="C7" s="156">
        <v>83.74</v>
      </c>
      <c r="D7" s="157">
        <f>C7/292.7</f>
        <v>0.28609497779296206</v>
      </c>
      <c r="E7" s="173">
        <f t="shared" si="1"/>
        <v>79370205852.135696</v>
      </c>
      <c r="F7" s="158">
        <v>2.7299999999999998E-3</v>
      </c>
      <c r="G7" s="159">
        <v>0.98</v>
      </c>
      <c r="H7" s="160">
        <f t="shared" si="0"/>
        <v>0.82147265199999986</v>
      </c>
      <c r="I7" s="157">
        <f t="shared" si="2"/>
        <v>2.8713284599999995</v>
      </c>
      <c r="J7" s="161" t="s">
        <v>548</v>
      </c>
    </row>
    <row r="8" spans="1:10" x14ac:dyDescent="0.2">
      <c r="A8" s="155" t="s">
        <v>478</v>
      </c>
      <c r="B8" s="156" t="s">
        <v>543</v>
      </c>
      <c r="C8" s="156">
        <v>284.35000000000002</v>
      </c>
      <c r="D8" s="157">
        <v>0.97140000000000004</v>
      </c>
      <c r="E8" s="173">
        <f t="shared" si="1"/>
        <v>269511798830.36523</v>
      </c>
      <c r="F8" s="158">
        <v>2.9399999999999999E-3</v>
      </c>
      <c r="G8" s="159">
        <v>0.93</v>
      </c>
      <c r="H8" s="160">
        <f t="shared" si="0"/>
        <v>2.8507224900000008</v>
      </c>
      <c r="I8" s="157">
        <f t="shared" si="2"/>
        <v>2.9346535824583082</v>
      </c>
      <c r="J8" s="161" t="s">
        <v>544</v>
      </c>
    </row>
    <row r="9" spans="1:10" x14ac:dyDescent="0.2">
      <c r="A9" s="155" t="s">
        <v>446</v>
      </c>
      <c r="B9" s="156" t="s">
        <v>549</v>
      </c>
      <c r="C9" s="156">
        <v>1735.35</v>
      </c>
      <c r="D9" s="157">
        <v>5.9284999999999997</v>
      </c>
      <c r="E9" s="173">
        <f t="shared" si="1"/>
        <v>1644794443820.2017</v>
      </c>
      <c r="F9" s="158">
        <v>1.3599999999999999E-3</v>
      </c>
      <c r="G9" s="159">
        <v>0.99</v>
      </c>
      <c r="H9" s="160">
        <f t="shared" si="0"/>
        <v>8.5670758799999991</v>
      </c>
      <c r="I9" s="157">
        <f t="shared" si="2"/>
        <v>1.4450663540524584</v>
      </c>
      <c r="J9" s="161" t="s">
        <v>544</v>
      </c>
    </row>
    <row r="10" spans="1:10" x14ac:dyDescent="0.2">
      <c r="A10" s="155" t="s">
        <v>448</v>
      </c>
      <c r="B10" s="156" t="s">
        <v>549</v>
      </c>
      <c r="C10" s="156">
        <v>376.3</v>
      </c>
      <c r="D10" s="157">
        <f>C10/292.7</f>
        <v>1.2856166723607791</v>
      </c>
      <c r="E10" s="173">
        <f t="shared" si="1"/>
        <v>356663583259.59711</v>
      </c>
      <c r="F10" s="158">
        <v>7.0800000000000004E-3</v>
      </c>
      <c r="G10" s="159">
        <v>0.99</v>
      </c>
      <c r="H10" s="160">
        <f t="shared" si="0"/>
        <v>9.671060520000001</v>
      </c>
      <c r="I10" s="157">
        <f t="shared" si="2"/>
        <v>7.5225070799999996</v>
      </c>
      <c r="J10" s="161" t="s">
        <v>547</v>
      </c>
    </row>
    <row r="11" spans="1:10" x14ac:dyDescent="0.2">
      <c r="A11" s="155" t="s">
        <v>450</v>
      </c>
      <c r="B11" s="156" t="s">
        <v>549</v>
      </c>
      <c r="C11" s="156">
        <v>794.5</v>
      </c>
      <c r="D11" s="157">
        <f>C11/292.7</f>
        <v>2.7143833276392213</v>
      </c>
      <c r="E11" s="173">
        <f t="shared" si="1"/>
        <v>753040703958.94214</v>
      </c>
      <c r="F11" s="158">
        <v>4.6899999999999997E-3</v>
      </c>
      <c r="G11" s="159">
        <v>0.99</v>
      </c>
      <c r="H11" s="160">
        <f t="shared" si="0"/>
        <v>13.526124149999999</v>
      </c>
      <c r="I11" s="157">
        <f t="shared" si="2"/>
        <v>4.9831296899999993</v>
      </c>
      <c r="J11" s="161" t="s">
        <v>547</v>
      </c>
    </row>
    <row r="12" spans="1:10" x14ac:dyDescent="0.2">
      <c r="A12" s="155" t="s">
        <v>452</v>
      </c>
      <c r="B12" s="156" t="s">
        <v>549</v>
      </c>
      <c r="C12" s="162">
        <v>522.70000000000005</v>
      </c>
      <c r="D12" s="163">
        <v>1.786</v>
      </c>
      <c r="E12" s="173">
        <f t="shared" si="1"/>
        <v>495424010018.04791</v>
      </c>
      <c r="F12" s="158">
        <v>1.2199999999999999E-3</v>
      </c>
      <c r="G12" s="159">
        <v>0.99</v>
      </c>
      <c r="H12" s="160">
        <f t="shared" si="0"/>
        <v>2.31482922</v>
      </c>
      <c r="I12" s="157">
        <f t="shared" si="2"/>
        <v>1.2960969876819708</v>
      </c>
      <c r="J12" s="161" t="s">
        <v>544</v>
      </c>
    </row>
    <row r="13" spans="1:10" x14ac:dyDescent="0.2">
      <c r="A13" s="155" t="s">
        <v>434</v>
      </c>
      <c r="B13" s="156" t="s">
        <v>543</v>
      </c>
      <c r="C13" s="156">
        <v>334.53</v>
      </c>
      <c r="D13" s="157">
        <f>C13/292.7</f>
        <v>1.1429108302015716</v>
      </c>
      <c r="E13" s="173">
        <f t="shared" si="1"/>
        <v>317073262045.79596</v>
      </c>
      <c r="F13" s="158">
        <v>2.5799999999999998E-3</v>
      </c>
      <c r="G13" s="159">
        <v>0.93</v>
      </c>
      <c r="H13" s="160">
        <f t="shared" si="0"/>
        <v>2.9431280339999994</v>
      </c>
      <c r="I13" s="157">
        <f t="shared" si="2"/>
        <v>2.5751160599999996</v>
      </c>
      <c r="J13" s="161" t="s">
        <v>547</v>
      </c>
    </row>
    <row r="14" spans="1:10" x14ac:dyDescent="0.2">
      <c r="A14" s="165" t="s">
        <v>404</v>
      </c>
      <c r="B14" s="156" t="s">
        <v>543</v>
      </c>
      <c r="C14" s="156">
        <v>418.16</v>
      </c>
      <c r="D14" s="157">
        <v>1.4286000000000001</v>
      </c>
      <c r="E14" s="173">
        <f t="shared" si="1"/>
        <v>396339208014.43829</v>
      </c>
      <c r="F14" s="158">
        <v>2.0100000000000001E-3</v>
      </c>
      <c r="G14" s="159">
        <v>0.98</v>
      </c>
      <c r="H14" s="160">
        <f t="shared" si="0"/>
        <v>3.0202024160000001</v>
      </c>
      <c r="I14" s="157">
        <f t="shared" si="2"/>
        <v>2.1140994092118155</v>
      </c>
      <c r="J14" s="161" t="s">
        <v>544</v>
      </c>
    </row>
    <row r="15" spans="1:10" x14ac:dyDescent="0.2">
      <c r="A15" s="165" t="s">
        <v>443</v>
      </c>
      <c r="B15" s="156" t="s">
        <v>543</v>
      </c>
      <c r="C15" s="156">
        <v>430.7</v>
      </c>
      <c r="D15" s="157">
        <v>1.4714</v>
      </c>
      <c r="E15" s="173">
        <f t="shared" si="1"/>
        <v>408224834732.68268</v>
      </c>
      <c r="F15" s="158">
        <v>1.89E-3</v>
      </c>
      <c r="G15" s="159">
        <v>0.98</v>
      </c>
      <c r="H15" s="160">
        <f t="shared" si="0"/>
        <v>2.9250559799999998</v>
      </c>
      <c r="I15" s="157">
        <f t="shared" si="2"/>
        <v>1.987940723120837</v>
      </c>
      <c r="J15" s="161" t="s">
        <v>544</v>
      </c>
    </row>
    <row r="16" spans="1:10" x14ac:dyDescent="0.2">
      <c r="A16" s="165" t="s">
        <v>426</v>
      </c>
      <c r="B16" s="156" t="s">
        <v>543</v>
      </c>
      <c r="C16" s="156">
        <v>430.7</v>
      </c>
      <c r="D16" s="157">
        <v>1.4714</v>
      </c>
      <c r="E16" s="173">
        <f t="shared" si="1"/>
        <v>408224834732.68268</v>
      </c>
      <c r="F16" s="158">
        <v>1.89E-3</v>
      </c>
      <c r="G16" s="159">
        <v>0.98</v>
      </c>
      <c r="H16" s="160">
        <f t="shared" si="0"/>
        <v>2.9250559799999998</v>
      </c>
      <c r="I16" s="157">
        <f t="shared" si="2"/>
        <v>1.987940723120837</v>
      </c>
      <c r="J16" s="161" t="s">
        <v>544</v>
      </c>
    </row>
    <row r="17" spans="1:10" x14ac:dyDescent="0.2">
      <c r="A17" s="165" t="s">
        <v>436</v>
      </c>
      <c r="B17" s="156" t="s">
        <v>543</v>
      </c>
      <c r="C17" s="156">
        <v>426.52</v>
      </c>
      <c r="D17" s="157">
        <v>1.4571000000000001</v>
      </c>
      <c r="E17" s="173">
        <f t="shared" si="1"/>
        <v>404262959159.93451</v>
      </c>
      <c r="F17" s="158">
        <v>2.0200000000000001E-3</v>
      </c>
      <c r="G17" s="159">
        <v>0.98</v>
      </c>
      <c r="H17" s="160">
        <f t="shared" si="0"/>
        <v>3.095909637333333</v>
      </c>
      <c r="I17" s="157">
        <f t="shared" si="2"/>
        <v>2.1247063601217024</v>
      </c>
      <c r="J17" s="161" t="s">
        <v>544</v>
      </c>
    </row>
    <row r="18" spans="1:10" x14ac:dyDescent="0.2">
      <c r="A18" s="165" t="s">
        <v>419</v>
      </c>
      <c r="B18" s="156" t="s">
        <v>543</v>
      </c>
      <c r="C18" s="156">
        <v>418.16</v>
      </c>
      <c r="D18" s="157">
        <v>1.4286000000000001</v>
      </c>
      <c r="E18" s="173">
        <f t="shared" si="1"/>
        <v>396339208014.43829</v>
      </c>
      <c r="F18" s="158">
        <v>2.1099999999999999E-3</v>
      </c>
      <c r="G18" s="159">
        <v>0.98</v>
      </c>
      <c r="H18" s="160">
        <f t="shared" si="0"/>
        <v>3.1704612426666667</v>
      </c>
      <c r="I18" s="157">
        <f t="shared" si="2"/>
        <v>2.2192784842969808</v>
      </c>
      <c r="J18" s="161" t="s">
        <v>544</v>
      </c>
    </row>
    <row r="19" spans="1:10" x14ac:dyDescent="0.2">
      <c r="A19" s="165" t="s">
        <v>454</v>
      </c>
      <c r="B19" s="156" t="s">
        <v>543</v>
      </c>
      <c r="C19" s="156">
        <v>439.07</v>
      </c>
      <c r="D19" s="157">
        <f t="shared" ref="D19:D24" si="3">C19/292.7</f>
        <v>1.5000683293474548</v>
      </c>
      <c r="E19" s="173">
        <f t="shared" si="1"/>
        <v>416158064049.40558</v>
      </c>
      <c r="F19" s="158">
        <v>2E-3</v>
      </c>
      <c r="G19" s="159">
        <v>0.98</v>
      </c>
      <c r="H19" s="160">
        <f t="shared" si="0"/>
        <v>3.1554497333333331</v>
      </c>
      <c r="I19" s="157">
        <f t="shared" si="2"/>
        <v>2.1035373333333331</v>
      </c>
      <c r="J19" s="161" t="s">
        <v>547</v>
      </c>
    </row>
    <row r="20" spans="1:10" x14ac:dyDescent="0.2">
      <c r="A20" s="165" t="s">
        <v>456</v>
      </c>
      <c r="B20" s="156" t="s">
        <v>543</v>
      </c>
      <c r="C20" s="156">
        <v>413.98</v>
      </c>
      <c r="D20" s="157">
        <f t="shared" si="3"/>
        <v>1.4143491629654938</v>
      </c>
      <c r="E20" s="173">
        <f t="shared" si="1"/>
        <v>392377332441.69019</v>
      </c>
      <c r="F20" s="158">
        <v>2E-3</v>
      </c>
      <c r="G20" s="159">
        <v>0.98</v>
      </c>
      <c r="H20" s="160">
        <f t="shared" si="0"/>
        <v>2.9751362666666665</v>
      </c>
      <c r="I20" s="157">
        <f t="shared" si="2"/>
        <v>2.1035373333333331</v>
      </c>
      <c r="J20" s="161" t="s">
        <v>550</v>
      </c>
    </row>
    <row r="21" spans="1:10" x14ac:dyDescent="0.2">
      <c r="A21" s="165" t="s">
        <v>458</v>
      </c>
      <c r="B21" s="156" t="s">
        <v>543</v>
      </c>
      <c r="C21" s="156">
        <v>399.25</v>
      </c>
      <c r="D21" s="157">
        <f t="shared" si="3"/>
        <v>1.3640245985650838</v>
      </c>
      <c r="E21" s="173">
        <f t="shared" si="1"/>
        <v>378415986224.80505</v>
      </c>
      <c r="F21" s="158">
        <v>2E-3</v>
      </c>
      <c r="G21" s="159">
        <v>0.98</v>
      </c>
      <c r="H21" s="160">
        <f t="shared" si="0"/>
        <v>2.8692766666666665</v>
      </c>
      <c r="I21" s="157">
        <f t="shared" si="2"/>
        <v>2.1035373333333331</v>
      </c>
      <c r="J21" s="161" t="s">
        <v>551</v>
      </c>
    </row>
    <row r="22" spans="1:10" x14ac:dyDescent="0.2">
      <c r="A22" s="165" t="s">
        <v>421</v>
      </c>
      <c r="B22" s="156" t="s">
        <v>543</v>
      </c>
      <c r="C22" s="156">
        <v>429.45</v>
      </c>
      <c r="D22" s="157">
        <f t="shared" si="3"/>
        <v>1.4672019132217287</v>
      </c>
      <c r="E22" s="173">
        <f t="shared" si="1"/>
        <v>407040063329.34888</v>
      </c>
      <c r="F22" s="158">
        <v>2E-3</v>
      </c>
      <c r="G22" s="159">
        <v>0.98</v>
      </c>
      <c r="H22" s="160">
        <f t="shared" si="0"/>
        <v>3.0863139999999998</v>
      </c>
      <c r="I22" s="157">
        <f t="shared" si="2"/>
        <v>2.1035373333333331</v>
      </c>
      <c r="J22" s="161" t="s">
        <v>552</v>
      </c>
    </row>
    <row r="23" spans="1:10" x14ac:dyDescent="0.2">
      <c r="A23" s="165" t="s">
        <v>438</v>
      </c>
      <c r="B23" s="156" t="s">
        <v>543</v>
      </c>
      <c r="C23" s="156">
        <v>389.31</v>
      </c>
      <c r="D23" s="157">
        <f t="shared" si="3"/>
        <v>1.3300649128800821</v>
      </c>
      <c r="E23" s="173">
        <f t="shared" si="1"/>
        <v>368994684025.495</v>
      </c>
      <c r="F23" s="166">
        <v>2.2000000000000001E-3</v>
      </c>
      <c r="G23" s="159">
        <v>0.98</v>
      </c>
      <c r="H23" s="160">
        <f t="shared" si="0"/>
        <v>3.0776253199999997</v>
      </c>
      <c r="I23" s="157">
        <f t="shared" si="2"/>
        <v>2.3138910666666663</v>
      </c>
      <c r="J23" s="161" t="s">
        <v>553</v>
      </c>
    </row>
    <row r="24" spans="1:10" x14ac:dyDescent="0.2">
      <c r="A24" s="165" t="s">
        <v>440</v>
      </c>
      <c r="B24" s="156" t="s">
        <v>543</v>
      </c>
      <c r="C24" s="156">
        <v>319.47000000000003</v>
      </c>
      <c r="D24" s="157">
        <f t="shared" si="3"/>
        <v>1.0914588315681586</v>
      </c>
      <c r="E24" s="173">
        <f t="shared" si="1"/>
        <v>302799136178.43073</v>
      </c>
      <c r="F24" s="166">
        <v>2.7499999999999998E-3</v>
      </c>
      <c r="G24" s="159">
        <v>0.98</v>
      </c>
      <c r="H24" s="160">
        <f t="shared" si="0"/>
        <v>3.1568960499999998</v>
      </c>
      <c r="I24" s="157">
        <f t="shared" si="2"/>
        <v>2.892363833333333</v>
      </c>
      <c r="J24" s="161" t="s">
        <v>554</v>
      </c>
    </row>
    <row r="25" spans="1:10" x14ac:dyDescent="0.2">
      <c r="A25" s="165" t="s">
        <v>460</v>
      </c>
      <c r="B25" s="156" t="s">
        <v>543</v>
      </c>
      <c r="C25" s="156">
        <v>501.79</v>
      </c>
      <c r="D25" s="157">
        <v>1.7142999999999999</v>
      </c>
      <c r="E25" s="173">
        <f t="shared" si="1"/>
        <v>475605153983.08063</v>
      </c>
      <c r="F25" s="158">
        <v>1.72E-3</v>
      </c>
      <c r="G25" s="159">
        <v>0.99</v>
      </c>
      <c r="H25" s="160">
        <f t="shared" si="0"/>
        <v>3.1329760439999998</v>
      </c>
      <c r="I25" s="157">
        <f t="shared" si="2"/>
        <v>1.827554129382255</v>
      </c>
      <c r="J25" s="161" t="s">
        <v>544</v>
      </c>
    </row>
    <row r="26" spans="1:10" x14ac:dyDescent="0.2">
      <c r="A26" s="165" t="s">
        <v>462</v>
      </c>
      <c r="B26" s="156" t="s">
        <v>543</v>
      </c>
      <c r="C26" s="156">
        <v>459.98</v>
      </c>
      <c r="D26" s="157">
        <v>1.5713999999999999</v>
      </c>
      <c r="E26" s="173">
        <f t="shared" si="1"/>
        <v>435976920084.3728</v>
      </c>
      <c r="F26" s="158">
        <v>1.82E-3</v>
      </c>
      <c r="G26" s="159">
        <v>0.99</v>
      </c>
      <c r="H26" s="160">
        <f t="shared" si="0"/>
        <v>3.0389038680000002</v>
      </c>
      <c r="I26" s="157">
        <f t="shared" si="2"/>
        <v>1.9338830775105005</v>
      </c>
      <c r="J26" s="161" t="s">
        <v>544</v>
      </c>
    </row>
    <row r="27" spans="1:10" x14ac:dyDescent="0.2">
      <c r="A27" s="165" t="s">
        <v>423</v>
      </c>
      <c r="B27" s="156" t="s">
        <v>543</v>
      </c>
      <c r="C27" s="156">
        <v>409.8</v>
      </c>
      <c r="D27" s="157">
        <f>C27/292.7</f>
        <v>1.4000683293474547</v>
      </c>
      <c r="E27" s="173">
        <f t="shared" si="1"/>
        <v>388415456868.94208</v>
      </c>
      <c r="F27" s="158">
        <v>2E-3</v>
      </c>
      <c r="G27" s="159">
        <v>0.99</v>
      </c>
      <c r="H27" s="160">
        <f t="shared" si="0"/>
        <v>2.9751480000000003</v>
      </c>
      <c r="I27" s="157">
        <f t="shared" si="2"/>
        <v>2.1250020000000003</v>
      </c>
      <c r="J27" s="161" t="s">
        <v>554</v>
      </c>
    </row>
    <row r="28" spans="1:10" x14ac:dyDescent="0.2">
      <c r="A28" s="167" t="s">
        <v>465</v>
      </c>
      <c r="B28" s="156" t="s">
        <v>549</v>
      </c>
      <c r="C28" s="156">
        <v>3558.45</v>
      </c>
      <c r="D28" s="157">
        <v>12.15</v>
      </c>
      <c r="E28" s="173">
        <f t="shared" si="1"/>
        <v>3372759840154.4336</v>
      </c>
      <c r="F28" s="158">
        <v>1.5300000000000001E-3</v>
      </c>
      <c r="G28" s="159">
        <v>0.99</v>
      </c>
      <c r="H28" s="160">
        <f t="shared" si="0"/>
        <v>19.763275455000002</v>
      </c>
      <c r="I28" s="157">
        <f t="shared" si="2"/>
        <v>1.6266070333333336</v>
      </c>
      <c r="J28" s="161" t="s">
        <v>544</v>
      </c>
    </row>
    <row r="29" spans="1:10" x14ac:dyDescent="0.2">
      <c r="A29" s="167" t="s">
        <v>467</v>
      </c>
      <c r="B29" s="156" t="s">
        <v>543</v>
      </c>
      <c r="C29" s="156">
        <v>514.34</v>
      </c>
      <c r="D29" s="157">
        <f t="shared" ref="D29" si="4">C29/292.7</f>
        <v>1.757225828493338</v>
      </c>
      <c r="E29" s="173">
        <f t="shared" si="1"/>
        <v>487500258872.5517</v>
      </c>
      <c r="F29" s="158">
        <v>1.5299999999999999E-3</v>
      </c>
      <c r="G29" s="159">
        <v>1</v>
      </c>
      <c r="H29" s="160">
        <f t="shared" si="0"/>
        <v>2.8854473999999999</v>
      </c>
      <c r="I29" s="157">
        <f t="shared" si="2"/>
        <v>1.6420469999999998</v>
      </c>
      <c r="J29" s="161" t="s">
        <v>554</v>
      </c>
    </row>
    <row r="30" spans="1:10" x14ac:dyDescent="0.2">
      <c r="A30" s="168" t="s">
        <v>416</v>
      </c>
      <c r="B30" s="161" t="s">
        <v>555</v>
      </c>
      <c r="C30" s="156">
        <v>10</v>
      </c>
      <c r="D30" s="157">
        <f>C30/292.7</f>
        <v>3.4164673727365903E-2</v>
      </c>
      <c r="E30" s="173">
        <f t="shared" si="1"/>
        <v>9478171226.6701336</v>
      </c>
      <c r="F30" s="164"/>
      <c r="G30" s="159">
        <v>1</v>
      </c>
      <c r="H30" s="160"/>
      <c r="I30" s="157"/>
      <c r="J30" s="161" t="s">
        <v>556</v>
      </c>
    </row>
    <row r="31" spans="1:10" x14ac:dyDescent="0.2">
      <c r="A31" s="169" t="s">
        <v>407</v>
      </c>
      <c r="B31" s="161" t="s">
        <v>557</v>
      </c>
      <c r="C31" s="161">
        <v>360</v>
      </c>
      <c r="D31" s="157">
        <f>C31/292.7</f>
        <v>1.2299282541851726</v>
      </c>
      <c r="E31" s="173">
        <f t="shared" si="1"/>
        <v>341214164160.12482</v>
      </c>
      <c r="F31" s="161"/>
      <c r="G31" s="159">
        <v>1</v>
      </c>
      <c r="H31" s="170"/>
      <c r="I31" s="163"/>
      <c r="J31" s="161"/>
    </row>
    <row r="32" spans="1:10" x14ac:dyDescent="0.2">
      <c r="A32" s="171" t="s">
        <v>558</v>
      </c>
      <c r="B32" s="161" t="s">
        <v>546</v>
      </c>
      <c r="C32" s="179">
        <v>9.6903209999999991</v>
      </c>
      <c r="D32" s="161"/>
      <c r="E32" s="173">
        <f t="shared" si="1"/>
        <v>9184652167.9397354</v>
      </c>
      <c r="F32" s="161"/>
      <c r="G32" s="161"/>
      <c r="H32" s="161"/>
      <c r="I32" s="161"/>
      <c r="J32" s="161"/>
    </row>
    <row r="33" spans="1:10" x14ac:dyDescent="0.2">
      <c r="A33" s="172" t="s">
        <v>479</v>
      </c>
      <c r="B33" s="166" t="s">
        <v>559</v>
      </c>
      <c r="C33" s="156">
        <v>292.70999999999998</v>
      </c>
      <c r="D33" s="157">
        <f t="shared" ref="D33" si="5">C33/292.7</f>
        <v>1.0000341646737274</v>
      </c>
      <c r="E33" s="173">
        <f t="shared" si="1"/>
        <v>277435549975.86145</v>
      </c>
      <c r="F33" s="158">
        <v>0</v>
      </c>
      <c r="G33" s="159">
        <v>1</v>
      </c>
      <c r="H33" s="160">
        <f t="shared" ref="H33" si="6">C33*F33*G33*44/12</f>
        <v>0</v>
      </c>
      <c r="I33" s="157">
        <f t="shared" ref="I33" si="7">H33/D33</f>
        <v>0</v>
      </c>
      <c r="J33" s="161" t="s">
        <v>554</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BA890-7785-48DC-B56E-1E040E6DD707}">
  <sheetPr codeName="Sheet21">
    <tabColor theme="4"/>
  </sheetPr>
  <dimension ref="A1:AP26"/>
  <sheetViews>
    <sheetView workbookViewId="0">
      <selection activeCell="A2" sqref="A2:XFD26"/>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Energy'!E56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Energy'!E57</f>
        <v>1</v>
      </c>
      <c r="C3">
        <f t="shared" ref="C3:R26" si="2">$B3</f>
        <v>1</v>
      </c>
      <c r="D3">
        <f t="shared" si="2"/>
        <v>1</v>
      </c>
      <c r="E3">
        <f t="shared" si="2"/>
        <v>1</v>
      </c>
      <c r="F3">
        <f t="shared" si="2"/>
        <v>1</v>
      </c>
      <c r="G3">
        <f t="shared" si="2"/>
        <v>1</v>
      </c>
      <c r="H3">
        <f t="shared" si="2"/>
        <v>1</v>
      </c>
      <c r="I3">
        <f t="shared" si="2"/>
        <v>1</v>
      </c>
      <c r="J3">
        <f t="shared" si="2"/>
        <v>1</v>
      </c>
      <c r="K3">
        <f t="shared" si="2"/>
        <v>1</v>
      </c>
      <c r="L3">
        <f t="shared" si="2"/>
        <v>1</v>
      </c>
      <c r="M3">
        <f t="shared" si="2"/>
        <v>1</v>
      </c>
      <c r="N3">
        <f t="shared" si="2"/>
        <v>1</v>
      </c>
      <c r="O3">
        <f t="shared" si="2"/>
        <v>1</v>
      </c>
      <c r="P3">
        <f t="shared" si="2"/>
        <v>1</v>
      </c>
      <c r="Q3">
        <f t="shared" si="2"/>
        <v>1</v>
      </c>
      <c r="R3">
        <f t="shared" si="2"/>
        <v>1</v>
      </c>
      <c r="S3">
        <f t="shared" si="0"/>
        <v>1</v>
      </c>
      <c r="T3">
        <f t="shared" si="0"/>
        <v>1</v>
      </c>
      <c r="U3">
        <f t="shared" si="0"/>
        <v>1</v>
      </c>
      <c r="V3">
        <f t="shared" si="0"/>
        <v>1</v>
      </c>
      <c r="W3">
        <f t="shared" si="0"/>
        <v>1</v>
      </c>
      <c r="X3">
        <f t="shared" si="0"/>
        <v>1</v>
      </c>
      <c r="Y3">
        <f t="shared" si="0"/>
        <v>1</v>
      </c>
      <c r="Z3">
        <f t="shared" si="0"/>
        <v>1</v>
      </c>
      <c r="AA3">
        <f t="shared" si="0"/>
        <v>1</v>
      </c>
      <c r="AB3">
        <f t="shared" si="0"/>
        <v>1</v>
      </c>
      <c r="AC3">
        <f t="shared" si="0"/>
        <v>1</v>
      </c>
      <c r="AD3">
        <f t="shared" si="0"/>
        <v>1</v>
      </c>
      <c r="AE3">
        <f t="shared" si="0"/>
        <v>1</v>
      </c>
      <c r="AF3">
        <f t="shared" si="0"/>
        <v>1</v>
      </c>
      <c r="AG3">
        <f t="shared" si="1"/>
        <v>1</v>
      </c>
      <c r="AH3">
        <f t="shared" si="1"/>
        <v>1</v>
      </c>
      <c r="AI3">
        <f t="shared" si="1"/>
        <v>1</v>
      </c>
      <c r="AJ3">
        <f t="shared" si="1"/>
        <v>1</v>
      </c>
      <c r="AK3">
        <f t="shared" si="1"/>
        <v>1</v>
      </c>
      <c r="AL3">
        <f t="shared" si="1"/>
        <v>1</v>
      </c>
      <c r="AM3">
        <f t="shared" si="1"/>
        <v>1</v>
      </c>
      <c r="AN3">
        <f t="shared" si="1"/>
        <v>1</v>
      </c>
      <c r="AO3">
        <f t="shared" si="1"/>
        <v>1</v>
      </c>
      <c r="AP3">
        <f t="shared" si="1"/>
        <v>1</v>
      </c>
    </row>
    <row r="4" spans="1:42" x14ac:dyDescent="0.2">
      <c r="A4" t="s">
        <v>375</v>
      </c>
      <c r="B4">
        <f>'Start Year Energy'!E58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Energy'!E59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Energy'!E60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Energy'!E61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Energy'!E62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Energy'!E63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Energy'!E64</f>
        <v>0.11148200453631185</v>
      </c>
      <c r="C10">
        <f t="shared" si="2"/>
        <v>0.11148200453631185</v>
      </c>
      <c r="D10">
        <f t="shared" si="0"/>
        <v>0.11148200453631185</v>
      </c>
      <c r="E10">
        <f t="shared" si="0"/>
        <v>0.11148200453631185</v>
      </c>
      <c r="F10">
        <f t="shared" si="0"/>
        <v>0.11148200453631185</v>
      </c>
      <c r="G10">
        <f t="shared" si="0"/>
        <v>0.11148200453631185</v>
      </c>
      <c r="H10">
        <f t="shared" si="0"/>
        <v>0.11148200453631185</v>
      </c>
      <c r="I10">
        <f t="shared" si="0"/>
        <v>0.11148200453631185</v>
      </c>
      <c r="J10">
        <f t="shared" si="0"/>
        <v>0.11148200453631185</v>
      </c>
      <c r="K10">
        <f t="shared" si="0"/>
        <v>0.11148200453631185</v>
      </c>
      <c r="L10">
        <f t="shared" si="0"/>
        <v>0.11148200453631185</v>
      </c>
      <c r="M10">
        <f t="shared" si="0"/>
        <v>0.11148200453631185</v>
      </c>
      <c r="N10">
        <f t="shared" si="0"/>
        <v>0.11148200453631185</v>
      </c>
      <c r="O10">
        <f t="shared" si="0"/>
        <v>0.11148200453631185</v>
      </c>
      <c r="P10">
        <f t="shared" si="0"/>
        <v>0.11148200453631185</v>
      </c>
      <c r="Q10">
        <f t="shared" si="0"/>
        <v>0.11148200453631185</v>
      </c>
      <c r="R10">
        <f t="shared" si="0"/>
        <v>0.11148200453631185</v>
      </c>
      <c r="S10">
        <f t="shared" si="0"/>
        <v>0.11148200453631185</v>
      </c>
      <c r="T10">
        <f t="shared" si="0"/>
        <v>0.11148200453631185</v>
      </c>
      <c r="U10">
        <f t="shared" si="0"/>
        <v>0.11148200453631185</v>
      </c>
      <c r="V10">
        <f t="shared" si="0"/>
        <v>0.11148200453631185</v>
      </c>
      <c r="W10">
        <f t="shared" si="0"/>
        <v>0.11148200453631185</v>
      </c>
      <c r="X10">
        <f t="shared" si="0"/>
        <v>0.11148200453631185</v>
      </c>
      <c r="Y10">
        <f t="shared" si="0"/>
        <v>0.11148200453631185</v>
      </c>
      <c r="Z10">
        <f t="shared" si="0"/>
        <v>0.11148200453631185</v>
      </c>
      <c r="AA10">
        <f t="shared" si="0"/>
        <v>0.11148200453631185</v>
      </c>
      <c r="AB10">
        <f t="shared" si="0"/>
        <v>0.11148200453631185</v>
      </c>
      <c r="AC10">
        <f t="shared" si="0"/>
        <v>0.11148200453631185</v>
      </c>
      <c r="AD10">
        <f t="shared" si="0"/>
        <v>0.11148200453631185</v>
      </c>
      <c r="AE10">
        <f t="shared" si="0"/>
        <v>0.11148200453631185</v>
      </c>
      <c r="AF10">
        <f t="shared" si="0"/>
        <v>0.11148200453631185</v>
      </c>
      <c r="AG10">
        <f t="shared" si="1"/>
        <v>0.11148200453631185</v>
      </c>
      <c r="AH10">
        <f t="shared" si="1"/>
        <v>0.11148200453631185</v>
      </c>
      <c r="AI10">
        <f t="shared" si="1"/>
        <v>0.11148200453631185</v>
      </c>
      <c r="AJ10">
        <f t="shared" si="1"/>
        <v>0.11148200453631185</v>
      </c>
      <c r="AK10">
        <f t="shared" si="1"/>
        <v>0.11148200453631185</v>
      </c>
      <c r="AL10">
        <f t="shared" si="1"/>
        <v>0.11148200453631185</v>
      </c>
      <c r="AM10">
        <f t="shared" si="1"/>
        <v>0.11148200453631185</v>
      </c>
      <c r="AN10">
        <f t="shared" si="1"/>
        <v>0.11148200453631185</v>
      </c>
      <c r="AO10">
        <f t="shared" si="1"/>
        <v>0.11148200453631185</v>
      </c>
      <c r="AP10">
        <f t="shared" si="1"/>
        <v>0.11148200453631185</v>
      </c>
    </row>
    <row r="11" spans="1:42" x14ac:dyDescent="0.2">
      <c r="A11" t="s">
        <v>382</v>
      </c>
      <c r="B11">
        <f>'Start Year Energy'!E65</f>
        <v>1</v>
      </c>
      <c r="C11">
        <f t="shared" si="2"/>
        <v>1</v>
      </c>
      <c r="D11">
        <f t="shared" si="0"/>
        <v>1</v>
      </c>
      <c r="E11">
        <f t="shared" si="0"/>
        <v>1</v>
      </c>
      <c r="F11">
        <f t="shared" si="0"/>
        <v>1</v>
      </c>
      <c r="G11">
        <f t="shared" si="0"/>
        <v>1</v>
      </c>
      <c r="H11">
        <f t="shared" si="0"/>
        <v>1</v>
      </c>
      <c r="I11">
        <f t="shared" si="0"/>
        <v>1</v>
      </c>
      <c r="J11">
        <f t="shared" si="0"/>
        <v>1</v>
      </c>
      <c r="K11">
        <f t="shared" si="0"/>
        <v>1</v>
      </c>
      <c r="L11">
        <f t="shared" si="0"/>
        <v>1</v>
      </c>
      <c r="M11">
        <f t="shared" ref="D11:AF20" si="3">$B11</f>
        <v>1</v>
      </c>
      <c r="N11">
        <f t="shared" si="3"/>
        <v>1</v>
      </c>
      <c r="O11">
        <f t="shared" si="3"/>
        <v>1</v>
      </c>
      <c r="P11">
        <f t="shared" si="3"/>
        <v>1</v>
      </c>
      <c r="Q11">
        <f t="shared" si="3"/>
        <v>1</v>
      </c>
      <c r="R11">
        <f t="shared" si="3"/>
        <v>1</v>
      </c>
      <c r="S11">
        <f t="shared" si="3"/>
        <v>1</v>
      </c>
      <c r="T11">
        <f t="shared" si="3"/>
        <v>1</v>
      </c>
      <c r="U11">
        <f t="shared" si="3"/>
        <v>1</v>
      </c>
      <c r="V11">
        <f t="shared" si="3"/>
        <v>1</v>
      </c>
      <c r="W11">
        <f t="shared" si="3"/>
        <v>1</v>
      </c>
      <c r="X11">
        <f t="shared" si="3"/>
        <v>1</v>
      </c>
      <c r="Y11">
        <f t="shared" si="3"/>
        <v>1</v>
      </c>
      <c r="Z11">
        <f t="shared" si="3"/>
        <v>1</v>
      </c>
      <c r="AA11">
        <f t="shared" si="3"/>
        <v>1</v>
      </c>
      <c r="AB11">
        <f t="shared" si="3"/>
        <v>1</v>
      </c>
      <c r="AC11">
        <f t="shared" si="3"/>
        <v>1</v>
      </c>
      <c r="AD11">
        <f t="shared" si="3"/>
        <v>1</v>
      </c>
      <c r="AE11">
        <f t="shared" si="3"/>
        <v>1</v>
      </c>
      <c r="AF11">
        <f t="shared" si="3"/>
        <v>1</v>
      </c>
      <c r="AG11">
        <f t="shared" si="1"/>
        <v>1</v>
      </c>
      <c r="AH11">
        <f t="shared" si="1"/>
        <v>1</v>
      </c>
      <c r="AI11">
        <f t="shared" si="1"/>
        <v>1</v>
      </c>
      <c r="AJ11">
        <f t="shared" si="1"/>
        <v>1</v>
      </c>
      <c r="AK11">
        <f t="shared" si="1"/>
        <v>1</v>
      </c>
      <c r="AL11">
        <f t="shared" si="1"/>
        <v>1</v>
      </c>
      <c r="AM11">
        <f t="shared" si="1"/>
        <v>1</v>
      </c>
      <c r="AN11">
        <f t="shared" si="1"/>
        <v>1</v>
      </c>
      <c r="AO11">
        <f t="shared" si="1"/>
        <v>1</v>
      </c>
      <c r="AP11">
        <f t="shared" si="1"/>
        <v>1</v>
      </c>
    </row>
    <row r="12" spans="1:42" x14ac:dyDescent="0.2">
      <c r="A12" t="s">
        <v>383</v>
      </c>
      <c r="B12">
        <f>'Start Year Energy'!E66</f>
        <v>1</v>
      </c>
      <c r="C12">
        <f t="shared" si="2"/>
        <v>1</v>
      </c>
      <c r="D12">
        <f t="shared" si="3"/>
        <v>1</v>
      </c>
      <c r="E12">
        <f t="shared" si="3"/>
        <v>1</v>
      </c>
      <c r="F12">
        <f t="shared" si="3"/>
        <v>1</v>
      </c>
      <c r="G12">
        <f t="shared" si="3"/>
        <v>1</v>
      </c>
      <c r="H12">
        <f t="shared" si="3"/>
        <v>1</v>
      </c>
      <c r="I12">
        <f t="shared" si="3"/>
        <v>1</v>
      </c>
      <c r="J12">
        <f t="shared" si="3"/>
        <v>1</v>
      </c>
      <c r="K12">
        <f t="shared" si="3"/>
        <v>1</v>
      </c>
      <c r="L12">
        <f t="shared" si="3"/>
        <v>1</v>
      </c>
      <c r="M12">
        <f t="shared" si="3"/>
        <v>1</v>
      </c>
      <c r="N12">
        <f t="shared" si="3"/>
        <v>1</v>
      </c>
      <c r="O12">
        <f t="shared" si="3"/>
        <v>1</v>
      </c>
      <c r="P12">
        <f t="shared" si="3"/>
        <v>1</v>
      </c>
      <c r="Q12">
        <f t="shared" si="3"/>
        <v>1</v>
      </c>
      <c r="R12">
        <f t="shared" si="3"/>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Energy'!E67</f>
        <v>1</v>
      </c>
      <c r="C13">
        <f t="shared" si="2"/>
        <v>1</v>
      </c>
      <c r="D13">
        <f t="shared" si="3"/>
        <v>1</v>
      </c>
      <c r="E13">
        <f t="shared" si="3"/>
        <v>1</v>
      </c>
      <c r="F13">
        <f t="shared" si="3"/>
        <v>1</v>
      </c>
      <c r="G13">
        <f t="shared" si="3"/>
        <v>1</v>
      </c>
      <c r="H13">
        <f t="shared" si="3"/>
        <v>1</v>
      </c>
      <c r="I13">
        <f t="shared" si="3"/>
        <v>1</v>
      </c>
      <c r="J13">
        <f t="shared" si="3"/>
        <v>1</v>
      </c>
      <c r="K13">
        <f t="shared" si="3"/>
        <v>1</v>
      </c>
      <c r="L13">
        <f t="shared" si="3"/>
        <v>1</v>
      </c>
      <c r="M13">
        <f t="shared" si="3"/>
        <v>1</v>
      </c>
      <c r="N13">
        <f t="shared" si="3"/>
        <v>1</v>
      </c>
      <c r="O13">
        <f t="shared" si="3"/>
        <v>1</v>
      </c>
      <c r="P13">
        <f t="shared" si="3"/>
        <v>1</v>
      </c>
      <c r="Q13">
        <f t="shared" si="3"/>
        <v>1</v>
      </c>
      <c r="R13">
        <f t="shared" si="3"/>
        <v>1</v>
      </c>
      <c r="S13">
        <f t="shared" si="3"/>
        <v>1</v>
      </c>
      <c r="T13">
        <f t="shared" si="3"/>
        <v>1</v>
      </c>
      <c r="U13">
        <f t="shared" si="3"/>
        <v>1</v>
      </c>
      <c r="V13">
        <f t="shared" si="3"/>
        <v>1</v>
      </c>
      <c r="W13">
        <f t="shared" si="3"/>
        <v>1</v>
      </c>
      <c r="X13">
        <f t="shared" si="3"/>
        <v>1</v>
      </c>
      <c r="Y13">
        <f t="shared" si="3"/>
        <v>1</v>
      </c>
      <c r="Z13">
        <f t="shared" si="3"/>
        <v>1</v>
      </c>
      <c r="AA13">
        <f t="shared" si="3"/>
        <v>1</v>
      </c>
      <c r="AB13">
        <f t="shared" si="3"/>
        <v>1</v>
      </c>
      <c r="AC13">
        <f t="shared" si="3"/>
        <v>1</v>
      </c>
      <c r="AD13">
        <f t="shared" si="3"/>
        <v>1</v>
      </c>
      <c r="AE13">
        <f t="shared" si="3"/>
        <v>1</v>
      </c>
      <c r="AF13">
        <f t="shared" si="3"/>
        <v>1</v>
      </c>
      <c r="AG13">
        <f t="shared" si="1"/>
        <v>1</v>
      </c>
      <c r="AH13">
        <f t="shared" si="1"/>
        <v>1</v>
      </c>
      <c r="AI13">
        <f t="shared" si="1"/>
        <v>1</v>
      </c>
      <c r="AJ13">
        <f t="shared" si="1"/>
        <v>1</v>
      </c>
      <c r="AK13">
        <f t="shared" si="1"/>
        <v>1</v>
      </c>
      <c r="AL13">
        <f t="shared" si="1"/>
        <v>1</v>
      </c>
      <c r="AM13">
        <f t="shared" si="1"/>
        <v>1</v>
      </c>
      <c r="AN13">
        <f t="shared" si="1"/>
        <v>1</v>
      </c>
      <c r="AO13">
        <f t="shared" si="1"/>
        <v>1</v>
      </c>
      <c r="AP13">
        <f t="shared" si="1"/>
        <v>1</v>
      </c>
    </row>
    <row r="14" spans="1:42" x14ac:dyDescent="0.2">
      <c r="A14" t="s">
        <v>385</v>
      </c>
      <c r="B14">
        <f>'Start Year Energy'!E68</f>
        <v>1</v>
      </c>
      <c r="C14">
        <f t="shared" si="2"/>
        <v>1</v>
      </c>
      <c r="D14">
        <f t="shared" si="3"/>
        <v>1</v>
      </c>
      <c r="E14">
        <f t="shared" si="3"/>
        <v>1</v>
      </c>
      <c r="F14">
        <f t="shared" si="3"/>
        <v>1</v>
      </c>
      <c r="G14">
        <f t="shared" si="3"/>
        <v>1</v>
      </c>
      <c r="H14">
        <f t="shared" si="3"/>
        <v>1</v>
      </c>
      <c r="I14">
        <f t="shared" si="3"/>
        <v>1</v>
      </c>
      <c r="J14">
        <f t="shared" si="3"/>
        <v>1</v>
      </c>
      <c r="K14">
        <f t="shared" si="3"/>
        <v>1</v>
      </c>
      <c r="L14">
        <f t="shared" si="3"/>
        <v>1</v>
      </c>
      <c r="M14">
        <f t="shared" si="3"/>
        <v>1</v>
      </c>
      <c r="N14">
        <f t="shared" si="3"/>
        <v>1</v>
      </c>
      <c r="O14">
        <f t="shared" si="3"/>
        <v>1</v>
      </c>
      <c r="P14">
        <f t="shared" si="3"/>
        <v>1</v>
      </c>
      <c r="Q14">
        <f t="shared" si="3"/>
        <v>1</v>
      </c>
      <c r="R14">
        <f t="shared" si="3"/>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Energy'!E69</f>
        <v>1</v>
      </c>
      <c r="C15">
        <f t="shared" si="2"/>
        <v>1</v>
      </c>
      <c r="D15">
        <f t="shared" si="3"/>
        <v>1</v>
      </c>
      <c r="E15">
        <f t="shared" si="3"/>
        <v>1</v>
      </c>
      <c r="F15">
        <f t="shared" si="3"/>
        <v>1</v>
      </c>
      <c r="G15">
        <f t="shared" si="3"/>
        <v>1</v>
      </c>
      <c r="H15">
        <f t="shared" si="3"/>
        <v>1</v>
      </c>
      <c r="I15">
        <f t="shared" si="3"/>
        <v>1</v>
      </c>
      <c r="J15">
        <f t="shared" si="3"/>
        <v>1</v>
      </c>
      <c r="K15">
        <f t="shared" si="3"/>
        <v>1</v>
      </c>
      <c r="L15">
        <f t="shared" si="3"/>
        <v>1</v>
      </c>
      <c r="M15">
        <f t="shared" si="3"/>
        <v>1</v>
      </c>
      <c r="N15">
        <f t="shared" si="3"/>
        <v>1</v>
      </c>
      <c r="O15">
        <f t="shared" si="3"/>
        <v>1</v>
      </c>
      <c r="P15">
        <f t="shared" si="3"/>
        <v>1</v>
      </c>
      <c r="Q15">
        <f t="shared" si="3"/>
        <v>1</v>
      </c>
      <c r="R15">
        <f t="shared" si="3"/>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Energy'!E70</f>
        <v>1</v>
      </c>
      <c r="C16">
        <f t="shared" si="2"/>
        <v>1</v>
      </c>
      <c r="D16">
        <f t="shared" si="3"/>
        <v>1</v>
      </c>
      <c r="E16">
        <f t="shared" si="3"/>
        <v>1</v>
      </c>
      <c r="F16">
        <f t="shared" si="3"/>
        <v>1</v>
      </c>
      <c r="G16">
        <f t="shared" si="3"/>
        <v>1</v>
      </c>
      <c r="H16">
        <f t="shared" si="3"/>
        <v>1</v>
      </c>
      <c r="I16">
        <f t="shared" si="3"/>
        <v>1</v>
      </c>
      <c r="J16">
        <f t="shared" si="3"/>
        <v>1</v>
      </c>
      <c r="K16">
        <f t="shared" si="3"/>
        <v>1</v>
      </c>
      <c r="L16">
        <f t="shared" si="3"/>
        <v>1</v>
      </c>
      <c r="M16">
        <f t="shared" si="3"/>
        <v>1</v>
      </c>
      <c r="N16">
        <f t="shared" si="3"/>
        <v>1</v>
      </c>
      <c r="O16">
        <f t="shared" si="3"/>
        <v>1</v>
      </c>
      <c r="P16">
        <f t="shared" si="3"/>
        <v>1</v>
      </c>
      <c r="Q16">
        <f t="shared" si="3"/>
        <v>1</v>
      </c>
      <c r="R16">
        <f t="shared" si="3"/>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Energy'!E71</f>
        <v>1</v>
      </c>
      <c r="C17">
        <f t="shared" si="2"/>
        <v>1</v>
      </c>
      <c r="D17">
        <f t="shared" si="3"/>
        <v>1</v>
      </c>
      <c r="E17">
        <f t="shared" si="3"/>
        <v>1</v>
      </c>
      <c r="F17">
        <f t="shared" si="3"/>
        <v>1</v>
      </c>
      <c r="G17">
        <f t="shared" si="3"/>
        <v>1</v>
      </c>
      <c r="H17">
        <f t="shared" si="3"/>
        <v>1</v>
      </c>
      <c r="I17">
        <f t="shared" si="3"/>
        <v>1</v>
      </c>
      <c r="J17">
        <f t="shared" si="3"/>
        <v>1</v>
      </c>
      <c r="K17">
        <f t="shared" si="3"/>
        <v>1</v>
      </c>
      <c r="L17">
        <f t="shared" si="3"/>
        <v>1</v>
      </c>
      <c r="M17">
        <f t="shared" si="3"/>
        <v>1</v>
      </c>
      <c r="N17">
        <f t="shared" si="3"/>
        <v>1</v>
      </c>
      <c r="O17">
        <f t="shared" si="3"/>
        <v>1</v>
      </c>
      <c r="P17">
        <f t="shared" si="3"/>
        <v>1</v>
      </c>
      <c r="Q17">
        <f t="shared" si="3"/>
        <v>1</v>
      </c>
      <c r="R17">
        <f t="shared" si="3"/>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Energy'!E72</f>
        <v>1</v>
      </c>
      <c r="C18">
        <f t="shared" si="2"/>
        <v>1</v>
      </c>
      <c r="D18">
        <f t="shared" si="3"/>
        <v>1</v>
      </c>
      <c r="E18">
        <f t="shared" si="3"/>
        <v>1</v>
      </c>
      <c r="F18">
        <f t="shared" si="3"/>
        <v>1</v>
      </c>
      <c r="G18">
        <f t="shared" si="3"/>
        <v>1</v>
      </c>
      <c r="H18">
        <f t="shared" si="3"/>
        <v>1</v>
      </c>
      <c r="I18">
        <f t="shared" si="3"/>
        <v>1</v>
      </c>
      <c r="J18">
        <f t="shared" si="3"/>
        <v>1</v>
      </c>
      <c r="K18">
        <f t="shared" si="3"/>
        <v>1</v>
      </c>
      <c r="L18">
        <f t="shared" si="3"/>
        <v>1</v>
      </c>
      <c r="M18">
        <f t="shared" si="3"/>
        <v>1</v>
      </c>
      <c r="N18">
        <f t="shared" si="3"/>
        <v>1</v>
      </c>
      <c r="O18">
        <f t="shared" si="3"/>
        <v>1</v>
      </c>
      <c r="P18">
        <f t="shared" si="3"/>
        <v>1</v>
      </c>
      <c r="Q18">
        <f t="shared" si="3"/>
        <v>1</v>
      </c>
      <c r="R18">
        <f t="shared" si="3"/>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ref="AG18:AP26" si="4">$B18</f>
        <v>1</v>
      </c>
      <c r="AH18">
        <f t="shared" si="4"/>
        <v>1</v>
      </c>
      <c r="AI18">
        <f t="shared" si="4"/>
        <v>1</v>
      </c>
      <c r="AJ18">
        <f t="shared" si="4"/>
        <v>1</v>
      </c>
      <c r="AK18">
        <f t="shared" si="4"/>
        <v>1</v>
      </c>
      <c r="AL18">
        <f t="shared" si="4"/>
        <v>1</v>
      </c>
      <c r="AM18">
        <f t="shared" si="4"/>
        <v>1</v>
      </c>
      <c r="AN18">
        <f t="shared" si="4"/>
        <v>1</v>
      </c>
      <c r="AO18">
        <f t="shared" si="4"/>
        <v>1</v>
      </c>
      <c r="AP18">
        <f t="shared" si="4"/>
        <v>1</v>
      </c>
    </row>
    <row r="19" spans="1:42" x14ac:dyDescent="0.2">
      <c r="A19" t="s">
        <v>390</v>
      </c>
      <c r="B19">
        <f>'Start Year Energy'!E73</f>
        <v>1</v>
      </c>
      <c r="C19">
        <f t="shared" si="2"/>
        <v>1</v>
      </c>
      <c r="D19">
        <f t="shared" si="3"/>
        <v>1</v>
      </c>
      <c r="E19">
        <f t="shared" si="3"/>
        <v>1</v>
      </c>
      <c r="F19">
        <f t="shared" si="3"/>
        <v>1</v>
      </c>
      <c r="G19">
        <f t="shared" si="3"/>
        <v>1</v>
      </c>
      <c r="H19">
        <f t="shared" si="3"/>
        <v>1</v>
      </c>
      <c r="I19">
        <f t="shared" si="3"/>
        <v>1</v>
      </c>
      <c r="J19">
        <f t="shared" si="3"/>
        <v>1</v>
      </c>
      <c r="K19">
        <f t="shared" si="3"/>
        <v>1</v>
      </c>
      <c r="L19">
        <f t="shared" si="3"/>
        <v>1</v>
      </c>
      <c r="M19">
        <f t="shared" si="3"/>
        <v>1</v>
      </c>
      <c r="N19">
        <f t="shared" si="3"/>
        <v>1</v>
      </c>
      <c r="O19">
        <f t="shared" si="3"/>
        <v>1</v>
      </c>
      <c r="P19">
        <f t="shared" si="3"/>
        <v>1</v>
      </c>
      <c r="Q19">
        <f t="shared" si="3"/>
        <v>1</v>
      </c>
      <c r="R19">
        <f t="shared" si="3"/>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4"/>
        <v>1</v>
      </c>
      <c r="AH19">
        <f t="shared" si="4"/>
        <v>1</v>
      </c>
      <c r="AI19">
        <f t="shared" si="4"/>
        <v>1</v>
      </c>
      <c r="AJ19">
        <f t="shared" si="4"/>
        <v>1</v>
      </c>
      <c r="AK19">
        <f t="shared" si="4"/>
        <v>1</v>
      </c>
      <c r="AL19">
        <f t="shared" si="4"/>
        <v>1</v>
      </c>
      <c r="AM19">
        <f t="shared" si="4"/>
        <v>1</v>
      </c>
      <c r="AN19">
        <f t="shared" si="4"/>
        <v>1</v>
      </c>
      <c r="AO19">
        <f t="shared" si="4"/>
        <v>1</v>
      </c>
      <c r="AP19">
        <f t="shared" si="4"/>
        <v>1</v>
      </c>
    </row>
    <row r="20" spans="1:42" x14ac:dyDescent="0.2">
      <c r="A20" t="s">
        <v>391</v>
      </c>
      <c r="B20">
        <f>'Start Year Energy'!E74</f>
        <v>1</v>
      </c>
      <c r="C20">
        <f t="shared" si="2"/>
        <v>1</v>
      </c>
      <c r="D20">
        <f t="shared" si="3"/>
        <v>1</v>
      </c>
      <c r="E20">
        <f t="shared" si="3"/>
        <v>1</v>
      </c>
      <c r="F20">
        <f t="shared" si="3"/>
        <v>1</v>
      </c>
      <c r="G20">
        <f t="shared" ref="D20:AG26" si="5">$B20</f>
        <v>1</v>
      </c>
      <c r="H20">
        <f t="shared" si="5"/>
        <v>1</v>
      </c>
      <c r="I20">
        <f t="shared" si="5"/>
        <v>1</v>
      </c>
      <c r="J20">
        <f t="shared" si="5"/>
        <v>1</v>
      </c>
      <c r="K20">
        <f t="shared" si="5"/>
        <v>1</v>
      </c>
      <c r="L20">
        <f t="shared" si="5"/>
        <v>1</v>
      </c>
      <c r="M20">
        <f t="shared" si="5"/>
        <v>1</v>
      </c>
      <c r="N20">
        <f t="shared" si="5"/>
        <v>1</v>
      </c>
      <c r="O20">
        <f t="shared" si="5"/>
        <v>1</v>
      </c>
      <c r="P20">
        <f t="shared" si="5"/>
        <v>1</v>
      </c>
      <c r="Q20">
        <f t="shared" si="5"/>
        <v>1</v>
      </c>
      <c r="R20">
        <f t="shared" si="5"/>
        <v>1</v>
      </c>
      <c r="S20">
        <f t="shared" si="5"/>
        <v>1</v>
      </c>
      <c r="T20">
        <f t="shared" si="5"/>
        <v>1</v>
      </c>
      <c r="U20">
        <f t="shared" si="5"/>
        <v>1</v>
      </c>
      <c r="V20">
        <f t="shared" si="5"/>
        <v>1</v>
      </c>
      <c r="W20">
        <f t="shared" si="5"/>
        <v>1</v>
      </c>
      <c r="X20">
        <f t="shared" si="5"/>
        <v>1</v>
      </c>
      <c r="Y20">
        <f t="shared" si="5"/>
        <v>1</v>
      </c>
      <c r="Z20">
        <f t="shared" si="5"/>
        <v>1</v>
      </c>
      <c r="AA20">
        <f t="shared" si="5"/>
        <v>1</v>
      </c>
      <c r="AB20">
        <f t="shared" si="5"/>
        <v>1</v>
      </c>
      <c r="AC20">
        <f t="shared" si="5"/>
        <v>1</v>
      </c>
      <c r="AD20">
        <f t="shared" si="5"/>
        <v>1</v>
      </c>
      <c r="AE20">
        <f t="shared" si="5"/>
        <v>1</v>
      </c>
      <c r="AF20">
        <f t="shared" si="5"/>
        <v>1</v>
      </c>
      <c r="AG20">
        <f t="shared" si="5"/>
        <v>1</v>
      </c>
      <c r="AH20">
        <f t="shared" si="4"/>
        <v>1</v>
      </c>
      <c r="AI20">
        <f t="shared" si="4"/>
        <v>1</v>
      </c>
      <c r="AJ20">
        <f t="shared" si="4"/>
        <v>1</v>
      </c>
      <c r="AK20">
        <f t="shared" si="4"/>
        <v>1</v>
      </c>
      <c r="AL20">
        <f t="shared" si="4"/>
        <v>1</v>
      </c>
      <c r="AM20">
        <f t="shared" si="4"/>
        <v>1</v>
      </c>
      <c r="AN20">
        <f t="shared" si="4"/>
        <v>1</v>
      </c>
      <c r="AO20">
        <f t="shared" si="4"/>
        <v>1</v>
      </c>
      <c r="AP20">
        <f t="shared" si="4"/>
        <v>1</v>
      </c>
    </row>
    <row r="21" spans="1:42" x14ac:dyDescent="0.2">
      <c r="A21" t="s">
        <v>392</v>
      </c>
      <c r="B21">
        <f>'Start Year Energy'!E75</f>
        <v>1</v>
      </c>
      <c r="C21">
        <f t="shared" si="2"/>
        <v>1</v>
      </c>
      <c r="D21">
        <f t="shared" si="5"/>
        <v>1</v>
      </c>
      <c r="E21">
        <f t="shared" si="5"/>
        <v>1</v>
      </c>
      <c r="F21">
        <f t="shared" si="5"/>
        <v>1</v>
      </c>
      <c r="G21">
        <f t="shared" si="5"/>
        <v>1</v>
      </c>
      <c r="H21">
        <f t="shared" si="5"/>
        <v>1</v>
      </c>
      <c r="I21">
        <f t="shared" si="5"/>
        <v>1</v>
      </c>
      <c r="J21">
        <f t="shared" si="5"/>
        <v>1</v>
      </c>
      <c r="K21">
        <f t="shared" si="5"/>
        <v>1</v>
      </c>
      <c r="L21">
        <f t="shared" si="5"/>
        <v>1</v>
      </c>
      <c r="M21">
        <f t="shared" si="5"/>
        <v>1</v>
      </c>
      <c r="N21">
        <f t="shared" si="5"/>
        <v>1</v>
      </c>
      <c r="O21">
        <f t="shared" si="5"/>
        <v>1</v>
      </c>
      <c r="P21">
        <f t="shared" si="5"/>
        <v>1</v>
      </c>
      <c r="Q21">
        <f t="shared" si="5"/>
        <v>1</v>
      </c>
      <c r="R21">
        <f t="shared" si="5"/>
        <v>1</v>
      </c>
      <c r="S21">
        <f t="shared" si="5"/>
        <v>1</v>
      </c>
      <c r="T21">
        <f t="shared" si="5"/>
        <v>1</v>
      </c>
      <c r="U21">
        <f t="shared" si="5"/>
        <v>1</v>
      </c>
      <c r="V21">
        <f t="shared" si="5"/>
        <v>1</v>
      </c>
      <c r="W21">
        <f t="shared" si="5"/>
        <v>1</v>
      </c>
      <c r="X21">
        <f t="shared" si="5"/>
        <v>1</v>
      </c>
      <c r="Y21">
        <f t="shared" si="5"/>
        <v>1</v>
      </c>
      <c r="Z21">
        <f t="shared" si="5"/>
        <v>1</v>
      </c>
      <c r="AA21">
        <f t="shared" si="5"/>
        <v>1</v>
      </c>
      <c r="AB21">
        <f t="shared" si="5"/>
        <v>1</v>
      </c>
      <c r="AC21">
        <f t="shared" si="5"/>
        <v>1</v>
      </c>
      <c r="AD21">
        <f t="shared" si="5"/>
        <v>1</v>
      </c>
      <c r="AE21">
        <f t="shared" si="5"/>
        <v>1</v>
      </c>
      <c r="AF21">
        <f t="shared" si="5"/>
        <v>1</v>
      </c>
      <c r="AG21">
        <f t="shared" si="4"/>
        <v>1</v>
      </c>
      <c r="AH21">
        <f t="shared" si="4"/>
        <v>1</v>
      </c>
      <c r="AI21">
        <f t="shared" si="4"/>
        <v>1</v>
      </c>
      <c r="AJ21">
        <f t="shared" si="4"/>
        <v>1</v>
      </c>
      <c r="AK21">
        <f t="shared" si="4"/>
        <v>1</v>
      </c>
      <c r="AL21">
        <f t="shared" si="4"/>
        <v>1</v>
      </c>
      <c r="AM21">
        <f t="shared" si="4"/>
        <v>1</v>
      </c>
      <c r="AN21">
        <f t="shared" si="4"/>
        <v>1</v>
      </c>
      <c r="AO21">
        <f t="shared" si="4"/>
        <v>1</v>
      </c>
      <c r="AP21">
        <f t="shared" si="4"/>
        <v>1</v>
      </c>
    </row>
    <row r="22" spans="1:42" x14ac:dyDescent="0.2">
      <c r="A22" t="s">
        <v>393</v>
      </c>
      <c r="B22">
        <f>'Start Year Energy'!E76</f>
        <v>1</v>
      </c>
      <c r="C22">
        <f t="shared" si="2"/>
        <v>1</v>
      </c>
      <c r="D22">
        <f t="shared" si="5"/>
        <v>1</v>
      </c>
      <c r="E22">
        <f t="shared" si="5"/>
        <v>1</v>
      </c>
      <c r="F22">
        <f t="shared" si="5"/>
        <v>1</v>
      </c>
      <c r="G22">
        <f t="shared" si="5"/>
        <v>1</v>
      </c>
      <c r="H22">
        <f t="shared" si="5"/>
        <v>1</v>
      </c>
      <c r="I22">
        <f t="shared" si="5"/>
        <v>1</v>
      </c>
      <c r="J22">
        <f t="shared" si="5"/>
        <v>1</v>
      </c>
      <c r="K22">
        <f t="shared" si="5"/>
        <v>1</v>
      </c>
      <c r="L22">
        <f t="shared" si="5"/>
        <v>1</v>
      </c>
      <c r="M22">
        <f t="shared" si="5"/>
        <v>1</v>
      </c>
      <c r="N22">
        <f t="shared" si="5"/>
        <v>1</v>
      </c>
      <c r="O22">
        <f t="shared" si="5"/>
        <v>1</v>
      </c>
      <c r="P22">
        <f t="shared" si="5"/>
        <v>1</v>
      </c>
      <c r="Q22">
        <f t="shared" si="5"/>
        <v>1</v>
      </c>
      <c r="R22">
        <f t="shared" si="5"/>
        <v>1</v>
      </c>
      <c r="S22">
        <f t="shared" si="5"/>
        <v>1</v>
      </c>
      <c r="T22">
        <f t="shared" si="5"/>
        <v>1</v>
      </c>
      <c r="U22">
        <f t="shared" si="5"/>
        <v>1</v>
      </c>
      <c r="V22">
        <f t="shared" si="5"/>
        <v>1</v>
      </c>
      <c r="W22">
        <f t="shared" si="5"/>
        <v>1</v>
      </c>
      <c r="X22">
        <f t="shared" si="5"/>
        <v>1</v>
      </c>
      <c r="Y22">
        <f t="shared" si="5"/>
        <v>1</v>
      </c>
      <c r="Z22">
        <f t="shared" si="5"/>
        <v>1</v>
      </c>
      <c r="AA22">
        <f t="shared" si="5"/>
        <v>1</v>
      </c>
      <c r="AB22">
        <f t="shared" si="5"/>
        <v>1</v>
      </c>
      <c r="AC22">
        <f t="shared" si="5"/>
        <v>1</v>
      </c>
      <c r="AD22">
        <f t="shared" si="5"/>
        <v>1</v>
      </c>
      <c r="AE22">
        <f t="shared" si="5"/>
        <v>1</v>
      </c>
      <c r="AF22">
        <f t="shared" si="5"/>
        <v>1</v>
      </c>
      <c r="AG22">
        <f t="shared" si="4"/>
        <v>1</v>
      </c>
      <c r="AH22">
        <f t="shared" si="4"/>
        <v>1</v>
      </c>
      <c r="AI22">
        <f t="shared" si="4"/>
        <v>1</v>
      </c>
      <c r="AJ22">
        <f t="shared" si="4"/>
        <v>1</v>
      </c>
      <c r="AK22">
        <f t="shared" si="4"/>
        <v>1</v>
      </c>
      <c r="AL22">
        <f t="shared" si="4"/>
        <v>1</v>
      </c>
      <c r="AM22">
        <f t="shared" si="4"/>
        <v>1</v>
      </c>
      <c r="AN22">
        <f t="shared" si="4"/>
        <v>1</v>
      </c>
      <c r="AO22">
        <f t="shared" si="4"/>
        <v>1</v>
      </c>
      <c r="AP22">
        <f t="shared" si="4"/>
        <v>1</v>
      </c>
    </row>
    <row r="23" spans="1:42" x14ac:dyDescent="0.2">
      <c r="A23" t="s">
        <v>394</v>
      </c>
      <c r="B23">
        <f>'Start Year Energy'!E77</f>
        <v>1</v>
      </c>
      <c r="C23">
        <f t="shared" si="2"/>
        <v>1</v>
      </c>
      <c r="D23">
        <f t="shared" si="5"/>
        <v>1</v>
      </c>
      <c r="E23">
        <f t="shared" si="5"/>
        <v>1</v>
      </c>
      <c r="F23">
        <f t="shared" si="5"/>
        <v>1</v>
      </c>
      <c r="G23">
        <f t="shared" si="5"/>
        <v>1</v>
      </c>
      <c r="H23">
        <f t="shared" si="5"/>
        <v>1</v>
      </c>
      <c r="I23">
        <f t="shared" si="5"/>
        <v>1</v>
      </c>
      <c r="J23">
        <f t="shared" si="5"/>
        <v>1</v>
      </c>
      <c r="K23">
        <f t="shared" si="5"/>
        <v>1</v>
      </c>
      <c r="L23">
        <f t="shared" si="5"/>
        <v>1</v>
      </c>
      <c r="M23">
        <f t="shared" si="5"/>
        <v>1</v>
      </c>
      <c r="N23">
        <f t="shared" si="5"/>
        <v>1</v>
      </c>
      <c r="O23">
        <f t="shared" si="5"/>
        <v>1</v>
      </c>
      <c r="P23">
        <f t="shared" si="5"/>
        <v>1</v>
      </c>
      <c r="Q23">
        <f t="shared" si="5"/>
        <v>1</v>
      </c>
      <c r="R23">
        <f t="shared" si="5"/>
        <v>1</v>
      </c>
      <c r="S23">
        <f t="shared" si="5"/>
        <v>1</v>
      </c>
      <c r="T23">
        <f t="shared" si="5"/>
        <v>1</v>
      </c>
      <c r="U23">
        <f t="shared" si="5"/>
        <v>1</v>
      </c>
      <c r="V23">
        <f t="shared" si="5"/>
        <v>1</v>
      </c>
      <c r="W23">
        <f t="shared" si="5"/>
        <v>1</v>
      </c>
      <c r="X23">
        <f t="shared" si="5"/>
        <v>1</v>
      </c>
      <c r="Y23">
        <f t="shared" si="5"/>
        <v>1</v>
      </c>
      <c r="Z23">
        <f t="shared" si="5"/>
        <v>1</v>
      </c>
      <c r="AA23">
        <f t="shared" si="5"/>
        <v>1</v>
      </c>
      <c r="AB23">
        <f t="shared" si="5"/>
        <v>1</v>
      </c>
      <c r="AC23">
        <f t="shared" si="5"/>
        <v>1</v>
      </c>
      <c r="AD23">
        <f t="shared" si="5"/>
        <v>1</v>
      </c>
      <c r="AE23">
        <f t="shared" si="5"/>
        <v>1</v>
      </c>
      <c r="AF23">
        <f t="shared" si="5"/>
        <v>1</v>
      </c>
      <c r="AG23">
        <f t="shared" si="4"/>
        <v>1</v>
      </c>
      <c r="AH23">
        <f t="shared" si="4"/>
        <v>1</v>
      </c>
      <c r="AI23">
        <f t="shared" si="4"/>
        <v>1</v>
      </c>
      <c r="AJ23">
        <f t="shared" si="4"/>
        <v>1</v>
      </c>
      <c r="AK23">
        <f t="shared" si="4"/>
        <v>1</v>
      </c>
      <c r="AL23">
        <f t="shared" si="4"/>
        <v>1</v>
      </c>
      <c r="AM23">
        <f t="shared" si="4"/>
        <v>1</v>
      </c>
      <c r="AN23">
        <f t="shared" si="4"/>
        <v>1</v>
      </c>
      <c r="AO23">
        <f t="shared" si="4"/>
        <v>1</v>
      </c>
      <c r="AP23">
        <f t="shared" si="4"/>
        <v>1</v>
      </c>
    </row>
    <row r="24" spans="1:42" x14ac:dyDescent="0.2">
      <c r="A24" t="s">
        <v>395</v>
      </c>
      <c r="B24">
        <f>'Start Year Energy'!E78</f>
        <v>1</v>
      </c>
      <c r="C24">
        <f t="shared" si="2"/>
        <v>1</v>
      </c>
      <c r="D24">
        <f t="shared" si="5"/>
        <v>1</v>
      </c>
      <c r="E24">
        <f t="shared" si="5"/>
        <v>1</v>
      </c>
      <c r="F24">
        <f t="shared" si="5"/>
        <v>1</v>
      </c>
      <c r="G24">
        <f t="shared" si="5"/>
        <v>1</v>
      </c>
      <c r="H24">
        <f t="shared" si="5"/>
        <v>1</v>
      </c>
      <c r="I24">
        <f t="shared" si="5"/>
        <v>1</v>
      </c>
      <c r="J24">
        <f t="shared" si="5"/>
        <v>1</v>
      </c>
      <c r="K24">
        <f t="shared" si="5"/>
        <v>1</v>
      </c>
      <c r="L24">
        <f t="shared" si="5"/>
        <v>1</v>
      </c>
      <c r="M24">
        <f t="shared" si="5"/>
        <v>1</v>
      </c>
      <c r="N24">
        <f t="shared" si="5"/>
        <v>1</v>
      </c>
      <c r="O24">
        <f t="shared" si="5"/>
        <v>1</v>
      </c>
      <c r="P24">
        <f t="shared" si="5"/>
        <v>1</v>
      </c>
      <c r="Q24">
        <f t="shared" si="5"/>
        <v>1</v>
      </c>
      <c r="R24">
        <f t="shared" si="5"/>
        <v>1</v>
      </c>
      <c r="S24">
        <f t="shared" si="5"/>
        <v>1</v>
      </c>
      <c r="T24">
        <f t="shared" si="5"/>
        <v>1</v>
      </c>
      <c r="U24">
        <f t="shared" si="5"/>
        <v>1</v>
      </c>
      <c r="V24">
        <f t="shared" si="5"/>
        <v>1</v>
      </c>
      <c r="W24">
        <f t="shared" si="5"/>
        <v>1</v>
      </c>
      <c r="X24">
        <f t="shared" si="5"/>
        <v>1</v>
      </c>
      <c r="Y24">
        <f t="shared" si="5"/>
        <v>1</v>
      </c>
      <c r="Z24">
        <f t="shared" si="5"/>
        <v>1</v>
      </c>
      <c r="AA24">
        <f t="shared" si="5"/>
        <v>1</v>
      </c>
      <c r="AB24">
        <f t="shared" si="5"/>
        <v>1</v>
      </c>
      <c r="AC24">
        <f t="shared" si="5"/>
        <v>1</v>
      </c>
      <c r="AD24">
        <f t="shared" si="5"/>
        <v>1</v>
      </c>
      <c r="AE24">
        <f t="shared" si="5"/>
        <v>1</v>
      </c>
      <c r="AF24">
        <f t="shared" si="5"/>
        <v>1</v>
      </c>
      <c r="AG24">
        <f t="shared" si="4"/>
        <v>1</v>
      </c>
      <c r="AH24">
        <f t="shared" si="4"/>
        <v>1</v>
      </c>
      <c r="AI24">
        <f t="shared" si="4"/>
        <v>1</v>
      </c>
      <c r="AJ24">
        <f t="shared" si="4"/>
        <v>1</v>
      </c>
      <c r="AK24">
        <f t="shared" si="4"/>
        <v>1</v>
      </c>
      <c r="AL24">
        <f t="shared" si="4"/>
        <v>1</v>
      </c>
      <c r="AM24">
        <f t="shared" si="4"/>
        <v>1</v>
      </c>
      <c r="AN24">
        <f t="shared" si="4"/>
        <v>1</v>
      </c>
      <c r="AO24">
        <f t="shared" si="4"/>
        <v>1</v>
      </c>
      <c r="AP24">
        <f t="shared" si="4"/>
        <v>1</v>
      </c>
    </row>
    <row r="25" spans="1:42" x14ac:dyDescent="0.2">
      <c r="A25" t="s">
        <v>396</v>
      </c>
      <c r="B25">
        <f>'Start Year Energy'!E79</f>
        <v>1</v>
      </c>
      <c r="C25">
        <f t="shared" si="2"/>
        <v>1</v>
      </c>
      <c r="D25">
        <f t="shared" si="5"/>
        <v>1</v>
      </c>
      <c r="E25">
        <f t="shared" si="5"/>
        <v>1</v>
      </c>
      <c r="F25">
        <f t="shared" si="5"/>
        <v>1</v>
      </c>
      <c r="G25">
        <f t="shared" si="5"/>
        <v>1</v>
      </c>
      <c r="H25">
        <f t="shared" si="5"/>
        <v>1</v>
      </c>
      <c r="I25">
        <f t="shared" si="5"/>
        <v>1</v>
      </c>
      <c r="J25">
        <f t="shared" si="5"/>
        <v>1</v>
      </c>
      <c r="K25">
        <f t="shared" si="5"/>
        <v>1</v>
      </c>
      <c r="L25">
        <f t="shared" si="5"/>
        <v>1</v>
      </c>
      <c r="M25">
        <f t="shared" si="5"/>
        <v>1</v>
      </c>
      <c r="N25">
        <f t="shared" si="5"/>
        <v>1</v>
      </c>
      <c r="O25">
        <f t="shared" si="5"/>
        <v>1</v>
      </c>
      <c r="P25">
        <f t="shared" si="5"/>
        <v>1</v>
      </c>
      <c r="Q25">
        <f t="shared" si="5"/>
        <v>1</v>
      </c>
      <c r="R25">
        <f t="shared" si="5"/>
        <v>1</v>
      </c>
      <c r="S25">
        <f t="shared" si="5"/>
        <v>1</v>
      </c>
      <c r="T25">
        <f t="shared" si="5"/>
        <v>1</v>
      </c>
      <c r="U25">
        <f t="shared" si="5"/>
        <v>1</v>
      </c>
      <c r="V25">
        <f t="shared" si="5"/>
        <v>1</v>
      </c>
      <c r="W25">
        <f t="shared" si="5"/>
        <v>1</v>
      </c>
      <c r="X25">
        <f t="shared" si="5"/>
        <v>1</v>
      </c>
      <c r="Y25">
        <f t="shared" si="5"/>
        <v>1</v>
      </c>
      <c r="Z25">
        <f t="shared" si="5"/>
        <v>1</v>
      </c>
      <c r="AA25">
        <f t="shared" si="5"/>
        <v>1</v>
      </c>
      <c r="AB25">
        <f t="shared" si="5"/>
        <v>1</v>
      </c>
      <c r="AC25">
        <f t="shared" si="5"/>
        <v>1</v>
      </c>
      <c r="AD25">
        <f t="shared" si="5"/>
        <v>1</v>
      </c>
      <c r="AE25">
        <f t="shared" si="5"/>
        <v>1</v>
      </c>
      <c r="AF25">
        <f t="shared" si="5"/>
        <v>1</v>
      </c>
      <c r="AG25">
        <f t="shared" si="4"/>
        <v>1</v>
      </c>
      <c r="AH25">
        <f t="shared" si="4"/>
        <v>1</v>
      </c>
      <c r="AI25">
        <f t="shared" si="4"/>
        <v>1</v>
      </c>
      <c r="AJ25">
        <f t="shared" si="4"/>
        <v>1</v>
      </c>
      <c r="AK25">
        <f t="shared" si="4"/>
        <v>1</v>
      </c>
      <c r="AL25">
        <f t="shared" si="4"/>
        <v>1</v>
      </c>
      <c r="AM25">
        <f t="shared" si="4"/>
        <v>1</v>
      </c>
      <c r="AN25">
        <f t="shared" si="4"/>
        <v>1</v>
      </c>
      <c r="AO25">
        <f t="shared" si="4"/>
        <v>1</v>
      </c>
      <c r="AP25">
        <f t="shared" si="4"/>
        <v>1</v>
      </c>
    </row>
    <row r="26" spans="1:42" x14ac:dyDescent="0.2">
      <c r="A26" t="s">
        <v>397</v>
      </c>
      <c r="B26">
        <f>'Start Year Energy'!E80</f>
        <v>1</v>
      </c>
      <c r="C26">
        <f t="shared" si="2"/>
        <v>1</v>
      </c>
      <c r="D26">
        <f t="shared" si="5"/>
        <v>1</v>
      </c>
      <c r="E26">
        <f t="shared" si="5"/>
        <v>1</v>
      </c>
      <c r="F26">
        <f t="shared" si="5"/>
        <v>1</v>
      </c>
      <c r="G26">
        <f t="shared" si="5"/>
        <v>1</v>
      </c>
      <c r="H26">
        <f t="shared" si="5"/>
        <v>1</v>
      </c>
      <c r="I26">
        <f t="shared" si="5"/>
        <v>1</v>
      </c>
      <c r="J26">
        <f t="shared" si="5"/>
        <v>1</v>
      </c>
      <c r="K26">
        <f t="shared" si="5"/>
        <v>1</v>
      </c>
      <c r="L26">
        <f t="shared" si="5"/>
        <v>1</v>
      </c>
      <c r="M26">
        <f t="shared" si="5"/>
        <v>1</v>
      </c>
      <c r="N26">
        <f t="shared" si="5"/>
        <v>1</v>
      </c>
      <c r="O26">
        <f t="shared" si="5"/>
        <v>1</v>
      </c>
      <c r="P26">
        <f t="shared" si="5"/>
        <v>1</v>
      </c>
      <c r="Q26">
        <f t="shared" si="5"/>
        <v>1</v>
      </c>
      <c r="R26">
        <f t="shared" si="5"/>
        <v>1</v>
      </c>
      <c r="S26">
        <f t="shared" si="5"/>
        <v>1</v>
      </c>
      <c r="T26">
        <f t="shared" si="5"/>
        <v>1</v>
      </c>
      <c r="U26">
        <f t="shared" si="5"/>
        <v>1</v>
      </c>
      <c r="V26">
        <f t="shared" si="5"/>
        <v>1</v>
      </c>
      <c r="W26">
        <f t="shared" si="5"/>
        <v>1</v>
      </c>
      <c r="X26">
        <f t="shared" si="5"/>
        <v>1</v>
      </c>
      <c r="Y26">
        <f t="shared" si="5"/>
        <v>1</v>
      </c>
      <c r="Z26">
        <f t="shared" si="5"/>
        <v>1</v>
      </c>
      <c r="AA26">
        <f t="shared" si="5"/>
        <v>1</v>
      </c>
      <c r="AB26">
        <f t="shared" si="5"/>
        <v>1</v>
      </c>
      <c r="AC26">
        <f t="shared" si="5"/>
        <v>1</v>
      </c>
      <c r="AD26">
        <f t="shared" si="5"/>
        <v>1</v>
      </c>
      <c r="AE26">
        <f t="shared" si="5"/>
        <v>1</v>
      </c>
      <c r="AF26">
        <f t="shared" si="5"/>
        <v>1</v>
      </c>
      <c r="AG26">
        <f t="shared" si="4"/>
        <v>1</v>
      </c>
      <c r="AH26">
        <f t="shared" si="4"/>
        <v>1</v>
      </c>
      <c r="AI26">
        <f t="shared" si="4"/>
        <v>1</v>
      </c>
      <c r="AJ26">
        <f t="shared" si="4"/>
        <v>1</v>
      </c>
      <c r="AK26">
        <f t="shared" si="4"/>
        <v>1</v>
      </c>
      <c r="AL26">
        <f t="shared" si="4"/>
        <v>1</v>
      </c>
      <c r="AM26">
        <f t="shared" si="4"/>
        <v>1</v>
      </c>
      <c r="AN26">
        <f t="shared" si="4"/>
        <v>1</v>
      </c>
      <c r="AO26">
        <f t="shared" si="4"/>
        <v>1</v>
      </c>
      <c r="AP26">
        <f t="shared" si="4"/>
        <v>1</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2A229-F475-4F6B-9029-8B6617599DFD}">
  <sheetPr codeName="Sheet22">
    <tabColor theme="4"/>
  </sheetPr>
  <dimension ref="A1:AP26"/>
  <sheetViews>
    <sheetView workbookViewId="0">
      <selection activeCell="F27" sqref="F27"/>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Energy'!C56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Energy'!C57</f>
        <v>1.6031668602423443E-2</v>
      </c>
      <c r="C3">
        <f t="shared" ref="C3:R26" si="2">$B3</f>
        <v>1.6031668602423443E-2</v>
      </c>
      <c r="D3">
        <f t="shared" si="2"/>
        <v>1.6031668602423443E-2</v>
      </c>
      <c r="E3">
        <f t="shared" si="2"/>
        <v>1.6031668602423443E-2</v>
      </c>
      <c r="F3">
        <f t="shared" si="2"/>
        <v>1.6031668602423443E-2</v>
      </c>
      <c r="G3">
        <f t="shared" si="2"/>
        <v>1.6031668602423443E-2</v>
      </c>
      <c r="H3">
        <f t="shared" si="2"/>
        <v>1.6031668602423443E-2</v>
      </c>
      <c r="I3">
        <f t="shared" si="2"/>
        <v>1.6031668602423443E-2</v>
      </c>
      <c r="J3">
        <f t="shared" si="2"/>
        <v>1.6031668602423443E-2</v>
      </c>
      <c r="K3">
        <f t="shared" si="2"/>
        <v>1.6031668602423443E-2</v>
      </c>
      <c r="L3">
        <f t="shared" si="2"/>
        <v>1.6031668602423443E-2</v>
      </c>
      <c r="M3">
        <f t="shared" si="2"/>
        <v>1.6031668602423443E-2</v>
      </c>
      <c r="N3">
        <f t="shared" si="2"/>
        <v>1.6031668602423443E-2</v>
      </c>
      <c r="O3">
        <f t="shared" si="2"/>
        <v>1.6031668602423443E-2</v>
      </c>
      <c r="P3">
        <f t="shared" si="2"/>
        <v>1.6031668602423443E-2</v>
      </c>
      <c r="Q3">
        <f t="shared" si="2"/>
        <v>1.6031668602423443E-2</v>
      </c>
      <c r="R3">
        <f t="shared" si="2"/>
        <v>1.6031668602423443E-2</v>
      </c>
      <c r="S3">
        <f t="shared" si="0"/>
        <v>1.6031668602423443E-2</v>
      </c>
      <c r="T3">
        <f t="shared" si="0"/>
        <v>1.6031668602423443E-2</v>
      </c>
      <c r="U3">
        <f t="shared" si="0"/>
        <v>1.6031668602423443E-2</v>
      </c>
      <c r="V3">
        <f t="shared" si="0"/>
        <v>1.6031668602423443E-2</v>
      </c>
      <c r="W3">
        <f t="shared" si="0"/>
        <v>1.6031668602423443E-2</v>
      </c>
      <c r="X3">
        <f t="shared" si="0"/>
        <v>1.6031668602423443E-2</v>
      </c>
      <c r="Y3">
        <f t="shared" si="0"/>
        <v>1.6031668602423443E-2</v>
      </c>
      <c r="Z3">
        <f t="shared" si="0"/>
        <v>1.6031668602423443E-2</v>
      </c>
      <c r="AA3">
        <f t="shared" si="0"/>
        <v>1.6031668602423443E-2</v>
      </c>
      <c r="AB3">
        <f t="shared" si="0"/>
        <v>1.6031668602423443E-2</v>
      </c>
      <c r="AC3">
        <f t="shared" si="0"/>
        <v>1.6031668602423443E-2</v>
      </c>
      <c r="AD3">
        <f t="shared" si="0"/>
        <v>1.6031668602423443E-2</v>
      </c>
      <c r="AE3">
        <f t="shared" si="0"/>
        <v>1.6031668602423443E-2</v>
      </c>
      <c r="AF3">
        <f t="shared" si="0"/>
        <v>1.6031668602423443E-2</v>
      </c>
      <c r="AG3">
        <f t="shared" si="1"/>
        <v>1.6031668602423443E-2</v>
      </c>
      <c r="AH3">
        <f t="shared" si="1"/>
        <v>1.6031668602423443E-2</v>
      </c>
      <c r="AI3">
        <f t="shared" si="1"/>
        <v>1.6031668602423443E-2</v>
      </c>
      <c r="AJ3">
        <f t="shared" si="1"/>
        <v>1.6031668602423443E-2</v>
      </c>
      <c r="AK3">
        <f t="shared" si="1"/>
        <v>1.6031668602423443E-2</v>
      </c>
      <c r="AL3">
        <f t="shared" si="1"/>
        <v>1.6031668602423443E-2</v>
      </c>
      <c r="AM3">
        <f t="shared" si="1"/>
        <v>1.6031668602423443E-2</v>
      </c>
      <c r="AN3">
        <f t="shared" si="1"/>
        <v>1.6031668602423443E-2</v>
      </c>
      <c r="AO3">
        <f t="shared" si="1"/>
        <v>1.6031668602423443E-2</v>
      </c>
      <c r="AP3">
        <f t="shared" si="1"/>
        <v>1.6031668602423443E-2</v>
      </c>
    </row>
    <row r="4" spans="1:42" x14ac:dyDescent="0.2">
      <c r="A4" t="s">
        <v>375</v>
      </c>
      <c r="B4">
        <f>'Start Year Energy'!C58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Energy'!C59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Energy'!C60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Energy'!C61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Energy'!C62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Energy'!C63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Energy'!C64</f>
        <v>5.8338123612182713E-3</v>
      </c>
      <c r="C10">
        <f t="shared" si="2"/>
        <v>5.8338123612182713E-3</v>
      </c>
      <c r="D10">
        <f t="shared" si="0"/>
        <v>5.8338123612182713E-3</v>
      </c>
      <c r="E10">
        <f t="shared" si="0"/>
        <v>5.8338123612182713E-3</v>
      </c>
      <c r="F10">
        <f t="shared" si="0"/>
        <v>5.8338123612182713E-3</v>
      </c>
      <c r="G10">
        <f t="shared" si="0"/>
        <v>5.8338123612182713E-3</v>
      </c>
      <c r="H10">
        <f t="shared" si="0"/>
        <v>5.8338123612182713E-3</v>
      </c>
      <c r="I10">
        <f t="shared" si="0"/>
        <v>5.8338123612182713E-3</v>
      </c>
      <c r="J10">
        <f t="shared" si="0"/>
        <v>5.8338123612182713E-3</v>
      </c>
      <c r="K10">
        <f t="shared" si="0"/>
        <v>5.8338123612182713E-3</v>
      </c>
      <c r="L10">
        <f t="shared" si="0"/>
        <v>5.8338123612182713E-3</v>
      </c>
      <c r="M10">
        <f t="shared" si="0"/>
        <v>5.8338123612182713E-3</v>
      </c>
      <c r="N10">
        <f t="shared" si="0"/>
        <v>5.8338123612182713E-3</v>
      </c>
      <c r="O10">
        <f t="shared" si="0"/>
        <v>5.8338123612182713E-3</v>
      </c>
      <c r="P10">
        <f t="shared" si="0"/>
        <v>5.8338123612182713E-3</v>
      </c>
      <c r="Q10">
        <f t="shared" si="0"/>
        <v>5.8338123612182713E-3</v>
      </c>
      <c r="R10">
        <f t="shared" si="0"/>
        <v>5.8338123612182713E-3</v>
      </c>
      <c r="S10">
        <f t="shared" si="0"/>
        <v>5.8338123612182713E-3</v>
      </c>
      <c r="T10">
        <f t="shared" si="0"/>
        <v>5.8338123612182713E-3</v>
      </c>
      <c r="U10">
        <f t="shared" si="0"/>
        <v>5.8338123612182713E-3</v>
      </c>
      <c r="V10">
        <f t="shared" si="0"/>
        <v>5.8338123612182713E-3</v>
      </c>
      <c r="W10">
        <f t="shared" si="0"/>
        <v>5.8338123612182713E-3</v>
      </c>
      <c r="X10">
        <f t="shared" si="0"/>
        <v>5.8338123612182713E-3</v>
      </c>
      <c r="Y10">
        <f t="shared" si="0"/>
        <v>5.8338123612182713E-3</v>
      </c>
      <c r="Z10">
        <f t="shared" si="0"/>
        <v>5.8338123612182713E-3</v>
      </c>
      <c r="AA10">
        <f t="shared" si="0"/>
        <v>5.8338123612182713E-3</v>
      </c>
      <c r="AB10">
        <f t="shared" si="0"/>
        <v>5.8338123612182713E-3</v>
      </c>
      <c r="AC10">
        <f t="shared" si="0"/>
        <v>5.8338123612182713E-3</v>
      </c>
      <c r="AD10">
        <f t="shared" si="0"/>
        <v>5.8338123612182713E-3</v>
      </c>
      <c r="AE10">
        <f t="shared" si="0"/>
        <v>5.8338123612182713E-3</v>
      </c>
      <c r="AF10">
        <f t="shared" si="0"/>
        <v>5.8338123612182713E-3</v>
      </c>
      <c r="AG10">
        <f t="shared" si="1"/>
        <v>5.8338123612182713E-3</v>
      </c>
      <c r="AH10">
        <f t="shared" si="1"/>
        <v>5.8338123612182713E-3</v>
      </c>
      <c r="AI10">
        <f t="shared" si="1"/>
        <v>5.8338123612182713E-3</v>
      </c>
      <c r="AJ10">
        <f t="shared" si="1"/>
        <v>5.8338123612182713E-3</v>
      </c>
      <c r="AK10">
        <f t="shared" si="1"/>
        <v>5.8338123612182713E-3</v>
      </c>
      <c r="AL10">
        <f t="shared" si="1"/>
        <v>5.8338123612182713E-3</v>
      </c>
      <c r="AM10">
        <f t="shared" si="1"/>
        <v>5.8338123612182713E-3</v>
      </c>
      <c r="AN10">
        <f t="shared" si="1"/>
        <v>5.8338123612182713E-3</v>
      </c>
      <c r="AO10">
        <f t="shared" si="1"/>
        <v>5.8338123612182713E-3</v>
      </c>
      <c r="AP10">
        <f t="shared" si="1"/>
        <v>5.8338123612182713E-3</v>
      </c>
    </row>
    <row r="11" spans="1:42" x14ac:dyDescent="0.2">
      <c r="A11" t="s">
        <v>382</v>
      </c>
      <c r="B11">
        <f>'Start Year Energy'!C65</f>
        <v>0.27394573665346089</v>
      </c>
      <c r="C11">
        <f t="shared" si="2"/>
        <v>0.27394573665346089</v>
      </c>
      <c r="D11">
        <f t="shared" si="0"/>
        <v>0.27394573665346089</v>
      </c>
      <c r="E11">
        <f t="shared" si="0"/>
        <v>0.27394573665346089</v>
      </c>
      <c r="F11">
        <f t="shared" si="0"/>
        <v>0.27394573665346089</v>
      </c>
      <c r="G11">
        <f t="shared" si="0"/>
        <v>0.27394573665346089</v>
      </c>
      <c r="H11">
        <f t="shared" si="0"/>
        <v>0.27394573665346089</v>
      </c>
      <c r="I11">
        <f t="shared" si="0"/>
        <v>0.27394573665346089</v>
      </c>
      <c r="J11">
        <f t="shared" si="0"/>
        <v>0.27394573665346089</v>
      </c>
      <c r="K11">
        <f t="shared" si="0"/>
        <v>0.27394573665346089</v>
      </c>
      <c r="L11">
        <f t="shared" si="0"/>
        <v>0.27394573665346089</v>
      </c>
      <c r="M11">
        <f t="shared" ref="M11:AO24" si="3">$B11</f>
        <v>0.27394573665346089</v>
      </c>
      <c r="N11">
        <f t="shared" si="3"/>
        <v>0.27394573665346089</v>
      </c>
      <c r="O11">
        <f t="shared" si="3"/>
        <v>0.27394573665346089</v>
      </c>
      <c r="P11">
        <f t="shared" si="3"/>
        <v>0.27394573665346089</v>
      </c>
      <c r="Q11">
        <f t="shared" si="3"/>
        <v>0.27394573665346089</v>
      </c>
      <c r="R11">
        <f t="shared" si="3"/>
        <v>0.27394573665346089</v>
      </c>
      <c r="S11">
        <f t="shared" si="3"/>
        <v>0.27394573665346089</v>
      </c>
      <c r="T11">
        <f t="shared" si="3"/>
        <v>0.27394573665346089</v>
      </c>
      <c r="U11">
        <f t="shared" si="3"/>
        <v>0.27394573665346089</v>
      </c>
      <c r="V11">
        <f t="shared" si="3"/>
        <v>0.27394573665346089</v>
      </c>
      <c r="W11">
        <f t="shared" si="3"/>
        <v>0.27394573665346089</v>
      </c>
      <c r="X11">
        <f t="shared" si="3"/>
        <v>0.27394573665346089</v>
      </c>
      <c r="Y11">
        <f t="shared" si="3"/>
        <v>0.27394573665346089</v>
      </c>
      <c r="Z11">
        <f t="shared" si="3"/>
        <v>0.27394573665346089</v>
      </c>
      <c r="AA11">
        <f t="shared" si="3"/>
        <v>0.27394573665346089</v>
      </c>
      <c r="AB11">
        <f t="shared" si="3"/>
        <v>0.27394573665346089</v>
      </c>
      <c r="AC11">
        <f t="shared" si="3"/>
        <v>0.27394573665346089</v>
      </c>
      <c r="AD11">
        <f t="shared" si="3"/>
        <v>0.27394573665346089</v>
      </c>
      <c r="AE11">
        <f t="shared" si="3"/>
        <v>0.27394573665346089</v>
      </c>
      <c r="AF11">
        <f t="shared" si="3"/>
        <v>0.27394573665346089</v>
      </c>
      <c r="AG11">
        <f t="shared" si="1"/>
        <v>0.27394573665346089</v>
      </c>
      <c r="AH11">
        <f t="shared" si="1"/>
        <v>0.27394573665346089</v>
      </c>
      <c r="AI11">
        <f t="shared" si="1"/>
        <v>0.27394573665346089</v>
      </c>
      <c r="AJ11">
        <f t="shared" si="1"/>
        <v>0.27394573665346089</v>
      </c>
      <c r="AK11">
        <f t="shared" si="1"/>
        <v>0.27394573665346089</v>
      </c>
      <c r="AL11">
        <f t="shared" si="1"/>
        <v>0.27394573665346089</v>
      </c>
      <c r="AM11">
        <f t="shared" si="1"/>
        <v>0.27394573665346089</v>
      </c>
      <c r="AN11">
        <f t="shared" si="1"/>
        <v>0.27394573665346089</v>
      </c>
      <c r="AO11">
        <f t="shared" si="1"/>
        <v>0.27394573665346089</v>
      </c>
      <c r="AP11">
        <f t="shared" si="1"/>
        <v>0.27394573665346089</v>
      </c>
    </row>
    <row r="12" spans="1:42" x14ac:dyDescent="0.2">
      <c r="A12" t="s">
        <v>383</v>
      </c>
      <c r="B12">
        <f>'Start Year Energy'!C66</f>
        <v>1</v>
      </c>
      <c r="C12">
        <f t="shared" si="2"/>
        <v>1</v>
      </c>
      <c r="D12">
        <f t="shared" si="2"/>
        <v>1</v>
      </c>
      <c r="E12">
        <f t="shared" si="2"/>
        <v>1</v>
      </c>
      <c r="F12">
        <f t="shared" si="2"/>
        <v>1</v>
      </c>
      <c r="G12">
        <f t="shared" si="2"/>
        <v>1</v>
      </c>
      <c r="H12">
        <f t="shared" si="2"/>
        <v>1</v>
      </c>
      <c r="I12">
        <f t="shared" si="2"/>
        <v>1</v>
      </c>
      <c r="J12">
        <f t="shared" si="2"/>
        <v>1</v>
      </c>
      <c r="K12">
        <f t="shared" si="2"/>
        <v>1</v>
      </c>
      <c r="L12">
        <f t="shared" si="2"/>
        <v>1</v>
      </c>
      <c r="M12">
        <f t="shared" si="2"/>
        <v>1</v>
      </c>
      <c r="N12">
        <f t="shared" si="2"/>
        <v>1</v>
      </c>
      <c r="O12">
        <f t="shared" si="2"/>
        <v>1</v>
      </c>
      <c r="P12">
        <f t="shared" si="2"/>
        <v>1</v>
      </c>
      <c r="Q12">
        <f t="shared" si="2"/>
        <v>1</v>
      </c>
      <c r="R12">
        <f t="shared" si="2"/>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Energy'!C67</f>
        <v>0.95397474616112077</v>
      </c>
      <c r="C13">
        <f t="shared" si="2"/>
        <v>0.95397474616112077</v>
      </c>
      <c r="D13">
        <f t="shared" si="2"/>
        <v>0.95397474616112077</v>
      </c>
      <c r="E13">
        <f t="shared" si="2"/>
        <v>0.95397474616112077</v>
      </c>
      <c r="F13">
        <f t="shared" si="2"/>
        <v>0.95397474616112077</v>
      </c>
      <c r="G13">
        <f t="shared" si="2"/>
        <v>0.95397474616112077</v>
      </c>
      <c r="H13">
        <f t="shared" si="2"/>
        <v>0.95397474616112077</v>
      </c>
      <c r="I13">
        <f t="shared" si="2"/>
        <v>0.95397474616112077</v>
      </c>
      <c r="J13">
        <f t="shared" si="2"/>
        <v>0.95397474616112077</v>
      </c>
      <c r="K13">
        <f t="shared" si="2"/>
        <v>0.95397474616112077</v>
      </c>
      <c r="L13">
        <f t="shared" si="2"/>
        <v>0.95397474616112077</v>
      </c>
      <c r="M13">
        <f t="shared" si="2"/>
        <v>0.95397474616112077</v>
      </c>
      <c r="N13">
        <f t="shared" si="2"/>
        <v>0.95397474616112077</v>
      </c>
      <c r="O13">
        <f t="shared" si="2"/>
        <v>0.95397474616112077</v>
      </c>
      <c r="P13">
        <f t="shared" si="2"/>
        <v>0.95397474616112077</v>
      </c>
      <c r="Q13">
        <f t="shared" si="2"/>
        <v>0.95397474616112077</v>
      </c>
      <c r="R13">
        <f t="shared" si="2"/>
        <v>0.95397474616112077</v>
      </c>
      <c r="S13">
        <f t="shared" si="3"/>
        <v>0.95397474616112077</v>
      </c>
      <c r="T13">
        <f t="shared" si="3"/>
        <v>0.95397474616112077</v>
      </c>
      <c r="U13">
        <f t="shared" si="3"/>
        <v>0.95397474616112077</v>
      </c>
      <c r="V13">
        <f t="shared" si="3"/>
        <v>0.95397474616112077</v>
      </c>
      <c r="W13">
        <f t="shared" si="3"/>
        <v>0.95397474616112077</v>
      </c>
      <c r="X13">
        <f t="shared" si="3"/>
        <v>0.95397474616112077</v>
      </c>
      <c r="Y13">
        <f t="shared" si="3"/>
        <v>0.95397474616112077</v>
      </c>
      <c r="Z13">
        <f t="shared" si="3"/>
        <v>0.95397474616112077</v>
      </c>
      <c r="AA13">
        <f t="shared" si="3"/>
        <v>0.95397474616112077</v>
      </c>
      <c r="AB13">
        <f t="shared" si="3"/>
        <v>0.95397474616112077</v>
      </c>
      <c r="AC13">
        <f t="shared" si="3"/>
        <v>0.95397474616112077</v>
      </c>
      <c r="AD13">
        <f t="shared" si="3"/>
        <v>0.95397474616112077</v>
      </c>
      <c r="AE13">
        <f t="shared" si="3"/>
        <v>0.95397474616112077</v>
      </c>
      <c r="AF13">
        <f t="shared" si="3"/>
        <v>0.95397474616112077</v>
      </c>
      <c r="AG13">
        <f t="shared" si="1"/>
        <v>0.95397474616112077</v>
      </c>
      <c r="AH13">
        <f t="shared" si="1"/>
        <v>0.95397474616112077</v>
      </c>
      <c r="AI13">
        <f t="shared" si="1"/>
        <v>0.95397474616112077</v>
      </c>
      <c r="AJ13">
        <f t="shared" si="1"/>
        <v>0.95397474616112077</v>
      </c>
      <c r="AK13">
        <f t="shared" si="1"/>
        <v>0.95397474616112077</v>
      </c>
      <c r="AL13">
        <f t="shared" si="1"/>
        <v>0.95397474616112077</v>
      </c>
      <c r="AM13">
        <f t="shared" si="1"/>
        <v>0.95397474616112077</v>
      </c>
      <c r="AN13">
        <f t="shared" si="1"/>
        <v>0.95397474616112077</v>
      </c>
      <c r="AO13">
        <f t="shared" si="1"/>
        <v>0.95397474616112077</v>
      </c>
      <c r="AP13">
        <f t="shared" si="1"/>
        <v>0.95397474616112077</v>
      </c>
    </row>
    <row r="14" spans="1:42" x14ac:dyDescent="0.2">
      <c r="A14" t="s">
        <v>385</v>
      </c>
      <c r="B14">
        <f>'Start Year Energy'!C68</f>
        <v>1</v>
      </c>
      <c r="C14">
        <f t="shared" si="2"/>
        <v>1</v>
      </c>
      <c r="D14">
        <f t="shared" si="2"/>
        <v>1</v>
      </c>
      <c r="E14">
        <f t="shared" si="2"/>
        <v>1</v>
      </c>
      <c r="F14">
        <f t="shared" si="2"/>
        <v>1</v>
      </c>
      <c r="G14">
        <f t="shared" si="2"/>
        <v>1</v>
      </c>
      <c r="H14">
        <f t="shared" si="2"/>
        <v>1</v>
      </c>
      <c r="I14">
        <f t="shared" si="2"/>
        <v>1</v>
      </c>
      <c r="J14">
        <f t="shared" si="2"/>
        <v>1</v>
      </c>
      <c r="K14">
        <f t="shared" si="2"/>
        <v>1</v>
      </c>
      <c r="L14">
        <f t="shared" si="2"/>
        <v>1</v>
      </c>
      <c r="M14">
        <f t="shared" si="2"/>
        <v>1</v>
      </c>
      <c r="N14">
        <f t="shared" si="2"/>
        <v>1</v>
      </c>
      <c r="O14">
        <f t="shared" si="2"/>
        <v>1</v>
      </c>
      <c r="P14">
        <f t="shared" si="2"/>
        <v>1</v>
      </c>
      <c r="Q14">
        <f t="shared" si="2"/>
        <v>1</v>
      </c>
      <c r="R14">
        <f t="shared" si="2"/>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Energy'!C69</f>
        <v>1</v>
      </c>
      <c r="C15">
        <f t="shared" si="2"/>
        <v>1</v>
      </c>
      <c r="D15">
        <f t="shared" si="2"/>
        <v>1</v>
      </c>
      <c r="E15">
        <f t="shared" si="2"/>
        <v>1</v>
      </c>
      <c r="F15">
        <f t="shared" si="2"/>
        <v>1</v>
      </c>
      <c r="G15">
        <f t="shared" si="2"/>
        <v>1</v>
      </c>
      <c r="H15">
        <f t="shared" si="2"/>
        <v>1</v>
      </c>
      <c r="I15">
        <f t="shared" si="2"/>
        <v>1</v>
      </c>
      <c r="J15">
        <f t="shared" si="2"/>
        <v>1</v>
      </c>
      <c r="K15">
        <f t="shared" si="2"/>
        <v>1</v>
      </c>
      <c r="L15">
        <f t="shared" si="2"/>
        <v>1</v>
      </c>
      <c r="M15">
        <f t="shared" si="2"/>
        <v>1</v>
      </c>
      <c r="N15">
        <f t="shared" si="2"/>
        <v>1</v>
      </c>
      <c r="O15">
        <f t="shared" si="2"/>
        <v>1</v>
      </c>
      <c r="P15">
        <f t="shared" si="2"/>
        <v>1</v>
      </c>
      <c r="Q15">
        <f t="shared" si="2"/>
        <v>1</v>
      </c>
      <c r="R15">
        <f t="shared" si="2"/>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Energy'!C70</f>
        <v>1</v>
      </c>
      <c r="C16">
        <f t="shared" si="2"/>
        <v>1</v>
      </c>
      <c r="D16">
        <f t="shared" si="2"/>
        <v>1</v>
      </c>
      <c r="E16">
        <f t="shared" si="2"/>
        <v>1</v>
      </c>
      <c r="F16">
        <f t="shared" si="2"/>
        <v>1</v>
      </c>
      <c r="G16">
        <f t="shared" si="2"/>
        <v>1</v>
      </c>
      <c r="H16">
        <f t="shared" si="2"/>
        <v>1</v>
      </c>
      <c r="I16">
        <f t="shared" si="2"/>
        <v>1</v>
      </c>
      <c r="J16">
        <f t="shared" si="2"/>
        <v>1</v>
      </c>
      <c r="K16">
        <f t="shared" si="2"/>
        <v>1</v>
      </c>
      <c r="L16">
        <f t="shared" si="2"/>
        <v>1</v>
      </c>
      <c r="M16">
        <f t="shared" si="2"/>
        <v>1</v>
      </c>
      <c r="N16">
        <f t="shared" si="2"/>
        <v>1</v>
      </c>
      <c r="O16">
        <f t="shared" si="2"/>
        <v>1</v>
      </c>
      <c r="P16">
        <f t="shared" si="2"/>
        <v>1</v>
      </c>
      <c r="Q16">
        <f t="shared" si="2"/>
        <v>1</v>
      </c>
      <c r="R16">
        <f t="shared" si="2"/>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Energy'!C71</f>
        <v>1</v>
      </c>
      <c r="C17">
        <f t="shared" si="2"/>
        <v>1</v>
      </c>
      <c r="D17">
        <f t="shared" si="2"/>
        <v>1</v>
      </c>
      <c r="E17">
        <f t="shared" si="2"/>
        <v>1</v>
      </c>
      <c r="F17">
        <f t="shared" si="2"/>
        <v>1</v>
      </c>
      <c r="G17">
        <f t="shared" si="2"/>
        <v>1</v>
      </c>
      <c r="H17">
        <f t="shared" si="2"/>
        <v>1</v>
      </c>
      <c r="I17">
        <f t="shared" si="2"/>
        <v>1</v>
      </c>
      <c r="J17">
        <f t="shared" si="2"/>
        <v>1</v>
      </c>
      <c r="K17">
        <f t="shared" si="2"/>
        <v>1</v>
      </c>
      <c r="L17">
        <f t="shared" si="2"/>
        <v>1</v>
      </c>
      <c r="M17">
        <f t="shared" si="2"/>
        <v>1</v>
      </c>
      <c r="N17">
        <f t="shared" si="2"/>
        <v>1</v>
      </c>
      <c r="O17">
        <f t="shared" si="2"/>
        <v>1</v>
      </c>
      <c r="P17">
        <f t="shared" si="2"/>
        <v>1</v>
      </c>
      <c r="Q17">
        <f t="shared" si="2"/>
        <v>1</v>
      </c>
      <c r="R17">
        <f t="shared" si="2"/>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Energy'!C72</f>
        <v>1</v>
      </c>
      <c r="C18">
        <f t="shared" si="2"/>
        <v>1</v>
      </c>
      <c r="D18">
        <f t="shared" si="2"/>
        <v>1</v>
      </c>
      <c r="E18">
        <f t="shared" si="2"/>
        <v>1</v>
      </c>
      <c r="F18">
        <f t="shared" si="2"/>
        <v>1</v>
      </c>
      <c r="G18">
        <f t="shared" si="2"/>
        <v>1</v>
      </c>
      <c r="H18">
        <f t="shared" si="2"/>
        <v>1</v>
      </c>
      <c r="I18">
        <f t="shared" si="2"/>
        <v>1</v>
      </c>
      <c r="J18">
        <f t="shared" si="2"/>
        <v>1</v>
      </c>
      <c r="K18">
        <f t="shared" si="2"/>
        <v>1</v>
      </c>
      <c r="L18">
        <f t="shared" si="2"/>
        <v>1</v>
      </c>
      <c r="M18">
        <f t="shared" si="2"/>
        <v>1</v>
      </c>
      <c r="N18">
        <f t="shared" si="2"/>
        <v>1</v>
      </c>
      <c r="O18">
        <f t="shared" si="2"/>
        <v>1</v>
      </c>
      <c r="P18">
        <f t="shared" si="2"/>
        <v>1</v>
      </c>
      <c r="Q18">
        <f t="shared" si="2"/>
        <v>1</v>
      </c>
      <c r="R18">
        <f t="shared" si="2"/>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si="3"/>
        <v>1</v>
      </c>
      <c r="AH18">
        <f t="shared" si="3"/>
        <v>1</v>
      </c>
      <c r="AI18">
        <f t="shared" si="3"/>
        <v>1</v>
      </c>
      <c r="AJ18">
        <f t="shared" si="3"/>
        <v>1</v>
      </c>
      <c r="AK18">
        <f t="shared" si="3"/>
        <v>1</v>
      </c>
      <c r="AL18">
        <f t="shared" si="3"/>
        <v>1</v>
      </c>
      <c r="AM18">
        <f t="shared" si="3"/>
        <v>1</v>
      </c>
      <c r="AN18">
        <f t="shared" si="3"/>
        <v>1</v>
      </c>
      <c r="AO18">
        <f t="shared" si="3"/>
        <v>1</v>
      </c>
      <c r="AP18">
        <f t="shared" ref="AP18:AP23" si="4">$B18</f>
        <v>1</v>
      </c>
    </row>
    <row r="19" spans="1:42" x14ac:dyDescent="0.2">
      <c r="A19" t="s">
        <v>390</v>
      </c>
      <c r="B19">
        <f>'Start Year Energy'!C73</f>
        <v>1</v>
      </c>
      <c r="C19">
        <f t="shared" si="2"/>
        <v>1</v>
      </c>
      <c r="D19">
        <f t="shared" si="2"/>
        <v>1</v>
      </c>
      <c r="E19">
        <f t="shared" si="2"/>
        <v>1</v>
      </c>
      <c r="F19">
        <f t="shared" si="2"/>
        <v>1</v>
      </c>
      <c r="G19">
        <f t="shared" si="2"/>
        <v>1</v>
      </c>
      <c r="H19">
        <f t="shared" si="2"/>
        <v>1</v>
      </c>
      <c r="I19">
        <f t="shared" si="2"/>
        <v>1</v>
      </c>
      <c r="J19">
        <f t="shared" si="2"/>
        <v>1</v>
      </c>
      <c r="K19">
        <f t="shared" si="2"/>
        <v>1</v>
      </c>
      <c r="L19">
        <f t="shared" si="2"/>
        <v>1</v>
      </c>
      <c r="M19">
        <f t="shared" si="2"/>
        <v>1</v>
      </c>
      <c r="N19">
        <f t="shared" si="2"/>
        <v>1</v>
      </c>
      <c r="O19">
        <f t="shared" si="2"/>
        <v>1</v>
      </c>
      <c r="P19">
        <f t="shared" si="2"/>
        <v>1</v>
      </c>
      <c r="Q19">
        <f t="shared" si="2"/>
        <v>1</v>
      </c>
      <c r="R19">
        <f t="shared" si="2"/>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3"/>
        <v>1</v>
      </c>
      <c r="AH19">
        <f t="shared" si="3"/>
        <v>1</v>
      </c>
      <c r="AI19">
        <f t="shared" si="3"/>
        <v>1</v>
      </c>
      <c r="AJ19">
        <f t="shared" si="3"/>
        <v>1</v>
      </c>
      <c r="AK19">
        <f t="shared" si="3"/>
        <v>1</v>
      </c>
      <c r="AL19">
        <f t="shared" si="3"/>
        <v>1</v>
      </c>
      <c r="AM19">
        <f t="shared" si="3"/>
        <v>1</v>
      </c>
      <c r="AN19">
        <f t="shared" si="3"/>
        <v>1</v>
      </c>
      <c r="AO19">
        <f t="shared" si="3"/>
        <v>1</v>
      </c>
      <c r="AP19">
        <f t="shared" si="4"/>
        <v>1</v>
      </c>
    </row>
    <row r="20" spans="1:42" x14ac:dyDescent="0.2">
      <c r="A20" t="s">
        <v>391</v>
      </c>
      <c r="B20">
        <f>'Start Year Energy'!C74</f>
        <v>1</v>
      </c>
      <c r="C20">
        <f t="shared" si="2"/>
        <v>1</v>
      </c>
      <c r="D20">
        <f t="shared" si="2"/>
        <v>1</v>
      </c>
      <c r="E20">
        <f t="shared" si="2"/>
        <v>1</v>
      </c>
      <c r="F20">
        <f t="shared" si="2"/>
        <v>1</v>
      </c>
      <c r="G20">
        <f t="shared" si="2"/>
        <v>1</v>
      </c>
      <c r="H20">
        <f t="shared" si="2"/>
        <v>1</v>
      </c>
      <c r="I20">
        <f t="shared" si="2"/>
        <v>1</v>
      </c>
      <c r="J20">
        <f t="shared" si="2"/>
        <v>1</v>
      </c>
      <c r="K20">
        <f t="shared" si="2"/>
        <v>1</v>
      </c>
      <c r="L20">
        <f t="shared" si="2"/>
        <v>1</v>
      </c>
      <c r="M20">
        <f t="shared" si="2"/>
        <v>1</v>
      </c>
      <c r="N20">
        <f t="shared" si="2"/>
        <v>1</v>
      </c>
      <c r="O20">
        <f t="shared" si="2"/>
        <v>1</v>
      </c>
      <c r="P20">
        <f t="shared" si="2"/>
        <v>1</v>
      </c>
      <c r="Q20">
        <f t="shared" si="2"/>
        <v>1</v>
      </c>
      <c r="R20">
        <f t="shared" si="2"/>
        <v>1</v>
      </c>
      <c r="S20">
        <f t="shared" si="3"/>
        <v>1</v>
      </c>
      <c r="T20">
        <f t="shared" si="3"/>
        <v>1</v>
      </c>
      <c r="U20">
        <f t="shared" si="3"/>
        <v>1</v>
      </c>
      <c r="V20">
        <f t="shared" si="3"/>
        <v>1</v>
      </c>
      <c r="W20">
        <f t="shared" si="3"/>
        <v>1</v>
      </c>
      <c r="X20">
        <f t="shared" si="3"/>
        <v>1</v>
      </c>
      <c r="Y20">
        <f t="shared" si="3"/>
        <v>1</v>
      </c>
      <c r="Z20">
        <f t="shared" si="3"/>
        <v>1</v>
      </c>
      <c r="AA20">
        <f t="shared" si="3"/>
        <v>1</v>
      </c>
      <c r="AB20">
        <f t="shared" si="3"/>
        <v>1</v>
      </c>
      <c r="AC20">
        <f t="shared" si="3"/>
        <v>1</v>
      </c>
      <c r="AD20">
        <f t="shared" si="3"/>
        <v>1</v>
      </c>
      <c r="AE20">
        <f t="shared" si="3"/>
        <v>1</v>
      </c>
      <c r="AF20">
        <f t="shared" si="3"/>
        <v>1</v>
      </c>
      <c r="AG20">
        <f t="shared" si="3"/>
        <v>1</v>
      </c>
      <c r="AH20">
        <f t="shared" si="3"/>
        <v>1</v>
      </c>
      <c r="AI20">
        <f t="shared" si="3"/>
        <v>1</v>
      </c>
      <c r="AJ20">
        <f t="shared" si="3"/>
        <v>1</v>
      </c>
      <c r="AK20">
        <f t="shared" si="3"/>
        <v>1</v>
      </c>
      <c r="AL20">
        <f t="shared" si="3"/>
        <v>1</v>
      </c>
      <c r="AM20">
        <f t="shared" si="3"/>
        <v>1</v>
      </c>
      <c r="AN20">
        <f t="shared" si="3"/>
        <v>1</v>
      </c>
      <c r="AO20">
        <f t="shared" si="3"/>
        <v>1</v>
      </c>
      <c r="AP20">
        <f t="shared" si="4"/>
        <v>1</v>
      </c>
    </row>
    <row r="21" spans="1:42" x14ac:dyDescent="0.2">
      <c r="A21" t="s">
        <v>392</v>
      </c>
      <c r="B21">
        <f>'Start Year Energy'!C75</f>
        <v>1</v>
      </c>
      <c r="C21">
        <f t="shared" si="2"/>
        <v>1</v>
      </c>
      <c r="D21">
        <f t="shared" si="2"/>
        <v>1</v>
      </c>
      <c r="E21">
        <f t="shared" si="2"/>
        <v>1</v>
      </c>
      <c r="F21">
        <f t="shared" si="2"/>
        <v>1</v>
      </c>
      <c r="G21">
        <f t="shared" si="2"/>
        <v>1</v>
      </c>
      <c r="H21">
        <f t="shared" si="2"/>
        <v>1</v>
      </c>
      <c r="I21">
        <f t="shared" si="2"/>
        <v>1</v>
      </c>
      <c r="J21">
        <f t="shared" si="2"/>
        <v>1</v>
      </c>
      <c r="K21">
        <f t="shared" si="2"/>
        <v>1</v>
      </c>
      <c r="L21">
        <f t="shared" si="2"/>
        <v>1</v>
      </c>
      <c r="M21">
        <f t="shared" si="2"/>
        <v>1</v>
      </c>
      <c r="N21">
        <f t="shared" si="2"/>
        <v>1</v>
      </c>
      <c r="O21">
        <f t="shared" si="2"/>
        <v>1</v>
      </c>
      <c r="P21">
        <f t="shared" si="2"/>
        <v>1</v>
      </c>
      <c r="Q21">
        <f t="shared" si="2"/>
        <v>1</v>
      </c>
      <c r="R21">
        <f t="shared" si="2"/>
        <v>1</v>
      </c>
      <c r="S21">
        <f t="shared" si="3"/>
        <v>1</v>
      </c>
      <c r="T21">
        <f t="shared" si="3"/>
        <v>1</v>
      </c>
      <c r="U21">
        <f t="shared" si="3"/>
        <v>1</v>
      </c>
      <c r="V21">
        <f t="shared" si="3"/>
        <v>1</v>
      </c>
      <c r="W21">
        <f t="shared" si="3"/>
        <v>1</v>
      </c>
      <c r="X21">
        <f t="shared" si="3"/>
        <v>1</v>
      </c>
      <c r="Y21">
        <f t="shared" si="3"/>
        <v>1</v>
      </c>
      <c r="Z21">
        <f t="shared" si="3"/>
        <v>1</v>
      </c>
      <c r="AA21">
        <f t="shared" si="3"/>
        <v>1</v>
      </c>
      <c r="AB21">
        <f t="shared" si="3"/>
        <v>1</v>
      </c>
      <c r="AC21">
        <f t="shared" si="3"/>
        <v>1</v>
      </c>
      <c r="AD21">
        <f t="shared" si="3"/>
        <v>1</v>
      </c>
      <c r="AE21">
        <f t="shared" si="3"/>
        <v>1</v>
      </c>
      <c r="AF21">
        <f t="shared" si="3"/>
        <v>1</v>
      </c>
      <c r="AG21">
        <f t="shared" si="3"/>
        <v>1</v>
      </c>
      <c r="AH21">
        <f t="shared" si="3"/>
        <v>1</v>
      </c>
      <c r="AI21">
        <f t="shared" si="3"/>
        <v>1</v>
      </c>
      <c r="AJ21">
        <f t="shared" si="3"/>
        <v>1</v>
      </c>
      <c r="AK21">
        <f t="shared" si="3"/>
        <v>1</v>
      </c>
      <c r="AL21">
        <f t="shared" si="3"/>
        <v>1</v>
      </c>
      <c r="AM21">
        <f t="shared" si="3"/>
        <v>1</v>
      </c>
      <c r="AN21">
        <f t="shared" si="3"/>
        <v>1</v>
      </c>
      <c r="AO21">
        <f t="shared" si="3"/>
        <v>1</v>
      </c>
      <c r="AP21">
        <f t="shared" si="4"/>
        <v>1</v>
      </c>
    </row>
    <row r="22" spans="1:42" x14ac:dyDescent="0.2">
      <c r="A22" t="s">
        <v>393</v>
      </c>
      <c r="B22">
        <f>'Start Year Energy'!C76</f>
        <v>1</v>
      </c>
      <c r="C22">
        <f t="shared" si="2"/>
        <v>1</v>
      </c>
      <c r="D22">
        <f t="shared" si="2"/>
        <v>1</v>
      </c>
      <c r="E22">
        <f t="shared" si="2"/>
        <v>1</v>
      </c>
      <c r="F22">
        <f t="shared" si="2"/>
        <v>1</v>
      </c>
      <c r="G22">
        <f t="shared" si="2"/>
        <v>1</v>
      </c>
      <c r="H22">
        <f t="shared" si="2"/>
        <v>1</v>
      </c>
      <c r="I22">
        <f t="shared" si="2"/>
        <v>1</v>
      </c>
      <c r="J22">
        <f t="shared" si="2"/>
        <v>1</v>
      </c>
      <c r="K22">
        <f t="shared" si="2"/>
        <v>1</v>
      </c>
      <c r="L22">
        <f t="shared" si="2"/>
        <v>1</v>
      </c>
      <c r="M22">
        <f t="shared" si="2"/>
        <v>1</v>
      </c>
      <c r="N22">
        <f t="shared" si="2"/>
        <v>1</v>
      </c>
      <c r="O22">
        <f t="shared" si="2"/>
        <v>1</v>
      </c>
      <c r="P22">
        <f t="shared" si="2"/>
        <v>1</v>
      </c>
      <c r="Q22">
        <f t="shared" si="2"/>
        <v>1</v>
      </c>
      <c r="R22">
        <f t="shared" si="2"/>
        <v>1</v>
      </c>
      <c r="S22">
        <f t="shared" si="3"/>
        <v>1</v>
      </c>
      <c r="T22">
        <f t="shared" si="3"/>
        <v>1</v>
      </c>
      <c r="U22">
        <f t="shared" si="3"/>
        <v>1</v>
      </c>
      <c r="V22">
        <f t="shared" si="3"/>
        <v>1</v>
      </c>
      <c r="W22">
        <f t="shared" si="3"/>
        <v>1</v>
      </c>
      <c r="X22">
        <f t="shared" si="3"/>
        <v>1</v>
      </c>
      <c r="Y22">
        <f t="shared" si="3"/>
        <v>1</v>
      </c>
      <c r="Z22">
        <f t="shared" si="3"/>
        <v>1</v>
      </c>
      <c r="AA22">
        <f t="shared" si="3"/>
        <v>1</v>
      </c>
      <c r="AB22">
        <f t="shared" si="3"/>
        <v>1</v>
      </c>
      <c r="AC22">
        <f t="shared" si="3"/>
        <v>1</v>
      </c>
      <c r="AD22">
        <f t="shared" si="3"/>
        <v>1</v>
      </c>
      <c r="AE22">
        <f t="shared" si="3"/>
        <v>1</v>
      </c>
      <c r="AF22">
        <f t="shared" si="3"/>
        <v>1</v>
      </c>
      <c r="AG22">
        <f t="shared" si="3"/>
        <v>1</v>
      </c>
      <c r="AH22">
        <f t="shared" si="3"/>
        <v>1</v>
      </c>
      <c r="AI22">
        <f t="shared" si="3"/>
        <v>1</v>
      </c>
      <c r="AJ22">
        <f t="shared" si="3"/>
        <v>1</v>
      </c>
      <c r="AK22">
        <f t="shared" si="3"/>
        <v>1</v>
      </c>
      <c r="AL22">
        <f t="shared" si="3"/>
        <v>1</v>
      </c>
      <c r="AM22">
        <f t="shared" si="3"/>
        <v>1</v>
      </c>
      <c r="AN22">
        <f t="shared" si="3"/>
        <v>1</v>
      </c>
      <c r="AO22">
        <f t="shared" si="3"/>
        <v>1</v>
      </c>
      <c r="AP22">
        <f t="shared" si="4"/>
        <v>1</v>
      </c>
    </row>
    <row r="23" spans="1:42" x14ac:dyDescent="0.2">
      <c r="A23" t="s">
        <v>394</v>
      </c>
      <c r="B23">
        <f>'Start Year Energy'!C77</f>
        <v>1</v>
      </c>
      <c r="C23">
        <f t="shared" si="2"/>
        <v>1</v>
      </c>
      <c r="D23">
        <f t="shared" si="2"/>
        <v>1</v>
      </c>
      <c r="E23">
        <f t="shared" si="2"/>
        <v>1</v>
      </c>
      <c r="F23">
        <f t="shared" si="2"/>
        <v>1</v>
      </c>
      <c r="G23">
        <f t="shared" si="2"/>
        <v>1</v>
      </c>
      <c r="H23">
        <f t="shared" si="2"/>
        <v>1</v>
      </c>
      <c r="I23">
        <f t="shared" si="2"/>
        <v>1</v>
      </c>
      <c r="J23">
        <f t="shared" si="2"/>
        <v>1</v>
      </c>
      <c r="K23">
        <f t="shared" si="2"/>
        <v>1</v>
      </c>
      <c r="L23">
        <f t="shared" si="2"/>
        <v>1</v>
      </c>
      <c r="M23">
        <f t="shared" si="2"/>
        <v>1</v>
      </c>
      <c r="N23">
        <f t="shared" si="2"/>
        <v>1</v>
      </c>
      <c r="O23">
        <f t="shared" si="2"/>
        <v>1</v>
      </c>
      <c r="P23">
        <f t="shared" si="2"/>
        <v>1</v>
      </c>
      <c r="Q23">
        <f t="shared" si="2"/>
        <v>1</v>
      </c>
      <c r="R23">
        <f t="shared" si="2"/>
        <v>1</v>
      </c>
      <c r="S23">
        <f t="shared" si="3"/>
        <v>1</v>
      </c>
      <c r="T23">
        <f t="shared" si="3"/>
        <v>1</v>
      </c>
      <c r="U23">
        <f t="shared" si="3"/>
        <v>1</v>
      </c>
      <c r="V23">
        <f t="shared" si="3"/>
        <v>1</v>
      </c>
      <c r="W23">
        <f t="shared" si="3"/>
        <v>1</v>
      </c>
      <c r="X23">
        <f t="shared" si="3"/>
        <v>1</v>
      </c>
      <c r="Y23">
        <f t="shared" si="3"/>
        <v>1</v>
      </c>
      <c r="Z23">
        <f t="shared" si="3"/>
        <v>1</v>
      </c>
      <c r="AA23">
        <f t="shared" si="3"/>
        <v>1</v>
      </c>
      <c r="AB23">
        <f t="shared" si="3"/>
        <v>1</v>
      </c>
      <c r="AC23">
        <f t="shared" si="3"/>
        <v>1</v>
      </c>
      <c r="AD23">
        <f t="shared" si="3"/>
        <v>1</v>
      </c>
      <c r="AE23">
        <f t="shared" si="3"/>
        <v>1</v>
      </c>
      <c r="AF23">
        <f t="shared" si="3"/>
        <v>1</v>
      </c>
      <c r="AG23">
        <f t="shared" si="3"/>
        <v>1</v>
      </c>
      <c r="AH23">
        <f t="shared" si="3"/>
        <v>1</v>
      </c>
      <c r="AI23">
        <f t="shared" si="3"/>
        <v>1</v>
      </c>
      <c r="AJ23">
        <f t="shared" si="3"/>
        <v>1</v>
      </c>
      <c r="AK23">
        <f t="shared" si="3"/>
        <v>1</v>
      </c>
      <c r="AL23">
        <f t="shared" si="3"/>
        <v>1</v>
      </c>
      <c r="AM23">
        <f t="shared" si="3"/>
        <v>1</v>
      </c>
      <c r="AN23">
        <f t="shared" si="3"/>
        <v>1</v>
      </c>
      <c r="AO23">
        <f t="shared" si="3"/>
        <v>1</v>
      </c>
      <c r="AP23">
        <f t="shared" si="4"/>
        <v>1</v>
      </c>
    </row>
    <row r="24" spans="1:42" x14ac:dyDescent="0.2">
      <c r="A24" t="s">
        <v>395</v>
      </c>
      <c r="B24">
        <f>'Start Year Energy'!C78</f>
        <v>5.4092727351769399E-2</v>
      </c>
      <c r="C24">
        <f t="shared" si="2"/>
        <v>5.4092727351769399E-2</v>
      </c>
      <c r="D24">
        <f t="shared" si="2"/>
        <v>5.4092727351769399E-2</v>
      </c>
      <c r="E24">
        <f t="shared" si="2"/>
        <v>5.4092727351769399E-2</v>
      </c>
      <c r="F24">
        <f t="shared" si="2"/>
        <v>5.4092727351769399E-2</v>
      </c>
      <c r="G24">
        <f t="shared" si="2"/>
        <v>5.4092727351769399E-2</v>
      </c>
      <c r="H24">
        <f t="shared" si="2"/>
        <v>5.4092727351769399E-2</v>
      </c>
      <c r="I24">
        <f t="shared" si="2"/>
        <v>5.4092727351769399E-2</v>
      </c>
      <c r="J24">
        <f t="shared" si="2"/>
        <v>5.4092727351769399E-2</v>
      </c>
      <c r="K24">
        <f t="shared" si="2"/>
        <v>5.4092727351769399E-2</v>
      </c>
      <c r="L24">
        <f t="shared" si="2"/>
        <v>5.4092727351769399E-2</v>
      </c>
      <c r="M24">
        <f t="shared" si="2"/>
        <v>5.4092727351769399E-2</v>
      </c>
      <c r="N24">
        <f t="shared" si="2"/>
        <v>5.4092727351769399E-2</v>
      </c>
      <c r="O24">
        <f t="shared" si="2"/>
        <v>5.4092727351769399E-2</v>
      </c>
      <c r="P24">
        <f t="shared" si="2"/>
        <v>5.4092727351769399E-2</v>
      </c>
      <c r="Q24">
        <f t="shared" si="2"/>
        <v>5.4092727351769399E-2</v>
      </c>
      <c r="R24">
        <f t="shared" si="2"/>
        <v>5.4092727351769399E-2</v>
      </c>
      <c r="S24">
        <f t="shared" si="3"/>
        <v>5.4092727351769399E-2</v>
      </c>
      <c r="T24">
        <f t="shared" si="3"/>
        <v>5.4092727351769399E-2</v>
      </c>
      <c r="U24">
        <f t="shared" si="3"/>
        <v>5.4092727351769399E-2</v>
      </c>
      <c r="V24">
        <f t="shared" si="3"/>
        <v>5.4092727351769399E-2</v>
      </c>
      <c r="W24">
        <f t="shared" si="3"/>
        <v>5.4092727351769399E-2</v>
      </c>
      <c r="X24">
        <f t="shared" si="3"/>
        <v>5.4092727351769399E-2</v>
      </c>
      <c r="Y24">
        <f t="shared" si="3"/>
        <v>5.4092727351769399E-2</v>
      </c>
      <c r="Z24">
        <f t="shared" si="3"/>
        <v>5.4092727351769399E-2</v>
      </c>
      <c r="AA24">
        <f t="shared" si="3"/>
        <v>5.4092727351769399E-2</v>
      </c>
      <c r="AB24">
        <f t="shared" si="3"/>
        <v>5.4092727351769399E-2</v>
      </c>
      <c r="AC24">
        <f t="shared" si="3"/>
        <v>5.4092727351769399E-2</v>
      </c>
      <c r="AD24">
        <f t="shared" si="3"/>
        <v>5.4092727351769399E-2</v>
      </c>
      <c r="AE24">
        <f t="shared" si="3"/>
        <v>5.4092727351769399E-2</v>
      </c>
      <c r="AF24">
        <f t="shared" ref="AF24:AP26" si="5">$B24</f>
        <v>5.4092727351769399E-2</v>
      </c>
      <c r="AG24">
        <f t="shared" si="5"/>
        <v>5.4092727351769399E-2</v>
      </c>
      <c r="AH24">
        <f t="shared" si="5"/>
        <v>5.4092727351769399E-2</v>
      </c>
      <c r="AI24">
        <f t="shared" si="5"/>
        <v>5.4092727351769399E-2</v>
      </c>
      <c r="AJ24">
        <f t="shared" si="5"/>
        <v>5.4092727351769399E-2</v>
      </c>
      <c r="AK24">
        <f t="shared" si="5"/>
        <v>5.4092727351769399E-2</v>
      </c>
      <c r="AL24">
        <f t="shared" si="5"/>
        <v>5.4092727351769399E-2</v>
      </c>
      <c r="AM24">
        <f t="shared" si="5"/>
        <v>5.4092727351769399E-2</v>
      </c>
      <c r="AN24">
        <f t="shared" si="5"/>
        <v>5.4092727351769399E-2</v>
      </c>
      <c r="AO24">
        <f t="shared" si="5"/>
        <v>5.4092727351769399E-2</v>
      </c>
      <c r="AP24">
        <f t="shared" si="5"/>
        <v>5.4092727351769399E-2</v>
      </c>
    </row>
    <row r="25" spans="1:42" x14ac:dyDescent="0.2">
      <c r="A25" t="s">
        <v>396</v>
      </c>
      <c r="B25">
        <f>'Start Year Energy'!C79</f>
        <v>1</v>
      </c>
      <c r="C25">
        <f t="shared" si="2"/>
        <v>1</v>
      </c>
      <c r="D25">
        <f t="shared" si="2"/>
        <v>1</v>
      </c>
      <c r="E25">
        <f t="shared" si="2"/>
        <v>1</v>
      </c>
      <c r="F25">
        <f t="shared" si="2"/>
        <v>1</v>
      </c>
      <c r="G25">
        <f t="shared" si="2"/>
        <v>1</v>
      </c>
      <c r="H25">
        <f t="shared" si="2"/>
        <v>1</v>
      </c>
      <c r="I25">
        <f t="shared" si="2"/>
        <v>1</v>
      </c>
      <c r="J25">
        <f t="shared" si="2"/>
        <v>1</v>
      </c>
      <c r="K25">
        <f t="shared" si="2"/>
        <v>1</v>
      </c>
      <c r="L25">
        <f t="shared" si="2"/>
        <v>1</v>
      </c>
      <c r="M25">
        <f t="shared" si="2"/>
        <v>1</v>
      </c>
      <c r="N25">
        <f t="shared" si="2"/>
        <v>1</v>
      </c>
      <c r="O25">
        <f t="shared" si="2"/>
        <v>1</v>
      </c>
      <c r="P25">
        <f t="shared" si="2"/>
        <v>1</v>
      </c>
      <c r="Q25">
        <f t="shared" si="2"/>
        <v>1</v>
      </c>
      <c r="R25">
        <f t="shared" si="2"/>
        <v>1</v>
      </c>
      <c r="S25">
        <f t="shared" ref="S25:AF25" si="6">$B25</f>
        <v>1</v>
      </c>
      <c r="T25">
        <f t="shared" si="6"/>
        <v>1</v>
      </c>
      <c r="U25">
        <f t="shared" si="6"/>
        <v>1</v>
      </c>
      <c r="V25">
        <f t="shared" si="6"/>
        <v>1</v>
      </c>
      <c r="W25">
        <f t="shared" si="6"/>
        <v>1</v>
      </c>
      <c r="X25">
        <f t="shared" si="6"/>
        <v>1</v>
      </c>
      <c r="Y25">
        <f t="shared" si="6"/>
        <v>1</v>
      </c>
      <c r="Z25">
        <f t="shared" si="6"/>
        <v>1</v>
      </c>
      <c r="AA25">
        <f t="shared" si="6"/>
        <v>1</v>
      </c>
      <c r="AB25">
        <f t="shared" si="6"/>
        <v>1</v>
      </c>
      <c r="AC25">
        <f t="shared" si="6"/>
        <v>1</v>
      </c>
      <c r="AD25">
        <f t="shared" si="6"/>
        <v>1</v>
      </c>
      <c r="AE25">
        <f t="shared" si="6"/>
        <v>1</v>
      </c>
      <c r="AF25">
        <f t="shared" si="6"/>
        <v>1</v>
      </c>
      <c r="AG25">
        <f t="shared" si="5"/>
        <v>1</v>
      </c>
      <c r="AH25">
        <f t="shared" si="5"/>
        <v>1</v>
      </c>
      <c r="AI25">
        <f t="shared" si="5"/>
        <v>1</v>
      </c>
      <c r="AJ25">
        <f t="shared" si="5"/>
        <v>1</v>
      </c>
      <c r="AK25">
        <f t="shared" si="5"/>
        <v>1</v>
      </c>
      <c r="AL25">
        <f t="shared" si="5"/>
        <v>1</v>
      </c>
      <c r="AM25">
        <f t="shared" si="5"/>
        <v>1</v>
      </c>
      <c r="AN25">
        <f t="shared" si="5"/>
        <v>1</v>
      </c>
      <c r="AO25">
        <f t="shared" si="5"/>
        <v>1</v>
      </c>
      <c r="AP25">
        <f t="shared" si="5"/>
        <v>1</v>
      </c>
    </row>
    <row r="26" spans="1:42" x14ac:dyDescent="0.2">
      <c r="A26" t="s">
        <v>397</v>
      </c>
      <c r="B26">
        <f>'Start Year Energy'!C80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4A3B2-41DA-497A-9331-D63B3E54FFCE}">
  <sheetPr codeName="Sheet23">
    <tabColor theme="4"/>
  </sheetPr>
  <dimension ref="A1:AP26"/>
  <sheetViews>
    <sheetView workbookViewId="0">
      <selection activeCell="E24" sqref="E24"/>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Energy'!H56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Energy'!H57</f>
        <v>1</v>
      </c>
      <c r="C3">
        <f t="shared" ref="C3:R26" si="2">$B3</f>
        <v>1</v>
      </c>
      <c r="D3">
        <f t="shared" si="2"/>
        <v>1</v>
      </c>
      <c r="E3">
        <f t="shared" si="2"/>
        <v>1</v>
      </c>
      <c r="F3">
        <f t="shared" si="2"/>
        <v>1</v>
      </c>
      <c r="G3">
        <f t="shared" si="2"/>
        <v>1</v>
      </c>
      <c r="H3">
        <f t="shared" si="2"/>
        <v>1</v>
      </c>
      <c r="I3">
        <f t="shared" si="2"/>
        <v>1</v>
      </c>
      <c r="J3">
        <f t="shared" si="2"/>
        <v>1</v>
      </c>
      <c r="K3">
        <f t="shared" si="2"/>
        <v>1</v>
      </c>
      <c r="L3">
        <f t="shared" si="2"/>
        <v>1</v>
      </c>
      <c r="M3">
        <f t="shared" si="2"/>
        <v>1</v>
      </c>
      <c r="N3">
        <f t="shared" si="2"/>
        <v>1</v>
      </c>
      <c r="O3">
        <f t="shared" si="2"/>
        <v>1</v>
      </c>
      <c r="P3">
        <f t="shared" si="2"/>
        <v>1</v>
      </c>
      <c r="Q3">
        <f t="shared" si="2"/>
        <v>1</v>
      </c>
      <c r="R3">
        <f t="shared" si="2"/>
        <v>1</v>
      </c>
      <c r="S3">
        <f t="shared" si="0"/>
        <v>1</v>
      </c>
      <c r="T3">
        <f t="shared" si="0"/>
        <v>1</v>
      </c>
      <c r="U3">
        <f t="shared" si="0"/>
        <v>1</v>
      </c>
      <c r="V3">
        <f t="shared" si="0"/>
        <v>1</v>
      </c>
      <c r="W3">
        <f t="shared" si="0"/>
        <v>1</v>
      </c>
      <c r="X3">
        <f t="shared" si="0"/>
        <v>1</v>
      </c>
      <c r="Y3">
        <f t="shared" si="0"/>
        <v>1</v>
      </c>
      <c r="Z3">
        <f t="shared" si="0"/>
        <v>1</v>
      </c>
      <c r="AA3">
        <f t="shared" si="0"/>
        <v>1</v>
      </c>
      <c r="AB3">
        <f t="shared" si="0"/>
        <v>1</v>
      </c>
      <c r="AC3">
        <f t="shared" si="0"/>
        <v>1</v>
      </c>
      <c r="AD3">
        <f t="shared" si="0"/>
        <v>1</v>
      </c>
      <c r="AE3">
        <f t="shared" si="0"/>
        <v>1</v>
      </c>
      <c r="AF3">
        <f t="shared" si="0"/>
        <v>1</v>
      </c>
      <c r="AG3">
        <f t="shared" si="1"/>
        <v>1</v>
      </c>
      <c r="AH3">
        <f t="shared" si="1"/>
        <v>1</v>
      </c>
      <c r="AI3">
        <f t="shared" si="1"/>
        <v>1</v>
      </c>
      <c r="AJ3">
        <f t="shared" si="1"/>
        <v>1</v>
      </c>
      <c r="AK3">
        <f t="shared" si="1"/>
        <v>1</v>
      </c>
      <c r="AL3">
        <f t="shared" si="1"/>
        <v>1</v>
      </c>
      <c r="AM3">
        <f t="shared" si="1"/>
        <v>1</v>
      </c>
      <c r="AN3">
        <f t="shared" si="1"/>
        <v>1</v>
      </c>
      <c r="AO3">
        <f t="shared" si="1"/>
        <v>1</v>
      </c>
      <c r="AP3">
        <f t="shared" si="1"/>
        <v>1</v>
      </c>
    </row>
    <row r="4" spans="1:42" x14ac:dyDescent="0.2">
      <c r="A4" t="s">
        <v>375</v>
      </c>
      <c r="B4">
        <f>'Start Year Energy'!H58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Energy'!H59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Energy'!H60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Energy'!H61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Energy'!H62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Energy'!H63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Energy'!H64</f>
        <v>7.5641125493630668E-4</v>
      </c>
      <c r="C10">
        <f t="shared" si="2"/>
        <v>7.5641125493630668E-4</v>
      </c>
      <c r="D10">
        <f t="shared" si="0"/>
        <v>7.5641125493630668E-4</v>
      </c>
      <c r="E10">
        <f t="shared" si="0"/>
        <v>7.5641125493630668E-4</v>
      </c>
      <c r="F10">
        <f t="shared" si="0"/>
        <v>7.5641125493630668E-4</v>
      </c>
      <c r="G10">
        <f t="shared" si="0"/>
        <v>7.5641125493630668E-4</v>
      </c>
      <c r="H10">
        <f t="shared" si="0"/>
        <v>7.5641125493630668E-4</v>
      </c>
      <c r="I10">
        <f t="shared" si="0"/>
        <v>7.5641125493630668E-4</v>
      </c>
      <c r="J10">
        <f t="shared" si="0"/>
        <v>7.5641125493630668E-4</v>
      </c>
      <c r="K10">
        <f t="shared" si="0"/>
        <v>7.5641125493630668E-4</v>
      </c>
      <c r="L10">
        <f t="shared" si="0"/>
        <v>7.5641125493630668E-4</v>
      </c>
      <c r="M10">
        <f t="shared" si="0"/>
        <v>7.5641125493630668E-4</v>
      </c>
      <c r="N10">
        <f t="shared" si="0"/>
        <v>7.5641125493630668E-4</v>
      </c>
      <c r="O10">
        <f t="shared" si="0"/>
        <v>7.5641125493630668E-4</v>
      </c>
      <c r="P10">
        <f t="shared" si="0"/>
        <v>7.5641125493630668E-4</v>
      </c>
      <c r="Q10">
        <f t="shared" si="0"/>
        <v>7.5641125493630668E-4</v>
      </c>
      <c r="R10">
        <f t="shared" si="0"/>
        <v>7.5641125493630668E-4</v>
      </c>
      <c r="S10">
        <f t="shared" si="0"/>
        <v>7.5641125493630668E-4</v>
      </c>
      <c r="T10">
        <f t="shared" si="0"/>
        <v>7.5641125493630668E-4</v>
      </c>
      <c r="U10">
        <f t="shared" si="0"/>
        <v>7.5641125493630668E-4</v>
      </c>
      <c r="V10">
        <f t="shared" si="0"/>
        <v>7.5641125493630668E-4</v>
      </c>
      <c r="W10">
        <f t="shared" si="0"/>
        <v>7.5641125493630668E-4</v>
      </c>
      <c r="X10">
        <f t="shared" si="0"/>
        <v>7.5641125493630668E-4</v>
      </c>
      <c r="Y10">
        <f t="shared" si="0"/>
        <v>7.5641125493630668E-4</v>
      </c>
      <c r="Z10">
        <f t="shared" si="0"/>
        <v>7.5641125493630668E-4</v>
      </c>
      <c r="AA10">
        <f t="shared" si="0"/>
        <v>7.5641125493630668E-4</v>
      </c>
      <c r="AB10">
        <f t="shared" si="0"/>
        <v>7.5641125493630668E-4</v>
      </c>
      <c r="AC10">
        <f t="shared" si="0"/>
        <v>7.5641125493630668E-4</v>
      </c>
      <c r="AD10">
        <f t="shared" si="0"/>
        <v>7.5641125493630668E-4</v>
      </c>
      <c r="AE10">
        <f t="shared" si="0"/>
        <v>7.5641125493630668E-4</v>
      </c>
      <c r="AF10">
        <f t="shared" si="0"/>
        <v>7.5641125493630668E-4</v>
      </c>
      <c r="AG10">
        <f t="shared" si="1"/>
        <v>7.5641125493630668E-4</v>
      </c>
      <c r="AH10">
        <f t="shared" si="1"/>
        <v>7.5641125493630668E-4</v>
      </c>
      <c r="AI10">
        <f t="shared" si="1"/>
        <v>7.5641125493630668E-4</v>
      </c>
      <c r="AJ10">
        <f t="shared" si="1"/>
        <v>7.5641125493630668E-4</v>
      </c>
      <c r="AK10">
        <f t="shared" si="1"/>
        <v>7.5641125493630668E-4</v>
      </c>
      <c r="AL10">
        <f t="shared" si="1"/>
        <v>7.5641125493630668E-4</v>
      </c>
      <c r="AM10">
        <f t="shared" si="1"/>
        <v>7.5641125493630668E-4</v>
      </c>
      <c r="AN10">
        <f t="shared" si="1"/>
        <v>7.5641125493630668E-4</v>
      </c>
      <c r="AO10">
        <f t="shared" si="1"/>
        <v>7.5641125493630668E-4</v>
      </c>
      <c r="AP10">
        <f t="shared" si="1"/>
        <v>7.5641125493630668E-4</v>
      </c>
    </row>
    <row r="11" spans="1:42" x14ac:dyDescent="0.2">
      <c r="A11" t="s">
        <v>382</v>
      </c>
      <c r="B11">
        <f>'Start Year Energy'!H65</f>
        <v>1</v>
      </c>
      <c r="C11">
        <f t="shared" si="2"/>
        <v>1</v>
      </c>
      <c r="D11">
        <f t="shared" si="0"/>
        <v>1</v>
      </c>
      <c r="E11">
        <f t="shared" si="0"/>
        <v>1</v>
      </c>
      <c r="F11">
        <f t="shared" si="0"/>
        <v>1</v>
      </c>
      <c r="G11">
        <f t="shared" si="0"/>
        <v>1</v>
      </c>
      <c r="H11">
        <f t="shared" si="0"/>
        <v>1</v>
      </c>
      <c r="I11">
        <f t="shared" si="0"/>
        <v>1</v>
      </c>
      <c r="J11">
        <f t="shared" si="0"/>
        <v>1</v>
      </c>
      <c r="K11">
        <f t="shared" si="0"/>
        <v>1</v>
      </c>
      <c r="L11">
        <f t="shared" si="0"/>
        <v>1</v>
      </c>
      <c r="M11">
        <f t="shared" ref="M11:AO24" si="3">$B11</f>
        <v>1</v>
      </c>
      <c r="N11">
        <f t="shared" si="3"/>
        <v>1</v>
      </c>
      <c r="O11">
        <f t="shared" si="3"/>
        <v>1</v>
      </c>
      <c r="P11">
        <f t="shared" si="3"/>
        <v>1</v>
      </c>
      <c r="Q11">
        <f t="shared" si="3"/>
        <v>1</v>
      </c>
      <c r="R11">
        <f t="shared" si="3"/>
        <v>1</v>
      </c>
      <c r="S11">
        <f t="shared" si="3"/>
        <v>1</v>
      </c>
      <c r="T11">
        <f t="shared" si="3"/>
        <v>1</v>
      </c>
      <c r="U11">
        <f t="shared" si="3"/>
        <v>1</v>
      </c>
      <c r="V11">
        <f t="shared" si="3"/>
        <v>1</v>
      </c>
      <c r="W11">
        <f t="shared" si="3"/>
        <v>1</v>
      </c>
      <c r="X11">
        <f t="shared" si="3"/>
        <v>1</v>
      </c>
      <c r="Y11">
        <f t="shared" si="3"/>
        <v>1</v>
      </c>
      <c r="Z11">
        <f t="shared" si="3"/>
        <v>1</v>
      </c>
      <c r="AA11">
        <f t="shared" si="3"/>
        <v>1</v>
      </c>
      <c r="AB11">
        <f t="shared" si="3"/>
        <v>1</v>
      </c>
      <c r="AC11">
        <f t="shared" si="3"/>
        <v>1</v>
      </c>
      <c r="AD11">
        <f t="shared" si="3"/>
        <v>1</v>
      </c>
      <c r="AE11">
        <f t="shared" si="3"/>
        <v>1</v>
      </c>
      <c r="AF11">
        <f t="shared" si="3"/>
        <v>1</v>
      </c>
      <c r="AG11">
        <f t="shared" si="1"/>
        <v>1</v>
      </c>
      <c r="AH11">
        <f t="shared" si="1"/>
        <v>1</v>
      </c>
      <c r="AI11">
        <f t="shared" si="1"/>
        <v>1</v>
      </c>
      <c r="AJ11">
        <f t="shared" si="1"/>
        <v>1</v>
      </c>
      <c r="AK11">
        <f t="shared" si="1"/>
        <v>1</v>
      </c>
      <c r="AL11">
        <f t="shared" si="1"/>
        <v>1</v>
      </c>
      <c r="AM11">
        <f t="shared" si="1"/>
        <v>1</v>
      </c>
      <c r="AN11">
        <f t="shared" si="1"/>
        <v>1</v>
      </c>
      <c r="AO11">
        <f t="shared" si="1"/>
        <v>1</v>
      </c>
      <c r="AP11">
        <f t="shared" si="1"/>
        <v>1</v>
      </c>
    </row>
    <row r="12" spans="1:42" x14ac:dyDescent="0.2">
      <c r="A12" t="s">
        <v>383</v>
      </c>
      <c r="B12">
        <f>'Start Year Energy'!H66</f>
        <v>1</v>
      </c>
      <c r="C12">
        <f t="shared" si="2"/>
        <v>1</v>
      </c>
      <c r="D12">
        <f t="shared" si="2"/>
        <v>1</v>
      </c>
      <c r="E12">
        <f t="shared" si="2"/>
        <v>1</v>
      </c>
      <c r="F12">
        <f t="shared" si="2"/>
        <v>1</v>
      </c>
      <c r="G12">
        <f t="shared" si="2"/>
        <v>1</v>
      </c>
      <c r="H12">
        <f t="shared" si="2"/>
        <v>1</v>
      </c>
      <c r="I12">
        <f t="shared" si="2"/>
        <v>1</v>
      </c>
      <c r="J12">
        <f t="shared" si="2"/>
        <v>1</v>
      </c>
      <c r="K12">
        <f t="shared" si="2"/>
        <v>1</v>
      </c>
      <c r="L12">
        <f t="shared" si="2"/>
        <v>1</v>
      </c>
      <c r="M12">
        <f t="shared" si="2"/>
        <v>1</v>
      </c>
      <c r="N12">
        <f t="shared" si="2"/>
        <v>1</v>
      </c>
      <c r="O12">
        <f t="shared" si="2"/>
        <v>1</v>
      </c>
      <c r="P12">
        <f t="shared" si="2"/>
        <v>1</v>
      </c>
      <c r="Q12">
        <f t="shared" si="2"/>
        <v>1</v>
      </c>
      <c r="R12">
        <f t="shared" si="2"/>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Energy'!H67</f>
        <v>1</v>
      </c>
      <c r="C13">
        <f t="shared" si="2"/>
        <v>1</v>
      </c>
      <c r="D13">
        <f t="shared" si="2"/>
        <v>1</v>
      </c>
      <c r="E13">
        <f t="shared" si="2"/>
        <v>1</v>
      </c>
      <c r="F13">
        <f t="shared" si="2"/>
        <v>1</v>
      </c>
      <c r="G13">
        <f t="shared" si="2"/>
        <v>1</v>
      </c>
      <c r="H13">
        <f t="shared" si="2"/>
        <v>1</v>
      </c>
      <c r="I13">
        <f t="shared" si="2"/>
        <v>1</v>
      </c>
      <c r="J13">
        <f t="shared" si="2"/>
        <v>1</v>
      </c>
      <c r="K13">
        <f t="shared" si="2"/>
        <v>1</v>
      </c>
      <c r="L13">
        <f t="shared" si="2"/>
        <v>1</v>
      </c>
      <c r="M13">
        <f t="shared" si="2"/>
        <v>1</v>
      </c>
      <c r="N13">
        <f t="shared" si="2"/>
        <v>1</v>
      </c>
      <c r="O13">
        <f t="shared" si="2"/>
        <v>1</v>
      </c>
      <c r="P13">
        <f t="shared" si="2"/>
        <v>1</v>
      </c>
      <c r="Q13">
        <f t="shared" si="2"/>
        <v>1</v>
      </c>
      <c r="R13">
        <f t="shared" si="2"/>
        <v>1</v>
      </c>
      <c r="S13">
        <f t="shared" si="3"/>
        <v>1</v>
      </c>
      <c r="T13">
        <f t="shared" si="3"/>
        <v>1</v>
      </c>
      <c r="U13">
        <f t="shared" si="3"/>
        <v>1</v>
      </c>
      <c r="V13">
        <f t="shared" si="3"/>
        <v>1</v>
      </c>
      <c r="W13">
        <f t="shared" si="3"/>
        <v>1</v>
      </c>
      <c r="X13">
        <f t="shared" si="3"/>
        <v>1</v>
      </c>
      <c r="Y13">
        <f t="shared" si="3"/>
        <v>1</v>
      </c>
      <c r="Z13">
        <f t="shared" si="3"/>
        <v>1</v>
      </c>
      <c r="AA13">
        <f t="shared" si="3"/>
        <v>1</v>
      </c>
      <c r="AB13">
        <f t="shared" si="3"/>
        <v>1</v>
      </c>
      <c r="AC13">
        <f t="shared" si="3"/>
        <v>1</v>
      </c>
      <c r="AD13">
        <f t="shared" si="3"/>
        <v>1</v>
      </c>
      <c r="AE13">
        <f t="shared" si="3"/>
        <v>1</v>
      </c>
      <c r="AF13">
        <f t="shared" si="3"/>
        <v>1</v>
      </c>
      <c r="AG13">
        <f t="shared" si="1"/>
        <v>1</v>
      </c>
      <c r="AH13">
        <f t="shared" si="1"/>
        <v>1</v>
      </c>
      <c r="AI13">
        <f t="shared" si="1"/>
        <v>1</v>
      </c>
      <c r="AJ13">
        <f t="shared" si="1"/>
        <v>1</v>
      </c>
      <c r="AK13">
        <f t="shared" si="1"/>
        <v>1</v>
      </c>
      <c r="AL13">
        <f t="shared" si="1"/>
        <v>1</v>
      </c>
      <c r="AM13">
        <f t="shared" si="1"/>
        <v>1</v>
      </c>
      <c r="AN13">
        <f t="shared" si="1"/>
        <v>1</v>
      </c>
      <c r="AO13">
        <f t="shared" si="1"/>
        <v>1</v>
      </c>
      <c r="AP13">
        <f t="shared" si="1"/>
        <v>1</v>
      </c>
    </row>
    <row r="14" spans="1:42" x14ac:dyDescent="0.2">
      <c r="A14" t="s">
        <v>385</v>
      </c>
      <c r="B14">
        <f>'Start Year Energy'!H68</f>
        <v>1</v>
      </c>
      <c r="C14">
        <f t="shared" si="2"/>
        <v>1</v>
      </c>
      <c r="D14">
        <f t="shared" si="2"/>
        <v>1</v>
      </c>
      <c r="E14">
        <f t="shared" si="2"/>
        <v>1</v>
      </c>
      <c r="F14">
        <f t="shared" si="2"/>
        <v>1</v>
      </c>
      <c r="G14">
        <f t="shared" si="2"/>
        <v>1</v>
      </c>
      <c r="H14">
        <f t="shared" si="2"/>
        <v>1</v>
      </c>
      <c r="I14">
        <f t="shared" si="2"/>
        <v>1</v>
      </c>
      <c r="J14">
        <f t="shared" si="2"/>
        <v>1</v>
      </c>
      <c r="K14">
        <f t="shared" si="2"/>
        <v>1</v>
      </c>
      <c r="L14">
        <f t="shared" si="2"/>
        <v>1</v>
      </c>
      <c r="M14">
        <f t="shared" si="2"/>
        <v>1</v>
      </c>
      <c r="N14">
        <f t="shared" si="2"/>
        <v>1</v>
      </c>
      <c r="O14">
        <f t="shared" si="2"/>
        <v>1</v>
      </c>
      <c r="P14">
        <f t="shared" si="2"/>
        <v>1</v>
      </c>
      <c r="Q14">
        <f t="shared" si="2"/>
        <v>1</v>
      </c>
      <c r="R14">
        <f t="shared" si="2"/>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Energy'!H69</f>
        <v>1</v>
      </c>
      <c r="C15">
        <f t="shared" si="2"/>
        <v>1</v>
      </c>
      <c r="D15">
        <f t="shared" si="2"/>
        <v>1</v>
      </c>
      <c r="E15">
        <f t="shared" si="2"/>
        <v>1</v>
      </c>
      <c r="F15">
        <f t="shared" si="2"/>
        <v>1</v>
      </c>
      <c r="G15">
        <f t="shared" si="2"/>
        <v>1</v>
      </c>
      <c r="H15">
        <f t="shared" si="2"/>
        <v>1</v>
      </c>
      <c r="I15">
        <f t="shared" si="2"/>
        <v>1</v>
      </c>
      <c r="J15">
        <f t="shared" si="2"/>
        <v>1</v>
      </c>
      <c r="K15">
        <f t="shared" si="2"/>
        <v>1</v>
      </c>
      <c r="L15">
        <f t="shared" si="2"/>
        <v>1</v>
      </c>
      <c r="M15">
        <f t="shared" si="2"/>
        <v>1</v>
      </c>
      <c r="N15">
        <f t="shared" si="2"/>
        <v>1</v>
      </c>
      <c r="O15">
        <f t="shared" si="2"/>
        <v>1</v>
      </c>
      <c r="P15">
        <f t="shared" si="2"/>
        <v>1</v>
      </c>
      <c r="Q15">
        <f t="shared" si="2"/>
        <v>1</v>
      </c>
      <c r="R15">
        <f t="shared" si="2"/>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Energy'!H70</f>
        <v>1</v>
      </c>
      <c r="C16">
        <f t="shared" si="2"/>
        <v>1</v>
      </c>
      <c r="D16">
        <f t="shared" si="2"/>
        <v>1</v>
      </c>
      <c r="E16">
        <f t="shared" si="2"/>
        <v>1</v>
      </c>
      <c r="F16">
        <f t="shared" si="2"/>
        <v>1</v>
      </c>
      <c r="G16">
        <f t="shared" si="2"/>
        <v>1</v>
      </c>
      <c r="H16">
        <f t="shared" si="2"/>
        <v>1</v>
      </c>
      <c r="I16">
        <f t="shared" si="2"/>
        <v>1</v>
      </c>
      <c r="J16">
        <f t="shared" si="2"/>
        <v>1</v>
      </c>
      <c r="K16">
        <f t="shared" si="2"/>
        <v>1</v>
      </c>
      <c r="L16">
        <f t="shared" si="2"/>
        <v>1</v>
      </c>
      <c r="M16">
        <f t="shared" si="2"/>
        <v>1</v>
      </c>
      <c r="N16">
        <f t="shared" si="2"/>
        <v>1</v>
      </c>
      <c r="O16">
        <f t="shared" si="2"/>
        <v>1</v>
      </c>
      <c r="P16">
        <f t="shared" si="2"/>
        <v>1</v>
      </c>
      <c r="Q16">
        <f t="shared" si="2"/>
        <v>1</v>
      </c>
      <c r="R16">
        <f t="shared" si="2"/>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Energy'!H71</f>
        <v>1</v>
      </c>
      <c r="C17">
        <f t="shared" si="2"/>
        <v>1</v>
      </c>
      <c r="D17">
        <f t="shared" si="2"/>
        <v>1</v>
      </c>
      <c r="E17">
        <f t="shared" si="2"/>
        <v>1</v>
      </c>
      <c r="F17">
        <f t="shared" si="2"/>
        <v>1</v>
      </c>
      <c r="G17">
        <f t="shared" si="2"/>
        <v>1</v>
      </c>
      <c r="H17">
        <f t="shared" si="2"/>
        <v>1</v>
      </c>
      <c r="I17">
        <f t="shared" si="2"/>
        <v>1</v>
      </c>
      <c r="J17">
        <f t="shared" si="2"/>
        <v>1</v>
      </c>
      <c r="K17">
        <f t="shared" si="2"/>
        <v>1</v>
      </c>
      <c r="L17">
        <f t="shared" si="2"/>
        <v>1</v>
      </c>
      <c r="M17">
        <f t="shared" si="2"/>
        <v>1</v>
      </c>
      <c r="N17">
        <f t="shared" si="2"/>
        <v>1</v>
      </c>
      <c r="O17">
        <f t="shared" si="2"/>
        <v>1</v>
      </c>
      <c r="P17">
        <f t="shared" si="2"/>
        <v>1</v>
      </c>
      <c r="Q17">
        <f t="shared" si="2"/>
        <v>1</v>
      </c>
      <c r="R17">
        <f t="shared" si="2"/>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Energy'!H72</f>
        <v>1</v>
      </c>
      <c r="C18">
        <f t="shared" si="2"/>
        <v>1</v>
      </c>
      <c r="D18">
        <f t="shared" si="2"/>
        <v>1</v>
      </c>
      <c r="E18">
        <f t="shared" si="2"/>
        <v>1</v>
      </c>
      <c r="F18">
        <f t="shared" si="2"/>
        <v>1</v>
      </c>
      <c r="G18">
        <f t="shared" si="2"/>
        <v>1</v>
      </c>
      <c r="H18">
        <f t="shared" si="2"/>
        <v>1</v>
      </c>
      <c r="I18">
        <f t="shared" si="2"/>
        <v>1</v>
      </c>
      <c r="J18">
        <f t="shared" si="2"/>
        <v>1</v>
      </c>
      <c r="K18">
        <f t="shared" si="2"/>
        <v>1</v>
      </c>
      <c r="L18">
        <f t="shared" si="2"/>
        <v>1</v>
      </c>
      <c r="M18">
        <f t="shared" si="2"/>
        <v>1</v>
      </c>
      <c r="N18">
        <f t="shared" si="2"/>
        <v>1</v>
      </c>
      <c r="O18">
        <f t="shared" si="2"/>
        <v>1</v>
      </c>
      <c r="P18">
        <f t="shared" si="2"/>
        <v>1</v>
      </c>
      <c r="Q18">
        <f t="shared" si="2"/>
        <v>1</v>
      </c>
      <c r="R18">
        <f t="shared" si="2"/>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si="3"/>
        <v>1</v>
      </c>
      <c r="AH18">
        <f t="shared" si="3"/>
        <v>1</v>
      </c>
      <c r="AI18">
        <f t="shared" si="3"/>
        <v>1</v>
      </c>
      <c r="AJ18">
        <f t="shared" si="3"/>
        <v>1</v>
      </c>
      <c r="AK18">
        <f t="shared" si="3"/>
        <v>1</v>
      </c>
      <c r="AL18">
        <f t="shared" si="3"/>
        <v>1</v>
      </c>
      <c r="AM18">
        <f t="shared" si="3"/>
        <v>1</v>
      </c>
      <c r="AN18">
        <f t="shared" si="3"/>
        <v>1</v>
      </c>
      <c r="AO18">
        <f t="shared" si="3"/>
        <v>1</v>
      </c>
      <c r="AP18">
        <f t="shared" ref="AP18:AP23" si="4">$B18</f>
        <v>1</v>
      </c>
    </row>
    <row r="19" spans="1:42" x14ac:dyDescent="0.2">
      <c r="A19" t="s">
        <v>390</v>
      </c>
      <c r="B19">
        <f>'Start Year Energy'!H73</f>
        <v>1</v>
      </c>
      <c r="C19">
        <f t="shared" si="2"/>
        <v>1</v>
      </c>
      <c r="D19">
        <f t="shared" si="2"/>
        <v>1</v>
      </c>
      <c r="E19">
        <f t="shared" si="2"/>
        <v>1</v>
      </c>
      <c r="F19">
        <f t="shared" si="2"/>
        <v>1</v>
      </c>
      <c r="G19">
        <f t="shared" si="2"/>
        <v>1</v>
      </c>
      <c r="H19">
        <f t="shared" si="2"/>
        <v>1</v>
      </c>
      <c r="I19">
        <f t="shared" si="2"/>
        <v>1</v>
      </c>
      <c r="J19">
        <f t="shared" si="2"/>
        <v>1</v>
      </c>
      <c r="K19">
        <f t="shared" si="2"/>
        <v>1</v>
      </c>
      <c r="L19">
        <f t="shared" si="2"/>
        <v>1</v>
      </c>
      <c r="M19">
        <f t="shared" si="2"/>
        <v>1</v>
      </c>
      <c r="N19">
        <f t="shared" si="2"/>
        <v>1</v>
      </c>
      <c r="O19">
        <f t="shared" si="2"/>
        <v>1</v>
      </c>
      <c r="P19">
        <f t="shared" si="2"/>
        <v>1</v>
      </c>
      <c r="Q19">
        <f t="shared" si="2"/>
        <v>1</v>
      </c>
      <c r="R19">
        <f t="shared" si="2"/>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3"/>
        <v>1</v>
      </c>
      <c r="AH19">
        <f t="shared" si="3"/>
        <v>1</v>
      </c>
      <c r="AI19">
        <f t="shared" si="3"/>
        <v>1</v>
      </c>
      <c r="AJ19">
        <f t="shared" si="3"/>
        <v>1</v>
      </c>
      <c r="AK19">
        <f t="shared" si="3"/>
        <v>1</v>
      </c>
      <c r="AL19">
        <f t="shared" si="3"/>
        <v>1</v>
      </c>
      <c r="AM19">
        <f t="shared" si="3"/>
        <v>1</v>
      </c>
      <c r="AN19">
        <f t="shared" si="3"/>
        <v>1</v>
      </c>
      <c r="AO19">
        <f t="shared" si="3"/>
        <v>1</v>
      </c>
      <c r="AP19">
        <f t="shared" si="4"/>
        <v>1</v>
      </c>
    </row>
    <row r="20" spans="1:42" x14ac:dyDescent="0.2">
      <c r="A20" t="s">
        <v>391</v>
      </c>
      <c r="B20">
        <f>'Start Year Energy'!H74</f>
        <v>1</v>
      </c>
      <c r="C20">
        <f t="shared" si="2"/>
        <v>1</v>
      </c>
      <c r="D20">
        <f t="shared" si="2"/>
        <v>1</v>
      </c>
      <c r="E20">
        <f t="shared" si="2"/>
        <v>1</v>
      </c>
      <c r="F20">
        <f t="shared" si="2"/>
        <v>1</v>
      </c>
      <c r="G20">
        <f t="shared" si="2"/>
        <v>1</v>
      </c>
      <c r="H20">
        <f t="shared" si="2"/>
        <v>1</v>
      </c>
      <c r="I20">
        <f t="shared" si="2"/>
        <v>1</v>
      </c>
      <c r="J20">
        <f t="shared" si="2"/>
        <v>1</v>
      </c>
      <c r="K20">
        <f t="shared" si="2"/>
        <v>1</v>
      </c>
      <c r="L20">
        <f t="shared" si="2"/>
        <v>1</v>
      </c>
      <c r="M20">
        <f t="shared" si="2"/>
        <v>1</v>
      </c>
      <c r="N20">
        <f t="shared" si="2"/>
        <v>1</v>
      </c>
      <c r="O20">
        <f t="shared" si="2"/>
        <v>1</v>
      </c>
      <c r="P20">
        <f t="shared" si="2"/>
        <v>1</v>
      </c>
      <c r="Q20">
        <f t="shared" si="2"/>
        <v>1</v>
      </c>
      <c r="R20">
        <f t="shared" si="2"/>
        <v>1</v>
      </c>
      <c r="S20">
        <f t="shared" si="3"/>
        <v>1</v>
      </c>
      <c r="T20">
        <f t="shared" si="3"/>
        <v>1</v>
      </c>
      <c r="U20">
        <f t="shared" si="3"/>
        <v>1</v>
      </c>
      <c r="V20">
        <f t="shared" si="3"/>
        <v>1</v>
      </c>
      <c r="W20">
        <f t="shared" si="3"/>
        <v>1</v>
      </c>
      <c r="X20">
        <f t="shared" si="3"/>
        <v>1</v>
      </c>
      <c r="Y20">
        <f t="shared" si="3"/>
        <v>1</v>
      </c>
      <c r="Z20">
        <f t="shared" si="3"/>
        <v>1</v>
      </c>
      <c r="AA20">
        <f t="shared" si="3"/>
        <v>1</v>
      </c>
      <c r="AB20">
        <f t="shared" si="3"/>
        <v>1</v>
      </c>
      <c r="AC20">
        <f t="shared" si="3"/>
        <v>1</v>
      </c>
      <c r="AD20">
        <f t="shared" si="3"/>
        <v>1</v>
      </c>
      <c r="AE20">
        <f t="shared" si="3"/>
        <v>1</v>
      </c>
      <c r="AF20">
        <f t="shared" si="3"/>
        <v>1</v>
      </c>
      <c r="AG20">
        <f t="shared" si="3"/>
        <v>1</v>
      </c>
      <c r="AH20">
        <f t="shared" si="3"/>
        <v>1</v>
      </c>
      <c r="AI20">
        <f t="shared" si="3"/>
        <v>1</v>
      </c>
      <c r="AJ20">
        <f t="shared" si="3"/>
        <v>1</v>
      </c>
      <c r="AK20">
        <f t="shared" si="3"/>
        <v>1</v>
      </c>
      <c r="AL20">
        <f t="shared" si="3"/>
        <v>1</v>
      </c>
      <c r="AM20">
        <f t="shared" si="3"/>
        <v>1</v>
      </c>
      <c r="AN20">
        <f t="shared" si="3"/>
        <v>1</v>
      </c>
      <c r="AO20">
        <f t="shared" si="3"/>
        <v>1</v>
      </c>
      <c r="AP20">
        <f t="shared" si="4"/>
        <v>1</v>
      </c>
    </row>
    <row r="21" spans="1:42" x14ac:dyDescent="0.2">
      <c r="A21" t="s">
        <v>392</v>
      </c>
      <c r="B21">
        <f>'Start Year Energy'!H75</f>
        <v>1</v>
      </c>
      <c r="C21">
        <f t="shared" si="2"/>
        <v>1</v>
      </c>
      <c r="D21">
        <f t="shared" si="2"/>
        <v>1</v>
      </c>
      <c r="E21">
        <f t="shared" si="2"/>
        <v>1</v>
      </c>
      <c r="F21">
        <f t="shared" si="2"/>
        <v>1</v>
      </c>
      <c r="G21">
        <f t="shared" si="2"/>
        <v>1</v>
      </c>
      <c r="H21">
        <f t="shared" si="2"/>
        <v>1</v>
      </c>
      <c r="I21">
        <f t="shared" si="2"/>
        <v>1</v>
      </c>
      <c r="J21">
        <f t="shared" si="2"/>
        <v>1</v>
      </c>
      <c r="K21">
        <f t="shared" si="2"/>
        <v>1</v>
      </c>
      <c r="L21">
        <f t="shared" si="2"/>
        <v>1</v>
      </c>
      <c r="M21">
        <f t="shared" si="2"/>
        <v>1</v>
      </c>
      <c r="N21">
        <f t="shared" si="2"/>
        <v>1</v>
      </c>
      <c r="O21">
        <f t="shared" si="2"/>
        <v>1</v>
      </c>
      <c r="P21">
        <f t="shared" si="2"/>
        <v>1</v>
      </c>
      <c r="Q21">
        <f t="shared" si="2"/>
        <v>1</v>
      </c>
      <c r="R21">
        <f t="shared" si="2"/>
        <v>1</v>
      </c>
      <c r="S21">
        <f t="shared" si="3"/>
        <v>1</v>
      </c>
      <c r="T21">
        <f t="shared" si="3"/>
        <v>1</v>
      </c>
      <c r="U21">
        <f t="shared" si="3"/>
        <v>1</v>
      </c>
      <c r="V21">
        <f t="shared" si="3"/>
        <v>1</v>
      </c>
      <c r="W21">
        <f t="shared" si="3"/>
        <v>1</v>
      </c>
      <c r="X21">
        <f t="shared" si="3"/>
        <v>1</v>
      </c>
      <c r="Y21">
        <f t="shared" si="3"/>
        <v>1</v>
      </c>
      <c r="Z21">
        <f t="shared" si="3"/>
        <v>1</v>
      </c>
      <c r="AA21">
        <f t="shared" si="3"/>
        <v>1</v>
      </c>
      <c r="AB21">
        <f t="shared" si="3"/>
        <v>1</v>
      </c>
      <c r="AC21">
        <f t="shared" si="3"/>
        <v>1</v>
      </c>
      <c r="AD21">
        <f t="shared" si="3"/>
        <v>1</v>
      </c>
      <c r="AE21">
        <f t="shared" si="3"/>
        <v>1</v>
      </c>
      <c r="AF21">
        <f t="shared" si="3"/>
        <v>1</v>
      </c>
      <c r="AG21">
        <f t="shared" si="3"/>
        <v>1</v>
      </c>
      <c r="AH21">
        <f t="shared" si="3"/>
        <v>1</v>
      </c>
      <c r="AI21">
        <f t="shared" si="3"/>
        <v>1</v>
      </c>
      <c r="AJ21">
        <f t="shared" si="3"/>
        <v>1</v>
      </c>
      <c r="AK21">
        <f t="shared" si="3"/>
        <v>1</v>
      </c>
      <c r="AL21">
        <f t="shared" si="3"/>
        <v>1</v>
      </c>
      <c r="AM21">
        <f t="shared" si="3"/>
        <v>1</v>
      </c>
      <c r="AN21">
        <f t="shared" si="3"/>
        <v>1</v>
      </c>
      <c r="AO21">
        <f t="shared" si="3"/>
        <v>1</v>
      </c>
      <c r="AP21">
        <f t="shared" si="4"/>
        <v>1</v>
      </c>
    </row>
    <row r="22" spans="1:42" x14ac:dyDescent="0.2">
      <c r="A22" t="s">
        <v>393</v>
      </c>
      <c r="B22">
        <f>'Start Year Energy'!H76</f>
        <v>1</v>
      </c>
      <c r="C22">
        <f t="shared" si="2"/>
        <v>1</v>
      </c>
      <c r="D22">
        <f t="shared" si="2"/>
        <v>1</v>
      </c>
      <c r="E22">
        <f t="shared" si="2"/>
        <v>1</v>
      </c>
      <c r="F22">
        <f t="shared" si="2"/>
        <v>1</v>
      </c>
      <c r="G22">
        <f t="shared" si="2"/>
        <v>1</v>
      </c>
      <c r="H22">
        <f t="shared" si="2"/>
        <v>1</v>
      </c>
      <c r="I22">
        <f t="shared" si="2"/>
        <v>1</v>
      </c>
      <c r="J22">
        <f t="shared" si="2"/>
        <v>1</v>
      </c>
      <c r="K22">
        <f t="shared" si="2"/>
        <v>1</v>
      </c>
      <c r="L22">
        <f t="shared" si="2"/>
        <v>1</v>
      </c>
      <c r="M22">
        <f t="shared" si="2"/>
        <v>1</v>
      </c>
      <c r="N22">
        <f t="shared" si="2"/>
        <v>1</v>
      </c>
      <c r="O22">
        <f t="shared" si="2"/>
        <v>1</v>
      </c>
      <c r="P22">
        <f t="shared" si="2"/>
        <v>1</v>
      </c>
      <c r="Q22">
        <f t="shared" si="2"/>
        <v>1</v>
      </c>
      <c r="R22">
        <f t="shared" si="2"/>
        <v>1</v>
      </c>
      <c r="S22">
        <f t="shared" si="3"/>
        <v>1</v>
      </c>
      <c r="T22">
        <f t="shared" si="3"/>
        <v>1</v>
      </c>
      <c r="U22">
        <f t="shared" si="3"/>
        <v>1</v>
      </c>
      <c r="V22">
        <f t="shared" si="3"/>
        <v>1</v>
      </c>
      <c r="W22">
        <f t="shared" si="3"/>
        <v>1</v>
      </c>
      <c r="X22">
        <f t="shared" si="3"/>
        <v>1</v>
      </c>
      <c r="Y22">
        <f t="shared" si="3"/>
        <v>1</v>
      </c>
      <c r="Z22">
        <f t="shared" si="3"/>
        <v>1</v>
      </c>
      <c r="AA22">
        <f t="shared" si="3"/>
        <v>1</v>
      </c>
      <c r="AB22">
        <f t="shared" si="3"/>
        <v>1</v>
      </c>
      <c r="AC22">
        <f t="shared" si="3"/>
        <v>1</v>
      </c>
      <c r="AD22">
        <f t="shared" si="3"/>
        <v>1</v>
      </c>
      <c r="AE22">
        <f t="shared" si="3"/>
        <v>1</v>
      </c>
      <c r="AF22">
        <f t="shared" si="3"/>
        <v>1</v>
      </c>
      <c r="AG22">
        <f t="shared" si="3"/>
        <v>1</v>
      </c>
      <c r="AH22">
        <f t="shared" si="3"/>
        <v>1</v>
      </c>
      <c r="AI22">
        <f t="shared" si="3"/>
        <v>1</v>
      </c>
      <c r="AJ22">
        <f t="shared" si="3"/>
        <v>1</v>
      </c>
      <c r="AK22">
        <f t="shared" si="3"/>
        <v>1</v>
      </c>
      <c r="AL22">
        <f t="shared" si="3"/>
        <v>1</v>
      </c>
      <c r="AM22">
        <f t="shared" si="3"/>
        <v>1</v>
      </c>
      <c r="AN22">
        <f t="shared" si="3"/>
        <v>1</v>
      </c>
      <c r="AO22">
        <f t="shared" si="3"/>
        <v>1</v>
      </c>
      <c r="AP22">
        <f t="shared" si="4"/>
        <v>1</v>
      </c>
    </row>
    <row r="23" spans="1:42" x14ac:dyDescent="0.2">
      <c r="A23" t="s">
        <v>394</v>
      </c>
      <c r="B23">
        <f>'Start Year Energy'!H77</f>
        <v>1</v>
      </c>
      <c r="C23">
        <f t="shared" si="2"/>
        <v>1</v>
      </c>
      <c r="D23">
        <f t="shared" si="2"/>
        <v>1</v>
      </c>
      <c r="E23">
        <f t="shared" si="2"/>
        <v>1</v>
      </c>
      <c r="F23">
        <f t="shared" si="2"/>
        <v>1</v>
      </c>
      <c r="G23">
        <f t="shared" si="2"/>
        <v>1</v>
      </c>
      <c r="H23">
        <f t="shared" si="2"/>
        <v>1</v>
      </c>
      <c r="I23">
        <f t="shared" si="2"/>
        <v>1</v>
      </c>
      <c r="J23">
        <f t="shared" si="2"/>
        <v>1</v>
      </c>
      <c r="K23">
        <f t="shared" si="2"/>
        <v>1</v>
      </c>
      <c r="L23">
        <f t="shared" si="2"/>
        <v>1</v>
      </c>
      <c r="M23">
        <f t="shared" si="2"/>
        <v>1</v>
      </c>
      <c r="N23">
        <f t="shared" si="2"/>
        <v>1</v>
      </c>
      <c r="O23">
        <f t="shared" si="2"/>
        <v>1</v>
      </c>
      <c r="P23">
        <f t="shared" si="2"/>
        <v>1</v>
      </c>
      <c r="Q23">
        <f t="shared" si="2"/>
        <v>1</v>
      </c>
      <c r="R23">
        <f t="shared" si="2"/>
        <v>1</v>
      </c>
      <c r="S23">
        <f t="shared" si="3"/>
        <v>1</v>
      </c>
      <c r="T23">
        <f t="shared" si="3"/>
        <v>1</v>
      </c>
      <c r="U23">
        <f t="shared" si="3"/>
        <v>1</v>
      </c>
      <c r="V23">
        <f t="shared" si="3"/>
        <v>1</v>
      </c>
      <c r="W23">
        <f t="shared" si="3"/>
        <v>1</v>
      </c>
      <c r="X23">
        <f t="shared" si="3"/>
        <v>1</v>
      </c>
      <c r="Y23">
        <f t="shared" si="3"/>
        <v>1</v>
      </c>
      <c r="Z23">
        <f t="shared" si="3"/>
        <v>1</v>
      </c>
      <c r="AA23">
        <f t="shared" si="3"/>
        <v>1</v>
      </c>
      <c r="AB23">
        <f t="shared" si="3"/>
        <v>1</v>
      </c>
      <c r="AC23">
        <f t="shared" si="3"/>
        <v>1</v>
      </c>
      <c r="AD23">
        <f t="shared" si="3"/>
        <v>1</v>
      </c>
      <c r="AE23">
        <f t="shared" si="3"/>
        <v>1</v>
      </c>
      <c r="AF23">
        <f t="shared" si="3"/>
        <v>1</v>
      </c>
      <c r="AG23">
        <f t="shared" si="3"/>
        <v>1</v>
      </c>
      <c r="AH23">
        <f t="shared" si="3"/>
        <v>1</v>
      </c>
      <c r="AI23">
        <f t="shared" si="3"/>
        <v>1</v>
      </c>
      <c r="AJ23">
        <f t="shared" si="3"/>
        <v>1</v>
      </c>
      <c r="AK23">
        <f t="shared" si="3"/>
        <v>1</v>
      </c>
      <c r="AL23">
        <f t="shared" si="3"/>
        <v>1</v>
      </c>
      <c r="AM23">
        <f t="shared" si="3"/>
        <v>1</v>
      </c>
      <c r="AN23">
        <f t="shared" si="3"/>
        <v>1</v>
      </c>
      <c r="AO23">
        <f t="shared" si="3"/>
        <v>1</v>
      </c>
      <c r="AP23">
        <f t="shared" si="4"/>
        <v>1</v>
      </c>
    </row>
    <row r="24" spans="1:42" x14ac:dyDescent="0.2">
      <c r="A24" t="s">
        <v>395</v>
      </c>
      <c r="B24">
        <f>'Start Year Energy'!H78</f>
        <v>1</v>
      </c>
      <c r="C24">
        <f t="shared" si="2"/>
        <v>1</v>
      </c>
      <c r="D24">
        <f t="shared" si="2"/>
        <v>1</v>
      </c>
      <c r="E24">
        <f t="shared" si="2"/>
        <v>1</v>
      </c>
      <c r="F24">
        <f t="shared" si="2"/>
        <v>1</v>
      </c>
      <c r="G24">
        <f t="shared" si="2"/>
        <v>1</v>
      </c>
      <c r="H24">
        <f t="shared" si="2"/>
        <v>1</v>
      </c>
      <c r="I24">
        <f t="shared" si="2"/>
        <v>1</v>
      </c>
      <c r="J24">
        <f t="shared" si="2"/>
        <v>1</v>
      </c>
      <c r="K24">
        <f t="shared" si="2"/>
        <v>1</v>
      </c>
      <c r="L24">
        <f t="shared" si="2"/>
        <v>1</v>
      </c>
      <c r="M24">
        <f t="shared" si="2"/>
        <v>1</v>
      </c>
      <c r="N24">
        <f t="shared" si="2"/>
        <v>1</v>
      </c>
      <c r="O24">
        <f t="shared" si="2"/>
        <v>1</v>
      </c>
      <c r="P24">
        <f t="shared" si="2"/>
        <v>1</v>
      </c>
      <c r="Q24">
        <f t="shared" si="2"/>
        <v>1</v>
      </c>
      <c r="R24">
        <f t="shared" si="2"/>
        <v>1</v>
      </c>
      <c r="S24">
        <f t="shared" si="3"/>
        <v>1</v>
      </c>
      <c r="T24">
        <f t="shared" si="3"/>
        <v>1</v>
      </c>
      <c r="U24">
        <f t="shared" si="3"/>
        <v>1</v>
      </c>
      <c r="V24">
        <f t="shared" si="3"/>
        <v>1</v>
      </c>
      <c r="W24">
        <f t="shared" si="3"/>
        <v>1</v>
      </c>
      <c r="X24">
        <f t="shared" si="3"/>
        <v>1</v>
      </c>
      <c r="Y24">
        <f t="shared" si="3"/>
        <v>1</v>
      </c>
      <c r="Z24">
        <f t="shared" si="3"/>
        <v>1</v>
      </c>
      <c r="AA24">
        <f t="shared" si="3"/>
        <v>1</v>
      </c>
      <c r="AB24">
        <f t="shared" si="3"/>
        <v>1</v>
      </c>
      <c r="AC24">
        <f t="shared" si="3"/>
        <v>1</v>
      </c>
      <c r="AD24">
        <f t="shared" si="3"/>
        <v>1</v>
      </c>
      <c r="AE24">
        <f t="shared" si="3"/>
        <v>1</v>
      </c>
      <c r="AF24">
        <f t="shared" ref="AF24:AP26" si="5">$B24</f>
        <v>1</v>
      </c>
      <c r="AG24">
        <f t="shared" si="5"/>
        <v>1</v>
      </c>
      <c r="AH24">
        <f t="shared" si="5"/>
        <v>1</v>
      </c>
      <c r="AI24">
        <f t="shared" si="5"/>
        <v>1</v>
      </c>
      <c r="AJ24">
        <f t="shared" si="5"/>
        <v>1</v>
      </c>
      <c r="AK24">
        <f t="shared" si="5"/>
        <v>1</v>
      </c>
      <c r="AL24">
        <f t="shared" si="5"/>
        <v>1</v>
      </c>
      <c r="AM24">
        <f t="shared" si="5"/>
        <v>1</v>
      </c>
      <c r="AN24">
        <f t="shared" si="5"/>
        <v>1</v>
      </c>
      <c r="AO24">
        <f t="shared" si="5"/>
        <v>1</v>
      </c>
      <c r="AP24">
        <f t="shared" si="5"/>
        <v>1</v>
      </c>
    </row>
    <row r="25" spans="1:42" x14ac:dyDescent="0.2">
      <c r="A25" t="s">
        <v>396</v>
      </c>
      <c r="B25">
        <f>'Start Year Energy'!H79</f>
        <v>1</v>
      </c>
      <c r="C25">
        <f t="shared" si="2"/>
        <v>1</v>
      </c>
      <c r="D25">
        <f t="shared" si="2"/>
        <v>1</v>
      </c>
      <c r="E25">
        <f t="shared" si="2"/>
        <v>1</v>
      </c>
      <c r="F25">
        <f t="shared" si="2"/>
        <v>1</v>
      </c>
      <c r="G25">
        <f t="shared" si="2"/>
        <v>1</v>
      </c>
      <c r="H25">
        <f t="shared" si="2"/>
        <v>1</v>
      </c>
      <c r="I25">
        <f t="shared" si="2"/>
        <v>1</v>
      </c>
      <c r="J25">
        <f t="shared" si="2"/>
        <v>1</v>
      </c>
      <c r="K25">
        <f t="shared" si="2"/>
        <v>1</v>
      </c>
      <c r="L25">
        <f t="shared" si="2"/>
        <v>1</v>
      </c>
      <c r="M25">
        <f t="shared" si="2"/>
        <v>1</v>
      </c>
      <c r="N25">
        <f t="shared" si="2"/>
        <v>1</v>
      </c>
      <c r="O25">
        <f t="shared" si="2"/>
        <v>1</v>
      </c>
      <c r="P25">
        <f t="shared" si="2"/>
        <v>1</v>
      </c>
      <c r="Q25">
        <f t="shared" si="2"/>
        <v>1</v>
      </c>
      <c r="R25">
        <f t="shared" si="2"/>
        <v>1</v>
      </c>
      <c r="S25">
        <f t="shared" ref="S25:AF25" si="6">$B25</f>
        <v>1</v>
      </c>
      <c r="T25">
        <f t="shared" si="6"/>
        <v>1</v>
      </c>
      <c r="U25">
        <f t="shared" si="6"/>
        <v>1</v>
      </c>
      <c r="V25">
        <f t="shared" si="6"/>
        <v>1</v>
      </c>
      <c r="W25">
        <f t="shared" si="6"/>
        <v>1</v>
      </c>
      <c r="X25">
        <f t="shared" si="6"/>
        <v>1</v>
      </c>
      <c r="Y25">
        <f t="shared" si="6"/>
        <v>1</v>
      </c>
      <c r="Z25">
        <f t="shared" si="6"/>
        <v>1</v>
      </c>
      <c r="AA25">
        <f t="shared" si="6"/>
        <v>1</v>
      </c>
      <c r="AB25">
        <f t="shared" si="6"/>
        <v>1</v>
      </c>
      <c r="AC25">
        <f t="shared" si="6"/>
        <v>1</v>
      </c>
      <c r="AD25">
        <f t="shared" si="6"/>
        <v>1</v>
      </c>
      <c r="AE25">
        <f t="shared" si="6"/>
        <v>1</v>
      </c>
      <c r="AF25">
        <f t="shared" si="6"/>
        <v>1</v>
      </c>
      <c r="AG25">
        <f t="shared" si="5"/>
        <v>1</v>
      </c>
      <c r="AH25">
        <f t="shared" si="5"/>
        <v>1</v>
      </c>
      <c r="AI25">
        <f t="shared" si="5"/>
        <v>1</v>
      </c>
      <c r="AJ25">
        <f t="shared" si="5"/>
        <v>1</v>
      </c>
      <c r="AK25">
        <f t="shared" si="5"/>
        <v>1</v>
      </c>
      <c r="AL25">
        <f t="shared" si="5"/>
        <v>1</v>
      </c>
      <c r="AM25">
        <f t="shared" si="5"/>
        <v>1</v>
      </c>
      <c r="AN25">
        <f t="shared" si="5"/>
        <v>1</v>
      </c>
      <c r="AO25">
        <f t="shared" si="5"/>
        <v>1</v>
      </c>
      <c r="AP25">
        <f t="shared" si="5"/>
        <v>1</v>
      </c>
    </row>
    <row r="26" spans="1:42" x14ac:dyDescent="0.2">
      <c r="A26" t="s">
        <v>397</v>
      </c>
      <c r="B26">
        <f>'Start Year Energy'!H80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4FB1-0AB7-4092-B899-8EBFFFE5950A}">
  <sheetPr codeName="Sheet24">
    <tabColor theme="4"/>
  </sheetPr>
  <dimension ref="A1:AP26"/>
  <sheetViews>
    <sheetView workbookViewId="0">
      <selection activeCell="A2" sqref="A2:XFD26"/>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Energy'!B56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Energy'!B57</f>
        <v>1</v>
      </c>
      <c r="C3">
        <f t="shared" ref="C3:R26" si="2">$B3</f>
        <v>1</v>
      </c>
      <c r="D3">
        <f t="shared" si="2"/>
        <v>1</v>
      </c>
      <c r="E3">
        <f t="shared" si="2"/>
        <v>1</v>
      </c>
      <c r="F3">
        <f t="shared" si="2"/>
        <v>1</v>
      </c>
      <c r="G3">
        <f t="shared" si="2"/>
        <v>1</v>
      </c>
      <c r="H3">
        <f t="shared" si="2"/>
        <v>1</v>
      </c>
      <c r="I3">
        <f t="shared" si="2"/>
        <v>1</v>
      </c>
      <c r="J3">
        <f t="shared" si="2"/>
        <v>1</v>
      </c>
      <c r="K3">
        <f t="shared" si="2"/>
        <v>1</v>
      </c>
      <c r="L3">
        <f t="shared" si="2"/>
        <v>1</v>
      </c>
      <c r="M3">
        <f t="shared" si="2"/>
        <v>1</v>
      </c>
      <c r="N3">
        <f t="shared" si="2"/>
        <v>1</v>
      </c>
      <c r="O3">
        <f t="shared" si="2"/>
        <v>1</v>
      </c>
      <c r="P3">
        <f t="shared" si="2"/>
        <v>1</v>
      </c>
      <c r="Q3">
        <f t="shared" si="2"/>
        <v>1</v>
      </c>
      <c r="R3">
        <f t="shared" si="2"/>
        <v>1</v>
      </c>
      <c r="S3">
        <f t="shared" si="0"/>
        <v>1</v>
      </c>
      <c r="T3">
        <f t="shared" si="0"/>
        <v>1</v>
      </c>
      <c r="U3">
        <f t="shared" si="0"/>
        <v>1</v>
      </c>
      <c r="V3">
        <f t="shared" si="0"/>
        <v>1</v>
      </c>
      <c r="W3">
        <f t="shared" si="0"/>
        <v>1</v>
      </c>
      <c r="X3">
        <f t="shared" si="0"/>
        <v>1</v>
      </c>
      <c r="Y3">
        <f t="shared" si="0"/>
        <v>1</v>
      </c>
      <c r="Z3">
        <f t="shared" si="0"/>
        <v>1</v>
      </c>
      <c r="AA3">
        <f t="shared" si="0"/>
        <v>1</v>
      </c>
      <c r="AB3">
        <f t="shared" si="0"/>
        <v>1</v>
      </c>
      <c r="AC3">
        <f t="shared" si="0"/>
        <v>1</v>
      </c>
      <c r="AD3">
        <f t="shared" si="0"/>
        <v>1</v>
      </c>
      <c r="AE3">
        <f t="shared" si="0"/>
        <v>1</v>
      </c>
      <c r="AF3">
        <f t="shared" si="0"/>
        <v>1</v>
      </c>
      <c r="AG3">
        <f t="shared" si="1"/>
        <v>1</v>
      </c>
      <c r="AH3">
        <f t="shared" si="1"/>
        <v>1</v>
      </c>
      <c r="AI3">
        <f t="shared" si="1"/>
        <v>1</v>
      </c>
      <c r="AJ3">
        <f t="shared" si="1"/>
        <v>1</v>
      </c>
      <c r="AK3">
        <f t="shared" si="1"/>
        <v>1</v>
      </c>
      <c r="AL3">
        <f t="shared" si="1"/>
        <v>1</v>
      </c>
      <c r="AM3">
        <f t="shared" si="1"/>
        <v>1</v>
      </c>
      <c r="AN3">
        <f t="shared" si="1"/>
        <v>1</v>
      </c>
      <c r="AO3">
        <f t="shared" si="1"/>
        <v>1</v>
      </c>
      <c r="AP3">
        <f t="shared" si="1"/>
        <v>1</v>
      </c>
    </row>
    <row r="4" spans="1:42" x14ac:dyDescent="0.2">
      <c r="A4" t="s">
        <v>375</v>
      </c>
      <c r="B4">
        <f>'Start Year Energy'!B58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Energy'!B59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Energy'!B60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Energy'!B61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Energy'!B62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Energy'!B63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Energy'!B64</f>
        <v>1</v>
      </c>
      <c r="C10">
        <f t="shared" si="2"/>
        <v>1</v>
      </c>
      <c r="D10">
        <f t="shared" si="0"/>
        <v>1</v>
      </c>
      <c r="E10">
        <f t="shared" si="0"/>
        <v>1</v>
      </c>
      <c r="F10">
        <f t="shared" si="0"/>
        <v>1</v>
      </c>
      <c r="G10">
        <f t="shared" si="0"/>
        <v>1</v>
      </c>
      <c r="H10">
        <f t="shared" si="0"/>
        <v>1</v>
      </c>
      <c r="I10">
        <f t="shared" si="0"/>
        <v>1</v>
      </c>
      <c r="J10">
        <f t="shared" si="0"/>
        <v>1</v>
      </c>
      <c r="K10">
        <f t="shared" si="0"/>
        <v>1</v>
      </c>
      <c r="L10">
        <f t="shared" si="0"/>
        <v>1</v>
      </c>
      <c r="M10">
        <f t="shared" si="0"/>
        <v>1</v>
      </c>
      <c r="N10">
        <f t="shared" si="0"/>
        <v>1</v>
      </c>
      <c r="O10">
        <f t="shared" si="0"/>
        <v>1</v>
      </c>
      <c r="P10">
        <f t="shared" si="0"/>
        <v>1</v>
      </c>
      <c r="Q10">
        <f t="shared" si="0"/>
        <v>1</v>
      </c>
      <c r="R10">
        <f t="shared" si="0"/>
        <v>1</v>
      </c>
      <c r="S10">
        <f t="shared" si="0"/>
        <v>1</v>
      </c>
      <c r="T10">
        <f t="shared" si="0"/>
        <v>1</v>
      </c>
      <c r="U10">
        <f t="shared" si="0"/>
        <v>1</v>
      </c>
      <c r="V10">
        <f t="shared" si="0"/>
        <v>1</v>
      </c>
      <c r="W10">
        <f t="shared" si="0"/>
        <v>1</v>
      </c>
      <c r="X10">
        <f t="shared" si="0"/>
        <v>1</v>
      </c>
      <c r="Y10">
        <f t="shared" si="0"/>
        <v>1</v>
      </c>
      <c r="Z10">
        <f t="shared" si="0"/>
        <v>1</v>
      </c>
      <c r="AA10">
        <f t="shared" si="0"/>
        <v>1</v>
      </c>
      <c r="AB10">
        <f t="shared" si="0"/>
        <v>1</v>
      </c>
      <c r="AC10">
        <f t="shared" si="0"/>
        <v>1</v>
      </c>
      <c r="AD10">
        <f t="shared" si="0"/>
        <v>1</v>
      </c>
      <c r="AE10">
        <f t="shared" si="0"/>
        <v>1</v>
      </c>
      <c r="AF10">
        <f t="shared" si="0"/>
        <v>1</v>
      </c>
      <c r="AG10">
        <f t="shared" si="1"/>
        <v>1</v>
      </c>
      <c r="AH10">
        <f t="shared" si="1"/>
        <v>1</v>
      </c>
      <c r="AI10">
        <f t="shared" si="1"/>
        <v>1</v>
      </c>
      <c r="AJ10">
        <f t="shared" si="1"/>
        <v>1</v>
      </c>
      <c r="AK10">
        <f t="shared" si="1"/>
        <v>1</v>
      </c>
      <c r="AL10">
        <f t="shared" si="1"/>
        <v>1</v>
      </c>
      <c r="AM10">
        <f t="shared" si="1"/>
        <v>1</v>
      </c>
      <c r="AN10">
        <f t="shared" si="1"/>
        <v>1</v>
      </c>
      <c r="AO10">
        <f t="shared" si="1"/>
        <v>1</v>
      </c>
      <c r="AP10">
        <f t="shared" si="1"/>
        <v>1</v>
      </c>
    </row>
    <row r="11" spans="1:42" x14ac:dyDescent="0.2">
      <c r="A11" t="s">
        <v>382</v>
      </c>
      <c r="B11">
        <f>'Start Year Energy'!B65</f>
        <v>1</v>
      </c>
      <c r="C11">
        <f t="shared" si="2"/>
        <v>1</v>
      </c>
      <c r="D11">
        <f t="shared" si="0"/>
        <v>1</v>
      </c>
      <c r="E11">
        <f t="shared" si="0"/>
        <v>1</v>
      </c>
      <c r="F11">
        <f t="shared" si="0"/>
        <v>1</v>
      </c>
      <c r="G11">
        <f t="shared" si="0"/>
        <v>1</v>
      </c>
      <c r="H11">
        <f t="shared" si="0"/>
        <v>1</v>
      </c>
      <c r="I11">
        <f t="shared" si="0"/>
        <v>1</v>
      </c>
      <c r="J11">
        <f t="shared" si="0"/>
        <v>1</v>
      </c>
      <c r="K11">
        <f t="shared" si="0"/>
        <v>1</v>
      </c>
      <c r="L11">
        <f t="shared" si="0"/>
        <v>1</v>
      </c>
      <c r="M11">
        <f t="shared" ref="M11:AO24" si="3">$B11</f>
        <v>1</v>
      </c>
      <c r="N11">
        <f t="shared" si="3"/>
        <v>1</v>
      </c>
      <c r="O11">
        <f t="shared" si="3"/>
        <v>1</v>
      </c>
      <c r="P11">
        <f t="shared" si="3"/>
        <v>1</v>
      </c>
      <c r="Q11">
        <f t="shared" si="3"/>
        <v>1</v>
      </c>
      <c r="R11">
        <f t="shared" si="3"/>
        <v>1</v>
      </c>
      <c r="S11">
        <f t="shared" si="3"/>
        <v>1</v>
      </c>
      <c r="T11">
        <f t="shared" si="3"/>
        <v>1</v>
      </c>
      <c r="U11">
        <f t="shared" si="3"/>
        <v>1</v>
      </c>
      <c r="V11">
        <f t="shared" si="3"/>
        <v>1</v>
      </c>
      <c r="W11">
        <f t="shared" si="3"/>
        <v>1</v>
      </c>
      <c r="X11">
        <f t="shared" si="3"/>
        <v>1</v>
      </c>
      <c r="Y11">
        <f t="shared" si="3"/>
        <v>1</v>
      </c>
      <c r="Z11">
        <f t="shared" si="3"/>
        <v>1</v>
      </c>
      <c r="AA11">
        <f t="shared" si="3"/>
        <v>1</v>
      </c>
      <c r="AB11">
        <f t="shared" si="3"/>
        <v>1</v>
      </c>
      <c r="AC11">
        <f t="shared" si="3"/>
        <v>1</v>
      </c>
      <c r="AD11">
        <f t="shared" si="3"/>
        <v>1</v>
      </c>
      <c r="AE11">
        <f t="shared" si="3"/>
        <v>1</v>
      </c>
      <c r="AF11">
        <f t="shared" si="3"/>
        <v>1</v>
      </c>
      <c r="AG11">
        <f t="shared" si="1"/>
        <v>1</v>
      </c>
      <c r="AH11">
        <f t="shared" si="1"/>
        <v>1</v>
      </c>
      <c r="AI11">
        <f t="shared" si="1"/>
        <v>1</v>
      </c>
      <c r="AJ11">
        <f t="shared" si="1"/>
        <v>1</v>
      </c>
      <c r="AK11">
        <f t="shared" si="1"/>
        <v>1</v>
      </c>
      <c r="AL11">
        <f t="shared" si="1"/>
        <v>1</v>
      </c>
      <c r="AM11">
        <f t="shared" si="1"/>
        <v>1</v>
      </c>
      <c r="AN11">
        <f t="shared" si="1"/>
        <v>1</v>
      </c>
      <c r="AO11">
        <f t="shared" si="1"/>
        <v>1</v>
      </c>
      <c r="AP11">
        <f t="shared" si="1"/>
        <v>1</v>
      </c>
    </row>
    <row r="12" spans="1:42" x14ac:dyDescent="0.2">
      <c r="A12" t="s">
        <v>383</v>
      </c>
      <c r="B12">
        <f>'Start Year Energy'!B66</f>
        <v>1</v>
      </c>
      <c r="C12">
        <f t="shared" si="2"/>
        <v>1</v>
      </c>
      <c r="D12">
        <f t="shared" si="2"/>
        <v>1</v>
      </c>
      <c r="E12">
        <f t="shared" si="2"/>
        <v>1</v>
      </c>
      <c r="F12">
        <f t="shared" si="2"/>
        <v>1</v>
      </c>
      <c r="G12">
        <f t="shared" si="2"/>
        <v>1</v>
      </c>
      <c r="H12">
        <f t="shared" si="2"/>
        <v>1</v>
      </c>
      <c r="I12">
        <f t="shared" si="2"/>
        <v>1</v>
      </c>
      <c r="J12">
        <f t="shared" si="2"/>
        <v>1</v>
      </c>
      <c r="K12">
        <f t="shared" si="2"/>
        <v>1</v>
      </c>
      <c r="L12">
        <f t="shared" si="2"/>
        <v>1</v>
      </c>
      <c r="M12">
        <f t="shared" si="2"/>
        <v>1</v>
      </c>
      <c r="N12">
        <f t="shared" si="2"/>
        <v>1</v>
      </c>
      <c r="O12">
        <f t="shared" si="2"/>
        <v>1</v>
      </c>
      <c r="P12">
        <f t="shared" si="2"/>
        <v>1</v>
      </c>
      <c r="Q12">
        <f t="shared" si="2"/>
        <v>1</v>
      </c>
      <c r="R12">
        <f t="shared" si="2"/>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Energy'!B67</f>
        <v>1</v>
      </c>
      <c r="C13">
        <f t="shared" si="2"/>
        <v>1</v>
      </c>
      <c r="D13">
        <f t="shared" si="2"/>
        <v>1</v>
      </c>
      <c r="E13">
        <f t="shared" si="2"/>
        <v>1</v>
      </c>
      <c r="F13">
        <f t="shared" si="2"/>
        <v>1</v>
      </c>
      <c r="G13">
        <f t="shared" si="2"/>
        <v>1</v>
      </c>
      <c r="H13">
        <f t="shared" si="2"/>
        <v>1</v>
      </c>
      <c r="I13">
        <f t="shared" si="2"/>
        <v>1</v>
      </c>
      <c r="J13">
        <f t="shared" si="2"/>
        <v>1</v>
      </c>
      <c r="K13">
        <f t="shared" si="2"/>
        <v>1</v>
      </c>
      <c r="L13">
        <f t="shared" si="2"/>
        <v>1</v>
      </c>
      <c r="M13">
        <f t="shared" si="2"/>
        <v>1</v>
      </c>
      <c r="N13">
        <f t="shared" si="2"/>
        <v>1</v>
      </c>
      <c r="O13">
        <f t="shared" si="2"/>
        <v>1</v>
      </c>
      <c r="P13">
        <f t="shared" si="2"/>
        <v>1</v>
      </c>
      <c r="Q13">
        <f t="shared" si="2"/>
        <v>1</v>
      </c>
      <c r="R13">
        <f t="shared" si="2"/>
        <v>1</v>
      </c>
      <c r="S13">
        <f t="shared" si="3"/>
        <v>1</v>
      </c>
      <c r="T13">
        <f t="shared" si="3"/>
        <v>1</v>
      </c>
      <c r="U13">
        <f t="shared" si="3"/>
        <v>1</v>
      </c>
      <c r="V13">
        <f t="shared" si="3"/>
        <v>1</v>
      </c>
      <c r="W13">
        <f t="shared" si="3"/>
        <v>1</v>
      </c>
      <c r="X13">
        <f t="shared" si="3"/>
        <v>1</v>
      </c>
      <c r="Y13">
        <f t="shared" si="3"/>
        <v>1</v>
      </c>
      <c r="Z13">
        <f t="shared" si="3"/>
        <v>1</v>
      </c>
      <c r="AA13">
        <f t="shared" si="3"/>
        <v>1</v>
      </c>
      <c r="AB13">
        <f t="shared" si="3"/>
        <v>1</v>
      </c>
      <c r="AC13">
        <f t="shared" si="3"/>
        <v>1</v>
      </c>
      <c r="AD13">
        <f t="shared" si="3"/>
        <v>1</v>
      </c>
      <c r="AE13">
        <f t="shared" si="3"/>
        <v>1</v>
      </c>
      <c r="AF13">
        <f t="shared" si="3"/>
        <v>1</v>
      </c>
      <c r="AG13">
        <f t="shared" si="1"/>
        <v>1</v>
      </c>
      <c r="AH13">
        <f t="shared" si="1"/>
        <v>1</v>
      </c>
      <c r="AI13">
        <f t="shared" si="1"/>
        <v>1</v>
      </c>
      <c r="AJ13">
        <f t="shared" si="1"/>
        <v>1</v>
      </c>
      <c r="AK13">
        <f t="shared" si="1"/>
        <v>1</v>
      </c>
      <c r="AL13">
        <f t="shared" si="1"/>
        <v>1</v>
      </c>
      <c r="AM13">
        <f t="shared" si="1"/>
        <v>1</v>
      </c>
      <c r="AN13">
        <f t="shared" si="1"/>
        <v>1</v>
      </c>
      <c r="AO13">
        <f t="shared" si="1"/>
        <v>1</v>
      </c>
      <c r="AP13">
        <f t="shared" si="1"/>
        <v>1</v>
      </c>
    </row>
    <row r="14" spans="1:42" x14ac:dyDescent="0.2">
      <c r="A14" t="s">
        <v>385</v>
      </c>
      <c r="B14">
        <f>'Start Year Energy'!B68</f>
        <v>1</v>
      </c>
      <c r="C14">
        <f t="shared" si="2"/>
        <v>1</v>
      </c>
      <c r="D14">
        <f t="shared" si="2"/>
        <v>1</v>
      </c>
      <c r="E14">
        <f t="shared" si="2"/>
        <v>1</v>
      </c>
      <c r="F14">
        <f t="shared" si="2"/>
        <v>1</v>
      </c>
      <c r="G14">
        <f t="shared" si="2"/>
        <v>1</v>
      </c>
      <c r="H14">
        <f t="shared" si="2"/>
        <v>1</v>
      </c>
      <c r="I14">
        <f t="shared" si="2"/>
        <v>1</v>
      </c>
      <c r="J14">
        <f t="shared" si="2"/>
        <v>1</v>
      </c>
      <c r="K14">
        <f t="shared" si="2"/>
        <v>1</v>
      </c>
      <c r="L14">
        <f t="shared" si="2"/>
        <v>1</v>
      </c>
      <c r="M14">
        <f t="shared" si="2"/>
        <v>1</v>
      </c>
      <c r="N14">
        <f t="shared" si="2"/>
        <v>1</v>
      </c>
      <c r="O14">
        <f t="shared" si="2"/>
        <v>1</v>
      </c>
      <c r="P14">
        <f t="shared" si="2"/>
        <v>1</v>
      </c>
      <c r="Q14">
        <f t="shared" si="2"/>
        <v>1</v>
      </c>
      <c r="R14">
        <f t="shared" si="2"/>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Energy'!B69</f>
        <v>1</v>
      </c>
      <c r="C15">
        <f t="shared" si="2"/>
        <v>1</v>
      </c>
      <c r="D15">
        <f t="shared" si="2"/>
        <v>1</v>
      </c>
      <c r="E15">
        <f t="shared" si="2"/>
        <v>1</v>
      </c>
      <c r="F15">
        <f t="shared" si="2"/>
        <v>1</v>
      </c>
      <c r="G15">
        <f t="shared" si="2"/>
        <v>1</v>
      </c>
      <c r="H15">
        <f t="shared" si="2"/>
        <v>1</v>
      </c>
      <c r="I15">
        <f t="shared" si="2"/>
        <v>1</v>
      </c>
      <c r="J15">
        <f t="shared" si="2"/>
        <v>1</v>
      </c>
      <c r="K15">
        <f t="shared" si="2"/>
        <v>1</v>
      </c>
      <c r="L15">
        <f t="shared" si="2"/>
        <v>1</v>
      </c>
      <c r="M15">
        <f t="shared" si="2"/>
        <v>1</v>
      </c>
      <c r="N15">
        <f t="shared" si="2"/>
        <v>1</v>
      </c>
      <c r="O15">
        <f t="shared" si="2"/>
        <v>1</v>
      </c>
      <c r="P15">
        <f t="shared" si="2"/>
        <v>1</v>
      </c>
      <c r="Q15">
        <f t="shared" si="2"/>
        <v>1</v>
      </c>
      <c r="R15">
        <f t="shared" si="2"/>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Energy'!B70</f>
        <v>1</v>
      </c>
      <c r="C16">
        <f t="shared" si="2"/>
        <v>1</v>
      </c>
      <c r="D16">
        <f t="shared" si="2"/>
        <v>1</v>
      </c>
      <c r="E16">
        <f t="shared" si="2"/>
        <v>1</v>
      </c>
      <c r="F16">
        <f t="shared" si="2"/>
        <v>1</v>
      </c>
      <c r="G16">
        <f t="shared" si="2"/>
        <v>1</v>
      </c>
      <c r="H16">
        <f t="shared" si="2"/>
        <v>1</v>
      </c>
      <c r="I16">
        <f t="shared" si="2"/>
        <v>1</v>
      </c>
      <c r="J16">
        <f t="shared" si="2"/>
        <v>1</v>
      </c>
      <c r="K16">
        <f t="shared" si="2"/>
        <v>1</v>
      </c>
      <c r="L16">
        <f t="shared" si="2"/>
        <v>1</v>
      </c>
      <c r="M16">
        <f t="shared" si="2"/>
        <v>1</v>
      </c>
      <c r="N16">
        <f t="shared" si="2"/>
        <v>1</v>
      </c>
      <c r="O16">
        <f t="shared" si="2"/>
        <v>1</v>
      </c>
      <c r="P16">
        <f t="shared" si="2"/>
        <v>1</v>
      </c>
      <c r="Q16">
        <f t="shared" si="2"/>
        <v>1</v>
      </c>
      <c r="R16">
        <f t="shared" si="2"/>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Energy'!B71</f>
        <v>1</v>
      </c>
      <c r="C17">
        <f t="shared" si="2"/>
        <v>1</v>
      </c>
      <c r="D17">
        <f t="shared" si="2"/>
        <v>1</v>
      </c>
      <c r="E17">
        <f t="shared" si="2"/>
        <v>1</v>
      </c>
      <c r="F17">
        <f t="shared" si="2"/>
        <v>1</v>
      </c>
      <c r="G17">
        <f t="shared" si="2"/>
        <v>1</v>
      </c>
      <c r="H17">
        <f t="shared" si="2"/>
        <v>1</v>
      </c>
      <c r="I17">
        <f t="shared" si="2"/>
        <v>1</v>
      </c>
      <c r="J17">
        <f t="shared" si="2"/>
        <v>1</v>
      </c>
      <c r="K17">
        <f t="shared" si="2"/>
        <v>1</v>
      </c>
      <c r="L17">
        <f t="shared" si="2"/>
        <v>1</v>
      </c>
      <c r="M17">
        <f t="shared" si="2"/>
        <v>1</v>
      </c>
      <c r="N17">
        <f t="shared" si="2"/>
        <v>1</v>
      </c>
      <c r="O17">
        <f t="shared" si="2"/>
        <v>1</v>
      </c>
      <c r="P17">
        <f t="shared" si="2"/>
        <v>1</v>
      </c>
      <c r="Q17">
        <f t="shared" si="2"/>
        <v>1</v>
      </c>
      <c r="R17">
        <f t="shared" si="2"/>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Energy'!B72</f>
        <v>1</v>
      </c>
      <c r="C18">
        <f t="shared" si="2"/>
        <v>1</v>
      </c>
      <c r="D18">
        <f t="shared" si="2"/>
        <v>1</v>
      </c>
      <c r="E18">
        <f t="shared" si="2"/>
        <v>1</v>
      </c>
      <c r="F18">
        <f t="shared" si="2"/>
        <v>1</v>
      </c>
      <c r="G18">
        <f t="shared" si="2"/>
        <v>1</v>
      </c>
      <c r="H18">
        <f t="shared" si="2"/>
        <v>1</v>
      </c>
      <c r="I18">
        <f t="shared" si="2"/>
        <v>1</v>
      </c>
      <c r="J18">
        <f t="shared" si="2"/>
        <v>1</v>
      </c>
      <c r="K18">
        <f t="shared" si="2"/>
        <v>1</v>
      </c>
      <c r="L18">
        <f t="shared" si="2"/>
        <v>1</v>
      </c>
      <c r="M18">
        <f t="shared" si="2"/>
        <v>1</v>
      </c>
      <c r="N18">
        <f t="shared" si="2"/>
        <v>1</v>
      </c>
      <c r="O18">
        <f t="shared" si="2"/>
        <v>1</v>
      </c>
      <c r="P18">
        <f t="shared" si="2"/>
        <v>1</v>
      </c>
      <c r="Q18">
        <f t="shared" si="2"/>
        <v>1</v>
      </c>
      <c r="R18">
        <f t="shared" si="2"/>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si="3"/>
        <v>1</v>
      </c>
      <c r="AH18">
        <f t="shared" si="3"/>
        <v>1</v>
      </c>
      <c r="AI18">
        <f t="shared" si="3"/>
        <v>1</v>
      </c>
      <c r="AJ18">
        <f t="shared" si="3"/>
        <v>1</v>
      </c>
      <c r="AK18">
        <f t="shared" si="3"/>
        <v>1</v>
      </c>
      <c r="AL18">
        <f t="shared" si="3"/>
        <v>1</v>
      </c>
      <c r="AM18">
        <f t="shared" si="3"/>
        <v>1</v>
      </c>
      <c r="AN18">
        <f t="shared" si="3"/>
        <v>1</v>
      </c>
      <c r="AO18">
        <f t="shared" si="3"/>
        <v>1</v>
      </c>
      <c r="AP18">
        <f t="shared" ref="AP18:AP23" si="4">$B18</f>
        <v>1</v>
      </c>
    </row>
    <row r="19" spans="1:42" x14ac:dyDescent="0.2">
      <c r="A19" t="s">
        <v>390</v>
      </c>
      <c r="B19">
        <f>'Start Year Energy'!B73</f>
        <v>1</v>
      </c>
      <c r="C19">
        <f t="shared" si="2"/>
        <v>1</v>
      </c>
      <c r="D19">
        <f t="shared" si="2"/>
        <v>1</v>
      </c>
      <c r="E19">
        <f t="shared" si="2"/>
        <v>1</v>
      </c>
      <c r="F19">
        <f t="shared" si="2"/>
        <v>1</v>
      </c>
      <c r="G19">
        <f t="shared" si="2"/>
        <v>1</v>
      </c>
      <c r="H19">
        <f t="shared" si="2"/>
        <v>1</v>
      </c>
      <c r="I19">
        <f t="shared" si="2"/>
        <v>1</v>
      </c>
      <c r="J19">
        <f t="shared" si="2"/>
        <v>1</v>
      </c>
      <c r="K19">
        <f t="shared" si="2"/>
        <v>1</v>
      </c>
      <c r="L19">
        <f t="shared" si="2"/>
        <v>1</v>
      </c>
      <c r="M19">
        <f t="shared" si="2"/>
        <v>1</v>
      </c>
      <c r="N19">
        <f t="shared" si="2"/>
        <v>1</v>
      </c>
      <c r="O19">
        <f t="shared" si="2"/>
        <v>1</v>
      </c>
      <c r="P19">
        <f t="shared" si="2"/>
        <v>1</v>
      </c>
      <c r="Q19">
        <f t="shared" si="2"/>
        <v>1</v>
      </c>
      <c r="R19">
        <f t="shared" si="2"/>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3"/>
        <v>1</v>
      </c>
      <c r="AH19">
        <f t="shared" si="3"/>
        <v>1</v>
      </c>
      <c r="AI19">
        <f t="shared" si="3"/>
        <v>1</v>
      </c>
      <c r="AJ19">
        <f t="shared" si="3"/>
        <v>1</v>
      </c>
      <c r="AK19">
        <f t="shared" si="3"/>
        <v>1</v>
      </c>
      <c r="AL19">
        <f t="shared" si="3"/>
        <v>1</v>
      </c>
      <c r="AM19">
        <f t="shared" si="3"/>
        <v>1</v>
      </c>
      <c r="AN19">
        <f t="shared" si="3"/>
        <v>1</v>
      </c>
      <c r="AO19">
        <f t="shared" si="3"/>
        <v>1</v>
      </c>
      <c r="AP19">
        <f t="shared" si="4"/>
        <v>1</v>
      </c>
    </row>
    <row r="20" spans="1:42" x14ac:dyDescent="0.2">
      <c r="A20" t="s">
        <v>391</v>
      </c>
      <c r="B20">
        <f>'Start Year Energy'!B74</f>
        <v>1</v>
      </c>
      <c r="C20">
        <f t="shared" si="2"/>
        <v>1</v>
      </c>
      <c r="D20">
        <f t="shared" si="2"/>
        <v>1</v>
      </c>
      <c r="E20">
        <f t="shared" si="2"/>
        <v>1</v>
      </c>
      <c r="F20">
        <f t="shared" si="2"/>
        <v>1</v>
      </c>
      <c r="G20">
        <f t="shared" si="2"/>
        <v>1</v>
      </c>
      <c r="H20">
        <f t="shared" si="2"/>
        <v>1</v>
      </c>
      <c r="I20">
        <f t="shared" si="2"/>
        <v>1</v>
      </c>
      <c r="J20">
        <f t="shared" si="2"/>
        <v>1</v>
      </c>
      <c r="K20">
        <f t="shared" si="2"/>
        <v>1</v>
      </c>
      <c r="L20">
        <f t="shared" si="2"/>
        <v>1</v>
      </c>
      <c r="M20">
        <f t="shared" si="2"/>
        <v>1</v>
      </c>
      <c r="N20">
        <f t="shared" si="2"/>
        <v>1</v>
      </c>
      <c r="O20">
        <f t="shared" si="2"/>
        <v>1</v>
      </c>
      <c r="P20">
        <f t="shared" si="2"/>
        <v>1</v>
      </c>
      <c r="Q20">
        <f t="shared" si="2"/>
        <v>1</v>
      </c>
      <c r="R20">
        <f t="shared" si="2"/>
        <v>1</v>
      </c>
      <c r="S20">
        <f t="shared" si="3"/>
        <v>1</v>
      </c>
      <c r="T20">
        <f t="shared" si="3"/>
        <v>1</v>
      </c>
      <c r="U20">
        <f t="shared" si="3"/>
        <v>1</v>
      </c>
      <c r="V20">
        <f t="shared" si="3"/>
        <v>1</v>
      </c>
      <c r="W20">
        <f t="shared" si="3"/>
        <v>1</v>
      </c>
      <c r="X20">
        <f t="shared" si="3"/>
        <v>1</v>
      </c>
      <c r="Y20">
        <f t="shared" si="3"/>
        <v>1</v>
      </c>
      <c r="Z20">
        <f t="shared" si="3"/>
        <v>1</v>
      </c>
      <c r="AA20">
        <f t="shared" si="3"/>
        <v>1</v>
      </c>
      <c r="AB20">
        <f t="shared" si="3"/>
        <v>1</v>
      </c>
      <c r="AC20">
        <f t="shared" si="3"/>
        <v>1</v>
      </c>
      <c r="AD20">
        <f t="shared" si="3"/>
        <v>1</v>
      </c>
      <c r="AE20">
        <f t="shared" si="3"/>
        <v>1</v>
      </c>
      <c r="AF20">
        <f t="shared" si="3"/>
        <v>1</v>
      </c>
      <c r="AG20">
        <f t="shared" si="3"/>
        <v>1</v>
      </c>
      <c r="AH20">
        <f t="shared" si="3"/>
        <v>1</v>
      </c>
      <c r="AI20">
        <f t="shared" si="3"/>
        <v>1</v>
      </c>
      <c r="AJ20">
        <f t="shared" si="3"/>
        <v>1</v>
      </c>
      <c r="AK20">
        <f t="shared" si="3"/>
        <v>1</v>
      </c>
      <c r="AL20">
        <f t="shared" si="3"/>
        <v>1</v>
      </c>
      <c r="AM20">
        <f t="shared" si="3"/>
        <v>1</v>
      </c>
      <c r="AN20">
        <f t="shared" si="3"/>
        <v>1</v>
      </c>
      <c r="AO20">
        <f t="shared" si="3"/>
        <v>1</v>
      </c>
      <c r="AP20">
        <f t="shared" si="4"/>
        <v>1</v>
      </c>
    </row>
    <row r="21" spans="1:42" x14ac:dyDescent="0.2">
      <c r="A21" t="s">
        <v>392</v>
      </c>
      <c r="B21">
        <f>'Start Year Energy'!B75</f>
        <v>1</v>
      </c>
      <c r="C21">
        <f t="shared" si="2"/>
        <v>1</v>
      </c>
      <c r="D21">
        <f t="shared" si="2"/>
        <v>1</v>
      </c>
      <c r="E21">
        <f t="shared" si="2"/>
        <v>1</v>
      </c>
      <c r="F21">
        <f t="shared" si="2"/>
        <v>1</v>
      </c>
      <c r="G21">
        <f t="shared" si="2"/>
        <v>1</v>
      </c>
      <c r="H21">
        <f t="shared" si="2"/>
        <v>1</v>
      </c>
      <c r="I21">
        <f t="shared" si="2"/>
        <v>1</v>
      </c>
      <c r="J21">
        <f t="shared" si="2"/>
        <v>1</v>
      </c>
      <c r="K21">
        <f t="shared" si="2"/>
        <v>1</v>
      </c>
      <c r="L21">
        <f t="shared" si="2"/>
        <v>1</v>
      </c>
      <c r="M21">
        <f t="shared" si="2"/>
        <v>1</v>
      </c>
      <c r="N21">
        <f t="shared" si="2"/>
        <v>1</v>
      </c>
      <c r="O21">
        <f t="shared" si="2"/>
        <v>1</v>
      </c>
      <c r="P21">
        <f t="shared" si="2"/>
        <v>1</v>
      </c>
      <c r="Q21">
        <f t="shared" si="2"/>
        <v>1</v>
      </c>
      <c r="R21">
        <f t="shared" si="2"/>
        <v>1</v>
      </c>
      <c r="S21">
        <f t="shared" si="3"/>
        <v>1</v>
      </c>
      <c r="T21">
        <f t="shared" si="3"/>
        <v>1</v>
      </c>
      <c r="U21">
        <f t="shared" si="3"/>
        <v>1</v>
      </c>
      <c r="V21">
        <f t="shared" si="3"/>
        <v>1</v>
      </c>
      <c r="W21">
        <f t="shared" si="3"/>
        <v>1</v>
      </c>
      <c r="X21">
        <f t="shared" si="3"/>
        <v>1</v>
      </c>
      <c r="Y21">
        <f t="shared" si="3"/>
        <v>1</v>
      </c>
      <c r="Z21">
        <f t="shared" si="3"/>
        <v>1</v>
      </c>
      <c r="AA21">
        <f t="shared" si="3"/>
        <v>1</v>
      </c>
      <c r="AB21">
        <f t="shared" si="3"/>
        <v>1</v>
      </c>
      <c r="AC21">
        <f t="shared" si="3"/>
        <v>1</v>
      </c>
      <c r="AD21">
        <f t="shared" si="3"/>
        <v>1</v>
      </c>
      <c r="AE21">
        <f t="shared" si="3"/>
        <v>1</v>
      </c>
      <c r="AF21">
        <f t="shared" si="3"/>
        <v>1</v>
      </c>
      <c r="AG21">
        <f t="shared" si="3"/>
        <v>1</v>
      </c>
      <c r="AH21">
        <f t="shared" si="3"/>
        <v>1</v>
      </c>
      <c r="AI21">
        <f t="shared" si="3"/>
        <v>1</v>
      </c>
      <c r="AJ21">
        <f t="shared" si="3"/>
        <v>1</v>
      </c>
      <c r="AK21">
        <f t="shared" si="3"/>
        <v>1</v>
      </c>
      <c r="AL21">
        <f t="shared" si="3"/>
        <v>1</v>
      </c>
      <c r="AM21">
        <f t="shared" si="3"/>
        <v>1</v>
      </c>
      <c r="AN21">
        <f t="shared" si="3"/>
        <v>1</v>
      </c>
      <c r="AO21">
        <f t="shared" si="3"/>
        <v>1</v>
      </c>
      <c r="AP21">
        <f t="shared" si="4"/>
        <v>1</v>
      </c>
    </row>
    <row r="22" spans="1:42" x14ac:dyDescent="0.2">
      <c r="A22" t="s">
        <v>393</v>
      </c>
      <c r="B22">
        <f>'Start Year Energy'!B76</f>
        <v>1</v>
      </c>
      <c r="C22">
        <f t="shared" si="2"/>
        <v>1</v>
      </c>
      <c r="D22">
        <f t="shared" si="2"/>
        <v>1</v>
      </c>
      <c r="E22">
        <f t="shared" si="2"/>
        <v>1</v>
      </c>
      <c r="F22">
        <f t="shared" si="2"/>
        <v>1</v>
      </c>
      <c r="G22">
        <f t="shared" si="2"/>
        <v>1</v>
      </c>
      <c r="H22">
        <f t="shared" si="2"/>
        <v>1</v>
      </c>
      <c r="I22">
        <f t="shared" si="2"/>
        <v>1</v>
      </c>
      <c r="J22">
        <f t="shared" si="2"/>
        <v>1</v>
      </c>
      <c r="K22">
        <f t="shared" si="2"/>
        <v>1</v>
      </c>
      <c r="L22">
        <f t="shared" si="2"/>
        <v>1</v>
      </c>
      <c r="M22">
        <f t="shared" si="2"/>
        <v>1</v>
      </c>
      <c r="N22">
        <f t="shared" si="2"/>
        <v>1</v>
      </c>
      <c r="O22">
        <f t="shared" si="2"/>
        <v>1</v>
      </c>
      <c r="P22">
        <f t="shared" si="2"/>
        <v>1</v>
      </c>
      <c r="Q22">
        <f t="shared" si="2"/>
        <v>1</v>
      </c>
      <c r="R22">
        <f t="shared" si="2"/>
        <v>1</v>
      </c>
      <c r="S22">
        <f t="shared" si="3"/>
        <v>1</v>
      </c>
      <c r="T22">
        <f t="shared" si="3"/>
        <v>1</v>
      </c>
      <c r="U22">
        <f t="shared" si="3"/>
        <v>1</v>
      </c>
      <c r="V22">
        <f t="shared" si="3"/>
        <v>1</v>
      </c>
      <c r="W22">
        <f t="shared" si="3"/>
        <v>1</v>
      </c>
      <c r="X22">
        <f t="shared" si="3"/>
        <v>1</v>
      </c>
      <c r="Y22">
        <f t="shared" si="3"/>
        <v>1</v>
      </c>
      <c r="Z22">
        <f t="shared" si="3"/>
        <v>1</v>
      </c>
      <c r="AA22">
        <f t="shared" si="3"/>
        <v>1</v>
      </c>
      <c r="AB22">
        <f t="shared" si="3"/>
        <v>1</v>
      </c>
      <c r="AC22">
        <f t="shared" si="3"/>
        <v>1</v>
      </c>
      <c r="AD22">
        <f t="shared" si="3"/>
        <v>1</v>
      </c>
      <c r="AE22">
        <f t="shared" si="3"/>
        <v>1</v>
      </c>
      <c r="AF22">
        <f t="shared" si="3"/>
        <v>1</v>
      </c>
      <c r="AG22">
        <f t="shared" si="3"/>
        <v>1</v>
      </c>
      <c r="AH22">
        <f t="shared" si="3"/>
        <v>1</v>
      </c>
      <c r="AI22">
        <f t="shared" si="3"/>
        <v>1</v>
      </c>
      <c r="AJ22">
        <f t="shared" si="3"/>
        <v>1</v>
      </c>
      <c r="AK22">
        <f t="shared" si="3"/>
        <v>1</v>
      </c>
      <c r="AL22">
        <f t="shared" si="3"/>
        <v>1</v>
      </c>
      <c r="AM22">
        <f t="shared" si="3"/>
        <v>1</v>
      </c>
      <c r="AN22">
        <f t="shared" si="3"/>
        <v>1</v>
      </c>
      <c r="AO22">
        <f t="shared" si="3"/>
        <v>1</v>
      </c>
      <c r="AP22">
        <f t="shared" si="4"/>
        <v>1</v>
      </c>
    </row>
    <row r="23" spans="1:42" x14ac:dyDescent="0.2">
      <c r="A23" t="s">
        <v>394</v>
      </c>
      <c r="B23">
        <f>'Start Year Energy'!B77</f>
        <v>1</v>
      </c>
      <c r="C23">
        <f t="shared" si="2"/>
        <v>1</v>
      </c>
      <c r="D23">
        <f t="shared" si="2"/>
        <v>1</v>
      </c>
      <c r="E23">
        <f t="shared" si="2"/>
        <v>1</v>
      </c>
      <c r="F23">
        <f t="shared" si="2"/>
        <v>1</v>
      </c>
      <c r="G23">
        <f t="shared" si="2"/>
        <v>1</v>
      </c>
      <c r="H23">
        <f t="shared" si="2"/>
        <v>1</v>
      </c>
      <c r="I23">
        <f t="shared" si="2"/>
        <v>1</v>
      </c>
      <c r="J23">
        <f t="shared" si="2"/>
        <v>1</v>
      </c>
      <c r="K23">
        <f t="shared" si="2"/>
        <v>1</v>
      </c>
      <c r="L23">
        <f t="shared" si="2"/>
        <v>1</v>
      </c>
      <c r="M23">
        <f t="shared" si="2"/>
        <v>1</v>
      </c>
      <c r="N23">
        <f t="shared" si="2"/>
        <v>1</v>
      </c>
      <c r="O23">
        <f t="shared" si="2"/>
        <v>1</v>
      </c>
      <c r="P23">
        <f t="shared" si="2"/>
        <v>1</v>
      </c>
      <c r="Q23">
        <f t="shared" si="2"/>
        <v>1</v>
      </c>
      <c r="R23">
        <f t="shared" si="2"/>
        <v>1</v>
      </c>
      <c r="S23">
        <f t="shared" si="3"/>
        <v>1</v>
      </c>
      <c r="T23">
        <f t="shared" si="3"/>
        <v>1</v>
      </c>
      <c r="U23">
        <f t="shared" si="3"/>
        <v>1</v>
      </c>
      <c r="V23">
        <f t="shared" si="3"/>
        <v>1</v>
      </c>
      <c r="W23">
        <f t="shared" si="3"/>
        <v>1</v>
      </c>
      <c r="X23">
        <f t="shared" si="3"/>
        <v>1</v>
      </c>
      <c r="Y23">
        <f t="shared" si="3"/>
        <v>1</v>
      </c>
      <c r="Z23">
        <f t="shared" si="3"/>
        <v>1</v>
      </c>
      <c r="AA23">
        <f t="shared" si="3"/>
        <v>1</v>
      </c>
      <c r="AB23">
        <f t="shared" si="3"/>
        <v>1</v>
      </c>
      <c r="AC23">
        <f t="shared" si="3"/>
        <v>1</v>
      </c>
      <c r="AD23">
        <f t="shared" si="3"/>
        <v>1</v>
      </c>
      <c r="AE23">
        <f t="shared" si="3"/>
        <v>1</v>
      </c>
      <c r="AF23">
        <f t="shared" si="3"/>
        <v>1</v>
      </c>
      <c r="AG23">
        <f t="shared" si="3"/>
        <v>1</v>
      </c>
      <c r="AH23">
        <f t="shared" si="3"/>
        <v>1</v>
      </c>
      <c r="AI23">
        <f t="shared" si="3"/>
        <v>1</v>
      </c>
      <c r="AJ23">
        <f t="shared" si="3"/>
        <v>1</v>
      </c>
      <c r="AK23">
        <f t="shared" si="3"/>
        <v>1</v>
      </c>
      <c r="AL23">
        <f t="shared" si="3"/>
        <v>1</v>
      </c>
      <c r="AM23">
        <f t="shared" si="3"/>
        <v>1</v>
      </c>
      <c r="AN23">
        <f t="shared" si="3"/>
        <v>1</v>
      </c>
      <c r="AO23">
        <f t="shared" si="3"/>
        <v>1</v>
      </c>
      <c r="AP23">
        <f t="shared" si="4"/>
        <v>1</v>
      </c>
    </row>
    <row r="24" spans="1:42" x14ac:dyDescent="0.2">
      <c r="A24" t="s">
        <v>395</v>
      </c>
      <c r="B24">
        <f>'Start Year Energy'!B78</f>
        <v>1</v>
      </c>
      <c r="C24">
        <f t="shared" si="2"/>
        <v>1</v>
      </c>
      <c r="D24">
        <f t="shared" si="2"/>
        <v>1</v>
      </c>
      <c r="E24">
        <f t="shared" si="2"/>
        <v>1</v>
      </c>
      <c r="F24">
        <f t="shared" si="2"/>
        <v>1</v>
      </c>
      <c r="G24">
        <f t="shared" si="2"/>
        <v>1</v>
      </c>
      <c r="H24">
        <f t="shared" si="2"/>
        <v>1</v>
      </c>
      <c r="I24">
        <f t="shared" si="2"/>
        <v>1</v>
      </c>
      <c r="J24">
        <f t="shared" si="2"/>
        <v>1</v>
      </c>
      <c r="K24">
        <f t="shared" si="2"/>
        <v>1</v>
      </c>
      <c r="L24">
        <f t="shared" si="2"/>
        <v>1</v>
      </c>
      <c r="M24">
        <f t="shared" si="2"/>
        <v>1</v>
      </c>
      <c r="N24">
        <f t="shared" si="2"/>
        <v>1</v>
      </c>
      <c r="O24">
        <f t="shared" si="2"/>
        <v>1</v>
      </c>
      <c r="P24">
        <f t="shared" si="2"/>
        <v>1</v>
      </c>
      <c r="Q24">
        <f t="shared" si="2"/>
        <v>1</v>
      </c>
      <c r="R24">
        <f t="shared" si="2"/>
        <v>1</v>
      </c>
      <c r="S24">
        <f t="shared" si="3"/>
        <v>1</v>
      </c>
      <c r="T24">
        <f t="shared" si="3"/>
        <v>1</v>
      </c>
      <c r="U24">
        <f t="shared" si="3"/>
        <v>1</v>
      </c>
      <c r="V24">
        <f t="shared" si="3"/>
        <v>1</v>
      </c>
      <c r="W24">
        <f t="shared" si="3"/>
        <v>1</v>
      </c>
      <c r="X24">
        <f t="shared" si="3"/>
        <v>1</v>
      </c>
      <c r="Y24">
        <f t="shared" si="3"/>
        <v>1</v>
      </c>
      <c r="Z24">
        <f t="shared" si="3"/>
        <v>1</v>
      </c>
      <c r="AA24">
        <f t="shared" si="3"/>
        <v>1</v>
      </c>
      <c r="AB24">
        <f t="shared" si="3"/>
        <v>1</v>
      </c>
      <c r="AC24">
        <f t="shared" si="3"/>
        <v>1</v>
      </c>
      <c r="AD24">
        <f t="shared" si="3"/>
        <v>1</v>
      </c>
      <c r="AE24">
        <f t="shared" si="3"/>
        <v>1</v>
      </c>
      <c r="AF24">
        <f t="shared" ref="AF24:AP26" si="5">$B24</f>
        <v>1</v>
      </c>
      <c r="AG24">
        <f t="shared" si="5"/>
        <v>1</v>
      </c>
      <c r="AH24">
        <f t="shared" si="5"/>
        <v>1</v>
      </c>
      <c r="AI24">
        <f t="shared" si="5"/>
        <v>1</v>
      </c>
      <c r="AJ24">
        <f t="shared" si="5"/>
        <v>1</v>
      </c>
      <c r="AK24">
        <f t="shared" si="5"/>
        <v>1</v>
      </c>
      <c r="AL24">
        <f t="shared" si="5"/>
        <v>1</v>
      </c>
      <c r="AM24">
        <f t="shared" si="5"/>
        <v>1</v>
      </c>
      <c r="AN24">
        <f t="shared" si="5"/>
        <v>1</v>
      </c>
      <c r="AO24">
        <f t="shared" si="5"/>
        <v>1</v>
      </c>
      <c r="AP24">
        <f t="shared" si="5"/>
        <v>1</v>
      </c>
    </row>
    <row r="25" spans="1:42" x14ac:dyDescent="0.2">
      <c r="A25" t="s">
        <v>396</v>
      </c>
      <c r="B25">
        <f>'Start Year Energy'!B79</f>
        <v>1</v>
      </c>
      <c r="C25">
        <f t="shared" si="2"/>
        <v>1</v>
      </c>
      <c r="D25">
        <f t="shared" si="2"/>
        <v>1</v>
      </c>
      <c r="E25">
        <f t="shared" si="2"/>
        <v>1</v>
      </c>
      <c r="F25">
        <f t="shared" si="2"/>
        <v>1</v>
      </c>
      <c r="G25">
        <f t="shared" si="2"/>
        <v>1</v>
      </c>
      <c r="H25">
        <f t="shared" si="2"/>
        <v>1</v>
      </c>
      <c r="I25">
        <f t="shared" si="2"/>
        <v>1</v>
      </c>
      <c r="J25">
        <f t="shared" si="2"/>
        <v>1</v>
      </c>
      <c r="K25">
        <f t="shared" si="2"/>
        <v>1</v>
      </c>
      <c r="L25">
        <f t="shared" si="2"/>
        <v>1</v>
      </c>
      <c r="M25">
        <f t="shared" si="2"/>
        <v>1</v>
      </c>
      <c r="N25">
        <f t="shared" si="2"/>
        <v>1</v>
      </c>
      <c r="O25">
        <f t="shared" si="2"/>
        <v>1</v>
      </c>
      <c r="P25">
        <f t="shared" si="2"/>
        <v>1</v>
      </c>
      <c r="Q25">
        <f t="shared" si="2"/>
        <v>1</v>
      </c>
      <c r="R25">
        <f t="shared" si="2"/>
        <v>1</v>
      </c>
      <c r="S25">
        <f t="shared" ref="S25:AF25" si="6">$B25</f>
        <v>1</v>
      </c>
      <c r="T25">
        <f t="shared" si="6"/>
        <v>1</v>
      </c>
      <c r="U25">
        <f t="shared" si="6"/>
        <v>1</v>
      </c>
      <c r="V25">
        <f t="shared" si="6"/>
        <v>1</v>
      </c>
      <c r="W25">
        <f t="shared" si="6"/>
        <v>1</v>
      </c>
      <c r="X25">
        <f t="shared" si="6"/>
        <v>1</v>
      </c>
      <c r="Y25">
        <f t="shared" si="6"/>
        <v>1</v>
      </c>
      <c r="Z25">
        <f t="shared" si="6"/>
        <v>1</v>
      </c>
      <c r="AA25">
        <f t="shared" si="6"/>
        <v>1</v>
      </c>
      <c r="AB25">
        <f t="shared" si="6"/>
        <v>1</v>
      </c>
      <c r="AC25">
        <f t="shared" si="6"/>
        <v>1</v>
      </c>
      <c r="AD25">
        <f t="shared" si="6"/>
        <v>1</v>
      </c>
      <c r="AE25">
        <f t="shared" si="6"/>
        <v>1</v>
      </c>
      <c r="AF25">
        <f t="shared" si="6"/>
        <v>1</v>
      </c>
      <c r="AG25">
        <f t="shared" si="5"/>
        <v>1</v>
      </c>
      <c r="AH25">
        <f t="shared" si="5"/>
        <v>1</v>
      </c>
      <c r="AI25">
        <f t="shared" si="5"/>
        <v>1</v>
      </c>
      <c r="AJ25">
        <f t="shared" si="5"/>
        <v>1</v>
      </c>
      <c r="AK25">
        <f t="shared" si="5"/>
        <v>1</v>
      </c>
      <c r="AL25">
        <f t="shared" si="5"/>
        <v>1</v>
      </c>
      <c r="AM25">
        <f t="shared" si="5"/>
        <v>1</v>
      </c>
      <c r="AN25">
        <f t="shared" si="5"/>
        <v>1</v>
      </c>
      <c r="AO25">
        <f t="shared" si="5"/>
        <v>1</v>
      </c>
      <c r="AP25">
        <f t="shared" si="5"/>
        <v>1</v>
      </c>
    </row>
    <row r="26" spans="1:42" x14ac:dyDescent="0.2">
      <c r="A26" t="s">
        <v>397</v>
      </c>
      <c r="B26">
        <f>'Start Year Energy'!B80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0FD59-BCC2-4440-ADB2-477C843FA825}">
  <sheetPr codeName="Sheet25">
    <tabColor theme="4"/>
  </sheetPr>
  <dimension ref="A1:AP26"/>
  <sheetViews>
    <sheetView workbookViewId="0">
      <selection activeCell="A2" sqref="A2:XFD26"/>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Energy'!G56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Energy'!G57</f>
        <v>1</v>
      </c>
      <c r="C3">
        <f t="shared" ref="C3:R26" si="2">$B3</f>
        <v>1</v>
      </c>
      <c r="D3">
        <f t="shared" si="2"/>
        <v>1</v>
      </c>
      <c r="E3">
        <f t="shared" si="2"/>
        <v>1</v>
      </c>
      <c r="F3">
        <f t="shared" si="2"/>
        <v>1</v>
      </c>
      <c r="G3">
        <f t="shared" si="2"/>
        <v>1</v>
      </c>
      <c r="H3">
        <f t="shared" si="2"/>
        <v>1</v>
      </c>
      <c r="I3">
        <f t="shared" si="2"/>
        <v>1</v>
      </c>
      <c r="J3">
        <f t="shared" si="2"/>
        <v>1</v>
      </c>
      <c r="K3">
        <f t="shared" si="2"/>
        <v>1</v>
      </c>
      <c r="L3">
        <f t="shared" si="2"/>
        <v>1</v>
      </c>
      <c r="M3">
        <f t="shared" si="2"/>
        <v>1</v>
      </c>
      <c r="N3">
        <f t="shared" si="2"/>
        <v>1</v>
      </c>
      <c r="O3">
        <f t="shared" si="2"/>
        <v>1</v>
      </c>
      <c r="P3">
        <f t="shared" si="2"/>
        <v>1</v>
      </c>
      <c r="Q3">
        <f t="shared" si="2"/>
        <v>1</v>
      </c>
      <c r="R3">
        <f t="shared" si="2"/>
        <v>1</v>
      </c>
      <c r="S3">
        <f t="shared" si="0"/>
        <v>1</v>
      </c>
      <c r="T3">
        <f t="shared" si="0"/>
        <v>1</v>
      </c>
      <c r="U3">
        <f t="shared" si="0"/>
        <v>1</v>
      </c>
      <c r="V3">
        <f t="shared" si="0"/>
        <v>1</v>
      </c>
      <c r="W3">
        <f t="shared" si="0"/>
        <v>1</v>
      </c>
      <c r="X3">
        <f t="shared" si="0"/>
        <v>1</v>
      </c>
      <c r="Y3">
        <f t="shared" si="0"/>
        <v>1</v>
      </c>
      <c r="Z3">
        <f t="shared" si="0"/>
        <v>1</v>
      </c>
      <c r="AA3">
        <f t="shared" si="0"/>
        <v>1</v>
      </c>
      <c r="AB3">
        <f t="shared" si="0"/>
        <v>1</v>
      </c>
      <c r="AC3">
        <f t="shared" si="0"/>
        <v>1</v>
      </c>
      <c r="AD3">
        <f t="shared" si="0"/>
        <v>1</v>
      </c>
      <c r="AE3">
        <f t="shared" si="0"/>
        <v>1</v>
      </c>
      <c r="AF3">
        <f t="shared" si="0"/>
        <v>1</v>
      </c>
      <c r="AG3">
        <f t="shared" si="1"/>
        <v>1</v>
      </c>
      <c r="AH3">
        <f t="shared" si="1"/>
        <v>1</v>
      </c>
      <c r="AI3">
        <f t="shared" si="1"/>
        <v>1</v>
      </c>
      <c r="AJ3">
        <f t="shared" si="1"/>
        <v>1</v>
      </c>
      <c r="AK3">
        <f t="shared" si="1"/>
        <v>1</v>
      </c>
      <c r="AL3">
        <f t="shared" si="1"/>
        <v>1</v>
      </c>
      <c r="AM3">
        <f t="shared" si="1"/>
        <v>1</v>
      </c>
      <c r="AN3">
        <f t="shared" si="1"/>
        <v>1</v>
      </c>
      <c r="AO3">
        <f t="shared" si="1"/>
        <v>1</v>
      </c>
      <c r="AP3">
        <f t="shared" si="1"/>
        <v>1</v>
      </c>
    </row>
    <row r="4" spans="1:42" x14ac:dyDescent="0.2">
      <c r="A4" t="s">
        <v>375</v>
      </c>
      <c r="B4">
        <f>'Start Year Energy'!G58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Energy'!G59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Energy'!G60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Energy'!G61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Energy'!G62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Energy'!G63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Energy'!G64</f>
        <v>1</v>
      </c>
      <c r="C10">
        <f t="shared" si="2"/>
        <v>1</v>
      </c>
      <c r="D10">
        <f t="shared" si="0"/>
        <v>1</v>
      </c>
      <c r="E10">
        <f t="shared" si="0"/>
        <v>1</v>
      </c>
      <c r="F10">
        <f t="shared" si="0"/>
        <v>1</v>
      </c>
      <c r="G10">
        <f t="shared" si="0"/>
        <v>1</v>
      </c>
      <c r="H10">
        <f t="shared" si="0"/>
        <v>1</v>
      </c>
      <c r="I10">
        <f t="shared" si="0"/>
        <v>1</v>
      </c>
      <c r="J10">
        <f t="shared" si="0"/>
        <v>1</v>
      </c>
      <c r="K10">
        <f t="shared" si="0"/>
        <v>1</v>
      </c>
      <c r="L10">
        <f t="shared" si="0"/>
        <v>1</v>
      </c>
      <c r="M10">
        <f t="shared" si="0"/>
        <v>1</v>
      </c>
      <c r="N10">
        <f t="shared" si="0"/>
        <v>1</v>
      </c>
      <c r="O10">
        <f t="shared" si="0"/>
        <v>1</v>
      </c>
      <c r="P10">
        <f t="shared" si="0"/>
        <v>1</v>
      </c>
      <c r="Q10">
        <f t="shared" si="0"/>
        <v>1</v>
      </c>
      <c r="R10">
        <f t="shared" si="0"/>
        <v>1</v>
      </c>
      <c r="S10">
        <f t="shared" si="0"/>
        <v>1</v>
      </c>
      <c r="T10">
        <f t="shared" si="0"/>
        <v>1</v>
      </c>
      <c r="U10">
        <f t="shared" si="0"/>
        <v>1</v>
      </c>
      <c r="V10">
        <f t="shared" si="0"/>
        <v>1</v>
      </c>
      <c r="W10">
        <f t="shared" si="0"/>
        <v>1</v>
      </c>
      <c r="X10">
        <f t="shared" si="0"/>
        <v>1</v>
      </c>
      <c r="Y10">
        <f t="shared" si="0"/>
        <v>1</v>
      </c>
      <c r="Z10">
        <f t="shared" si="0"/>
        <v>1</v>
      </c>
      <c r="AA10">
        <f t="shared" si="0"/>
        <v>1</v>
      </c>
      <c r="AB10">
        <f t="shared" si="0"/>
        <v>1</v>
      </c>
      <c r="AC10">
        <f t="shared" si="0"/>
        <v>1</v>
      </c>
      <c r="AD10">
        <f t="shared" si="0"/>
        <v>1</v>
      </c>
      <c r="AE10">
        <f t="shared" si="0"/>
        <v>1</v>
      </c>
      <c r="AF10">
        <f t="shared" si="0"/>
        <v>1</v>
      </c>
      <c r="AG10">
        <f t="shared" si="1"/>
        <v>1</v>
      </c>
      <c r="AH10">
        <f t="shared" si="1"/>
        <v>1</v>
      </c>
      <c r="AI10">
        <f t="shared" si="1"/>
        <v>1</v>
      </c>
      <c r="AJ10">
        <f t="shared" si="1"/>
        <v>1</v>
      </c>
      <c r="AK10">
        <f t="shared" si="1"/>
        <v>1</v>
      </c>
      <c r="AL10">
        <f t="shared" si="1"/>
        <v>1</v>
      </c>
      <c r="AM10">
        <f t="shared" si="1"/>
        <v>1</v>
      </c>
      <c r="AN10">
        <f t="shared" si="1"/>
        <v>1</v>
      </c>
      <c r="AO10">
        <f t="shared" si="1"/>
        <v>1</v>
      </c>
      <c r="AP10">
        <f t="shared" si="1"/>
        <v>1</v>
      </c>
    </row>
    <row r="11" spans="1:42" x14ac:dyDescent="0.2">
      <c r="A11" t="s">
        <v>382</v>
      </c>
      <c r="B11">
        <f>'Start Year Energy'!G65</f>
        <v>1</v>
      </c>
      <c r="C11">
        <f t="shared" si="2"/>
        <v>1</v>
      </c>
      <c r="D11">
        <f t="shared" si="0"/>
        <v>1</v>
      </c>
      <c r="E11">
        <f t="shared" si="0"/>
        <v>1</v>
      </c>
      <c r="F11">
        <f t="shared" si="0"/>
        <v>1</v>
      </c>
      <c r="G11">
        <f t="shared" si="0"/>
        <v>1</v>
      </c>
      <c r="H11">
        <f t="shared" si="0"/>
        <v>1</v>
      </c>
      <c r="I11">
        <f t="shared" si="0"/>
        <v>1</v>
      </c>
      <c r="J11">
        <f t="shared" si="0"/>
        <v>1</v>
      </c>
      <c r="K11">
        <f t="shared" si="0"/>
        <v>1</v>
      </c>
      <c r="L11">
        <f t="shared" si="0"/>
        <v>1</v>
      </c>
      <c r="M11">
        <f t="shared" ref="M11:AO24" si="3">$B11</f>
        <v>1</v>
      </c>
      <c r="N11">
        <f t="shared" si="3"/>
        <v>1</v>
      </c>
      <c r="O11">
        <f t="shared" si="3"/>
        <v>1</v>
      </c>
      <c r="P11">
        <f t="shared" si="3"/>
        <v>1</v>
      </c>
      <c r="Q11">
        <f t="shared" si="3"/>
        <v>1</v>
      </c>
      <c r="R11">
        <f t="shared" si="3"/>
        <v>1</v>
      </c>
      <c r="S11">
        <f t="shared" si="3"/>
        <v>1</v>
      </c>
      <c r="T11">
        <f t="shared" si="3"/>
        <v>1</v>
      </c>
      <c r="U11">
        <f t="shared" si="3"/>
        <v>1</v>
      </c>
      <c r="V11">
        <f t="shared" si="3"/>
        <v>1</v>
      </c>
      <c r="W11">
        <f t="shared" si="3"/>
        <v>1</v>
      </c>
      <c r="X11">
        <f t="shared" si="3"/>
        <v>1</v>
      </c>
      <c r="Y11">
        <f t="shared" si="3"/>
        <v>1</v>
      </c>
      <c r="Z11">
        <f t="shared" si="3"/>
        <v>1</v>
      </c>
      <c r="AA11">
        <f t="shared" si="3"/>
        <v>1</v>
      </c>
      <c r="AB11">
        <f t="shared" si="3"/>
        <v>1</v>
      </c>
      <c r="AC11">
        <f t="shared" si="3"/>
        <v>1</v>
      </c>
      <c r="AD11">
        <f t="shared" si="3"/>
        <v>1</v>
      </c>
      <c r="AE11">
        <f t="shared" si="3"/>
        <v>1</v>
      </c>
      <c r="AF11">
        <f t="shared" si="3"/>
        <v>1</v>
      </c>
      <c r="AG11">
        <f t="shared" si="1"/>
        <v>1</v>
      </c>
      <c r="AH11">
        <f t="shared" si="1"/>
        <v>1</v>
      </c>
      <c r="AI11">
        <f t="shared" si="1"/>
        <v>1</v>
      </c>
      <c r="AJ11">
        <f t="shared" si="1"/>
        <v>1</v>
      </c>
      <c r="AK11">
        <f t="shared" si="1"/>
        <v>1</v>
      </c>
      <c r="AL11">
        <f t="shared" si="1"/>
        <v>1</v>
      </c>
      <c r="AM11">
        <f t="shared" si="1"/>
        <v>1</v>
      </c>
      <c r="AN11">
        <f t="shared" si="1"/>
        <v>1</v>
      </c>
      <c r="AO11">
        <f t="shared" si="1"/>
        <v>1</v>
      </c>
      <c r="AP11">
        <f t="shared" si="1"/>
        <v>1</v>
      </c>
    </row>
    <row r="12" spans="1:42" x14ac:dyDescent="0.2">
      <c r="A12" t="s">
        <v>383</v>
      </c>
      <c r="B12">
        <f>'Start Year Energy'!G66</f>
        <v>1</v>
      </c>
      <c r="C12">
        <f t="shared" si="2"/>
        <v>1</v>
      </c>
      <c r="D12">
        <f t="shared" si="2"/>
        <v>1</v>
      </c>
      <c r="E12">
        <f t="shared" si="2"/>
        <v>1</v>
      </c>
      <c r="F12">
        <f t="shared" si="2"/>
        <v>1</v>
      </c>
      <c r="G12">
        <f t="shared" si="2"/>
        <v>1</v>
      </c>
      <c r="H12">
        <f t="shared" si="2"/>
        <v>1</v>
      </c>
      <c r="I12">
        <f t="shared" si="2"/>
        <v>1</v>
      </c>
      <c r="J12">
        <f t="shared" si="2"/>
        <v>1</v>
      </c>
      <c r="K12">
        <f t="shared" si="2"/>
        <v>1</v>
      </c>
      <c r="L12">
        <f t="shared" si="2"/>
        <v>1</v>
      </c>
      <c r="M12">
        <f t="shared" si="2"/>
        <v>1</v>
      </c>
      <c r="N12">
        <f t="shared" si="2"/>
        <v>1</v>
      </c>
      <c r="O12">
        <f t="shared" si="2"/>
        <v>1</v>
      </c>
      <c r="P12">
        <f t="shared" si="2"/>
        <v>1</v>
      </c>
      <c r="Q12">
        <f t="shared" si="2"/>
        <v>1</v>
      </c>
      <c r="R12">
        <f t="shared" si="2"/>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Energy'!G67</f>
        <v>1</v>
      </c>
      <c r="C13">
        <f t="shared" si="2"/>
        <v>1</v>
      </c>
      <c r="D13">
        <f t="shared" si="2"/>
        <v>1</v>
      </c>
      <c r="E13">
        <f t="shared" si="2"/>
        <v>1</v>
      </c>
      <c r="F13">
        <f t="shared" si="2"/>
        <v>1</v>
      </c>
      <c r="G13">
        <f t="shared" si="2"/>
        <v>1</v>
      </c>
      <c r="H13">
        <f t="shared" si="2"/>
        <v>1</v>
      </c>
      <c r="I13">
        <f t="shared" si="2"/>
        <v>1</v>
      </c>
      <c r="J13">
        <f t="shared" si="2"/>
        <v>1</v>
      </c>
      <c r="K13">
        <f t="shared" si="2"/>
        <v>1</v>
      </c>
      <c r="L13">
        <f t="shared" si="2"/>
        <v>1</v>
      </c>
      <c r="M13">
        <f t="shared" si="2"/>
        <v>1</v>
      </c>
      <c r="N13">
        <f t="shared" si="2"/>
        <v>1</v>
      </c>
      <c r="O13">
        <f t="shared" si="2"/>
        <v>1</v>
      </c>
      <c r="P13">
        <f t="shared" si="2"/>
        <v>1</v>
      </c>
      <c r="Q13">
        <f t="shared" si="2"/>
        <v>1</v>
      </c>
      <c r="R13">
        <f t="shared" si="2"/>
        <v>1</v>
      </c>
      <c r="S13">
        <f t="shared" si="3"/>
        <v>1</v>
      </c>
      <c r="T13">
        <f t="shared" si="3"/>
        <v>1</v>
      </c>
      <c r="U13">
        <f t="shared" si="3"/>
        <v>1</v>
      </c>
      <c r="V13">
        <f t="shared" si="3"/>
        <v>1</v>
      </c>
      <c r="W13">
        <f t="shared" si="3"/>
        <v>1</v>
      </c>
      <c r="X13">
        <f t="shared" si="3"/>
        <v>1</v>
      </c>
      <c r="Y13">
        <f t="shared" si="3"/>
        <v>1</v>
      </c>
      <c r="Z13">
        <f t="shared" si="3"/>
        <v>1</v>
      </c>
      <c r="AA13">
        <f t="shared" si="3"/>
        <v>1</v>
      </c>
      <c r="AB13">
        <f t="shared" si="3"/>
        <v>1</v>
      </c>
      <c r="AC13">
        <f t="shared" si="3"/>
        <v>1</v>
      </c>
      <c r="AD13">
        <f t="shared" si="3"/>
        <v>1</v>
      </c>
      <c r="AE13">
        <f t="shared" si="3"/>
        <v>1</v>
      </c>
      <c r="AF13">
        <f t="shared" si="3"/>
        <v>1</v>
      </c>
      <c r="AG13">
        <f t="shared" si="1"/>
        <v>1</v>
      </c>
      <c r="AH13">
        <f t="shared" si="1"/>
        <v>1</v>
      </c>
      <c r="AI13">
        <f t="shared" si="1"/>
        <v>1</v>
      </c>
      <c r="AJ13">
        <f t="shared" si="1"/>
        <v>1</v>
      </c>
      <c r="AK13">
        <f t="shared" si="1"/>
        <v>1</v>
      </c>
      <c r="AL13">
        <f t="shared" si="1"/>
        <v>1</v>
      </c>
      <c r="AM13">
        <f t="shared" si="1"/>
        <v>1</v>
      </c>
      <c r="AN13">
        <f t="shared" si="1"/>
        <v>1</v>
      </c>
      <c r="AO13">
        <f t="shared" si="1"/>
        <v>1</v>
      </c>
      <c r="AP13">
        <f t="shared" si="1"/>
        <v>1</v>
      </c>
    </row>
    <row r="14" spans="1:42" x14ac:dyDescent="0.2">
      <c r="A14" t="s">
        <v>385</v>
      </c>
      <c r="B14">
        <f>'Start Year Energy'!G68</f>
        <v>1</v>
      </c>
      <c r="C14">
        <f t="shared" si="2"/>
        <v>1</v>
      </c>
      <c r="D14">
        <f t="shared" si="2"/>
        <v>1</v>
      </c>
      <c r="E14">
        <f t="shared" si="2"/>
        <v>1</v>
      </c>
      <c r="F14">
        <f t="shared" si="2"/>
        <v>1</v>
      </c>
      <c r="G14">
        <f t="shared" si="2"/>
        <v>1</v>
      </c>
      <c r="H14">
        <f t="shared" si="2"/>
        <v>1</v>
      </c>
      <c r="I14">
        <f t="shared" si="2"/>
        <v>1</v>
      </c>
      <c r="J14">
        <f t="shared" si="2"/>
        <v>1</v>
      </c>
      <c r="K14">
        <f t="shared" si="2"/>
        <v>1</v>
      </c>
      <c r="L14">
        <f t="shared" si="2"/>
        <v>1</v>
      </c>
      <c r="M14">
        <f t="shared" si="2"/>
        <v>1</v>
      </c>
      <c r="N14">
        <f t="shared" si="2"/>
        <v>1</v>
      </c>
      <c r="O14">
        <f t="shared" si="2"/>
        <v>1</v>
      </c>
      <c r="P14">
        <f t="shared" si="2"/>
        <v>1</v>
      </c>
      <c r="Q14">
        <f t="shared" si="2"/>
        <v>1</v>
      </c>
      <c r="R14">
        <f t="shared" si="2"/>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Energy'!G69</f>
        <v>1</v>
      </c>
      <c r="C15">
        <f t="shared" si="2"/>
        <v>1</v>
      </c>
      <c r="D15">
        <f t="shared" si="2"/>
        <v>1</v>
      </c>
      <c r="E15">
        <f t="shared" si="2"/>
        <v>1</v>
      </c>
      <c r="F15">
        <f t="shared" si="2"/>
        <v>1</v>
      </c>
      <c r="G15">
        <f t="shared" si="2"/>
        <v>1</v>
      </c>
      <c r="H15">
        <f t="shared" si="2"/>
        <v>1</v>
      </c>
      <c r="I15">
        <f t="shared" si="2"/>
        <v>1</v>
      </c>
      <c r="J15">
        <f t="shared" si="2"/>
        <v>1</v>
      </c>
      <c r="K15">
        <f t="shared" si="2"/>
        <v>1</v>
      </c>
      <c r="L15">
        <f t="shared" si="2"/>
        <v>1</v>
      </c>
      <c r="M15">
        <f t="shared" si="2"/>
        <v>1</v>
      </c>
      <c r="N15">
        <f t="shared" si="2"/>
        <v>1</v>
      </c>
      <c r="O15">
        <f t="shared" si="2"/>
        <v>1</v>
      </c>
      <c r="P15">
        <f t="shared" si="2"/>
        <v>1</v>
      </c>
      <c r="Q15">
        <f t="shared" si="2"/>
        <v>1</v>
      </c>
      <c r="R15">
        <f t="shared" si="2"/>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Energy'!G70</f>
        <v>1</v>
      </c>
      <c r="C16">
        <f t="shared" si="2"/>
        <v>1</v>
      </c>
      <c r="D16">
        <f t="shared" si="2"/>
        <v>1</v>
      </c>
      <c r="E16">
        <f t="shared" si="2"/>
        <v>1</v>
      </c>
      <c r="F16">
        <f t="shared" si="2"/>
        <v>1</v>
      </c>
      <c r="G16">
        <f t="shared" si="2"/>
        <v>1</v>
      </c>
      <c r="H16">
        <f t="shared" si="2"/>
        <v>1</v>
      </c>
      <c r="I16">
        <f t="shared" si="2"/>
        <v>1</v>
      </c>
      <c r="J16">
        <f t="shared" si="2"/>
        <v>1</v>
      </c>
      <c r="K16">
        <f t="shared" si="2"/>
        <v>1</v>
      </c>
      <c r="L16">
        <f t="shared" si="2"/>
        <v>1</v>
      </c>
      <c r="M16">
        <f t="shared" si="2"/>
        <v>1</v>
      </c>
      <c r="N16">
        <f t="shared" si="2"/>
        <v>1</v>
      </c>
      <c r="O16">
        <f t="shared" si="2"/>
        <v>1</v>
      </c>
      <c r="P16">
        <f t="shared" si="2"/>
        <v>1</v>
      </c>
      <c r="Q16">
        <f t="shared" si="2"/>
        <v>1</v>
      </c>
      <c r="R16">
        <f t="shared" si="2"/>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Energy'!G71</f>
        <v>1</v>
      </c>
      <c r="C17">
        <f t="shared" si="2"/>
        <v>1</v>
      </c>
      <c r="D17">
        <f t="shared" si="2"/>
        <v>1</v>
      </c>
      <c r="E17">
        <f t="shared" si="2"/>
        <v>1</v>
      </c>
      <c r="F17">
        <f t="shared" si="2"/>
        <v>1</v>
      </c>
      <c r="G17">
        <f t="shared" si="2"/>
        <v>1</v>
      </c>
      <c r="H17">
        <f t="shared" si="2"/>
        <v>1</v>
      </c>
      <c r="I17">
        <f t="shared" si="2"/>
        <v>1</v>
      </c>
      <c r="J17">
        <f t="shared" si="2"/>
        <v>1</v>
      </c>
      <c r="K17">
        <f t="shared" si="2"/>
        <v>1</v>
      </c>
      <c r="L17">
        <f t="shared" si="2"/>
        <v>1</v>
      </c>
      <c r="M17">
        <f t="shared" si="2"/>
        <v>1</v>
      </c>
      <c r="N17">
        <f t="shared" si="2"/>
        <v>1</v>
      </c>
      <c r="O17">
        <f t="shared" si="2"/>
        <v>1</v>
      </c>
      <c r="P17">
        <f t="shared" si="2"/>
        <v>1</v>
      </c>
      <c r="Q17">
        <f t="shared" si="2"/>
        <v>1</v>
      </c>
      <c r="R17">
        <f t="shared" si="2"/>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Energy'!G72</f>
        <v>1</v>
      </c>
      <c r="C18">
        <f t="shared" si="2"/>
        <v>1</v>
      </c>
      <c r="D18">
        <f t="shared" si="2"/>
        <v>1</v>
      </c>
      <c r="E18">
        <f t="shared" si="2"/>
        <v>1</v>
      </c>
      <c r="F18">
        <f t="shared" si="2"/>
        <v>1</v>
      </c>
      <c r="G18">
        <f t="shared" si="2"/>
        <v>1</v>
      </c>
      <c r="H18">
        <f t="shared" si="2"/>
        <v>1</v>
      </c>
      <c r="I18">
        <f t="shared" si="2"/>
        <v>1</v>
      </c>
      <c r="J18">
        <f t="shared" si="2"/>
        <v>1</v>
      </c>
      <c r="K18">
        <f t="shared" si="2"/>
        <v>1</v>
      </c>
      <c r="L18">
        <f t="shared" si="2"/>
        <v>1</v>
      </c>
      <c r="M18">
        <f t="shared" si="2"/>
        <v>1</v>
      </c>
      <c r="N18">
        <f t="shared" si="2"/>
        <v>1</v>
      </c>
      <c r="O18">
        <f t="shared" si="2"/>
        <v>1</v>
      </c>
      <c r="P18">
        <f t="shared" si="2"/>
        <v>1</v>
      </c>
      <c r="Q18">
        <f t="shared" si="2"/>
        <v>1</v>
      </c>
      <c r="R18">
        <f t="shared" si="2"/>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si="3"/>
        <v>1</v>
      </c>
      <c r="AH18">
        <f t="shared" si="3"/>
        <v>1</v>
      </c>
      <c r="AI18">
        <f t="shared" si="3"/>
        <v>1</v>
      </c>
      <c r="AJ18">
        <f t="shared" si="3"/>
        <v>1</v>
      </c>
      <c r="AK18">
        <f t="shared" si="3"/>
        <v>1</v>
      </c>
      <c r="AL18">
        <f t="shared" si="3"/>
        <v>1</v>
      </c>
      <c r="AM18">
        <f t="shared" si="3"/>
        <v>1</v>
      </c>
      <c r="AN18">
        <f t="shared" si="3"/>
        <v>1</v>
      </c>
      <c r="AO18">
        <f t="shared" si="3"/>
        <v>1</v>
      </c>
      <c r="AP18">
        <f t="shared" ref="AP18:AP23" si="4">$B18</f>
        <v>1</v>
      </c>
    </row>
    <row r="19" spans="1:42" x14ac:dyDescent="0.2">
      <c r="A19" t="s">
        <v>390</v>
      </c>
      <c r="B19">
        <f>'Start Year Energy'!G73</f>
        <v>1</v>
      </c>
      <c r="C19">
        <f t="shared" si="2"/>
        <v>1</v>
      </c>
      <c r="D19">
        <f t="shared" si="2"/>
        <v>1</v>
      </c>
      <c r="E19">
        <f t="shared" si="2"/>
        <v>1</v>
      </c>
      <c r="F19">
        <f t="shared" si="2"/>
        <v>1</v>
      </c>
      <c r="G19">
        <f t="shared" si="2"/>
        <v>1</v>
      </c>
      <c r="H19">
        <f t="shared" si="2"/>
        <v>1</v>
      </c>
      <c r="I19">
        <f t="shared" si="2"/>
        <v>1</v>
      </c>
      <c r="J19">
        <f t="shared" si="2"/>
        <v>1</v>
      </c>
      <c r="K19">
        <f t="shared" si="2"/>
        <v>1</v>
      </c>
      <c r="L19">
        <f t="shared" si="2"/>
        <v>1</v>
      </c>
      <c r="M19">
        <f t="shared" si="2"/>
        <v>1</v>
      </c>
      <c r="N19">
        <f t="shared" si="2"/>
        <v>1</v>
      </c>
      <c r="O19">
        <f t="shared" si="2"/>
        <v>1</v>
      </c>
      <c r="P19">
        <f t="shared" si="2"/>
        <v>1</v>
      </c>
      <c r="Q19">
        <f t="shared" si="2"/>
        <v>1</v>
      </c>
      <c r="R19">
        <f t="shared" si="2"/>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3"/>
        <v>1</v>
      </c>
      <c r="AH19">
        <f t="shared" si="3"/>
        <v>1</v>
      </c>
      <c r="AI19">
        <f t="shared" si="3"/>
        <v>1</v>
      </c>
      <c r="AJ19">
        <f t="shared" si="3"/>
        <v>1</v>
      </c>
      <c r="AK19">
        <f t="shared" si="3"/>
        <v>1</v>
      </c>
      <c r="AL19">
        <f t="shared" si="3"/>
        <v>1</v>
      </c>
      <c r="AM19">
        <f t="shared" si="3"/>
        <v>1</v>
      </c>
      <c r="AN19">
        <f t="shared" si="3"/>
        <v>1</v>
      </c>
      <c r="AO19">
        <f t="shared" si="3"/>
        <v>1</v>
      </c>
      <c r="AP19">
        <f t="shared" si="4"/>
        <v>1</v>
      </c>
    </row>
    <row r="20" spans="1:42" x14ac:dyDescent="0.2">
      <c r="A20" t="s">
        <v>391</v>
      </c>
      <c r="B20">
        <f>'Start Year Energy'!G74</f>
        <v>1</v>
      </c>
      <c r="C20">
        <f t="shared" si="2"/>
        <v>1</v>
      </c>
      <c r="D20">
        <f t="shared" si="2"/>
        <v>1</v>
      </c>
      <c r="E20">
        <f t="shared" si="2"/>
        <v>1</v>
      </c>
      <c r="F20">
        <f t="shared" si="2"/>
        <v>1</v>
      </c>
      <c r="G20">
        <f t="shared" si="2"/>
        <v>1</v>
      </c>
      <c r="H20">
        <f t="shared" si="2"/>
        <v>1</v>
      </c>
      <c r="I20">
        <f t="shared" si="2"/>
        <v>1</v>
      </c>
      <c r="J20">
        <f t="shared" si="2"/>
        <v>1</v>
      </c>
      <c r="K20">
        <f t="shared" si="2"/>
        <v>1</v>
      </c>
      <c r="L20">
        <f t="shared" si="2"/>
        <v>1</v>
      </c>
      <c r="M20">
        <f t="shared" si="2"/>
        <v>1</v>
      </c>
      <c r="N20">
        <f t="shared" si="2"/>
        <v>1</v>
      </c>
      <c r="O20">
        <f t="shared" si="2"/>
        <v>1</v>
      </c>
      <c r="P20">
        <f t="shared" si="2"/>
        <v>1</v>
      </c>
      <c r="Q20">
        <f t="shared" si="2"/>
        <v>1</v>
      </c>
      <c r="R20">
        <f t="shared" si="2"/>
        <v>1</v>
      </c>
      <c r="S20">
        <f t="shared" si="3"/>
        <v>1</v>
      </c>
      <c r="T20">
        <f t="shared" si="3"/>
        <v>1</v>
      </c>
      <c r="U20">
        <f t="shared" si="3"/>
        <v>1</v>
      </c>
      <c r="V20">
        <f t="shared" si="3"/>
        <v>1</v>
      </c>
      <c r="W20">
        <f t="shared" si="3"/>
        <v>1</v>
      </c>
      <c r="X20">
        <f t="shared" si="3"/>
        <v>1</v>
      </c>
      <c r="Y20">
        <f t="shared" si="3"/>
        <v>1</v>
      </c>
      <c r="Z20">
        <f t="shared" si="3"/>
        <v>1</v>
      </c>
      <c r="AA20">
        <f t="shared" si="3"/>
        <v>1</v>
      </c>
      <c r="AB20">
        <f t="shared" si="3"/>
        <v>1</v>
      </c>
      <c r="AC20">
        <f t="shared" si="3"/>
        <v>1</v>
      </c>
      <c r="AD20">
        <f t="shared" si="3"/>
        <v>1</v>
      </c>
      <c r="AE20">
        <f t="shared" si="3"/>
        <v>1</v>
      </c>
      <c r="AF20">
        <f t="shared" si="3"/>
        <v>1</v>
      </c>
      <c r="AG20">
        <f t="shared" si="3"/>
        <v>1</v>
      </c>
      <c r="AH20">
        <f t="shared" si="3"/>
        <v>1</v>
      </c>
      <c r="AI20">
        <f t="shared" si="3"/>
        <v>1</v>
      </c>
      <c r="AJ20">
        <f t="shared" si="3"/>
        <v>1</v>
      </c>
      <c r="AK20">
        <f t="shared" si="3"/>
        <v>1</v>
      </c>
      <c r="AL20">
        <f t="shared" si="3"/>
        <v>1</v>
      </c>
      <c r="AM20">
        <f t="shared" si="3"/>
        <v>1</v>
      </c>
      <c r="AN20">
        <f t="shared" si="3"/>
        <v>1</v>
      </c>
      <c r="AO20">
        <f t="shared" si="3"/>
        <v>1</v>
      </c>
      <c r="AP20">
        <f t="shared" si="4"/>
        <v>1</v>
      </c>
    </row>
    <row r="21" spans="1:42" x14ac:dyDescent="0.2">
      <c r="A21" t="s">
        <v>392</v>
      </c>
      <c r="B21">
        <f>'Start Year Energy'!G75</f>
        <v>1</v>
      </c>
      <c r="C21">
        <f t="shared" si="2"/>
        <v>1</v>
      </c>
      <c r="D21">
        <f t="shared" si="2"/>
        <v>1</v>
      </c>
      <c r="E21">
        <f t="shared" si="2"/>
        <v>1</v>
      </c>
      <c r="F21">
        <f t="shared" si="2"/>
        <v>1</v>
      </c>
      <c r="G21">
        <f t="shared" si="2"/>
        <v>1</v>
      </c>
      <c r="H21">
        <f t="shared" si="2"/>
        <v>1</v>
      </c>
      <c r="I21">
        <f t="shared" si="2"/>
        <v>1</v>
      </c>
      <c r="J21">
        <f t="shared" si="2"/>
        <v>1</v>
      </c>
      <c r="K21">
        <f t="shared" si="2"/>
        <v>1</v>
      </c>
      <c r="L21">
        <f t="shared" si="2"/>
        <v>1</v>
      </c>
      <c r="M21">
        <f t="shared" si="2"/>
        <v>1</v>
      </c>
      <c r="N21">
        <f t="shared" si="2"/>
        <v>1</v>
      </c>
      <c r="O21">
        <f t="shared" si="2"/>
        <v>1</v>
      </c>
      <c r="P21">
        <f t="shared" si="2"/>
        <v>1</v>
      </c>
      <c r="Q21">
        <f t="shared" si="2"/>
        <v>1</v>
      </c>
      <c r="R21">
        <f t="shared" si="2"/>
        <v>1</v>
      </c>
      <c r="S21">
        <f t="shared" si="3"/>
        <v>1</v>
      </c>
      <c r="T21">
        <f t="shared" si="3"/>
        <v>1</v>
      </c>
      <c r="U21">
        <f t="shared" si="3"/>
        <v>1</v>
      </c>
      <c r="V21">
        <f t="shared" si="3"/>
        <v>1</v>
      </c>
      <c r="W21">
        <f t="shared" si="3"/>
        <v>1</v>
      </c>
      <c r="X21">
        <f t="shared" si="3"/>
        <v>1</v>
      </c>
      <c r="Y21">
        <f t="shared" si="3"/>
        <v>1</v>
      </c>
      <c r="Z21">
        <f t="shared" si="3"/>
        <v>1</v>
      </c>
      <c r="AA21">
        <f t="shared" si="3"/>
        <v>1</v>
      </c>
      <c r="AB21">
        <f t="shared" si="3"/>
        <v>1</v>
      </c>
      <c r="AC21">
        <f t="shared" si="3"/>
        <v>1</v>
      </c>
      <c r="AD21">
        <f t="shared" si="3"/>
        <v>1</v>
      </c>
      <c r="AE21">
        <f t="shared" si="3"/>
        <v>1</v>
      </c>
      <c r="AF21">
        <f t="shared" si="3"/>
        <v>1</v>
      </c>
      <c r="AG21">
        <f t="shared" si="3"/>
        <v>1</v>
      </c>
      <c r="AH21">
        <f t="shared" si="3"/>
        <v>1</v>
      </c>
      <c r="AI21">
        <f t="shared" si="3"/>
        <v>1</v>
      </c>
      <c r="AJ21">
        <f t="shared" si="3"/>
        <v>1</v>
      </c>
      <c r="AK21">
        <f t="shared" si="3"/>
        <v>1</v>
      </c>
      <c r="AL21">
        <f t="shared" si="3"/>
        <v>1</v>
      </c>
      <c r="AM21">
        <f t="shared" si="3"/>
        <v>1</v>
      </c>
      <c r="AN21">
        <f t="shared" si="3"/>
        <v>1</v>
      </c>
      <c r="AO21">
        <f t="shared" si="3"/>
        <v>1</v>
      </c>
      <c r="AP21">
        <f t="shared" si="4"/>
        <v>1</v>
      </c>
    </row>
    <row r="22" spans="1:42" x14ac:dyDescent="0.2">
      <c r="A22" t="s">
        <v>393</v>
      </c>
      <c r="B22">
        <f>'Start Year Energy'!G76</f>
        <v>1</v>
      </c>
      <c r="C22">
        <f t="shared" si="2"/>
        <v>1</v>
      </c>
      <c r="D22">
        <f t="shared" si="2"/>
        <v>1</v>
      </c>
      <c r="E22">
        <f t="shared" si="2"/>
        <v>1</v>
      </c>
      <c r="F22">
        <f t="shared" si="2"/>
        <v>1</v>
      </c>
      <c r="G22">
        <f t="shared" si="2"/>
        <v>1</v>
      </c>
      <c r="H22">
        <f t="shared" si="2"/>
        <v>1</v>
      </c>
      <c r="I22">
        <f t="shared" si="2"/>
        <v>1</v>
      </c>
      <c r="J22">
        <f t="shared" si="2"/>
        <v>1</v>
      </c>
      <c r="K22">
        <f t="shared" si="2"/>
        <v>1</v>
      </c>
      <c r="L22">
        <f t="shared" si="2"/>
        <v>1</v>
      </c>
      <c r="M22">
        <f t="shared" si="2"/>
        <v>1</v>
      </c>
      <c r="N22">
        <f t="shared" si="2"/>
        <v>1</v>
      </c>
      <c r="O22">
        <f t="shared" si="2"/>
        <v>1</v>
      </c>
      <c r="P22">
        <f t="shared" si="2"/>
        <v>1</v>
      </c>
      <c r="Q22">
        <f t="shared" si="2"/>
        <v>1</v>
      </c>
      <c r="R22">
        <f t="shared" si="2"/>
        <v>1</v>
      </c>
      <c r="S22">
        <f t="shared" si="3"/>
        <v>1</v>
      </c>
      <c r="T22">
        <f t="shared" si="3"/>
        <v>1</v>
      </c>
      <c r="U22">
        <f t="shared" si="3"/>
        <v>1</v>
      </c>
      <c r="V22">
        <f t="shared" si="3"/>
        <v>1</v>
      </c>
      <c r="W22">
        <f t="shared" si="3"/>
        <v>1</v>
      </c>
      <c r="X22">
        <f t="shared" si="3"/>
        <v>1</v>
      </c>
      <c r="Y22">
        <f t="shared" si="3"/>
        <v>1</v>
      </c>
      <c r="Z22">
        <f t="shared" si="3"/>
        <v>1</v>
      </c>
      <c r="AA22">
        <f t="shared" si="3"/>
        <v>1</v>
      </c>
      <c r="AB22">
        <f t="shared" si="3"/>
        <v>1</v>
      </c>
      <c r="AC22">
        <f t="shared" si="3"/>
        <v>1</v>
      </c>
      <c r="AD22">
        <f t="shared" si="3"/>
        <v>1</v>
      </c>
      <c r="AE22">
        <f t="shared" si="3"/>
        <v>1</v>
      </c>
      <c r="AF22">
        <f t="shared" si="3"/>
        <v>1</v>
      </c>
      <c r="AG22">
        <f t="shared" si="3"/>
        <v>1</v>
      </c>
      <c r="AH22">
        <f t="shared" si="3"/>
        <v>1</v>
      </c>
      <c r="AI22">
        <f t="shared" si="3"/>
        <v>1</v>
      </c>
      <c r="AJ22">
        <f t="shared" si="3"/>
        <v>1</v>
      </c>
      <c r="AK22">
        <f t="shared" si="3"/>
        <v>1</v>
      </c>
      <c r="AL22">
        <f t="shared" si="3"/>
        <v>1</v>
      </c>
      <c r="AM22">
        <f t="shared" si="3"/>
        <v>1</v>
      </c>
      <c r="AN22">
        <f t="shared" si="3"/>
        <v>1</v>
      </c>
      <c r="AO22">
        <f t="shared" si="3"/>
        <v>1</v>
      </c>
      <c r="AP22">
        <f t="shared" si="4"/>
        <v>1</v>
      </c>
    </row>
    <row r="23" spans="1:42" x14ac:dyDescent="0.2">
      <c r="A23" t="s">
        <v>394</v>
      </c>
      <c r="B23">
        <f>'Start Year Energy'!G77</f>
        <v>1</v>
      </c>
      <c r="C23">
        <f t="shared" si="2"/>
        <v>1</v>
      </c>
      <c r="D23">
        <f t="shared" si="2"/>
        <v>1</v>
      </c>
      <c r="E23">
        <f t="shared" si="2"/>
        <v>1</v>
      </c>
      <c r="F23">
        <f t="shared" si="2"/>
        <v>1</v>
      </c>
      <c r="G23">
        <f t="shared" si="2"/>
        <v>1</v>
      </c>
      <c r="H23">
        <f t="shared" si="2"/>
        <v>1</v>
      </c>
      <c r="I23">
        <f t="shared" si="2"/>
        <v>1</v>
      </c>
      <c r="J23">
        <f t="shared" si="2"/>
        <v>1</v>
      </c>
      <c r="K23">
        <f t="shared" si="2"/>
        <v>1</v>
      </c>
      <c r="L23">
        <f t="shared" si="2"/>
        <v>1</v>
      </c>
      <c r="M23">
        <f t="shared" si="2"/>
        <v>1</v>
      </c>
      <c r="N23">
        <f t="shared" si="2"/>
        <v>1</v>
      </c>
      <c r="O23">
        <f t="shared" si="2"/>
        <v>1</v>
      </c>
      <c r="P23">
        <f t="shared" si="2"/>
        <v>1</v>
      </c>
      <c r="Q23">
        <f t="shared" si="2"/>
        <v>1</v>
      </c>
      <c r="R23">
        <f t="shared" si="2"/>
        <v>1</v>
      </c>
      <c r="S23">
        <f t="shared" si="3"/>
        <v>1</v>
      </c>
      <c r="T23">
        <f t="shared" si="3"/>
        <v>1</v>
      </c>
      <c r="U23">
        <f t="shared" si="3"/>
        <v>1</v>
      </c>
      <c r="V23">
        <f t="shared" si="3"/>
        <v>1</v>
      </c>
      <c r="W23">
        <f t="shared" si="3"/>
        <v>1</v>
      </c>
      <c r="X23">
        <f t="shared" si="3"/>
        <v>1</v>
      </c>
      <c r="Y23">
        <f t="shared" si="3"/>
        <v>1</v>
      </c>
      <c r="Z23">
        <f t="shared" si="3"/>
        <v>1</v>
      </c>
      <c r="AA23">
        <f t="shared" si="3"/>
        <v>1</v>
      </c>
      <c r="AB23">
        <f t="shared" si="3"/>
        <v>1</v>
      </c>
      <c r="AC23">
        <f t="shared" si="3"/>
        <v>1</v>
      </c>
      <c r="AD23">
        <f t="shared" si="3"/>
        <v>1</v>
      </c>
      <c r="AE23">
        <f t="shared" si="3"/>
        <v>1</v>
      </c>
      <c r="AF23">
        <f t="shared" si="3"/>
        <v>1</v>
      </c>
      <c r="AG23">
        <f t="shared" si="3"/>
        <v>1</v>
      </c>
      <c r="AH23">
        <f t="shared" si="3"/>
        <v>1</v>
      </c>
      <c r="AI23">
        <f t="shared" si="3"/>
        <v>1</v>
      </c>
      <c r="AJ23">
        <f t="shared" si="3"/>
        <v>1</v>
      </c>
      <c r="AK23">
        <f t="shared" si="3"/>
        <v>1</v>
      </c>
      <c r="AL23">
        <f t="shared" si="3"/>
        <v>1</v>
      </c>
      <c r="AM23">
        <f t="shared" si="3"/>
        <v>1</v>
      </c>
      <c r="AN23">
        <f t="shared" si="3"/>
        <v>1</v>
      </c>
      <c r="AO23">
        <f t="shared" si="3"/>
        <v>1</v>
      </c>
      <c r="AP23">
        <f t="shared" si="4"/>
        <v>1</v>
      </c>
    </row>
    <row r="24" spans="1:42" x14ac:dyDescent="0.2">
      <c r="A24" t="s">
        <v>395</v>
      </c>
      <c r="B24">
        <f>'Start Year Energy'!G78</f>
        <v>1</v>
      </c>
      <c r="C24">
        <f t="shared" si="2"/>
        <v>1</v>
      </c>
      <c r="D24">
        <f t="shared" si="2"/>
        <v>1</v>
      </c>
      <c r="E24">
        <f t="shared" si="2"/>
        <v>1</v>
      </c>
      <c r="F24">
        <f t="shared" si="2"/>
        <v>1</v>
      </c>
      <c r="G24">
        <f t="shared" si="2"/>
        <v>1</v>
      </c>
      <c r="H24">
        <f t="shared" si="2"/>
        <v>1</v>
      </c>
      <c r="I24">
        <f t="shared" si="2"/>
        <v>1</v>
      </c>
      <c r="J24">
        <f t="shared" si="2"/>
        <v>1</v>
      </c>
      <c r="K24">
        <f t="shared" si="2"/>
        <v>1</v>
      </c>
      <c r="L24">
        <f t="shared" si="2"/>
        <v>1</v>
      </c>
      <c r="M24">
        <f t="shared" si="2"/>
        <v>1</v>
      </c>
      <c r="N24">
        <f t="shared" si="2"/>
        <v>1</v>
      </c>
      <c r="O24">
        <f t="shared" si="2"/>
        <v>1</v>
      </c>
      <c r="P24">
        <f t="shared" si="2"/>
        <v>1</v>
      </c>
      <c r="Q24">
        <f t="shared" si="2"/>
        <v>1</v>
      </c>
      <c r="R24">
        <f t="shared" si="2"/>
        <v>1</v>
      </c>
      <c r="S24">
        <f t="shared" si="3"/>
        <v>1</v>
      </c>
      <c r="T24">
        <f t="shared" si="3"/>
        <v>1</v>
      </c>
      <c r="U24">
        <f t="shared" si="3"/>
        <v>1</v>
      </c>
      <c r="V24">
        <f t="shared" si="3"/>
        <v>1</v>
      </c>
      <c r="W24">
        <f t="shared" si="3"/>
        <v>1</v>
      </c>
      <c r="X24">
        <f t="shared" si="3"/>
        <v>1</v>
      </c>
      <c r="Y24">
        <f t="shared" si="3"/>
        <v>1</v>
      </c>
      <c r="Z24">
        <f t="shared" si="3"/>
        <v>1</v>
      </c>
      <c r="AA24">
        <f t="shared" si="3"/>
        <v>1</v>
      </c>
      <c r="AB24">
        <f t="shared" si="3"/>
        <v>1</v>
      </c>
      <c r="AC24">
        <f t="shared" si="3"/>
        <v>1</v>
      </c>
      <c r="AD24">
        <f t="shared" si="3"/>
        <v>1</v>
      </c>
      <c r="AE24">
        <f t="shared" si="3"/>
        <v>1</v>
      </c>
      <c r="AF24">
        <f t="shared" ref="AF24:AP26" si="5">$B24</f>
        <v>1</v>
      </c>
      <c r="AG24">
        <f t="shared" si="5"/>
        <v>1</v>
      </c>
      <c r="AH24">
        <f t="shared" si="5"/>
        <v>1</v>
      </c>
      <c r="AI24">
        <f t="shared" si="5"/>
        <v>1</v>
      </c>
      <c r="AJ24">
        <f t="shared" si="5"/>
        <v>1</v>
      </c>
      <c r="AK24">
        <f t="shared" si="5"/>
        <v>1</v>
      </c>
      <c r="AL24">
        <f t="shared" si="5"/>
        <v>1</v>
      </c>
      <c r="AM24">
        <f t="shared" si="5"/>
        <v>1</v>
      </c>
      <c r="AN24">
        <f t="shared" si="5"/>
        <v>1</v>
      </c>
      <c r="AO24">
        <f t="shared" si="5"/>
        <v>1</v>
      </c>
      <c r="AP24">
        <f t="shared" si="5"/>
        <v>1</v>
      </c>
    </row>
    <row r="25" spans="1:42" x14ac:dyDescent="0.2">
      <c r="A25" t="s">
        <v>396</v>
      </c>
      <c r="B25">
        <f>'Start Year Energy'!G79</f>
        <v>1</v>
      </c>
      <c r="C25">
        <f t="shared" si="2"/>
        <v>1</v>
      </c>
      <c r="D25">
        <f t="shared" si="2"/>
        <v>1</v>
      </c>
      <c r="E25">
        <f t="shared" si="2"/>
        <v>1</v>
      </c>
      <c r="F25">
        <f t="shared" si="2"/>
        <v>1</v>
      </c>
      <c r="G25">
        <f t="shared" si="2"/>
        <v>1</v>
      </c>
      <c r="H25">
        <f t="shared" si="2"/>
        <v>1</v>
      </c>
      <c r="I25">
        <f t="shared" si="2"/>
        <v>1</v>
      </c>
      <c r="J25">
        <f t="shared" si="2"/>
        <v>1</v>
      </c>
      <c r="K25">
        <f t="shared" si="2"/>
        <v>1</v>
      </c>
      <c r="L25">
        <f t="shared" si="2"/>
        <v>1</v>
      </c>
      <c r="M25">
        <f t="shared" si="2"/>
        <v>1</v>
      </c>
      <c r="N25">
        <f t="shared" si="2"/>
        <v>1</v>
      </c>
      <c r="O25">
        <f t="shared" si="2"/>
        <v>1</v>
      </c>
      <c r="P25">
        <f t="shared" si="2"/>
        <v>1</v>
      </c>
      <c r="Q25">
        <f t="shared" si="2"/>
        <v>1</v>
      </c>
      <c r="R25">
        <f t="shared" si="2"/>
        <v>1</v>
      </c>
      <c r="S25">
        <f t="shared" ref="S25:AF25" si="6">$B25</f>
        <v>1</v>
      </c>
      <c r="T25">
        <f t="shared" si="6"/>
        <v>1</v>
      </c>
      <c r="U25">
        <f t="shared" si="6"/>
        <v>1</v>
      </c>
      <c r="V25">
        <f t="shared" si="6"/>
        <v>1</v>
      </c>
      <c r="W25">
        <f t="shared" si="6"/>
        <v>1</v>
      </c>
      <c r="X25">
        <f t="shared" si="6"/>
        <v>1</v>
      </c>
      <c r="Y25">
        <f t="shared" si="6"/>
        <v>1</v>
      </c>
      <c r="Z25">
        <f t="shared" si="6"/>
        <v>1</v>
      </c>
      <c r="AA25">
        <f t="shared" si="6"/>
        <v>1</v>
      </c>
      <c r="AB25">
        <f t="shared" si="6"/>
        <v>1</v>
      </c>
      <c r="AC25">
        <f t="shared" si="6"/>
        <v>1</v>
      </c>
      <c r="AD25">
        <f t="shared" si="6"/>
        <v>1</v>
      </c>
      <c r="AE25">
        <f t="shared" si="6"/>
        <v>1</v>
      </c>
      <c r="AF25">
        <f t="shared" si="6"/>
        <v>1</v>
      </c>
      <c r="AG25">
        <f t="shared" si="5"/>
        <v>1</v>
      </c>
      <c r="AH25">
        <f t="shared" si="5"/>
        <v>1</v>
      </c>
      <c r="AI25">
        <f t="shared" si="5"/>
        <v>1</v>
      </c>
      <c r="AJ25">
        <f t="shared" si="5"/>
        <v>1</v>
      </c>
      <c r="AK25">
        <f t="shared" si="5"/>
        <v>1</v>
      </c>
      <c r="AL25">
        <f t="shared" si="5"/>
        <v>1</v>
      </c>
      <c r="AM25">
        <f t="shared" si="5"/>
        <v>1</v>
      </c>
      <c r="AN25">
        <f t="shared" si="5"/>
        <v>1</v>
      </c>
      <c r="AO25">
        <f t="shared" si="5"/>
        <v>1</v>
      </c>
      <c r="AP25">
        <f t="shared" si="5"/>
        <v>1</v>
      </c>
    </row>
    <row r="26" spans="1:42" x14ac:dyDescent="0.2">
      <c r="A26" t="s">
        <v>397</v>
      </c>
      <c r="B26">
        <f>'Start Year Energy'!G80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B4AF8-70FC-4E3C-875C-7C398F639601}">
  <sheetPr codeName="Sheet26">
    <tabColor theme="4"/>
  </sheetPr>
  <dimension ref="A1:AP26"/>
  <sheetViews>
    <sheetView workbookViewId="0">
      <selection activeCell="A2" sqref="A2:XFD26"/>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Energy'!I56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Energy'!I57</f>
        <v>0.87312489701786933</v>
      </c>
      <c r="C3">
        <f t="shared" ref="C3:R26" si="2">$B3</f>
        <v>0.87312489701786933</v>
      </c>
      <c r="D3">
        <f t="shared" si="2"/>
        <v>0.87312489701786933</v>
      </c>
      <c r="E3">
        <f t="shared" si="2"/>
        <v>0.87312489701786933</v>
      </c>
      <c r="F3">
        <f t="shared" si="2"/>
        <v>0.87312489701786933</v>
      </c>
      <c r="G3">
        <f t="shared" si="2"/>
        <v>0.87312489701786933</v>
      </c>
      <c r="H3">
        <f t="shared" si="2"/>
        <v>0.87312489701786933</v>
      </c>
      <c r="I3">
        <f t="shared" si="2"/>
        <v>0.87312489701786933</v>
      </c>
      <c r="J3">
        <f t="shared" si="2"/>
        <v>0.87312489701786933</v>
      </c>
      <c r="K3">
        <f t="shared" si="2"/>
        <v>0.87312489701786933</v>
      </c>
      <c r="L3">
        <f t="shared" si="2"/>
        <v>0.87312489701786933</v>
      </c>
      <c r="M3">
        <f t="shared" si="2"/>
        <v>0.87312489701786933</v>
      </c>
      <c r="N3">
        <f t="shared" si="2"/>
        <v>0.87312489701786933</v>
      </c>
      <c r="O3">
        <f t="shared" si="2"/>
        <v>0.87312489701786933</v>
      </c>
      <c r="P3">
        <f t="shared" si="2"/>
        <v>0.87312489701786933</v>
      </c>
      <c r="Q3">
        <f t="shared" si="2"/>
        <v>0.87312489701786933</v>
      </c>
      <c r="R3">
        <f t="shared" si="2"/>
        <v>0.87312489701786933</v>
      </c>
      <c r="S3">
        <f t="shared" si="0"/>
        <v>0.87312489701786933</v>
      </c>
      <c r="T3">
        <f t="shared" si="0"/>
        <v>0.87312489701786933</v>
      </c>
      <c r="U3">
        <f t="shared" si="0"/>
        <v>0.87312489701786933</v>
      </c>
      <c r="V3">
        <f t="shared" si="0"/>
        <v>0.87312489701786933</v>
      </c>
      <c r="W3">
        <f t="shared" si="0"/>
        <v>0.87312489701786933</v>
      </c>
      <c r="X3">
        <f t="shared" si="0"/>
        <v>0.87312489701786933</v>
      </c>
      <c r="Y3">
        <f t="shared" si="0"/>
        <v>0.87312489701786933</v>
      </c>
      <c r="Z3">
        <f t="shared" si="0"/>
        <v>0.87312489701786933</v>
      </c>
      <c r="AA3">
        <f t="shared" si="0"/>
        <v>0.87312489701786933</v>
      </c>
      <c r="AB3">
        <f t="shared" si="0"/>
        <v>0.87312489701786933</v>
      </c>
      <c r="AC3">
        <f t="shared" si="0"/>
        <v>0.87312489701786933</v>
      </c>
      <c r="AD3">
        <f t="shared" si="0"/>
        <v>0.87312489701786933</v>
      </c>
      <c r="AE3">
        <f t="shared" si="0"/>
        <v>0.87312489701786933</v>
      </c>
      <c r="AF3">
        <f t="shared" si="0"/>
        <v>0.87312489701786933</v>
      </c>
      <c r="AG3">
        <f t="shared" si="1"/>
        <v>0.87312489701786933</v>
      </c>
      <c r="AH3">
        <f t="shared" si="1"/>
        <v>0.87312489701786933</v>
      </c>
      <c r="AI3">
        <f t="shared" si="1"/>
        <v>0.87312489701786933</v>
      </c>
      <c r="AJ3">
        <f t="shared" si="1"/>
        <v>0.87312489701786933</v>
      </c>
      <c r="AK3">
        <f t="shared" si="1"/>
        <v>0.87312489701786933</v>
      </c>
      <c r="AL3">
        <f t="shared" si="1"/>
        <v>0.87312489701786933</v>
      </c>
      <c r="AM3">
        <f t="shared" si="1"/>
        <v>0.87312489701786933</v>
      </c>
      <c r="AN3">
        <f t="shared" si="1"/>
        <v>0.87312489701786933</v>
      </c>
      <c r="AO3">
        <f t="shared" si="1"/>
        <v>0.87312489701786933</v>
      </c>
      <c r="AP3">
        <f t="shared" si="1"/>
        <v>0.87312489701786933</v>
      </c>
    </row>
    <row r="4" spans="1:42" x14ac:dyDescent="0.2">
      <c r="A4" t="s">
        <v>375</v>
      </c>
      <c r="B4">
        <f>'Start Year Energy'!I58</f>
        <v>0.99849868534938535</v>
      </c>
      <c r="C4">
        <f t="shared" si="2"/>
        <v>0.99849868534938535</v>
      </c>
      <c r="D4">
        <f t="shared" si="0"/>
        <v>0.99849868534938535</v>
      </c>
      <c r="E4">
        <f t="shared" si="0"/>
        <v>0.99849868534938535</v>
      </c>
      <c r="F4">
        <f t="shared" si="0"/>
        <v>0.99849868534938535</v>
      </c>
      <c r="G4">
        <f t="shared" si="0"/>
        <v>0.99849868534938535</v>
      </c>
      <c r="H4">
        <f t="shared" si="0"/>
        <v>0.99849868534938535</v>
      </c>
      <c r="I4">
        <f t="shared" si="0"/>
        <v>0.99849868534938535</v>
      </c>
      <c r="J4">
        <f t="shared" si="0"/>
        <v>0.99849868534938535</v>
      </c>
      <c r="K4">
        <f t="shared" si="0"/>
        <v>0.99849868534938535</v>
      </c>
      <c r="L4">
        <f t="shared" si="0"/>
        <v>0.99849868534938535</v>
      </c>
      <c r="M4">
        <f t="shared" si="0"/>
        <v>0.99849868534938535</v>
      </c>
      <c r="N4">
        <f t="shared" si="0"/>
        <v>0.99849868534938535</v>
      </c>
      <c r="O4">
        <f t="shared" si="0"/>
        <v>0.99849868534938535</v>
      </c>
      <c r="P4">
        <f t="shared" si="0"/>
        <v>0.99849868534938535</v>
      </c>
      <c r="Q4">
        <f t="shared" si="0"/>
        <v>0.99849868534938535</v>
      </c>
      <c r="R4">
        <f t="shared" si="0"/>
        <v>0.99849868534938535</v>
      </c>
      <c r="S4">
        <f t="shared" si="0"/>
        <v>0.99849868534938535</v>
      </c>
      <c r="T4">
        <f t="shared" si="0"/>
        <v>0.99849868534938535</v>
      </c>
      <c r="U4">
        <f t="shared" si="0"/>
        <v>0.99849868534938535</v>
      </c>
      <c r="V4">
        <f t="shared" si="0"/>
        <v>0.99849868534938535</v>
      </c>
      <c r="W4">
        <f t="shared" si="0"/>
        <v>0.99849868534938535</v>
      </c>
      <c r="X4">
        <f t="shared" si="0"/>
        <v>0.99849868534938535</v>
      </c>
      <c r="Y4">
        <f t="shared" si="0"/>
        <v>0.99849868534938535</v>
      </c>
      <c r="Z4">
        <f t="shared" si="0"/>
        <v>0.99849868534938535</v>
      </c>
      <c r="AA4">
        <f t="shared" si="0"/>
        <v>0.99849868534938535</v>
      </c>
      <c r="AB4">
        <f t="shared" si="0"/>
        <v>0.99849868534938535</v>
      </c>
      <c r="AC4">
        <f t="shared" si="0"/>
        <v>0.99849868534938535</v>
      </c>
      <c r="AD4">
        <f t="shared" si="0"/>
        <v>0.99849868534938535</v>
      </c>
      <c r="AE4">
        <f t="shared" si="0"/>
        <v>0.99849868534938535</v>
      </c>
      <c r="AF4">
        <f t="shared" si="0"/>
        <v>0.99849868534938535</v>
      </c>
      <c r="AG4">
        <f t="shared" si="1"/>
        <v>0.99849868534938535</v>
      </c>
      <c r="AH4">
        <f t="shared" si="1"/>
        <v>0.99849868534938535</v>
      </c>
      <c r="AI4">
        <f t="shared" si="1"/>
        <v>0.99849868534938535</v>
      </c>
      <c r="AJ4">
        <f t="shared" si="1"/>
        <v>0.99849868534938535</v>
      </c>
      <c r="AK4">
        <f t="shared" si="1"/>
        <v>0.99849868534938535</v>
      </c>
      <c r="AL4">
        <f t="shared" si="1"/>
        <v>0.99849868534938535</v>
      </c>
      <c r="AM4">
        <f t="shared" si="1"/>
        <v>0.99849868534938535</v>
      </c>
      <c r="AN4">
        <f t="shared" si="1"/>
        <v>0.99849868534938535</v>
      </c>
      <c r="AO4">
        <f t="shared" si="1"/>
        <v>0.99849868534938535</v>
      </c>
      <c r="AP4">
        <f t="shared" si="1"/>
        <v>0.99849868534938535</v>
      </c>
    </row>
    <row r="5" spans="1:42" x14ac:dyDescent="0.2">
      <c r="A5" t="s">
        <v>376</v>
      </c>
      <c r="B5">
        <f>'Start Year Energy'!I59</f>
        <v>0.847413840149282</v>
      </c>
      <c r="C5">
        <f t="shared" si="2"/>
        <v>0.847413840149282</v>
      </c>
      <c r="D5">
        <f t="shared" si="0"/>
        <v>0.847413840149282</v>
      </c>
      <c r="E5">
        <f t="shared" si="0"/>
        <v>0.847413840149282</v>
      </c>
      <c r="F5">
        <f t="shared" si="0"/>
        <v>0.847413840149282</v>
      </c>
      <c r="G5">
        <f t="shared" si="0"/>
        <v>0.847413840149282</v>
      </c>
      <c r="H5">
        <f t="shared" si="0"/>
        <v>0.847413840149282</v>
      </c>
      <c r="I5">
        <f t="shared" si="0"/>
        <v>0.847413840149282</v>
      </c>
      <c r="J5">
        <f t="shared" si="0"/>
        <v>0.847413840149282</v>
      </c>
      <c r="K5">
        <f t="shared" si="0"/>
        <v>0.847413840149282</v>
      </c>
      <c r="L5">
        <f t="shared" si="0"/>
        <v>0.847413840149282</v>
      </c>
      <c r="M5">
        <f t="shared" si="0"/>
        <v>0.847413840149282</v>
      </c>
      <c r="N5">
        <f t="shared" si="0"/>
        <v>0.847413840149282</v>
      </c>
      <c r="O5">
        <f t="shared" si="0"/>
        <v>0.847413840149282</v>
      </c>
      <c r="P5">
        <f t="shared" si="0"/>
        <v>0.847413840149282</v>
      </c>
      <c r="Q5">
        <f t="shared" si="0"/>
        <v>0.847413840149282</v>
      </c>
      <c r="R5">
        <f t="shared" si="0"/>
        <v>0.847413840149282</v>
      </c>
      <c r="S5">
        <f t="shared" si="0"/>
        <v>0.847413840149282</v>
      </c>
      <c r="T5">
        <f t="shared" si="0"/>
        <v>0.847413840149282</v>
      </c>
      <c r="U5">
        <f t="shared" si="0"/>
        <v>0.847413840149282</v>
      </c>
      <c r="V5">
        <f t="shared" si="0"/>
        <v>0.847413840149282</v>
      </c>
      <c r="W5">
        <f t="shared" si="0"/>
        <v>0.847413840149282</v>
      </c>
      <c r="X5">
        <f t="shared" si="0"/>
        <v>0.847413840149282</v>
      </c>
      <c r="Y5">
        <f t="shared" si="0"/>
        <v>0.847413840149282</v>
      </c>
      <c r="Z5">
        <f t="shared" si="0"/>
        <v>0.847413840149282</v>
      </c>
      <c r="AA5">
        <f t="shared" si="0"/>
        <v>0.847413840149282</v>
      </c>
      <c r="AB5">
        <f t="shared" si="0"/>
        <v>0.847413840149282</v>
      </c>
      <c r="AC5">
        <f t="shared" si="0"/>
        <v>0.847413840149282</v>
      </c>
      <c r="AD5">
        <f t="shared" si="0"/>
        <v>0.847413840149282</v>
      </c>
      <c r="AE5">
        <f t="shared" si="0"/>
        <v>0.847413840149282</v>
      </c>
      <c r="AF5">
        <f t="shared" si="0"/>
        <v>0.847413840149282</v>
      </c>
      <c r="AG5">
        <f t="shared" si="1"/>
        <v>0.847413840149282</v>
      </c>
      <c r="AH5">
        <f t="shared" si="1"/>
        <v>0.847413840149282</v>
      </c>
      <c r="AI5">
        <f t="shared" si="1"/>
        <v>0.847413840149282</v>
      </c>
      <c r="AJ5">
        <f t="shared" si="1"/>
        <v>0.847413840149282</v>
      </c>
      <c r="AK5">
        <f t="shared" si="1"/>
        <v>0.847413840149282</v>
      </c>
      <c r="AL5">
        <f t="shared" si="1"/>
        <v>0.847413840149282</v>
      </c>
      <c r="AM5">
        <f t="shared" si="1"/>
        <v>0.847413840149282</v>
      </c>
      <c r="AN5">
        <f t="shared" si="1"/>
        <v>0.847413840149282</v>
      </c>
      <c r="AO5">
        <f t="shared" si="1"/>
        <v>0.847413840149282</v>
      </c>
      <c r="AP5">
        <f t="shared" si="1"/>
        <v>0.847413840149282</v>
      </c>
    </row>
    <row r="6" spans="1:42" x14ac:dyDescent="0.2">
      <c r="A6" t="s">
        <v>377</v>
      </c>
      <c r="B6">
        <f>'Start Year Energy'!I60</f>
        <v>0.82946491130747557</v>
      </c>
      <c r="C6">
        <f t="shared" si="2"/>
        <v>0.82946491130747557</v>
      </c>
      <c r="D6">
        <f t="shared" si="0"/>
        <v>0.82946491130747557</v>
      </c>
      <c r="E6">
        <f t="shared" si="0"/>
        <v>0.82946491130747557</v>
      </c>
      <c r="F6">
        <f t="shared" si="0"/>
        <v>0.82946491130747557</v>
      </c>
      <c r="G6">
        <f t="shared" si="0"/>
        <v>0.82946491130747557</v>
      </c>
      <c r="H6">
        <f t="shared" si="0"/>
        <v>0.82946491130747557</v>
      </c>
      <c r="I6">
        <f t="shared" si="0"/>
        <v>0.82946491130747557</v>
      </c>
      <c r="J6">
        <f t="shared" si="0"/>
        <v>0.82946491130747557</v>
      </c>
      <c r="K6">
        <f t="shared" si="0"/>
        <v>0.82946491130747557</v>
      </c>
      <c r="L6">
        <f t="shared" si="0"/>
        <v>0.82946491130747557</v>
      </c>
      <c r="M6">
        <f t="shared" si="0"/>
        <v>0.82946491130747557</v>
      </c>
      <c r="N6">
        <f t="shared" si="0"/>
        <v>0.82946491130747557</v>
      </c>
      <c r="O6">
        <f t="shared" si="0"/>
        <v>0.82946491130747557</v>
      </c>
      <c r="P6">
        <f t="shared" si="0"/>
        <v>0.82946491130747557</v>
      </c>
      <c r="Q6">
        <f t="shared" si="0"/>
        <v>0.82946491130747557</v>
      </c>
      <c r="R6">
        <f t="shared" si="0"/>
        <v>0.82946491130747557</v>
      </c>
      <c r="S6">
        <f t="shared" si="0"/>
        <v>0.82946491130747557</v>
      </c>
      <c r="T6">
        <f t="shared" si="0"/>
        <v>0.82946491130747557</v>
      </c>
      <c r="U6">
        <f t="shared" si="0"/>
        <v>0.82946491130747557</v>
      </c>
      <c r="V6">
        <f t="shared" si="0"/>
        <v>0.82946491130747557</v>
      </c>
      <c r="W6">
        <f t="shared" si="0"/>
        <v>0.82946491130747557</v>
      </c>
      <c r="X6">
        <f t="shared" si="0"/>
        <v>0.82946491130747557</v>
      </c>
      <c r="Y6">
        <f t="shared" si="0"/>
        <v>0.82946491130747557</v>
      </c>
      <c r="Z6">
        <f t="shared" si="0"/>
        <v>0.82946491130747557</v>
      </c>
      <c r="AA6">
        <f t="shared" si="0"/>
        <v>0.82946491130747557</v>
      </c>
      <c r="AB6">
        <f t="shared" si="0"/>
        <v>0.82946491130747557</v>
      </c>
      <c r="AC6">
        <f t="shared" si="0"/>
        <v>0.82946491130747557</v>
      </c>
      <c r="AD6">
        <f t="shared" si="0"/>
        <v>0.82946491130747557</v>
      </c>
      <c r="AE6">
        <f t="shared" si="0"/>
        <v>0.82946491130747557</v>
      </c>
      <c r="AF6">
        <f t="shared" si="0"/>
        <v>0.82946491130747557</v>
      </c>
      <c r="AG6">
        <f t="shared" si="1"/>
        <v>0.82946491130747557</v>
      </c>
      <c r="AH6">
        <f t="shared" si="1"/>
        <v>0.82946491130747557</v>
      </c>
      <c r="AI6">
        <f t="shared" si="1"/>
        <v>0.82946491130747557</v>
      </c>
      <c r="AJ6">
        <f t="shared" si="1"/>
        <v>0.82946491130747557</v>
      </c>
      <c r="AK6">
        <f t="shared" si="1"/>
        <v>0.82946491130747557</v>
      </c>
      <c r="AL6">
        <f t="shared" si="1"/>
        <v>0.82946491130747557</v>
      </c>
      <c r="AM6">
        <f t="shared" si="1"/>
        <v>0.82946491130747557</v>
      </c>
      <c r="AN6">
        <f t="shared" si="1"/>
        <v>0.82946491130747557</v>
      </c>
      <c r="AO6">
        <f t="shared" si="1"/>
        <v>0.82946491130747557</v>
      </c>
      <c r="AP6">
        <f t="shared" si="1"/>
        <v>0.82946491130747557</v>
      </c>
    </row>
    <row r="7" spans="1:42" x14ac:dyDescent="0.2">
      <c r="A7" t="s">
        <v>378</v>
      </c>
      <c r="B7">
        <f>'Start Year Energy'!I61</f>
        <v>0.82324782702789157</v>
      </c>
      <c r="C7">
        <f t="shared" si="2"/>
        <v>0.82324782702789157</v>
      </c>
      <c r="D7">
        <f t="shared" si="0"/>
        <v>0.82324782702789157</v>
      </c>
      <c r="E7">
        <f t="shared" si="0"/>
        <v>0.82324782702789157</v>
      </c>
      <c r="F7">
        <f t="shared" si="0"/>
        <v>0.82324782702789157</v>
      </c>
      <c r="G7">
        <f t="shared" si="0"/>
        <v>0.82324782702789157</v>
      </c>
      <c r="H7">
        <f t="shared" si="0"/>
        <v>0.82324782702789157</v>
      </c>
      <c r="I7">
        <f t="shared" si="0"/>
        <v>0.82324782702789157</v>
      </c>
      <c r="J7">
        <f t="shared" si="0"/>
        <v>0.82324782702789157</v>
      </c>
      <c r="K7">
        <f t="shared" si="0"/>
        <v>0.82324782702789157</v>
      </c>
      <c r="L7">
        <f t="shared" si="0"/>
        <v>0.82324782702789157</v>
      </c>
      <c r="M7">
        <f t="shared" si="0"/>
        <v>0.82324782702789157</v>
      </c>
      <c r="N7">
        <f t="shared" si="0"/>
        <v>0.82324782702789157</v>
      </c>
      <c r="O7">
        <f t="shared" si="0"/>
        <v>0.82324782702789157</v>
      </c>
      <c r="P7">
        <f t="shared" si="0"/>
        <v>0.82324782702789157</v>
      </c>
      <c r="Q7">
        <f t="shared" si="0"/>
        <v>0.82324782702789157</v>
      </c>
      <c r="R7">
        <f t="shared" si="0"/>
        <v>0.82324782702789157</v>
      </c>
      <c r="S7">
        <f t="shared" si="0"/>
        <v>0.82324782702789157</v>
      </c>
      <c r="T7">
        <f t="shared" si="0"/>
        <v>0.82324782702789157</v>
      </c>
      <c r="U7">
        <f t="shared" si="0"/>
        <v>0.82324782702789157</v>
      </c>
      <c r="V7">
        <f t="shared" si="0"/>
        <v>0.82324782702789157</v>
      </c>
      <c r="W7">
        <f t="shared" si="0"/>
        <v>0.82324782702789157</v>
      </c>
      <c r="X7">
        <f t="shared" si="0"/>
        <v>0.82324782702789157</v>
      </c>
      <c r="Y7">
        <f t="shared" si="0"/>
        <v>0.82324782702789157</v>
      </c>
      <c r="Z7">
        <f t="shared" si="0"/>
        <v>0.82324782702789157</v>
      </c>
      <c r="AA7">
        <f t="shared" si="0"/>
        <v>0.82324782702789157</v>
      </c>
      <c r="AB7">
        <f t="shared" si="0"/>
        <v>0.82324782702789157</v>
      </c>
      <c r="AC7">
        <f t="shared" si="0"/>
        <v>0.82324782702789157</v>
      </c>
      <c r="AD7">
        <f t="shared" si="0"/>
        <v>0.82324782702789157</v>
      </c>
      <c r="AE7">
        <f t="shared" si="0"/>
        <v>0.82324782702789157</v>
      </c>
      <c r="AF7">
        <f t="shared" si="0"/>
        <v>0.82324782702789157</v>
      </c>
      <c r="AG7">
        <f t="shared" si="1"/>
        <v>0.82324782702789157</v>
      </c>
      <c r="AH7">
        <f t="shared" si="1"/>
        <v>0.82324782702789157</v>
      </c>
      <c r="AI7">
        <f t="shared" si="1"/>
        <v>0.82324782702789157</v>
      </c>
      <c r="AJ7">
        <f t="shared" si="1"/>
        <v>0.82324782702789157</v>
      </c>
      <c r="AK7">
        <f t="shared" si="1"/>
        <v>0.82324782702789157</v>
      </c>
      <c r="AL7">
        <f t="shared" si="1"/>
        <v>0.82324782702789157</v>
      </c>
      <c r="AM7">
        <f t="shared" si="1"/>
        <v>0.82324782702789157</v>
      </c>
      <c r="AN7">
        <f t="shared" si="1"/>
        <v>0.82324782702789157</v>
      </c>
      <c r="AO7">
        <f t="shared" si="1"/>
        <v>0.82324782702789157</v>
      </c>
      <c r="AP7">
        <f t="shared" si="1"/>
        <v>0.82324782702789157</v>
      </c>
    </row>
    <row r="8" spans="1:42" x14ac:dyDescent="0.2">
      <c r="A8" t="s">
        <v>379</v>
      </c>
      <c r="B8">
        <f>'Start Year Energy'!I62</f>
        <v>0.76559705282479062</v>
      </c>
      <c r="C8">
        <f t="shared" si="2"/>
        <v>0.76559705282479062</v>
      </c>
      <c r="D8">
        <f t="shared" si="0"/>
        <v>0.76559705282479062</v>
      </c>
      <c r="E8">
        <f t="shared" si="0"/>
        <v>0.76559705282479062</v>
      </c>
      <c r="F8">
        <f t="shared" si="0"/>
        <v>0.76559705282479062</v>
      </c>
      <c r="G8">
        <f t="shared" si="0"/>
        <v>0.76559705282479062</v>
      </c>
      <c r="H8">
        <f t="shared" si="0"/>
        <v>0.76559705282479062</v>
      </c>
      <c r="I8">
        <f t="shared" si="0"/>
        <v>0.76559705282479062</v>
      </c>
      <c r="J8">
        <f t="shared" si="0"/>
        <v>0.76559705282479062</v>
      </c>
      <c r="K8">
        <f t="shared" si="0"/>
        <v>0.76559705282479062</v>
      </c>
      <c r="L8">
        <f t="shared" si="0"/>
        <v>0.76559705282479062</v>
      </c>
      <c r="M8">
        <f t="shared" si="0"/>
        <v>0.76559705282479062</v>
      </c>
      <c r="N8">
        <f t="shared" si="0"/>
        <v>0.76559705282479062</v>
      </c>
      <c r="O8">
        <f t="shared" si="0"/>
        <v>0.76559705282479062</v>
      </c>
      <c r="P8">
        <f t="shared" si="0"/>
        <v>0.76559705282479062</v>
      </c>
      <c r="Q8">
        <f t="shared" si="0"/>
        <v>0.76559705282479062</v>
      </c>
      <c r="R8">
        <f t="shared" si="0"/>
        <v>0.76559705282479062</v>
      </c>
      <c r="S8">
        <f t="shared" si="0"/>
        <v>0.76559705282479062</v>
      </c>
      <c r="T8">
        <f t="shared" si="0"/>
        <v>0.76559705282479062</v>
      </c>
      <c r="U8">
        <f t="shared" si="0"/>
        <v>0.76559705282479062</v>
      </c>
      <c r="V8">
        <f t="shared" si="0"/>
        <v>0.76559705282479062</v>
      </c>
      <c r="W8">
        <f t="shared" si="0"/>
        <v>0.76559705282479062</v>
      </c>
      <c r="X8">
        <f t="shared" si="0"/>
        <v>0.76559705282479062</v>
      </c>
      <c r="Y8">
        <f t="shared" si="0"/>
        <v>0.76559705282479062</v>
      </c>
      <c r="Z8">
        <f t="shared" si="0"/>
        <v>0.76559705282479062</v>
      </c>
      <c r="AA8">
        <f t="shared" si="0"/>
        <v>0.76559705282479062</v>
      </c>
      <c r="AB8">
        <f t="shared" si="0"/>
        <v>0.76559705282479062</v>
      </c>
      <c r="AC8">
        <f t="shared" si="0"/>
        <v>0.76559705282479062</v>
      </c>
      <c r="AD8">
        <f t="shared" si="0"/>
        <v>0.76559705282479062</v>
      </c>
      <c r="AE8">
        <f t="shared" si="0"/>
        <v>0.76559705282479062</v>
      </c>
      <c r="AF8">
        <f t="shared" si="0"/>
        <v>0.76559705282479062</v>
      </c>
      <c r="AG8">
        <f t="shared" si="1"/>
        <v>0.76559705282479062</v>
      </c>
      <c r="AH8">
        <f t="shared" si="1"/>
        <v>0.76559705282479062</v>
      </c>
      <c r="AI8">
        <f t="shared" si="1"/>
        <v>0.76559705282479062</v>
      </c>
      <c r="AJ8">
        <f t="shared" si="1"/>
        <v>0.76559705282479062</v>
      </c>
      <c r="AK8">
        <f t="shared" si="1"/>
        <v>0.76559705282479062</v>
      </c>
      <c r="AL8">
        <f t="shared" si="1"/>
        <v>0.76559705282479062</v>
      </c>
      <c r="AM8">
        <f t="shared" si="1"/>
        <v>0.76559705282479062</v>
      </c>
      <c r="AN8">
        <f t="shared" si="1"/>
        <v>0.76559705282479062</v>
      </c>
      <c r="AO8">
        <f t="shared" si="1"/>
        <v>0.76559705282479062</v>
      </c>
      <c r="AP8">
        <f t="shared" si="1"/>
        <v>0.76559705282479062</v>
      </c>
    </row>
    <row r="9" spans="1:42" x14ac:dyDescent="0.2">
      <c r="A9" t="s">
        <v>380</v>
      </c>
      <c r="B9">
        <f>'Start Year Energy'!I63</f>
        <v>0.95849710099103769</v>
      </c>
      <c r="C9">
        <f t="shared" si="2"/>
        <v>0.95849710099103769</v>
      </c>
      <c r="D9">
        <f t="shared" si="0"/>
        <v>0.95849710099103769</v>
      </c>
      <c r="E9">
        <f t="shared" si="0"/>
        <v>0.95849710099103769</v>
      </c>
      <c r="F9">
        <f t="shared" si="0"/>
        <v>0.95849710099103769</v>
      </c>
      <c r="G9">
        <f t="shared" si="0"/>
        <v>0.95849710099103769</v>
      </c>
      <c r="H9">
        <f t="shared" si="0"/>
        <v>0.95849710099103769</v>
      </c>
      <c r="I9">
        <f t="shared" si="0"/>
        <v>0.95849710099103769</v>
      </c>
      <c r="J9">
        <f t="shared" si="0"/>
        <v>0.95849710099103769</v>
      </c>
      <c r="K9">
        <f t="shared" si="0"/>
        <v>0.95849710099103769</v>
      </c>
      <c r="L9">
        <f t="shared" si="0"/>
        <v>0.95849710099103769</v>
      </c>
      <c r="M9">
        <f t="shared" si="0"/>
        <v>0.95849710099103769</v>
      </c>
      <c r="N9">
        <f t="shared" si="0"/>
        <v>0.95849710099103769</v>
      </c>
      <c r="O9">
        <f t="shared" si="0"/>
        <v>0.95849710099103769</v>
      </c>
      <c r="P9">
        <f t="shared" si="0"/>
        <v>0.95849710099103769</v>
      </c>
      <c r="Q9">
        <f t="shared" si="0"/>
        <v>0.95849710099103769</v>
      </c>
      <c r="R9">
        <f t="shared" si="0"/>
        <v>0.95849710099103769</v>
      </c>
      <c r="S9">
        <f t="shared" si="0"/>
        <v>0.95849710099103769</v>
      </c>
      <c r="T9">
        <f t="shared" si="0"/>
        <v>0.95849710099103769</v>
      </c>
      <c r="U9">
        <f t="shared" si="0"/>
        <v>0.95849710099103769</v>
      </c>
      <c r="V9">
        <f t="shared" si="0"/>
        <v>0.95849710099103769</v>
      </c>
      <c r="W9">
        <f t="shared" si="0"/>
        <v>0.95849710099103769</v>
      </c>
      <c r="X9">
        <f t="shared" si="0"/>
        <v>0.95849710099103769</v>
      </c>
      <c r="Y9">
        <f t="shared" si="0"/>
        <v>0.95849710099103769</v>
      </c>
      <c r="Z9">
        <f t="shared" si="0"/>
        <v>0.95849710099103769</v>
      </c>
      <c r="AA9">
        <f t="shared" si="0"/>
        <v>0.95849710099103769</v>
      </c>
      <c r="AB9">
        <f t="shared" si="0"/>
        <v>0.95849710099103769</v>
      </c>
      <c r="AC9">
        <f t="shared" si="0"/>
        <v>0.95849710099103769</v>
      </c>
      <c r="AD9">
        <f t="shared" si="0"/>
        <v>0.95849710099103769</v>
      </c>
      <c r="AE9">
        <f t="shared" si="0"/>
        <v>0.95849710099103769</v>
      </c>
      <c r="AF9">
        <f t="shared" si="0"/>
        <v>0.95849710099103769</v>
      </c>
      <c r="AG9">
        <f t="shared" si="1"/>
        <v>0.95849710099103769</v>
      </c>
      <c r="AH9">
        <f t="shared" si="1"/>
        <v>0.95849710099103769</v>
      </c>
      <c r="AI9">
        <f t="shared" si="1"/>
        <v>0.95849710099103769</v>
      </c>
      <c r="AJ9">
        <f t="shared" si="1"/>
        <v>0.95849710099103769</v>
      </c>
      <c r="AK9">
        <f t="shared" si="1"/>
        <v>0.95849710099103769</v>
      </c>
      <c r="AL9">
        <f t="shared" si="1"/>
        <v>0.95849710099103769</v>
      </c>
      <c r="AM9">
        <f t="shared" si="1"/>
        <v>0.95849710099103769</v>
      </c>
      <c r="AN9">
        <f t="shared" si="1"/>
        <v>0.95849710099103769</v>
      </c>
      <c r="AO9">
        <f t="shared" si="1"/>
        <v>0.95849710099103769</v>
      </c>
      <c r="AP9">
        <f t="shared" si="1"/>
        <v>0.95849710099103769</v>
      </c>
    </row>
    <row r="10" spans="1:42" x14ac:dyDescent="0.2">
      <c r="A10" t="s">
        <v>381</v>
      </c>
      <c r="B10">
        <f>'Start Year Energy'!I64</f>
        <v>0.16893377097477036</v>
      </c>
      <c r="C10">
        <f t="shared" si="2"/>
        <v>0.16893377097477036</v>
      </c>
      <c r="D10">
        <f t="shared" si="0"/>
        <v>0.16893377097477036</v>
      </c>
      <c r="E10">
        <f t="shared" si="0"/>
        <v>0.16893377097477036</v>
      </c>
      <c r="F10">
        <f t="shared" si="0"/>
        <v>0.16893377097477036</v>
      </c>
      <c r="G10">
        <f t="shared" si="0"/>
        <v>0.16893377097477036</v>
      </c>
      <c r="H10">
        <f t="shared" si="0"/>
        <v>0.16893377097477036</v>
      </c>
      <c r="I10">
        <f t="shared" si="0"/>
        <v>0.16893377097477036</v>
      </c>
      <c r="J10">
        <f t="shared" si="0"/>
        <v>0.16893377097477036</v>
      </c>
      <c r="K10">
        <f t="shared" si="0"/>
        <v>0.16893377097477036</v>
      </c>
      <c r="L10">
        <f t="shared" si="0"/>
        <v>0.16893377097477036</v>
      </c>
      <c r="M10">
        <f t="shared" si="0"/>
        <v>0.16893377097477036</v>
      </c>
      <c r="N10">
        <f t="shared" si="0"/>
        <v>0.16893377097477036</v>
      </c>
      <c r="O10">
        <f t="shared" si="0"/>
        <v>0.16893377097477036</v>
      </c>
      <c r="P10">
        <f t="shared" si="0"/>
        <v>0.16893377097477036</v>
      </c>
      <c r="Q10">
        <f t="shared" si="0"/>
        <v>0.16893377097477036</v>
      </c>
      <c r="R10">
        <f t="shared" si="0"/>
        <v>0.16893377097477036</v>
      </c>
      <c r="S10">
        <f t="shared" si="0"/>
        <v>0.16893377097477036</v>
      </c>
      <c r="T10">
        <f t="shared" si="0"/>
        <v>0.16893377097477036</v>
      </c>
      <c r="U10">
        <f t="shared" si="0"/>
        <v>0.16893377097477036</v>
      </c>
      <c r="V10">
        <f t="shared" si="0"/>
        <v>0.16893377097477036</v>
      </c>
      <c r="W10">
        <f t="shared" si="0"/>
        <v>0.16893377097477036</v>
      </c>
      <c r="X10">
        <f t="shared" si="0"/>
        <v>0.16893377097477036</v>
      </c>
      <c r="Y10">
        <f t="shared" si="0"/>
        <v>0.16893377097477036</v>
      </c>
      <c r="Z10">
        <f t="shared" si="0"/>
        <v>0.16893377097477036</v>
      </c>
      <c r="AA10">
        <f t="shared" si="0"/>
        <v>0.16893377097477036</v>
      </c>
      <c r="AB10">
        <f t="shared" si="0"/>
        <v>0.16893377097477036</v>
      </c>
      <c r="AC10">
        <f t="shared" si="0"/>
        <v>0.16893377097477036</v>
      </c>
      <c r="AD10">
        <f t="shared" si="0"/>
        <v>0.16893377097477036</v>
      </c>
      <c r="AE10">
        <f t="shared" si="0"/>
        <v>0.16893377097477036</v>
      </c>
      <c r="AF10">
        <f t="shared" si="0"/>
        <v>0.16893377097477036</v>
      </c>
      <c r="AG10">
        <f t="shared" si="1"/>
        <v>0.16893377097477036</v>
      </c>
      <c r="AH10">
        <f t="shared" si="1"/>
        <v>0.16893377097477036</v>
      </c>
      <c r="AI10">
        <f t="shared" si="1"/>
        <v>0.16893377097477036</v>
      </c>
      <c r="AJ10">
        <f t="shared" si="1"/>
        <v>0.16893377097477036</v>
      </c>
      <c r="AK10">
        <f t="shared" si="1"/>
        <v>0.16893377097477036</v>
      </c>
      <c r="AL10">
        <f t="shared" si="1"/>
        <v>0.16893377097477036</v>
      </c>
      <c r="AM10">
        <f t="shared" si="1"/>
        <v>0.16893377097477036</v>
      </c>
      <c r="AN10">
        <f t="shared" si="1"/>
        <v>0.16893377097477036</v>
      </c>
      <c r="AO10">
        <f t="shared" si="1"/>
        <v>0.16893377097477036</v>
      </c>
      <c r="AP10">
        <f t="shared" si="1"/>
        <v>0.16893377097477036</v>
      </c>
    </row>
    <row r="11" spans="1:42" x14ac:dyDescent="0.2">
      <c r="A11" t="s">
        <v>382</v>
      </c>
      <c r="B11">
        <f>'Start Year Energy'!I65</f>
        <v>0.50473623966133796</v>
      </c>
      <c r="C11">
        <f t="shared" si="2"/>
        <v>0.50473623966133796</v>
      </c>
      <c r="D11">
        <f t="shared" si="0"/>
        <v>0.50473623966133796</v>
      </c>
      <c r="E11">
        <f t="shared" si="0"/>
        <v>0.50473623966133796</v>
      </c>
      <c r="F11">
        <f t="shared" si="0"/>
        <v>0.50473623966133796</v>
      </c>
      <c r="G11">
        <f t="shared" si="0"/>
        <v>0.50473623966133796</v>
      </c>
      <c r="H11">
        <f t="shared" si="0"/>
        <v>0.50473623966133796</v>
      </c>
      <c r="I11">
        <f t="shared" si="0"/>
        <v>0.50473623966133796</v>
      </c>
      <c r="J11">
        <f t="shared" si="0"/>
        <v>0.50473623966133796</v>
      </c>
      <c r="K11">
        <f t="shared" si="0"/>
        <v>0.50473623966133796</v>
      </c>
      <c r="L11">
        <f t="shared" si="0"/>
        <v>0.50473623966133796</v>
      </c>
      <c r="M11">
        <f t="shared" ref="M11:AO24" si="3">$B11</f>
        <v>0.50473623966133796</v>
      </c>
      <c r="N11">
        <f t="shared" si="3"/>
        <v>0.50473623966133796</v>
      </c>
      <c r="O11">
        <f t="shared" si="3"/>
        <v>0.50473623966133796</v>
      </c>
      <c r="P11">
        <f t="shared" si="3"/>
        <v>0.50473623966133796</v>
      </c>
      <c r="Q11">
        <f t="shared" si="3"/>
        <v>0.50473623966133796</v>
      </c>
      <c r="R11">
        <f t="shared" si="3"/>
        <v>0.50473623966133796</v>
      </c>
      <c r="S11">
        <f t="shared" si="3"/>
        <v>0.50473623966133796</v>
      </c>
      <c r="T11">
        <f t="shared" si="3"/>
        <v>0.50473623966133796</v>
      </c>
      <c r="U11">
        <f t="shared" si="3"/>
        <v>0.50473623966133796</v>
      </c>
      <c r="V11">
        <f t="shared" si="3"/>
        <v>0.50473623966133796</v>
      </c>
      <c r="W11">
        <f t="shared" si="3"/>
        <v>0.50473623966133796</v>
      </c>
      <c r="X11">
        <f t="shared" si="3"/>
        <v>0.50473623966133796</v>
      </c>
      <c r="Y11">
        <f t="shared" si="3"/>
        <v>0.50473623966133796</v>
      </c>
      <c r="Z11">
        <f t="shared" si="3"/>
        <v>0.50473623966133796</v>
      </c>
      <c r="AA11">
        <f t="shared" si="3"/>
        <v>0.50473623966133796</v>
      </c>
      <c r="AB11">
        <f t="shared" si="3"/>
        <v>0.50473623966133796</v>
      </c>
      <c r="AC11">
        <f t="shared" si="3"/>
        <v>0.50473623966133796</v>
      </c>
      <c r="AD11">
        <f t="shared" si="3"/>
        <v>0.50473623966133796</v>
      </c>
      <c r="AE11">
        <f t="shared" si="3"/>
        <v>0.50473623966133796</v>
      </c>
      <c r="AF11">
        <f t="shared" si="3"/>
        <v>0.50473623966133796</v>
      </c>
      <c r="AG11">
        <f t="shared" si="1"/>
        <v>0.50473623966133796</v>
      </c>
      <c r="AH11">
        <f t="shared" si="1"/>
        <v>0.50473623966133796</v>
      </c>
      <c r="AI11">
        <f t="shared" si="1"/>
        <v>0.50473623966133796</v>
      </c>
      <c r="AJ11">
        <f t="shared" si="1"/>
        <v>0.50473623966133796</v>
      </c>
      <c r="AK11">
        <f t="shared" si="1"/>
        <v>0.50473623966133796</v>
      </c>
      <c r="AL11">
        <f t="shared" si="1"/>
        <v>0.50473623966133796</v>
      </c>
      <c r="AM11">
        <f t="shared" si="1"/>
        <v>0.50473623966133796</v>
      </c>
      <c r="AN11">
        <f t="shared" si="1"/>
        <v>0.50473623966133796</v>
      </c>
      <c r="AO11">
        <f t="shared" si="1"/>
        <v>0.50473623966133796</v>
      </c>
      <c r="AP11">
        <f t="shared" si="1"/>
        <v>0.50473623966133796</v>
      </c>
    </row>
    <row r="12" spans="1:42" x14ac:dyDescent="0.2">
      <c r="A12" t="s">
        <v>383</v>
      </c>
      <c r="B12">
        <f>'Start Year Energy'!I66</f>
        <v>0.83071803006336276</v>
      </c>
      <c r="C12">
        <f t="shared" si="2"/>
        <v>0.83071803006336276</v>
      </c>
      <c r="D12">
        <f t="shared" si="2"/>
        <v>0.83071803006336276</v>
      </c>
      <c r="E12">
        <f t="shared" si="2"/>
        <v>0.83071803006336276</v>
      </c>
      <c r="F12">
        <f t="shared" si="2"/>
        <v>0.83071803006336276</v>
      </c>
      <c r="G12">
        <f t="shared" si="2"/>
        <v>0.83071803006336276</v>
      </c>
      <c r="H12">
        <f t="shared" si="2"/>
        <v>0.83071803006336276</v>
      </c>
      <c r="I12">
        <f t="shared" si="2"/>
        <v>0.83071803006336276</v>
      </c>
      <c r="J12">
        <f t="shared" si="2"/>
        <v>0.83071803006336276</v>
      </c>
      <c r="K12">
        <f t="shared" si="2"/>
        <v>0.83071803006336276</v>
      </c>
      <c r="L12">
        <f t="shared" si="2"/>
        <v>0.83071803006336276</v>
      </c>
      <c r="M12">
        <f t="shared" si="2"/>
        <v>0.83071803006336276</v>
      </c>
      <c r="N12">
        <f t="shared" si="2"/>
        <v>0.83071803006336276</v>
      </c>
      <c r="O12">
        <f t="shared" si="2"/>
        <v>0.83071803006336276</v>
      </c>
      <c r="P12">
        <f t="shared" si="2"/>
        <v>0.83071803006336276</v>
      </c>
      <c r="Q12">
        <f t="shared" si="2"/>
        <v>0.83071803006336276</v>
      </c>
      <c r="R12">
        <f t="shared" si="2"/>
        <v>0.83071803006336276</v>
      </c>
      <c r="S12">
        <f t="shared" si="3"/>
        <v>0.83071803006336276</v>
      </c>
      <c r="T12">
        <f t="shared" si="3"/>
        <v>0.83071803006336276</v>
      </c>
      <c r="U12">
        <f t="shared" si="3"/>
        <v>0.83071803006336276</v>
      </c>
      <c r="V12">
        <f t="shared" si="3"/>
        <v>0.83071803006336276</v>
      </c>
      <c r="W12">
        <f t="shared" si="3"/>
        <v>0.83071803006336276</v>
      </c>
      <c r="X12">
        <f t="shared" si="3"/>
        <v>0.83071803006336276</v>
      </c>
      <c r="Y12">
        <f t="shared" si="3"/>
        <v>0.83071803006336276</v>
      </c>
      <c r="Z12">
        <f t="shared" si="3"/>
        <v>0.83071803006336276</v>
      </c>
      <c r="AA12">
        <f t="shared" si="3"/>
        <v>0.83071803006336276</v>
      </c>
      <c r="AB12">
        <f t="shared" si="3"/>
        <v>0.83071803006336276</v>
      </c>
      <c r="AC12">
        <f t="shared" si="3"/>
        <v>0.83071803006336276</v>
      </c>
      <c r="AD12">
        <f t="shared" si="3"/>
        <v>0.83071803006336276</v>
      </c>
      <c r="AE12">
        <f t="shared" si="3"/>
        <v>0.83071803006336276</v>
      </c>
      <c r="AF12">
        <f t="shared" si="3"/>
        <v>0.83071803006336276</v>
      </c>
      <c r="AG12">
        <f t="shared" si="1"/>
        <v>0.83071803006336276</v>
      </c>
      <c r="AH12">
        <f t="shared" si="1"/>
        <v>0.83071803006336276</v>
      </c>
      <c r="AI12">
        <f t="shared" si="1"/>
        <v>0.83071803006336276</v>
      </c>
      <c r="AJ12">
        <f t="shared" si="1"/>
        <v>0.83071803006336276</v>
      </c>
      <c r="AK12">
        <f t="shared" si="1"/>
        <v>0.83071803006336276</v>
      </c>
      <c r="AL12">
        <f t="shared" si="1"/>
        <v>0.83071803006336276</v>
      </c>
      <c r="AM12">
        <f t="shared" si="1"/>
        <v>0.83071803006336276</v>
      </c>
      <c r="AN12">
        <f t="shared" si="1"/>
        <v>0.83071803006336276</v>
      </c>
      <c r="AO12">
        <f t="shared" si="1"/>
        <v>0.83071803006336276</v>
      </c>
      <c r="AP12">
        <f t="shared" si="1"/>
        <v>0.83071803006336276</v>
      </c>
    </row>
    <row r="13" spans="1:42" x14ac:dyDescent="0.2">
      <c r="A13" t="s">
        <v>384</v>
      </c>
      <c r="B13">
        <f>'Start Year Energy'!I67</f>
        <v>7.7393225831158263E-2</v>
      </c>
      <c r="C13">
        <f t="shared" si="2"/>
        <v>7.7393225831158263E-2</v>
      </c>
      <c r="D13">
        <f t="shared" si="2"/>
        <v>7.7393225831158263E-2</v>
      </c>
      <c r="E13">
        <f t="shared" si="2"/>
        <v>7.7393225831158263E-2</v>
      </c>
      <c r="F13">
        <f t="shared" si="2"/>
        <v>7.7393225831158263E-2</v>
      </c>
      <c r="G13">
        <f t="shared" si="2"/>
        <v>7.7393225831158263E-2</v>
      </c>
      <c r="H13">
        <f t="shared" si="2"/>
        <v>7.7393225831158263E-2</v>
      </c>
      <c r="I13">
        <f t="shared" si="2"/>
        <v>7.7393225831158263E-2</v>
      </c>
      <c r="J13">
        <f t="shared" si="2"/>
        <v>7.7393225831158263E-2</v>
      </c>
      <c r="K13">
        <f t="shared" si="2"/>
        <v>7.7393225831158263E-2</v>
      </c>
      <c r="L13">
        <f t="shared" si="2"/>
        <v>7.7393225831158263E-2</v>
      </c>
      <c r="M13">
        <f t="shared" si="2"/>
        <v>7.7393225831158263E-2</v>
      </c>
      <c r="N13">
        <f t="shared" si="2"/>
        <v>7.7393225831158263E-2</v>
      </c>
      <c r="O13">
        <f t="shared" si="2"/>
        <v>7.7393225831158263E-2</v>
      </c>
      <c r="P13">
        <f t="shared" si="2"/>
        <v>7.7393225831158263E-2</v>
      </c>
      <c r="Q13">
        <f t="shared" si="2"/>
        <v>7.7393225831158263E-2</v>
      </c>
      <c r="R13">
        <f t="shared" si="2"/>
        <v>7.7393225831158263E-2</v>
      </c>
      <c r="S13">
        <f t="shared" si="3"/>
        <v>7.7393225831158263E-2</v>
      </c>
      <c r="T13">
        <f t="shared" si="3"/>
        <v>7.7393225831158263E-2</v>
      </c>
      <c r="U13">
        <f t="shared" si="3"/>
        <v>7.7393225831158263E-2</v>
      </c>
      <c r="V13">
        <f t="shared" si="3"/>
        <v>7.7393225831158263E-2</v>
      </c>
      <c r="W13">
        <f t="shared" si="3"/>
        <v>7.7393225831158263E-2</v>
      </c>
      <c r="X13">
        <f t="shared" si="3"/>
        <v>7.7393225831158263E-2</v>
      </c>
      <c r="Y13">
        <f t="shared" si="3"/>
        <v>7.7393225831158263E-2</v>
      </c>
      <c r="Z13">
        <f t="shared" si="3"/>
        <v>7.7393225831158263E-2</v>
      </c>
      <c r="AA13">
        <f t="shared" si="3"/>
        <v>7.7393225831158263E-2</v>
      </c>
      <c r="AB13">
        <f t="shared" si="3"/>
        <v>7.7393225831158263E-2</v>
      </c>
      <c r="AC13">
        <f t="shared" si="3"/>
        <v>7.7393225831158263E-2</v>
      </c>
      <c r="AD13">
        <f t="shared" si="3"/>
        <v>7.7393225831158263E-2</v>
      </c>
      <c r="AE13">
        <f t="shared" si="3"/>
        <v>7.7393225831158263E-2</v>
      </c>
      <c r="AF13">
        <f t="shared" si="3"/>
        <v>7.7393225831158263E-2</v>
      </c>
      <c r="AG13">
        <f t="shared" si="1"/>
        <v>7.7393225831158263E-2</v>
      </c>
      <c r="AH13">
        <f t="shared" si="1"/>
        <v>7.7393225831158263E-2</v>
      </c>
      <c r="AI13">
        <f t="shared" si="1"/>
        <v>7.7393225831158263E-2</v>
      </c>
      <c r="AJ13">
        <f t="shared" si="1"/>
        <v>7.7393225831158263E-2</v>
      </c>
      <c r="AK13">
        <f t="shared" si="1"/>
        <v>7.7393225831158263E-2</v>
      </c>
      <c r="AL13">
        <f t="shared" si="1"/>
        <v>7.7393225831158263E-2</v>
      </c>
      <c r="AM13">
        <f t="shared" si="1"/>
        <v>7.7393225831158263E-2</v>
      </c>
      <c r="AN13">
        <f t="shared" si="1"/>
        <v>7.7393225831158263E-2</v>
      </c>
      <c r="AO13">
        <f t="shared" si="1"/>
        <v>7.7393225831158263E-2</v>
      </c>
      <c r="AP13">
        <f t="shared" si="1"/>
        <v>7.7393225831158263E-2</v>
      </c>
    </row>
    <row r="14" spans="1:42" x14ac:dyDescent="0.2">
      <c r="A14" t="s">
        <v>385</v>
      </c>
      <c r="B14">
        <f>'Start Year Energy'!I68</f>
        <v>0.98432450158529272</v>
      </c>
      <c r="C14">
        <f t="shared" si="2"/>
        <v>0.98432450158529272</v>
      </c>
      <c r="D14">
        <f t="shared" si="2"/>
        <v>0.98432450158529272</v>
      </c>
      <c r="E14">
        <f t="shared" si="2"/>
        <v>0.98432450158529272</v>
      </c>
      <c r="F14">
        <f t="shared" si="2"/>
        <v>0.98432450158529272</v>
      </c>
      <c r="G14">
        <f t="shared" si="2"/>
        <v>0.98432450158529272</v>
      </c>
      <c r="H14">
        <f t="shared" si="2"/>
        <v>0.98432450158529272</v>
      </c>
      <c r="I14">
        <f t="shared" si="2"/>
        <v>0.98432450158529272</v>
      </c>
      <c r="J14">
        <f t="shared" si="2"/>
        <v>0.98432450158529272</v>
      </c>
      <c r="K14">
        <f t="shared" si="2"/>
        <v>0.98432450158529272</v>
      </c>
      <c r="L14">
        <f t="shared" si="2"/>
        <v>0.98432450158529272</v>
      </c>
      <c r="M14">
        <f t="shared" si="2"/>
        <v>0.98432450158529272</v>
      </c>
      <c r="N14">
        <f t="shared" si="2"/>
        <v>0.98432450158529272</v>
      </c>
      <c r="O14">
        <f t="shared" si="2"/>
        <v>0.98432450158529272</v>
      </c>
      <c r="P14">
        <f t="shared" si="2"/>
        <v>0.98432450158529272</v>
      </c>
      <c r="Q14">
        <f t="shared" si="2"/>
        <v>0.98432450158529272</v>
      </c>
      <c r="R14">
        <f t="shared" si="2"/>
        <v>0.98432450158529272</v>
      </c>
      <c r="S14">
        <f t="shared" si="3"/>
        <v>0.98432450158529272</v>
      </c>
      <c r="T14">
        <f t="shared" si="3"/>
        <v>0.98432450158529272</v>
      </c>
      <c r="U14">
        <f t="shared" si="3"/>
        <v>0.98432450158529272</v>
      </c>
      <c r="V14">
        <f t="shared" si="3"/>
        <v>0.98432450158529272</v>
      </c>
      <c r="W14">
        <f t="shared" si="3"/>
        <v>0.98432450158529272</v>
      </c>
      <c r="X14">
        <f t="shared" si="3"/>
        <v>0.98432450158529272</v>
      </c>
      <c r="Y14">
        <f t="shared" si="3"/>
        <v>0.98432450158529272</v>
      </c>
      <c r="Z14">
        <f t="shared" si="3"/>
        <v>0.98432450158529272</v>
      </c>
      <c r="AA14">
        <f t="shared" si="3"/>
        <v>0.98432450158529272</v>
      </c>
      <c r="AB14">
        <f t="shared" si="3"/>
        <v>0.98432450158529272</v>
      </c>
      <c r="AC14">
        <f t="shared" si="3"/>
        <v>0.98432450158529272</v>
      </c>
      <c r="AD14">
        <f t="shared" si="3"/>
        <v>0.98432450158529272</v>
      </c>
      <c r="AE14">
        <f t="shared" si="3"/>
        <v>0.98432450158529272</v>
      </c>
      <c r="AF14">
        <f t="shared" si="3"/>
        <v>0.98432450158529272</v>
      </c>
      <c r="AG14">
        <f t="shared" si="1"/>
        <v>0.98432450158529272</v>
      </c>
      <c r="AH14">
        <f t="shared" si="1"/>
        <v>0.98432450158529272</v>
      </c>
      <c r="AI14">
        <f t="shared" si="1"/>
        <v>0.98432450158529272</v>
      </c>
      <c r="AJ14">
        <f t="shared" si="1"/>
        <v>0.98432450158529272</v>
      </c>
      <c r="AK14">
        <f t="shared" si="1"/>
        <v>0.98432450158529272</v>
      </c>
      <c r="AL14">
        <f t="shared" si="1"/>
        <v>0.98432450158529272</v>
      </c>
      <c r="AM14">
        <f t="shared" si="1"/>
        <v>0.98432450158529272</v>
      </c>
      <c r="AN14">
        <f t="shared" si="1"/>
        <v>0.98432450158529272</v>
      </c>
      <c r="AO14">
        <f t="shared" si="1"/>
        <v>0.98432450158529272</v>
      </c>
      <c r="AP14">
        <f t="shared" si="1"/>
        <v>0.98432450158529272</v>
      </c>
    </row>
    <row r="15" spans="1:42" x14ac:dyDescent="0.2">
      <c r="A15" t="s">
        <v>386</v>
      </c>
      <c r="B15">
        <f>'Start Year Energy'!I69</f>
        <v>0.9985592696169493</v>
      </c>
      <c r="C15">
        <f t="shared" si="2"/>
        <v>0.9985592696169493</v>
      </c>
      <c r="D15">
        <f t="shared" si="2"/>
        <v>0.9985592696169493</v>
      </c>
      <c r="E15">
        <f t="shared" si="2"/>
        <v>0.9985592696169493</v>
      </c>
      <c r="F15">
        <f t="shared" si="2"/>
        <v>0.9985592696169493</v>
      </c>
      <c r="G15">
        <f t="shared" si="2"/>
        <v>0.9985592696169493</v>
      </c>
      <c r="H15">
        <f t="shared" si="2"/>
        <v>0.9985592696169493</v>
      </c>
      <c r="I15">
        <f t="shared" si="2"/>
        <v>0.9985592696169493</v>
      </c>
      <c r="J15">
        <f t="shared" si="2"/>
        <v>0.9985592696169493</v>
      </c>
      <c r="K15">
        <f t="shared" si="2"/>
        <v>0.9985592696169493</v>
      </c>
      <c r="L15">
        <f t="shared" si="2"/>
        <v>0.9985592696169493</v>
      </c>
      <c r="M15">
        <f t="shared" si="2"/>
        <v>0.9985592696169493</v>
      </c>
      <c r="N15">
        <f t="shared" si="2"/>
        <v>0.9985592696169493</v>
      </c>
      <c r="O15">
        <f t="shared" si="2"/>
        <v>0.9985592696169493</v>
      </c>
      <c r="P15">
        <f t="shared" si="2"/>
        <v>0.9985592696169493</v>
      </c>
      <c r="Q15">
        <f t="shared" si="2"/>
        <v>0.9985592696169493</v>
      </c>
      <c r="R15">
        <f t="shared" si="2"/>
        <v>0.9985592696169493</v>
      </c>
      <c r="S15">
        <f t="shared" si="3"/>
        <v>0.9985592696169493</v>
      </c>
      <c r="T15">
        <f t="shared" si="3"/>
        <v>0.9985592696169493</v>
      </c>
      <c r="U15">
        <f t="shared" si="3"/>
        <v>0.9985592696169493</v>
      </c>
      <c r="V15">
        <f t="shared" si="3"/>
        <v>0.9985592696169493</v>
      </c>
      <c r="W15">
        <f t="shared" si="3"/>
        <v>0.9985592696169493</v>
      </c>
      <c r="X15">
        <f t="shared" si="3"/>
        <v>0.9985592696169493</v>
      </c>
      <c r="Y15">
        <f t="shared" si="3"/>
        <v>0.9985592696169493</v>
      </c>
      <c r="Z15">
        <f t="shared" si="3"/>
        <v>0.9985592696169493</v>
      </c>
      <c r="AA15">
        <f t="shared" si="3"/>
        <v>0.9985592696169493</v>
      </c>
      <c r="AB15">
        <f t="shared" si="3"/>
        <v>0.9985592696169493</v>
      </c>
      <c r="AC15">
        <f t="shared" si="3"/>
        <v>0.9985592696169493</v>
      </c>
      <c r="AD15">
        <f t="shared" si="3"/>
        <v>0.9985592696169493</v>
      </c>
      <c r="AE15">
        <f t="shared" si="3"/>
        <v>0.9985592696169493</v>
      </c>
      <c r="AF15">
        <f t="shared" si="3"/>
        <v>0.9985592696169493</v>
      </c>
      <c r="AG15">
        <f t="shared" si="1"/>
        <v>0.9985592696169493</v>
      </c>
      <c r="AH15">
        <f t="shared" si="1"/>
        <v>0.9985592696169493</v>
      </c>
      <c r="AI15">
        <f t="shared" si="1"/>
        <v>0.9985592696169493</v>
      </c>
      <c r="AJ15">
        <f t="shared" si="1"/>
        <v>0.9985592696169493</v>
      </c>
      <c r="AK15">
        <f t="shared" si="1"/>
        <v>0.9985592696169493</v>
      </c>
      <c r="AL15">
        <f t="shared" si="1"/>
        <v>0.9985592696169493</v>
      </c>
      <c r="AM15">
        <f t="shared" si="1"/>
        <v>0.9985592696169493</v>
      </c>
      <c r="AN15">
        <f t="shared" si="1"/>
        <v>0.9985592696169493</v>
      </c>
      <c r="AO15">
        <f t="shared" si="1"/>
        <v>0.9985592696169493</v>
      </c>
      <c r="AP15">
        <f t="shared" si="1"/>
        <v>0.9985592696169493</v>
      </c>
    </row>
    <row r="16" spans="1:42" x14ac:dyDescent="0.2">
      <c r="A16" t="s">
        <v>387</v>
      </c>
      <c r="B16">
        <f>'Start Year Energy'!I70</f>
        <v>0.97507999741300244</v>
      </c>
      <c r="C16">
        <f t="shared" si="2"/>
        <v>0.97507999741300244</v>
      </c>
      <c r="D16">
        <f t="shared" si="2"/>
        <v>0.97507999741300244</v>
      </c>
      <c r="E16">
        <f t="shared" si="2"/>
        <v>0.97507999741300244</v>
      </c>
      <c r="F16">
        <f t="shared" si="2"/>
        <v>0.97507999741300244</v>
      </c>
      <c r="G16">
        <f t="shared" si="2"/>
        <v>0.97507999741300244</v>
      </c>
      <c r="H16">
        <f t="shared" si="2"/>
        <v>0.97507999741300244</v>
      </c>
      <c r="I16">
        <f t="shared" si="2"/>
        <v>0.97507999741300244</v>
      </c>
      <c r="J16">
        <f t="shared" si="2"/>
        <v>0.97507999741300244</v>
      </c>
      <c r="K16">
        <f t="shared" si="2"/>
        <v>0.97507999741300244</v>
      </c>
      <c r="L16">
        <f t="shared" si="2"/>
        <v>0.97507999741300244</v>
      </c>
      <c r="M16">
        <f t="shared" si="2"/>
        <v>0.97507999741300244</v>
      </c>
      <c r="N16">
        <f t="shared" si="2"/>
        <v>0.97507999741300244</v>
      </c>
      <c r="O16">
        <f t="shared" si="2"/>
        <v>0.97507999741300244</v>
      </c>
      <c r="P16">
        <f t="shared" si="2"/>
        <v>0.97507999741300244</v>
      </c>
      <c r="Q16">
        <f t="shared" si="2"/>
        <v>0.97507999741300244</v>
      </c>
      <c r="R16">
        <f t="shared" si="2"/>
        <v>0.97507999741300244</v>
      </c>
      <c r="S16">
        <f t="shared" si="3"/>
        <v>0.97507999741300244</v>
      </c>
      <c r="T16">
        <f t="shared" si="3"/>
        <v>0.97507999741300244</v>
      </c>
      <c r="U16">
        <f t="shared" si="3"/>
        <v>0.97507999741300244</v>
      </c>
      <c r="V16">
        <f t="shared" si="3"/>
        <v>0.97507999741300244</v>
      </c>
      <c r="W16">
        <f t="shared" si="3"/>
        <v>0.97507999741300244</v>
      </c>
      <c r="X16">
        <f t="shared" si="3"/>
        <v>0.97507999741300244</v>
      </c>
      <c r="Y16">
        <f t="shared" si="3"/>
        <v>0.97507999741300244</v>
      </c>
      <c r="Z16">
        <f t="shared" si="3"/>
        <v>0.97507999741300244</v>
      </c>
      <c r="AA16">
        <f t="shared" si="3"/>
        <v>0.97507999741300244</v>
      </c>
      <c r="AB16">
        <f t="shared" si="3"/>
        <v>0.97507999741300244</v>
      </c>
      <c r="AC16">
        <f t="shared" si="3"/>
        <v>0.97507999741300244</v>
      </c>
      <c r="AD16">
        <f t="shared" si="3"/>
        <v>0.97507999741300244</v>
      </c>
      <c r="AE16">
        <f t="shared" si="3"/>
        <v>0.97507999741300244</v>
      </c>
      <c r="AF16">
        <f t="shared" si="3"/>
        <v>0.97507999741300244</v>
      </c>
      <c r="AG16">
        <f t="shared" si="1"/>
        <v>0.97507999741300244</v>
      </c>
      <c r="AH16">
        <f t="shared" si="1"/>
        <v>0.97507999741300244</v>
      </c>
      <c r="AI16">
        <f t="shared" si="1"/>
        <v>0.97507999741300244</v>
      </c>
      <c r="AJ16">
        <f t="shared" si="1"/>
        <v>0.97507999741300244</v>
      </c>
      <c r="AK16">
        <f t="shared" si="1"/>
        <v>0.97507999741300244</v>
      </c>
      <c r="AL16">
        <f t="shared" si="1"/>
        <v>0.97507999741300244</v>
      </c>
      <c r="AM16">
        <f t="shared" si="1"/>
        <v>0.97507999741300244</v>
      </c>
      <c r="AN16">
        <f t="shared" si="1"/>
        <v>0.97507999741300244</v>
      </c>
      <c r="AO16">
        <f t="shared" si="1"/>
        <v>0.97507999741300244</v>
      </c>
      <c r="AP16">
        <f t="shared" si="1"/>
        <v>0.97507999741300244</v>
      </c>
    </row>
    <row r="17" spans="1:42" x14ac:dyDescent="0.2">
      <c r="A17" t="s">
        <v>388</v>
      </c>
      <c r="B17">
        <f>'Start Year Energy'!I71</f>
        <v>0.90832899766809516</v>
      </c>
      <c r="C17">
        <f t="shared" si="2"/>
        <v>0.90832899766809516</v>
      </c>
      <c r="D17">
        <f t="shared" si="2"/>
        <v>0.90832899766809516</v>
      </c>
      <c r="E17">
        <f t="shared" si="2"/>
        <v>0.90832899766809516</v>
      </c>
      <c r="F17">
        <f t="shared" si="2"/>
        <v>0.90832899766809516</v>
      </c>
      <c r="G17">
        <f t="shared" si="2"/>
        <v>0.90832899766809516</v>
      </c>
      <c r="H17">
        <f t="shared" si="2"/>
        <v>0.90832899766809516</v>
      </c>
      <c r="I17">
        <f t="shared" si="2"/>
        <v>0.90832899766809516</v>
      </c>
      <c r="J17">
        <f t="shared" si="2"/>
        <v>0.90832899766809516</v>
      </c>
      <c r="K17">
        <f t="shared" si="2"/>
        <v>0.90832899766809516</v>
      </c>
      <c r="L17">
        <f t="shared" si="2"/>
        <v>0.90832899766809516</v>
      </c>
      <c r="M17">
        <f t="shared" si="2"/>
        <v>0.90832899766809516</v>
      </c>
      <c r="N17">
        <f t="shared" si="2"/>
        <v>0.90832899766809516</v>
      </c>
      <c r="O17">
        <f t="shared" si="2"/>
        <v>0.90832899766809516</v>
      </c>
      <c r="P17">
        <f t="shared" si="2"/>
        <v>0.90832899766809516</v>
      </c>
      <c r="Q17">
        <f t="shared" si="2"/>
        <v>0.90832899766809516</v>
      </c>
      <c r="R17">
        <f t="shared" si="2"/>
        <v>0.90832899766809516</v>
      </c>
      <c r="S17">
        <f t="shared" si="3"/>
        <v>0.90832899766809516</v>
      </c>
      <c r="T17">
        <f t="shared" si="3"/>
        <v>0.90832899766809516</v>
      </c>
      <c r="U17">
        <f t="shared" si="3"/>
        <v>0.90832899766809516</v>
      </c>
      <c r="V17">
        <f t="shared" si="3"/>
        <v>0.90832899766809516</v>
      </c>
      <c r="W17">
        <f t="shared" si="3"/>
        <v>0.90832899766809516</v>
      </c>
      <c r="X17">
        <f t="shared" si="3"/>
        <v>0.90832899766809516</v>
      </c>
      <c r="Y17">
        <f t="shared" si="3"/>
        <v>0.90832899766809516</v>
      </c>
      <c r="Z17">
        <f t="shared" si="3"/>
        <v>0.90832899766809516</v>
      </c>
      <c r="AA17">
        <f t="shared" si="3"/>
        <v>0.90832899766809516</v>
      </c>
      <c r="AB17">
        <f t="shared" si="3"/>
        <v>0.90832899766809516</v>
      </c>
      <c r="AC17">
        <f t="shared" si="3"/>
        <v>0.90832899766809516</v>
      </c>
      <c r="AD17">
        <f t="shared" si="3"/>
        <v>0.90832899766809516</v>
      </c>
      <c r="AE17">
        <f t="shared" si="3"/>
        <v>0.90832899766809516</v>
      </c>
      <c r="AF17">
        <f t="shared" si="3"/>
        <v>0.90832899766809516</v>
      </c>
      <c r="AG17">
        <f t="shared" si="1"/>
        <v>0.90832899766809516</v>
      </c>
      <c r="AH17">
        <f t="shared" si="1"/>
        <v>0.90832899766809516</v>
      </c>
      <c r="AI17">
        <f t="shared" si="1"/>
        <v>0.90832899766809516</v>
      </c>
      <c r="AJ17">
        <f t="shared" si="1"/>
        <v>0.90832899766809516</v>
      </c>
      <c r="AK17">
        <f t="shared" si="1"/>
        <v>0.90832899766809516</v>
      </c>
      <c r="AL17">
        <f t="shared" si="1"/>
        <v>0.90832899766809516</v>
      </c>
      <c r="AM17">
        <f t="shared" si="1"/>
        <v>0.90832899766809516</v>
      </c>
      <c r="AN17">
        <f t="shared" si="1"/>
        <v>0.90832899766809516</v>
      </c>
      <c r="AO17">
        <f t="shared" si="1"/>
        <v>0.90832899766809516</v>
      </c>
      <c r="AP17">
        <f t="shared" si="1"/>
        <v>0.90832899766809516</v>
      </c>
    </row>
    <row r="18" spans="1:42" x14ac:dyDescent="0.2">
      <c r="A18" t="s">
        <v>389</v>
      </c>
      <c r="B18">
        <f>'Start Year Energy'!I72</f>
        <v>0.9476045558380547</v>
      </c>
      <c r="C18">
        <f t="shared" si="2"/>
        <v>0.9476045558380547</v>
      </c>
      <c r="D18">
        <f t="shared" si="2"/>
        <v>0.9476045558380547</v>
      </c>
      <c r="E18">
        <f t="shared" si="2"/>
        <v>0.9476045558380547</v>
      </c>
      <c r="F18">
        <f t="shared" si="2"/>
        <v>0.9476045558380547</v>
      </c>
      <c r="G18">
        <f t="shared" si="2"/>
        <v>0.9476045558380547</v>
      </c>
      <c r="H18">
        <f t="shared" si="2"/>
        <v>0.9476045558380547</v>
      </c>
      <c r="I18">
        <f t="shared" si="2"/>
        <v>0.9476045558380547</v>
      </c>
      <c r="J18">
        <f t="shared" si="2"/>
        <v>0.9476045558380547</v>
      </c>
      <c r="K18">
        <f t="shared" si="2"/>
        <v>0.9476045558380547</v>
      </c>
      <c r="L18">
        <f t="shared" si="2"/>
        <v>0.9476045558380547</v>
      </c>
      <c r="M18">
        <f t="shared" si="2"/>
        <v>0.9476045558380547</v>
      </c>
      <c r="N18">
        <f t="shared" si="2"/>
        <v>0.9476045558380547</v>
      </c>
      <c r="O18">
        <f t="shared" si="2"/>
        <v>0.9476045558380547</v>
      </c>
      <c r="P18">
        <f t="shared" si="2"/>
        <v>0.9476045558380547</v>
      </c>
      <c r="Q18">
        <f t="shared" si="2"/>
        <v>0.9476045558380547</v>
      </c>
      <c r="R18">
        <f t="shared" si="2"/>
        <v>0.9476045558380547</v>
      </c>
      <c r="S18">
        <f t="shared" si="3"/>
        <v>0.9476045558380547</v>
      </c>
      <c r="T18">
        <f t="shared" si="3"/>
        <v>0.9476045558380547</v>
      </c>
      <c r="U18">
        <f t="shared" si="3"/>
        <v>0.9476045558380547</v>
      </c>
      <c r="V18">
        <f t="shared" si="3"/>
        <v>0.9476045558380547</v>
      </c>
      <c r="W18">
        <f t="shared" si="3"/>
        <v>0.9476045558380547</v>
      </c>
      <c r="X18">
        <f t="shared" si="3"/>
        <v>0.9476045558380547</v>
      </c>
      <c r="Y18">
        <f t="shared" si="3"/>
        <v>0.9476045558380547</v>
      </c>
      <c r="Z18">
        <f t="shared" si="3"/>
        <v>0.9476045558380547</v>
      </c>
      <c r="AA18">
        <f t="shared" si="3"/>
        <v>0.9476045558380547</v>
      </c>
      <c r="AB18">
        <f t="shared" si="3"/>
        <v>0.9476045558380547</v>
      </c>
      <c r="AC18">
        <f t="shared" si="3"/>
        <v>0.9476045558380547</v>
      </c>
      <c r="AD18">
        <f t="shared" si="3"/>
        <v>0.9476045558380547</v>
      </c>
      <c r="AE18">
        <f t="shared" si="3"/>
        <v>0.9476045558380547</v>
      </c>
      <c r="AF18">
        <f t="shared" si="3"/>
        <v>0.9476045558380547</v>
      </c>
      <c r="AG18">
        <f t="shared" si="3"/>
        <v>0.9476045558380547</v>
      </c>
      <c r="AH18">
        <f t="shared" si="3"/>
        <v>0.9476045558380547</v>
      </c>
      <c r="AI18">
        <f t="shared" si="3"/>
        <v>0.9476045558380547</v>
      </c>
      <c r="AJ18">
        <f t="shared" si="3"/>
        <v>0.9476045558380547</v>
      </c>
      <c r="AK18">
        <f t="shared" si="3"/>
        <v>0.9476045558380547</v>
      </c>
      <c r="AL18">
        <f t="shared" si="3"/>
        <v>0.9476045558380547</v>
      </c>
      <c r="AM18">
        <f t="shared" si="3"/>
        <v>0.9476045558380547</v>
      </c>
      <c r="AN18">
        <f t="shared" si="3"/>
        <v>0.9476045558380547</v>
      </c>
      <c r="AO18">
        <f t="shared" si="3"/>
        <v>0.9476045558380547</v>
      </c>
      <c r="AP18">
        <f t="shared" ref="AP18:AP23" si="4">$B18</f>
        <v>0.9476045558380547</v>
      </c>
    </row>
    <row r="19" spans="1:42" x14ac:dyDescent="0.2">
      <c r="A19" t="s">
        <v>390</v>
      </c>
      <c r="B19">
        <f>'Start Year Energy'!I73</f>
        <v>0.93544396882291569</v>
      </c>
      <c r="C19">
        <f t="shared" si="2"/>
        <v>0.93544396882291569</v>
      </c>
      <c r="D19">
        <f t="shared" si="2"/>
        <v>0.93544396882291569</v>
      </c>
      <c r="E19">
        <f t="shared" si="2"/>
        <v>0.93544396882291569</v>
      </c>
      <c r="F19">
        <f t="shared" si="2"/>
        <v>0.93544396882291569</v>
      </c>
      <c r="G19">
        <f t="shared" si="2"/>
        <v>0.93544396882291569</v>
      </c>
      <c r="H19">
        <f t="shared" si="2"/>
        <v>0.93544396882291569</v>
      </c>
      <c r="I19">
        <f t="shared" si="2"/>
        <v>0.93544396882291569</v>
      </c>
      <c r="J19">
        <f t="shared" si="2"/>
        <v>0.93544396882291569</v>
      </c>
      <c r="K19">
        <f t="shared" si="2"/>
        <v>0.93544396882291569</v>
      </c>
      <c r="L19">
        <f t="shared" si="2"/>
        <v>0.93544396882291569</v>
      </c>
      <c r="M19">
        <f t="shared" si="2"/>
        <v>0.93544396882291569</v>
      </c>
      <c r="N19">
        <f t="shared" si="2"/>
        <v>0.93544396882291569</v>
      </c>
      <c r="O19">
        <f t="shared" si="2"/>
        <v>0.93544396882291569</v>
      </c>
      <c r="P19">
        <f t="shared" si="2"/>
        <v>0.93544396882291569</v>
      </c>
      <c r="Q19">
        <f t="shared" si="2"/>
        <v>0.93544396882291569</v>
      </c>
      <c r="R19">
        <f t="shared" si="2"/>
        <v>0.93544396882291569</v>
      </c>
      <c r="S19">
        <f t="shared" si="3"/>
        <v>0.93544396882291569</v>
      </c>
      <c r="T19">
        <f t="shared" si="3"/>
        <v>0.93544396882291569</v>
      </c>
      <c r="U19">
        <f t="shared" si="3"/>
        <v>0.93544396882291569</v>
      </c>
      <c r="V19">
        <f t="shared" si="3"/>
        <v>0.93544396882291569</v>
      </c>
      <c r="W19">
        <f t="shared" si="3"/>
        <v>0.93544396882291569</v>
      </c>
      <c r="X19">
        <f t="shared" si="3"/>
        <v>0.93544396882291569</v>
      </c>
      <c r="Y19">
        <f t="shared" si="3"/>
        <v>0.93544396882291569</v>
      </c>
      <c r="Z19">
        <f t="shared" si="3"/>
        <v>0.93544396882291569</v>
      </c>
      <c r="AA19">
        <f t="shared" si="3"/>
        <v>0.93544396882291569</v>
      </c>
      <c r="AB19">
        <f t="shared" si="3"/>
        <v>0.93544396882291569</v>
      </c>
      <c r="AC19">
        <f t="shared" si="3"/>
        <v>0.93544396882291569</v>
      </c>
      <c r="AD19">
        <f t="shared" si="3"/>
        <v>0.93544396882291569</v>
      </c>
      <c r="AE19">
        <f t="shared" si="3"/>
        <v>0.93544396882291569</v>
      </c>
      <c r="AF19">
        <f t="shared" si="3"/>
        <v>0.93544396882291569</v>
      </c>
      <c r="AG19">
        <f t="shared" si="3"/>
        <v>0.93544396882291569</v>
      </c>
      <c r="AH19">
        <f t="shared" si="3"/>
        <v>0.93544396882291569</v>
      </c>
      <c r="AI19">
        <f t="shared" si="3"/>
        <v>0.93544396882291569</v>
      </c>
      <c r="AJ19">
        <f t="shared" si="3"/>
        <v>0.93544396882291569</v>
      </c>
      <c r="AK19">
        <f t="shared" si="3"/>
        <v>0.93544396882291569</v>
      </c>
      <c r="AL19">
        <f t="shared" si="3"/>
        <v>0.93544396882291569</v>
      </c>
      <c r="AM19">
        <f t="shared" si="3"/>
        <v>0.93544396882291569</v>
      </c>
      <c r="AN19">
        <f t="shared" si="3"/>
        <v>0.93544396882291569</v>
      </c>
      <c r="AO19">
        <f t="shared" si="3"/>
        <v>0.93544396882291569</v>
      </c>
      <c r="AP19">
        <f t="shared" si="4"/>
        <v>0.93544396882291569</v>
      </c>
    </row>
    <row r="20" spans="1:42" x14ac:dyDescent="0.2">
      <c r="A20" t="s">
        <v>391</v>
      </c>
      <c r="B20">
        <f>'Start Year Energy'!I74</f>
        <v>0.87027625933835551</v>
      </c>
      <c r="C20">
        <f t="shared" si="2"/>
        <v>0.87027625933835551</v>
      </c>
      <c r="D20">
        <f t="shared" si="2"/>
        <v>0.87027625933835551</v>
      </c>
      <c r="E20">
        <f t="shared" si="2"/>
        <v>0.87027625933835551</v>
      </c>
      <c r="F20">
        <f t="shared" si="2"/>
        <v>0.87027625933835551</v>
      </c>
      <c r="G20">
        <f t="shared" si="2"/>
        <v>0.87027625933835551</v>
      </c>
      <c r="H20">
        <f t="shared" si="2"/>
        <v>0.87027625933835551</v>
      </c>
      <c r="I20">
        <f t="shared" si="2"/>
        <v>0.87027625933835551</v>
      </c>
      <c r="J20">
        <f t="shared" si="2"/>
        <v>0.87027625933835551</v>
      </c>
      <c r="K20">
        <f t="shared" si="2"/>
        <v>0.87027625933835551</v>
      </c>
      <c r="L20">
        <f t="shared" si="2"/>
        <v>0.87027625933835551</v>
      </c>
      <c r="M20">
        <f t="shared" si="2"/>
        <v>0.87027625933835551</v>
      </c>
      <c r="N20">
        <f t="shared" si="2"/>
        <v>0.87027625933835551</v>
      </c>
      <c r="O20">
        <f t="shared" si="2"/>
        <v>0.87027625933835551</v>
      </c>
      <c r="P20">
        <f t="shared" si="2"/>
        <v>0.87027625933835551</v>
      </c>
      <c r="Q20">
        <f t="shared" si="2"/>
        <v>0.87027625933835551</v>
      </c>
      <c r="R20">
        <f t="shared" si="2"/>
        <v>0.87027625933835551</v>
      </c>
      <c r="S20">
        <f t="shared" si="3"/>
        <v>0.87027625933835551</v>
      </c>
      <c r="T20">
        <f t="shared" si="3"/>
        <v>0.87027625933835551</v>
      </c>
      <c r="U20">
        <f t="shared" si="3"/>
        <v>0.87027625933835551</v>
      </c>
      <c r="V20">
        <f t="shared" si="3"/>
        <v>0.87027625933835551</v>
      </c>
      <c r="W20">
        <f t="shared" si="3"/>
        <v>0.87027625933835551</v>
      </c>
      <c r="X20">
        <f t="shared" si="3"/>
        <v>0.87027625933835551</v>
      </c>
      <c r="Y20">
        <f t="shared" si="3"/>
        <v>0.87027625933835551</v>
      </c>
      <c r="Z20">
        <f t="shared" si="3"/>
        <v>0.87027625933835551</v>
      </c>
      <c r="AA20">
        <f t="shared" si="3"/>
        <v>0.87027625933835551</v>
      </c>
      <c r="AB20">
        <f t="shared" si="3"/>
        <v>0.87027625933835551</v>
      </c>
      <c r="AC20">
        <f t="shared" si="3"/>
        <v>0.87027625933835551</v>
      </c>
      <c r="AD20">
        <f t="shared" si="3"/>
        <v>0.87027625933835551</v>
      </c>
      <c r="AE20">
        <f t="shared" si="3"/>
        <v>0.87027625933835551</v>
      </c>
      <c r="AF20">
        <f t="shared" si="3"/>
        <v>0.87027625933835551</v>
      </c>
      <c r="AG20">
        <f t="shared" si="3"/>
        <v>0.87027625933835551</v>
      </c>
      <c r="AH20">
        <f t="shared" si="3"/>
        <v>0.87027625933835551</v>
      </c>
      <c r="AI20">
        <f t="shared" si="3"/>
        <v>0.87027625933835551</v>
      </c>
      <c r="AJ20">
        <f t="shared" si="3"/>
        <v>0.87027625933835551</v>
      </c>
      <c r="AK20">
        <f t="shared" si="3"/>
        <v>0.87027625933835551</v>
      </c>
      <c r="AL20">
        <f t="shared" si="3"/>
        <v>0.87027625933835551</v>
      </c>
      <c r="AM20">
        <f t="shared" si="3"/>
        <v>0.87027625933835551</v>
      </c>
      <c r="AN20">
        <f t="shared" si="3"/>
        <v>0.87027625933835551</v>
      </c>
      <c r="AO20">
        <f t="shared" si="3"/>
        <v>0.87027625933835551</v>
      </c>
      <c r="AP20">
        <f t="shared" si="4"/>
        <v>0.87027625933835551</v>
      </c>
    </row>
    <row r="21" spans="1:42" x14ac:dyDescent="0.2">
      <c r="A21" t="s">
        <v>392</v>
      </c>
      <c r="B21">
        <f>'Start Year Energy'!I75</f>
        <v>0.95697456540275894</v>
      </c>
      <c r="C21">
        <f t="shared" si="2"/>
        <v>0.95697456540275894</v>
      </c>
      <c r="D21">
        <f t="shared" si="2"/>
        <v>0.95697456540275894</v>
      </c>
      <c r="E21">
        <f t="shared" si="2"/>
        <v>0.95697456540275894</v>
      </c>
      <c r="F21">
        <f t="shared" si="2"/>
        <v>0.95697456540275894</v>
      </c>
      <c r="G21">
        <f t="shared" si="2"/>
        <v>0.95697456540275894</v>
      </c>
      <c r="H21">
        <f t="shared" si="2"/>
        <v>0.95697456540275894</v>
      </c>
      <c r="I21">
        <f t="shared" si="2"/>
        <v>0.95697456540275894</v>
      </c>
      <c r="J21">
        <f t="shared" si="2"/>
        <v>0.95697456540275894</v>
      </c>
      <c r="K21">
        <f t="shared" si="2"/>
        <v>0.95697456540275894</v>
      </c>
      <c r="L21">
        <f t="shared" si="2"/>
        <v>0.95697456540275894</v>
      </c>
      <c r="M21">
        <f t="shared" si="2"/>
        <v>0.95697456540275894</v>
      </c>
      <c r="N21">
        <f t="shared" si="2"/>
        <v>0.95697456540275894</v>
      </c>
      <c r="O21">
        <f t="shared" si="2"/>
        <v>0.95697456540275894</v>
      </c>
      <c r="P21">
        <f t="shared" si="2"/>
        <v>0.95697456540275894</v>
      </c>
      <c r="Q21">
        <f t="shared" si="2"/>
        <v>0.95697456540275894</v>
      </c>
      <c r="R21">
        <f t="shared" si="2"/>
        <v>0.95697456540275894</v>
      </c>
      <c r="S21">
        <f t="shared" si="3"/>
        <v>0.95697456540275894</v>
      </c>
      <c r="T21">
        <f t="shared" si="3"/>
        <v>0.95697456540275894</v>
      </c>
      <c r="U21">
        <f t="shared" si="3"/>
        <v>0.95697456540275894</v>
      </c>
      <c r="V21">
        <f t="shared" si="3"/>
        <v>0.95697456540275894</v>
      </c>
      <c r="W21">
        <f t="shared" si="3"/>
        <v>0.95697456540275894</v>
      </c>
      <c r="X21">
        <f t="shared" si="3"/>
        <v>0.95697456540275894</v>
      </c>
      <c r="Y21">
        <f t="shared" si="3"/>
        <v>0.95697456540275894</v>
      </c>
      <c r="Z21">
        <f t="shared" si="3"/>
        <v>0.95697456540275894</v>
      </c>
      <c r="AA21">
        <f t="shared" si="3"/>
        <v>0.95697456540275894</v>
      </c>
      <c r="AB21">
        <f t="shared" si="3"/>
        <v>0.95697456540275894</v>
      </c>
      <c r="AC21">
        <f t="shared" si="3"/>
        <v>0.95697456540275894</v>
      </c>
      <c r="AD21">
        <f t="shared" si="3"/>
        <v>0.95697456540275894</v>
      </c>
      <c r="AE21">
        <f t="shared" si="3"/>
        <v>0.95697456540275894</v>
      </c>
      <c r="AF21">
        <f t="shared" si="3"/>
        <v>0.95697456540275894</v>
      </c>
      <c r="AG21">
        <f t="shared" si="3"/>
        <v>0.95697456540275894</v>
      </c>
      <c r="AH21">
        <f t="shared" si="3"/>
        <v>0.95697456540275894</v>
      </c>
      <c r="AI21">
        <f t="shared" si="3"/>
        <v>0.95697456540275894</v>
      </c>
      <c r="AJ21">
        <f t="shared" si="3"/>
        <v>0.95697456540275894</v>
      </c>
      <c r="AK21">
        <f t="shared" si="3"/>
        <v>0.95697456540275894</v>
      </c>
      <c r="AL21">
        <f t="shared" si="3"/>
        <v>0.95697456540275894</v>
      </c>
      <c r="AM21">
        <f t="shared" si="3"/>
        <v>0.95697456540275894</v>
      </c>
      <c r="AN21">
        <f t="shared" si="3"/>
        <v>0.95697456540275894</v>
      </c>
      <c r="AO21">
        <f t="shared" si="3"/>
        <v>0.95697456540275894</v>
      </c>
      <c r="AP21">
        <f t="shared" si="4"/>
        <v>0.95697456540275894</v>
      </c>
    </row>
    <row r="22" spans="1:42" x14ac:dyDescent="0.2">
      <c r="A22" t="s">
        <v>393</v>
      </c>
      <c r="B22">
        <f>'Start Year Energy'!I76</f>
        <v>0.90550319171493732</v>
      </c>
      <c r="C22">
        <f t="shared" si="2"/>
        <v>0.90550319171493732</v>
      </c>
      <c r="D22">
        <f t="shared" si="2"/>
        <v>0.90550319171493732</v>
      </c>
      <c r="E22">
        <f t="shared" si="2"/>
        <v>0.90550319171493732</v>
      </c>
      <c r="F22">
        <f t="shared" si="2"/>
        <v>0.90550319171493732</v>
      </c>
      <c r="G22">
        <f t="shared" si="2"/>
        <v>0.90550319171493732</v>
      </c>
      <c r="H22">
        <f t="shared" si="2"/>
        <v>0.90550319171493732</v>
      </c>
      <c r="I22">
        <f t="shared" si="2"/>
        <v>0.90550319171493732</v>
      </c>
      <c r="J22">
        <f t="shared" si="2"/>
        <v>0.90550319171493732</v>
      </c>
      <c r="K22">
        <f t="shared" si="2"/>
        <v>0.90550319171493732</v>
      </c>
      <c r="L22">
        <f t="shared" si="2"/>
        <v>0.90550319171493732</v>
      </c>
      <c r="M22">
        <f t="shared" si="2"/>
        <v>0.90550319171493732</v>
      </c>
      <c r="N22">
        <f t="shared" si="2"/>
        <v>0.90550319171493732</v>
      </c>
      <c r="O22">
        <f t="shared" si="2"/>
        <v>0.90550319171493732</v>
      </c>
      <c r="P22">
        <f t="shared" si="2"/>
        <v>0.90550319171493732</v>
      </c>
      <c r="Q22">
        <f t="shared" si="2"/>
        <v>0.90550319171493732</v>
      </c>
      <c r="R22">
        <f t="shared" si="2"/>
        <v>0.90550319171493732</v>
      </c>
      <c r="S22">
        <f t="shared" si="3"/>
        <v>0.90550319171493732</v>
      </c>
      <c r="T22">
        <f t="shared" si="3"/>
        <v>0.90550319171493732</v>
      </c>
      <c r="U22">
        <f t="shared" si="3"/>
        <v>0.90550319171493732</v>
      </c>
      <c r="V22">
        <f t="shared" si="3"/>
        <v>0.90550319171493732</v>
      </c>
      <c r="W22">
        <f t="shared" si="3"/>
        <v>0.90550319171493732</v>
      </c>
      <c r="X22">
        <f t="shared" si="3"/>
        <v>0.90550319171493732</v>
      </c>
      <c r="Y22">
        <f t="shared" si="3"/>
        <v>0.90550319171493732</v>
      </c>
      <c r="Z22">
        <f t="shared" si="3"/>
        <v>0.90550319171493732</v>
      </c>
      <c r="AA22">
        <f t="shared" si="3"/>
        <v>0.90550319171493732</v>
      </c>
      <c r="AB22">
        <f t="shared" si="3"/>
        <v>0.90550319171493732</v>
      </c>
      <c r="AC22">
        <f t="shared" si="3"/>
        <v>0.90550319171493732</v>
      </c>
      <c r="AD22">
        <f t="shared" si="3"/>
        <v>0.90550319171493732</v>
      </c>
      <c r="AE22">
        <f t="shared" si="3"/>
        <v>0.90550319171493732</v>
      </c>
      <c r="AF22">
        <f t="shared" si="3"/>
        <v>0.90550319171493732</v>
      </c>
      <c r="AG22">
        <f t="shared" si="3"/>
        <v>0.90550319171493732</v>
      </c>
      <c r="AH22">
        <f t="shared" si="3"/>
        <v>0.90550319171493732</v>
      </c>
      <c r="AI22">
        <f t="shared" si="3"/>
        <v>0.90550319171493732</v>
      </c>
      <c r="AJ22">
        <f t="shared" si="3"/>
        <v>0.90550319171493732</v>
      </c>
      <c r="AK22">
        <f t="shared" si="3"/>
        <v>0.90550319171493732</v>
      </c>
      <c r="AL22">
        <f t="shared" si="3"/>
        <v>0.90550319171493732</v>
      </c>
      <c r="AM22">
        <f t="shared" si="3"/>
        <v>0.90550319171493732</v>
      </c>
      <c r="AN22">
        <f t="shared" si="3"/>
        <v>0.90550319171493732</v>
      </c>
      <c r="AO22">
        <f t="shared" si="3"/>
        <v>0.90550319171493732</v>
      </c>
      <c r="AP22">
        <f t="shared" si="4"/>
        <v>0.90550319171493732</v>
      </c>
    </row>
    <row r="23" spans="1:42" x14ac:dyDescent="0.2">
      <c r="A23" t="s">
        <v>394</v>
      </c>
      <c r="B23">
        <f>'Start Year Energy'!I77</f>
        <v>0.95866243966989229</v>
      </c>
      <c r="C23">
        <f t="shared" si="2"/>
        <v>0.95866243966989229</v>
      </c>
      <c r="D23">
        <f t="shared" si="2"/>
        <v>0.95866243966989229</v>
      </c>
      <c r="E23">
        <f t="shared" si="2"/>
        <v>0.95866243966989229</v>
      </c>
      <c r="F23">
        <f t="shared" si="2"/>
        <v>0.95866243966989229</v>
      </c>
      <c r="G23">
        <f t="shared" si="2"/>
        <v>0.95866243966989229</v>
      </c>
      <c r="H23">
        <f t="shared" si="2"/>
        <v>0.95866243966989229</v>
      </c>
      <c r="I23">
        <f t="shared" si="2"/>
        <v>0.95866243966989229</v>
      </c>
      <c r="J23">
        <f t="shared" si="2"/>
        <v>0.95866243966989229</v>
      </c>
      <c r="K23">
        <f t="shared" si="2"/>
        <v>0.95866243966989229</v>
      </c>
      <c r="L23">
        <f t="shared" si="2"/>
        <v>0.95866243966989229</v>
      </c>
      <c r="M23">
        <f t="shared" si="2"/>
        <v>0.95866243966989229</v>
      </c>
      <c r="N23">
        <f t="shared" si="2"/>
        <v>0.95866243966989229</v>
      </c>
      <c r="O23">
        <f t="shared" si="2"/>
        <v>0.95866243966989229</v>
      </c>
      <c r="P23">
        <f t="shared" si="2"/>
        <v>0.95866243966989229</v>
      </c>
      <c r="Q23">
        <f t="shared" si="2"/>
        <v>0.95866243966989229</v>
      </c>
      <c r="R23">
        <f t="shared" si="2"/>
        <v>0.95866243966989229</v>
      </c>
      <c r="S23">
        <f t="shared" si="3"/>
        <v>0.95866243966989229</v>
      </c>
      <c r="T23">
        <f t="shared" si="3"/>
        <v>0.95866243966989229</v>
      </c>
      <c r="U23">
        <f t="shared" si="3"/>
        <v>0.95866243966989229</v>
      </c>
      <c r="V23">
        <f t="shared" si="3"/>
        <v>0.95866243966989229</v>
      </c>
      <c r="W23">
        <f t="shared" si="3"/>
        <v>0.95866243966989229</v>
      </c>
      <c r="X23">
        <f t="shared" si="3"/>
        <v>0.95866243966989229</v>
      </c>
      <c r="Y23">
        <f t="shared" si="3"/>
        <v>0.95866243966989229</v>
      </c>
      <c r="Z23">
        <f t="shared" si="3"/>
        <v>0.95866243966989229</v>
      </c>
      <c r="AA23">
        <f t="shared" si="3"/>
        <v>0.95866243966989229</v>
      </c>
      <c r="AB23">
        <f t="shared" si="3"/>
        <v>0.95866243966989229</v>
      </c>
      <c r="AC23">
        <f t="shared" si="3"/>
        <v>0.95866243966989229</v>
      </c>
      <c r="AD23">
        <f t="shared" si="3"/>
        <v>0.95866243966989229</v>
      </c>
      <c r="AE23">
        <f t="shared" si="3"/>
        <v>0.95866243966989229</v>
      </c>
      <c r="AF23">
        <f t="shared" si="3"/>
        <v>0.95866243966989229</v>
      </c>
      <c r="AG23">
        <f t="shared" si="3"/>
        <v>0.95866243966989229</v>
      </c>
      <c r="AH23">
        <f t="shared" si="3"/>
        <v>0.95866243966989229</v>
      </c>
      <c r="AI23">
        <f t="shared" si="3"/>
        <v>0.95866243966989229</v>
      </c>
      <c r="AJ23">
        <f t="shared" si="3"/>
        <v>0.95866243966989229</v>
      </c>
      <c r="AK23">
        <f t="shared" si="3"/>
        <v>0.95866243966989229</v>
      </c>
      <c r="AL23">
        <f t="shared" si="3"/>
        <v>0.95866243966989229</v>
      </c>
      <c r="AM23">
        <f t="shared" si="3"/>
        <v>0.95866243966989229</v>
      </c>
      <c r="AN23">
        <f t="shared" si="3"/>
        <v>0.95866243966989229</v>
      </c>
      <c r="AO23">
        <f t="shared" si="3"/>
        <v>0.95866243966989229</v>
      </c>
      <c r="AP23">
        <f t="shared" si="4"/>
        <v>0.95866243966989229</v>
      </c>
    </row>
    <row r="24" spans="1:42" x14ac:dyDescent="0.2">
      <c r="A24" t="s">
        <v>395</v>
      </c>
      <c r="B24">
        <f>'Start Year Energy'!I78</f>
        <v>1.3848358447422493E-3</v>
      </c>
      <c r="C24">
        <f t="shared" si="2"/>
        <v>1.3848358447422493E-3</v>
      </c>
      <c r="D24">
        <f t="shared" si="2"/>
        <v>1.3848358447422493E-3</v>
      </c>
      <c r="E24">
        <f t="shared" si="2"/>
        <v>1.3848358447422493E-3</v>
      </c>
      <c r="F24">
        <f t="shared" si="2"/>
        <v>1.3848358447422493E-3</v>
      </c>
      <c r="G24">
        <f t="shared" si="2"/>
        <v>1.3848358447422493E-3</v>
      </c>
      <c r="H24">
        <f t="shared" si="2"/>
        <v>1.3848358447422493E-3</v>
      </c>
      <c r="I24">
        <f t="shared" si="2"/>
        <v>1.3848358447422493E-3</v>
      </c>
      <c r="J24">
        <f t="shared" si="2"/>
        <v>1.3848358447422493E-3</v>
      </c>
      <c r="K24">
        <f t="shared" si="2"/>
        <v>1.3848358447422493E-3</v>
      </c>
      <c r="L24">
        <f t="shared" si="2"/>
        <v>1.3848358447422493E-3</v>
      </c>
      <c r="M24">
        <f t="shared" si="2"/>
        <v>1.3848358447422493E-3</v>
      </c>
      <c r="N24">
        <f t="shared" si="2"/>
        <v>1.3848358447422493E-3</v>
      </c>
      <c r="O24">
        <f t="shared" si="2"/>
        <v>1.3848358447422493E-3</v>
      </c>
      <c r="P24">
        <f t="shared" si="2"/>
        <v>1.3848358447422493E-3</v>
      </c>
      <c r="Q24">
        <f t="shared" si="2"/>
        <v>1.3848358447422493E-3</v>
      </c>
      <c r="R24">
        <f t="shared" si="2"/>
        <v>1.3848358447422493E-3</v>
      </c>
      <c r="S24">
        <f t="shared" si="3"/>
        <v>1.3848358447422493E-3</v>
      </c>
      <c r="T24">
        <f t="shared" si="3"/>
        <v>1.3848358447422493E-3</v>
      </c>
      <c r="U24">
        <f t="shared" si="3"/>
        <v>1.3848358447422493E-3</v>
      </c>
      <c r="V24">
        <f t="shared" si="3"/>
        <v>1.3848358447422493E-3</v>
      </c>
      <c r="W24">
        <f t="shared" si="3"/>
        <v>1.3848358447422493E-3</v>
      </c>
      <c r="X24">
        <f t="shared" si="3"/>
        <v>1.3848358447422493E-3</v>
      </c>
      <c r="Y24">
        <f t="shared" si="3"/>
        <v>1.3848358447422493E-3</v>
      </c>
      <c r="Z24">
        <f t="shared" si="3"/>
        <v>1.3848358447422493E-3</v>
      </c>
      <c r="AA24">
        <f t="shared" si="3"/>
        <v>1.3848358447422493E-3</v>
      </c>
      <c r="AB24">
        <f t="shared" si="3"/>
        <v>1.3848358447422493E-3</v>
      </c>
      <c r="AC24">
        <f t="shared" si="3"/>
        <v>1.3848358447422493E-3</v>
      </c>
      <c r="AD24">
        <f t="shared" si="3"/>
        <v>1.3848358447422493E-3</v>
      </c>
      <c r="AE24">
        <f t="shared" si="3"/>
        <v>1.3848358447422493E-3</v>
      </c>
      <c r="AF24">
        <f t="shared" ref="AF24:AP26" si="5">$B24</f>
        <v>1.3848358447422493E-3</v>
      </c>
      <c r="AG24">
        <f t="shared" si="5"/>
        <v>1.3848358447422493E-3</v>
      </c>
      <c r="AH24">
        <f t="shared" si="5"/>
        <v>1.3848358447422493E-3</v>
      </c>
      <c r="AI24">
        <f t="shared" si="5"/>
        <v>1.3848358447422493E-3</v>
      </c>
      <c r="AJ24">
        <f t="shared" si="5"/>
        <v>1.3848358447422493E-3</v>
      </c>
      <c r="AK24">
        <f t="shared" si="5"/>
        <v>1.3848358447422493E-3</v>
      </c>
      <c r="AL24">
        <f t="shared" si="5"/>
        <v>1.3848358447422493E-3</v>
      </c>
      <c r="AM24">
        <f t="shared" si="5"/>
        <v>1.3848358447422493E-3</v>
      </c>
      <c r="AN24">
        <f t="shared" si="5"/>
        <v>1.3848358447422493E-3</v>
      </c>
      <c r="AO24">
        <f t="shared" si="5"/>
        <v>1.3848358447422493E-3</v>
      </c>
      <c r="AP24">
        <f t="shared" si="5"/>
        <v>1.3848358447422493E-3</v>
      </c>
    </row>
    <row r="25" spans="1:42" x14ac:dyDescent="0.2">
      <c r="A25" t="s">
        <v>396</v>
      </c>
      <c r="B25">
        <f>'Start Year Energy'!I79</f>
        <v>0.97796261108455962</v>
      </c>
      <c r="C25">
        <f t="shared" si="2"/>
        <v>0.97796261108455962</v>
      </c>
      <c r="D25">
        <f t="shared" si="2"/>
        <v>0.97796261108455962</v>
      </c>
      <c r="E25">
        <f t="shared" si="2"/>
        <v>0.97796261108455962</v>
      </c>
      <c r="F25">
        <f t="shared" si="2"/>
        <v>0.97796261108455962</v>
      </c>
      <c r="G25">
        <f t="shared" si="2"/>
        <v>0.97796261108455962</v>
      </c>
      <c r="H25">
        <f t="shared" si="2"/>
        <v>0.97796261108455962</v>
      </c>
      <c r="I25">
        <f t="shared" si="2"/>
        <v>0.97796261108455962</v>
      </c>
      <c r="J25">
        <f t="shared" si="2"/>
        <v>0.97796261108455962</v>
      </c>
      <c r="K25">
        <f t="shared" si="2"/>
        <v>0.97796261108455962</v>
      </c>
      <c r="L25">
        <f t="shared" si="2"/>
        <v>0.97796261108455962</v>
      </c>
      <c r="M25">
        <f t="shared" si="2"/>
        <v>0.97796261108455962</v>
      </c>
      <c r="N25">
        <f t="shared" si="2"/>
        <v>0.97796261108455962</v>
      </c>
      <c r="O25">
        <f t="shared" si="2"/>
        <v>0.97796261108455962</v>
      </c>
      <c r="P25">
        <f t="shared" si="2"/>
        <v>0.97796261108455962</v>
      </c>
      <c r="Q25">
        <f t="shared" si="2"/>
        <v>0.97796261108455962</v>
      </c>
      <c r="R25">
        <f t="shared" si="2"/>
        <v>0.97796261108455962</v>
      </c>
      <c r="S25">
        <f t="shared" ref="S25:AF25" si="6">$B25</f>
        <v>0.97796261108455962</v>
      </c>
      <c r="T25">
        <f t="shared" si="6"/>
        <v>0.97796261108455962</v>
      </c>
      <c r="U25">
        <f t="shared" si="6"/>
        <v>0.97796261108455962</v>
      </c>
      <c r="V25">
        <f t="shared" si="6"/>
        <v>0.97796261108455962</v>
      </c>
      <c r="W25">
        <f t="shared" si="6"/>
        <v>0.97796261108455962</v>
      </c>
      <c r="X25">
        <f t="shared" si="6"/>
        <v>0.97796261108455962</v>
      </c>
      <c r="Y25">
        <f t="shared" si="6"/>
        <v>0.97796261108455962</v>
      </c>
      <c r="Z25">
        <f t="shared" si="6"/>
        <v>0.97796261108455962</v>
      </c>
      <c r="AA25">
        <f t="shared" si="6"/>
        <v>0.97796261108455962</v>
      </c>
      <c r="AB25">
        <f t="shared" si="6"/>
        <v>0.97796261108455962</v>
      </c>
      <c r="AC25">
        <f t="shared" si="6"/>
        <v>0.97796261108455962</v>
      </c>
      <c r="AD25">
        <f t="shared" si="6"/>
        <v>0.97796261108455962</v>
      </c>
      <c r="AE25">
        <f t="shared" si="6"/>
        <v>0.97796261108455962</v>
      </c>
      <c r="AF25">
        <f t="shared" si="6"/>
        <v>0.97796261108455962</v>
      </c>
      <c r="AG25">
        <f t="shared" si="5"/>
        <v>0.97796261108455962</v>
      </c>
      <c r="AH25">
        <f t="shared" si="5"/>
        <v>0.97796261108455962</v>
      </c>
      <c r="AI25">
        <f t="shared" si="5"/>
        <v>0.97796261108455962</v>
      </c>
      <c r="AJ25">
        <f t="shared" si="5"/>
        <v>0.97796261108455962</v>
      </c>
      <c r="AK25">
        <f t="shared" si="5"/>
        <v>0.97796261108455962</v>
      </c>
      <c r="AL25">
        <f t="shared" si="5"/>
        <v>0.97796261108455962</v>
      </c>
      <c r="AM25">
        <f t="shared" si="5"/>
        <v>0.97796261108455962</v>
      </c>
      <c r="AN25">
        <f t="shared" si="5"/>
        <v>0.97796261108455962</v>
      </c>
      <c r="AO25">
        <f t="shared" si="5"/>
        <v>0.97796261108455962</v>
      </c>
      <c r="AP25">
        <f t="shared" si="5"/>
        <v>0.97796261108455962</v>
      </c>
    </row>
    <row r="26" spans="1:42" x14ac:dyDescent="0.2">
      <c r="A26" t="s">
        <v>397</v>
      </c>
      <c r="B26">
        <f>'Start Year Energy'!I80</f>
        <v>4.267464743474858E-2</v>
      </c>
      <c r="C26">
        <f t="shared" si="2"/>
        <v>4.267464743474858E-2</v>
      </c>
      <c r="D26">
        <f t="shared" si="2"/>
        <v>4.267464743474858E-2</v>
      </c>
      <c r="E26">
        <f t="shared" si="2"/>
        <v>4.267464743474858E-2</v>
      </c>
      <c r="F26">
        <f t="shared" si="2"/>
        <v>4.267464743474858E-2</v>
      </c>
      <c r="G26">
        <f t="shared" si="2"/>
        <v>4.267464743474858E-2</v>
      </c>
      <c r="H26">
        <f t="shared" si="2"/>
        <v>4.267464743474858E-2</v>
      </c>
      <c r="I26">
        <f t="shared" si="2"/>
        <v>4.267464743474858E-2</v>
      </c>
      <c r="J26">
        <f t="shared" ref="J26:AF26" si="7">$B26</f>
        <v>4.267464743474858E-2</v>
      </c>
      <c r="K26">
        <f t="shared" si="7"/>
        <v>4.267464743474858E-2</v>
      </c>
      <c r="L26">
        <f t="shared" si="7"/>
        <v>4.267464743474858E-2</v>
      </c>
      <c r="M26">
        <f t="shared" si="7"/>
        <v>4.267464743474858E-2</v>
      </c>
      <c r="N26">
        <f t="shared" si="7"/>
        <v>4.267464743474858E-2</v>
      </c>
      <c r="O26">
        <f t="shared" si="7"/>
        <v>4.267464743474858E-2</v>
      </c>
      <c r="P26">
        <f t="shared" si="7"/>
        <v>4.267464743474858E-2</v>
      </c>
      <c r="Q26">
        <f t="shared" si="7"/>
        <v>4.267464743474858E-2</v>
      </c>
      <c r="R26">
        <f t="shared" si="7"/>
        <v>4.267464743474858E-2</v>
      </c>
      <c r="S26">
        <f t="shared" si="7"/>
        <v>4.267464743474858E-2</v>
      </c>
      <c r="T26">
        <f t="shared" si="7"/>
        <v>4.267464743474858E-2</v>
      </c>
      <c r="U26">
        <f t="shared" si="7"/>
        <v>4.267464743474858E-2</v>
      </c>
      <c r="V26">
        <f t="shared" si="7"/>
        <v>4.267464743474858E-2</v>
      </c>
      <c r="W26">
        <f t="shared" si="7"/>
        <v>4.267464743474858E-2</v>
      </c>
      <c r="X26">
        <f t="shared" si="7"/>
        <v>4.267464743474858E-2</v>
      </c>
      <c r="Y26">
        <f t="shared" si="7"/>
        <v>4.267464743474858E-2</v>
      </c>
      <c r="Z26">
        <f t="shared" si="7"/>
        <v>4.267464743474858E-2</v>
      </c>
      <c r="AA26">
        <f t="shared" si="7"/>
        <v>4.267464743474858E-2</v>
      </c>
      <c r="AB26">
        <f t="shared" si="7"/>
        <v>4.267464743474858E-2</v>
      </c>
      <c r="AC26">
        <f t="shared" si="7"/>
        <v>4.267464743474858E-2</v>
      </c>
      <c r="AD26">
        <f t="shared" si="7"/>
        <v>4.267464743474858E-2</v>
      </c>
      <c r="AE26">
        <f t="shared" si="7"/>
        <v>4.267464743474858E-2</v>
      </c>
      <c r="AF26">
        <f t="shared" si="7"/>
        <v>4.267464743474858E-2</v>
      </c>
      <c r="AG26">
        <f t="shared" si="5"/>
        <v>4.267464743474858E-2</v>
      </c>
      <c r="AH26">
        <f t="shared" si="5"/>
        <v>4.267464743474858E-2</v>
      </c>
      <c r="AI26">
        <f t="shared" si="5"/>
        <v>4.267464743474858E-2</v>
      </c>
      <c r="AJ26">
        <f t="shared" si="5"/>
        <v>4.267464743474858E-2</v>
      </c>
      <c r="AK26">
        <f t="shared" si="5"/>
        <v>4.267464743474858E-2</v>
      </c>
      <c r="AL26">
        <f t="shared" si="5"/>
        <v>4.267464743474858E-2</v>
      </c>
      <c r="AM26">
        <f t="shared" si="5"/>
        <v>4.267464743474858E-2</v>
      </c>
      <c r="AN26">
        <f t="shared" si="5"/>
        <v>4.267464743474858E-2</v>
      </c>
      <c r="AO26">
        <f t="shared" si="5"/>
        <v>4.267464743474858E-2</v>
      </c>
      <c r="AP26">
        <f t="shared" si="5"/>
        <v>4.267464743474858E-2</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8C10F-C48F-49B7-940C-B0A9C098CD84}">
  <sheetPr codeName="Sheet27">
    <tabColor theme="4"/>
  </sheetPr>
  <dimension ref="A1:AP26"/>
  <sheetViews>
    <sheetView workbookViewId="0">
      <selection activeCell="A39" sqref="A39"/>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Energy'!K56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Energy'!K57</f>
        <v>1</v>
      </c>
      <c r="C3">
        <f t="shared" ref="C3:R26" si="2">$B3</f>
        <v>1</v>
      </c>
      <c r="D3">
        <f t="shared" si="2"/>
        <v>1</v>
      </c>
      <c r="E3">
        <f t="shared" si="2"/>
        <v>1</v>
      </c>
      <c r="F3">
        <f t="shared" si="2"/>
        <v>1</v>
      </c>
      <c r="G3">
        <f t="shared" si="2"/>
        <v>1</v>
      </c>
      <c r="H3">
        <f t="shared" si="2"/>
        <v>1</v>
      </c>
      <c r="I3">
        <f t="shared" si="2"/>
        <v>1</v>
      </c>
      <c r="J3">
        <f t="shared" si="2"/>
        <v>1</v>
      </c>
      <c r="K3">
        <f t="shared" si="2"/>
        <v>1</v>
      </c>
      <c r="L3">
        <f t="shared" si="2"/>
        <v>1</v>
      </c>
      <c r="M3">
        <f t="shared" si="2"/>
        <v>1</v>
      </c>
      <c r="N3">
        <f t="shared" si="2"/>
        <v>1</v>
      </c>
      <c r="O3">
        <f t="shared" si="2"/>
        <v>1</v>
      </c>
      <c r="P3">
        <f t="shared" si="2"/>
        <v>1</v>
      </c>
      <c r="Q3">
        <f t="shared" si="2"/>
        <v>1</v>
      </c>
      <c r="R3">
        <f t="shared" si="2"/>
        <v>1</v>
      </c>
      <c r="S3">
        <f t="shared" si="0"/>
        <v>1</v>
      </c>
      <c r="T3">
        <f t="shared" si="0"/>
        <v>1</v>
      </c>
      <c r="U3">
        <f t="shared" si="0"/>
        <v>1</v>
      </c>
      <c r="V3">
        <f t="shared" si="0"/>
        <v>1</v>
      </c>
      <c r="W3">
        <f t="shared" si="0"/>
        <v>1</v>
      </c>
      <c r="X3">
        <f t="shared" si="0"/>
        <v>1</v>
      </c>
      <c r="Y3">
        <f t="shared" si="0"/>
        <v>1</v>
      </c>
      <c r="Z3">
        <f t="shared" si="0"/>
        <v>1</v>
      </c>
      <c r="AA3">
        <f t="shared" si="0"/>
        <v>1</v>
      </c>
      <c r="AB3">
        <f t="shared" si="0"/>
        <v>1</v>
      </c>
      <c r="AC3">
        <f t="shared" si="0"/>
        <v>1</v>
      </c>
      <c r="AD3">
        <f t="shared" si="0"/>
        <v>1</v>
      </c>
      <c r="AE3">
        <f t="shared" si="0"/>
        <v>1</v>
      </c>
      <c r="AF3">
        <f t="shared" si="0"/>
        <v>1</v>
      </c>
      <c r="AG3">
        <f t="shared" si="1"/>
        <v>1</v>
      </c>
      <c r="AH3">
        <f t="shared" si="1"/>
        <v>1</v>
      </c>
      <c r="AI3">
        <f t="shared" si="1"/>
        <v>1</v>
      </c>
      <c r="AJ3">
        <f t="shared" si="1"/>
        <v>1</v>
      </c>
      <c r="AK3">
        <f t="shared" si="1"/>
        <v>1</v>
      </c>
      <c r="AL3">
        <f t="shared" si="1"/>
        <v>1</v>
      </c>
      <c r="AM3">
        <f t="shared" si="1"/>
        <v>1</v>
      </c>
      <c r="AN3">
        <f t="shared" si="1"/>
        <v>1</v>
      </c>
      <c r="AO3">
        <f t="shared" si="1"/>
        <v>1</v>
      </c>
      <c r="AP3">
        <f t="shared" si="1"/>
        <v>1</v>
      </c>
    </row>
    <row r="4" spans="1:42" x14ac:dyDescent="0.2">
      <c r="A4" t="s">
        <v>375</v>
      </c>
      <c r="B4">
        <f>'Start Year Energy'!K58</f>
        <v>1</v>
      </c>
      <c r="C4">
        <f t="shared" si="2"/>
        <v>1</v>
      </c>
      <c r="D4">
        <f t="shared" si="0"/>
        <v>1</v>
      </c>
      <c r="E4">
        <f t="shared" si="0"/>
        <v>1</v>
      </c>
      <c r="F4">
        <f t="shared" si="0"/>
        <v>1</v>
      </c>
      <c r="G4">
        <f t="shared" si="0"/>
        <v>1</v>
      </c>
      <c r="H4">
        <f t="shared" si="0"/>
        <v>1</v>
      </c>
      <c r="I4">
        <f t="shared" si="0"/>
        <v>1</v>
      </c>
      <c r="J4">
        <f t="shared" si="0"/>
        <v>1</v>
      </c>
      <c r="K4">
        <f t="shared" si="0"/>
        <v>1</v>
      </c>
      <c r="L4">
        <f t="shared" si="0"/>
        <v>1</v>
      </c>
      <c r="M4">
        <f t="shared" si="0"/>
        <v>1</v>
      </c>
      <c r="N4">
        <f t="shared" si="0"/>
        <v>1</v>
      </c>
      <c r="O4">
        <f t="shared" si="0"/>
        <v>1</v>
      </c>
      <c r="P4">
        <f t="shared" si="0"/>
        <v>1</v>
      </c>
      <c r="Q4">
        <f t="shared" si="0"/>
        <v>1</v>
      </c>
      <c r="R4">
        <f t="shared" si="0"/>
        <v>1</v>
      </c>
      <c r="S4">
        <f t="shared" si="0"/>
        <v>1</v>
      </c>
      <c r="T4">
        <f t="shared" si="0"/>
        <v>1</v>
      </c>
      <c r="U4">
        <f t="shared" si="0"/>
        <v>1</v>
      </c>
      <c r="V4">
        <f t="shared" si="0"/>
        <v>1</v>
      </c>
      <c r="W4">
        <f t="shared" si="0"/>
        <v>1</v>
      </c>
      <c r="X4">
        <f t="shared" si="0"/>
        <v>1</v>
      </c>
      <c r="Y4">
        <f t="shared" si="0"/>
        <v>1</v>
      </c>
      <c r="Z4">
        <f t="shared" si="0"/>
        <v>1</v>
      </c>
      <c r="AA4">
        <f t="shared" si="0"/>
        <v>1</v>
      </c>
      <c r="AB4">
        <f t="shared" si="0"/>
        <v>1</v>
      </c>
      <c r="AC4">
        <f t="shared" si="0"/>
        <v>1</v>
      </c>
      <c r="AD4">
        <f t="shared" si="0"/>
        <v>1</v>
      </c>
      <c r="AE4">
        <f t="shared" si="0"/>
        <v>1</v>
      </c>
      <c r="AF4">
        <f t="shared" si="0"/>
        <v>1</v>
      </c>
      <c r="AG4">
        <f t="shared" si="1"/>
        <v>1</v>
      </c>
      <c r="AH4">
        <f t="shared" si="1"/>
        <v>1</v>
      </c>
      <c r="AI4">
        <f t="shared" si="1"/>
        <v>1</v>
      </c>
      <c r="AJ4">
        <f t="shared" si="1"/>
        <v>1</v>
      </c>
      <c r="AK4">
        <f t="shared" si="1"/>
        <v>1</v>
      </c>
      <c r="AL4">
        <f t="shared" si="1"/>
        <v>1</v>
      </c>
      <c r="AM4">
        <f t="shared" si="1"/>
        <v>1</v>
      </c>
      <c r="AN4">
        <f t="shared" si="1"/>
        <v>1</v>
      </c>
      <c r="AO4">
        <f t="shared" si="1"/>
        <v>1</v>
      </c>
      <c r="AP4">
        <f t="shared" si="1"/>
        <v>1</v>
      </c>
    </row>
    <row r="5" spans="1:42" x14ac:dyDescent="0.2">
      <c r="A5" t="s">
        <v>376</v>
      </c>
      <c r="B5">
        <f>'Start Year Energy'!K59</f>
        <v>1</v>
      </c>
      <c r="C5">
        <f t="shared" si="2"/>
        <v>1</v>
      </c>
      <c r="D5">
        <f t="shared" si="0"/>
        <v>1</v>
      </c>
      <c r="E5">
        <f t="shared" si="0"/>
        <v>1</v>
      </c>
      <c r="F5">
        <f t="shared" si="0"/>
        <v>1</v>
      </c>
      <c r="G5">
        <f t="shared" si="0"/>
        <v>1</v>
      </c>
      <c r="H5">
        <f t="shared" si="0"/>
        <v>1</v>
      </c>
      <c r="I5">
        <f t="shared" si="0"/>
        <v>1</v>
      </c>
      <c r="J5">
        <f t="shared" si="0"/>
        <v>1</v>
      </c>
      <c r="K5">
        <f t="shared" si="0"/>
        <v>1</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1</v>
      </c>
      <c r="AF5">
        <f t="shared" si="0"/>
        <v>1</v>
      </c>
      <c r="AG5">
        <f t="shared" si="1"/>
        <v>1</v>
      </c>
      <c r="AH5">
        <f t="shared" si="1"/>
        <v>1</v>
      </c>
      <c r="AI5">
        <f t="shared" si="1"/>
        <v>1</v>
      </c>
      <c r="AJ5">
        <f t="shared" si="1"/>
        <v>1</v>
      </c>
      <c r="AK5">
        <f t="shared" si="1"/>
        <v>1</v>
      </c>
      <c r="AL5">
        <f t="shared" si="1"/>
        <v>1</v>
      </c>
      <c r="AM5">
        <f t="shared" si="1"/>
        <v>1</v>
      </c>
      <c r="AN5">
        <f t="shared" si="1"/>
        <v>1</v>
      </c>
      <c r="AO5">
        <f t="shared" si="1"/>
        <v>1</v>
      </c>
      <c r="AP5">
        <f t="shared" si="1"/>
        <v>1</v>
      </c>
    </row>
    <row r="6" spans="1:42" x14ac:dyDescent="0.2">
      <c r="A6" t="s">
        <v>377</v>
      </c>
      <c r="B6">
        <f>'Start Year Energy'!K60</f>
        <v>1</v>
      </c>
      <c r="C6">
        <f t="shared" si="2"/>
        <v>1</v>
      </c>
      <c r="D6">
        <f t="shared" si="0"/>
        <v>1</v>
      </c>
      <c r="E6">
        <f t="shared" si="0"/>
        <v>1</v>
      </c>
      <c r="F6">
        <f t="shared" si="0"/>
        <v>1</v>
      </c>
      <c r="G6">
        <f t="shared" si="0"/>
        <v>1</v>
      </c>
      <c r="H6">
        <f t="shared" si="0"/>
        <v>1</v>
      </c>
      <c r="I6">
        <f t="shared" si="0"/>
        <v>1</v>
      </c>
      <c r="J6">
        <f t="shared" si="0"/>
        <v>1</v>
      </c>
      <c r="K6">
        <f t="shared" si="0"/>
        <v>1</v>
      </c>
      <c r="L6">
        <f t="shared" si="0"/>
        <v>1</v>
      </c>
      <c r="M6">
        <f t="shared" si="0"/>
        <v>1</v>
      </c>
      <c r="N6">
        <f t="shared" si="0"/>
        <v>1</v>
      </c>
      <c r="O6">
        <f t="shared" si="0"/>
        <v>1</v>
      </c>
      <c r="P6">
        <f t="shared" si="0"/>
        <v>1</v>
      </c>
      <c r="Q6">
        <f t="shared" si="0"/>
        <v>1</v>
      </c>
      <c r="R6">
        <f t="shared" si="0"/>
        <v>1</v>
      </c>
      <c r="S6">
        <f t="shared" si="0"/>
        <v>1</v>
      </c>
      <c r="T6">
        <f t="shared" si="0"/>
        <v>1</v>
      </c>
      <c r="U6">
        <f t="shared" si="0"/>
        <v>1</v>
      </c>
      <c r="V6">
        <f t="shared" si="0"/>
        <v>1</v>
      </c>
      <c r="W6">
        <f t="shared" si="0"/>
        <v>1</v>
      </c>
      <c r="X6">
        <f t="shared" si="0"/>
        <v>1</v>
      </c>
      <c r="Y6">
        <f t="shared" si="0"/>
        <v>1</v>
      </c>
      <c r="Z6">
        <f t="shared" si="0"/>
        <v>1</v>
      </c>
      <c r="AA6">
        <f t="shared" si="0"/>
        <v>1</v>
      </c>
      <c r="AB6">
        <f t="shared" si="0"/>
        <v>1</v>
      </c>
      <c r="AC6">
        <f t="shared" si="0"/>
        <v>1</v>
      </c>
      <c r="AD6">
        <f t="shared" si="0"/>
        <v>1</v>
      </c>
      <c r="AE6">
        <f t="shared" si="0"/>
        <v>1</v>
      </c>
      <c r="AF6">
        <f t="shared" si="0"/>
        <v>1</v>
      </c>
      <c r="AG6">
        <f t="shared" si="1"/>
        <v>1</v>
      </c>
      <c r="AH6">
        <f t="shared" si="1"/>
        <v>1</v>
      </c>
      <c r="AI6">
        <f t="shared" si="1"/>
        <v>1</v>
      </c>
      <c r="AJ6">
        <f t="shared" si="1"/>
        <v>1</v>
      </c>
      <c r="AK6">
        <f t="shared" si="1"/>
        <v>1</v>
      </c>
      <c r="AL6">
        <f t="shared" si="1"/>
        <v>1</v>
      </c>
      <c r="AM6">
        <f t="shared" si="1"/>
        <v>1</v>
      </c>
      <c r="AN6">
        <f t="shared" si="1"/>
        <v>1</v>
      </c>
      <c r="AO6">
        <f t="shared" si="1"/>
        <v>1</v>
      </c>
      <c r="AP6">
        <f t="shared" si="1"/>
        <v>1</v>
      </c>
    </row>
    <row r="7" spans="1:42" x14ac:dyDescent="0.2">
      <c r="A7" t="s">
        <v>378</v>
      </c>
      <c r="B7">
        <f>'Start Year Energy'!K61</f>
        <v>1</v>
      </c>
      <c r="C7">
        <f t="shared" si="2"/>
        <v>1</v>
      </c>
      <c r="D7">
        <f t="shared" si="0"/>
        <v>1</v>
      </c>
      <c r="E7">
        <f t="shared" si="0"/>
        <v>1</v>
      </c>
      <c r="F7">
        <f t="shared" si="0"/>
        <v>1</v>
      </c>
      <c r="G7">
        <f t="shared" si="0"/>
        <v>1</v>
      </c>
      <c r="H7">
        <f t="shared" si="0"/>
        <v>1</v>
      </c>
      <c r="I7">
        <f t="shared" si="0"/>
        <v>1</v>
      </c>
      <c r="J7">
        <f t="shared" si="0"/>
        <v>1</v>
      </c>
      <c r="K7">
        <f t="shared" si="0"/>
        <v>1</v>
      </c>
      <c r="L7">
        <f t="shared" si="0"/>
        <v>1</v>
      </c>
      <c r="M7">
        <f t="shared" si="0"/>
        <v>1</v>
      </c>
      <c r="N7">
        <f t="shared" si="0"/>
        <v>1</v>
      </c>
      <c r="O7">
        <f t="shared" si="0"/>
        <v>1</v>
      </c>
      <c r="P7">
        <f t="shared" si="0"/>
        <v>1</v>
      </c>
      <c r="Q7">
        <f t="shared" si="0"/>
        <v>1</v>
      </c>
      <c r="R7">
        <f t="shared" si="0"/>
        <v>1</v>
      </c>
      <c r="S7">
        <f t="shared" si="0"/>
        <v>1</v>
      </c>
      <c r="T7">
        <f t="shared" si="0"/>
        <v>1</v>
      </c>
      <c r="U7">
        <f t="shared" si="0"/>
        <v>1</v>
      </c>
      <c r="V7">
        <f t="shared" si="0"/>
        <v>1</v>
      </c>
      <c r="W7">
        <f t="shared" si="0"/>
        <v>1</v>
      </c>
      <c r="X7">
        <f t="shared" si="0"/>
        <v>1</v>
      </c>
      <c r="Y7">
        <f t="shared" si="0"/>
        <v>1</v>
      </c>
      <c r="Z7">
        <f t="shared" si="0"/>
        <v>1</v>
      </c>
      <c r="AA7">
        <f t="shared" si="0"/>
        <v>1</v>
      </c>
      <c r="AB7">
        <f t="shared" si="0"/>
        <v>1</v>
      </c>
      <c r="AC7">
        <f t="shared" si="0"/>
        <v>1</v>
      </c>
      <c r="AD7">
        <f t="shared" si="0"/>
        <v>1</v>
      </c>
      <c r="AE7">
        <f t="shared" si="0"/>
        <v>1</v>
      </c>
      <c r="AF7">
        <f t="shared" si="0"/>
        <v>1</v>
      </c>
      <c r="AG7">
        <f t="shared" si="1"/>
        <v>1</v>
      </c>
      <c r="AH7">
        <f t="shared" si="1"/>
        <v>1</v>
      </c>
      <c r="AI7">
        <f t="shared" si="1"/>
        <v>1</v>
      </c>
      <c r="AJ7">
        <f t="shared" si="1"/>
        <v>1</v>
      </c>
      <c r="AK7">
        <f t="shared" si="1"/>
        <v>1</v>
      </c>
      <c r="AL7">
        <f t="shared" si="1"/>
        <v>1</v>
      </c>
      <c r="AM7">
        <f t="shared" si="1"/>
        <v>1</v>
      </c>
      <c r="AN7">
        <f t="shared" si="1"/>
        <v>1</v>
      </c>
      <c r="AO7">
        <f t="shared" si="1"/>
        <v>1</v>
      </c>
      <c r="AP7">
        <f t="shared" si="1"/>
        <v>1</v>
      </c>
    </row>
    <row r="8" spans="1:42" x14ac:dyDescent="0.2">
      <c r="A8" t="s">
        <v>379</v>
      </c>
      <c r="B8">
        <f>'Start Year Energy'!K62</f>
        <v>1</v>
      </c>
      <c r="C8">
        <f t="shared" si="2"/>
        <v>1</v>
      </c>
      <c r="D8">
        <f t="shared" si="0"/>
        <v>1</v>
      </c>
      <c r="E8">
        <f t="shared" si="0"/>
        <v>1</v>
      </c>
      <c r="F8">
        <f t="shared" si="0"/>
        <v>1</v>
      </c>
      <c r="G8">
        <f t="shared" si="0"/>
        <v>1</v>
      </c>
      <c r="H8">
        <f t="shared" si="0"/>
        <v>1</v>
      </c>
      <c r="I8">
        <f t="shared" si="0"/>
        <v>1</v>
      </c>
      <c r="J8">
        <f t="shared" si="0"/>
        <v>1</v>
      </c>
      <c r="K8">
        <f t="shared" si="0"/>
        <v>1</v>
      </c>
      <c r="L8">
        <f t="shared" si="0"/>
        <v>1</v>
      </c>
      <c r="M8">
        <f t="shared" si="0"/>
        <v>1</v>
      </c>
      <c r="N8">
        <f t="shared" si="0"/>
        <v>1</v>
      </c>
      <c r="O8">
        <f t="shared" si="0"/>
        <v>1</v>
      </c>
      <c r="P8">
        <f t="shared" si="0"/>
        <v>1</v>
      </c>
      <c r="Q8">
        <f t="shared" si="0"/>
        <v>1</v>
      </c>
      <c r="R8">
        <f t="shared" si="0"/>
        <v>1</v>
      </c>
      <c r="S8">
        <f t="shared" si="0"/>
        <v>1</v>
      </c>
      <c r="T8">
        <f t="shared" si="0"/>
        <v>1</v>
      </c>
      <c r="U8">
        <f t="shared" si="0"/>
        <v>1</v>
      </c>
      <c r="V8">
        <f t="shared" si="0"/>
        <v>1</v>
      </c>
      <c r="W8">
        <f t="shared" si="0"/>
        <v>1</v>
      </c>
      <c r="X8">
        <f t="shared" si="0"/>
        <v>1</v>
      </c>
      <c r="Y8">
        <f t="shared" si="0"/>
        <v>1</v>
      </c>
      <c r="Z8">
        <f t="shared" si="0"/>
        <v>1</v>
      </c>
      <c r="AA8">
        <f t="shared" si="0"/>
        <v>1</v>
      </c>
      <c r="AB8">
        <f t="shared" si="0"/>
        <v>1</v>
      </c>
      <c r="AC8">
        <f t="shared" si="0"/>
        <v>1</v>
      </c>
      <c r="AD8">
        <f t="shared" si="0"/>
        <v>1</v>
      </c>
      <c r="AE8">
        <f t="shared" si="0"/>
        <v>1</v>
      </c>
      <c r="AF8">
        <f t="shared" si="0"/>
        <v>1</v>
      </c>
      <c r="AG8">
        <f t="shared" si="1"/>
        <v>1</v>
      </c>
      <c r="AH8">
        <f t="shared" si="1"/>
        <v>1</v>
      </c>
      <c r="AI8">
        <f t="shared" si="1"/>
        <v>1</v>
      </c>
      <c r="AJ8">
        <f t="shared" si="1"/>
        <v>1</v>
      </c>
      <c r="AK8">
        <f t="shared" si="1"/>
        <v>1</v>
      </c>
      <c r="AL8">
        <f t="shared" si="1"/>
        <v>1</v>
      </c>
      <c r="AM8">
        <f t="shared" si="1"/>
        <v>1</v>
      </c>
      <c r="AN8">
        <f t="shared" si="1"/>
        <v>1</v>
      </c>
      <c r="AO8">
        <f t="shared" si="1"/>
        <v>1</v>
      </c>
      <c r="AP8">
        <f t="shared" si="1"/>
        <v>1</v>
      </c>
    </row>
    <row r="9" spans="1:42" x14ac:dyDescent="0.2">
      <c r="A9" t="s">
        <v>380</v>
      </c>
      <c r="B9">
        <f>'Start Year Energy'!K63</f>
        <v>1</v>
      </c>
      <c r="C9">
        <f t="shared" si="2"/>
        <v>1</v>
      </c>
      <c r="D9">
        <f t="shared" si="0"/>
        <v>1</v>
      </c>
      <c r="E9">
        <f t="shared" si="0"/>
        <v>1</v>
      </c>
      <c r="F9">
        <f t="shared" si="0"/>
        <v>1</v>
      </c>
      <c r="G9">
        <f t="shared" si="0"/>
        <v>1</v>
      </c>
      <c r="H9">
        <f t="shared" si="0"/>
        <v>1</v>
      </c>
      <c r="I9">
        <f t="shared" si="0"/>
        <v>1</v>
      </c>
      <c r="J9">
        <f t="shared" si="0"/>
        <v>1</v>
      </c>
      <c r="K9">
        <f t="shared" si="0"/>
        <v>1</v>
      </c>
      <c r="L9">
        <f t="shared" si="0"/>
        <v>1</v>
      </c>
      <c r="M9">
        <f t="shared" si="0"/>
        <v>1</v>
      </c>
      <c r="N9">
        <f t="shared" si="0"/>
        <v>1</v>
      </c>
      <c r="O9">
        <f t="shared" si="0"/>
        <v>1</v>
      </c>
      <c r="P9">
        <f t="shared" si="0"/>
        <v>1</v>
      </c>
      <c r="Q9">
        <f t="shared" si="0"/>
        <v>1</v>
      </c>
      <c r="R9">
        <f t="shared" si="0"/>
        <v>1</v>
      </c>
      <c r="S9">
        <f t="shared" si="0"/>
        <v>1</v>
      </c>
      <c r="T9">
        <f t="shared" si="0"/>
        <v>1</v>
      </c>
      <c r="U9">
        <f t="shared" si="0"/>
        <v>1</v>
      </c>
      <c r="V9">
        <f t="shared" si="0"/>
        <v>1</v>
      </c>
      <c r="W9">
        <f t="shared" si="0"/>
        <v>1</v>
      </c>
      <c r="X9">
        <f t="shared" si="0"/>
        <v>1</v>
      </c>
      <c r="Y9">
        <f t="shared" si="0"/>
        <v>1</v>
      </c>
      <c r="Z9">
        <f t="shared" si="0"/>
        <v>1</v>
      </c>
      <c r="AA9">
        <f t="shared" si="0"/>
        <v>1</v>
      </c>
      <c r="AB9">
        <f t="shared" si="0"/>
        <v>1</v>
      </c>
      <c r="AC9">
        <f t="shared" si="0"/>
        <v>1</v>
      </c>
      <c r="AD9">
        <f t="shared" si="0"/>
        <v>1</v>
      </c>
      <c r="AE9">
        <f t="shared" si="0"/>
        <v>1</v>
      </c>
      <c r="AF9">
        <f t="shared" si="0"/>
        <v>1</v>
      </c>
      <c r="AG9">
        <f t="shared" si="1"/>
        <v>1</v>
      </c>
      <c r="AH9">
        <f t="shared" si="1"/>
        <v>1</v>
      </c>
      <c r="AI9">
        <f t="shared" si="1"/>
        <v>1</v>
      </c>
      <c r="AJ9">
        <f t="shared" si="1"/>
        <v>1</v>
      </c>
      <c r="AK9">
        <f t="shared" si="1"/>
        <v>1</v>
      </c>
      <c r="AL9">
        <f t="shared" si="1"/>
        <v>1</v>
      </c>
      <c r="AM9">
        <f t="shared" si="1"/>
        <v>1</v>
      </c>
      <c r="AN9">
        <f t="shared" si="1"/>
        <v>1</v>
      </c>
      <c r="AO9">
        <f t="shared" si="1"/>
        <v>1</v>
      </c>
      <c r="AP9">
        <f t="shared" si="1"/>
        <v>1</v>
      </c>
    </row>
    <row r="10" spans="1:42" x14ac:dyDescent="0.2">
      <c r="A10" t="s">
        <v>381</v>
      </c>
      <c r="B10">
        <f>'Start Year Energy'!K64</f>
        <v>1</v>
      </c>
      <c r="C10">
        <f t="shared" si="2"/>
        <v>1</v>
      </c>
      <c r="D10">
        <f t="shared" si="0"/>
        <v>1</v>
      </c>
      <c r="E10">
        <f t="shared" si="0"/>
        <v>1</v>
      </c>
      <c r="F10">
        <f t="shared" si="0"/>
        <v>1</v>
      </c>
      <c r="G10">
        <f t="shared" si="0"/>
        <v>1</v>
      </c>
      <c r="H10">
        <f t="shared" si="0"/>
        <v>1</v>
      </c>
      <c r="I10">
        <f t="shared" si="0"/>
        <v>1</v>
      </c>
      <c r="J10">
        <f t="shared" si="0"/>
        <v>1</v>
      </c>
      <c r="K10">
        <f t="shared" si="0"/>
        <v>1</v>
      </c>
      <c r="L10">
        <f t="shared" si="0"/>
        <v>1</v>
      </c>
      <c r="M10">
        <f t="shared" si="0"/>
        <v>1</v>
      </c>
      <c r="N10">
        <f t="shared" si="0"/>
        <v>1</v>
      </c>
      <c r="O10">
        <f t="shared" si="0"/>
        <v>1</v>
      </c>
      <c r="P10">
        <f t="shared" si="0"/>
        <v>1</v>
      </c>
      <c r="Q10">
        <f t="shared" si="0"/>
        <v>1</v>
      </c>
      <c r="R10">
        <f t="shared" si="0"/>
        <v>1</v>
      </c>
      <c r="S10">
        <f t="shared" si="0"/>
        <v>1</v>
      </c>
      <c r="T10">
        <f t="shared" si="0"/>
        <v>1</v>
      </c>
      <c r="U10">
        <f t="shared" si="0"/>
        <v>1</v>
      </c>
      <c r="V10">
        <f t="shared" si="0"/>
        <v>1</v>
      </c>
      <c r="W10">
        <f t="shared" si="0"/>
        <v>1</v>
      </c>
      <c r="X10">
        <f t="shared" si="0"/>
        <v>1</v>
      </c>
      <c r="Y10">
        <f t="shared" si="0"/>
        <v>1</v>
      </c>
      <c r="Z10">
        <f t="shared" si="0"/>
        <v>1</v>
      </c>
      <c r="AA10">
        <f t="shared" si="0"/>
        <v>1</v>
      </c>
      <c r="AB10">
        <f t="shared" si="0"/>
        <v>1</v>
      </c>
      <c r="AC10">
        <f t="shared" si="0"/>
        <v>1</v>
      </c>
      <c r="AD10">
        <f t="shared" si="0"/>
        <v>1</v>
      </c>
      <c r="AE10">
        <f t="shared" si="0"/>
        <v>1</v>
      </c>
      <c r="AF10">
        <f t="shared" si="0"/>
        <v>1</v>
      </c>
      <c r="AG10">
        <f t="shared" si="1"/>
        <v>1</v>
      </c>
      <c r="AH10">
        <f t="shared" si="1"/>
        <v>1</v>
      </c>
      <c r="AI10">
        <f t="shared" si="1"/>
        <v>1</v>
      </c>
      <c r="AJ10">
        <f t="shared" si="1"/>
        <v>1</v>
      </c>
      <c r="AK10">
        <f t="shared" si="1"/>
        <v>1</v>
      </c>
      <c r="AL10">
        <f t="shared" si="1"/>
        <v>1</v>
      </c>
      <c r="AM10">
        <f t="shared" si="1"/>
        <v>1</v>
      </c>
      <c r="AN10">
        <f t="shared" si="1"/>
        <v>1</v>
      </c>
      <c r="AO10">
        <f t="shared" si="1"/>
        <v>1</v>
      </c>
      <c r="AP10">
        <f t="shared" si="1"/>
        <v>1</v>
      </c>
    </row>
    <row r="11" spans="1:42" x14ac:dyDescent="0.2">
      <c r="A11" t="s">
        <v>382</v>
      </c>
      <c r="B11">
        <f>'Start Year Energy'!K65</f>
        <v>1</v>
      </c>
      <c r="C11">
        <f t="shared" si="2"/>
        <v>1</v>
      </c>
      <c r="D11">
        <f t="shared" si="0"/>
        <v>1</v>
      </c>
      <c r="E11">
        <f t="shared" si="0"/>
        <v>1</v>
      </c>
      <c r="F11">
        <f t="shared" si="0"/>
        <v>1</v>
      </c>
      <c r="G11">
        <f t="shared" si="0"/>
        <v>1</v>
      </c>
      <c r="H11">
        <f t="shared" si="0"/>
        <v>1</v>
      </c>
      <c r="I11">
        <f t="shared" si="0"/>
        <v>1</v>
      </c>
      <c r="J11">
        <f t="shared" si="0"/>
        <v>1</v>
      </c>
      <c r="K11">
        <f t="shared" si="0"/>
        <v>1</v>
      </c>
      <c r="L11">
        <f t="shared" si="0"/>
        <v>1</v>
      </c>
      <c r="M11">
        <f t="shared" ref="M11:AO24" si="3">$B11</f>
        <v>1</v>
      </c>
      <c r="N11">
        <f t="shared" si="3"/>
        <v>1</v>
      </c>
      <c r="O11">
        <f t="shared" si="3"/>
        <v>1</v>
      </c>
      <c r="P11">
        <f t="shared" si="3"/>
        <v>1</v>
      </c>
      <c r="Q11">
        <f t="shared" si="3"/>
        <v>1</v>
      </c>
      <c r="R11">
        <f t="shared" si="3"/>
        <v>1</v>
      </c>
      <c r="S11">
        <f t="shared" si="3"/>
        <v>1</v>
      </c>
      <c r="T11">
        <f t="shared" si="3"/>
        <v>1</v>
      </c>
      <c r="U11">
        <f t="shared" si="3"/>
        <v>1</v>
      </c>
      <c r="V11">
        <f t="shared" si="3"/>
        <v>1</v>
      </c>
      <c r="W11">
        <f t="shared" si="3"/>
        <v>1</v>
      </c>
      <c r="X11">
        <f t="shared" si="3"/>
        <v>1</v>
      </c>
      <c r="Y11">
        <f t="shared" si="3"/>
        <v>1</v>
      </c>
      <c r="Z11">
        <f t="shared" si="3"/>
        <v>1</v>
      </c>
      <c r="AA11">
        <f t="shared" si="3"/>
        <v>1</v>
      </c>
      <c r="AB11">
        <f t="shared" si="3"/>
        <v>1</v>
      </c>
      <c r="AC11">
        <f t="shared" si="3"/>
        <v>1</v>
      </c>
      <c r="AD11">
        <f t="shared" si="3"/>
        <v>1</v>
      </c>
      <c r="AE11">
        <f t="shared" si="3"/>
        <v>1</v>
      </c>
      <c r="AF11">
        <f t="shared" si="3"/>
        <v>1</v>
      </c>
      <c r="AG11">
        <f t="shared" si="1"/>
        <v>1</v>
      </c>
      <c r="AH11">
        <f t="shared" si="1"/>
        <v>1</v>
      </c>
      <c r="AI11">
        <f t="shared" si="1"/>
        <v>1</v>
      </c>
      <c r="AJ11">
        <f t="shared" si="1"/>
        <v>1</v>
      </c>
      <c r="AK11">
        <f t="shared" si="1"/>
        <v>1</v>
      </c>
      <c r="AL11">
        <f t="shared" si="1"/>
        <v>1</v>
      </c>
      <c r="AM11">
        <f t="shared" si="1"/>
        <v>1</v>
      </c>
      <c r="AN11">
        <f t="shared" si="1"/>
        <v>1</v>
      </c>
      <c r="AO11">
        <f t="shared" si="1"/>
        <v>1</v>
      </c>
      <c r="AP11">
        <f t="shared" si="1"/>
        <v>1</v>
      </c>
    </row>
    <row r="12" spans="1:42" x14ac:dyDescent="0.2">
      <c r="A12" t="s">
        <v>383</v>
      </c>
      <c r="B12">
        <f>'Start Year Energy'!K66</f>
        <v>1</v>
      </c>
      <c r="C12">
        <f t="shared" si="2"/>
        <v>1</v>
      </c>
      <c r="D12">
        <f t="shared" si="2"/>
        <v>1</v>
      </c>
      <c r="E12">
        <f t="shared" si="2"/>
        <v>1</v>
      </c>
      <c r="F12">
        <f t="shared" si="2"/>
        <v>1</v>
      </c>
      <c r="G12">
        <f t="shared" si="2"/>
        <v>1</v>
      </c>
      <c r="H12">
        <f t="shared" si="2"/>
        <v>1</v>
      </c>
      <c r="I12">
        <f t="shared" si="2"/>
        <v>1</v>
      </c>
      <c r="J12">
        <f t="shared" si="2"/>
        <v>1</v>
      </c>
      <c r="K12">
        <f t="shared" si="2"/>
        <v>1</v>
      </c>
      <c r="L12">
        <f t="shared" si="2"/>
        <v>1</v>
      </c>
      <c r="M12">
        <f t="shared" si="2"/>
        <v>1</v>
      </c>
      <c r="N12">
        <f t="shared" si="2"/>
        <v>1</v>
      </c>
      <c r="O12">
        <f t="shared" si="2"/>
        <v>1</v>
      </c>
      <c r="P12">
        <f t="shared" si="2"/>
        <v>1</v>
      </c>
      <c r="Q12">
        <f t="shared" si="2"/>
        <v>1</v>
      </c>
      <c r="R12">
        <f t="shared" si="2"/>
        <v>1</v>
      </c>
      <c r="S12">
        <f t="shared" si="3"/>
        <v>1</v>
      </c>
      <c r="T12">
        <f t="shared" si="3"/>
        <v>1</v>
      </c>
      <c r="U12">
        <f t="shared" si="3"/>
        <v>1</v>
      </c>
      <c r="V12">
        <f t="shared" si="3"/>
        <v>1</v>
      </c>
      <c r="W12">
        <f t="shared" si="3"/>
        <v>1</v>
      </c>
      <c r="X12">
        <f t="shared" si="3"/>
        <v>1</v>
      </c>
      <c r="Y12">
        <f t="shared" si="3"/>
        <v>1</v>
      </c>
      <c r="Z12">
        <f t="shared" si="3"/>
        <v>1</v>
      </c>
      <c r="AA12">
        <f t="shared" si="3"/>
        <v>1</v>
      </c>
      <c r="AB12">
        <f t="shared" si="3"/>
        <v>1</v>
      </c>
      <c r="AC12">
        <f t="shared" si="3"/>
        <v>1</v>
      </c>
      <c r="AD12">
        <f t="shared" si="3"/>
        <v>1</v>
      </c>
      <c r="AE12">
        <f t="shared" si="3"/>
        <v>1</v>
      </c>
      <c r="AF12">
        <f t="shared" si="3"/>
        <v>1</v>
      </c>
      <c r="AG12">
        <f t="shared" si="1"/>
        <v>1</v>
      </c>
      <c r="AH12">
        <f t="shared" si="1"/>
        <v>1</v>
      </c>
      <c r="AI12">
        <f t="shared" si="1"/>
        <v>1</v>
      </c>
      <c r="AJ12">
        <f t="shared" si="1"/>
        <v>1</v>
      </c>
      <c r="AK12">
        <f t="shared" si="1"/>
        <v>1</v>
      </c>
      <c r="AL12">
        <f t="shared" si="1"/>
        <v>1</v>
      </c>
      <c r="AM12">
        <f t="shared" si="1"/>
        <v>1</v>
      </c>
      <c r="AN12">
        <f t="shared" si="1"/>
        <v>1</v>
      </c>
      <c r="AO12">
        <f t="shared" si="1"/>
        <v>1</v>
      </c>
      <c r="AP12">
        <f t="shared" si="1"/>
        <v>1</v>
      </c>
    </row>
    <row r="13" spans="1:42" x14ac:dyDescent="0.2">
      <c r="A13" t="s">
        <v>384</v>
      </c>
      <c r="B13">
        <f>'Start Year Energy'!K67</f>
        <v>1</v>
      </c>
      <c r="C13">
        <f t="shared" si="2"/>
        <v>1</v>
      </c>
      <c r="D13">
        <f t="shared" si="2"/>
        <v>1</v>
      </c>
      <c r="E13">
        <f t="shared" si="2"/>
        <v>1</v>
      </c>
      <c r="F13">
        <f t="shared" si="2"/>
        <v>1</v>
      </c>
      <c r="G13">
        <f t="shared" si="2"/>
        <v>1</v>
      </c>
      <c r="H13">
        <f t="shared" si="2"/>
        <v>1</v>
      </c>
      <c r="I13">
        <f t="shared" si="2"/>
        <v>1</v>
      </c>
      <c r="J13">
        <f t="shared" si="2"/>
        <v>1</v>
      </c>
      <c r="K13">
        <f t="shared" si="2"/>
        <v>1</v>
      </c>
      <c r="L13">
        <f t="shared" si="2"/>
        <v>1</v>
      </c>
      <c r="M13">
        <f t="shared" si="2"/>
        <v>1</v>
      </c>
      <c r="N13">
        <f t="shared" si="2"/>
        <v>1</v>
      </c>
      <c r="O13">
        <f t="shared" si="2"/>
        <v>1</v>
      </c>
      <c r="P13">
        <f t="shared" si="2"/>
        <v>1</v>
      </c>
      <c r="Q13">
        <f t="shared" si="2"/>
        <v>1</v>
      </c>
      <c r="R13">
        <f t="shared" si="2"/>
        <v>1</v>
      </c>
      <c r="S13">
        <f t="shared" si="3"/>
        <v>1</v>
      </c>
      <c r="T13">
        <f t="shared" si="3"/>
        <v>1</v>
      </c>
      <c r="U13">
        <f t="shared" si="3"/>
        <v>1</v>
      </c>
      <c r="V13">
        <f t="shared" si="3"/>
        <v>1</v>
      </c>
      <c r="W13">
        <f t="shared" si="3"/>
        <v>1</v>
      </c>
      <c r="X13">
        <f t="shared" si="3"/>
        <v>1</v>
      </c>
      <c r="Y13">
        <f t="shared" si="3"/>
        <v>1</v>
      </c>
      <c r="Z13">
        <f t="shared" si="3"/>
        <v>1</v>
      </c>
      <c r="AA13">
        <f t="shared" si="3"/>
        <v>1</v>
      </c>
      <c r="AB13">
        <f t="shared" si="3"/>
        <v>1</v>
      </c>
      <c r="AC13">
        <f t="shared" si="3"/>
        <v>1</v>
      </c>
      <c r="AD13">
        <f t="shared" si="3"/>
        <v>1</v>
      </c>
      <c r="AE13">
        <f t="shared" si="3"/>
        <v>1</v>
      </c>
      <c r="AF13">
        <f t="shared" si="3"/>
        <v>1</v>
      </c>
      <c r="AG13">
        <f t="shared" si="1"/>
        <v>1</v>
      </c>
      <c r="AH13">
        <f t="shared" si="1"/>
        <v>1</v>
      </c>
      <c r="AI13">
        <f t="shared" si="1"/>
        <v>1</v>
      </c>
      <c r="AJ13">
        <f t="shared" si="1"/>
        <v>1</v>
      </c>
      <c r="AK13">
        <f t="shared" si="1"/>
        <v>1</v>
      </c>
      <c r="AL13">
        <f t="shared" si="1"/>
        <v>1</v>
      </c>
      <c r="AM13">
        <f t="shared" si="1"/>
        <v>1</v>
      </c>
      <c r="AN13">
        <f t="shared" si="1"/>
        <v>1</v>
      </c>
      <c r="AO13">
        <f t="shared" si="1"/>
        <v>1</v>
      </c>
      <c r="AP13">
        <f t="shared" si="1"/>
        <v>1</v>
      </c>
    </row>
    <row r="14" spans="1:42" x14ac:dyDescent="0.2">
      <c r="A14" t="s">
        <v>385</v>
      </c>
      <c r="B14">
        <f>'Start Year Energy'!K68</f>
        <v>1</v>
      </c>
      <c r="C14">
        <f t="shared" si="2"/>
        <v>1</v>
      </c>
      <c r="D14">
        <f t="shared" si="2"/>
        <v>1</v>
      </c>
      <c r="E14">
        <f t="shared" si="2"/>
        <v>1</v>
      </c>
      <c r="F14">
        <f t="shared" si="2"/>
        <v>1</v>
      </c>
      <c r="G14">
        <f t="shared" si="2"/>
        <v>1</v>
      </c>
      <c r="H14">
        <f t="shared" si="2"/>
        <v>1</v>
      </c>
      <c r="I14">
        <f t="shared" si="2"/>
        <v>1</v>
      </c>
      <c r="J14">
        <f t="shared" si="2"/>
        <v>1</v>
      </c>
      <c r="K14">
        <f t="shared" si="2"/>
        <v>1</v>
      </c>
      <c r="L14">
        <f t="shared" si="2"/>
        <v>1</v>
      </c>
      <c r="M14">
        <f t="shared" si="2"/>
        <v>1</v>
      </c>
      <c r="N14">
        <f t="shared" si="2"/>
        <v>1</v>
      </c>
      <c r="O14">
        <f t="shared" si="2"/>
        <v>1</v>
      </c>
      <c r="P14">
        <f t="shared" si="2"/>
        <v>1</v>
      </c>
      <c r="Q14">
        <f t="shared" si="2"/>
        <v>1</v>
      </c>
      <c r="R14">
        <f t="shared" si="2"/>
        <v>1</v>
      </c>
      <c r="S14">
        <f t="shared" si="3"/>
        <v>1</v>
      </c>
      <c r="T14">
        <f t="shared" si="3"/>
        <v>1</v>
      </c>
      <c r="U14">
        <f t="shared" si="3"/>
        <v>1</v>
      </c>
      <c r="V14">
        <f t="shared" si="3"/>
        <v>1</v>
      </c>
      <c r="W14">
        <f t="shared" si="3"/>
        <v>1</v>
      </c>
      <c r="X14">
        <f t="shared" si="3"/>
        <v>1</v>
      </c>
      <c r="Y14">
        <f t="shared" si="3"/>
        <v>1</v>
      </c>
      <c r="Z14">
        <f t="shared" si="3"/>
        <v>1</v>
      </c>
      <c r="AA14">
        <f t="shared" si="3"/>
        <v>1</v>
      </c>
      <c r="AB14">
        <f t="shared" si="3"/>
        <v>1</v>
      </c>
      <c r="AC14">
        <f t="shared" si="3"/>
        <v>1</v>
      </c>
      <c r="AD14">
        <f t="shared" si="3"/>
        <v>1</v>
      </c>
      <c r="AE14">
        <f t="shared" si="3"/>
        <v>1</v>
      </c>
      <c r="AF14">
        <f t="shared" si="3"/>
        <v>1</v>
      </c>
      <c r="AG14">
        <f t="shared" si="1"/>
        <v>1</v>
      </c>
      <c r="AH14">
        <f t="shared" si="1"/>
        <v>1</v>
      </c>
      <c r="AI14">
        <f t="shared" si="1"/>
        <v>1</v>
      </c>
      <c r="AJ14">
        <f t="shared" si="1"/>
        <v>1</v>
      </c>
      <c r="AK14">
        <f t="shared" si="1"/>
        <v>1</v>
      </c>
      <c r="AL14">
        <f t="shared" si="1"/>
        <v>1</v>
      </c>
      <c r="AM14">
        <f t="shared" si="1"/>
        <v>1</v>
      </c>
      <c r="AN14">
        <f t="shared" si="1"/>
        <v>1</v>
      </c>
      <c r="AO14">
        <f t="shared" si="1"/>
        <v>1</v>
      </c>
      <c r="AP14">
        <f t="shared" si="1"/>
        <v>1</v>
      </c>
    </row>
    <row r="15" spans="1:42" x14ac:dyDescent="0.2">
      <c r="A15" t="s">
        <v>386</v>
      </c>
      <c r="B15">
        <f>'Start Year Energy'!K69</f>
        <v>1</v>
      </c>
      <c r="C15">
        <f t="shared" si="2"/>
        <v>1</v>
      </c>
      <c r="D15">
        <f t="shared" si="2"/>
        <v>1</v>
      </c>
      <c r="E15">
        <f t="shared" si="2"/>
        <v>1</v>
      </c>
      <c r="F15">
        <f t="shared" si="2"/>
        <v>1</v>
      </c>
      <c r="G15">
        <f t="shared" si="2"/>
        <v>1</v>
      </c>
      <c r="H15">
        <f t="shared" si="2"/>
        <v>1</v>
      </c>
      <c r="I15">
        <f t="shared" si="2"/>
        <v>1</v>
      </c>
      <c r="J15">
        <f t="shared" si="2"/>
        <v>1</v>
      </c>
      <c r="K15">
        <f t="shared" si="2"/>
        <v>1</v>
      </c>
      <c r="L15">
        <f t="shared" si="2"/>
        <v>1</v>
      </c>
      <c r="M15">
        <f t="shared" si="2"/>
        <v>1</v>
      </c>
      <c r="N15">
        <f t="shared" si="2"/>
        <v>1</v>
      </c>
      <c r="O15">
        <f t="shared" si="2"/>
        <v>1</v>
      </c>
      <c r="P15">
        <f t="shared" si="2"/>
        <v>1</v>
      </c>
      <c r="Q15">
        <f t="shared" si="2"/>
        <v>1</v>
      </c>
      <c r="R15">
        <f t="shared" si="2"/>
        <v>1</v>
      </c>
      <c r="S15">
        <f t="shared" si="3"/>
        <v>1</v>
      </c>
      <c r="T15">
        <f t="shared" si="3"/>
        <v>1</v>
      </c>
      <c r="U15">
        <f t="shared" si="3"/>
        <v>1</v>
      </c>
      <c r="V15">
        <f t="shared" si="3"/>
        <v>1</v>
      </c>
      <c r="W15">
        <f t="shared" si="3"/>
        <v>1</v>
      </c>
      <c r="X15">
        <f t="shared" si="3"/>
        <v>1</v>
      </c>
      <c r="Y15">
        <f t="shared" si="3"/>
        <v>1</v>
      </c>
      <c r="Z15">
        <f t="shared" si="3"/>
        <v>1</v>
      </c>
      <c r="AA15">
        <f t="shared" si="3"/>
        <v>1</v>
      </c>
      <c r="AB15">
        <f t="shared" si="3"/>
        <v>1</v>
      </c>
      <c r="AC15">
        <f t="shared" si="3"/>
        <v>1</v>
      </c>
      <c r="AD15">
        <f t="shared" si="3"/>
        <v>1</v>
      </c>
      <c r="AE15">
        <f t="shared" si="3"/>
        <v>1</v>
      </c>
      <c r="AF15">
        <f t="shared" si="3"/>
        <v>1</v>
      </c>
      <c r="AG15">
        <f t="shared" si="1"/>
        <v>1</v>
      </c>
      <c r="AH15">
        <f t="shared" si="1"/>
        <v>1</v>
      </c>
      <c r="AI15">
        <f t="shared" si="1"/>
        <v>1</v>
      </c>
      <c r="AJ15">
        <f t="shared" si="1"/>
        <v>1</v>
      </c>
      <c r="AK15">
        <f t="shared" si="1"/>
        <v>1</v>
      </c>
      <c r="AL15">
        <f t="shared" si="1"/>
        <v>1</v>
      </c>
      <c r="AM15">
        <f t="shared" si="1"/>
        <v>1</v>
      </c>
      <c r="AN15">
        <f t="shared" si="1"/>
        <v>1</v>
      </c>
      <c r="AO15">
        <f t="shared" si="1"/>
        <v>1</v>
      </c>
      <c r="AP15">
        <f t="shared" si="1"/>
        <v>1</v>
      </c>
    </row>
    <row r="16" spans="1:42" x14ac:dyDescent="0.2">
      <c r="A16" t="s">
        <v>387</v>
      </c>
      <c r="B16">
        <f>'Start Year Energy'!K70</f>
        <v>1</v>
      </c>
      <c r="C16">
        <f t="shared" si="2"/>
        <v>1</v>
      </c>
      <c r="D16">
        <f t="shared" si="2"/>
        <v>1</v>
      </c>
      <c r="E16">
        <f t="shared" si="2"/>
        <v>1</v>
      </c>
      <c r="F16">
        <f t="shared" si="2"/>
        <v>1</v>
      </c>
      <c r="G16">
        <f t="shared" si="2"/>
        <v>1</v>
      </c>
      <c r="H16">
        <f t="shared" si="2"/>
        <v>1</v>
      </c>
      <c r="I16">
        <f t="shared" si="2"/>
        <v>1</v>
      </c>
      <c r="J16">
        <f t="shared" si="2"/>
        <v>1</v>
      </c>
      <c r="K16">
        <f t="shared" si="2"/>
        <v>1</v>
      </c>
      <c r="L16">
        <f t="shared" si="2"/>
        <v>1</v>
      </c>
      <c r="M16">
        <f t="shared" si="2"/>
        <v>1</v>
      </c>
      <c r="N16">
        <f t="shared" si="2"/>
        <v>1</v>
      </c>
      <c r="O16">
        <f t="shared" si="2"/>
        <v>1</v>
      </c>
      <c r="P16">
        <f t="shared" si="2"/>
        <v>1</v>
      </c>
      <c r="Q16">
        <f t="shared" si="2"/>
        <v>1</v>
      </c>
      <c r="R16">
        <f t="shared" si="2"/>
        <v>1</v>
      </c>
      <c r="S16">
        <f t="shared" si="3"/>
        <v>1</v>
      </c>
      <c r="T16">
        <f t="shared" si="3"/>
        <v>1</v>
      </c>
      <c r="U16">
        <f t="shared" si="3"/>
        <v>1</v>
      </c>
      <c r="V16">
        <f t="shared" si="3"/>
        <v>1</v>
      </c>
      <c r="W16">
        <f t="shared" si="3"/>
        <v>1</v>
      </c>
      <c r="X16">
        <f t="shared" si="3"/>
        <v>1</v>
      </c>
      <c r="Y16">
        <f t="shared" si="3"/>
        <v>1</v>
      </c>
      <c r="Z16">
        <f t="shared" si="3"/>
        <v>1</v>
      </c>
      <c r="AA16">
        <f t="shared" si="3"/>
        <v>1</v>
      </c>
      <c r="AB16">
        <f t="shared" si="3"/>
        <v>1</v>
      </c>
      <c r="AC16">
        <f t="shared" si="3"/>
        <v>1</v>
      </c>
      <c r="AD16">
        <f t="shared" si="3"/>
        <v>1</v>
      </c>
      <c r="AE16">
        <f t="shared" si="3"/>
        <v>1</v>
      </c>
      <c r="AF16">
        <f t="shared" si="3"/>
        <v>1</v>
      </c>
      <c r="AG16">
        <f t="shared" si="1"/>
        <v>1</v>
      </c>
      <c r="AH16">
        <f t="shared" si="1"/>
        <v>1</v>
      </c>
      <c r="AI16">
        <f t="shared" si="1"/>
        <v>1</v>
      </c>
      <c r="AJ16">
        <f t="shared" si="1"/>
        <v>1</v>
      </c>
      <c r="AK16">
        <f t="shared" si="1"/>
        <v>1</v>
      </c>
      <c r="AL16">
        <f t="shared" si="1"/>
        <v>1</v>
      </c>
      <c r="AM16">
        <f t="shared" si="1"/>
        <v>1</v>
      </c>
      <c r="AN16">
        <f t="shared" si="1"/>
        <v>1</v>
      </c>
      <c r="AO16">
        <f t="shared" si="1"/>
        <v>1</v>
      </c>
      <c r="AP16">
        <f t="shared" si="1"/>
        <v>1</v>
      </c>
    </row>
    <row r="17" spans="1:42" x14ac:dyDescent="0.2">
      <c r="A17" t="s">
        <v>388</v>
      </c>
      <c r="B17">
        <f>'Start Year Energy'!K71</f>
        <v>1</v>
      </c>
      <c r="C17">
        <f t="shared" si="2"/>
        <v>1</v>
      </c>
      <c r="D17">
        <f t="shared" si="2"/>
        <v>1</v>
      </c>
      <c r="E17">
        <f t="shared" si="2"/>
        <v>1</v>
      </c>
      <c r="F17">
        <f t="shared" si="2"/>
        <v>1</v>
      </c>
      <c r="G17">
        <f t="shared" si="2"/>
        <v>1</v>
      </c>
      <c r="H17">
        <f t="shared" si="2"/>
        <v>1</v>
      </c>
      <c r="I17">
        <f t="shared" si="2"/>
        <v>1</v>
      </c>
      <c r="J17">
        <f t="shared" si="2"/>
        <v>1</v>
      </c>
      <c r="K17">
        <f t="shared" si="2"/>
        <v>1</v>
      </c>
      <c r="L17">
        <f t="shared" si="2"/>
        <v>1</v>
      </c>
      <c r="M17">
        <f t="shared" si="2"/>
        <v>1</v>
      </c>
      <c r="N17">
        <f t="shared" si="2"/>
        <v>1</v>
      </c>
      <c r="O17">
        <f t="shared" si="2"/>
        <v>1</v>
      </c>
      <c r="P17">
        <f t="shared" si="2"/>
        <v>1</v>
      </c>
      <c r="Q17">
        <f t="shared" si="2"/>
        <v>1</v>
      </c>
      <c r="R17">
        <f t="shared" si="2"/>
        <v>1</v>
      </c>
      <c r="S17">
        <f t="shared" si="3"/>
        <v>1</v>
      </c>
      <c r="T17">
        <f t="shared" si="3"/>
        <v>1</v>
      </c>
      <c r="U17">
        <f t="shared" si="3"/>
        <v>1</v>
      </c>
      <c r="V17">
        <f t="shared" si="3"/>
        <v>1</v>
      </c>
      <c r="W17">
        <f t="shared" si="3"/>
        <v>1</v>
      </c>
      <c r="X17">
        <f t="shared" si="3"/>
        <v>1</v>
      </c>
      <c r="Y17">
        <f t="shared" si="3"/>
        <v>1</v>
      </c>
      <c r="Z17">
        <f t="shared" si="3"/>
        <v>1</v>
      </c>
      <c r="AA17">
        <f t="shared" si="3"/>
        <v>1</v>
      </c>
      <c r="AB17">
        <f t="shared" si="3"/>
        <v>1</v>
      </c>
      <c r="AC17">
        <f t="shared" si="3"/>
        <v>1</v>
      </c>
      <c r="AD17">
        <f t="shared" si="3"/>
        <v>1</v>
      </c>
      <c r="AE17">
        <f t="shared" si="3"/>
        <v>1</v>
      </c>
      <c r="AF17">
        <f t="shared" si="3"/>
        <v>1</v>
      </c>
      <c r="AG17">
        <f t="shared" si="1"/>
        <v>1</v>
      </c>
      <c r="AH17">
        <f t="shared" si="1"/>
        <v>1</v>
      </c>
      <c r="AI17">
        <f t="shared" si="1"/>
        <v>1</v>
      </c>
      <c r="AJ17">
        <f t="shared" si="1"/>
        <v>1</v>
      </c>
      <c r="AK17">
        <f t="shared" si="1"/>
        <v>1</v>
      </c>
      <c r="AL17">
        <f t="shared" si="1"/>
        <v>1</v>
      </c>
      <c r="AM17">
        <f t="shared" si="1"/>
        <v>1</v>
      </c>
      <c r="AN17">
        <f t="shared" si="1"/>
        <v>1</v>
      </c>
      <c r="AO17">
        <f t="shared" si="1"/>
        <v>1</v>
      </c>
      <c r="AP17">
        <f t="shared" si="1"/>
        <v>1</v>
      </c>
    </row>
    <row r="18" spans="1:42" x14ac:dyDescent="0.2">
      <c r="A18" t="s">
        <v>389</v>
      </c>
      <c r="B18">
        <f>'Start Year Energy'!K72</f>
        <v>1</v>
      </c>
      <c r="C18">
        <f t="shared" si="2"/>
        <v>1</v>
      </c>
      <c r="D18">
        <f t="shared" si="2"/>
        <v>1</v>
      </c>
      <c r="E18">
        <f t="shared" si="2"/>
        <v>1</v>
      </c>
      <c r="F18">
        <f t="shared" si="2"/>
        <v>1</v>
      </c>
      <c r="G18">
        <f t="shared" si="2"/>
        <v>1</v>
      </c>
      <c r="H18">
        <f t="shared" si="2"/>
        <v>1</v>
      </c>
      <c r="I18">
        <f t="shared" si="2"/>
        <v>1</v>
      </c>
      <c r="J18">
        <f t="shared" si="2"/>
        <v>1</v>
      </c>
      <c r="K18">
        <f t="shared" si="2"/>
        <v>1</v>
      </c>
      <c r="L18">
        <f t="shared" si="2"/>
        <v>1</v>
      </c>
      <c r="M18">
        <f t="shared" si="2"/>
        <v>1</v>
      </c>
      <c r="N18">
        <f t="shared" si="2"/>
        <v>1</v>
      </c>
      <c r="O18">
        <f t="shared" si="2"/>
        <v>1</v>
      </c>
      <c r="P18">
        <f t="shared" si="2"/>
        <v>1</v>
      </c>
      <c r="Q18">
        <f t="shared" si="2"/>
        <v>1</v>
      </c>
      <c r="R18">
        <f t="shared" si="2"/>
        <v>1</v>
      </c>
      <c r="S18">
        <f t="shared" si="3"/>
        <v>1</v>
      </c>
      <c r="T18">
        <f t="shared" si="3"/>
        <v>1</v>
      </c>
      <c r="U18">
        <f t="shared" si="3"/>
        <v>1</v>
      </c>
      <c r="V18">
        <f t="shared" si="3"/>
        <v>1</v>
      </c>
      <c r="W18">
        <f t="shared" si="3"/>
        <v>1</v>
      </c>
      <c r="X18">
        <f t="shared" si="3"/>
        <v>1</v>
      </c>
      <c r="Y18">
        <f t="shared" si="3"/>
        <v>1</v>
      </c>
      <c r="Z18">
        <f t="shared" si="3"/>
        <v>1</v>
      </c>
      <c r="AA18">
        <f t="shared" si="3"/>
        <v>1</v>
      </c>
      <c r="AB18">
        <f t="shared" si="3"/>
        <v>1</v>
      </c>
      <c r="AC18">
        <f t="shared" si="3"/>
        <v>1</v>
      </c>
      <c r="AD18">
        <f t="shared" si="3"/>
        <v>1</v>
      </c>
      <c r="AE18">
        <f t="shared" si="3"/>
        <v>1</v>
      </c>
      <c r="AF18">
        <f t="shared" si="3"/>
        <v>1</v>
      </c>
      <c r="AG18">
        <f t="shared" si="3"/>
        <v>1</v>
      </c>
      <c r="AH18">
        <f t="shared" si="3"/>
        <v>1</v>
      </c>
      <c r="AI18">
        <f t="shared" si="3"/>
        <v>1</v>
      </c>
      <c r="AJ18">
        <f t="shared" si="3"/>
        <v>1</v>
      </c>
      <c r="AK18">
        <f t="shared" si="3"/>
        <v>1</v>
      </c>
      <c r="AL18">
        <f t="shared" si="3"/>
        <v>1</v>
      </c>
      <c r="AM18">
        <f t="shared" si="3"/>
        <v>1</v>
      </c>
      <c r="AN18">
        <f t="shared" si="3"/>
        <v>1</v>
      </c>
      <c r="AO18">
        <f t="shared" si="3"/>
        <v>1</v>
      </c>
      <c r="AP18">
        <f t="shared" ref="AP18:AP23" si="4">$B18</f>
        <v>1</v>
      </c>
    </row>
    <row r="19" spans="1:42" x14ac:dyDescent="0.2">
      <c r="A19" t="s">
        <v>390</v>
      </c>
      <c r="B19">
        <f>'Start Year Energy'!K73</f>
        <v>1</v>
      </c>
      <c r="C19">
        <f t="shared" si="2"/>
        <v>1</v>
      </c>
      <c r="D19">
        <f t="shared" si="2"/>
        <v>1</v>
      </c>
      <c r="E19">
        <f t="shared" si="2"/>
        <v>1</v>
      </c>
      <c r="F19">
        <f t="shared" si="2"/>
        <v>1</v>
      </c>
      <c r="G19">
        <f t="shared" si="2"/>
        <v>1</v>
      </c>
      <c r="H19">
        <f t="shared" si="2"/>
        <v>1</v>
      </c>
      <c r="I19">
        <f t="shared" si="2"/>
        <v>1</v>
      </c>
      <c r="J19">
        <f t="shared" si="2"/>
        <v>1</v>
      </c>
      <c r="K19">
        <f t="shared" si="2"/>
        <v>1</v>
      </c>
      <c r="L19">
        <f t="shared" si="2"/>
        <v>1</v>
      </c>
      <c r="M19">
        <f t="shared" si="2"/>
        <v>1</v>
      </c>
      <c r="N19">
        <f t="shared" si="2"/>
        <v>1</v>
      </c>
      <c r="O19">
        <f t="shared" si="2"/>
        <v>1</v>
      </c>
      <c r="P19">
        <f t="shared" si="2"/>
        <v>1</v>
      </c>
      <c r="Q19">
        <f t="shared" si="2"/>
        <v>1</v>
      </c>
      <c r="R19">
        <f t="shared" si="2"/>
        <v>1</v>
      </c>
      <c r="S19">
        <f t="shared" si="3"/>
        <v>1</v>
      </c>
      <c r="T19">
        <f t="shared" si="3"/>
        <v>1</v>
      </c>
      <c r="U19">
        <f t="shared" si="3"/>
        <v>1</v>
      </c>
      <c r="V19">
        <f t="shared" si="3"/>
        <v>1</v>
      </c>
      <c r="W19">
        <f t="shared" si="3"/>
        <v>1</v>
      </c>
      <c r="X19">
        <f t="shared" si="3"/>
        <v>1</v>
      </c>
      <c r="Y19">
        <f t="shared" si="3"/>
        <v>1</v>
      </c>
      <c r="Z19">
        <f t="shared" si="3"/>
        <v>1</v>
      </c>
      <c r="AA19">
        <f t="shared" si="3"/>
        <v>1</v>
      </c>
      <c r="AB19">
        <f t="shared" si="3"/>
        <v>1</v>
      </c>
      <c r="AC19">
        <f t="shared" si="3"/>
        <v>1</v>
      </c>
      <c r="AD19">
        <f t="shared" si="3"/>
        <v>1</v>
      </c>
      <c r="AE19">
        <f t="shared" si="3"/>
        <v>1</v>
      </c>
      <c r="AF19">
        <f t="shared" si="3"/>
        <v>1</v>
      </c>
      <c r="AG19">
        <f t="shared" si="3"/>
        <v>1</v>
      </c>
      <c r="AH19">
        <f t="shared" si="3"/>
        <v>1</v>
      </c>
      <c r="AI19">
        <f t="shared" si="3"/>
        <v>1</v>
      </c>
      <c r="AJ19">
        <f t="shared" si="3"/>
        <v>1</v>
      </c>
      <c r="AK19">
        <f t="shared" si="3"/>
        <v>1</v>
      </c>
      <c r="AL19">
        <f t="shared" si="3"/>
        <v>1</v>
      </c>
      <c r="AM19">
        <f t="shared" si="3"/>
        <v>1</v>
      </c>
      <c r="AN19">
        <f t="shared" si="3"/>
        <v>1</v>
      </c>
      <c r="AO19">
        <f t="shared" si="3"/>
        <v>1</v>
      </c>
      <c r="AP19">
        <f t="shared" si="4"/>
        <v>1</v>
      </c>
    </row>
    <row r="20" spans="1:42" x14ac:dyDescent="0.2">
      <c r="A20" t="s">
        <v>391</v>
      </c>
      <c r="B20">
        <f>'Start Year Energy'!K74</f>
        <v>1</v>
      </c>
      <c r="C20">
        <f t="shared" si="2"/>
        <v>1</v>
      </c>
      <c r="D20">
        <f t="shared" si="2"/>
        <v>1</v>
      </c>
      <c r="E20">
        <f t="shared" si="2"/>
        <v>1</v>
      </c>
      <c r="F20">
        <f t="shared" si="2"/>
        <v>1</v>
      </c>
      <c r="G20">
        <f t="shared" si="2"/>
        <v>1</v>
      </c>
      <c r="H20">
        <f t="shared" si="2"/>
        <v>1</v>
      </c>
      <c r="I20">
        <f t="shared" si="2"/>
        <v>1</v>
      </c>
      <c r="J20">
        <f t="shared" si="2"/>
        <v>1</v>
      </c>
      <c r="K20">
        <f t="shared" si="2"/>
        <v>1</v>
      </c>
      <c r="L20">
        <f t="shared" si="2"/>
        <v>1</v>
      </c>
      <c r="M20">
        <f t="shared" si="2"/>
        <v>1</v>
      </c>
      <c r="N20">
        <f t="shared" si="2"/>
        <v>1</v>
      </c>
      <c r="O20">
        <f t="shared" si="2"/>
        <v>1</v>
      </c>
      <c r="P20">
        <f t="shared" si="2"/>
        <v>1</v>
      </c>
      <c r="Q20">
        <f t="shared" si="2"/>
        <v>1</v>
      </c>
      <c r="R20">
        <f t="shared" si="2"/>
        <v>1</v>
      </c>
      <c r="S20">
        <f t="shared" si="3"/>
        <v>1</v>
      </c>
      <c r="T20">
        <f t="shared" si="3"/>
        <v>1</v>
      </c>
      <c r="U20">
        <f t="shared" si="3"/>
        <v>1</v>
      </c>
      <c r="V20">
        <f t="shared" si="3"/>
        <v>1</v>
      </c>
      <c r="W20">
        <f t="shared" si="3"/>
        <v>1</v>
      </c>
      <c r="X20">
        <f t="shared" si="3"/>
        <v>1</v>
      </c>
      <c r="Y20">
        <f t="shared" si="3"/>
        <v>1</v>
      </c>
      <c r="Z20">
        <f t="shared" si="3"/>
        <v>1</v>
      </c>
      <c r="AA20">
        <f t="shared" si="3"/>
        <v>1</v>
      </c>
      <c r="AB20">
        <f t="shared" si="3"/>
        <v>1</v>
      </c>
      <c r="AC20">
        <f t="shared" si="3"/>
        <v>1</v>
      </c>
      <c r="AD20">
        <f t="shared" si="3"/>
        <v>1</v>
      </c>
      <c r="AE20">
        <f t="shared" si="3"/>
        <v>1</v>
      </c>
      <c r="AF20">
        <f t="shared" si="3"/>
        <v>1</v>
      </c>
      <c r="AG20">
        <f t="shared" si="3"/>
        <v>1</v>
      </c>
      <c r="AH20">
        <f t="shared" si="3"/>
        <v>1</v>
      </c>
      <c r="AI20">
        <f t="shared" si="3"/>
        <v>1</v>
      </c>
      <c r="AJ20">
        <f t="shared" si="3"/>
        <v>1</v>
      </c>
      <c r="AK20">
        <f t="shared" si="3"/>
        <v>1</v>
      </c>
      <c r="AL20">
        <f t="shared" si="3"/>
        <v>1</v>
      </c>
      <c r="AM20">
        <f t="shared" si="3"/>
        <v>1</v>
      </c>
      <c r="AN20">
        <f t="shared" si="3"/>
        <v>1</v>
      </c>
      <c r="AO20">
        <f t="shared" si="3"/>
        <v>1</v>
      </c>
      <c r="AP20">
        <f t="shared" si="4"/>
        <v>1</v>
      </c>
    </row>
    <row r="21" spans="1:42" x14ac:dyDescent="0.2">
      <c r="A21" t="s">
        <v>392</v>
      </c>
      <c r="B21">
        <f>'Start Year Energy'!K75</f>
        <v>1</v>
      </c>
      <c r="C21">
        <f t="shared" si="2"/>
        <v>1</v>
      </c>
      <c r="D21">
        <f t="shared" si="2"/>
        <v>1</v>
      </c>
      <c r="E21">
        <f t="shared" si="2"/>
        <v>1</v>
      </c>
      <c r="F21">
        <f t="shared" si="2"/>
        <v>1</v>
      </c>
      <c r="G21">
        <f t="shared" si="2"/>
        <v>1</v>
      </c>
      <c r="H21">
        <f t="shared" si="2"/>
        <v>1</v>
      </c>
      <c r="I21">
        <f t="shared" si="2"/>
        <v>1</v>
      </c>
      <c r="J21">
        <f t="shared" si="2"/>
        <v>1</v>
      </c>
      <c r="K21">
        <f t="shared" si="2"/>
        <v>1</v>
      </c>
      <c r="L21">
        <f t="shared" si="2"/>
        <v>1</v>
      </c>
      <c r="M21">
        <f t="shared" si="2"/>
        <v>1</v>
      </c>
      <c r="N21">
        <f t="shared" si="2"/>
        <v>1</v>
      </c>
      <c r="O21">
        <f t="shared" si="2"/>
        <v>1</v>
      </c>
      <c r="P21">
        <f t="shared" si="2"/>
        <v>1</v>
      </c>
      <c r="Q21">
        <f t="shared" si="2"/>
        <v>1</v>
      </c>
      <c r="R21">
        <f t="shared" si="2"/>
        <v>1</v>
      </c>
      <c r="S21">
        <f t="shared" si="3"/>
        <v>1</v>
      </c>
      <c r="T21">
        <f t="shared" si="3"/>
        <v>1</v>
      </c>
      <c r="U21">
        <f t="shared" si="3"/>
        <v>1</v>
      </c>
      <c r="V21">
        <f t="shared" si="3"/>
        <v>1</v>
      </c>
      <c r="W21">
        <f t="shared" si="3"/>
        <v>1</v>
      </c>
      <c r="X21">
        <f t="shared" si="3"/>
        <v>1</v>
      </c>
      <c r="Y21">
        <f t="shared" si="3"/>
        <v>1</v>
      </c>
      <c r="Z21">
        <f t="shared" si="3"/>
        <v>1</v>
      </c>
      <c r="AA21">
        <f t="shared" si="3"/>
        <v>1</v>
      </c>
      <c r="AB21">
        <f t="shared" si="3"/>
        <v>1</v>
      </c>
      <c r="AC21">
        <f t="shared" si="3"/>
        <v>1</v>
      </c>
      <c r="AD21">
        <f t="shared" si="3"/>
        <v>1</v>
      </c>
      <c r="AE21">
        <f t="shared" si="3"/>
        <v>1</v>
      </c>
      <c r="AF21">
        <f t="shared" si="3"/>
        <v>1</v>
      </c>
      <c r="AG21">
        <f t="shared" si="3"/>
        <v>1</v>
      </c>
      <c r="AH21">
        <f t="shared" si="3"/>
        <v>1</v>
      </c>
      <c r="AI21">
        <f t="shared" si="3"/>
        <v>1</v>
      </c>
      <c r="AJ21">
        <f t="shared" si="3"/>
        <v>1</v>
      </c>
      <c r="AK21">
        <f t="shared" si="3"/>
        <v>1</v>
      </c>
      <c r="AL21">
        <f t="shared" si="3"/>
        <v>1</v>
      </c>
      <c r="AM21">
        <f t="shared" si="3"/>
        <v>1</v>
      </c>
      <c r="AN21">
        <f t="shared" si="3"/>
        <v>1</v>
      </c>
      <c r="AO21">
        <f t="shared" si="3"/>
        <v>1</v>
      </c>
      <c r="AP21">
        <f t="shared" si="4"/>
        <v>1</v>
      </c>
    </row>
    <row r="22" spans="1:42" x14ac:dyDescent="0.2">
      <c r="A22" t="s">
        <v>393</v>
      </c>
      <c r="B22">
        <f>'Start Year Energy'!K76</f>
        <v>1</v>
      </c>
      <c r="C22">
        <f t="shared" si="2"/>
        <v>1</v>
      </c>
      <c r="D22">
        <f t="shared" si="2"/>
        <v>1</v>
      </c>
      <c r="E22">
        <f t="shared" si="2"/>
        <v>1</v>
      </c>
      <c r="F22">
        <f t="shared" si="2"/>
        <v>1</v>
      </c>
      <c r="G22">
        <f t="shared" si="2"/>
        <v>1</v>
      </c>
      <c r="H22">
        <f t="shared" si="2"/>
        <v>1</v>
      </c>
      <c r="I22">
        <f t="shared" si="2"/>
        <v>1</v>
      </c>
      <c r="J22">
        <f t="shared" si="2"/>
        <v>1</v>
      </c>
      <c r="K22">
        <f t="shared" si="2"/>
        <v>1</v>
      </c>
      <c r="L22">
        <f t="shared" si="2"/>
        <v>1</v>
      </c>
      <c r="M22">
        <f t="shared" si="2"/>
        <v>1</v>
      </c>
      <c r="N22">
        <f t="shared" si="2"/>
        <v>1</v>
      </c>
      <c r="O22">
        <f t="shared" si="2"/>
        <v>1</v>
      </c>
      <c r="P22">
        <f t="shared" si="2"/>
        <v>1</v>
      </c>
      <c r="Q22">
        <f t="shared" si="2"/>
        <v>1</v>
      </c>
      <c r="R22">
        <f t="shared" si="2"/>
        <v>1</v>
      </c>
      <c r="S22">
        <f t="shared" si="3"/>
        <v>1</v>
      </c>
      <c r="T22">
        <f t="shared" si="3"/>
        <v>1</v>
      </c>
      <c r="U22">
        <f t="shared" si="3"/>
        <v>1</v>
      </c>
      <c r="V22">
        <f t="shared" si="3"/>
        <v>1</v>
      </c>
      <c r="W22">
        <f t="shared" si="3"/>
        <v>1</v>
      </c>
      <c r="X22">
        <f t="shared" si="3"/>
        <v>1</v>
      </c>
      <c r="Y22">
        <f t="shared" si="3"/>
        <v>1</v>
      </c>
      <c r="Z22">
        <f t="shared" si="3"/>
        <v>1</v>
      </c>
      <c r="AA22">
        <f t="shared" si="3"/>
        <v>1</v>
      </c>
      <c r="AB22">
        <f t="shared" si="3"/>
        <v>1</v>
      </c>
      <c r="AC22">
        <f t="shared" si="3"/>
        <v>1</v>
      </c>
      <c r="AD22">
        <f t="shared" si="3"/>
        <v>1</v>
      </c>
      <c r="AE22">
        <f t="shared" si="3"/>
        <v>1</v>
      </c>
      <c r="AF22">
        <f t="shared" si="3"/>
        <v>1</v>
      </c>
      <c r="AG22">
        <f t="shared" si="3"/>
        <v>1</v>
      </c>
      <c r="AH22">
        <f t="shared" si="3"/>
        <v>1</v>
      </c>
      <c r="AI22">
        <f t="shared" si="3"/>
        <v>1</v>
      </c>
      <c r="AJ22">
        <f t="shared" si="3"/>
        <v>1</v>
      </c>
      <c r="AK22">
        <f t="shared" si="3"/>
        <v>1</v>
      </c>
      <c r="AL22">
        <f t="shared" si="3"/>
        <v>1</v>
      </c>
      <c r="AM22">
        <f t="shared" si="3"/>
        <v>1</v>
      </c>
      <c r="AN22">
        <f t="shared" si="3"/>
        <v>1</v>
      </c>
      <c r="AO22">
        <f t="shared" si="3"/>
        <v>1</v>
      </c>
      <c r="AP22">
        <f t="shared" si="4"/>
        <v>1</v>
      </c>
    </row>
    <row r="23" spans="1:42" x14ac:dyDescent="0.2">
      <c r="A23" t="s">
        <v>394</v>
      </c>
      <c r="B23">
        <f>'Start Year Energy'!K77</f>
        <v>1</v>
      </c>
      <c r="C23">
        <f t="shared" si="2"/>
        <v>1</v>
      </c>
      <c r="D23">
        <f t="shared" si="2"/>
        <v>1</v>
      </c>
      <c r="E23">
        <f t="shared" si="2"/>
        <v>1</v>
      </c>
      <c r="F23">
        <f t="shared" si="2"/>
        <v>1</v>
      </c>
      <c r="G23">
        <f t="shared" si="2"/>
        <v>1</v>
      </c>
      <c r="H23">
        <f t="shared" si="2"/>
        <v>1</v>
      </c>
      <c r="I23">
        <f t="shared" si="2"/>
        <v>1</v>
      </c>
      <c r="J23">
        <f t="shared" si="2"/>
        <v>1</v>
      </c>
      <c r="K23">
        <f t="shared" si="2"/>
        <v>1</v>
      </c>
      <c r="L23">
        <f t="shared" si="2"/>
        <v>1</v>
      </c>
      <c r="M23">
        <f t="shared" si="2"/>
        <v>1</v>
      </c>
      <c r="N23">
        <f t="shared" si="2"/>
        <v>1</v>
      </c>
      <c r="O23">
        <f t="shared" si="2"/>
        <v>1</v>
      </c>
      <c r="P23">
        <f t="shared" si="2"/>
        <v>1</v>
      </c>
      <c r="Q23">
        <f t="shared" si="2"/>
        <v>1</v>
      </c>
      <c r="R23">
        <f t="shared" si="2"/>
        <v>1</v>
      </c>
      <c r="S23">
        <f t="shared" si="3"/>
        <v>1</v>
      </c>
      <c r="T23">
        <f t="shared" si="3"/>
        <v>1</v>
      </c>
      <c r="U23">
        <f t="shared" si="3"/>
        <v>1</v>
      </c>
      <c r="V23">
        <f t="shared" si="3"/>
        <v>1</v>
      </c>
      <c r="W23">
        <f t="shared" si="3"/>
        <v>1</v>
      </c>
      <c r="X23">
        <f t="shared" si="3"/>
        <v>1</v>
      </c>
      <c r="Y23">
        <f t="shared" si="3"/>
        <v>1</v>
      </c>
      <c r="Z23">
        <f t="shared" si="3"/>
        <v>1</v>
      </c>
      <c r="AA23">
        <f t="shared" si="3"/>
        <v>1</v>
      </c>
      <c r="AB23">
        <f t="shared" si="3"/>
        <v>1</v>
      </c>
      <c r="AC23">
        <f t="shared" si="3"/>
        <v>1</v>
      </c>
      <c r="AD23">
        <f t="shared" si="3"/>
        <v>1</v>
      </c>
      <c r="AE23">
        <f t="shared" si="3"/>
        <v>1</v>
      </c>
      <c r="AF23">
        <f t="shared" si="3"/>
        <v>1</v>
      </c>
      <c r="AG23">
        <f t="shared" si="3"/>
        <v>1</v>
      </c>
      <c r="AH23">
        <f t="shared" si="3"/>
        <v>1</v>
      </c>
      <c r="AI23">
        <f t="shared" si="3"/>
        <v>1</v>
      </c>
      <c r="AJ23">
        <f t="shared" si="3"/>
        <v>1</v>
      </c>
      <c r="AK23">
        <f t="shared" si="3"/>
        <v>1</v>
      </c>
      <c r="AL23">
        <f t="shared" si="3"/>
        <v>1</v>
      </c>
      <c r="AM23">
        <f t="shared" si="3"/>
        <v>1</v>
      </c>
      <c r="AN23">
        <f t="shared" si="3"/>
        <v>1</v>
      </c>
      <c r="AO23">
        <f t="shared" si="3"/>
        <v>1</v>
      </c>
      <c r="AP23">
        <f t="shared" si="4"/>
        <v>1</v>
      </c>
    </row>
    <row r="24" spans="1:42" x14ac:dyDescent="0.2">
      <c r="A24" t="s">
        <v>395</v>
      </c>
      <c r="B24">
        <f>'Start Year Energy'!K78</f>
        <v>1</v>
      </c>
      <c r="C24">
        <f t="shared" si="2"/>
        <v>1</v>
      </c>
      <c r="D24">
        <f t="shared" si="2"/>
        <v>1</v>
      </c>
      <c r="E24">
        <f t="shared" si="2"/>
        <v>1</v>
      </c>
      <c r="F24">
        <f t="shared" si="2"/>
        <v>1</v>
      </c>
      <c r="G24">
        <f t="shared" si="2"/>
        <v>1</v>
      </c>
      <c r="H24">
        <f t="shared" si="2"/>
        <v>1</v>
      </c>
      <c r="I24">
        <f t="shared" si="2"/>
        <v>1</v>
      </c>
      <c r="J24">
        <f t="shared" si="2"/>
        <v>1</v>
      </c>
      <c r="K24">
        <f t="shared" si="2"/>
        <v>1</v>
      </c>
      <c r="L24">
        <f t="shared" si="2"/>
        <v>1</v>
      </c>
      <c r="M24">
        <f t="shared" si="2"/>
        <v>1</v>
      </c>
      <c r="N24">
        <f t="shared" si="2"/>
        <v>1</v>
      </c>
      <c r="O24">
        <f t="shared" si="2"/>
        <v>1</v>
      </c>
      <c r="P24">
        <f t="shared" si="2"/>
        <v>1</v>
      </c>
      <c r="Q24">
        <f t="shared" si="2"/>
        <v>1</v>
      </c>
      <c r="R24">
        <f t="shared" si="2"/>
        <v>1</v>
      </c>
      <c r="S24">
        <f t="shared" si="3"/>
        <v>1</v>
      </c>
      <c r="T24">
        <f t="shared" si="3"/>
        <v>1</v>
      </c>
      <c r="U24">
        <f t="shared" si="3"/>
        <v>1</v>
      </c>
      <c r="V24">
        <f t="shared" si="3"/>
        <v>1</v>
      </c>
      <c r="W24">
        <f t="shared" si="3"/>
        <v>1</v>
      </c>
      <c r="X24">
        <f t="shared" si="3"/>
        <v>1</v>
      </c>
      <c r="Y24">
        <f t="shared" si="3"/>
        <v>1</v>
      </c>
      <c r="Z24">
        <f t="shared" si="3"/>
        <v>1</v>
      </c>
      <c r="AA24">
        <f t="shared" si="3"/>
        <v>1</v>
      </c>
      <c r="AB24">
        <f t="shared" si="3"/>
        <v>1</v>
      </c>
      <c r="AC24">
        <f t="shared" si="3"/>
        <v>1</v>
      </c>
      <c r="AD24">
        <f t="shared" si="3"/>
        <v>1</v>
      </c>
      <c r="AE24">
        <f t="shared" si="3"/>
        <v>1</v>
      </c>
      <c r="AF24">
        <f t="shared" ref="AF24:AP26" si="5">$B24</f>
        <v>1</v>
      </c>
      <c r="AG24">
        <f t="shared" si="5"/>
        <v>1</v>
      </c>
      <c r="AH24">
        <f t="shared" si="5"/>
        <v>1</v>
      </c>
      <c r="AI24">
        <f t="shared" si="5"/>
        <v>1</v>
      </c>
      <c r="AJ24">
        <f t="shared" si="5"/>
        <v>1</v>
      </c>
      <c r="AK24">
        <f t="shared" si="5"/>
        <v>1</v>
      </c>
      <c r="AL24">
        <f t="shared" si="5"/>
        <v>1</v>
      </c>
      <c r="AM24">
        <f t="shared" si="5"/>
        <v>1</v>
      </c>
      <c r="AN24">
        <f t="shared" si="5"/>
        <v>1</v>
      </c>
      <c r="AO24">
        <f t="shared" si="5"/>
        <v>1</v>
      </c>
      <c r="AP24">
        <f t="shared" si="5"/>
        <v>1</v>
      </c>
    </row>
    <row r="25" spans="1:42" x14ac:dyDescent="0.2">
      <c r="A25" t="s">
        <v>396</v>
      </c>
      <c r="B25">
        <f>'Start Year Energy'!K79</f>
        <v>1</v>
      </c>
      <c r="C25">
        <f t="shared" si="2"/>
        <v>1</v>
      </c>
      <c r="D25">
        <f t="shared" si="2"/>
        <v>1</v>
      </c>
      <c r="E25">
        <f t="shared" si="2"/>
        <v>1</v>
      </c>
      <c r="F25">
        <f t="shared" si="2"/>
        <v>1</v>
      </c>
      <c r="G25">
        <f t="shared" si="2"/>
        <v>1</v>
      </c>
      <c r="H25">
        <f t="shared" si="2"/>
        <v>1</v>
      </c>
      <c r="I25">
        <f t="shared" si="2"/>
        <v>1</v>
      </c>
      <c r="J25">
        <f t="shared" si="2"/>
        <v>1</v>
      </c>
      <c r="K25">
        <f t="shared" si="2"/>
        <v>1</v>
      </c>
      <c r="L25">
        <f t="shared" si="2"/>
        <v>1</v>
      </c>
      <c r="M25">
        <f t="shared" si="2"/>
        <v>1</v>
      </c>
      <c r="N25">
        <f t="shared" si="2"/>
        <v>1</v>
      </c>
      <c r="O25">
        <f t="shared" si="2"/>
        <v>1</v>
      </c>
      <c r="P25">
        <f t="shared" si="2"/>
        <v>1</v>
      </c>
      <c r="Q25">
        <f t="shared" si="2"/>
        <v>1</v>
      </c>
      <c r="R25">
        <f t="shared" si="2"/>
        <v>1</v>
      </c>
      <c r="S25">
        <f t="shared" ref="S25:AF25" si="6">$B25</f>
        <v>1</v>
      </c>
      <c r="T25">
        <f t="shared" si="6"/>
        <v>1</v>
      </c>
      <c r="U25">
        <f t="shared" si="6"/>
        <v>1</v>
      </c>
      <c r="V25">
        <f t="shared" si="6"/>
        <v>1</v>
      </c>
      <c r="W25">
        <f t="shared" si="6"/>
        <v>1</v>
      </c>
      <c r="X25">
        <f t="shared" si="6"/>
        <v>1</v>
      </c>
      <c r="Y25">
        <f t="shared" si="6"/>
        <v>1</v>
      </c>
      <c r="Z25">
        <f t="shared" si="6"/>
        <v>1</v>
      </c>
      <c r="AA25">
        <f t="shared" si="6"/>
        <v>1</v>
      </c>
      <c r="AB25">
        <f t="shared" si="6"/>
        <v>1</v>
      </c>
      <c r="AC25">
        <f t="shared" si="6"/>
        <v>1</v>
      </c>
      <c r="AD25">
        <f t="shared" si="6"/>
        <v>1</v>
      </c>
      <c r="AE25">
        <f t="shared" si="6"/>
        <v>1</v>
      </c>
      <c r="AF25">
        <f t="shared" si="6"/>
        <v>1</v>
      </c>
      <c r="AG25">
        <f t="shared" si="5"/>
        <v>1</v>
      </c>
      <c r="AH25">
        <f t="shared" si="5"/>
        <v>1</v>
      </c>
      <c r="AI25">
        <f t="shared" si="5"/>
        <v>1</v>
      </c>
      <c r="AJ25">
        <f t="shared" si="5"/>
        <v>1</v>
      </c>
      <c r="AK25">
        <f t="shared" si="5"/>
        <v>1</v>
      </c>
      <c r="AL25">
        <f t="shared" si="5"/>
        <v>1</v>
      </c>
      <c r="AM25">
        <f t="shared" si="5"/>
        <v>1</v>
      </c>
      <c r="AN25">
        <f t="shared" si="5"/>
        <v>1</v>
      </c>
      <c r="AO25">
        <f t="shared" si="5"/>
        <v>1</v>
      </c>
      <c r="AP25">
        <f t="shared" si="5"/>
        <v>1</v>
      </c>
    </row>
    <row r="26" spans="1:42" x14ac:dyDescent="0.2">
      <c r="A26" t="s">
        <v>397</v>
      </c>
      <c r="B26">
        <f>'Start Year Energy'!K80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4920F-67CC-4D86-B4BE-DDA3A8845716}">
  <sheetPr codeName="Sheet28">
    <tabColor theme="4"/>
  </sheetPr>
  <dimension ref="A1:AP26"/>
  <sheetViews>
    <sheetView workbookViewId="0">
      <selection activeCell="F29" sqref="F29"/>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Energy'!J56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Energy'!J57</f>
        <v>0.99605478083855603</v>
      </c>
      <c r="C3">
        <f t="shared" ref="C3:R26" si="2">$B3</f>
        <v>0.99605478083855603</v>
      </c>
      <c r="D3">
        <f t="shared" si="2"/>
        <v>0.99605478083855603</v>
      </c>
      <c r="E3">
        <f t="shared" si="2"/>
        <v>0.99605478083855603</v>
      </c>
      <c r="F3">
        <f t="shared" si="2"/>
        <v>0.99605478083855603</v>
      </c>
      <c r="G3">
        <f t="shared" si="2"/>
        <v>0.99605478083855603</v>
      </c>
      <c r="H3">
        <f t="shared" si="2"/>
        <v>0.99605478083855603</v>
      </c>
      <c r="I3">
        <f t="shared" si="2"/>
        <v>0.99605478083855603</v>
      </c>
      <c r="J3">
        <f t="shared" si="2"/>
        <v>0.99605478083855603</v>
      </c>
      <c r="K3">
        <f t="shared" si="2"/>
        <v>0.99605478083855603</v>
      </c>
      <c r="L3">
        <f t="shared" si="2"/>
        <v>0.99605478083855603</v>
      </c>
      <c r="M3">
        <f t="shared" si="2"/>
        <v>0.99605478083855603</v>
      </c>
      <c r="N3">
        <f t="shared" si="2"/>
        <v>0.99605478083855603</v>
      </c>
      <c r="O3">
        <f t="shared" si="2"/>
        <v>0.99605478083855603</v>
      </c>
      <c r="P3">
        <f t="shared" si="2"/>
        <v>0.99605478083855603</v>
      </c>
      <c r="Q3">
        <f t="shared" si="2"/>
        <v>0.99605478083855603</v>
      </c>
      <c r="R3">
        <f t="shared" si="2"/>
        <v>0.99605478083855603</v>
      </c>
      <c r="S3">
        <f t="shared" si="0"/>
        <v>0.99605478083855603</v>
      </c>
      <c r="T3">
        <f t="shared" si="0"/>
        <v>0.99605478083855603</v>
      </c>
      <c r="U3">
        <f t="shared" si="0"/>
        <v>0.99605478083855603</v>
      </c>
      <c r="V3">
        <f t="shared" si="0"/>
        <v>0.99605478083855603</v>
      </c>
      <c r="W3">
        <f t="shared" si="0"/>
        <v>0.99605478083855603</v>
      </c>
      <c r="X3">
        <f t="shared" si="0"/>
        <v>0.99605478083855603</v>
      </c>
      <c r="Y3">
        <f t="shared" si="0"/>
        <v>0.99605478083855603</v>
      </c>
      <c r="Z3">
        <f t="shared" si="0"/>
        <v>0.99605478083855603</v>
      </c>
      <c r="AA3">
        <f t="shared" si="0"/>
        <v>0.99605478083855603</v>
      </c>
      <c r="AB3">
        <f t="shared" si="0"/>
        <v>0.99605478083855603</v>
      </c>
      <c r="AC3">
        <f t="shared" si="0"/>
        <v>0.99605478083855603</v>
      </c>
      <c r="AD3">
        <f t="shared" si="0"/>
        <v>0.99605478083855603</v>
      </c>
      <c r="AE3">
        <f t="shared" si="0"/>
        <v>0.99605478083855603</v>
      </c>
      <c r="AF3">
        <f t="shared" si="0"/>
        <v>0.99605478083855603</v>
      </c>
      <c r="AG3">
        <f t="shared" si="1"/>
        <v>0.99605478083855603</v>
      </c>
      <c r="AH3">
        <f t="shared" si="1"/>
        <v>0.99605478083855603</v>
      </c>
      <c r="AI3">
        <f t="shared" si="1"/>
        <v>0.99605478083855603</v>
      </c>
      <c r="AJ3">
        <f t="shared" si="1"/>
        <v>0.99605478083855603</v>
      </c>
      <c r="AK3">
        <f t="shared" si="1"/>
        <v>0.99605478083855603</v>
      </c>
      <c r="AL3">
        <f t="shared" si="1"/>
        <v>0.99605478083855603</v>
      </c>
      <c r="AM3">
        <f t="shared" si="1"/>
        <v>0.99605478083855603</v>
      </c>
      <c r="AN3">
        <f t="shared" si="1"/>
        <v>0.99605478083855603</v>
      </c>
      <c r="AO3">
        <f t="shared" si="1"/>
        <v>0.99605478083855603</v>
      </c>
      <c r="AP3">
        <f t="shared" si="1"/>
        <v>0.99605478083855603</v>
      </c>
    </row>
    <row r="4" spans="1:42" x14ac:dyDescent="0.2">
      <c r="A4" t="s">
        <v>375</v>
      </c>
      <c r="B4">
        <f>'Start Year Energy'!J58</f>
        <v>0.93237353978725912</v>
      </c>
      <c r="C4">
        <f t="shared" si="2"/>
        <v>0.93237353978725912</v>
      </c>
      <c r="D4">
        <f t="shared" si="0"/>
        <v>0.93237353978725912</v>
      </c>
      <c r="E4">
        <f t="shared" si="0"/>
        <v>0.93237353978725912</v>
      </c>
      <c r="F4">
        <f t="shared" si="0"/>
        <v>0.93237353978725912</v>
      </c>
      <c r="G4">
        <f t="shared" si="0"/>
        <v>0.93237353978725912</v>
      </c>
      <c r="H4">
        <f t="shared" si="0"/>
        <v>0.93237353978725912</v>
      </c>
      <c r="I4">
        <f t="shared" si="0"/>
        <v>0.93237353978725912</v>
      </c>
      <c r="J4">
        <f t="shared" si="0"/>
        <v>0.93237353978725912</v>
      </c>
      <c r="K4">
        <f t="shared" si="0"/>
        <v>0.93237353978725912</v>
      </c>
      <c r="L4">
        <f t="shared" si="0"/>
        <v>0.93237353978725912</v>
      </c>
      <c r="M4">
        <f t="shared" si="0"/>
        <v>0.93237353978725912</v>
      </c>
      <c r="N4">
        <f t="shared" si="0"/>
        <v>0.93237353978725912</v>
      </c>
      <c r="O4">
        <f t="shared" si="0"/>
        <v>0.93237353978725912</v>
      </c>
      <c r="P4">
        <f t="shared" si="0"/>
        <v>0.93237353978725912</v>
      </c>
      <c r="Q4">
        <f t="shared" si="0"/>
        <v>0.93237353978725912</v>
      </c>
      <c r="R4">
        <f t="shared" si="0"/>
        <v>0.93237353978725912</v>
      </c>
      <c r="S4">
        <f t="shared" si="0"/>
        <v>0.93237353978725912</v>
      </c>
      <c r="T4">
        <f t="shared" si="0"/>
        <v>0.93237353978725912</v>
      </c>
      <c r="U4">
        <f t="shared" si="0"/>
        <v>0.93237353978725912</v>
      </c>
      <c r="V4">
        <f t="shared" si="0"/>
        <v>0.93237353978725912</v>
      </c>
      <c r="W4">
        <f t="shared" si="0"/>
        <v>0.93237353978725912</v>
      </c>
      <c r="X4">
        <f t="shared" si="0"/>
        <v>0.93237353978725912</v>
      </c>
      <c r="Y4">
        <f t="shared" si="0"/>
        <v>0.93237353978725912</v>
      </c>
      <c r="Z4">
        <f t="shared" si="0"/>
        <v>0.93237353978725912</v>
      </c>
      <c r="AA4">
        <f t="shared" si="0"/>
        <v>0.93237353978725912</v>
      </c>
      <c r="AB4">
        <f t="shared" si="0"/>
        <v>0.93237353978725912</v>
      </c>
      <c r="AC4">
        <f t="shared" si="0"/>
        <v>0.93237353978725912</v>
      </c>
      <c r="AD4">
        <f t="shared" si="0"/>
        <v>0.93237353978725912</v>
      </c>
      <c r="AE4">
        <f t="shared" si="0"/>
        <v>0.93237353978725912</v>
      </c>
      <c r="AF4">
        <f t="shared" si="0"/>
        <v>0.93237353978725912</v>
      </c>
      <c r="AG4">
        <f t="shared" si="1"/>
        <v>0.93237353978725912</v>
      </c>
      <c r="AH4">
        <f t="shared" si="1"/>
        <v>0.93237353978725912</v>
      </c>
      <c r="AI4">
        <f t="shared" si="1"/>
        <v>0.93237353978725912</v>
      </c>
      <c r="AJ4">
        <f t="shared" si="1"/>
        <v>0.93237353978725912</v>
      </c>
      <c r="AK4">
        <f t="shared" si="1"/>
        <v>0.93237353978725912</v>
      </c>
      <c r="AL4">
        <f t="shared" si="1"/>
        <v>0.93237353978725912</v>
      </c>
      <c r="AM4">
        <f t="shared" si="1"/>
        <v>0.93237353978725912</v>
      </c>
      <c r="AN4">
        <f t="shared" si="1"/>
        <v>0.93237353978725912</v>
      </c>
      <c r="AO4">
        <f t="shared" si="1"/>
        <v>0.93237353978725912</v>
      </c>
      <c r="AP4">
        <f t="shared" si="1"/>
        <v>0.93237353978725912</v>
      </c>
    </row>
    <row r="5" spans="1:42" x14ac:dyDescent="0.2">
      <c r="A5" t="s">
        <v>376</v>
      </c>
      <c r="B5">
        <f>'Start Year Energy'!J59</f>
        <v>0.92162666740122912</v>
      </c>
      <c r="C5">
        <f t="shared" si="2"/>
        <v>0.92162666740122912</v>
      </c>
      <c r="D5">
        <f t="shared" si="0"/>
        <v>0.92162666740122912</v>
      </c>
      <c r="E5">
        <f t="shared" si="0"/>
        <v>0.92162666740122912</v>
      </c>
      <c r="F5">
        <f t="shared" si="0"/>
        <v>0.92162666740122912</v>
      </c>
      <c r="G5">
        <f t="shared" si="0"/>
        <v>0.92162666740122912</v>
      </c>
      <c r="H5">
        <f t="shared" si="0"/>
        <v>0.92162666740122912</v>
      </c>
      <c r="I5">
        <f t="shared" si="0"/>
        <v>0.92162666740122912</v>
      </c>
      <c r="J5">
        <f t="shared" si="0"/>
        <v>0.92162666740122912</v>
      </c>
      <c r="K5">
        <f t="shared" si="0"/>
        <v>0.92162666740122912</v>
      </c>
      <c r="L5">
        <f t="shared" si="0"/>
        <v>0.92162666740122912</v>
      </c>
      <c r="M5">
        <f t="shared" si="0"/>
        <v>0.92162666740122912</v>
      </c>
      <c r="N5">
        <f t="shared" si="0"/>
        <v>0.92162666740122912</v>
      </c>
      <c r="O5">
        <f t="shared" si="0"/>
        <v>0.92162666740122912</v>
      </c>
      <c r="P5">
        <f t="shared" si="0"/>
        <v>0.92162666740122912</v>
      </c>
      <c r="Q5">
        <f t="shared" si="0"/>
        <v>0.92162666740122912</v>
      </c>
      <c r="R5">
        <f t="shared" si="0"/>
        <v>0.92162666740122912</v>
      </c>
      <c r="S5">
        <f t="shared" si="0"/>
        <v>0.92162666740122912</v>
      </c>
      <c r="T5">
        <f t="shared" si="0"/>
        <v>0.92162666740122912</v>
      </c>
      <c r="U5">
        <f t="shared" si="0"/>
        <v>0.92162666740122912</v>
      </c>
      <c r="V5">
        <f t="shared" si="0"/>
        <v>0.92162666740122912</v>
      </c>
      <c r="W5">
        <f t="shared" si="0"/>
        <v>0.92162666740122912</v>
      </c>
      <c r="X5">
        <f t="shared" si="0"/>
        <v>0.92162666740122912</v>
      </c>
      <c r="Y5">
        <f t="shared" si="0"/>
        <v>0.92162666740122912</v>
      </c>
      <c r="Z5">
        <f t="shared" si="0"/>
        <v>0.92162666740122912</v>
      </c>
      <c r="AA5">
        <f t="shared" si="0"/>
        <v>0.92162666740122912</v>
      </c>
      <c r="AB5">
        <f t="shared" si="0"/>
        <v>0.92162666740122912</v>
      </c>
      <c r="AC5">
        <f t="shared" si="0"/>
        <v>0.92162666740122912</v>
      </c>
      <c r="AD5">
        <f t="shared" si="0"/>
        <v>0.92162666740122912</v>
      </c>
      <c r="AE5">
        <f t="shared" si="0"/>
        <v>0.92162666740122912</v>
      </c>
      <c r="AF5">
        <f t="shared" si="0"/>
        <v>0.92162666740122912</v>
      </c>
      <c r="AG5">
        <f t="shared" si="1"/>
        <v>0.92162666740122912</v>
      </c>
      <c r="AH5">
        <f t="shared" si="1"/>
        <v>0.92162666740122912</v>
      </c>
      <c r="AI5">
        <f t="shared" si="1"/>
        <v>0.92162666740122912</v>
      </c>
      <c r="AJ5">
        <f t="shared" si="1"/>
        <v>0.92162666740122912</v>
      </c>
      <c r="AK5">
        <f t="shared" si="1"/>
        <v>0.92162666740122912</v>
      </c>
      <c r="AL5">
        <f t="shared" si="1"/>
        <v>0.92162666740122912</v>
      </c>
      <c r="AM5">
        <f t="shared" si="1"/>
        <v>0.92162666740122912</v>
      </c>
      <c r="AN5">
        <f t="shared" si="1"/>
        <v>0.92162666740122912</v>
      </c>
      <c r="AO5">
        <f t="shared" si="1"/>
        <v>0.92162666740122912</v>
      </c>
      <c r="AP5">
        <f t="shared" si="1"/>
        <v>0.92162666740122912</v>
      </c>
    </row>
    <row r="6" spans="1:42" x14ac:dyDescent="0.2">
      <c r="A6" t="s">
        <v>377</v>
      </c>
      <c r="B6">
        <f>'Start Year Energy'!J60</f>
        <v>0.99011890074575171</v>
      </c>
      <c r="C6">
        <f t="shared" si="2"/>
        <v>0.99011890074575171</v>
      </c>
      <c r="D6">
        <f t="shared" si="0"/>
        <v>0.99011890074575171</v>
      </c>
      <c r="E6">
        <f t="shared" si="0"/>
        <v>0.99011890074575171</v>
      </c>
      <c r="F6">
        <f t="shared" si="0"/>
        <v>0.99011890074575171</v>
      </c>
      <c r="G6">
        <f t="shared" si="0"/>
        <v>0.99011890074575171</v>
      </c>
      <c r="H6">
        <f t="shared" si="0"/>
        <v>0.99011890074575171</v>
      </c>
      <c r="I6">
        <f t="shared" si="0"/>
        <v>0.99011890074575171</v>
      </c>
      <c r="J6">
        <f t="shared" si="0"/>
        <v>0.99011890074575171</v>
      </c>
      <c r="K6">
        <f t="shared" si="0"/>
        <v>0.99011890074575171</v>
      </c>
      <c r="L6">
        <f t="shared" si="0"/>
        <v>0.99011890074575171</v>
      </c>
      <c r="M6">
        <f t="shared" si="0"/>
        <v>0.99011890074575171</v>
      </c>
      <c r="N6">
        <f t="shared" si="0"/>
        <v>0.99011890074575171</v>
      </c>
      <c r="O6">
        <f t="shared" si="0"/>
        <v>0.99011890074575171</v>
      </c>
      <c r="P6">
        <f t="shared" si="0"/>
        <v>0.99011890074575171</v>
      </c>
      <c r="Q6">
        <f t="shared" si="0"/>
        <v>0.99011890074575171</v>
      </c>
      <c r="R6">
        <f t="shared" si="0"/>
        <v>0.99011890074575171</v>
      </c>
      <c r="S6">
        <f t="shared" si="0"/>
        <v>0.99011890074575171</v>
      </c>
      <c r="T6">
        <f t="shared" si="0"/>
        <v>0.99011890074575171</v>
      </c>
      <c r="U6">
        <f t="shared" si="0"/>
        <v>0.99011890074575171</v>
      </c>
      <c r="V6">
        <f t="shared" si="0"/>
        <v>0.99011890074575171</v>
      </c>
      <c r="W6">
        <f t="shared" si="0"/>
        <v>0.99011890074575171</v>
      </c>
      <c r="X6">
        <f t="shared" si="0"/>
        <v>0.99011890074575171</v>
      </c>
      <c r="Y6">
        <f t="shared" si="0"/>
        <v>0.99011890074575171</v>
      </c>
      <c r="Z6">
        <f t="shared" si="0"/>
        <v>0.99011890074575171</v>
      </c>
      <c r="AA6">
        <f t="shared" si="0"/>
        <v>0.99011890074575171</v>
      </c>
      <c r="AB6">
        <f t="shared" si="0"/>
        <v>0.99011890074575171</v>
      </c>
      <c r="AC6">
        <f t="shared" si="0"/>
        <v>0.99011890074575171</v>
      </c>
      <c r="AD6">
        <f t="shared" si="0"/>
        <v>0.99011890074575171</v>
      </c>
      <c r="AE6">
        <f t="shared" si="0"/>
        <v>0.99011890074575171</v>
      </c>
      <c r="AF6">
        <f t="shared" si="0"/>
        <v>0.99011890074575171</v>
      </c>
      <c r="AG6">
        <f t="shared" si="1"/>
        <v>0.99011890074575171</v>
      </c>
      <c r="AH6">
        <f t="shared" si="1"/>
        <v>0.99011890074575171</v>
      </c>
      <c r="AI6">
        <f t="shared" si="1"/>
        <v>0.99011890074575171</v>
      </c>
      <c r="AJ6">
        <f t="shared" si="1"/>
        <v>0.99011890074575171</v>
      </c>
      <c r="AK6">
        <f t="shared" si="1"/>
        <v>0.99011890074575171</v>
      </c>
      <c r="AL6">
        <f t="shared" si="1"/>
        <v>0.99011890074575171</v>
      </c>
      <c r="AM6">
        <f t="shared" si="1"/>
        <v>0.99011890074575171</v>
      </c>
      <c r="AN6">
        <f t="shared" si="1"/>
        <v>0.99011890074575171</v>
      </c>
      <c r="AO6">
        <f t="shared" si="1"/>
        <v>0.99011890074575171</v>
      </c>
      <c r="AP6">
        <f t="shared" si="1"/>
        <v>0.99011890074575171</v>
      </c>
    </row>
    <row r="7" spans="1:42" x14ac:dyDescent="0.2">
      <c r="A7" t="s">
        <v>378</v>
      </c>
      <c r="B7">
        <f>'Start Year Energy'!J61</f>
        <v>0.98809584353099433</v>
      </c>
      <c r="C7">
        <f t="shared" si="2"/>
        <v>0.98809584353099433</v>
      </c>
      <c r="D7">
        <f t="shared" si="0"/>
        <v>0.98809584353099433</v>
      </c>
      <c r="E7">
        <f t="shared" si="0"/>
        <v>0.98809584353099433</v>
      </c>
      <c r="F7">
        <f t="shared" si="0"/>
        <v>0.98809584353099433</v>
      </c>
      <c r="G7">
        <f t="shared" si="0"/>
        <v>0.98809584353099433</v>
      </c>
      <c r="H7">
        <f t="shared" si="0"/>
        <v>0.98809584353099433</v>
      </c>
      <c r="I7">
        <f t="shared" si="0"/>
        <v>0.98809584353099433</v>
      </c>
      <c r="J7">
        <f t="shared" si="0"/>
        <v>0.98809584353099433</v>
      </c>
      <c r="K7">
        <f t="shared" si="0"/>
        <v>0.98809584353099433</v>
      </c>
      <c r="L7">
        <f t="shared" si="0"/>
        <v>0.98809584353099433</v>
      </c>
      <c r="M7">
        <f t="shared" si="0"/>
        <v>0.98809584353099433</v>
      </c>
      <c r="N7">
        <f t="shared" si="0"/>
        <v>0.98809584353099433</v>
      </c>
      <c r="O7">
        <f t="shared" si="0"/>
        <v>0.98809584353099433</v>
      </c>
      <c r="P7">
        <f t="shared" si="0"/>
        <v>0.98809584353099433</v>
      </c>
      <c r="Q7">
        <f t="shared" si="0"/>
        <v>0.98809584353099433</v>
      </c>
      <c r="R7">
        <f t="shared" si="0"/>
        <v>0.98809584353099433</v>
      </c>
      <c r="S7">
        <f t="shared" si="0"/>
        <v>0.98809584353099433</v>
      </c>
      <c r="T7">
        <f t="shared" si="0"/>
        <v>0.98809584353099433</v>
      </c>
      <c r="U7">
        <f t="shared" si="0"/>
        <v>0.98809584353099433</v>
      </c>
      <c r="V7">
        <f t="shared" si="0"/>
        <v>0.98809584353099433</v>
      </c>
      <c r="W7">
        <f t="shared" si="0"/>
        <v>0.98809584353099433</v>
      </c>
      <c r="X7">
        <f t="shared" si="0"/>
        <v>0.98809584353099433</v>
      </c>
      <c r="Y7">
        <f t="shared" si="0"/>
        <v>0.98809584353099433</v>
      </c>
      <c r="Z7">
        <f t="shared" si="0"/>
        <v>0.98809584353099433</v>
      </c>
      <c r="AA7">
        <f t="shared" si="0"/>
        <v>0.98809584353099433</v>
      </c>
      <c r="AB7">
        <f t="shared" si="0"/>
        <v>0.98809584353099433</v>
      </c>
      <c r="AC7">
        <f t="shared" si="0"/>
        <v>0.98809584353099433</v>
      </c>
      <c r="AD7">
        <f t="shared" si="0"/>
        <v>0.98809584353099433</v>
      </c>
      <c r="AE7">
        <f t="shared" si="0"/>
        <v>0.98809584353099433</v>
      </c>
      <c r="AF7">
        <f t="shared" si="0"/>
        <v>0.98809584353099433</v>
      </c>
      <c r="AG7">
        <f t="shared" si="1"/>
        <v>0.98809584353099433</v>
      </c>
      <c r="AH7">
        <f t="shared" si="1"/>
        <v>0.98809584353099433</v>
      </c>
      <c r="AI7">
        <f t="shared" si="1"/>
        <v>0.98809584353099433</v>
      </c>
      <c r="AJ7">
        <f t="shared" si="1"/>
        <v>0.98809584353099433</v>
      </c>
      <c r="AK7">
        <f t="shared" si="1"/>
        <v>0.98809584353099433</v>
      </c>
      <c r="AL7">
        <f t="shared" si="1"/>
        <v>0.98809584353099433</v>
      </c>
      <c r="AM7">
        <f t="shared" si="1"/>
        <v>0.98809584353099433</v>
      </c>
      <c r="AN7">
        <f t="shared" si="1"/>
        <v>0.98809584353099433</v>
      </c>
      <c r="AO7">
        <f t="shared" si="1"/>
        <v>0.98809584353099433</v>
      </c>
      <c r="AP7">
        <f t="shared" si="1"/>
        <v>0.98809584353099433</v>
      </c>
    </row>
    <row r="8" spans="1:42" x14ac:dyDescent="0.2">
      <c r="A8" t="s">
        <v>379</v>
      </c>
      <c r="B8">
        <f>'Start Year Energy'!J62</f>
        <v>0.96009046093928252</v>
      </c>
      <c r="C8">
        <f t="shared" si="2"/>
        <v>0.96009046093928252</v>
      </c>
      <c r="D8">
        <f t="shared" si="0"/>
        <v>0.96009046093928252</v>
      </c>
      <c r="E8">
        <f t="shared" si="0"/>
        <v>0.96009046093928252</v>
      </c>
      <c r="F8">
        <f t="shared" si="0"/>
        <v>0.96009046093928252</v>
      </c>
      <c r="G8">
        <f t="shared" si="0"/>
        <v>0.96009046093928252</v>
      </c>
      <c r="H8">
        <f t="shared" si="0"/>
        <v>0.96009046093928252</v>
      </c>
      <c r="I8">
        <f t="shared" si="0"/>
        <v>0.96009046093928252</v>
      </c>
      <c r="J8">
        <f t="shared" si="0"/>
        <v>0.96009046093928252</v>
      </c>
      <c r="K8">
        <f t="shared" si="0"/>
        <v>0.96009046093928252</v>
      </c>
      <c r="L8">
        <f t="shared" si="0"/>
        <v>0.96009046093928252</v>
      </c>
      <c r="M8">
        <f t="shared" si="0"/>
        <v>0.96009046093928252</v>
      </c>
      <c r="N8">
        <f t="shared" si="0"/>
        <v>0.96009046093928252</v>
      </c>
      <c r="O8">
        <f t="shared" si="0"/>
        <v>0.96009046093928252</v>
      </c>
      <c r="P8">
        <f t="shared" si="0"/>
        <v>0.96009046093928252</v>
      </c>
      <c r="Q8">
        <f t="shared" si="0"/>
        <v>0.96009046093928252</v>
      </c>
      <c r="R8">
        <f t="shared" si="0"/>
        <v>0.96009046093928252</v>
      </c>
      <c r="S8">
        <f t="shared" si="0"/>
        <v>0.96009046093928252</v>
      </c>
      <c r="T8">
        <f t="shared" si="0"/>
        <v>0.96009046093928252</v>
      </c>
      <c r="U8">
        <f t="shared" si="0"/>
        <v>0.96009046093928252</v>
      </c>
      <c r="V8">
        <f t="shared" si="0"/>
        <v>0.96009046093928252</v>
      </c>
      <c r="W8">
        <f t="shared" si="0"/>
        <v>0.96009046093928252</v>
      </c>
      <c r="X8">
        <f t="shared" si="0"/>
        <v>0.96009046093928252</v>
      </c>
      <c r="Y8">
        <f t="shared" si="0"/>
        <v>0.96009046093928252</v>
      </c>
      <c r="Z8">
        <f t="shared" si="0"/>
        <v>0.96009046093928252</v>
      </c>
      <c r="AA8">
        <f t="shared" si="0"/>
        <v>0.96009046093928252</v>
      </c>
      <c r="AB8">
        <f t="shared" si="0"/>
        <v>0.96009046093928252</v>
      </c>
      <c r="AC8">
        <f t="shared" si="0"/>
        <v>0.96009046093928252</v>
      </c>
      <c r="AD8">
        <f t="shared" si="0"/>
        <v>0.96009046093928252</v>
      </c>
      <c r="AE8">
        <f t="shared" si="0"/>
        <v>0.96009046093928252</v>
      </c>
      <c r="AF8">
        <f t="shared" si="0"/>
        <v>0.96009046093928252</v>
      </c>
      <c r="AG8">
        <f t="shared" si="1"/>
        <v>0.96009046093928252</v>
      </c>
      <c r="AH8">
        <f t="shared" si="1"/>
        <v>0.96009046093928252</v>
      </c>
      <c r="AI8">
        <f t="shared" si="1"/>
        <v>0.96009046093928252</v>
      </c>
      <c r="AJ8">
        <f t="shared" si="1"/>
        <v>0.96009046093928252</v>
      </c>
      <c r="AK8">
        <f t="shared" si="1"/>
        <v>0.96009046093928252</v>
      </c>
      <c r="AL8">
        <f t="shared" si="1"/>
        <v>0.96009046093928252</v>
      </c>
      <c r="AM8">
        <f t="shared" si="1"/>
        <v>0.96009046093928252</v>
      </c>
      <c r="AN8">
        <f t="shared" si="1"/>
        <v>0.96009046093928252</v>
      </c>
      <c r="AO8">
        <f t="shared" si="1"/>
        <v>0.96009046093928252</v>
      </c>
      <c r="AP8">
        <f t="shared" si="1"/>
        <v>0.96009046093928252</v>
      </c>
    </row>
    <row r="9" spans="1:42" x14ac:dyDescent="0.2">
      <c r="A9" t="s">
        <v>380</v>
      </c>
      <c r="B9">
        <f>'Start Year Energy'!J63</f>
        <v>0.93901573417384787</v>
      </c>
      <c r="C9">
        <f t="shared" si="2"/>
        <v>0.93901573417384787</v>
      </c>
      <c r="D9">
        <f t="shared" si="0"/>
        <v>0.93901573417384787</v>
      </c>
      <c r="E9">
        <f t="shared" si="0"/>
        <v>0.93901573417384787</v>
      </c>
      <c r="F9">
        <f t="shared" si="0"/>
        <v>0.93901573417384787</v>
      </c>
      <c r="G9">
        <f t="shared" si="0"/>
        <v>0.93901573417384787</v>
      </c>
      <c r="H9">
        <f t="shared" si="0"/>
        <v>0.93901573417384787</v>
      </c>
      <c r="I9">
        <f t="shared" si="0"/>
        <v>0.93901573417384787</v>
      </c>
      <c r="J9">
        <f t="shared" si="0"/>
        <v>0.93901573417384787</v>
      </c>
      <c r="K9">
        <f t="shared" si="0"/>
        <v>0.93901573417384787</v>
      </c>
      <c r="L9">
        <f t="shared" si="0"/>
        <v>0.93901573417384787</v>
      </c>
      <c r="M9">
        <f t="shared" si="0"/>
        <v>0.93901573417384787</v>
      </c>
      <c r="N9">
        <f t="shared" si="0"/>
        <v>0.93901573417384787</v>
      </c>
      <c r="O9">
        <f t="shared" si="0"/>
        <v>0.93901573417384787</v>
      </c>
      <c r="P9">
        <f t="shared" si="0"/>
        <v>0.93901573417384787</v>
      </c>
      <c r="Q9">
        <f t="shared" si="0"/>
        <v>0.93901573417384787</v>
      </c>
      <c r="R9">
        <f t="shared" si="0"/>
        <v>0.93901573417384787</v>
      </c>
      <c r="S9">
        <f t="shared" si="0"/>
        <v>0.93901573417384787</v>
      </c>
      <c r="T9">
        <f t="shared" si="0"/>
        <v>0.93901573417384787</v>
      </c>
      <c r="U9">
        <f t="shared" si="0"/>
        <v>0.93901573417384787</v>
      </c>
      <c r="V9">
        <f t="shared" si="0"/>
        <v>0.93901573417384787</v>
      </c>
      <c r="W9">
        <f t="shared" si="0"/>
        <v>0.93901573417384787</v>
      </c>
      <c r="X9">
        <f t="shared" si="0"/>
        <v>0.93901573417384787</v>
      </c>
      <c r="Y9">
        <f t="shared" si="0"/>
        <v>0.93901573417384787</v>
      </c>
      <c r="Z9">
        <f t="shared" si="0"/>
        <v>0.93901573417384787</v>
      </c>
      <c r="AA9">
        <f t="shared" si="0"/>
        <v>0.93901573417384787</v>
      </c>
      <c r="AB9">
        <f t="shared" si="0"/>
        <v>0.93901573417384787</v>
      </c>
      <c r="AC9">
        <f t="shared" si="0"/>
        <v>0.93901573417384787</v>
      </c>
      <c r="AD9">
        <f t="shared" si="0"/>
        <v>0.93901573417384787</v>
      </c>
      <c r="AE9">
        <f t="shared" si="0"/>
        <v>0.93901573417384787</v>
      </c>
      <c r="AF9">
        <f t="shared" si="0"/>
        <v>0.93901573417384787</v>
      </c>
      <c r="AG9">
        <f t="shared" si="1"/>
        <v>0.93901573417384787</v>
      </c>
      <c r="AH9">
        <f t="shared" si="1"/>
        <v>0.93901573417384787</v>
      </c>
      <c r="AI9">
        <f t="shared" si="1"/>
        <v>0.93901573417384787</v>
      </c>
      <c r="AJ9">
        <f t="shared" si="1"/>
        <v>0.93901573417384787</v>
      </c>
      <c r="AK9">
        <f t="shared" si="1"/>
        <v>0.93901573417384787</v>
      </c>
      <c r="AL9">
        <f t="shared" si="1"/>
        <v>0.93901573417384787</v>
      </c>
      <c r="AM9">
        <f t="shared" si="1"/>
        <v>0.93901573417384787</v>
      </c>
      <c r="AN9">
        <f t="shared" si="1"/>
        <v>0.93901573417384787</v>
      </c>
      <c r="AO9">
        <f t="shared" si="1"/>
        <v>0.93901573417384787</v>
      </c>
      <c r="AP9">
        <f t="shared" si="1"/>
        <v>0.93901573417384787</v>
      </c>
    </row>
    <row r="10" spans="1:42" x14ac:dyDescent="0.2">
      <c r="A10" t="s">
        <v>381</v>
      </c>
      <c r="B10">
        <f>'Start Year Energy'!J64</f>
        <v>0.42056508866730757</v>
      </c>
      <c r="C10">
        <f t="shared" si="2"/>
        <v>0.42056508866730757</v>
      </c>
      <c r="D10">
        <f t="shared" si="0"/>
        <v>0.42056508866730757</v>
      </c>
      <c r="E10">
        <f t="shared" si="0"/>
        <v>0.42056508866730757</v>
      </c>
      <c r="F10">
        <f t="shared" si="0"/>
        <v>0.42056508866730757</v>
      </c>
      <c r="G10">
        <f t="shared" si="0"/>
        <v>0.42056508866730757</v>
      </c>
      <c r="H10">
        <f t="shared" si="0"/>
        <v>0.42056508866730757</v>
      </c>
      <c r="I10">
        <f t="shared" si="0"/>
        <v>0.42056508866730757</v>
      </c>
      <c r="J10">
        <f t="shared" si="0"/>
        <v>0.42056508866730757</v>
      </c>
      <c r="K10">
        <f t="shared" si="0"/>
        <v>0.42056508866730757</v>
      </c>
      <c r="L10">
        <f t="shared" si="0"/>
        <v>0.42056508866730757</v>
      </c>
      <c r="M10">
        <f t="shared" si="0"/>
        <v>0.42056508866730757</v>
      </c>
      <c r="N10">
        <f t="shared" si="0"/>
        <v>0.42056508866730757</v>
      </c>
      <c r="O10">
        <f t="shared" si="0"/>
        <v>0.42056508866730757</v>
      </c>
      <c r="P10">
        <f t="shared" si="0"/>
        <v>0.42056508866730757</v>
      </c>
      <c r="Q10">
        <f t="shared" si="0"/>
        <v>0.42056508866730757</v>
      </c>
      <c r="R10">
        <f t="shared" si="0"/>
        <v>0.42056508866730757</v>
      </c>
      <c r="S10">
        <f t="shared" si="0"/>
        <v>0.42056508866730757</v>
      </c>
      <c r="T10">
        <f t="shared" si="0"/>
        <v>0.42056508866730757</v>
      </c>
      <c r="U10">
        <f t="shared" si="0"/>
        <v>0.42056508866730757</v>
      </c>
      <c r="V10">
        <f t="shared" si="0"/>
        <v>0.42056508866730757</v>
      </c>
      <c r="W10">
        <f t="shared" si="0"/>
        <v>0.42056508866730757</v>
      </c>
      <c r="X10">
        <f t="shared" si="0"/>
        <v>0.42056508866730757</v>
      </c>
      <c r="Y10">
        <f t="shared" si="0"/>
        <v>0.42056508866730757</v>
      </c>
      <c r="Z10">
        <f t="shared" si="0"/>
        <v>0.42056508866730757</v>
      </c>
      <c r="AA10">
        <f t="shared" si="0"/>
        <v>0.42056508866730757</v>
      </c>
      <c r="AB10">
        <f t="shared" si="0"/>
        <v>0.42056508866730757</v>
      </c>
      <c r="AC10">
        <f t="shared" si="0"/>
        <v>0.42056508866730757</v>
      </c>
      <c r="AD10">
        <f t="shared" si="0"/>
        <v>0.42056508866730757</v>
      </c>
      <c r="AE10">
        <f t="shared" si="0"/>
        <v>0.42056508866730757</v>
      </c>
      <c r="AF10">
        <f t="shared" si="0"/>
        <v>0.42056508866730757</v>
      </c>
      <c r="AG10">
        <f t="shared" si="1"/>
        <v>0.42056508866730757</v>
      </c>
      <c r="AH10">
        <f t="shared" si="1"/>
        <v>0.42056508866730757</v>
      </c>
      <c r="AI10">
        <f t="shared" si="1"/>
        <v>0.42056508866730757</v>
      </c>
      <c r="AJ10">
        <f t="shared" si="1"/>
        <v>0.42056508866730757</v>
      </c>
      <c r="AK10">
        <f t="shared" si="1"/>
        <v>0.42056508866730757</v>
      </c>
      <c r="AL10">
        <f t="shared" si="1"/>
        <v>0.42056508866730757</v>
      </c>
      <c r="AM10">
        <f t="shared" si="1"/>
        <v>0.42056508866730757</v>
      </c>
      <c r="AN10">
        <f t="shared" si="1"/>
        <v>0.42056508866730757</v>
      </c>
      <c r="AO10">
        <f t="shared" si="1"/>
        <v>0.42056508866730757</v>
      </c>
      <c r="AP10">
        <f t="shared" si="1"/>
        <v>0.42056508866730757</v>
      </c>
    </row>
    <row r="11" spans="1:42" x14ac:dyDescent="0.2">
      <c r="A11" t="s">
        <v>382</v>
      </c>
      <c r="B11">
        <f>'Start Year Energy'!J65</f>
        <v>0.25304184025940002</v>
      </c>
      <c r="C11">
        <f t="shared" si="2"/>
        <v>0.25304184025940002</v>
      </c>
      <c r="D11">
        <f t="shared" si="0"/>
        <v>0.25304184025940002</v>
      </c>
      <c r="E11">
        <f t="shared" si="0"/>
        <v>0.25304184025940002</v>
      </c>
      <c r="F11">
        <f t="shared" si="0"/>
        <v>0.25304184025940002</v>
      </c>
      <c r="G11">
        <f t="shared" si="0"/>
        <v>0.25304184025940002</v>
      </c>
      <c r="H11">
        <f t="shared" si="0"/>
        <v>0.25304184025940002</v>
      </c>
      <c r="I11">
        <f t="shared" si="0"/>
        <v>0.25304184025940002</v>
      </c>
      <c r="J11">
        <f t="shared" si="0"/>
        <v>0.25304184025940002</v>
      </c>
      <c r="K11">
        <f t="shared" si="0"/>
        <v>0.25304184025940002</v>
      </c>
      <c r="L11">
        <f t="shared" si="0"/>
        <v>0.25304184025940002</v>
      </c>
      <c r="M11">
        <f t="shared" ref="M11:AO24" si="3">$B11</f>
        <v>0.25304184025940002</v>
      </c>
      <c r="N11">
        <f t="shared" si="3"/>
        <v>0.25304184025940002</v>
      </c>
      <c r="O11">
        <f t="shared" si="3"/>
        <v>0.25304184025940002</v>
      </c>
      <c r="P11">
        <f t="shared" si="3"/>
        <v>0.25304184025940002</v>
      </c>
      <c r="Q11">
        <f t="shared" si="3"/>
        <v>0.25304184025940002</v>
      </c>
      <c r="R11">
        <f t="shared" si="3"/>
        <v>0.25304184025940002</v>
      </c>
      <c r="S11">
        <f t="shared" si="3"/>
        <v>0.25304184025940002</v>
      </c>
      <c r="T11">
        <f t="shared" si="3"/>
        <v>0.25304184025940002</v>
      </c>
      <c r="U11">
        <f t="shared" si="3"/>
        <v>0.25304184025940002</v>
      </c>
      <c r="V11">
        <f t="shared" si="3"/>
        <v>0.25304184025940002</v>
      </c>
      <c r="W11">
        <f t="shared" si="3"/>
        <v>0.25304184025940002</v>
      </c>
      <c r="X11">
        <f t="shared" si="3"/>
        <v>0.25304184025940002</v>
      </c>
      <c r="Y11">
        <f t="shared" si="3"/>
        <v>0.25304184025940002</v>
      </c>
      <c r="Z11">
        <f t="shared" si="3"/>
        <v>0.25304184025940002</v>
      </c>
      <c r="AA11">
        <f t="shared" si="3"/>
        <v>0.25304184025940002</v>
      </c>
      <c r="AB11">
        <f t="shared" si="3"/>
        <v>0.25304184025940002</v>
      </c>
      <c r="AC11">
        <f t="shared" si="3"/>
        <v>0.25304184025940002</v>
      </c>
      <c r="AD11">
        <f t="shared" si="3"/>
        <v>0.25304184025940002</v>
      </c>
      <c r="AE11">
        <f t="shared" si="3"/>
        <v>0.25304184025940002</v>
      </c>
      <c r="AF11">
        <f t="shared" si="3"/>
        <v>0.25304184025940002</v>
      </c>
      <c r="AG11">
        <f t="shared" si="1"/>
        <v>0.25304184025940002</v>
      </c>
      <c r="AH11">
        <f t="shared" si="1"/>
        <v>0.25304184025940002</v>
      </c>
      <c r="AI11">
        <f t="shared" si="1"/>
        <v>0.25304184025940002</v>
      </c>
      <c r="AJ11">
        <f t="shared" si="1"/>
        <v>0.25304184025940002</v>
      </c>
      <c r="AK11">
        <f t="shared" si="1"/>
        <v>0.25304184025940002</v>
      </c>
      <c r="AL11">
        <f t="shared" si="1"/>
        <v>0.25304184025940002</v>
      </c>
      <c r="AM11">
        <f t="shared" si="1"/>
        <v>0.25304184025940002</v>
      </c>
      <c r="AN11">
        <f t="shared" si="1"/>
        <v>0.25304184025940002</v>
      </c>
      <c r="AO11">
        <f t="shared" si="1"/>
        <v>0.25304184025940002</v>
      </c>
      <c r="AP11">
        <f t="shared" si="1"/>
        <v>0.25304184025940002</v>
      </c>
    </row>
    <row r="12" spans="1:42" x14ac:dyDescent="0.2">
      <c r="A12" t="s">
        <v>383</v>
      </c>
      <c r="B12">
        <f>'Start Year Energy'!J66</f>
        <v>0.91956589101429742</v>
      </c>
      <c r="C12">
        <f t="shared" si="2"/>
        <v>0.91956589101429742</v>
      </c>
      <c r="D12">
        <f t="shared" si="2"/>
        <v>0.91956589101429742</v>
      </c>
      <c r="E12">
        <f t="shared" si="2"/>
        <v>0.91956589101429742</v>
      </c>
      <c r="F12">
        <f t="shared" si="2"/>
        <v>0.91956589101429742</v>
      </c>
      <c r="G12">
        <f t="shared" si="2"/>
        <v>0.91956589101429742</v>
      </c>
      <c r="H12">
        <f t="shared" si="2"/>
        <v>0.91956589101429742</v>
      </c>
      <c r="I12">
        <f t="shared" si="2"/>
        <v>0.91956589101429742</v>
      </c>
      <c r="J12">
        <f t="shared" si="2"/>
        <v>0.91956589101429742</v>
      </c>
      <c r="K12">
        <f t="shared" si="2"/>
        <v>0.91956589101429742</v>
      </c>
      <c r="L12">
        <f t="shared" si="2"/>
        <v>0.91956589101429742</v>
      </c>
      <c r="M12">
        <f t="shared" si="2"/>
        <v>0.91956589101429742</v>
      </c>
      <c r="N12">
        <f t="shared" si="2"/>
        <v>0.91956589101429742</v>
      </c>
      <c r="O12">
        <f t="shared" si="2"/>
        <v>0.91956589101429742</v>
      </c>
      <c r="P12">
        <f t="shared" si="2"/>
        <v>0.91956589101429742</v>
      </c>
      <c r="Q12">
        <f t="shared" si="2"/>
        <v>0.91956589101429742</v>
      </c>
      <c r="R12">
        <f t="shared" si="2"/>
        <v>0.91956589101429742</v>
      </c>
      <c r="S12">
        <f t="shared" si="3"/>
        <v>0.91956589101429742</v>
      </c>
      <c r="T12">
        <f t="shared" si="3"/>
        <v>0.91956589101429742</v>
      </c>
      <c r="U12">
        <f t="shared" si="3"/>
        <v>0.91956589101429742</v>
      </c>
      <c r="V12">
        <f t="shared" si="3"/>
        <v>0.91956589101429742</v>
      </c>
      <c r="W12">
        <f t="shared" si="3"/>
        <v>0.91956589101429742</v>
      </c>
      <c r="X12">
        <f t="shared" si="3"/>
        <v>0.91956589101429742</v>
      </c>
      <c r="Y12">
        <f t="shared" si="3"/>
        <v>0.91956589101429742</v>
      </c>
      <c r="Z12">
        <f t="shared" si="3"/>
        <v>0.91956589101429742</v>
      </c>
      <c r="AA12">
        <f t="shared" si="3"/>
        <v>0.91956589101429742</v>
      </c>
      <c r="AB12">
        <f t="shared" si="3"/>
        <v>0.91956589101429742</v>
      </c>
      <c r="AC12">
        <f t="shared" si="3"/>
        <v>0.91956589101429742</v>
      </c>
      <c r="AD12">
        <f t="shared" si="3"/>
        <v>0.91956589101429742</v>
      </c>
      <c r="AE12">
        <f t="shared" si="3"/>
        <v>0.91956589101429742</v>
      </c>
      <c r="AF12">
        <f t="shared" si="3"/>
        <v>0.91956589101429742</v>
      </c>
      <c r="AG12">
        <f t="shared" si="1"/>
        <v>0.91956589101429742</v>
      </c>
      <c r="AH12">
        <f t="shared" si="1"/>
        <v>0.91956589101429742</v>
      </c>
      <c r="AI12">
        <f t="shared" si="1"/>
        <v>0.91956589101429742</v>
      </c>
      <c r="AJ12">
        <f t="shared" si="1"/>
        <v>0.91956589101429742</v>
      </c>
      <c r="AK12">
        <f t="shared" si="1"/>
        <v>0.91956589101429742</v>
      </c>
      <c r="AL12">
        <f t="shared" si="1"/>
        <v>0.91956589101429742</v>
      </c>
      <c r="AM12">
        <f t="shared" si="1"/>
        <v>0.91956589101429742</v>
      </c>
      <c r="AN12">
        <f t="shared" si="1"/>
        <v>0.91956589101429742</v>
      </c>
      <c r="AO12">
        <f t="shared" si="1"/>
        <v>0.91956589101429742</v>
      </c>
      <c r="AP12">
        <f t="shared" si="1"/>
        <v>0.91956589101429742</v>
      </c>
    </row>
    <row r="13" spans="1:42" x14ac:dyDescent="0.2">
      <c r="A13" t="s">
        <v>384</v>
      </c>
      <c r="B13">
        <f>'Start Year Energy'!J67</f>
        <v>0.92051245862308306</v>
      </c>
      <c r="C13">
        <f t="shared" si="2"/>
        <v>0.92051245862308306</v>
      </c>
      <c r="D13">
        <f t="shared" si="2"/>
        <v>0.92051245862308306</v>
      </c>
      <c r="E13">
        <f t="shared" si="2"/>
        <v>0.92051245862308306</v>
      </c>
      <c r="F13">
        <f t="shared" si="2"/>
        <v>0.92051245862308306</v>
      </c>
      <c r="G13">
        <f t="shared" si="2"/>
        <v>0.92051245862308306</v>
      </c>
      <c r="H13">
        <f t="shared" si="2"/>
        <v>0.92051245862308306</v>
      </c>
      <c r="I13">
        <f t="shared" si="2"/>
        <v>0.92051245862308306</v>
      </c>
      <c r="J13">
        <f t="shared" si="2"/>
        <v>0.92051245862308306</v>
      </c>
      <c r="K13">
        <f t="shared" si="2"/>
        <v>0.92051245862308306</v>
      </c>
      <c r="L13">
        <f t="shared" si="2"/>
        <v>0.92051245862308306</v>
      </c>
      <c r="M13">
        <f t="shared" si="2"/>
        <v>0.92051245862308306</v>
      </c>
      <c r="N13">
        <f t="shared" si="2"/>
        <v>0.92051245862308306</v>
      </c>
      <c r="O13">
        <f t="shared" si="2"/>
        <v>0.92051245862308306</v>
      </c>
      <c r="P13">
        <f t="shared" si="2"/>
        <v>0.92051245862308306</v>
      </c>
      <c r="Q13">
        <f t="shared" si="2"/>
        <v>0.92051245862308306</v>
      </c>
      <c r="R13">
        <f t="shared" si="2"/>
        <v>0.92051245862308306</v>
      </c>
      <c r="S13">
        <f t="shared" si="3"/>
        <v>0.92051245862308306</v>
      </c>
      <c r="T13">
        <f t="shared" si="3"/>
        <v>0.92051245862308306</v>
      </c>
      <c r="U13">
        <f t="shared" si="3"/>
        <v>0.92051245862308306</v>
      </c>
      <c r="V13">
        <f t="shared" si="3"/>
        <v>0.92051245862308306</v>
      </c>
      <c r="W13">
        <f t="shared" si="3"/>
        <v>0.92051245862308306</v>
      </c>
      <c r="X13">
        <f t="shared" si="3"/>
        <v>0.92051245862308306</v>
      </c>
      <c r="Y13">
        <f t="shared" si="3"/>
        <v>0.92051245862308306</v>
      </c>
      <c r="Z13">
        <f t="shared" si="3"/>
        <v>0.92051245862308306</v>
      </c>
      <c r="AA13">
        <f t="shared" si="3"/>
        <v>0.92051245862308306</v>
      </c>
      <c r="AB13">
        <f t="shared" si="3"/>
        <v>0.92051245862308306</v>
      </c>
      <c r="AC13">
        <f t="shared" si="3"/>
        <v>0.92051245862308306</v>
      </c>
      <c r="AD13">
        <f t="shared" si="3"/>
        <v>0.92051245862308306</v>
      </c>
      <c r="AE13">
        <f t="shared" si="3"/>
        <v>0.92051245862308306</v>
      </c>
      <c r="AF13">
        <f t="shared" si="3"/>
        <v>0.92051245862308306</v>
      </c>
      <c r="AG13">
        <f t="shared" si="1"/>
        <v>0.92051245862308306</v>
      </c>
      <c r="AH13">
        <f t="shared" si="1"/>
        <v>0.92051245862308306</v>
      </c>
      <c r="AI13">
        <f t="shared" si="1"/>
        <v>0.92051245862308306</v>
      </c>
      <c r="AJ13">
        <f t="shared" si="1"/>
        <v>0.92051245862308306</v>
      </c>
      <c r="AK13">
        <f t="shared" si="1"/>
        <v>0.92051245862308306</v>
      </c>
      <c r="AL13">
        <f t="shared" si="1"/>
        <v>0.92051245862308306</v>
      </c>
      <c r="AM13">
        <f t="shared" si="1"/>
        <v>0.92051245862308306</v>
      </c>
      <c r="AN13">
        <f t="shared" si="1"/>
        <v>0.92051245862308306</v>
      </c>
      <c r="AO13">
        <f t="shared" si="1"/>
        <v>0.92051245862308306</v>
      </c>
      <c r="AP13">
        <f t="shared" si="1"/>
        <v>0.92051245862308306</v>
      </c>
    </row>
    <row r="14" spans="1:42" x14ac:dyDescent="0.2">
      <c r="A14" t="s">
        <v>385</v>
      </c>
      <c r="B14">
        <f>'Start Year Energy'!J68</f>
        <v>0.93860363439172456</v>
      </c>
      <c r="C14">
        <f t="shared" si="2"/>
        <v>0.93860363439172456</v>
      </c>
      <c r="D14">
        <f t="shared" si="2"/>
        <v>0.93860363439172456</v>
      </c>
      <c r="E14">
        <f t="shared" si="2"/>
        <v>0.93860363439172456</v>
      </c>
      <c r="F14">
        <f t="shared" si="2"/>
        <v>0.93860363439172456</v>
      </c>
      <c r="G14">
        <f t="shared" si="2"/>
        <v>0.93860363439172456</v>
      </c>
      <c r="H14">
        <f t="shared" si="2"/>
        <v>0.93860363439172456</v>
      </c>
      <c r="I14">
        <f t="shared" si="2"/>
        <v>0.93860363439172456</v>
      </c>
      <c r="J14">
        <f t="shared" si="2"/>
        <v>0.93860363439172456</v>
      </c>
      <c r="K14">
        <f t="shared" si="2"/>
        <v>0.93860363439172456</v>
      </c>
      <c r="L14">
        <f t="shared" si="2"/>
        <v>0.93860363439172456</v>
      </c>
      <c r="M14">
        <f t="shared" si="2"/>
        <v>0.93860363439172456</v>
      </c>
      <c r="N14">
        <f t="shared" si="2"/>
        <v>0.93860363439172456</v>
      </c>
      <c r="O14">
        <f t="shared" si="2"/>
        <v>0.93860363439172456</v>
      </c>
      <c r="P14">
        <f t="shared" si="2"/>
        <v>0.93860363439172456</v>
      </c>
      <c r="Q14">
        <f t="shared" si="2"/>
        <v>0.93860363439172456</v>
      </c>
      <c r="R14">
        <f t="shared" si="2"/>
        <v>0.93860363439172456</v>
      </c>
      <c r="S14">
        <f t="shared" si="3"/>
        <v>0.93860363439172456</v>
      </c>
      <c r="T14">
        <f t="shared" si="3"/>
        <v>0.93860363439172456</v>
      </c>
      <c r="U14">
        <f t="shared" si="3"/>
        <v>0.93860363439172456</v>
      </c>
      <c r="V14">
        <f t="shared" si="3"/>
        <v>0.93860363439172456</v>
      </c>
      <c r="W14">
        <f t="shared" si="3"/>
        <v>0.93860363439172456</v>
      </c>
      <c r="X14">
        <f t="shared" si="3"/>
        <v>0.93860363439172456</v>
      </c>
      <c r="Y14">
        <f t="shared" si="3"/>
        <v>0.93860363439172456</v>
      </c>
      <c r="Z14">
        <f t="shared" si="3"/>
        <v>0.93860363439172456</v>
      </c>
      <c r="AA14">
        <f t="shared" si="3"/>
        <v>0.93860363439172456</v>
      </c>
      <c r="AB14">
        <f t="shared" si="3"/>
        <v>0.93860363439172456</v>
      </c>
      <c r="AC14">
        <f t="shared" si="3"/>
        <v>0.93860363439172456</v>
      </c>
      <c r="AD14">
        <f t="shared" si="3"/>
        <v>0.93860363439172456</v>
      </c>
      <c r="AE14">
        <f t="shared" si="3"/>
        <v>0.93860363439172456</v>
      </c>
      <c r="AF14">
        <f t="shared" si="3"/>
        <v>0.93860363439172456</v>
      </c>
      <c r="AG14">
        <f t="shared" si="1"/>
        <v>0.93860363439172456</v>
      </c>
      <c r="AH14">
        <f t="shared" si="1"/>
        <v>0.93860363439172456</v>
      </c>
      <c r="AI14">
        <f t="shared" si="1"/>
        <v>0.93860363439172456</v>
      </c>
      <c r="AJ14">
        <f t="shared" si="1"/>
        <v>0.93860363439172456</v>
      </c>
      <c r="AK14">
        <f t="shared" si="1"/>
        <v>0.93860363439172456</v>
      </c>
      <c r="AL14">
        <f t="shared" si="1"/>
        <v>0.93860363439172456</v>
      </c>
      <c r="AM14">
        <f t="shared" si="1"/>
        <v>0.93860363439172456</v>
      </c>
      <c r="AN14">
        <f t="shared" si="1"/>
        <v>0.93860363439172456</v>
      </c>
      <c r="AO14">
        <f t="shared" si="1"/>
        <v>0.93860363439172456</v>
      </c>
      <c r="AP14">
        <f t="shared" si="1"/>
        <v>0.93860363439172456</v>
      </c>
    </row>
    <row r="15" spans="1:42" x14ac:dyDescent="0.2">
      <c r="A15" t="s">
        <v>386</v>
      </c>
      <c r="B15">
        <f>'Start Year Energy'!J69</f>
        <v>0.97880592807783251</v>
      </c>
      <c r="C15">
        <f t="shared" si="2"/>
        <v>0.97880592807783251</v>
      </c>
      <c r="D15">
        <f t="shared" si="2"/>
        <v>0.97880592807783251</v>
      </c>
      <c r="E15">
        <f t="shared" si="2"/>
        <v>0.97880592807783251</v>
      </c>
      <c r="F15">
        <f t="shared" si="2"/>
        <v>0.97880592807783251</v>
      </c>
      <c r="G15">
        <f t="shared" si="2"/>
        <v>0.97880592807783251</v>
      </c>
      <c r="H15">
        <f t="shared" si="2"/>
        <v>0.97880592807783251</v>
      </c>
      <c r="I15">
        <f t="shared" si="2"/>
        <v>0.97880592807783251</v>
      </c>
      <c r="J15">
        <f t="shared" si="2"/>
        <v>0.97880592807783251</v>
      </c>
      <c r="K15">
        <f t="shared" si="2"/>
        <v>0.97880592807783251</v>
      </c>
      <c r="L15">
        <f t="shared" si="2"/>
        <v>0.97880592807783251</v>
      </c>
      <c r="M15">
        <f t="shared" si="2"/>
        <v>0.97880592807783251</v>
      </c>
      <c r="N15">
        <f t="shared" si="2"/>
        <v>0.97880592807783251</v>
      </c>
      <c r="O15">
        <f t="shared" si="2"/>
        <v>0.97880592807783251</v>
      </c>
      <c r="P15">
        <f t="shared" si="2"/>
        <v>0.97880592807783251</v>
      </c>
      <c r="Q15">
        <f t="shared" si="2"/>
        <v>0.97880592807783251</v>
      </c>
      <c r="R15">
        <f t="shared" si="2"/>
        <v>0.97880592807783251</v>
      </c>
      <c r="S15">
        <f t="shared" si="3"/>
        <v>0.97880592807783251</v>
      </c>
      <c r="T15">
        <f t="shared" si="3"/>
        <v>0.97880592807783251</v>
      </c>
      <c r="U15">
        <f t="shared" si="3"/>
        <v>0.97880592807783251</v>
      </c>
      <c r="V15">
        <f t="shared" si="3"/>
        <v>0.97880592807783251</v>
      </c>
      <c r="W15">
        <f t="shared" si="3"/>
        <v>0.97880592807783251</v>
      </c>
      <c r="X15">
        <f t="shared" si="3"/>
        <v>0.97880592807783251</v>
      </c>
      <c r="Y15">
        <f t="shared" si="3"/>
        <v>0.97880592807783251</v>
      </c>
      <c r="Z15">
        <f t="shared" si="3"/>
        <v>0.97880592807783251</v>
      </c>
      <c r="AA15">
        <f t="shared" si="3"/>
        <v>0.97880592807783251</v>
      </c>
      <c r="AB15">
        <f t="shared" si="3"/>
        <v>0.97880592807783251</v>
      </c>
      <c r="AC15">
        <f t="shared" si="3"/>
        <v>0.97880592807783251</v>
      </c>
      <c r="AD15">
        <f t="shared" si="3"/>
        <v>0.97880592807783251</v>
      </c>
      <c r="AE15">
        <f t="shared" si="3"/>
        <v>0.97880592807783251</v>
      </c>
      <c r="AF15">
        <f t="shared" si="3"/>
        <v>0.97880592807783251</v>
      </c>
      <c r="AG15">
        <f t="shared" si="1"/>
        <v>0.97880592807783251</v>
      </c>
      <c r="AH15">
        <f t="shared" si="1"/>
        <v>0.97880592807783251</v>
      </c>
      <c r="AI15">
        <f t="shared" si="1"/>
        <v>0.97880592807783251</v>
      </c>
      <c r="AJ15">
        <f t="shared" si="1"/>
        <v>0.97880592807783251</v>
      </c>
      <c r="AK15">
        <f t="shared" si="1"/>
        <v>0.97880592807783251</v>
      </c>
      <c r="AL15">
        <f t="shared" si="1"/>
        <v>0.97880592807783251</v>
      </c>
      <c r="AM15">
        <f t="shared" si="1"/>
        <v>0.97880592807783251</v>
      </c>
      <c r="AN15">
        <f t="shared" si="1"/>
        <v>0.97880592807783251</v>
      </c>
      <c r="AO15">
        <f t="shared" si="1"/>
        <v>0.97880592807783251</v>
      </c>
      <c r="AP15">
        <f t="shared" si="1"/>
        <v>0.97880592807783251</v>
      </c>
    </row>
    <row r="16" spans="1:42" x14ac:dyDescent="0.2">
      <c r="A16" t="s">
        <v>387</v>
      </c>
      <c r="B16">
        <f>'Start Year Energy'!J70</f>
        <v>0.92433905688744977</v>
      </c>
      <c r="C16">
        <f t="shared" si="2"/>
        <v>0.92433905688744977</v>
      </c>
      <c r="D16">
        <f t="shared" si="2"/>
        <v>0.92433905688744977</v>
      </c>
      <c r="E16">
        <f t="shared" si="2"/>
        <v>0.92433905688744977</v>
      </c>
      <c r="F16">
        <f t="shared" si="2"/>
        <v>0.92433905688744977</v>
      </c>
      <c r="G16">
        <f t="shared" si="2"/>
        <v>0.92433905688744977</v>
      </c>
      <c r="H16">
        <f t="shared" si="2"/>
        <v>0.92433905688744977</v>
      </c>
      <c r="I16">
        <f t="shared" si="2"/>
        <v>0.92433905688744977</v>
      </c>
      <c r="J16">
        <f t="shared" si="2"/>
        <v>0.92433905688744977</v>
      </c>
      <c r="K16">
        <f t="shared" si="2"/>
        <v>0.92433905688744977</v>
      </c>
      <c r="L16">
        <f t="shared" si="2"/>
        <v>0.92433905688744977</v>
      </c>
      <c r="M16">
        <f t="shared" si="2"/>
        <v>0.92433905688744977</v>
      </c>
      <c r="N16">
        <f t="shared" si="2"/>
        <v>0.92433905688744977</v>
      </c>
      <c r="O16">
        <f t="shared" si="2"/>
        <v>0.92433905688744977</v>
      </c>
      <c r="P16">
        <f t="shared" si="2"/>
        <v>0.92433905688744977</v>
      </c>
      <c r="Q16">
        <f t="shared" si="2"/>
        <v>0.92433905688744977</v>
      </c>
      <c r="R16">
        <f t="shared" si="2"/>
        <v>0.92433905688744977</v>
      </c>
      <c r="S16">
        <f t="shared" si="3"/>
        <v>0.92433905688744977</v>
      </c>
      <c r="T16">
        <f t="shared" si="3"/>
        <v>0.92433905688744977</v>
      </c>
      <c r="U16">
        <f t="shared" si="3"/>
        <v>0.92433905688744977</v>
      </c>
      <c r="V16">
        <f t="shared" si="3"/>
        <v>0.92433905688744977</v>
      </c>
      <c r="W16">
        <f t="shared" si="3"/>
        <v>0.92433905688744977</v>
      </c>
      <c r="X16">
        <f t="shared" si="3"/>
        <v>0.92433905688744977</v>
      </c>
      <c r="Y16">
        <f t="shared" si="3"/>
        <v>0.92433905688744977</v>
      </c>
      <c r="Z16">
        <f t="shared" si="3"/>
        <v>0.92433905688744977</v>
      </c>
      <c r="AA16">
        <f t="shared" si="3"/>
        <v>0.92433905688744977</v>
      </c>
      <c r="AB16">
        <f t="shared" si="3"/>
        <v>0.92433905688744977</v>
      </c>
      <c r="AC16">
        <f t="shared" si="3"/>
        <v>0.92433905688744977</v>
      </c>
      <c r="AD16">
        <f t="shared" si="3"/>
        <v>0.92433905688744977</v>
      </c>
      <c r="AE16">
        <f t="shared" si="3"/>
        <v>0.92433905688744977</v>
      </c>
      <c r="AF16">
        <f t="shared" si="3"/>
        <v>0.92433905688744977</v>
      </c>
      <c r="AG16">
        <f t="shared" si="1"/>
        <v>0.92433905688744977</v>
      </c>
      <c r="AH16">
        <f t="shared" si="1"/>
        <v>0.92433905688744977</v>
      </c>
      <c r="AI16">
        <f t="shared" si="1"/>
        <v>0.92433905688744977</v>
      </c>
      <c r="AJ16">
        <f t="shared" si="1"/>
        <v>0.92433905688744977</v>
      </c>
      <c r="AK16">
        <f t="shared" si="1"/>
        <v>0.92433905688744977</v>
      </c>
      <c r="AL16">
        <f t="shared" si="1"/>
        <v>0.92433905688744977</v>
      </c>
      <c r="AM16">
        <f t="shared" si="1"/>
        <v>0.92433905688744977</v>
      </c>
      <c r="AN16">
        <f t="shared" si="1"/>
        <v>0.92433905688744977</v>
      </c>
      <c r="AO16">
        <f t="shared" si="1"/>
        <v>0.92433905688744977</v>
      </c>
      <c r="AP16">
        <f t="shared" si="1"/>
        <v>0.92433905688744977</v>
      </c>
    </row>
    <row r="17" spans="1:42" x14ac:dyDescent="0.2">
      <c r="A17" t="s">
        <v>388</v>
      </c>
      <c r="B17">
        <f>'Start Year Energy'!J71</f>
        <v>0.9815766094868813</v>
      </c>
      <c r="C17">
        <f t="shared" si="2"/>
        <v>0.9815766094868813</v>
      </c>
      <c r="D17">
        <f t="shared" si="2"/>
        <v>0.9815766094868813</v>
      </c>
      <c r="E17">
        <f t="shared" si="2"/>
        <v>0.9815766094868813</v>
      </c>
      <c r="F17">
        <f t="shared" si="2"/>
        <v>0.9815766094868813</v>
      </c>
      <c r="G17">
        <f t="shared" si="2"/>
        <v>0.9815766094868813</v>
      </c>
      <c r="H17">
        <f t="shared" si="2"/>
        <v>0.9815766094868813</v>
      </c>
      <c r="I17">
        <f t="shared" si="2"/>
        <v>0.9815766094868813</v>
      </c>
      <c r="J17">
        <f t="shared" si="2"/>
        <v>0.9815766094868813</v>
      </c>
      <c r="K17">
        <f t="shared" si="2"/>
        <v>0.9815766094868813</v>
      </c>
      <c r="L17">
        <f t="shared" si="2"/>
        <v>0.9815766094868813</v>
      </c>
      <c r="M17">
        <f t="shared" si="2"/>
        <v>0.9815766094868813</v>
      </c>
      <c r="N17">
        <f t="shared" si="2"/>
        <v>0.9815766094868813</v>
      </c>
      <c r="O17">
        <f t="shared" si="2"/>
        <v>0.9815766094868813</v>
      </c>
      <c r="P17">
        <f t="shared" si="2"/>
        <v>0.9815766094868813</v>
      </c>
      <c r="Q17">
        <f t="shared" si="2"/>
        <v>0.9815766094868813</v>
      </c>
      <c r="R17">
        <f t="shared" si="2"/>
        <v>0.9815766094868813</v>
      </c>
      <c r="S17">
        <f t="shared" si="3"/>
        <v>0.9815766094868813</v>
      </c>
      <c r="T17">
        <f t="shared" si="3"/>
        <v>0.9815766094868813</v>
      </c>
      <c r="U17">
        <f t="shared" si="3"/>
        <v>0.9815766094868813</v>
      </c>
      <c r="V17">
        <f t="shared" si="3"/>
        <v>0.9815766094868813</v>
      </c>
      <c r="W17">
        <f t="shared" si="3"/>
        <v>0.9815766094868813</v>
      </c>
      <c r="X17">
        <f t="shared" si="3"/>
        <v>0.9815766094868813</v>
      </c>
      <c r="Y17">
        <f t="shared" si="3"/>
        <v>0.9815766094868813</v>
      </c>
      <c r="Z17">
        <f t="shared" si="3"/>
        <v>0.9815766094868813</v>
      </c>
      <c r="AA17">
        <f t="shared" si="3"/>
        <v>0.9815766094868813</v>
      </c>
      <c r="AB17">
        <f t="shared" si="3"/>
        <v>0.9815766094868813</v>
      </c>
      <c r="AC17">
        <f t="shared" si="3"/>
        <v>0.9815766094868813</v>
      </c>
      <c r="AD17">
        <f t="shared" si="3"/>
        <v>0.9815766094868813</v>
      </c>
      <c r="AE17">
        <f t="shared" si="3"/>
        <v>0.9815766094868813</v>
      </c>
      <c r="AF17">
        <f t="shared" si="3"/>
        <v>0.9815766094868813</v>
      </c>
      <c r="AG17">
        <f t="shared" si="1"/>
        <v>0.9815766094868813</v>
      </c>
      <c r="AH17">
        <f t="shared" si="1"/>
        <v>0.9815766094868813</v>
      </c>
      <c r="AI17">
        <f t="shared" si="1"/>
        <v>0.9815766094868813</v>
      </c>
      <c r="AJ17">
        <f t="shared" si="1"/>
        <v>0.9815766094868813</v>
      </c>
      <c r="AK17">
        <f t="shared" si="1"/>
        <v>0.9815766094868813</v>
      </c>
      <c r="AL17">
        <f t="shared" si="1"/>
        <v>0.9815766094868813</v>
      </c>
      <c r="AM17">
        <f t="shared" si="1"/>
        <v>0.9815766094868813</v>
      </c>
      <c r="AN17">
        <f t="shared" si="1"/>
        <v>0.9815766094868813</v>
      </c>
      <c r="AO17">
        <f t="shared" si="1"/>
        <v>0.9815766094868813</v>
      </c>
      <c r="AP17">
        <f t="shared" si="1"/>
        <v>0.9815766094868813</v>
      </c>
    </row>
    <row r="18" spans="1:42" x14ac:dyDescent="0.2">
      <c r="A18" t="s">
        <v>389</v>
      </c>
      <c r="B18">
        <f>'Start Year Energy'!J72</f>
        <v>0.96110517000860962</v>
      </c>
      <c r="C18">
        <f t="shared" si="2"/>
        <v>0.96110517000860962</v>
      </c>
      <c r="D18">
        <f t="shared" si="2"/>
        <v>0.96110517000860962</v>
      </c>
      <c r="E18">
        <f t="shared" si="2"/>
        <v>0.96110517000860962</v>
      </c>
      <c r="F18">
        <f t="shared" si="2"/>
        <v>0.96110517000860962</v>
      </c>
      <c r="G18">
        <f t="shared" si="2"/>
        <v>0.96110517000860962</v>
      </c>
      <c r="H18">
        <f t="shared" si="2"/>
        <v>0.96110517000860962</v>
      </c>
      <c r="I18">
        <f t="shared" si="2"/>
        <v>0.96110517000860962</v>
      </c>
      <c r="J18">
        <f t="shared" si="2"/>
        <v>0.96110517000860962</v>
      </c>
      <c r="K18">
        <f t="shared" si="2"/>
        <v>0.96110517000860962</v>
      </c>
      <c r="L18">
        <f t="shared" si="2"/>
        <v>0.96110517000860962</v>
      </c>
      <c r="M18">
        <f t="shared" si="2"/>
        <v>0.96110517000860962</v>
      </c>
      <c r="N18">
        <f t="shared" si="2"/>
        <v>0.96110517000860962</v>
      </c>
      <c r="O18">
        <f t="shared" si="2"/>
        <v>0.96110517000860962</v>
      </c>
      <c r="P18">
        <f t="shared" si="2"/>
        <v>0.96110517000860962</v>
      </c>
      <c r="Q18">
        <f t="shared" si="2"/>
        <v>0.96110517000860962</v>
      </c>
      <c r="R18">
        <f t="shared" si="2"/>
        <v>0.96110517000860962</v>
      </c>
      <c r="S18">
        <f t="shared" si="3"/>
        <v>0.96110517000860962</v>
      </c>
      <c r="T18">
        <f t="shared" si="3"/>
        <v>0.96110517000860962</v>
      </c>
      <c r="U18">
        <f t="shared" si="3"/>
        <v>0.96110517000860962</v>
      </c>
      <c r="V18">
        <f t="shared" si="3"/>
        <v>0.96110517000860962</v>
      </c>
      <c r="W18">
        <f t="shared" si="3"/>
        <v>0.96110517000860962</v>
      </c>
      <c r="X18">
        <f t="shared" si="3"/>
        <v>0.96110517000860962</v>
      </c>
      <c r="Y18">
        <f t="shared" si="3"/>
        <v>0.96110517000860962</v>
      </c>
      <c r="Z18">
        <f t="shared" si="3"/>
        <v>0.96110517000860962</v>
      </c>
      <c r="AA18">
        <f t="shared" si="3"/>
        <v>0.96110517000860962</v>
      </c>
      <c r="AB18">
        <f t="shared" si="3"/>
        <v>0.96110517000860962</v>
      </c>
      <c r="AC18">
        <f t="shared" si="3"/>
        <v>0.96110517000860962</v>
      </c>
      <c r="AD18">
        <f t="shared" si="3"/>
        <v>0.96110517000860962</v>
      </c>
      <c r="AE18">
        <f t="shared" si="3"/>
        <v>0.96110517000860962</v>
      </c>
      <c r="AF18">
        <f t="shared" si="3"/>
        <v>0.96110517000860962</v>
      </c>
      <c r="AG18">
        <f t="shared" si="3"/>
        <v>0.96110517000860962</v>
      </c>
      <c r="AH18">
        <f t="shared" si="3"/>
        <v>0.96110517000860962</v>
      </c>
      <c r="AI18">
        <f t="shared" si="3"/>
        <v>0.96110517000860962</v>
      </c>
      <c r="AJ18">
        <f t="shared" si="3"/>
        <v>0.96110517000860962</v>
      </c>
      <c r="AK18">
        <f t="shared" si="3"/>
        <v>0.96110517000860962</v>
      </c>
      <c r="AL18">
        <f t="shared" si="3"/>
        <v>0.96110517000860962</v>
      </c>
      <c r="AM18">
        <f t="shared" si="3"/>
        <v>0.96110517000860962</v>
      </c>
      <c r="AN18">
        <f t="shared" si="3"/>
        <v>0.96110517000860962</v>
      </c>
      <c r="AO18">
        <f t="shared" si="3"/>
        <v>0.96110517000860962</v>
      </c>
      <c r="AP18">
        <f t="shared" ref="AP18:AP23" si="4">$B18</f>
        <v>0.96110517000860962</v>
      </c>
    </row>
    <row r="19" spans="1:42" x14ac:dyDescent="0.2">
      <c r="A19" t="s">
        <v>390</v>
      </c>
      <c r="B19">
        <f>'Start Year Energy'!J73</f>
        <v>0.93535426180023762</v>
      </c>
      <c r="C19">
        <f t="shared" si="2"/>
        <v>0.93535426180023762</v>
      </c>
      <c r="D19">
        <f t="shared" si="2"/>
        <v>0.93535426180023762</v>
      </c>
      <c r="E19">
        <f t="shared" si="2"/>
        <v>0.93535426180023762</v>
      </c>
      <c r="F19">
        <f t="shared" si="2"/>
        <v>0.93535426180023762</v>
      </c>
      <c r="G19">
        <f t="shared" si="2"/>
        <v>0.93535426180023762</v>
      </c>
      <c r="H19">
        <f t="shared" si="2"/>
        <v>0.93535426180023762</v>
      </c>
      <c r="I19">
        <f t="shared" si="2"/>
        <v>0.93535426180023762</v>
      </c>
      <c r="J19">
        <f t="shared" si="2"/>
        <v>0.93535426180023762</v>
      </c>
      <c r="K19">
        <f t="shared" si="2"/>
        <v>0.93535426180023762</v>
      </c>
      <c r="L19">
        <f t="shared" si="2"/>
        <v>0.93535426180023762</v>
      </c>
      <c r="M19">
        <f t="shared" si="2"/>
        <v>0.93535426180023762</v>
      </c>
      <c r="N19">
        <f t="shared" si="2"/>
        <v>0.93535426180023762</v>
      </c>
      <c r="O19">
        <f t="shared" si="2"/>
        <v>0.93535426180023762</v>
      </c>
      <c r="P19">
        <f t="shared" si="2"/>
        <v>0.93535426180023762</v>
      </c>
      <c r="Q19">
        <f t="shared" si="2"/>
        <v>0.93535426180023762</v>
      </c>
      <c r="R19">
        <f t="shared" si="2"/>
        <v>0.93535426180023762</v>
      </c>
      <c r="S19">
        <f t="shared" si="3"/>
        <v>0.93535426180023762</v>
      </c>
      <c r="T19">
        <f t="shared" si="3"/>
        <v>0.93535426180023762</v>
      </c>
      <c r="U19">
        <f t="shared" si="3"/>
        <v>0.93535426180023762</v>
      </c>
      <c r="V19">
        <f t="shared" si="3"/>
        <v>0.93535426180023762</v>
      </c>
      <c r="W19">
        <f t="shared" si="3"/>
        <v>0.93535426180023762</v>
      </c>
      <c r="X19">
        <f t="shared" si="3"/>
        <v>0.93535426180023762</v>
      </c>
      <c r="Y19">
        <f t="shared" si="3"/>
        <v>0.93535426180023762</v>
      </c>
      <c r="Z19">
        <f t="shared" si="3"/>
        <v>0.93535426180023762</v>
      </c>
      <c r="AA19">
        <f t="shared" si="3"/>
        <v>0.93535426180023762</v>
      </c>
      <c r="AB19">
        <f t="shared" si="3"/>
        <v>0.93535426180023762</v>
      </c>
      <c r="AC19">
        <f t="shared" si="3"/>
        <v>0.93535426180023762</v>
      </c>
      <c r="AD19">
        <f t="shared" si="3"/>
        <v>0.93535426180023762</v>
      </c>
      <c r="AE19">
        <f t="shared" si="3"/>
        <v>0.93535426180023762</v>
      </c>
      <c r="AF19">
        <f t="shared" si="3"/>
        <v>0.93535426180023762</v>
      </c>
      <c r="AG19">
        <f t="shared" si="3"/>
        <v>0.93535426180023762</v>
      </c>
      <c r="AH19">
        <f t="shared" si="3"/>
        <v>0.93535426180023762</v>
      </c>
      <c r="AI19">
        <f t="shared" si="3"/>
        <v>0.93535426180023762</v>
      </c>
      <c r="AJ19">
        <f t="shared" si="3"/>
        <v>0.93535426180023762</v>
      </c>
      <c r="AK19">
        <f t="shared" si="3"/>
        <v>0.93535426180023762</v>
      </c>
      <c r="AL19">
        <f t="shared" si="3"/>
        <v>0.93535426180023762</v>
      </c>
      <c r="AM19">
        <f t="shared" si="3"/>
        <v>0.93535426180023762</v>
      </c>
      <c r="AN19">
        <f t="shared" si="3"/>
        <v>0.93535426180023762</v>
      </c>
      <c r="AO19">
        <f t="shared" si="3"/>
        <v>0.93535426180023762</v>
      </c>
      <c r="AP19">
        <f t="shared" si="4"/>
        <v>0.93535426180023762</v>
      </c>
    </row>
    <row r="20" spans="1:42" x14ac:dyDescent="0.2">
      <c r="A20" t="s">
        <v>391</v>
      </c>
      <c r="B20">
        <f>'Start Year Energy'!J74</f>
        <v>0.98775189383261852</v>
      </c>
      <c r="C20">
        <f t="shared" si="2"/>
        <v>0.98775189383261852</v>
      </c>
      <c r="D20">
        <f t="shared" si="2"/>
        <v>0.98775189383261852</v>
      </c>
      <c r="E20">
        <f t="shared" si="2"/>
        <v>0.98775189383261852</v>
      </c>
      <c r="F20">
        <f t="shared" si="2"/>
        <v>0.98775189383261852</v>
      </c>
      <c r="G20">
        <f t="shared" si="2"/>
        <v>0.98775189383261852</v>
      </c>
      <c r="H20">
        <f t="shared" si="2"/>
        <v>0.98775189383261852</v>
      </c>
      <c r="I20">
        <f t="shared" si="2"/>
        <v>0.98775189383261852</v>
      </c>
      <c r="J20">
        <f t="shared" si="2"/>
        <v>0.98775189383261852</v>
      </c>
      <c r="K20">
        <f t="shared" si="2"/>
        <v>0.98775189383261852</v>
      </c>
      <c r="L20">
        <f t="shared" si="2"/>
        <v>0.98775189383261852</v>
      </c>
      <c r="M20">
        <f t="shared" si="2"/>
        <v>0.98775189383261852</v>
      </c>
      <c r="N20">
        <f t="shared" si="2"/>
        <v>0.98775189383261852</v>
      </c>
      <c r="O20">
        <f t="shared" si="2"/>
        <v>0.98775189383261852</v>
      </c>
      <c r="P20">
        <f t="shared" si="2"/>
        <v>0.98775189383261852</v>
      </c>
      <c r="Q20">
        <f t="shared" si="2"/>
        <v>0.98775189383261852</v>
      </c>
      <c r="R20">
        <f t="shared" si="2"/>
        <v>0.98775189383261852</v>
      </c>
      <c r="S20">
        <f t="shared" si="3"/>
        <v>0.98775189383261852</v>
      </c>
      <c r="T20">
        <f t="shared" si="3"/>
        <v>0.98775189383261852</v>
      </c>
      <c r="U20">
        <f t="shared" si="3"/>
        <v>0.98775189383261852</v>
      </c>
      <c r="V20">
        <f t="shared" si="3"/>
        <v>0.98775189383261852</v>
      </c>
      <c r="W20">
        <f t="shared" si="3"/>
        <v>0.98775189383261852</v>
      </c>
      <c r="X20">
        <f t="shared" si="3"/>
        <v>0.98775189383261852</v>
      </c>
      <c r="Y20">
        <f t="shared" si="3"/>
        <v>0.98775189383261852</v>
      </c>
      <c r="Z20">
        <f t="shared" si="3"/>
        <v>0.98775189383261852</v>
      </c>
      <c r="AA20">
        <f t="shared" si="3"/>
        <v>0.98775189383261852</v>
      </c>
      <c r="AB20">
        <f t="shared" si="3"/>
        <v>0.98775189383261852</v>
      </c>
      <c r="AC20">
        <f t="shared" si="3"/>
        <v>0.98775189383261852</v>
      </c>
      <c r="AD20">
        <f t="shared" si="3"/>
        <v>0.98775189383261852</v>
      </c>
      <c r="AE20">
        <f t="shared" si="3"/>
        <v>0.98775189383261852</v>
      </c>
      <c r="AF20">
        <f t="shared" si="3"/>
        <v>0.98775189383261852</v>
      </c>
      <c r="AG20">
        <f t="shared" si="3"/>
        <v>0.98775189383261852</v>
      </c>
      <c r="AH20">
        <f t="shared" si="3"/>
        <v>0.98775189383261852</v>
      </c>
      <c r="AI20">
        <f t="shared" si="3"/>
        <v>0.98775189383261852</v>
      </c>
      <c r="AJ20">
        <f t="shared" si="3"/>
        <v>0.98775189383261852</v>
      </c>
      <c r="AK20">
        <f t="shared" si="3"/>
        <v>0.98775189383261852</v>
      </c>
      <c r="AL20">
        <f t="shared" si="3"/>
        <v>0.98775189383261852</v>
      </c>
      <c r="AM20">
        <f t="shared" si="3"/>
        <v>0.98775189383261852</v>
      </c>
      <c r="AN20">
        <f t="shared" si="3"/>
        <v>0.98775189383261852</v>
      </c>
      <c r="AO20">
        <f t="shared" si="3"/>
        <v>0.98775189383261852</v>
      </c>
      <c r="AP20">
        <f t="shared" si="4"/>
        <v>0.98775189383261852</v>
      </c>
    </row>
    <row r="21" spans="1:42" x14ac:dyDescent="0.2">
      <c r="A21" t="s">
        <v>392</v>
      </c>
      <c r="B21">
        <f>'Start Year Energy'!J75</f>
        <v>0.86073489635235045</v>
      </c>
      <c r="C21">
        <f t="shared" si="2"/>
        <v>0.86073489635235045</v>
      </c>
      <c r="D21">
        <f t="shared" si="2"/>
        <v>0.86073489635235045</v>
      </c>
      <c r="E21">
        <f t="shared" si="2"/>
        <v>0.86073489635235045</v>
      </c>
      <c r="F21">
        <f t="shared" si="2"/>
        <v>0.86073489635235045</v>
      </c>
      <c r="G21">
        <f t="shared" si="2"/>
        <v>0.86073489635235045</v>
      </c>
      <c r="H21">
        <f t="shared" si="2"/>
        <v>0.86073489635235045</v>
      </c>
      <c r="I21">
        <f t="shared" si="2"/>
        <v>0.86073489635235045</v>
      </c>
      <c r="J21">
        <f t="shared" si="2"/>
        <v>0.86073489635235045</v>
      </c>
      <c r="K21">
        <f t="shared" si="2"/>
        <v>0.86073489635235045</v>
      </c>
      <c r="L21">
        <f t="shared" si="2"/>
        <v>0.86073489635235045</v>
      </c>
      <c r="M21">
        <f t="shared" si="2"/>
        <v>0.86073489635235045</v>
      </c>
      <c r="N21">
        <f t="shared" si="2"/>
        <v>0.86073489635235045</v>
      </c>
      <c r="O21">
        <f t="shared" si="2"/>
        <v>0.86073489635235045</v>
      </c>
      <c r="P21">
        <f t="shared" si="2"/>
        <v>0.86073489635235045</v>
      </c>
      <c r="Q21">
        <f t="shared" si="2"/>
        <v>0.86073489635235045</v>
      </c>
      <c r="R21">
        <f t="shared" si="2"/>
        <v>0.86073489635235045</v>
      </c>
      <c r="S21">
        <f t="shared" si="3"/>
        <v>0.86073489635235045</v>
      </c>
      <c r="T21">
        <f t="shared" si="3"/>
        <v>0.86073489635235045</v>
      </c>
      <c r="U21">
        <f t="shared" si="3"/>
        <v>0.86073489635235045</v>
      </c>
      <c r="V21">
        <f t="shared" si="3"/>
        <v>0.86073489635235045</v>
      </c>
      <c r="W21">
        <f t="shared" si="3"/>
        <v>0.86073489635235045</v>
      </c>
      <c r="X21">
        <f t="shared" si="3"/>
        <v>0.86073489635235045</v>
      </c>
      <c r="Y21">
        <f t="shared" si="3"/>
        <v>0.86073489635235045</v>
      </c>
      <c r="Z21">
        <f t="shared" si="3"/>
        <v>0.86073489635235045</v>
      </c>
      <c r="AA21">
        <f t="shared" si="3"/>
        <v>0.86073489635235045</v>
      </c>
      <c r="AB21">
        <f t="shared" si="3"/>
        <v>0.86073489635235045</v>
      </c>
      <c r="AC21">
        <f t="shared" si="3"/>
        <v>0.86073489635235045</v>
      </c>
      <c r="AD21">
        <f t="shared" si="3"/>
        <v>0.86073489635235045</v>
      </c>
      <c r="AE21">
        <f t="shared" si="3"/>
        <v>0.86073489635235045</v>
      </c>
      <c r="AF21">
        <f t="shared" si="3"/>
        <v>0.86073489635235045</v>
      </c>
      <c r="AG21">
        <f t="shared" si="3"/>
        <v>0.86073489635235045</v>
      </c>
      <c r="AH21">
        <f t="shared" si="3"/>
        <v>0.86073489635235045</v>
      </c>
      <c r="AI21">
        <f t="shared" si="3"/>
        <v>0.86073489635235045</v>
      </c>
      <c r="AJ21">
        <f t="shared" si="3"/>
        <v>0.86073489635235045</v>
      </c>
      <c r="AK21">
        <f t="shared" si="3"/>
        <v>0.86073489635235045</v>
      </c>
      <c r="AL21">
        <f t="shared" si="3"/>
        <v>0.86073489635235045</v>
      </c>
      <c r="AM21">
        <f t="shared" si="3"/>
        <v>0.86073489635235045</v>
      </c>
      <c r="AN21">
        <f t="shared" si="3"/>
        <v>0.86073489635235045</v>
      </c>
      <c r="AO21">
        <f t="shared" si="3"/>
        <v>0.86073489635235045</v>
      </c>
      <c r="AP21">
        <f t="shared" si="4"/>
        <v>0.86073489635235045</v>
      </c>
    </row>
    <row r="22" spans="1:42" x14ac:dyDescent="0.2">
      <c r="A22" t="s">
        <v>393</v>
      </c>
      <c r="B22">
        <f>'Start Year Energy'!J76</f>
        <v>0.9293437440554233</v>
      </c>
      <c r="C22">
        <f t="shared" si="2"/>
        <v>0.9293437440554233</v>
      </c>
      <c r="D22">
        <f t="shared" si="2"/>
        <v>0.9293437440554233</v>
      </c>
      <c r="E22">
        <f t="shared" si="2"/>
        <v>0.9293437440554233</v>
      </c>
      <c r="F22">
        <f t="shared" si="2"/>
        <v>0.9293437440554233</v>
      </c>
      <c r="G22">
        <f t="shared" si="2"/>
        <v>0.9293437440554233</v>
      </c>
      <c r="H22">
        <f t="shared" si="2"/>
        <v>0.9293437440554233</v>
      </c>
      <c r="I22">
        <f t="shared" si="2"/>
        <v>0.9293437440554233</v>
      </c>
      <c r="J22">
        <f t="shared" si="2"/>
        <v>0.9293437440554233</v>
      </c>
      <c r="K22">
        <f t="shared" si="2"/>
        <v>0.9293437440554233</v>
      </c>
      <c r="L22">
        <f t="shared" si="2"/>
        <v>0.9293437440554233</v>
      </c>
      <c r="M22">
        <f t="shared" si="2"/>
        <v>0.9293437440554233</v>
      </c>
      <c r="N22">
        <f t="shared" si="2"/>
        <v>0.9293437440554233</v>
      </c>
      <c r="O22">
        <f t="shared" si="2"/>
        <v>0.9293437440554233</v>
      </c>
      <c r="P22">
        <f t="shared" si="2"/>
        <v>0.9293437440554233</v>
      </c>
      <c r="Q22">
        <f t="shared" si="2"/>
        <v>0.9293437440554233</v>
      </c>
      <c r="R22">
        <f t="shared" si="2"/>
        <v>0.9293437440554233</v>
      </c>
      <c r="S22">
        <f t="shared" si="3"/>
        <v>0.9293437440554233</v>
      </c>
      <c r="T22">
        <f t="shared" si="3"/>
        <v>0.9293437440554233</v>
      </c>
      <c r="U22">
        <f t="shared" si="3"/>
        <v>0.9293437440554233</v>
      </c>
      <c r="V22">
        <f t="shared" si="3"/>
        <v>0.9293437440554233</v>
      </c>
      <c r="W22">
        <f t="shared" si="3"/>
        <v>0.9293437440554233</v>
      </c>
      <c r="X22">
        <f t="shared" si="3"/>
        <v>0.9293437440554233</v>
      </c>
      <c r="Y22">
        <f t="shared" si="3"/>
        <v>0.9293437440554233</v>
      </c>
      <c r="Z22">
        <f t="shared" si="3"/>
        <v>0.9293437440554233</v>
      </c>
      <c r="AA22">
        <f t="shared" si="3"/>
        <v>0.9293437440554233</v>
      </c>
      <c r="AB22">
        <f t="shared" si="3"/>
        <v>0.9293437440554233</v>
      </c>
      <c r="AC22">
        <f t="shared" si="3"/>
        <v>0.9293437440554233</v>
      </c>
      <c r="AD22">
        <f t="shared" si="3"/>
        <v>0.9293437440554233</v>
      </c>
      <c r="AE22">
        <f t="shared" si="3"/>
        <v>0.9293437440554233</v>
      </c>
      <c r="AF22">
        <f t="shared" si="3"/>
        <v>0.9293437440554233</v>
      </c>
      <c r="AG22">
        <f t="shared" si="3"/>
        <v>0.9293437440554233</v>
      </c>
      <c r="AH22">
        <f t="shared" si="3"/>
        <v>0.9293437440554233</v>
      </c>
      <c r="AI22">
        <f t="shared" si="3"/>
        <v>0.9293437440554233</v>
      </c>
      <c r="AJ22">
        <f t="shared" si="3"/>
        <v>0.9293437440554233</v>
      </c>
      <c r="AK22">
        <f t="shared" si="3"/>
        <v>0.9293437440554233</v>
      </c>
      <c r="AL22">
        <f t="shared" si="3"/>
        <v>0.9293437440554233</v>
      </c>
      <c r="AM22">
        <f t="shared" si="3"/>
        <v>0.9293437440554233</v>
      </c>
      <c r="AN22">
        <f t="shared" si="3"/>
        <v>0.9293437440554233</v>
      </c>
      <c r="AO22">
        <f t="shared" si="3"/>
        <v>0.9293437440554233</v>
      </c>
      <c r="AP22">
        <f t="shared" si="4"/>
        <v>0.9293437440554233</v>
      </c>
    </row>
    <row r="23" spans="1:42" x14ac:dyDescent="0.2">
      <c r="A23" t="s">
        <v>394</v>
      </c>
      <c r="B23">
        <f>'Start Year Energy'!J77</f>
        <v>0.8946179475624032</v>
      </c>
      <c r="C23">
        <f t="shared" si="2"/>
        <v>0.8946179475624032</v>
      </c>
      <c r="D23">
        <f t="shared" si="2"/>
        <v>0.8946179475624032</v>
      </c>
      <c r="E23">
        <f t="shared" si="2"/>
        <v>0.8946179475624032</v>
      </c>
      <c r="F23">
        <f t="shared" si="2"/>
        <v>0.8946179475624032</v>
      </c>
      <c r="G23">
        <f t="shared" si="2"/>
        <v>0.8946179475624032</v>
      </c>
      <c r="H23">
        <f t="shared" si="2"/>
        <v>0.8946179475624032</v>
      </c>
      <c r="I23">
        <f t="shared" si="2"/>
        <v>0.8946179475624032</v>
      </c>
      <c r="J23">
        <f t="shared" si="2"/>
        <v>0.8946179475624032</v>
      </c>
      <c r="K23">
        <f t="shared" si="2"/>
        <v>0.8946179475624032</v>
      </c>
      <c r="L23">
        <f t="shared" si="2"/>
        <v>0.8946179475624032</v>
      </c>
      <c r="M23">
        <f t="shared" si="2"/>
        <v>0.8946179475624032</v>
      </c>
      <c r="N23">
        <f t="shared" si="2"/>
        <v>0.8946179475624032</v>
      </c>
      <c r="O23">
        <f t="shared" si="2"/>
        <v>0.8946179475624032</v>
      </c>
      <c r="P23">
        <f t="shared" si="2"/>
        <v>0.8946179475624032</v>
      </c>
      <c r="Q23">
        <f t="shared" si="2"/>
        <v>0.8946179475624032</v>
      </c>
      <c r="R23">
        <f t="shared" si="2"/>
        <v>0.8946179475624032</v>
      </c>
      <c r="S23">
        <f t="shared" si="3"/>
        <v>0.8946179475624032</v>
      </c>
      <c r="T23">
        <f t="shared" si="3"/>
        <v>0.8946179475624032</v>
      </c>
      <c r="U23">
        <f t="shared" si="3"/>
        <v>0.8946179475624032</v>
      </c>
      <c r="V23">
        <f t="shared" si="3"/>
        <v>0.8946179475624032</v>
      </c>
      <c r="W23">
        <f t="shared" si="3"/>
        <v>0.8946179475624032</v>
      </c>
      <c r="X23">
        <f t="shared" si="3"/>
        <v>0.8946179475624032</v>
      </c>
      <c r="Y23">
        <f t="shared" si="3"/>
        <v>0.8946179475624032</v>
      </c>
      <c r="Z23">
        <f t="shared" si="3"/>
        <v>0.8946179475624032</v>
      </c>
      <c r="AA23">
        <f t="shared" si="3"/>
        <v>0.8946179475624032</v>
      </c>
      <c r="AB23">
        <f t="shared" si="3"/>
        <v>0.8946179475624032</v>
      </c>
      <c r="AC23">
        <f t="shared" si="3"/>
        <v>0.8946179475624032</v>
      </c>
      <c r="AD23">
        <f t="shared" si="3"/>
        <v>0.8946179475624032</v>
      </c>
      <c r="AE23">
        <f t="shared" si="3"/>
        <v>0.8946179475624032</v>
      </c>
      <c r="AF23">
        <f t="shared" si="3"/>
        <v>0.8946179475624032</v>
      </c>
      <c r="AG23">
        <f t="shared" si="3"/>
        <v>0.8946179475624032</v>
      </c>
      <c r="AH23">
        <f t="shared" si="3"/>
        <v>0.8946179475624032</v>
      </c>
      <c r="AI23">
        <f t="shared" si="3"/>
        <v>0.8946179475624032</v>
      </c>
      <c r="AJ23">
        <f t="shared" si="3"/>
        <v>0.8946179475624032</v>
      </c>
      <c r="AK23">
        <f t="shared" si="3"/>
        <v>0.8946179475624032</v>
      </c>
      <c r="AL23">
        <f t="shared" si="3"/>
        <v>0.8946179475624032</v>
      </c>
      <c r="AM23">
        <f t="shared" si="3"/>
        <v>0.8946179475624032</v>
      </c>
      <c r="AN23">
        <f t="shared" si="3"/>
        <v>0.8946179475624032</v>
      </c>
      <c r="AO23">
        <f t="shared" si="3"/>
        <v>0.8946179475624032</v>
      </c>
      <c r="AP23">
        <f t="shared" si="4"/>
        <v>0.8946179475624032</v>
      </c>
    </row>
    <row r="24" spans="1:42" x14ac:dyDescent="0.2">
      <c r="A24" t="s">
        <v>395</v>
      </c>
      <c r="B24">
        <f>'Start Year Energy'!J78</f>
        <v>3.5144582837710936E-2</v>
      </c>
      <c r="C24">
        <f t="shared" si="2"/>
        <v>3.5144582837710936E-2</v>
      </c>
      <c r="D24">
        <f t="shared" si="2"/>
        <v>3.5144582837710936E-2</v>
      </c>
      <c r="E24">
        <f t="shared" si="2"/>
        <v>3.5144582837710936E-2</v>
      </c>
      <c r="F24">
        <f t="shared" si="2"/>
        <v>3.5144582837710936E-2</v>
      </c>
      <c r="G24">
        <f t="shared" si="2"/>
        <v>3.5144582837710936E-2</v>
      </c>
      <c r="H24">
        <f t="shared" si="2"/>
        <v>3.5144582837710936E-2</v>
      </c>
      <c r="I24">
        <f t="shared" si="2"/>
        <v>3.5144582837710936E-2</v>
      </c>
      <c r="J24">
        <f t="shared" si="2"/>
        <v>3.5144582837710936E-2</v>
      </c>
      <c r="K24">
        <f t="shared" si="2"/>
        <v>3.5144582837710936E-2</v>
      </c>
      <c r="L24">
        <f t="shared" si="2"/>
        <v>3.5144582837710936E-2</v>
      </c>
      <c r="M24">
        <f t="shared" si="2"/>
        <v>3.5144582837710936E-2</v>
      </c>
      <c r="N24">
        <f t="shared" si="2"/>
        <v>3.5144582837710936E-2</v>
      </c>
      <c r="O24">
        <f t="shared" si="2"/>
        <v>3.5144582837710936E-2</v>
      </c>
      <c r="P24">
        <f t="shared" si="2"/>
        <v>3.5144582837710936E-2</v>
      </c>
      <c r="Q24">
        <f t="shared" si="2"/>
        <v>3.5144582837710936E-2</v>
      </c>
      <c r="R24">
        <f t="shared" si="2"/>
        <v>3.5144582837710936E-2</v>
      </c>
      <c r="S24">
        <f t="shared" si="3"/>
        <v>3.5144582837710936E-2</v>
      </c>
      <c r="T24">
        <f t="shared" si="3"/>
        <v>3.5144582837710936E-2</v>
      </c>
      <c r="U24">
        <f t="shared" si="3"/>
        <v>3.5144582837710936E-2</v>
      </c>
      <c r="V24">
        <f t="shared" si="3"/>
        <v>3.5144582837710936E-2</v>
      </c>
      <c r="W24">
        <f t="shared" si="3"/>
        <v>3.5144582837710936E-2</v>
      </c>
      <c r="X24">
        <f t="shared" si="3"/>
        <v>3.5144582837710936E-2</v>
      </c>
      <c r="Y24">
        <f t="shared" si="3"/>
        <v>3.5144582837710936E-2</v>
      </c>
      <c r="Z24">
        <f t="shared" si="3"/>
        <v>3.5144582837710936E-2</v>
      </c>
      <c r="AA24">
        <f t="shared" si="3"/>
        <v>3.5144582837710936E-2</v>
      </c>
      <c r="AB24">
        <f t="shared" si="3"/>
        <v>3.5144582837710936E-2</v>
      </c>
      <c r="AC24">
        <f t="shared" si="3"/>
        <v>3.5144582837710936E-2</v>
      </c>
      <c r="AD24">
        <f t="shared" si="3"/>
        <v>3.5144582837710936E-2</v>
      </c>
      <c r="AE24">
        <f t="shared" si="3"/>
        <v>3.5144582837710936E-2</v>
      </c>
      <c r="AF24">
        <f t="shared" ref="AF24:AP26" si="5">$B24</f>
        <v>3.5144582837710936E-2</v>
      </c>
      <c r="AG24">
        <f t="shared" si="5"/>
        <v>3.5144582837710936E-2</v>
      </c>
      <c r="AH24">
        <f t="shared" si="5"/>
        <v>3.5144582837710936E-2</v>
      </c>
      <c r="AI24">
        <f t="shared" si="5"/>
        <v>3.5144582837710936E-2</v>
      </c>
      <c r="AJ24">
        <f t="shared" si="5"/>
        <v>3.5144582837710936E-2</v>
      </c>
      <c r="AK24">
        <f t="shared" si="5"/>
        <v>3.5144582837710936E-2</v>
      </c>
      <c r="AL24">
        <f t="shared" si="5"/>
        <v>3.5144582837710936E-2</v>
      </c>
      <c r="AM24">
        <f t="shared" si="5"/>
        <v>3.5144582837710936E-2</v>
      </c>
      <c r="AN24">
        <f t="shared" si="5"/>
        <v>3.5144582837710936E-2</v>
      </c>
      <c r="AO24">
        <f t="shared" si="5"/>
        <v>3.5144582837710936E-2</v>
      </c>
      <c r="AP24">
        <f t="shared" si="5"/>
        <v>3.5144582837710936E-2</v>
      </c>
    </row>
    <row r="25" spans="1:42" x14ac:dyDescent="0.2">
      <c r="A25" t="s">
        <v>396</v>
      </c>
      <c r="B25">
        <f>'Start Year Energy'!J79</f>
        <v>0.96203529115877695</v>
      </c>
      <c r="C25">
        <f t="shared" si="2"/>
        <v>0.96203529115877695</v>
      </c>
      <c r="D25">
        <f t="shared" si="2"/>
        <v>0.96203529115877695</v>
      </c>
      <c r="E25">
        <f t="shared" si="2"/>
        <v>0.96203529115877695</v>
      </c>
      <c r="F25">
        <f t="shared" si="2"/>
        <v>0.96203529115877695</v>
      </c>
      <c r="G25">
        <f t="shared" si="2"/>
        <v>0.96203529115877695</v>
      </c>
      <c r="H25">
        <f t="shared" si="2"/>
        <v>0.96203529115877695</v>
      </c>
      <c r="I25">
        <f t="shared" si="2"/>
        <v>0.96203529115877695</v>
      </c>
      <c r="J25">
        <f t="shared" si="2"/>
        <v>0.96203529115877695</v>
      </c>
      <c r="K25">
        <f t="shared" si="2"/>
        <v>0.96203529115877695</v>
      </c>
      <c r="L25">
        <f t="shared" si="2"/>
        <v>0.96203529115877695</v>
      </c>
      <c r="M25">
        <f t="shared" si="2"/>
        <v>0.96203529115877695</v>
      </c>
      <c r="N25">
        <f t="shared" si="2"/>
        <v>0.96203529115877695</v>
      </c>
      <c r="O25">
        <f t="shared" si="2"/>
        <v>0.96203529115877695</v>
      </c>
      <c r="P25">
        <f t="shared" si="2"/>
        <v>0.96203529115877695</v>
      </c>
      <c r="Q25">
        <f t="shared" si="2"/>
        <v>0.96203529115877695</v>
      </c>
      <c r="R25">
        <f t="shared" si="2"/>
        <v>0.96203529115877695</v>
      </c>
      <c r="S25">
        <f t="shared" ref="S25:AF25" si="6">$B25</f>
        <v>0.96203529115877695</v>
      </c>
      <c r="T25">
        <f t="shared" si="6"/>
        <v>0.96203529115877695</v>
      </c>
      <c r="U25">
        <f t="shared" si="6"/>
        <v>0.96203529115877695</v>
      </c>
      <c r="V25">
        <f t="shared" si="6"/>
        <v>0.96203529115877695</v>
      </c>
      <c r="W25">
        <f t="shared" si="6"/>
        <v>0.96203529115877695</v>
      </c>
      <c r="X25">
        <f t="shared" si="6"/>
        <v>0.96203529115877695</v>
      </c>
      <c r="Y25">
        <f t="shared" si="6"/>
        <v>0.96203529115877695</v>
      </c>
      <c r="Z25">
        <f t="shared" si="6"/>
        <v>0.96203529115877695</v>
      </c>
      <c r="AA25">
        <f t="shared" si="6"/>
        <v>0.96203529115877695</v>
      </c>
      <c r="AB25">
        <f t="shared" si="6"/>
        <v>0.96203529115877695</v>
      </c>
      <c r="AC25">
        <f t="shared" si="6"/>
        <v>0.96203529115877695</v>
      </c>
      <c r="AD25">
        <f t="shared" si="6"/>
        <v>0.96203529115877695</v>
      </c>
      <c r="AE25">
        <f t="shared" si="6"/>
        <v>0.96203529115877695</v>
      </c>
      <c r="AF25">
        <f t="shared" si="6"/>
        <v>0.96203529115877695</v>
      </c>
      <c r="AG25">
        <f t="shared" si="5"/>
        <v>0.96203529115877695</v>
      </c>
      <c r="AH25">
        <f t="shared" si="5"/>
        <v>0.96203529115877695</v>
      </c>
      <c r="AI25">
        <f t="shared" si="5"/>
        <v>0.96203529115877695</v>
      </c>
      <c r="AJ25">
        <f t="shared" si="5"/>
        <v>0.96203529115877695</v>
      </c>
      <c r="AK25">
        <f t="shared" si="5"/>
        <v>0.96203529115877695</v>
      </c>
      <c r="AL25">
        <f t="shared" si="5"/>
        <v>0.96203529115877695</v>
      </c>
      <c r="AM25">
        <f t="shared" si="5"/>
        <v>0.96203529115877695</v>
      </c>
      <c r="AN25">
        <f t="shared" si="5"/>
        <v>0.96203529115877695</v>
      </c>
      <c r="AO25">
        <f t="shared" si="5"/>
        <v>0.96203529115877695</v>
      </c>
      <c r="AP25">
        <f t="shared" si="5"/>
        <v>0.96203529115877695</v>
      </c>
    </row>
    <row r="26" spans="1:42" x14ac:dyDescent="0.2">
      <c r="A26" t="s">
        <v>397</v>
      </c>
      <c r="B26">
        <f>'Start Year Energy'!J80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0D66D-7A55-4824-A479-99CAA861E814}">
  <sheetPr codeName="Sheet30">
    <tabColor theme="4"/>
  </sheetPr>
  <dimension ref="A1:AP26"/>
  <sheetViews>
    <sheetView tabSelected="1" workbookViewId="0">
      <selection activeCell="K23" sqref="K23"/>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Energy'!D56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Energy'!D57</f>
        <v>0.98124385767335265</v>
      </c>
      <c r="C3">
        <f t="shared" ref="C3:R26" si="2">$B3</f>
        <v>0.98124385767335265</v>
      </c>
      <c r="D3">
        <f t="shared" si="2"/>
        <v>0.98124385767335265</v>
      </c>
      <c r="E3">
        <f t="shared" si="2"/>
        <v>0.98124385767335265</v>
      </c>
      <c r="F3">
        <f t="shared" si="2"/>
        <v>0.98124385767335265</v>
      </c>
      <c r="G3">
        <f t="shared" si="2"/>
        <v>0.98124385767335265</v>
      </c>
      <c r="H3">
        <f t="shared" si="2"/>
        <v>0.98124385767335265</v>
      </c>
      <c r="I3">
        <f t="shared" si="2"/>
        <v>0.98124385767335265</v>
      </c>
      <c r="J3">
        <f t="shared" si="2"/>
        <v>0.98124385767335265</v>
      </c>
      <c r="K3">
        <f t="shared" si="2"/>
        <v>0.98124385767335265</v>
      </c>
      <c r="L3">
        <f t="shared" si="2"/>
        <v>0.98124385767335265</v>
      </c>
      <c r="M3">
        <f t="shared" si="2"/>
        <v>0.98124385767335265</v>
      </c>
      <c r="N3">
        <f t="shared" si="2"/>
        <v>0.98124385767335265</v>
      </c>
      <c r="O3">
        <f t="shared" si="2"/>
        <v>0.98124385767335265</v>
      </c>
      <c r="P3">
        <f t="shared" si="2"/>
        <v>0.98124385767335265</v>
      </c>
      <c r="Q3">
        <f t="shared" si="2"/>
        <v>0.98124385767335265</v>
      </c>
      <c r="R3">
        <f t="shared" si="2"/>
        <v>0.98124385767335265</v>
      </c>
      <c r="S3">
        <f t="shared" si="0"/>
        <v>0.98124385767335265</v>
      </c>
      <c r="T3">
        <f t="shared" si="0"/>
        <v>0.98124385767335265</v>
      </c>
      <c r="U3">
        <f t="shared" si="0"/>
        <v>0.98124385767335265</v>
      </c>
      <c r="V3">
        <f t="shared" si="0"/>
        <v>0.98124385767335265</v>
      </c>
      <c r="W3">
        <f t="shared" si="0"/>
        <v>0.98124385767335265</v>
      </c>
      <c r="X3">
        <f t="shared" si="0"/>
        <v>0.98124385767335265</v>
      </c>
      <c r="Y3">
        <f t="shared" si="0"/>
        <v>0.98124385767335265</v>
      </c>
      <c r="Z3">
        <f t="shared" si="0"/>
        <v>0.98124385767335265</v>
      </c>
      <c r="AA3">
        <f t="shared" si="0"/>
        <v>0.98124385767335265</v>
      </c>
      <c r="AB3">
        <f t="shared" si="0"/>
        <v>0.98124385767335265</v>
      </c>
      <c r="AC3">
        <f t="shared" si="0"/>
        <v>0.98124385767335265</v>
      </c>
      <c r="AD3">
        <f t="shared" si="0"/>
        <v>0.98124385767335265</v>
      </c>
      <c r="AE3">
        <f t="shared" si="0"/>
        <v>0.98124385767335265</v>
      </c>
      <c r="AF3">
        <f t="shared" si="0"/>
        <v>0.98124385767335265</v>
      </c>
      <c r="AG3">
        <f t="shared" si="1"/>
        <v>0.98124385767335265</v>
      </c>
      <c r="AH3">
        <f t="shared" si="1"/>
        <v>0.98124385767335265</v>
      </c>
      <c r="AI3">
        <f t="shared" si="1"/>
        <v>0.98124385767335265</v>
      </c>
      <c r="AJ3">
        <f t="shared" si="1"/>
        <v>0.98124385767335265</v>
      </c>
      <c r="AK3">
        <f t="shared" si="1"/>
        <v>0.98124385767335265</v>
      </c>
      <c r="AL3">
        <f t="shared" si="1"/>
        <v>0.98124385767335265</v>
      </c>
      <c r="AM3">
        <f t="shared" si="1"/>
        <v>0.98124385767335265</v>
      </c>
      <c r="AN3">
        <f t="shared" si="1"/>
        <v>0.98124385767335265</v>
      </c>
      <c r="AO3">
        <f t="shared" si="1"/>
        <v>0.98124385767335265</v>
      </c>
      <c r="AP3">
        <f t="shared" si="1"/>
        <v>0.98124385767335265</v>
      </c>
    </row>
    <row r="4" spans="1:42" x14ac:dyDescent="0.2">
      <c r="A4" t="s">
        <v>375</v>
      </c>
      <c r="B4">
        <f>'Start Year Energy'!D58</f>
        <v>0.97948383073157408</v>
      </c>
      <c r="C4">
        <f t="shared" si="2"/>
        <v>0.97948383073157408</v>
      </c>
      <c r="D4">
        <f t="shared" si="0"/>
        <v>0.97948383073157408</v>
      </c>
      <c r="E4">
        <f t="shared" si="0"/>
        <v>0.97948383073157408</v>
      </c>
      <c r="F4">
        <f t="shared" si="0"/>
        <v>0.97948383073157408</v>
      </c>
      <c r="G4">
        <f t="shared" si="0"/>
        <v>0.97948383073157408</v>
      </c>
      <c r="H4">
        <f t="shared" si="0"/>
        <v>0.97948383073157408</v>
      </c>
      <c r="I4">
        <f t="shared" si="0"/>
        <v>0.97948383073157408</v>
      </c>
      <c r="J4">
        <f t="shared" si="0"/>
        <v>0.97948383073157408</v>
      </c>
      <c r="K4">
        <f t="shared" si="0"/>
        <v>0.97948383073157408</v>
      </c>
      <c r="L4">
        <f t="shared" si="0"/>
        <v>0.97948383073157408</v>
      </c>
      <c r="M4">
        <f t="shared" si="0"/>
        <v>0.97948383073157408</v>
      </c>
      <c r="N4">
        <f t="shared" si="0"/>
        <v>0.97948383073157408</v>
      </c>
      <c r="O4">
        <f t="shared" si="0"/>
        <v>0.97948383073157408</v>
      </c>
      <c r="P4">
        <f t="shared" si="0"/>
        <v>0.97948383073157408</v>
      </c>
      <c r="Q4">
        <f t="shared" si="0"/>
        <v>0.97948383073157408</v>
      </c>
      <c r="R4">
        <f t="shared" si="0"/>
        <v>0.97948383073157408</v>
      </c>
      <c r="S4">
        <f t="shared" si="0"/>
        <v>0.97948383073157408</v>
      </c>
      <c r="T4">
        <f t="shared" si="0"/>
        <v>0.97948383073157408</v>
      </c>
      <c r="U4">
        <f t="shared" si="0"/>
        <v>0.97948383073157408</v>
      </c>
      <c r="V4">
        <f t="shared" si="0"/>
        <v>0.97948383073157408</v>
      </c>
      <c r="W4">
        <f t="shared" si="0"/>
        <v>0.97948383073157408</v>
      </c>
      <c r="X4">
        <f t="shared" si="0"/>
        <v>0.97948383073157408</v>
      </c>
      <c r="Y4">
        <f t="shared" si="0"/>
        <v>0.97948383073157408</v>
      </c>
      <c r="Z4">
        <f t="shared" si="0"/>
        <v>0.97948383073157408</v>
      </c>
      <c r="AA4">
        <f t="shared" si="0"/>
        <v>0.97948383073157408</v>
      </c>
      <c r="AB4">
        <f t="shared" si="0"/>
        <v>0.97948383073157408</v>
      </c>
      <c r="AC4">
        <f t="shared" si="0"/>
        <v>0.97948383073157408</v>
      </c>
      <c r="AD4">
        <f t="shared" si="0"/>
        <v>0.97948383073157408</v>
      </c>
      <c r="AE4">
        <f t="shared" si="0"/>
        <v>0.97948383073157408</v>
      </c>
      <c r="AF4">
        <f t="shared" si="0"/>
        <v>0.97948383073157408</v>
      </c>
      <c r="AG4">
        <f t="shared" si="1"/>
        <v>0.97948383073157408</v>
      </c>
      <c r="AH4">
        <f t="shared" si="1"/>
        <v>0.97948383073157408</v>
      </c>
      <c r="AI4">
        <f t="shared" si="1"/>
        <v>0.97948383073157408</v>
      </c>
      <c r="AJ4">
        <f t="shared" si="1"/>
        <v>0.97948383073157408</v>
      </c>
      <c r="AK4">
        <f t="shared" si="1"/>
        <v>0.97948383073157408</v>
      </c>
      <c r="AL4">
        <f t="shared" si="1"/>
        <v>0.97948383073157408</v>
      </c>
      <c r="AM4">
        <f t="shared" si="1"/>
        <v>0.97948383073157408</v>
      </c>
      <c r="AN4">
        <f t="shared" si="1"/>
        <v>0.97948383073157408</v>
      </c>
      <c r="AO4">
        <f t="shared" si="1"/>
        <v>0.97948383073157408</v>
      </c>
      <c r="AP4">
        <f t="shared" si="1"/>
        <v>0.97948383073157408</v>
      </c>
    </row>
    <row r="5" spans="1:42" x14ac:dyDescent="0.2">
      <c r="A5" t="s">
        <v>376</v>
      </c>
      <c r="B5">
        <f>'Start Year Energy'!D59</f>
        <v>0.98487460366153745</v>
      </c>
      <c r="C5">
        <f t="shared" si="2"/>
        <v>0.98487460366153745</v>
      </c>
      <c r="D5">
        <f t="shared" si="0"/>
        <v>0.98487460366153745</v>
      </c>
      <c r="E5">
        <f t="shared" si="0"/>
        <v>0.98487460366153745</v>
      </c>
      <c r="F5">
        <f t="shared" si="0"/>
        <v>0.98487460366153745</v>
      </c>
      <c r="G5">
        <f t="shared" si="0"/>
        <v>0.98487460366153745</v>
      </c>
      <c r="H5">
        <f t="shared" si="0"/>
        <v>0.98487460366153745</v>
      </c>
      <c r="I5">
        <f t="shared" si="0"/>
        <v>0.98487460366153745</v>
      </c>
      <c r="J5">
        <f t="shared" si="0"/>
        <v>0.98487460366153745</v>
      </c>
      <c r="K5">
        <f t="shared" si="0"/>
        <v>0.98487460366153745</v>
      </c>
      <c r="L5">
        <f t="shared" si="0"/>
        <v>0.98487460366153745</v>
      </c>
      <c r="M5">
        <f t="shared" si="0"/>
        <v>0.98487460366153745</v>
      </c>
      <c r="N5">
        <f t="shared" si="0"/>
        <v>0.98487460366153745</v>
      </c>
      <c r="O5">
        <f t="shared" si="0"/>
        <v>0.98487460366153745</v>
      </c>
      <c r="P5">
        <f t="shared" si="0"/>
        <v>0.98487460366153745</v>
      </c>
      <c r="Q5">
        <f t="shared" si="0"/>
        <v>0.98487460366153745</v>
      </c>
      <c r="R5">
        <f t="shared" si="0"/>
        <v>0.98487460366153745</v>
      </c>
      <c r="S5">
        <f t="shared" si="0"/>
        <v>0.98487460366153745</v>
      </c>
      <c r="T5">
        <f t="shared" si="0"/>
        <v>0.98487460366153745</v>
      </c>
      <c r="U5">
        <f t="shared" si="0"/>
        <v>0.98487460366153745</v>
      </c>
      <c r="V5">
        <f t="shared" si="0"/>
        <v>0.98487460366153745</v>
      </c>
      <c r="W5">
        <f t="shared" si="0"/>
        <v>0.98487460366153745</v>
      </c>
      <c r="X5">
        <f t="shared" si="0"/>
        <v>0.98487460366153745</v>
      </c>
      <c r="Y5">
        <f t="shared" si="0"/>
        <v>0.98487460366153745</v>
      </c>
      <c r="Z5">
        <f t="shared" si="0"/>
        <v>0.98487460366153745</v>
      </c>
      <c r="AA5">
        <f t="shared" si="0"/>
        <v>0.98487460366153745</v>
      </c>
      <c r="AB5">
        <f t="shared" si="0"/>
        <v>0.98487460366153745</v>
      </c>
      <c r="AC5">
        <f t="shared" si="0"/>
        <v>0.98487460366153745</v>
      </c>
      <c r="AD5">
        <f t="shared" si="0"/>
        <v>0.98487460366153745</v>
      </c>
      <c r="AE5">
        <f t="shared" si="0"/>
        <v>0.98487460366153745</v>
      </c>
      <c r="AF5">
        <f t="shared" si="0"/>
        <v>0.98487460366153745</v>
      </c>
      <c r="AG5">
        <f t="shared" si="1"/>
        <v>0.98487460366153745</v>
      </c>
      <c r="AH5">
        <f t="shared" si="1"/>
        <v>0.98487460366153745</v>
      </c>
      <c r="AI5">
        <f t="shared" si="1"/>
        <v>0.98487460366153745</v>
      </c>
      <c r="AJ5">
        <f t="shared" si="1"/>
        <v>0.98487460366153745</v>
      </c>
      <c r="AK5">
        <f t="shared" si="1"/>
        <v>0.98487460366153745</v>
      </c>
      <c r="AL5">
        <f t="shared" si="1"/>
        <v>0.98487460366153745</v>
      </c>
      <c r="AM5">
        <f t="shared" si="1"/>
        <v>0.98487460366153745</v>
      </c>
      <c r="AN5">
        <f t="shared" si="1"/>
        <v>0.98487460366153745</v>
      </c>
      <c r="AO5">
        <f t="shared" si="1"/>
        <v>0.98487460366153745</v>
      </c>
      <c r="AP5">
        <f t="shared" si="1"/>
        <v>0.98487460366153745</v>
      </c>
    </row>
    <row r="6" spans="1:42" x14ac:dyDescent="0.2">
      <c r="A6" t="s">
        <v>377</v>
      </c>
      <c r="B6">
        <f>'Start Year Energy'!D60</f>
        <v>0.98499928398481273</v>
      </c>
      <c r="C6">
        <f t="shared" si="2"/>
        <v>0.98499928398481273</v>
      </c>
      <c r="D6">
        <f t="shared" si="0"/>
        <v>0.98499928398481273</v>
      </c>
      <c r="E6">
        <f t="shared" si="0"/>
        <v>0.98499928398481273</v>
      </c>
      <c r="F6">
        <f t="shared" si="0"/>
        <v>0.98499928398481273</v>
      </c>
      <c r="G6">
        <f t="shared" si="0"/>
        <v>0.98499928398481273</v>
      </c>
      <c r="H6">
        <f t="shared" si="0"/>
        <v>0.98499928398481273</v>
      </c>
      <c r="I6">
        <f t="shared" si="0"/>
        <v>0.98499928398481273</v>
      </c>
      <c r="J6">
        <f t="shared" si="0"/>
        <v>0.98499928398481273</v>
      </c>
      <c r="K6">
        <f t="shared" si="0"/>
        <v>0.98499928398481273</v>
      </c>
      <c r="L6">
        <f t="shared" si="0"/>
        <v>0.98499928398481273</v>
      </c>
      <c r="M6">
        <f t="shared" si="0"/>
        <v>0.98499928398481273</v>
      </c>
      <c r="N6">
        <f t="shared" si="0"/>
        <v>0.98499928398481273</v>
      </c>
      <c r="O6">
        <f t="shared" si="0"/>
        <v>0.98499928398481273</v>
      </c>
      <c r="P6">
        <f t="shared" si="0"/>
        <v>0.98499928398481273</v>
      </c>
      <c r="Q6">
        <f t="shared" si="0"/>
        <v>0.98499928398481273</v>
      </c>
      <c r="R6">
        <f t="shared" si="0"/>
        <v>0.98499928398481273</v>
      </c>
      <c r="S6">
        <f t="shared" si="0"/>
        <v>0.98499928398481273</v>
      </c>
      <c r="T6">
        <f t="shared" si="0"/>
        <v>0.98499928398481273</v>
      </c>
      <c r="U6">
        <f t="shared" si="0"/>
        <v>0.98499928398481273</v>
      </c>
      <c r="V6">
        <f t="shared" si="0"/>
        <v>0.98499928398481273</v>
      </c>
      <c r="W6">
        <f t="shared" si="0"/>
        <v>0.98499928398481273</v>
      </c>
      <c r="X6">
        <f t="shared" si="0"/>
        <v>0.98499928398481273</v>
      </c>
      <c r="Y6">
        <f t="shared" si="0"/>
        <v>0.98499928398481273</v>
      </c>
      <c r="Z6">
        <f t="shared" si="0"/>
        <v>0.98499928398481273</v>
      </c>
      <c r="AA6">
        <f t="shared" si="0"/>
        <v>0.98499928398481273</v>
      </c>
      <c r="AB6">
        <f t="shared" si="0"/>
        <v>0.98499928398481273</v>
      </c>
      <c r="AC6">
        <f t="shared" si="0"/>
        <v>0.98499928398481273</v>
      </c>
      <c r="AD6">
        <f t="shared" si="0"/>
        <v>0.98499928398481273</v>
      </c>
      <c r="AE6">
        <f t="shared" si="0"/>
        <v>0.98499928398481273</v>
      </c>
      <c r="AF6">
        <f t="shared" si="0"/>
        <v>0.98499928398481273</v>
      </c>
      <c r="AG6">
        <f t="shared" si="1"/>
        <v>0.98499928398481273</v>
      </c>
      <c r="AH6">
        <f t="shared" si="1"/>
        <v>0.98499928398481273</v>
      </c>
      <c r="AI6">
        <f t="shared" si="1"/>
        <v>0.98499928398481273</v>
      </c>
      <c r="AJ6">
        <f t="shared" si="1"/>
        <v>0.98499928398481273</v>
      </c>
      <c r="AK6">
        <f t="shared" si="1"/>
        <v>0.98499928398481273</v>
      </c>
      <c r="AL6">
        <f t="shared" si="1"/>
        <v>0.98499928398481273</v>
      </c>
      <c r="AM6">
        <f t="shared" si="1"/>
        <v>0.98499928398481273</v>
      </c>
      <c r="AN6">
        <f t="shared" si="1"/>
        <v>0.98499928398481273</v>
      </c>
      <c r="AO6">
        <f t="shared" si="1"/>
        <v>0.98499928398481273</v>
      </c>
      <c r="AP6">
        <f t="shared" si="1"/>
        <v>0.98499928398481273</v>
      </c>
    </row>
    <row r="7" spans="1:42" x14ac:dyDescent="0.2">
      <c r="A7" t="s">
        <v>378</v>
      </c>
      <c r="B7">
        <f>'Start Year Energy'!D61</f>
        <v>0.98631621268617953</v>
      </c>
      <c r="C7">
        <f t="shared" si="2"/>
        <v>0.98631621268617953</v>
      </c>
      <c r="D7">
        <f t="shared" si="0"/>
        <v>0.98631621268617953</v>
      </c>
      <c r="E7">
        <f t="shared" si="0"/>
        <v>0.98631621268617953</v>
      </c>
      <c r="F7">
        <f t="shared" si="0"/>
        <v>0.98631621268617953</v>
      </c>
      <c r="G7">
        <f t="shared" si="0"/>
        <v>0.98631621268617953</v>
      </c>
      <c r="H7">
        <f t="shared" si="0"/>
        <v>0.98631621268617953</v>
      </c>
      <c r="I7">
        <f t="shared" si="0"/>
        <v>0.98631621268617953</v>
      </c>
      <c r="J7">
        <f t="shared" si="0"/>
        <v>0.98631621268617953</v>
      </c>
      <c r="K7">
        <f t="shared" si="0"/>
        <v>0.98631621268617953</v>
      </c>
      <c r="L7">
        <f t="shared" si="0"/>
        <v>0.98631621268617953</v>
      </c>
      <c r="M7">
        <f t="shared" si="0"/>
        <v>0.98631621268617953</v>
      </c>
      <c r="N7">
        <f t="shared" si="0"/>
        <v>0.98631621268617953</v>
      </c>
      <c r="O7">
        <f t="shared" si="0"/>
        <v>0.98631621268617953</v>
      </c>
      <c r="P7">
        <f t="shared" si="0"/>
        <v>0.98631621268617953</v>
      </c>
      <c r="Q7">
        <f t="shared" si="0"/>
        <v>0.98631621268617953</v>
      </c>
      <c r="R7">
        <f t="shared" si="0"/>
        <v>0.98631621268617953</v>
      </c>
      <c r="S7">
        <f t="shared" si="0"/>
        <v>0.98631621268617953</v>
      </c>
      <c r="T7">
        <f t="shared" si="0"/>
        <v>0.98631621268617953</v>
      </c>
      <c r="U7">
        <f t="shared" si="0"/>
        <v>0.98631621268617953</v>
      </c>
      <c r="V7">
        <f t="shared" si="0"/>
        <v>0.98631621268617953</v>
      </c>
      <c r="W7">
        <f t="shared" si="0"/>
        <v>0.98631621268617953</v>
      </c>
      <c r="X7">
        <f t="shared" si="0"/>
        <v>0.98631621268617953</v>
      </c>
      <c r="Y7">
        <f t="shared" si="0"/>
        <v>0.98631621268617953</v>
      </c>
      <c r="Z7">
        <f t="shared" si="0"/>
        <v>0.98631621268617953</v>
      </c>
      <c r="AA7">
        <f t="shared" si="0"/>
        <v>0.98631621268617953</v>
      </c>
      <c r="AB7">
        <f t="shared" si="0"/>
        <v>0.98631621268617953</v>
      </c>
      <c r="AC7">
        <f t="shared" si="0"/>
        <v>0.98631621268617953</v>
      </c>
      <c r="AD7">
        <f t="shared" si="0"/>
        <v>0.98631621268617953</v>
      </c>
      <c r="AE7">
        <f t="shared" si="0"/>
        <v>0.98631621268617953</v>
      </c>
      <c r="AF7">
        <f t="shared" si="0"/>
        <v>0.98631621268617953</v>
      </c>
      <c r="AG7">
        <f t="shared" si="1"/>
        <v>0.98631621268617953</v>
      </c>
      <c r="AH7">
        <f t="shared" si="1"/>
        <v>0.98631621268617953</v>
      </c>
      <c r="AI7">
        <f t="shared" si="1"/>
        <v>0.98631621268617953</v>
      </c>
      <c r="AJ7">
        <f t="shared" si="1"/>
        <v>0.98631621268617953</v>
      </c>
      <c r="AK7">
        <f t="shared" si="1"/>
        <v>0.98631621268617953</v>
      </c>
      <c r="AL7">
        <f t="shared" si="1"/>
        <v>0.98631621268617953</v>
      </c>
      <c r="AM7">
        <f t="shared" si="1"/>
        <v>0.98631621268617953</v>
      </c>
      <c r="AN7">
        <f t="shared" si="1"/>
        <v>0.98631621268617953</v>
      </c>
      <c r="AO7">
        <f t="shared" si="1"/>
        <v>0.98631621268617953</v>
      </c>
      <c r="AP7">
        <f t="shared" si="1"/>
        <v>0.98631621268617953</v>
      </c>
    </row>
    <row r="8" spans="1:42" x14ac:dyDescent="0.2">
      <c r="A8" t="s">
        <v>379</v>
      </c>
      <c r="B8">
        <f>'Start Year Energy'!D62</f>
        <v>0.98061827319327022</v>
      </c>
      <c r="C8">
        <f t="shared" si="2"/>
        <v>0.98061827319327022</v>
      </c>
      <c r="D8">
        <f t="shared" si="0"/>
        <v>0.98061827319327022</v>
      </c>
      <c r="E8">
        <f t="shared" si="0"/>
        <v>0.98061827319327022</v>
      </c>
      <c r="F8">
        <f t="shared" si="0"/>
        <v>0.98061827319327022</v>
      </c>
      <c r="G8">
        <f t="shared" si="0"/>
        <v>0.98061827319327022</v>
      </c>
      <c r="H8">
        <f t="shared" si="0"/>
        <v>0.98061827319327022</v>
      </c>
      <c r="I8">
        <f t="shared" si="0"/>
        <v>0.98061827319327022</v>
      </c>
      <c r="J8">
        <f t="shared" si="0"/>
        <v>0.98061827319327022</v>
      </c>
      <c r="K8">
        <f t="shared" si="0"/>
        <v>0.98061827319327022</v>
      </c>
      <c r="L8">
        <f t="shared" si="0"/>
        <v>0.98061827319327022</v>
      </c>
      <c r="M8">
        <f t="shared" si="0"/>
        <v>0.98061827319327022</v>
      </c>
      <c r="N8">
        <f t="shared" si="0"/>
        <v>0.98061827319327022</v>
      </c>
      <c r="O8">
        <f t="shared" si="0"/>
        <v>0.98061827319327022</v>
      </c>
      <c r="P8">
        <f t="shared" si="0"/>
        <v>0.98061827319327022</v>
      </c>
      <c r="Q8">
        <f t="shared" si="0"/>
        <v>0.98061827319327022</v>
      </c>
      <c r="R8">
        <f t="shared" si="0"/>
        <v>0.98061827319327022</v>
      </c>
      <c r="S8">
        <f t="shared" si="0"/>
        <v>0.98061827319327022</v>
      </c>
      <c r="T8">
        <f t="shared" si="0"/>
        <v>0.98061827319327022</v>
      </c>
      <c r="U8">
        <f t="shared" si="0"/>
        <v>0.98061827319327022</v>
      </c>
      <c r="V8">
        <f t="shared" si="0"/>
        <v>0.98061827319327022</v>
      </c>
      <c r="W8">
        <f t="shared" si="0"/>
        <v>0.98061827319327022</v>
      </c>
      <c r="X8">
        <f t="shared" si="0"/>
        <v>0.98061827319327022</v>
      </c>
      <c r="Y8">
        <f t="shared" si="0"/>
        <v>0.98061827319327022</v>
      </c>
      <c r="Z8">
        <f t="shared" si="0"/>
        <v>0.98061827319327022</v>
      </c>
      <c r="AA8">
        <f t="shared" si="0"/>
        <v>0.98061827319327022</v>
      </c>
      <c r="AB8">
        <f t="shared" si="0"/>
        <v>0.98061827319327022</v>
      </c>
      <c r="AC8">
        <f t="shared" si="0"/>
        <v>0.98061827319327022</v>
      </c>
      <c r="AD8">
        <f t="shared" si="0"/>
        <v>0.98061827319327022</v>
      </c>
      <c r="AE8">
        <f t="shared" si="0"/>
        <v>0.98061827319327022</v>
      </c>
      <c r="AF8">
        <f t="shared" si="0"/>
        <v>0.98061827319327022</v>
      </c>
      <c r="AG8">
        <f t="shared" si="1"/>
        <v>0.98061827319327022</v>
      </c>
      <c r="AH8">
        <f t="shared" si="1"/>
        <v>0.98061827319327022</v>
      </c>
      <c r="AI8">
        <f t="shared" si="1"/>
        <v>0.98061827319327022</v>
      </c>
      <c r="AJ8">
        <f t="shared" si="1"/>
        <v>0.98061827319327022</v>
      </c>
      <c r="AK8">
        <f t="shared" si="1"/>
        <v>0.98061827319327022</v>
      </c>
      <c r="AL8">
        <f t="shared" si="1"/>
        <v>0.98061827319327022</v>
      </c>
      <c r="AM8">
        <f t="shared" si="1"/>
        <v>0.98061827319327022</v>
      </c>
      <c r="AN8">
        <f t="shared" si="1"/>
        <v>0.98061827319327022</v>
      </c>
      <c r="AO8">
        <f t="shared" si="1"/>
        <v>0.98061827319327022</v>
      </c>
      <c r="AP8">
        <f t="shared" si="1"/>
        <v>0.98061827319327022</v>
      </c>
    </row>
    <row r="9" spans="1:42" x14ac:dyDescent="0.2">
      <c r="A9" t="s">
        <v>380</v>
      </c>
      <c r="B9">
        <f>'Start Year Energy'!D63</f>
        <v>0.98613246611296579</v>
      </c>
      <c r="C9">
        <f t="shared" si="2"/>
        <v>0.98613246611296579</v>
      </c>
      <c r="D9">
        <f t="shared" si="0"/>
        <v>0.98613246611296579</v>
      </c>
      <c r="E9">
        <f t="shared" si="0"/>
        <v>0.98613246611296579</v>
      </c>
      <c r="F9">
        <f t="shared" si="0"/>
        <v>0.98613246611296579</v>
      </c>
      <c r="G9">
        <f t="shared" si="0"/>
        <v>0.98613246611296579</v>
      </c>
      <c r="H9">
        <f t="shared" si="0"/>
        <v>0.98613246611296579</v>
      </c>
      <c r="I9">
        <f t="shared" si="0"/>
        <v>0.98613246611296579</v>
      </c>
      <c r="J9">
        <f t="shared" si="0"/>
        <v>0.98613246611296579</v>
      </c>
      <c r="K9">
        <f t="shared" si="0"/>
        <v>0.98613246611296579</v>
      </c>
      <c r="L9">
        <f t="shared" si="0"/>
        <v>0.98613246611296579</v>
      </c>
      <c r="M9">
        <f t="shared" si="0"/>
        <v>0.98613246611296579</v>
      </c>
      <c r="N9">
        <f t="shared" si="0"/>
        <v>0.98613246611296579</v>
      </c>
      <c r="O9">
        <f t="shared" si="0"/>
        <v>0.98613246611296579</v>
      </c>
      <c r="P9">
        <f t="shared" si="0"/>
        <v>0.98613246611296579</v>
      </c>
      <c r="Q9">
        <f t="shared" si="0"/>
        <v>0.98613246611296579</v>
      </c>
      <c r="R9">
        <f t="shared" si="0"/>
        <v>0.98613246611296579</v>
      </c>
      <c r="S9">
        <f t="shared" si="0"/>
        <v>0.98613246611296579</v>
      </c>
      <c r="T9">
        <f t="shared" si="0"/>
        <v>0.98613246611296579</v>
      </c>
      <c r="U9">
        <f t="shared" si="0"/>
        <v>0.98613246611296579</v>
      </c>
      <c r="V9">
        <f t="shared" si="0"/>
        <v>0.98613246611296579</v>
      </c>
      <c r="W9">
        <f t="shared" si="0"/>
        <v>0.98613246611296579</v>
      </c>
      <c r="X9">
        <f t="shared" si="0"/>
        <v>0.98613246611296579</v>
      </c>
      <c r="Y9">
        <f t="shared" si="0"/>
        <v>0.98613246611296579</v>
      </c>
      <c r="Z9">
        <f t="shared" si="0"/>
        <v>0.98613246611296579</v>
      </c>
      <c r="AA9">
        <f t="shared" si="0"/>
        <v>0.98613246611296579</v>
      </c>
      <c r="AB9">
        <f t="shared" si="0"/>
        <v>0.98613246611296579</v>
      </c>
      <c r="AC9">
        <f t="shared" si="0"/>
        <v>0.98613246611296579</v>
      </c>
      <c r="AD9">
        <f t="shared" si="0"/>
        <v>0.98613246611296579</v>
      </c>
      <c r="AE9">
        <f t="shared" si="0"/>
        <v>0.98613246611296579</v>
      </c>
      <c r="AF9">
        <f t="shared" si="0"/>
        <v>0.98613246611296579</v>
      </c>
      <c r="AG9">
        <f t="shared" si="1"/>
        <v>0.98613246611296579</v>
      </c>
      <c r="AH9">
        <f t="shared" si="1"/>
        <v>0.98613246611296579</v>
      </c>
      <c r="AI9">
        <f t="shared" si="1"/>
        <v>0.98613246611296579</v>
      </c>
      <c r="AJ9">
        <f t="shared" si="1"/>
        <v>0.98613246611296579</v>
      </c>
      <c r="AK9">
        <f t="shared" si="1"/>
        <v>0.98613246611296579</v>
      </c>
      <c r="AL9">
        <f t="shared" si="1"/>
        <v>0.98613246611296579</v>
      </c>
      <c r="AM9">
        <f t="shared" si="1"/>
        <v>0.98613246611296579</v>
      </c>
      <c r="AN9">
        <f t="shared" si="1"/>
        <v>0.98613246611296579</v>
      </c>
      <c r="AO9">
        <f t="shared" si="1"/>
        <v>0.98613246611296579</v>
      </c>
      <c r="AP9">
        <f t="shared" si="1"/>
        <v>0.98613246611296579</v>
      </c>
    </row>
    <row r="10" spans="1:42" x14ac:dyDescent="0.2">
      <c r="A10" t="s">
        <v>381</v>
      </c>
      <c r="B10">
        <f>'Start Year Energy'!D64</f>
        <v>0.68307723669690024</v>
      </c>
      <c r="C10">
        <f t="shared" si="2"/>
        <v>0.68307723669690024</v>
      </c>
      <c r="D10">
        <f t="shared" si="0"/>
        <v>0.68307723669690024</v>
      </c>
      <c r="E10">
        <f t="shared" si="0"/>
        <v>0.68307723669690024</v>
      </c>
      <c r="F10">
        <f t="shared" si="0"/>
        <v>0.68307723669690024</v>
      </c>
      <c r="G10">
        <f t="shared" si="0"/>
        <v>0.68307723669690024</v>
      </c>
      <c r="H10">
        <f t="shared" si="0"/>
        <v>0.68307723669690024</v>
      </c>
      <c r="I10">
        <f t="shared" si="0"/>
        <v>0.68307723669690024</v>
      </c>
      <c r="J10">
        <f t="shared" si="0"/>
        <v>0.68307723669690024</v>
      </c>
      <c r="K10">
        <f t="shared" si="0"/>
        <v>0.68307723669690024</v>
      </c>
      <c r="L10">
        <f t="shared" si="0"/>
        <v>0.68307723669690024</v>
      </c>
      <c r="M10">
        <f t="shared" si="0"/>
        <v>0.68307723669690024</v>
      </c>
      <c r="N10">
        <f t="shared" si="0"/>
        <v>0.68307723669690024</v>
      </c>
      <c r="O10">
        <f t="shared" si="0"/>
        <v>0.68307723669690024</v>
      </c>
      <c r="P10">
        <f t="shared" si="0"/>
        <v>0.68307723669690024</v>
      </c>
      <c r="Q10">
        <f t="shared" si="0"/>
        <v>0.68307723669690024</v>
      </c>
      <c r="R10">
        <f t="shared" si="0"/>
        <v>0.68307723669690024</v>
      </c>
      <c r="S10">
        <f t="shared" si="0"/>
        <v>0.68307723669690024</v>
      </c>
      <c r="T10">
        <f t="shared" si="0"/>
        <v>0.68307723669690024</v>
      </c>
      <c r="U10">
        <f t="shared" si="0"/>
        <v>0.68307723669690024</v>
      </c>
      <c r="V10">
        <f t="shared" si="0"/>
        <v>0.68307723669690024</v>
      </c>
      <c r="W10">
        <f t="shared" si="0"/>
        <v>0.68307723669690024</v>
      </c>
      <c r="X10">
        <f t="shared" si="0"/>
        <v>0.68307723669690024</v>
      </c>
      <c r="Y10">
        <f t="shared" si="0"/>
        <v>0.68307723669690024</v>
      </c>
      <c r="Z10">
        <f t="shared" si="0"/>
        <v>0.68307723669690024</v>
      </c>
      <c r="AA10">
        <f t="shared" si="0"/>
        <v>0.68307723669690024</v>
      </c>
      <c r="AB10">
        <f t="shared" si="0"/>
        <v>0.68307723669690024</v>
      </c>
      <c r="AC10">
        <f t="shared" si="0"/>
        <v>0.68307723669690024</v>
      </c>
      <c r="AD10">
        <f t="shared" si="0"/>
        <v>0.68307723669690024</v>
      </c>
      <c r="AE10">
        <f t="shared" si="0"/>
        <v>0.68307723669690024</v>
      </c>
      <c r="AF10">
        <f t="shared" si="0"/>
        <v>0.68307723669690024</v>
      </c>
      <c r="AG10">
        <f t="shared" si="1"/>
        <v>0.68307723669690024</v>
      </c>
      <c r="AH10">
        <f t="shared" si="1"/>
        <v>0.68307723669690024</v>
      </c>
      <c r="AI10">
        <f t="shared" si="1"/>
        <v>0.68307723669690024</v>
      </c>
      <c r="AJ10">
        <f t="shared" si="1"/>
        <v>0.68307723669690024</v>
      </c>
      <c r="AK10">
        <f t="shared" si="1"/>
        <v>0.68307723669690024</v>
      </c>
      <c r="AL10">
        <f t="shared" si="1"/>
        <v>0.68307723669690024</v>
      </c>
      <c r="AM10">
        <f t="shared" si="1"/>
        <v>0.68307723669690024</v>
      </c>
      <c r="AN10">
        <f t="shared" si="1"/>
        <v>0.68307723669690024</v>
      </c>
      <c r="AO10">
        <f t="shared" si="1"/>
        <v>0.68307723669690024</v>
      </c>
      <c r="AP10">
        <f t="shared" si="1"/>
        <v>0.68307723669690024</v>
      </c>
    </row>
    <row r="11" spans="1:42" x14ac:dyDescent="0.2">
      <c r="A11" t="s">
        <v>382</v>
      </c>
      <c r="B11">
        <f>'Start Year Energy'!D65</f>
        <v>0.82000879543901339</v>
      </c>
      <c r="C11">
        <f t="shared" si="2"/>
        <v>0.82000879543901339</v>
      </c>
      <c r="D11">
        <f t="shared" si="0"/>
        <v>0.82000879543901339</v>
      </c>
      <c r="E11">
        <f t="shared" si="0"/>
        <v>0.82000879543901339</v>
      </c>
      <c r="F11">
        <f t="shared" si="0"/>
        <v>0.82000879543901339</v>
      </c>
      <c r="G11">
        <f t="shared" si="0"/>
        <v>0.82000879543901339</v>
      </c>
      <c r="H11">
        <f t="shared" si="0"/>
        <v>0.82000879543901339</v>
      </c>
      <c r="I11">
        <f t="shared" si="0"/>
        <v>0.82000879543901339</v>
      </c>
      <c r="J11">
        <f t="shared" si="0"/>
        <v>0.82000879543901339</v>
      </c>
      <c r="K11">
        <f t="shared" si="0"/>
        <v>0.82000879543901339</v>
      </c>
      <c r="L11">
        <f t="shared" si="0"/>
        <v>0.82000879543901339</v>
      </c>
      <c r="M11">
        <f t="shared" ref="M11:AO24" si="3">$B11</f>
        <v>0.82000879543901339</v>
      </c>
      <c r="N11">
        <f t="shared" si="3"/>
        <v>0.82000879543901339</v>
      </c>
      <c r="O11">
        <f t="shared" si="3"/>
        <v>0.82000879543901339</v>
      </c>
      <c r="P11">
        <f t="shared" si="3"/>
        <v>0.82000879543901339</v>
      </c>
      <c r="Q11">
        <f t="shared" si="3"/>
        <v>0.82000879543901339</v>
      </c>
      <c r="R11">
        <f t="shared" si="3"/>
        <v>0.82000879543901339</v>
      </c>
      <c r="S11">
        <f t="shared" si="3"/>
        <v>0.82000879543901339</v>
      </c>
      <c r="T11">
        <f t="shared" si="3"/>
        <v>0.82000879543901339</v>
      </c>
      <c r="U11">
        <f t="shared" si="3"/>
        <v>0.82000879543901339</v>
      </c>
      <c r="V11">
        <f t="shared" si="3"/>
        <v>0.82000879543901339</v>
      </c>
      <c r="W11">
        <f t="shared" si="3"/>
        <v>0.82000879543901339</v>
      </c>
      <c r="X11">
        <f t="shared" si="3"/>
        <v>0.82000879543901339</v>
      </c>
      <c r="Y11">
        <f t="shared" si="3"/>
        <v>0.82000879543901339</v>
      </c>
      <c r="Z11">
        <f t="shared" si="3"/>
        <v>0.82000879543901339</v>
      </c>
      <c r="AA11">
        <f t="shared" si="3"/>
        <v>0.82000879543901339</v>
      </c>
      <c r="AB11">
        <f t="shared" si="3"/>
        <v>0.82000879543901339</v>
      </c>
      <c r="AC11">
        <f t="shared" si="3"/>
        <v>0.82000879543901339</v>
      </c>
      <c r="AD11">
        <f t="shared" si="3"/>
        <v>0.82000879543901339</v>
      </c>
      <c r="AE11">
        <f t="shared" si="3"/>
        <v>0.82000879543901339</v>
      </c>
      <c r="AF11">
        <f t="shared" si="3"/>
        <v>0.82000879543901339</v>
      </c>
      <c r="AG11">
        <f t="shared" si="1"/>
        <v>0.82000879543901339</v>
      </c>
      <c r="AH11">
        <f t="shared" si="1"/>
        <v>0.82000879543901339</v>
      </c>
      <c r="AI11">
        <f t="shared" si="1"/>
        <v>0.82000879543901339</v>
      </c>
      <c r="AJ11">
        <f t="shared" si="1"/>
        <v>0.82000879543901339</v>
      </c>
      <c r="AK11">
        <f t="shared" si="1"/>
        <v>0.82000879543901339</v>
      </c>
      <c r="AL11">
        <f t="shared" si="1"/>
        <v>0.82000879543901339</v>
      </c>
      <c r="AM11">
        <f t="shared" si="1"/>
        <v>0.82000879543901339</v>
      </c>
      <c r="AN11">
        <f t="shared" si="1"/>
        <v>0.82000879543901339</v>
      </c>
      <c r="AO11">
        <f t="shared" si="1"/>
        <v>0.82000879543901339</v>
      </c>
      <c r="AP11">
        <f t="shared" si="1"/>
        <v>0.82000879543901339</v>
      </c>
    </row>
    <row r="12" spans="1:42" x14ac:dyDescent="0.2">
      <c r="A12" t="s">
        <v>383</v>
      </c>
      <c r="B12">
        <f>'Start Year Energy'!D66</f>
        <v>0.98468718213331885</v>
      </c>
      <c r="C12">
        <f t="shared" si="2"/>
        <v>0.98468718213331885</v>
      </c>
      <c r="D12">
        <f t="shared" si="2"/>
        <v>0.98468718213331885</v>
      </c>
      <c r="E12">
        <f t="shared" si="2"/>
        <v>0.98468718213331885</v>
      </c>
      <c r="F12">
        <f t="shared" si="2"/>
        <v>0.98468718213331885</v>
      </c>
      <c r="G12">
        <f t="shared" si="2"/>
        <v>0.98468718213331885</v>
      </c>
      <c r="H12">
        <f t="shared" si="2"/>
        <v>0.98468718213331885</v>
      </c>
      <c r="I12">
        <f t="shared" si="2"/>
        <v>0.98468718213331885</v>
      </c>
      <c r="J12">
        <f t="shared" si="2"/>
        <v>0.98468718213331885</v>
      </c>
      <c r="K12">
        <f t="shared" si="2"/>
        <v>0.98468718213331885</v>
      </c>
      <c r="L12">
        <f t="shared" si="2"/>
        <v>0.98468718213331885</v>
      </c>
      <c r="M12">
        <f t="shared" si="2"/>
        <v>0.98468718213331885</v>
      </c>
      <c r="N12">
        <f t="shared" si="2"/>
        <v>0.98468718213331885</v>
      </c>
      <c r="O12">
        <f t="shared" si="2"/>
        <v>0.98468718213331885</v>
      </c>
      <c r="P12">
        <f t="shared" si="2"/>
        <v>0.98468718213331885</v>
      </c>
      <c r="Q12">
        <f t="shared" si="2"/>
        <v>0.98468718213331885</v>
      </c>
      <c r="R12">
        <f t="shared" si="2"/>
        <v>0.98468718213331885</v>
      </c>
      <c r="S12">
        <f t="shared" si="3"/>
        <v>0.98468718213331885</v>
      </c>
      <c r="T12">
        <f t="shared" si="3"/>
        <v>0.98468718213331885</v>
      </c>
      <c r="U12">
        <f t="shared" si="3"/>
        <v>0.98468718213331885</v>
      </c>
      <c r="V12">
        <f t="shared" si="3"/>
        <v>0.98468718213331885</v>
      </c>
      <c r="W12">
        <f t="shared" si="3"/>
        <v>0.98468718213331885</v>
      </c>
      <c r="X12">
        <f t="shared" si="3"/>
        <v>0.98468718213331885</v>
      </c>
      <c r="Y12">
        <f t="shared" si="3"/>
        <v>0.98468718213331885</v>
      </c>
      <c r="Z12">
        <f t="shared" si="3"/>
        <v>0.98468718213331885</v>
      </c>
      <c r="AA12">
        <f t="shared" si="3"/>
        <v>0.98468718213331885</v>
      </c>
      <c r="AB12">
        <f t="shared" si="3"/>
        <v>0.98468718213331885</v>
      </c>
      <c r="AC12">
        <f t="shared" si="3"/>
        <v>0.98468718213331885</v>
      </c>
      <c r="AD12">
        <f t="shared" si="3"/>
        <v>0.98468718213331885</v>
      </c>
      <c r="AE12">
        <f t="shared" si="3"/>
        <v>0.98468718213331885</v>
      </c>
      <c r="AF12">
        <f t="shared" si="3"/>
        <v>0.98468718213331885</v>
      </c>
      <c r="AG12">
        <f t="shared" si="1"/>
        <v>0.98468718213331885</v>
      </c>
      <c r="AH12">
        <f t="shared" si="1"/>
        <v>0.98468718213331885</v>
      </c>
      <c r="AI12">
        <f t="shared" si="1"/>
        <v>0.98468718213331885</v>
      </c>
      <c r="AJ12">
        <f t="shared" si="1"/>
        <v>0.98468718213331885</v>
      </c>
      <c r="AK12">
        <f t="shared" si="1"/>
        <v>0.98468718213331885</v>
      </c>
      <c r="AL12">
        <f t="shared" si="1"/>
        <v>0.98468718213331885</v>
      </c>
      <c r="AM12">
        <f t="shared" si="1"/>
        <v>0.98468718213331885</v>
      </c>
      <c r="AN12">
        <f t="shared" si="1"/>
        <v>0.98468718213331885</v>
      </c>
      <c r="AO12">
        <f t="shared" si="1"/>
        <v>0.98468718213331885</v>
      </c>
      <c r="AP12">
        <f t="shared" si="1"/>
        <v>0.98468718213331885</v>
      </c>
    </row>
    <row r="13" spans="1:42" x14ac:dyDescent="0.2">
      <c r="A13" t="s">
        <v>384</v>
      </c>
      <c r="B13">
        <f>'Start Year Energy'!D67</f>
        <v>0.98697957975411998</v>
      </c>
      <c r="C13">
        <f t="shared" si="2"/>
        <v>0.98697957975411998</v>
      </c>
      <c r="D13">
        <f t="shared" si="2"/>
        <v>0.98697957975411998</v>
      </c>
      <c r="E13">
        <f t="shared" si="2"/>
        <v>0.98697957975411998</v>
      </c>
      <c r="F13">
        <f t="shared" si="2"/>
        <v>0.98697957975411998</v>
      </c>
      <c r="G13">
        <f t="shared" si="2"/>
        <v>0.98697957975411998</v>
      </c>
      <c r="H13">
        <f t="shared" si="2"/>
        <v>0.98697957975411998</v>
      </c>
      <c r="I13">
        <f t="shared" si="2"/>
        <v>0.98697957975411998</v>
      </c>
      <c r="J13">
        <f t="shared" si="2"/>
        <v>0.98697957975411998</v>
      </c>
      <c r="K13">
        <f t="shared" si="2"/>
        <v>0.98697957975411998</v>
      </c>
      <c r="L13">
        <f t="shared" si="2"/>
        <v>0.98697957975411998</v>
      </c>
      <c r="M13">
        <f t="shared" si="2"/>
        <v>0.98697957975411998</v>
      </c>
      <c r="N13">
        <f t="shared" si="2"/>
        <v>0.98697957975411998</v>
      </c>
      <c r="O13">
        <f t="shared" si="2"/>
        <v>0.98697957975411998</v>
      </c>
      <c r="P13">
        <f t="shared" si="2"/>
        <v>0.98697957975411998</v>
      </c>
      <c r="Q13">
        <f t="shared" si="2"/>
        <v>0.98697957975411998</v>
      </c>
      <c r="R13">
        <f t="shared" si="2"/>
        <v>0.98697957975411998</v>
      </c>
      <c r="S13">
        <f t="shared" si="3"/>
        <v>0.98697957975411998</v>
      </c>
      <c r="T13">
        <f t="shared" si="3"/>
        <v>0.98697957975411998</v>
      </c>
      <c r="U13">
        <f t="shared" si="3"/>
        <v>0.98697957975411998</v>
      </c>
      <c r="V13">
        <f t="shared" si="3"/>
        <v>0.98697957975411998</v>
      </c>
      <c r="W13">
        <f t="shared" si="3"/>
        <v>0.98697957975411998</v>
      </c>
      <c r="X13">
        <f t="shared" si="3"/>
        <v>0.98697957975411998</v>
      </c>
      <c r="Y13">
        <f t="shared" si="3"/>
        <v>0.98697957975411998</v>
      </c>
      <c r="Z13">
        <f t="shared" si="3"/>
        <v>0.98697957975411998</v>
      </c>
      <c r="AA13">
        <f t="shared" si="3"/>
        <v>0.98697957975411998</v>
      </c>
      <c r="AB13">
        <f t="shared" si="3"/>
        <v>0.98697957975411998</v>
      </c>
      <c r="AC13">
        <f t="shared" si="3"/>
        <v>0.98697957975411998</v>
      </c>
      <c r="AD13">
        <f t="shared" si="3"/>
        <v>0.98697957975411998</v>
      </c>
      <c r="AE13">
        <f t="shared" si="3"/>
        <v>0.98697957975411998</v>
      </c>
      <c r="AF13">
        <f t="shared" si="3"/>
        <v>0.98697957975411998</v>
      </c>
      <c r="AG13">
        <f t="shared" si="1"/>
        <v>0.98697957975411998</v>
      </c>
      <c r="AH13">
        <f t="shared" si="1"/>
        <v>0.98697957975411998</v>
      </c>
      <c r="AI13">
        <f t="shared" si="1"/>
        <v>0.98697957975411998</v>
      </c>
      <c r="AJ13">
        <f t="shared" si="1"/>
        <v>0.98697957975411998</v>
      </c>
      <c r="AK13">
        <f t="shared" si="1"/>
        <v>0.98697957975411998</v>
      </c>
      <c r="AL13">
        <f t="shared" si="1"/>
        <v>0.98697957975411998</v>
      </c>
      <c r="AM13">
        <f t="shared" si="1"/>
        <v>0.98697957975411998</v>
      </c>
      <c r="AN13">
        <f t="shared" si="1"/>
        <v>0.98697957975411998</v>
      </c>
      <c r="AO13">
        <f t="shared" si="1"/>
        <v>0.98697957975411998</v>
      </c>
      <c r="AP13">
        <f t="shared" si="1"/>
        <v>0.98697957975411998</v>
      </c>
    </row>
    <row r="14" spans="1:42" x14ac:dyDescent="0.2">
      <c r="A14" t="s">
        <v>385</v>
      </c>
      <c r="B14">
        <f>'Start Year Energy'!D68</f>
        <v>0.98604729628946097</v>
      </c>
      <c r="C14">
        <f t="shared" si="2"/>
        <v>0.98604729628946097</v>
      </c>
      <c r="D14">
        <f t="shared" si="2"/>
        <v>0.98604729628946097</v>
      </c>
      <c r="E14">
        <f t="shared" si="2"/>
        <v>0.98604729628946097</v>
      </c>
      <c r="F14">
        <f t="shared" si="2"/>
        <v>0.98604729628946097</v>
      </c>
      <c r="G14">
        <f t="shared" si="2"/>
        <v>0.98604729628946097</v>
      </c>
      <c r="H14">
        <f t="shared" si="2"/>
        <v>0.98604729628946097</v>
      </c>
      <c r="I14">
        <f t="shared" si="2"/>
        <v>0.98604729628946097</v>
      </c>
      <c r="J14">
        <f t="shared" si="2"/>
        <v>0.98604729628946097</v>
      </c>
      <c r="K14">
        <f t="shared" si="2"/>
        <v>0.98604729628946097</v>
      </c>
      <c r="L14">
        <f t="shared" si="2"/>
        <v>0.98604729628946097</v>
      </c>
      <c r="M14">
        <f t="shared" si="2"/>
        <v>0.98604729628946097</v>
      </c>
      <c r="N14">
        <f t="shared" si="2"/>
        <v>0.98604729628946097</v>
      </c>
      <c r="O14">
        <f t="shared" si="2"/>
        <v>0.98604729628946097</v>
      </c>
      <c r="P14">
        <f t="shared" si="2"/>
        <v>0.98604729628946097</v>
      </c>
      <c r="Q14">
        <f t="shared" si="2"/>
        <v>0.98604729628946097</v>
      </c>
      <c r="R14">
        <f t="shared" si="2"/>
        <v>0.98604729628946097</v>
      </c>
      <c r="S14">
        <f t="shared" si="3"/>
        <v>0.98604729628946097</v>
      </c>
      <c r="T14">
        <f t="shared" si="3"/>
        <v>0.98604729628946097</v>
      </c>
      <c r="U14">
        <f t="shared" si="3"/>
        <v>0.98604729628946097</v>
      </c>
      <c r="V14">
        <f t="shared" si="3"/>
        <v>0.98604729628946097</v>
      </c>
      <c r="W14">
        <f t="shared" si="3"/>
        <v>0.98604729628946097</v>
      </c>
      <c r="X14">
        <f t="shared" si="3"/>
        <v>0.98604729628946097</v>
      </c>
      <c r="Y14">
        <f t="shared" si="3"/>
        <v>0.98604729628946097</v>
      </c>
      <c r="Z14">
        <f t="shared" si="3"/>
        <v>0.98604729628946097</v>
      </c>
      <c r="AA14">
        <f t="shared" si="3"/>
        <v>0.98604729628946097</v>
      </c>
      <c r="AB14">
        <f t="shared" si="3"/>
        <v>0.98604729628946097</v>
      </c>
      <c r="AC14">
        <f t="shared" si="3"/>
        <v>0.98604729628946097</v>
      </c>
      <c r="AD14">
        <f t="shared" si="3"/>
        <v>0.98604729628946097</v>
      </c>
      <c r="AE14">
        <f t="shared" si="3"/>
        <v>0.98604729628946097</v>
      </c>
      <c r="AF14">
        <f t="shared" si="3"/>
        <v>0.98604729628946097</v>
      </c>
      <c r="AG14">
        <f t="shared" si="1"/>
        <v>0.98604729628946097</v>
      </c>
      <c r="AH14">
        <f t="shared" si="1"/>
        <v>0.98604729628946097</v>
      </c>
      <c r="AI14">
        <f t="shared" si="1"/>
        <v>0.98604729628946097</v>
      </c>
      <c r="AJ14">
        <f t="shared" si="1"/>
        <v>0.98604729628946097</v>
      </c>
      <c r="AK14">
        <f t="shared" si="1"/>
        <v>0.98604729628946097</v>
      </c>
      <c r="AL14">
        <f t="shared" si="1"/>
        <v>0.98604729628946097</v>
      </c>
      <c r="AM14">
        <f t="shared" si="1"/>
        <v>0.98604729628946097</v>
      </c>
      <c r="AN14">
        <f t="shared" si="1"/>
        <v>0.98604729628946097</v>
      </c>
      <c r="AO14">
        <f t="shared" si="1"/>
        <v>0.98604729628946097</v>
      </c>
      <c r="AP14">
        <f t="shared" si="1"/>
        <v>0.98604729628946097</v>
      </c>
    </row>
    <row r="15" spans="1:42" x14ac:dyDescent="0.2">
      <c r="A15" t="s">
        <v>386</v>
      </c>
      <c r="B15">
        <f>'Start Year Energy'!D69</f>
        <v>0.98562992077646505</v>
      </c>
      <c r="C15">
        <f t="shared" si="2"/>
        <v>0.98562992077646505</v>
      </c>
      <c r="D15">
        <f t="shared" si="2"/>
        <v>0.98562992077646505</v>
      </c>
      <c r="E15">
        <f t="shared" si="2"/>
        <v>0.98562992077646505</v>
      </c>
      <c r="F15">
        <f t="shared" si="2"/>
        <v>0.98562992077646505</v>
      </c>
      <c r="G15">
        <f t="shared" si="2"/>
        <v>0.98562992077646505</v>
      </c>
      <c r="H15">
        <f t="shared" si="2"/>
        <v>0.98562992077646505</v>
      </c>
      <c r="I15">
        <f t="shared" si="2"/>
        <v>0.98562992077646505</v>
      </c>
      <c r="J15">
        <f t="shared" si="2"/>
        <v>0.98562992077646505</v>
      </c>
      <c r="K15">
        <f t="shared" si="2"/>
        <v>0.98562992077646505</v>
      </c>
      <c r="L15">
        <f t="shared" si="2"/>
        <v>0.98562992077646505</v>
      </c>
      <c r="M15">
        <f t="shared" si="2"/>
        <v>0.98562992077646505</v>
      </c>
      <c r="N15">
        <f t="shared" si="2"/>
        <v>0.98562992077646505</v>
      </c>
      <c r="O15">
        <f t="shared" si="2"/>
        <v>0.98562992077646505</v>
      </c>
      <c r="P15">
        <f t="shared" si="2"/>
        <v>0.98562992077646505</v>
      </c>
      <c r="Q15">
        <f t="shared" si="2"/>
        <v>0.98562992077646505</v>
      </c>
      <c r="R15">
        <f t="shared" si="2"/>
        <v>0.98562992077646505</v>
      </c>
      <c r="S15">
        <f t="shared" si="3"/>
        <v>0.98562992077646505</v>
      </c>
      <c r="T15">
        <f t="shared" si="3"/>
        <v>0.98562992077646505</v>
      </c>
      <c r="U15">
        <f t="shared" si="3"/>
        <v>0.98562992077646505</v>
      </c>
      <c r="V15">
        <f t="shared" si="3"/>
        <v>0.98562992077646505</v>
      </c>
      <c r="W15">
        <f t="shared" si="3"/>
        <v>0.98562992077646505</v>
      </c>
      <c r="X15">
        <f t="shared" si="3"/>
        <v>0.98562992077646505</v>
      </c>
      <c r="Y15">
        <f t="shared" si="3"/>
        <v>0.98562992077646505</v>
      </c>
      <c r="Z15">
        <f t="shared" si="3"/>
        <v>0.98562992077646505</v>
      </c>
      <c r="AA15">
        <f t="shared" si="3"/>
        <v>0.98562992077646505</v>
      </c>
      <c r="AB15">
        <f t="shared" si="3"/>
        <v>0.98562992077646505</v>
      </c>
      <c r="AC15">
        <f t="shared" si="3"/>
        <v>0.98562992077646505</v>
      </c>
      <c r="AD15">
        <f t="shared" si="3"/>
        <v>0.98562992077646505</v>
      </c>
      <c r="AE15">
        <f t="shared" si="3"/>
        <v>0.98562992077646505</v>
      </c>
      <c r="AF15">
        <f t="shared" si="3"/>
        <v>0.98562992077646505</v>
      </c>
      <c r="AG15">
        <f t="shared" si="1"/>
        <v>0.98562992077646505</v>
      </c>
      <c r="AH15">
        <f t="shared" si="1"/>
        <v>0.98562992077646505</v>
      </c>
      <c r="AI15">
        <f t="shared" si="1"/>
        <v>0.98562992077646505</v>
      </c>
      <c r="AJ15">
        <f t="shared" si="1"/>
        <v>0.98562992077646505</v>
      </c>
      <c r="AK15">
        <f t="shared" si="1"/>
        <v>0.98562992077646505</v>
      </c>
      <c r="AL15">
        <f t="shared" si="1"/>
        <v>0.98562992077646505</v>
      </c>
      <c r="AM15">
        <f t="shared" si="1"/>
        <v>0.98562992077646505</v>
      </c>
      <c r="AN15">
        <f t="shared" si="1"/>
        <v>0.98562992077646505</v>
      </c>
      <c r="AO15">
        <f t="shared" si="1"/>
        <v>0.98562992077646505</v>
      </c>
      <c r="AP15">
        <f t="shared" si="1"/>
        <v>0.98562992077646505</v>
      </c>
    </row>
    <row r="16" spans="1:42" x14ac:dyDescent="0.2">
      <c r="A16" t="s">
        <v>387</v>
      </c>
      <c r="B16">
        <f>'Start Year Energy'!D70</f>
        <v>0.98485927405809393</v>
      </c>
      <c r="C16">
        <f t="shared" si="2"/>
        <v>0.98485927405809393</v>
      </c>
      <c r="D16">
        <f t="shared" si="2"/>
        <v>0.98485927405809393</v>
      </c>
      <c r="E16">
        <f t="shared" si="2"/>
        <v>0.98485927405809393</v>
      </c>
      <c r="F16">
        <f t="shared" si="2"/>
        <v>0.98485927405809393</v>
      </c>
      <c r="G16">
        <f t="shared" si="2"/>
        <v>0.98485927405809393</v>
      </c>
      <c r="H16">
        <f t="shared" si="2"/>
        <v>0.98485927405809393</v>
      </c>
      <c r="I16">
        <f t="shared" si="2"/>
        <v>0.98485927405809393</v>
      </c>
      <c r="J16">
        <f t="shared" si="2"/>
        <v>0.98485927405809393</v>
      </c>
      <c r="K16">
        <f t="shared" si="2"/>
        <v>0.98485927405809393</v>
      </c>
      <c r="L16">
        <f t="shared" si="2"/>
        <v>0.98485927405809393</v>
      </c>
      <c r="M16">
        <f t="shared" si="2"/>
        <v>0.98485927405809393</v>
      </c>
      <c r="N16">
        <f t="shared" si="2"/>
        <v>0.98485927405809393</v>
      </c>
      <c r="O16">
        <f t="shared" si="2"/>
        <v>0.98485927405809393</v>
      </c>
      <c r="P16">
        <f t="shared" si="2"/>
        <v>0.98485927405809393</v>
      </c>
      <c r="Q16">
        <f t="shared" si="2"/>
        <v>0.98485927405809393</v>
      </c>
      <c r="R16">
        <f t="shared" si="2"/>
        <v>0.98485927405809393</v>
      </c>
      <c r="S16">
        <f t="shared" si="3"/>
        <v>0.98485927405809393</v>
      </c>
      <c r="T16">
        <f t="shared" si="3"/>
        <v>0.98485927405809393</v>
      </c>
      <c r="U16">
        <f t="shared" si="3"/>
        <v>0.98485927405809393</v>
      </c>
      <c r="V16">
        <f t="shared" si="3"/>
        <v>0.98485927405809393</v>
      </c>
      <c r="W16">
        <f t="shared" si="3"/>
        <v>0.98485927405809393</v>
      </c>
      <c r="X16">
        <f t="shared" si="3"/>
        <v>0.98485927405809393</v>
      </c>
      <c r="Y16">
        <f t="shared" si="3"/>
        <v>0.98485927405809393</v>
      </c>
      <c r="Z16">
        <f t="shared" si="3"/>
        <v>0.98485927405809393</v>
      </c>
      <c r="AA16">
        <f t="shared" si="3"/>
        <v>0.98485927405809393</v>
      </c>
      <c r="AB16">
        <f t="shared" si="3"/>
        <v>0.98485927405809393</v>
      </c>
      <c r="AC16">
        <f t="shared" si="3"/>
        <v>0.98485927405809393</v>
      </c>
      <c r="AD16">
        <f t="shared" si="3"/>
        <v>0.98485927405809393</v>
      </c>
      <c r="AE16">
        <f t="shared" si="3"/>
        <v>0.98485927405809393</v>
      </c>
      <c r="AF16">
        <f t="shared" si="3"/>
        <v>0.98485927405809393</v>
      </c>
      <c r="AG16">
        <f t="shared" si="1"/>
        <v>0.98485927405809393</v>
      </c>
      <c r="AH16">
        <f t="shared" si="1"/>
        <v>0.98485927405809393</v>
      </c>
      <c r="AI16">
        <f t="shared" si="1"/>
        <v>0.98485927405809393</v>
      </c>
      <c r="AJ16">
        <f t="shared" si="1"/>
        <v>0.98485927405809393</v>
      </c>
      <c r="AK16">
        <f t="shared" si="1"/>
        <v>0.98485927405809393</v>
      </c>
      <c r="AL16">
        <f t="shared" si="1"/>
        <v>0.98485927405809393</v>
      </c>
      <c r="AM16">
        <f t="shared" si="1"/>
        <v>0.98485927405809393</v>
      </c>
      <c r="AN16">
        <f t="shared" si="1"/>
        <v>0.98485927405809393</v>
      </c>
      <c r="AO16">
        <f t="shared" si="1"/>
        <v>0.98485927405809393</v>
      </c>
      <c r="AP16">
        <f t="shared" si="1"/>
        <v>0.98485927405809393</v>
      </c>
    </row>
    <row r="17" spans="1:42" x14ac:dyDescent="0.2">
      <c r="A17" t="s">
        <v>388</v>
      </c>
      <c r="B17">
        <f>'Start Year Energy'!D71</f>
        <v>0.98702784990761261</v>
      </c>
      <c r="C17">
        <f t="shared" si="2"/>
        <v>0.98702784990761261</v>
      </c>
      <c r="D17">
        <f t="shared" si="2"/>
        <v>0.98702784990761261</v>
      </c>
      <c r="E17">
        <f t="shared" si="2"/>
        <v>0.98702784990761261</v>
      </c>
      <c r="F17">
        <f t="shared" si="2"/>
        <v>0.98702784990761261</v>
      </c>
      <c r="G17">
        <f t="shared" si="2"/>
        <v>0.98702784990761261</v>
      </c>
      <c r="H17">
        <f t="shared" si="2"/>
        <v>0.98702784990761261</v>
      </c>
      <c r="I17">
        <f t="shared" si="2"/>
        <v>0.98702784990761261</v>
      </c>
      <c r="J17">
        <f t="shared" si="2"/>
        <v>0.98702784990761261</v>
      </c>
      <c r="K17">
        <f t="shared" si="2"/>
        <v>0.98702784990761261</v>
      </c>
      <c r="L17">
        <f t="shared" si="2"/>
        <v>0.98702784990761261</v>
      </c>
      <c r="M17">
        <f t="shared" si="2"/>
        <v>0.98702784990761261</v>
      </c>
      <c r="N17">
        <f t="shared" si="2"/>
        <v>0.98702784990761261</v>
      </c>
      <c r="O17">
        <f t="shared" si="2"/>
        <v>0.98702784990761261</v>
      </c>
      <c r="P17">
        <f t="shared" si="2"/>
        <v>0.98702784990761261</v>
      </c>
      <c r="Q17">
        <f t="shared" si="2"/>
        <v>0.98702784990761261</v>
      </c>
      <c r="R17">
        <f t="shared" si="2"/>
        <v>0.98702784990761261</v>
      </c>
      <c r="S17">
        <f t="shared" si="3"/>
        <v>0.98702784990761261</v>
      </c>
      <c r="T17">
        <f t="shared" si="3"/>
        <v>0.98702784990761261</v>
      </c>
      <c r="U17">
        <f t="shared" si="3"/>
        <v>0.98702784990761261</v>
      </c>
      <c r="V17">
        <f t="shared" si="3"/>
        <v>0.98702784990761261</v>
      </c>
      <c r="W17">
        <f t="shared" si="3"/>
        <v>0.98702784990761261</v>
      </c>
      <c r="X17">
        <f t="shared" si="3"/>
        <v>0.98702784990761261</v>
      </c>
      <c r="Y17">
        <f t="shared" si="3"/>
        <v>0.98702784990761261</v>
      </c>
      <c r="Z17">
        <f t="shared" si="3"/>
        <v>0.98702784990761261</v>
      </c>
      <c r="AA17">
        <f t="shared" si="3"/>
        <v>0.98702784990761261</v>
      </c>
      <c r="AB17">
        <f t="shared" si="3"/>
        <v>0.98702784990761261</v>
      </c>
      <c r="AC17">
        <f t="shared" si="3"/>
        <v>0.98702784990761261</v>
      </c>
      <c r="AD17">
        <f t="shared" si="3"/>
        <v>0.98702784990761261</v>
      </c>
      <c r="AE17">
        <f t="shared" si="3"/>
        <v>0.98702784990761261</v>
      </c>
      <c r="AF17">
        <f t="shared" si="3"/>
        <v>0.98702784990761261</v>
      </c>
      <c r="AG17">
        <f t="shared" si="1"/>
        <v>0.98702784990761261</v>
      </c>
      <c r="AH17">
        <f t="shared" si="1"/>
        <v>0.98702784990761261</v>
      </c>
      <c r="AI17">
        <f t="shared" si="1"/>
        <v>0.98702784990761261</v>
      </c>
      <c r="AJ17">
        <f t="shared" si="1"/>
        <v>0.98702784990761261</v>
      </c>
      <c r="AK17">
        <f t="shared" si="1"/>
        <v>0.98702784990761261</v>
      </c>
      <c r="AL17">
        <f t="shared" si="1"/>
        <v>0.98702784990761261</v>
      </c>
      <c r="AM17">
        <f t="shared" si="1"/>
        <v>0.98702784990761261</v>
      </c>
      <c r="AN17">
        <f t="shared" si="1"/>
        <v>0.98702784990761261</v>
      </c>
      <c r="AO17">
        <f t="shared" si="1"/>
        <v>0.98702784990761261</v>
      </c>
      <c r="AP17">
        <f t="shared" si="1"/>
        <v>0.98702784990761261</v>
      </c>
    </row>
    <row r="18" spans="1:42" x14ac:dyDescent="0.2">
      <c r="A18" t="s">
        <v>389</v>
      </c>
      <c r="B18">
        <f>'Start Year Energy'!D72</f>
        <v>0.98459974644277137</v>
      </c>
      <c r="C18">
        <f t="shared" si="2"/>
        <v>0.98459974644277137</v>
      </c>
      <c r="D18">
        <f t="shared" si="2"/>
        <v>0.98459974644277137</v>
      </c>
      <c r="E18">
        <f t="shared" si="2"/>
        <v>0.98459974644277137</v>
      </c>
      <c r="F18">
        <f t="shared" si="2"/>
        <v>0.98459974644277137</v>
      </c>
      <c r="G18">
        <f t="shared" si="2"/>
        <v>0.98459974644277137</v>
      </c>
      <c r="H18">
        <f t="shared" si="2"/>
        <v>0.98459974644277137</v>
      </c>
      <c r="I18">
        <f t="shared" si="2"/>
        <v>0.98459974644277137</v>
      </c>
      <c r="J18">
        <f t="shared" si="2"/>
        <v>0.98459974644277137</v>
      </c>
      <c r="K18">
        <f t="shared" si="2"/>
        <v>0.98459974644277137</v>
      </c>
      <c r="L18">
        <f t="shared" si="2"/>
        <v>0.98459974644277137</v>
      </c>
      <c r="M18">
        <f t="shared" si="2"/>
        <v>0.98459974644277137</v>
      </c>
      <c r="N18">
        <f t="shared" si="2"/>
        <v>0.98459974644277137</v>
      </c>
      <c r="O18">
        <f t="shared" si="2"/>
        <v>0.98459974644277137</v>
      </c>
      <c r="P18">
        <f t="shared" si="2"/>
        <v>0.98459974644277137</v>
      </c>
      <c r="Q18">
        <f t="shared" si="2"/>
        <v>0.98459974644277137</v>
      </c>
      <c r="R18">
        <f t="shared" si="2"/>
        <v>0.98459974644277137</v>
      </c>
      <c r="S18">
        <f t="shared" si="3"/>
        <v>0.98459974644277137</v>
      </c>
      <c r="T18">
        <f t="shared" si="3"/>
        <v>0.98459974644277137</v>
      </c>
      <c r="U18">
        <f t="shared" si="3"/>
        <v>0.98459974644277137</v>
      </c>
      <c r="V18">
        <f t="shared" si="3"/>
        <v>0.98459974644277137</v>
      </c>
      <c r="W18">
        <f t="shared" si="3"/>
        <v>0.98459974644277137</v>
      </c>
      <c r="X18">
        <f t="shared" si="3"/>
        <v>0.98459974644277137</v>
      </c>
      <c r="Y18">
        <f t="shared" si="3"/>
        <v>0.98459974644277137</v>
      </c>
      <c r="Z18">
        <f t="shared" si="3"/>
        <v>0.98459974644277137</v>
      </c>
      <c r="AA18">
        <f t="shared" si="3"/>
        <v>0.98459974644277137</v>
      </c>
      <c r="AB18">
        <f t="shared" si="3"/>
        <v>0.98459974644277137</v>
      </c>
      <c r="AC18">
        <f t="shared" si="3"/>
        <v>0.98459974644277137</v>
      </c>
      <c r="AD18">
        <f t="shared" si="3"/>
        <v>0.98459974644277137</v>
      </c>
      <c r="AE18">
        <f t="shared" si="3"/>
        <v>0.98459974644277137</v>
      </c>
      <c r="AF18">
        <f t="shared" si="3"/>
        <v>0.98459974644277137</v>
      </c>
      <c r="AG18">
        <f t="shared" si="3"/>
        <v>0.98459974644277137</v>
      </c>
      <c r="AH18">
        <f t="shared" si="3"/>
        <v>0.98459974644277137</v>
      </c>
      <c r="AI18">
        <f t="shared" si="3"/>
        <v>0.98459974644277137</v>
      </c>
      <c r="AJ18">
        <f t="shared" si="3"/>
        <v>0.98459974644277137</v>
      </c>
      <c r="AK18">
        <f t="shared" si="3"/>
        <v>0.98459974644277137</v>
      </c>
      <c r="AL18">
        <f t="shared" si="3"/>
        <v>0.98459974644277137</v>
      </c>
      <c r="AM18">
        <f t="shared" si="3"/>
        <v>0.98459974644277137</v>
      </c>
      <c r="AN18">
        <f t="shared" si="3"/>
        <v>0.98459974644277137</v>
      </c>
      <c r="AO18">
        <f t="shared" si="3"/>
        <v>0.98459974644277137</v>
      </c>
      <c r="AP18">
        <f t="shared" ref="AP18:AP23" si="4">$B18</f>
        <v>0.98459974644277137</v>
      </c>
    </row>
    <row r="19" spans="1:42" x14ac:dyDescent="0.2">
      <c r="A19" t="s">
        <v>390</v>
      </c>
      <c r="B19">
        <f>'Start Year Energy'!D73</f>
        <v>0.98667416072040315</v>
      </c>
      <c r="C19">
        <f t="shared" si="2"/>
        <v>0.98667416072040315</v>
      </c>
      <c r="D19">
        <f t="shared" si="2"/>
        <v>0.98667416072040315</v>
      </c>
      <c r="E19">
        <f t="shared" si="2"/>
        <v>0.98667416072040315</v>
      </c>
      <c r="F19">
        <f t="shared" si="2"/>
        <v>0.98667416072040315</v>
      </c>
      <c r="G19">
        <f t="shared" si="2"/>
        <v>0.98667416072040315</v>
      </c>
      <c r="H19">
        <f t="shared" si="2"/>
        <v>0.98667416072040315</v>
      </c>
      <c r="I19">
        <f t="shared" si="2"/>
        <v>0.98667416072040315</v>
      </c>
      <c r="J19">
        <f t="shared" si="2"/>
        <v>0.98667416072040315</v>
      </c>
      <c r="K19">
        <f t="shared" si="2"/>
        <v>0.98667416072040315</v>
      </c>
      <c r="L19">
        <f t="shared" si="2"/>
        <v>0.98667416072040315</v>
      </c>
      <c r="M19">
        <f t="shared" si="2"/>
        <v>0.98667416072040315</v>
      </c>
      <c r="N19">
        <f t="shared" si="2"/>
        <v>0.98667416072040315</v>
      </c>
      <c r="O19">
        <f t="shared" si="2"/>
        <v>0.98667416072040315</v>
      </c>
      <c r="P19">
        <f t="shared" si="2"/>
        <v>0.98667416072040315</v>
      </c>
      <c r="Q19">
        <f t="shared" si="2"/>
        <v>0.98667416072040315</v>
      </c>
      <c r="R19">
        <f t="shared" si="2"/>
        <v>0.98667416072040315</v>
      </c>
      <c r="S19">
        <f t="shared" si="3"/>
        <v>0.98667416072040315</v>
      </c>
      <c r="T19">
        <f t="shared" si="3"/>
        <v>0.98667416072040315</v>
      </c>
      <c r="U19">
        <f t="shared" si="3"/>
        <v>0.98667416072040315</v>
      </c>
      <c r="V19">
        <f t="shared" si="3"/>
        <v>0.98667416072040315</v>
      </c>
      <c r="W19">
        <f t="shared" si="3"/>
        <v>0.98667416072040315</v>
      </c>
      <c r="X19">
        <f t="shared" si="3"/>
        <v>0.98667416072040315</v>
      </c>
      <c r="Y19">
        <f t="shared" si="3"/>
        <v>0.98667416072040315</v>
      </c>
      <c r="Z19">
        <f t="shared" si="3"/>
        <v>0.98667416072040315</v>
      </c>
      <c r="AA19">
        <f t="shared" si="3"/>
        <v>0.98667416072040315</v>
      </c>
      <c r="AB19">
        <f t="shared" si="3"/>
        <v>0.98667416072040315</v>
      </c>
      <c r="AC19">
        <f t="shared" si="3"/>
        <v>0.98667416072040315</v>
      </c>
      <c r="AD19">
        <f t="shared" si="3"/>
        <v>0.98667416072040315</v>
      </c>
      <c r="AE19">
        <f t="shared" si="3"/>
        <v>0.98667416072040315</v>
      </c>
      <c r="AF19">
        <f t="shared" si="3"/>
        <v>0.98667416072040315</v>
      </c>
      <c r="AG19">
        <f t="shared" si="3"/>
        <v>0.98667416072040315</v>
      </c>
      <c r="AH19">
        <f t="shared" si="3"/>
        <v>0.98667416072040315</v>
      </c>
      <c r="AI19">
        <f t="shared" si="3"/>
        <v>0.98667416072040315</v>
      </c>
      <c r="AJ19">
        <f t="shared" si="3"/>
        <v>0.98667416072040315</v>
      </c>
      <c r="AK19">
        <f t="shared" si="3"/>
        <v>0.98667416072040315</v>
      </c>
      <c r="AL19">
        <f t="shared" si="3"/>
        <v>0.98667416072040315</v>
      </c>
      <c r="AM19">
        <f t="shared" si="3"/>
        <v>0.98667416072040315</v>
      </c>
      <c r="AN19">
        <f t="shared" si="3"/>
        <v>0.98667416072040315</v>
      </c>
      <c r="AO19">
        <f t="shared" si="3"/>
        <v>0.98667416072040315</v>
      </c>
      <c r="AP19">
        <f t="shared" si="4"/>
        <v>0.98667416072040315</v>
      </c>
    </row>
    <row r="20" spans="1:42" x14ac:dyDescent="0.2">
      <c r="A20" t="s">
        <v>391</v>
      </c>
      <c r="B20">
        <f>'Start Year Energy'!D74</f>
        <v>0.98813888401414163</v>
      </c>
      <c r="C20">
        <f t="shared" si="2"/>
        <v>0.98813888401414163</v>
      </c>
      <c r="D20">
        <f t="shared" si="2"/>
        <v>0.98813888401414163</v>
      </c>
      <c r="E20">
        <f t="shared" si="2"/>
        <v>0.98813888401414163</v>
      </c>
      <c r="F20">
        <f t="shared" si="2"/>
        <v>0.98813888401414163</v>
      </c>
      <c r="G20">
        <f t="shared" si="2"/>
        <v>0.98813888401414163</v>
      </c>
      <c r="H20">
        <f t="shared" si="2"/>
        <v>0.98813888401414163</v>
      </c>
      <c r="I20">
        <f t="shared" si="2"/>
        <v>0.98813888401414163</v>
      </c>
      <c r="J20">
        <f t="shared" si="2"/>
        <v>0.98813888401414163</v>
      </c>
      <c r="K20">
        <f t="shared" si="2"/>
        <v>0.98813888401414163</v>
      </c>
      <c r="L20">
        <f t="shared" si="2"/>
        <v>0.98813888401414163</v>
      </c>
      <c r="M20">
        <f t="shared" si="2"/>
        <v>0.98813888401414163</v>
      </c>
      <c r="N20">
        <f t="shared" si="2"/>
        <v>0.98813888401414163</v>
      </c>
      <c r="O20">
        <f t="shared" si="2"/>
        <v>0.98813888401414163</v>
      </c>
      <c r="P20">
        <f t="shared" si="2"/>
        <v>0.98813888401414163</v>
      </c>
      <c r="Q20">
        <f t="shared" si="2"/>
        <v>0.98813888401414163</v>
      </c>
      <c r="R20">
        <f t="shared" si="2"/>
        <v>0.98813888401414163</v>
      </c>
      <c r="S20">
        <f t="shared" si="3"/>
        <v>0.98813888401414163</v>
      </c>
      <c r="T20">
        <f t="shared" si="3"/>
        <v>0.98813888401414163</v>
      </c>
      <c r="U20">
        <f t="shared" si="3"/>
        <v>0.98813888401414163</v>
      </c>
      <c r="V20">
        <f t="shared" si="3"/>
        <v>0.98813888401414163</v>
      </c>
      <c r="W20">
        <f t="shared" si="3"/>
        <v>0.98813888401414163</v>
      </c>
      <c r="X20">
        <f t="shared" si="3"/>
        <v>0.98813888401414163</v>
      </c>
      <c r="Y20">
        <f t="shared" si="3"/>
        <v>0.98813888401414163</v>
      </c>
      <c r="Z20">
        <f t="shared" si="3"/>
        <v>0.98813888401414163</v>
      </c>
      <c r="AA20">
        <f t="shared" si="3"/>
        <v>0.98813888401414163</v>
      </c>
      <c r="AB20">
        <f t="shared" si="3"/>
        <v>0.98813888401414163</v>
      </c>
      <c r="AC20">
        <f t="shared" si="3"/>
        <v>0.98813888401414163</v>
      </c>
      <c r="AD20">
        <f t="shared" si="3"/>
        <v>0.98813888401414163</v>
      </c>
      <c r="AE20">
        <f t="shared" si="3"/>
        <v>0.98813888401414163</v>
      </c>
      <c r="AF20">
        <f t="shared" si="3"/>
        <v>0.98813888401414163</v>
      </c>
      <c r="AG20">
        <f t="shared" si="3"/>
        <v>0.98813888401414163</v>
      </c>
      <c r="AH20">
        <f t="shared" si="3"/>
        <v>0.98813888401414163</v>
      </c>
      <c r="AI20">
        <f t="shared" si="3"/>
        <v>0.98813888401414163</v>
      </c>
      <c r="AJ20">
        <f t="shared" si="3"/>
        <v>0.98813888401414163</v>
      </c>
      <c r="AK20">
        <f t="shared" si="3"/>
        <v>0.98813888401414163</v>
      </c>
      <c r="AL20">
        <f t="shared" si="3"/>
        <v>0.98813888401414163</v>
      </c>
      <c r="AM20">
        <f t="shared" si="3"/>
        <v>0.98813888401414163</v>
      </c>
      <c r="AN20">
        <f t="shared" si="3"/>
        <v>0.98813888401414163</v>
      </c>
      <c r="AO20">
        <f t="shared" si="3"/>
        <v>0.98813888401414163</v>
      </c>
      <c r="AP20">
        <f t="shared" si="4"/>
        <v>0.98813888401414163</v>
      </c>
    </row>
    <row r="21" spans="1:42" x14ac:dyDescent="0.2">
      <c r="A21" t="s">
        <v>392</v>
      </c>
      <c r="B21">
        <f>'Start Year Energy'!D75</f>
        <v>0.98652004609595578</v>
      </c>
      <c r="C21">
        <f t="shared" si="2"/>
        <v>0.98652004609595578</v>
      </c>
      <c r="D21">
        <f t="shared" si="2"/>
        <v>0.98652004609595578</v>
      </c>
      <c r="E21">
        <f t="shared" si="2"/>
        <v>0.98652004609595578</v>
      </c>
      <c r="F21">
        <f t="shared" si="2"/>
        <v>0.98652004609595578</v>
      </c>
      <c r="G21">
        <f t="shared" si="2"/>
        <v>0.98652004609595578</v>
      </c>
      <c r="H21">
        <f t="shared" si="2"/>
        <v>0.98652004609595578</v>
      </c>
      <c r="I21">
        <f t="shared" si="2"/>
        <v>0.98652004609595578</v>
      </c>
      <c r="J21">
        <f t="shared" si="2"/>
        <v>0.98652004609595578</v>
      </c>
      <c r="K21">
        <f t="shared" si="2"/>
        <v>0.98652004609595578</v>
      </c>
      <c r="L21">
        <f t="shared" si="2"/>
        <v>0.98652004609595578</v>
      </c>
      <c r="M21">
        <f t="shared" si="2"/>
        <v>0.98652004609595578</v>
      </c>
      <c r="N21">
        <f t="shared" si="2"/>
        <v>0.98652004609595578</v>
      </c>
      <c r="O21">
        <f t="shared" si="2"/>
        <v>0.98652004609595578</v>
      </c>
      <c r="P21">
        <f t="shared" si="2"/>
        <v>0.98652004609595578</v>
      </c>
      <c r="Q21">
        <f t="shared" si="2"/>
        <v>0.98652004609595578</v>
      </c>
      <c r="R21">
        <f t="shared" si="2"/>
        <v>0.98652004609595578</v>
      </c>
      <c r="S21">
        <f t="shared" si="3"/>
        <v>0.98652004609595578</v>
      </c>
      <c r="T21">
        <f t="shared" si="3"/>
        <v>0.98652004609595578</v>
      </c>
      <c r="U21">
        <f t="shared" si="3"/>
        <v>0.98652004609595578</v>
      </c>
      <c r="V21">
        <f t="shared" si="3"/>
        <v>0.98652004609595578</v>
      </c>
      <c r="W21">
        <f t="shared" si="3"/>
        <v>0.98652004609595578</v>
      </c>
      <c r="X21">
        <f t="shared" si="3"/>
        <v>0.98652004609595578</v>
      </c>
      <c r="Y21">
        <f t="shared" si="3"/>
        <v>0.98652004609595578</v>
      </c>
      <c r="Z21">
        <f t="shared" si="3"/>
        <v>0.98652004609595578</v>
      </c>
      <c r="AA21">
        <f t="shared" si="3"/>
        <v>0.98652004609595578</v>
      </c>
      <c r="AB21">
        <f t="shared" si="3"/>
        <v>0.98652004609595578</v>
      </c>
      <c r="AC21">
        <f t="shared" si="3"/>
        <v>0.98652004609595578</v>
      </c>
      <c r="AD21">
        <f t="shared" si="3"/>
        <v>0.98652004609595578</v>
      </c>
      <c r="AE21">
        <f t="shared" si="3"/>
        <v>0.98652004609595578</v>
      </c>
      <c r="AF21">
        <f t="shared" si="3"/>
        <v>0.98652004609595578</v>
      </c>
      <c r="AG21">
        <f t="shared" si="3"/>
        <v>0.98652004609595578</v>
      </c>
      <c r="AH21">
        <f t="shared" si="3"/>
        <v>0.98652004609595578</v>
      </c>
      <c r="AI21">
        <f t="shared" si="3"/>
        <v>0.98652004609595578</v>
      </c>
      <c r="AJ21">
        <f t="shared" si="3"/>
        <v>0.98652004609595578</v>
      </c>
      <c r="AK21">
        <f t="shared" si="3"/>
        <v>0.98652004609595578</v>
      </c>
      <c r="AL21">
        <f t="shared" si="3"/>
        <v>0.98652004609595578</v>
      </c>
      <c r="AM21">
        <f t="shared" si="3"/>
        <v>0.98652004609595578</v>
      </c>
      <c r="AN21">
        <f t="shared" si="3"/>
        <v>0.98652004609595578</v>
      </c>
      <c r="AO21">
        <f t="shared" si="3"/>
        <v>0.98652004609595578</v>
      </c>
      <c r="AP21">
        <f t="shared" si="4"/>
        <v>0.98652004609595578</v>
      </c>
    </row>
    <row r="22" spans="1:42" x14ac:dyDescent="0.2">
      <c r="A22" t="s">
        <v>393</v>
      </c>
      <c r="B22">
        <f>'Start Year Energy'!D76</f>
        <v>0.98667624907570184</v>
      </c>
      <c r="C22">
        <f t="shared" si="2"/>
        <v>0.98667624907570184</v>
      </c>
      <c r="D22">
        <f t="shared" si="2"/>
        <v>0.98667624907570184</v>
      </c>
      <c r="E22">
        <f t="shared" si="2"/>
        <v>0.98667624907570184</v>
      </c>
      <c r="F22">
        <f t="shared" si="2"/>
        <v>0.98667624907570184</v>
      </c>
      <c r="G22">
        <f t="shared" si="2"/>
        <v>0.98667624907570184</v>
      </c>
      <c r="H22">
        <f t="shared" si="2"/>
        <v>0.98667624907570184</v>
      </c>
      <c r="I22">
        <f t="shared" si="2"/>
        <v>0.98667624907570184</v>
      </c>
      <c r="J22">
        <f t="shared" si="2"/>
        <v>0.98667624907570184</v>
      </c>
      <c r="K22">
        <f t="shared" si="2"/>
        <v>0.98667624907570184</v>
      </c>
      <c r="L22">
        <f t="shared" si="2"/>
        <v>0.98667624907570184</v>
      </c>
      <c r="M22">
        <f t="shared" si="2"/>
        <v>0.98667624907570184</v>
      </c>
      <c r="N22">
        <f t="shared" si="2"/>
        <v>0.98667624907570184</v>
      </c>
      <c r="O22">
        <f t="shared" si="2"/>
        <v>0.98667624907570184</v>
      </c>
      <c r="P22">
        <f t="shared" si="2"/>
        <v>0.98667624907570184</v>
      </c>
      <c r="Q22">
        <f t="shared" si="2"/>
        <v>0.98667624907570184</v>
      </c>
      <c r="R22">
        <f t="shared" si="2"/>
        <v>0.98667624907570184</v>
      </c>
      <c r="S22">
        <f t="shared" si="3"/>
        <v>0.98667624907570184</v>
      </c>
      <c r="T22">
        <f t="shared" si="3"/>
        <v>0.98667624907570184</v>
      </c>
      <c r="U22">
        <f t="shared" si="3"/>
        <v>0.98667624907570184</v>
      </c>
      <c r="V22">
        <f t="shared" si="3"/>
        <v>0.98667624907570184</v>
      </c>
      <c r="W22">
        <f t="shared" si="3"/>
        <v>0.98667624907570184</v>
      </c>
      <c r="X22">
        <f t="shared" si="3"/>
        <v>0.98667624907570184</v>
      </c>
      <c r="Y22">
        <f t="shared" si="3"/>
        <v>0.98667624907570184</v>
      </c>
      <c r="Z22">
        <f t="shared" si="3"/>
        <v>0.98667624907570184</v>
      </c>
      <c r="AA22">
        <f t="shared" si="3"/>
        <v>0.98667624907570184</v>
      </c>
      <c r="AB22">
        <f t="shared" si="3"/>
        <v>0.98667624907570184</v>
      </c>
      <c r="AC22">
        <f t="shared" si="3"/>
        <v>0.98667624907570184</v>
      </c>
      <c r="AD22">
        <f t="shared" si="3"/>
        <v>0.98667624907570184</v>
      </c>
      <c r="AE22">
        <f t="shared" si="3"/>
        <v>0.98667624907570184</v>
      </c>
      <c r="AF22">
        <f t="shared" si="3"/>
        <v>0.98667624907570184</v>
      </c>
      <c r="AG22">
        <f t="shared" si="3"/>
        <v>0.98667624907570184</v>
      </c>
      <c r="AH22">
        <f t="shared" si="3"/>
        <v>0.98667624907570184</v>
      </c>
      <c r="AI22">
        <f t="shared" si="3"/>
        <v>0.98667624907570184</v>
      </c>
      <c r="AJ22">
        <f t="shared" si="3"/>
        <v>0.98667624907570184</v>
      </c>
      <c r="AK22">
        <f t="shared" si="3"/>
        <v>0.98667624907570184</v>
      </c>
      <c r="AL22">
        <f t="shared" si="3"/>
        <v>0.98667624907570184</v>
      </c>
      <c r="AM22">
        <f t="shared" si="3"/>
        <v>0.98667624907570184</v>
      </c>
      <c r="AN22">
        <f t="shared" si="3"/>
        <v>0.98667624907570184</v>
      </c>
      <c r="AO22">
        <f t="shared" si="3"/>
        <v>0.98667624907570184</v>
      </c>
      <c r="AP22">
        <f t="shared" si="4"/>
        <v>0.98667624907570184</v>
      </c>
    </row>
    <row r="23" spans="1:42" x14ac:dyDescent="0.2">
      <c r="A23" t="s">
        <v>394</v>
      </c>
      <c r="B23">
        <f>'Start Year Energy'!D77</f>
        <v>0.98438520938057128</v>
      </c>
      <c r="C23">
        <f t="shared" si="2"/>
        <v>0.98438520938057128</v>
      </c>
      <c r="D23">
        <f t="shared" si="2"/>
        <v>0.98438520938057128</v>
      </c>
      <c r="E23">
        <f t="shared" si="2"/>
        <v>0.98438520938057128</v>
      </c>
      <c r="F23">
        <f t="shared" si="2"/>
        <v>0.98438520938057128</v>
      </c>
      <c r="G23">
        <f t="shared" si="2"/>
        <v>0.98438520938057128</v>
      </c>
      <c r="H23">
        <f t="shared" si="2"/>
        <v>0.98438520938057128</v>
      </c>
      <c r="I23">
        <f t="shared" si="2"/>
        <v>0.98438520938057128</v>
      </c>
      <c r="J23">
        <f t="shared" si="2"/>
        <v>0.98438520938057128</v>
      </c>
      <c r="K23">
        <f t="shared" si="2"/>
        <v>0.98438520938057128</v>
      </c>
      <c r="L23">
        <f t="shared" si="2"/>
        <v>0.98438520938057128</v>
      </c>
      <c r="M23">
        <f t="shared" si="2"/>
        <v>0.98438520938057128</v>
      </c>
      <c r="N23">
        <f t="shared" si="2"/>
        <v>0.98438520938057128</v>
      </c>
      <c r="O23">
        <f t="shared" si="2"/>
        <v>0.98438520938057128</v>
      </c>
      <c r="P23">
        <f t="shared" si="2"/>
        <v>0.98438520938057128</v>
      </c>
      <c r="Q23">
        <f t="shared" si="2"/>
        <v>0.98438520938057128</v>
      </c>
      <c r="R23">
        <f t="shared" si="2"/>
        <v>0.98438520938057128</v>
      </c>
      <c r="S23">
        <f t="shared" si="3"/>
        <v>0.98438520938057128</v>
      </c>
      <c r="T23">
        <f t="shared" si="3"/>
        <v>0.98438520938057128</v>
      </c>
      <c r="U23">
        <f t="shared" si="3"/>
        <v>0.98438520938057128</v>
      </c>
      <c r="V23">
        <f t="shared" si="3"/>
        <v>0.98438520938057128</v>
      </c>
      <c r="W23">
        <f t="shared" si="3"/>
        <v>0.98438520938057128</v>
      </c>
      <c r="X23">
        <f t="shared" si="3"/>
        <v>0.98438520938057128</v>
      </c>
      <c r="Y23">
        <f t="shared" si="3"/>
        <v>0.98438520938057128</v>
      </c>
      <c r="Z23">
        <f t="shared" si="3"/>
        <v>0.98438520938057128</v>
      </c>
      <c r="AA23">
        <f t="shared" si="3"/>
        <v>0.98438520938057128</v>
      </c>
      <c r="AB23">
        <f t="shared" si="3"/>
        <v>0.98438520938057128</v>
      </c>
      <c r="AC23">
        <f t="shared" si="3"/>
        <v>0.98438520938057128</v>
      </c>
      <c r="AD23">
        <f t="shared" si="3"/>
        <v>0.98438520938057128</v>
      </c>
      <c r="AE23">
        <f t="shared" si="3"/>
        <v>0.98438520938057128</v>
      </c>
      <c r="AF23">
        <f t="shared" si="3"/>
        <v>0.98438520938057128</v>
      </c>
      <c r="AG23">
        <f t="shared" si="3"/>
        <v>0.98438520938057128</v>
      </c>
      <c r="AH23">
        <f t="shared" si="3"/>
        <v>0.98438520938057128</v>
      </c>
      <c r="AI23">
        <f t="shared" si="3"/>
        <v>0.98438520938057128</v>
      </c>
      <c r="AJ23">
        <f t="shared" si="3"/>
        <v>0.98438520938057128</v>
      </c>
      <c r="AK23">
        <f t="shared" si="3"/>
        <v>0.98438520938057128</v>
      </c>
      <c r="AL23">
        <f t="shared" si="3"/>
        <v>0.98438520938057128</v>
      </c>
      <c r="AM23">
        <f t="shared" si="3"/>
        <v>0.98438520938057128</v>
      </c>
      <c r="AN23">
        <f t="shared" si="3"/>
        <v>0.98438520938057128</v>
      </c>
      <c r="AO23">
        <f t="shared" si="3"/>
        <v>0.98438520938057128</v>
      </c>
      <c r="AP23">
        <f t="shared" si="4"/>
        <v>0.98438520938057128</v>
      </c>
    </row>
    <row r="24" spans="1:42" x14ac:dyDescent="0.2">
      <c r="A24" t="s">
        <v>395</v>
      </c>
      <c r="B24">
        <f>'Start Year Energy'!D78</f>
        <v>5.8533786566075774E-2</v>
      </c>
      <c r="C24">
        <f t="shared" si="2"/>
        <v>5.8533786566075774E-2</v>
      </c>
      <c r="D24">
        <f t="shared" si="2"/>
        <v>5.8533786566075774E-2</v>
      </c>
      <c r="E24">
        <f t="shared" si="2"/>
        <v>5.8533786566075774E-2</v>
      </c>
      <c r="F24">
        <f t="shared" si="2"/>
        <v>5.8533786566075774E-2</v>
      </c>
      <c r="G24">
        <f t="shared" si="2"/>
        <v>5.8533786566075774E-2</v>
      </c>
      <c r="H24">
        <f t="shared" si="2"/>
        <v>5.8533786566075774E-2</v>
      </c>
      <c r="I24">
        <f t="shared" si="2"/>
        <v>5.8533786566075774E-2</v>
      </c>
      <c r="J24">
        <f t="shared" si="2"/>
        <v>5.8533786566075774E-2</v>
      </c>
      <c r="K24">
        <f t="shared" si="2"/>
        <v>5.8533786566075774E-2</v>
      </c>
      <c r="L24">
        <f t="shared" si="2"/>
        <v>5.8533786566075774E-2</v>
      </c>
      <c r="M24">
        <f t="shared" si="2"/>
        <v>5.8533786566075774E-2</v>
      </c>
      <c r="N24">
        <f t="shared" si="2"/>
        <v>5.8533786566075774E-2</v>
      </c>
      <c r="O24">
        <f t="shared" si="2"/>
        <v>5.8533786566075774E-2</v>
      </c>
      <c r="P24">
        <f t="shared" si="2"/>
        <v>5.8533786566075774E-2</v>
      </c>
      <c r="Q24">
        <f t="shared" si="2"/>
        <v>5.8533786566075774E-2</v>
      </c>
      <c r="R24">
        <f t="shared" si="2"/>
        <v>5.8533786566075774E-2</v>
      </c>
      <c r="S24">
        <f t="shared" si="3"/>
        <v>5.8533786566075774E-2</v>
      </c>
      <c r="T24">
        <f t="shared" si="3"/>
        <v>5.8533786566075774E-2</v>
      </c>
      <c r="U24">
        <f t="shared" si="3"/>
        <v>5.8533786566075774E-2</v>
      </c>
      <c r="V24">
        <f t="shared" si="3"/>
        <v>5.8533786566075774E-2</v>
      </c>
      <c r="W24">
        <f t="shared" si="3"/>
        <v>5.8533786566075774E-2</v>
      </c>
      <c r="X24">
        <f t="shared" si="3"/>
        <v>5.8533786566075774E-2</v>
      </c>
      <c r="Y24">
        <f t="shared" si="3"/>
        <v>5.8533786566075774E-2</v>
      </c>
      <c r="Z24">
        <f t="shared" si="3"/>
        <v>5.8533786566075774E-2</v>
      </c>
      <c r="AA24">
        <f t="shared" si="3"/>
        <v>5.8533786566075774E-2</v>
      </c>
      <c r="AB24">
        <f t="shared" si="3"/>
        <v>5.8533786566075774E-2</v>
      </c>
      <c r="AC24">
        <f t="shared" si="3"/>
        <v>5.8533786566075774E-2</v>
      </c>
      <c r="AD24">
        <f t="shared" si="3"/>
        <v>5.8533786566075774E-2</v>
      </c>
      <c r="AE24">
        <f t="shared" si="3"/>
        <v>5.8533786566075774E-2</v>
      </c>
      <c r="AF24">
        <f t="shared" ref="AF24:AP26" si="5">$B24</f>
        <v>5.8533786566075774E-2</v>
      </c>
      <c r="AG24">
        <f t="shared" si="5"/>
        <v>5.8533786566075774E-2</v>
      </c>
      <c r="AH24">
        <f t="shared" si="5"/>
        <v>5.8533786566075774E-2</v>
      </c>
      <c r="AI24">
        <f t="shared" si="5"/>
        <v>5.8533786566075774E-2</v>
      </c>
      <c r="AJ24">
        <f t="shared" si="5"/>
        <v>5.8533786566075774E-2</v>
      </c>
      <c r="AK24">
        <f t="shared" si="5"/>
        <v>5.8533786566075774E-2</v>
      </c>
      <c r="AL24">
        <f t="shared" si="5"/>
        <v>5.8533786566075774E-2</v>
      </c>
      <c r="AM24">
        <f t="shared" si="5"/>
        <v>5.8533786566075774E-2</v>
      </c>
      <c r="AN24">
        <f t="shared" si="5"/>
        <v>5.8533786566075774E-2</v>
      </c>
      <c r="AO24">
        <f t="shared" si="5"/>
        <v>5.8533786566075774E-2</v>
      </c>
      <c r="AP24">
        <f t="shared" si="5"/>
        <v>5.8533786566075774E-2</v>
      </c>
    </row>
    <row r="25" spans="1:42" x14ac:dyDescent="0.2">
      <c r="A25" t="s">
        <v>396</v>
      </c>
      <c r="B25">
        <f>'Start Year Energy'!D79</f>
        <v>0.98682533814392859</v>
      </c>
      <c r="C25">
        <f t="shared" si="2"/>
        <v>0.98682533814392859</v>
      </c>
      <c r="D25">
        <f t="shared" si="2"/>
        <v>0.98682533814392859</v>
      </c>
      <c r="E25">
        <f t="shared" si="2"/>
        <v>0.98682533814392859</v>
      </c>
      <c r="F25">
        <f t="shared" si="2"/>
        <v>0.98682533814392859</v>
      </c>
      <c r="G25">
        <f t="shared" si="2"/>
        <v>0.98682533814392859</v>
      </c>
      <c r="H25">
        <f t="shared" si="2"/>
        <v>0.98682533814392859</v>
      </c>
      <c r="I25">
        <f t="shared" si="2"/>
        <v>0.98682533814392859</v>
      </c>
      <c r="J25">
        <f t="shared" si="2"/>
        <v>0.98682533814392859</v>
      </c>
      <c r="K25">
        <f t="shared" si="2"/>
        <v>0.98682533814392859</v>
      </c>
      <c r="L25">
        <f t="shared" si="2"/>
        <v>0.98682533814392859</v>
      </c>
      <c r="M25">
        <f t="shared" si="2"/>
        <v>0.98682533814392859</v>
      </c>
      <c r="N25">
        <f t="shared" si="2"/>
        <v>0.98682533814392859</v>
      </c>
      <c r="O25">
        <f t="shared" si="2"/>
        <v>0.98682533814392859</v>
      </c>
      <c r="P25">
        <f t="shared" si="2"/>
        <v>0.98682533814392859</v>
      </c>
      <c r="Q25">
        <f t="shared" si="2"/>
        <v>0.98682533814392859</v>
      </c>
      <c r="R25">
        <f t="shared" si="2"/>
        <v>0.98682533814392859</v>
      </c>
      <c r="S25">
        <f t="shared" ref="S25:AF25" si="6">$B25</f>
        <v>0.98682533814392859</v>
      </c>
      <c r="T25">
        <f t="shared" si="6"/>
        <v>0.98682533814392859</v>
      </c>
      <c r="U25">
        <f t="shared" si="6"/>
        <v>0.98682533814392859</v>
      </c>
      <c r="V25">
        <f t="shared" si="6"/>
        <v>0.98682533814392859</v>
      </c>
      <c r="W25">
        <f t="shared" si="6"/>
        <v>0.98682533814392859</v>
      </c>
      <c r="X25">
        <f t="shared" si="6"/>
        <v>0.98682533814392859</v>
      </c>
      <c r="Y25">
        <f t="shared" si="6"/>
        <v>0.98682533814392859</v>
      </c>
      <c r="Z25">
        <f t="shared" si="6"/>
        <v>0.98682533814392859</v>
      </c>
      <c r="AA25">
        <f t="shared" si="6"/>
        <v>0.98682533814392859</v>
      </c>
      <c r="AB25">
        <f t="shared" si="6"/>
        <v>0.98682533814392859</v>
      </c>
      <c r="AC25">
        <f t="shared" si="6"/>
        <v>0.98682533814392859</v>
      </c>
      <c r="AD25">
        <f t="shared" si="6"/>
        <v>0.98682533814392859</v>
      </c>
      <c r="AE25">
        <f t="shared" si="6"/>
        <v>0.98682533814392859</v>
      </c>
      <c r="AF25">
        <f t="shared" si="6"/>
        <v>0.98682533814392859</v>
      </c>
      <c r="AG25">
        <f t="shared" si="5"/>
        <v>0.98682533814392859</v>
      </c>
      <c r="AH25">
        <f t="shared" si="5"/>
        <v>0.98682533814392859</v>
      </c>
      <c r="AI25">
        <f t="shared" si="5"/>
        <v>0.98682533814392859</v>
      </c>
      <c r="AJ25">
        <f t="shared" si="5"/>
        <v>0.98682533814392859</v>
      </c>
      <c r="AK25">
        <f t="shared" si="5"/>
        <v>0.98682533814392859</v>
      </c>
      <c r="AL25">
        <f t="shared" si="5"/>
        <v>0.98682533814392859</v>
      </c>
      <c r="AM25">
        <f t="shared" si="5"/>
        <v>0.98682533814392859</v>
      </c>
      <c r="AN25">
        <f t="shared" si="5"/>
        <v>0.98682533814392859</v>
      </c>
      <c r="AO25">
        <f t="shared" si="5"/>
        <v>0.98682533814392859</v>
      </c>
      <c r="AP25">
        <f t="shared" si="5"/>
        <v>0.98682533814392859</v>
      </c>
    </row>
    <row r="26" spans="1:42" x14ac:dyDescent="0.2">
      <c r="A26" t="s">
        <v>397</v>
      </c>
      <c r="B26">
        <f>'Start Year Energy'!D80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2CF0-7B9C-4175-89F6-64EFDA6C5163}">
  <sheetPr codeName="Sheet29">
    <tabColor theme="4"/>
  </sheetPr>
  <dimension ref="A1:AP26"/>
  <sheetViews>
    <sheetView workbookViewId="0">
      <selection activeCell="D34" sqref="D34"/>
    </sheetView>
  </sheetViews>
  <sheetFormatPr defaultRowHeight="14.25" x14ac:dyDescent="0.2"/>
  <cols>
    <col min="1" max="1" width="45.125" bestFit="1" customWidth="1"/>
  </cols>
  <sheetData>
    <row r="1" spans="1:42" x14ac:dyDescent="0.2">
      <c r="A1" t="s">
        <v>631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
      <c r="A2" t="s">
        <v>373</v>
      </c>
      <c r="B2">
        <f>'Start Year Energy'!F56</f>
        <v>1</v>
      </c>
      <c r="C2">
        <f>$B2</f>
        <v>1</v>
      </c>
      <c r="D2">
        <f t="shared" ref="D2:AF11" si="0">$B2</f>
        <v>1</v>
      </c>
      <c r="E2">
        <f t="shared" si="0"/>
        <v>1</v>
      </c>
      <c r="F2">
        <f t="shared" si="0"/>
        <v>1</v>
      </c>
      <c r="G2">
        <f t="shared" si="0"/>
        <v>1</v>
      </c>
      <c r="H2">
        <f t="shared" si="0"/>
        <v>1</v>
      </c>
      <c r="I2">
        <f t="shared" si="0"/>
        <v>1</v>
      </c>
      <c r="J2">
        <f t="shared" si="0"/>
        <v>1</v>
      </c>
      <c r="K2">
        <f t="shared" si="0"/>
        <v>1</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ref="AG2:AP17" si="1">$B2</f>
        <v>1</v>
      </c>
      <c r="AH2">
        <f t="shared" si="1"/>
        <v>1</v>
      </c>
      <c r="AI2">
        <f t="shared" si="1"/>
        <v>1</v>
      </c>
      <c r="AJ2">
        <f t="shared" si="1"/>
        <v>1</v>
      </c>
      <c r="AK2">
        <f t="shared" si="1"/>
        <v>1</v>
      </c>
      <c r="AL2">
        <f t="shared" si="1"/>
        <v>1</v>
      </c>
      <c r="AM2">
        <f t="shared" si="1"/>
        <v>1</v>
      </c>
      <c r="AN2">
        <f t="shared" si="1"/>
        <v>1</v>
      </c>
      <c r="AO2">
        <f t="shared" si="1"/>
        <v>1</v>
      </c>
      <c r="AP2">
        <f t="shared" si="1"/>
        <v>1</v>
      </c>
    </row>
    <row r="3" spans="1:42" x14ac:dyDescent="0.2">
      <c r="A3" t="s">
        <v>374</v>
      </c>
      <c r="B3">
        <f>'Start Year Energy'!F57</f>
        <v>0.97549683169766688</v>
      </c>
      <c r="C3">
        <f t="shared" ref="C3:R26" si="2">$B3</f>
        <v>0.97549683169766688</v>
      </c>
      <c r="D3">
        <f t="shared" si="2"/>
        <v>0.97549683169766688</v>
      </c>
      <c r="E3">
        <f t="shared" si="2"/>
        <v>0.97549683169766688</v>
      </c>
      <c r="F3">
        <f t="shared" si="2"/>
        <v>0.97549683169766688</v>
      </c>
      <c r="G3">
        <f t="shared" si="2"/>
        <v>0.97549683169766688</v>
      </c>
      <c r="H3">
        <f t="shared" si="2"/>
        <v>0.97549683169766688</v>
      </c>
      <c r="I3">
        <f t="shared" si="2"/>
        <v>0.97549683169766688</v>
      </c>
      <c r="J3">
        <f t="shared" si="2"/>
        <v>0.97549683169766688</v>
      </c>
      <c r="K3">
        <f t="shared" si="2"/>
        <v>0.97549683169766688</v>
      </c>
      <c r="L3">
        <f t="shared" si="2"/>
        <v>0.97549683169766688</v>
      </c>
      <c r="M3">
        <f t="shared" si="2"/>
        <v>0.97549683169766688</v>
      </c>
      <c r="N3">
        <f t="shared" si="2"/>
        <v>0.97549683169766688</v>
      </c>
      <c r="O3">
        <f t="shared" si="2"/>
        <v>0.97549683169766688</v>
      </c>
      <c r="P3">
        <f t="shared" si="2"/>
        <v>0.97549683169766688</v>
      </c>
      <c r="Q3">
        <f t="shared" si="2"/>
        <v>0.97549683169766688</v>
      </c>
      <c r="R3">
        <f t="shared" si="2"/>
        <v>0.97549683169766688</v>
      </c>
      <c r="S3">
        <f t="shared" si="0"/>
        <v>0.97549683169766688</v>
      </c>
      <c r="T3">
        <f t="shared" si="0"/>
        <v>0.97549683169766688</v>
      </c>
      <c r="U3">
        <f t="shared" si="0"/>
        <v>0.97549683169766688</v>
      </c>
      <c r="V3">
        <f t="shared" si="0"/>
        <v>0.97549683169766688</v>
      </c>
      <c r="W3">
        <f t="shared" si="0"/>
        <v>0.97549683169766688</v>
      </c>
      <c r="X3">
        <f t="shared" si="0"/>
        <v>0.97549683169766688</v>
      </c>
      <c r="Y3">
        <f t="shared" si="0"/>
        <v>0.97549683169766688</v>
      </c>
      <c r="Z3">
        <f t="shared" si="0"/>
        <v>0.97549683169766688</v>
      </c>
      <c r="AA3">
        <f t="shared" si="0"/>
        <v>0.97549683169766688</v>
      </c>
      <c r="AB3">
        <f t="shared" si="0"/>
        <v>0.97549683169766688</v>
      </c>
      <c r="AC3">
        <f t="shared" si="0"/>
        <v>0.97549683169766688</v>
      </c>
      <c r="AD3">
        <f t="shared" si="0"/>
        <v>0.97549683169766688</v>
      </c>
      <c r="AE3">
        <f t="shared" si="0"/>
        <v>0.97549683169766688</v>
      </c>
      <c r="AF3">
        <f t="shared" si="0"/>
        <v>0.97549683169766688</v>
      </c>
      <c r="AG3">
        <f t="shared" si="1"/>
        <v>0.97549683169766688</v>
      </c>
      <c r="AH3">
        <f t="shared" si="1"/>
        <v>0.97549683169766688</v>
      </c>
      <c r="AI3">
        <f t="shared" si="1"/>
        <v>0.97549683169766688</v>
      </c>
      <c r="AJ3">
        <f t="shared" si="1"/>
        <v>0.97549683169766688</v>
      </c>
      <c r="AK3">
        <f t="shared" si="1"/>
        <v>0.97549683169766688</v>
      </c>
      <c r="AL3">
        <f t="shared" si="1"/>
        <v>0.97549683169766688</v>
      </c>
      <c r="AM3">
        <f t="shared" si="1"/>
        <v>0.97549683169766688</v>
      </c>
      <c r="AN3">
        <f t="shared" si="1"/>
        <v>0.97549683169766688</v>
      </c>
      <c r="AO3">
        <f t="shared" si="1"/>
        <v>0.97549683169766688</v>
      </c>
      <c r="AP3">
        <f t="shared" si="1"/>
        <v>0.97549683169766688</v>
      </c>
    </row>
    <row r="4" spans="1:42" x14ac:dyDescent="0.2">
      <c r="A4" t="s">
        <v>375</v>
      </c>
      <c r="B4">
        <f>'Start Year Energy'!F58</f>
        <v>0.97994873196056409</v>
      </c>
      <c r="C4">
        <f t="shared" si="2"/>
        <v>0.97994873196056409</v>
      </c>
      <c r="D4">
        <f t="shared" si="0"/>
        <v>0.97994873196056409</v>
      </c>
      <c r="E4">
        <f t="shared" si="0"/>
        <v>0.97994873196056409</v>
      </c>
      <c r="F4">
        <f t="shared" si="0"/>
        <v>0.97994873196056409</v>
      </c>
      <c r="G4">
        <f t="shared" si="0"/>
        <v>0.97994873196056409</v>
      </c>
      <c r="H4">
        <f t="shared" si="0"/>
        <v>0.97994873196056409</v>
      </c>
      <c r="I4">
        <f t="shared" si="0"/>
        <v>0.97994873196056409</v>
      </c>
      <c r="J4">
        <f t="shared" si="0"/>
        <v>0.97994873196056409</v>
      </c>
      <c r="K4">
        <f t="shared" si="0"/>
        <v>0.97994873196056409</v>
      </c>
      <c r="L4">
        <f t="shared" si="0"/>
        <v>0.97994873196056409</v>
      </c>
      <c r="M4">
        <f t="shared" si="0"/>
        <v>0.97994873196056409</v>
      </c>
      <c r="N4">
        <f t="shared" si="0"/>
        <v>0.97994873196056409</v>
      </c>
      <c r="O4">
        <f t="shared" si="0"/>
        <v>0.97994873196056409</v>
      </c>
      <c r="P4">
        <f t="shared" si="0"/>
        <v>0.97994873196056409</v>
      </c>
      <c r="Q4">
        <f t="shared" si="0"/>
        <v>0.97994873196056409</v>
      </c>
      <c r="R4">
        <f t="shared" si="0"/>
        <v>0.97994873196056409</v>
      </c>
      <c r="S4">
        <f t="shared" si="0"/>
        <v>0.97994873196056409</v>
      </c>
      <c r="T4">
        <f t="shared" si="0"/>
        <v>0.97994873196056409</v>
      </c>
      <c r="U4">
        <f t="shared" si="0"/>
        <v>0.97994873196056409</v>
      </c>
      <c r="V4">
        <f t="shared" si="0"/>
        <v>0.97994873196056409</v>
      </c>
      <c r="W4">
        <f t="shared" si="0"/>
        <v>0.97994873196056409</v>
      </c>
      <c r="X4">
        <f t="shared" si="0"/>
        <v>0.97994873196056409</v>
      </c>
      <c r="Y4">
        <f t="shared" si="0"/>
        <v>0.97994873196056409</v>
      </c>
      <c r="Z4">
        <f t="shared" si="0"/>
        <v>0.97994873196056409</v>
      </c>
      <c r="AA4">
        <f t="shared" si="0"/>
        <v>0.97994873196056409</v>
      </c>
      <c r="AB4">
        <f t="shared" si="0"/>
        <v>0.97994873196056409</v>
      </c>
      <c r="AC4">
        <f t="shared" si="0"/>
        <v>0.97994873196056409</v>
      </c>
      <c r="AD4">
        <f t="shared" si="0"/>
        <v>0.97994873196056409</v>
      </c>
      <c r="AE4">
        <f t="shared" si="0"/>
        <v>0.97994873196056409</v>
      </c>
      <c r="AF4">
        <f t="shared" si="0"/>
        <v>0.97994873196056409</v>
      </c>
      <c r="AG4">
        <f t="shared" si="1"/>
        <v>0.97994873196056409</v>
      </c>
      <c r="AH4">
        <f t="shared" si="1"/>
        <v>0.97994873196056409</v>
      </c>
      <c r="AI4">
        <f t="shared" si="1"/>
        <v>0.97994873196056409</v>
      </c>
      <c r="AJ4">
        <f t="shared" si="1"/>
        <v>0.97994873196056409</v>
      </c>
      <c r="AK4">
        <f t="shared" si="1"/>
        <v>0.97994873196056409</v>
      </c>
      <c r="AL4">
        <f t="shared" si="1"/>
        <v>0.97994873196056409</v>
      </c>
      <c r="AM4">
        <f t="shared" si="1"/>
        <v>0.97994873196056409</v>
      </c>
      <c r="AN4">
        <f t="shared" si="1"/>
        <v>0.97994873196056409</v>
      </c>
      <c r="AO4">
        <f t="shared" si="1"/>
        <v>0.97994873196056409</v>
      </c>
      <c r="AP4">
        <f t="shared" si="1"/>
        <v>0.97994873196056409</v>
      </c>
    </row>
    <row r="5" spans="1:42" x14ac:dyDescent="0.2">
      <c r="A5" t="s">
        <v>376</v>
      </c>
      <c r="B5">
        <f>'Start Year Energy'!F59</f>
        <v>0.9761726549826758</v>
      </c>
      <c r="C5">
        <f t="shared" si="2"/>
        <v>0.9761726549826758</v>
      </c>
      <c r="D5">
        <f t="shared" si="0"/>
        <v>0.9761726549826758</v>
      </c>
      <c r="E5">
        <f t="shared" si="0"/>
        <v>0.9761726549826758</v>
      </c>
      <c r="F5">
        <f t="shared" si="0"/>
        <v>0.9761726549826758</v>
      </c>
      <c r="G5">
        <f t="shared" si="0"/>
        <v>0.9761726549826758</v>
      </c>
      <c r="H5">
        <f t="shared" si="0"/>
        <v>0.9761726549826758</v>
      </c>
      <c r="I5">
        <f t="shared" si="0"/>
        <v>0.9761726549826758</v>
      </c>
      <c r="J5">
        <f t="shared" si="0"/>
        <v>0.9761726549826758</v>
      </c>
      <c r="K5">
        <f t="shared" si="0"/>
        <v>0.9761726549826758</v>
      </c>
      <c r="L5">
        <f t="shared" si="0"/>
        <v>0.9761726549826758</v>
      </c>
      <c r="M5">
        <f t="shared" si="0"/>
        <v>0.9761726549826758</v>
      </c>
      <c r="N5">
        <f t="shared" si="0"/>
        <v>0.9761726549826758</v>
      </c>
      <c r="O5">
        <f t="shared" si="0"/>
        <v>0.9761726549826758</v>
      </c>
      <c r="P5">
        <f t="shared" si="0"/>
        <v>0.9761726549826758</v>
      </c>
      <c r="Q5">
        <f t="shared" si="0"/>
        <v>0.9761726549826758</v>
      </c>
      <c r="R5">
        <f t="shared" si="0"/>
        <v>0.9761726549826758</v>
      </c>
      <c r="S5">
        <f t="shared" si="0"/>
        <v>0.9761726549826758</v>
      </c>
      <c r="T5">
        <f t="shared" si="0"/>
        <v>0.9761726549826758</v>
      </c>
      <c r="U5">
        <f t="shared" si="0"/>
        <v>0.9761726549826758</v>
      </c>
      <c r="V5">
        <f t="shared" si="0"/>
        <v>0.9761726549826758</v>
      </c>
      <c r="W5">
        <f t="shared" si="0"/>
        <v>0.9761726549826758</v>
      </c>
      <c r="X5">
        <f t="shared" si="0"/>
        <v>0.9761726549826758</v>
      </c>
      <c r="Y5">
        <f t="shared" si="0"/>
        <v>0.9761726549826758</v>
      </c>
      <c r="Z5">
        <f t="shared" si="0"/>
        <v>0.9761726549826758</v>
      </c>
      <c r="AA5">
        <f t="shared" si="0"/>
        <v>0.9761726549826758</v>
      </c>
      <c r="AB5">
        <f t="shared" si="0"/>
        <v>0.9761726549826758</v>
      </c>
      <c r="AC5">
        <f t="shared" si="0"/>
        <v>0.9761726549826758</v>
      </c>
      <c r="AD5">
        <f t="shared" si="0"/>
        <v>0.9761726549826758</v>
      </c>
      <c r="AE5">
        <f t="shared" si="0"/>
        <v>0.9761726549826758</v>
      </c>
      <c r="AF5">
        <f t="shared" si="0"/>
        <v>0.9761726549826758</v>
      </c>
      <c r="AG5">
        <f t="shared" si="1"/>
        <v>0.9761726549826758</v>
      </c>
      <c r="AH5">
        <f t="shared" si="1"/>
        <v>0.9761726549826758</v>
      </c>
      <c r="AI5">
        <f t="shared" si="1"/>
        <v>0.9761726549826758</v>
      </c>
      <c r="AJ5">
        <f t="shared" si="1"/>
        <v>0.9761726549826758</v>
      </c>
      <c r="AK5">
        <f t="shared" si="1"/>
        <v>0.9761726549826758</v>
      </c>
      <c r="AL5">
        <f t="shared" si="1"/>
        <v>0.9761726549826758</v>
      </c>
      <c r="AM5">
        <f t="shared" si="1"/>
        <v>0.9761726549826758</v>
      </c>
      <c r="AN5">
        <f t="shared" si="1"/>
        <v>0.9761726549826758</v>
      </c>
      <c r="AO5">
        <f t="shared" si="1"/>
        <v>0.9761726549826758</v>
      </c>
      <c r="AP5">
        <f t="shared" si="1"/>
        <v>0.9761726549826758</v>
      </c>
    </row>
    <row r="6" spans="1:42" x14ac:dyDescent="0.2">
      <c r="A6" t="s">
        <v>377</v>
      </c>
      <c r="B6">
        <f>'Start Year Energy'!F60</f>
        <v>0.98248473809651427</v>
      </c>
      <c r="C6">
        <f t="shared" si="2"/>
        <v>0.98248473809651427</v>
      </c>
      <c r="D6">
        <f t="shared" si="0"/>
        <v>0.98248473809651427</v>
      </c>
      <c r="E6">
        <f t="shared" si="0"/>
        <v>0.98248473809651427</v>
      </c>
      <c r="F6">
        <f t="shared" si="0"/>
        <v>0.98248473809651427</v>
      </c>
      <c r="G6">
        <f t="shared" si="0"/>
        <v>0.98248473809651427</v>
      </c>
      <c r="H6">
        <f t="shared" si="0"/>
        <v>0.98248473809651427</v>
      </c>
      <c r="I6">
        <f t="shared" si="0"/>
        <v>0.98248473809651427</v>
      </c>
      <c r="J6">
        <f t="shared" si="0"/>
        <v>0.98248473809651427</v>
      </c>
      <c r="K6">
        <f t="shared" si="0"/>
        <v>0.98248473809651427</v>
      </c>
      <c r="L6">
        <f t="shared" si="0"/>
        <v>0.98248473809651427</v>
      </c>
      <c r="M6">
        <f t="shared" si="0"/>
        <v>0.98248473809651427</v>
      </c>
      <c r="N6">
        <f t="shared" si="0"/>
        <v>0.98248473809651427</v>
      </c>
      <c r="O6">
        <f t="shared" si="0"/>
        <v>0.98248473809651427</v>
      </c>
      <c r="P6">
        <f t="shared" si="0"/>
        <v>0.98248473809651427</v>
      </c>
      <c r="Q6">
        <f t="shared" si="0"/>
        <v>0.98248473809651427</v>
      </c>
      <c r="R6">
        <f t="shared" si="0"/>
        <v>0.98248473809651427</v>
      </c>
      <c r="S6">
        <f t="shared" si="0"/>
        <v>0.98248473809651427</v>
      </c>
      <c r="T6">
        <f t="shared" si="0"/>
        <v>0.98248473809651427</v>
      </c>
      <c r="U6">
        <f t="shared" si="0"/>
        <v>0.98248473809651427</v>
      </c>
      <c r="V6">
        <f t="shared" si="0"/>
        <v>0.98248473809651427</v>
      </c>
      <c r="W6">
        <f t="shared" si="0"/>
        <v>0.98248473809651427</v>
      </c>
      <c r="X6">
        <f t="shared" si="0"/>
        <v>0.98248473809651427</v>
      </c>
      <c r="Y6">
        <f t="shared" si="0"/>
        <v>0.98248473809651427</v>
      </c>
      <c r="Z6">
        <f t="shared" si="0"/>
        <v>0.98248473809651427</v>
      </c>
      <c r="AA6">
        <f t="shared" si="0"/>
        <v>0.98248473809651427</v>
      </c>
      <c r="AB6">
        <f t="shared" si="0"/>
        <v>0.98248473809651427</v>
      </c>
      <c r="AC6">
        <f t="shared" si="0"/>
        <v>0.98248473809651427</v>
      </c>
      <c r="AD6">
        <f t="shared" si="0"/>
        <v>0.98248473809651427</v>
      </c>
      <c r="AE6">
        <f t="shared" si="0"/>
        <v>0.98248473809651427</v>
      </c>
      <c r="AF6">
        <f t="shared" si="0"/>
        <v>0.98248473809651427</v>
      </c>
      <c r="AG6">
        <f t="shared" si="1"/>
        <v>0.98248473809651427</v>
      </c>
      <c r="AH6">
        <f t="shared" si="1"/>
        <v>0.98248473809651427</v>
      </c>
      <c r="AI6">
        <f t="shared" si="1"/>
        <v>0.98248473809651427</v>
      </c>
      <c r="AJ6">
        <f t="shared" si="1"/>
        <v>0.98248473809651427</v>
      </c>
      <c r="AK6">
        <f t="shared" si="1"/>
        <v>0.98248473809651427</v>
      </c>
      <c r="AL6">
        <f t="shared" si="1"/>
        <v>0.98248473809651427</v>
      </c>
      <c r="AM6">
        <f t="shared" si="1"/>
        <v>0.98248473809651427</v>
      </c>
      <c r="AN6">
        <f t="shared" si="1"/>
        <v>0.98248473809651427</v>
      </c>
      <c r="AO6">
        <f t="shared" si="1"/>
        <v>0.98248473809651427</v>
      </c>
      <c r="AP6">
        <f t="shared" si="1"/>
        <v>0.98248473809651427</v>
      </c>
    </row>
    <row r="7" spans="1:42" x14ac:dyDescent="0.2">
      <c r="A7" t="s">
        <v>378</v>
      </c>
      <c r="B7">
        <f>'Start Year Energy'!F61</f>
        <v>0.98635167094797382</v>
      </c>
      <c r="C7">
        <f t="shared" si="2"/>
        <v>0.98635167094797382</v>
      </c>
      <c r="D7">
        <f t="shared" si="0"/>
        <v>0.98635167094797382</v>
      </c>
      <c r="E7">
        <f t="shared" si="0"/>
        <v>0.98635167094797382</v>
      </c>
      <c r="F7">
        <f t="shared" si="0"/>
        <v>0.98635167094797382</v>
      </c>
      <c r="G7">
        <f t="shared" si="0"/>
        <v>0.98635167094797382</v>
      </c>
      <c r="H7">
        <f t="shared" si="0"/>
        <v>0.98635167094797382</v>
      </c>
      <c r="I7">
        <f t="shared" si="0"/>
        <v>0.98635167094797382</v>
      </c>
      <c r="J7">
        <f t="shared" si="0"/>
        <v>0.98635167094797382</v>
      </c>
      <c r="K7">
        <f t="shared" si="0"/>
        <v>0.98635167094797382</v>
      </c>
      <c r="L7">
        <f t="shared" si="0"/>
        <v>0.98635167094797382</v>
      </c>
      <c r="M7">
        <f t="shared" si="0"/>
        <v>0.98635167094797382</v>
      </c>
      <c r="N7">
        <f t="shared" si="0"/>
        <v>0.98635167094797382</v>
      </c>
      <c r="O7">
        <f t="shared" si="0"/>
        <v>0.98635167094797382</v>
      </c>
      <c r="P7">
        <f t="shared" si="0"/>
        <v>0.98635167094797382</v>
      </c>
      <c r="Q7">
        <f t="shared" si="0"/>
        <v>0.98635167094797382</v>
      </c>
      <c r="R7">
        <f t="shared" si="0"/>
        <v>0.98635167094797382</v>
      </c>
      <c r="S7">
        <f t="shared" si="0"/>
        <v>0.98635167094797382</v>
      </c>
      <c r="T7">
        <f t="shared" si="0"/>
        <v>0.98635167094797382</v>
      </c>
      <c r="U7">
        <f t="shared" si="0"/>
        <v>0.98635167094797382</v>
      </c>
      <c r="V7">
        <f t="shared" si="0"/>
        <v>0.98635167094797382</v>
      </c>
      <c r="W7">
        <f t="shared" si="0"/>
        <v>0.98635167094797382</v>
      </c>
      <c r="X7">
        <f t="shared" si="0"/>
        <v>0.98635167094797382</v>
      </c>
      <c r="Y7">
        <f t="shared" si="0"/>
        <v>0.98635167094797382</v>
      </c>
      <c r="Z7">
        <f t="shared" si="0"/>
        <v>0.98635167094797382</v>
      </c>
      <c r="AA7">
        <f t="shared" si="0"/>
        <v>0.98635167094797382</v>
      </c>
      <c r="AB7">
        <f t="shared" si="0"/>
        <v>0.98635167094797382</v>
      </c>
      <c r="AC7">
        <f t="shared" si="0"/>
        <v>0.98635167094797382</v>
      </c>
      <c r="AD7">
        <f t="shared" si="0"/>
        <v>0.98635167094797382</v>
      </c>
      <c r="AE7">
        <f t="shared" si="0"/>
        <v>0.98635167094797382</v>
      </c>
      <c r="AF7">
        <f t="shared" si="0"/>
        <v>0.98635167094797382</v>
      </c>
      <c r="AG7">
        <f t="shared" si="1"/>
        <v>0.98635167094797382</v>
      </c>
      <c r="AH7">
        <f t="shared" si="1"/>
        <v>0.98635167094797382</v>
      </c>
      <c r="AI7">
        <f t="shared" si="1"/>
        <v>0.98635167094797382</v>
      </c>
      <c r="AJ7">
        <f t="shared" si="1"/>
        <v>0.98635167094797382</v>
      </c>
      <c r="AK7">
        <f t="shared" si="1"/>
        <v>0.98635167094797382</v>
      </c>
      <c r="AL7">
        <f t="shared" si="1"/>
        <v>0.98635167094797382</v>
      </c>
      <c r="AM7">
        <f t="shared" si="1"/>
        <v>0.98635167094797382</v>
      </c>
      <c r="AN7">
        <f t="shared" si="1"/>
        <v>0.98635167094797382</v>
      </c>
      <c r="AO7">
        <f t="shared" si="1"/>
        <v>0.98635167094797382</v>
      </c>
      <c r="AP7">
        <f t="shared" si="1"/>
        <v>0.98635167094797382</v>
      </c>
    </row>
    <row r="8" spans="1:42" x14ac:dyDescent="0.2">
      <c r="A8" t="s">
        <v>379</v>
      </c>
      <c r="B8">
        <f>'Start Year Energy'!F62</f>
        <v>0.98242602406828317</v>
      </c>
      <c r="C8">
        <f t="shared" si="2"/>
        <v>0.98242602406828317</v>
      </c>
      <c r="D8">
        <f t="shared" si="0"/>
        <v>0.98242602406828317</v>
      </c>
      <c r="E8">
        <f t="shared" si="0"/>
        <v>0.98242602406828317</v>
      </c>
      <c r="F8">
        <f t="shared" si="0"/>
        <v>0.98242602406828317</v>
      </c>
      <c r="G8">
        <f t="shared" si="0"/>
        <v>0.98242602406828317</v>
      </c>
      <c r="H8">
        <f t="shared" si="0"/>
        <v>0.98242602406828317</v>
      </c>
      <c r="I8">
        <f t="shared" si="0"/>
        <v>0.98242602406828317</v>
      </c>
      <c r="J8">
        <f t="shared" si="0"/>
        <v>0.98242602406828317</v>
      </c>
      <c r="K8">
        <f t="shared" si="0"/>
        <v>0.98242602406828317</v>
      </c>
      <c r="L8">
        <f t="shared" si="0"/>
        <v>0.98242602406828317</v>
      </c>
      <c r="M8">
        <f t="shared" si="0"/>
        <v>0.98242602406828317</v>
      </c>
      <c r="N8">
        <f t="shared" si="0"/>
        <v>0.98242602406828317</v>
      </c>
      <c r="O8">
        <f t="shared" si="0"/>
        <v>0.98242602406828317</v>
      </c>
      <c r="P8">
        <f t="shared" si="0"/>
        <v>0.98242602406828317</v>
      </c>
      <c r="Q8">
        <f t="shared" si="0"/>
        <v>0.98242602406828317</v>
      </c>
      <c r="R8">
        <f t="shared" si="0"/>
        <v>0.98242602406828317</v>
      </c>
      <c r="S8">
        <f t="shared" si="0"/>
        <v>0.98242602406828317</v>
      </c>
      <c r="T8">
        <f t="shared" si="0"/>
        <v>0.98242602406828317</v>
      </c>
      <c r="U8">
        <f t="shared" si="0"/>
        <v>0.98242602406828317</v>
      </c>
      <c r="V8">
        <f t="shared" si="0"/>
        <v>0.98242602406828317</v>
      </c>
      <c r="W8">
        <f t="shared" si="0"/>
        <v>0.98242602406828317</v>
      </c>
      <c r="X8">
        <f t="shared" si="0"/>
        <v>0.98242602406828317</v>
      </c>
      <c r="Y8">
        <f t="shared" si="0"/>
        <v>0.98242602406828317</v>
      </c>
      <c r="Z8">
        <f t="shared" si="0"/>
        <v>0.98242602406828317</v>
      </c>
      <c r="AA8">
        <f t="shared" si="0"/>
        <v>0.98242602406828317</v>
      </c>
      <c r="AB8">
        <f t="shared" si="0"/>
        <v>0.98242602406828317</v>
      </c>
      <c r="AC8">
        <f t="shared" si="0"/>
        <v>0.98242602406828317</v>
      </c>
      <c r="AD8">
        <f t="shared" si="0"/>
        <v>0.98242602406828317</v>
      </c>
      <c r="AE8">
        <f t="shared" si="0"/>
        <v>0.98242602406828317</v>
      </c>
      <c r="AF8">
        <f t="shared" si="0"/>
        <v>0.98242602406828317</v>
      </c>
      <c r="AG8">
        <f t="shared" si="1"/>
        <v>0.98242602406828317</v>
      </c>
      <c r="AH8">
        <f t="shared" si="1"/>
        <v>0.98242602406828317</v>
      </c>
      <c r="AI8">
        <f t="shared" si="1"/>
        <v>0.98242602406828317</v>
      </c>
      <c r="AJ8">
        <f t="shared" si="1"/>
        <v>0.98242602406828317</v>
      </c>
      <c r="AK8">
        <f t="shared" si="1"/>
        <v>0.98242602406828317</v>
      </c>
      <c r="AL8">
        <f t="shared" si="1"/>
        <v>0.98242602406828317</v>
      </c>
      <c r="AM8">
        <f t="shared" si="1"/>
        <v>0.98242602406828317</v>
      </c>
      <c r="AN8">
        <f t="shared" si="1"/>
        <v>0.98242602406828317</v>
      </c>
      <c r="AO8">
        <f t="shared" si="1"/>
        <v>0.98242602406828317</v>
      </c>
      <c r="AP8">
        <f t="shared" si="1"/>
        <v>0.98242602406828317</v>
      </c>
    </row>
    <row r="9" spans="1:42" x14ac:dyDescent="0.2">
      <c r="A9" t="s">
        <v>380</v>
      </c>
      <c r="B9">
        <f>'Start Year Energy'!F63</f>
        <v>0.98232226758048213</v>
      </c>
      <c r="C9">
        <f t="shared" si="2"/>
        <v>0.98232226758048213</v>
      </c>
      <c r="D9">
        <f t="shared" si="0"/>
        <v>0.98232226758048213</v>
      </c>
      <c r="E9">
        <f t="shared" si="0"/>
        <v>0.98232226758048213</v>
      </c>
      <c r="F9">
        <f t="shared" si="0"/>
        <v>0.98232226758048213</v>
      </c>
      <c r="G9">
        <f t="shared" si="0"/>
        <v>0.98232226758048213</v>
      </c>
      <c r="H9">
        <f t="shared" si="0"/>
        <v>0.98232226758048213</v>
      </c>
      <c r="I9">
        <f t="shared" si="0"/>
        <v>0.98232226758048213</v>
      </c>
      <c r="J9">
        <f t="shared" si="0"/>
        <v>0.98232226758048213</v>
      </c>
      <c r="K9">
        <f t="shared" si="0"/>
        <v>0.98232226758048213</v>
      </c>
      <c r="L9">
        <f t="shared" si="0"/>
        <v>0.98232226758048213</v>
      </c>
      <c r="M9">
        <f t="shared" si="0"/>
        <v>0.98232226758048213</v>
      </c>
      <c r="N9">
        <f t="shared" si="0"/>
        <v>0.98232226758048213</v>
      </c>
      <c r="O9">
        <f t="shared" si="0"/>
        <v>0.98232226758048213</v>
      </c>
      <c r="P9">
        <f t="shared" si="0"/>
        <v>0.98232226758048213</v>
      </c>
      <c r="Q9">
        <f t="shared" si="0"/>
        <v>0.98232226758048213</v>
      </c>
      <c r="R9">
        <f t="shared" si="0"/>
        <v>0.98232226758048213</v>
      </c>
      <c r="S9">
        <f t="shared" si="0"/>
        <v>0.98232226758048213</v>
      </c>
      <c r="T9">
        <f t="shared" si="0"/>
        <v>0.98232226758048213</v>
      </c>
      <c r="U9">
        <f t="shared" si="0"/>
        <v>0.98232226758048213</v>
      </c>
      <c r="V9">
        <f t="shared" si="0"/>
        <v>0.98232226758048213</v>
      </c>
      <c r="W9">
        <f t="shared" si="0"/>
        <v>0.98232226758048213</v>
      </c>
      <c r="X9">
        <f t="shared" si="0"/>
        <v>0.98232226758048213</v>
      </c>
      <c r="Y9">
        <f t="shared" si="0"/>
        <v>0.98232226758048213</v>
      </c>
      <c r="Z9">
        <f t="shared" si="0"/>
        <v>0.98232226758048213</v>
      </c>
      <c r="AA9">
        <f t="shared" si="0"/>
        <v>0.98232226758048213</v>
      </c>
      <c r="AB9">
        <f t="shared" si="0"/>
        <v>0.98232226758048213</v>
      </c>
      <c r="AC9">
        <f t="shared" si="0"/>
        <v>0.98232226758048213</v>
      </c>
      <c r="AD9">
        <f t="shared" si="0"/>
        <v>0.98232226758048213</v>
      </c>
      <c r="AE9">
        <f t="shared" si="0"/>
        <v>0.98232226758048213</v>
      </c>
      <c r="AF9">
        <f t="shared" si="0"/>
        <v>0.98232226758048213</v>
      </c>
      <c r="AG9">
        <f t="shared" si="1"/>
        <v>0.98232226758048213</v>
      </c>
      <c r="AH9">
        <f t="shared" si="1"/>
        <v>0.98232226758048213</v>
      </c>
      <c r="AI9">
        <f t="shared" si="1"/>
        <v>0.98232226758048213</v>
      </c>
      <c r="AJ9">
        <f t="shared" si="1"/>
        <v>0.98232226758048213</v>
      </c>
      <c r="AK9">
        <f t="shared" si="1"/>
        <v>0.98232226758048213</v>
      </c>
      <c r="AL9">
        <f t="shared" si="1"/>
        <v>0.98232226758048213</v>
      </c>
      <c r="AM9">
        <f t="shared" si="1"/>
        <v>0.98232226758048213</v>
      </c>
      <c r="AN9">
        <f t="shared" si="1"/>
        <v>0.98232226758048213</v>
      </c>
      <c r="AO9">
        <f t="shared" si="1"/>
        <v>0.98232226758048213</v>
      </c>
      <c r="AP9">
        <f t="shared" si="1"/>
        <v>0.98232226758048213</v>
      </c>
    </row>
    <row r="10" spans="1:42" x14ac:dyDescent="0.2">
      <c r="A10" t="s">
        <v>381</v>
      </c>
      <c r="B10">
        <f>'Start Year Energy'!F64</f>
        <v>0.12221243295646744</v>
      </c>
      <c r="C10">
        <f t="shared" si="2"/>
        <v>0.12221243295646744</v>
      </c>
      <c r="D10">
        <f t="shared" si="0"/>
        <v>0.12221243295646744</v>
      </c>
      <c r="E10">
        <f t="shared" si="0"/>
        <v>0.12221243295646744</v>
      </c>
      <c r="F10">
        <f t="shared" si="0"/>
        <v>0.12221243295646744</v>
      </c>
      <c r="G10">
        <f t="shared" si="0"/>
        <v>0.12221243295646744</v>
      </c>
      <c r="H10">
        <f t="shared" si="0"/>
        <v>0.12221243295646744</v>
      </c>
      <c r="I10">
        <f t="shared" si="0"/>
        <v>0.12221243295646744</v>
      </c>
      <c r="J10">
        <f t="shared" si="0"/>
        <v>0.12221243295646744</v>
      </c>
      <c r="K10">
        <f t="shared" si="0"/>
        <v>0.12221243295646744</v>
      </c>
      <c r="L10">
        <f t="shared" si="0"/>
        <v>0.12221243295646744</v>
      </c>
      <c r="M10">
        <f t="shared" si="0"/>
        <v>0.12221243295646744</v>
      </c>
      <c r="N10">
        <f t="shared" si="0"/>
        <v>0.12221243295646744</v>
      </c>
      <c r="O10">
        <f t="shared" si="0"/>
        <v>0.12221243295646744</v>
      </c>
      <c r="P10">
        <f t="shared" si="0"/>
        <v>0.12221243295646744</v>
      </c>
      <c r="Q10">
        <f t="shared" si="0"/>
        <v>0.12221243295646744</v>
      </c>
      <c r="R10">
        <f t="shared" si="0"/>
        <v>0.12221243295646744</v>
      </c>
      <c r="S10">
        <f t="shared" si="0"/>
        <v>0.12221243295646744</v>
      </c>
      <c r="T10">
        <f t="shared" si="0"/>
        <v>0.12221243295646744</v>
      </c>
      <c r="U10">
        <f t="shared" si="0"/>
        <v>0.12221243295646744</v>
      </c>
      <c r="V10">
        <f t="shared" si="0"/>
        <v>0.12221243295646744</v>
      </c>
      <c r="W10">
        <f t="shared" si="0"/>
        <v>0.12221243295646744</v>
      </c>
      <c r="X10">
        <f t="shared" si="0"/>
        <v>0.12221243295646744</v>
      </c>
      <c r="Y10">
        <f t="shared" si="0"/>
        <v>0.12221243295646744</v>
      </c>
      <c r="Z10">
        <f t="shared" si="0"/>
        <v>0.12221243295646744</v>
      </c>
      <c r="AA10">
        <f t="shared" si="0"/>
        <v>0.12221243295646744</v>
      </c>
      <c r="AB10">
        <f t="shared" si="0"/>
        <v>0.12221243295646744</v>
      </c>
      <c r="AC10">
        <f t="shared" si="0"/>
        <v>0.12221243295646744</v>
      </c>
      <c r="AD10">
        <f t="shared" si="0"/>
        <v>0.12221243295646744</v>
      </c>
      <c r="AE10">
        <f t="shared" si="0"/>
        <v>0.12221243295646744</v>
      </c>
      <c r="AF10">
        <f t="shared" si="0"/>
        <v>0.12221243295646744</v>
      </c>
      <c r="AG10">
        <f t="shared" si="1"/>
        <v>0.12221243295646744</v>
      </c>
      <c r="AH10">
        <f t="shared" si="1"/>
        <v>0.12221243295646744</v>
      </c>
      <c r="AI10">
        <f t="shared" si="1"/>
        <v>0.12221243295646744</v>
      </c>
      <c r="AJ10">
        <f t="shared" si="1"/>
        <v>0.12221243295646744</v>
      </c>
      <c r="AK10">
        <f t="shared" si="1"/>
        <v>0.12221243295646744</v>
      </c>
      <c r="AL10">
        <f t="shared" si="1"/>
        <v>0.12221243295646744</v>
      </c>
      <c r="AM10">
        <f t="shared" si="1"/>
        <v>0.12221243295646744</v>
      </c>
      <c r="AN10">
        <f t="shared" si="1"/>
        <v>0.12221243295646744</v>
      </c>
      <c r="AO10">
        <f t="shared" si="1"/>
        <v>0.12221243295646744</v>
      </c>
      <c r="AP10">
        <f t="shared" si="1"/>
        <v>0.12221243295646744</v>
      </c>
    </row>
    <row r="11" spans="1:42" x14ac:dyDescent="0.2">
      <c r="A11" t="s">
        <v>382</v>
      </c>
      <c r="B11">
        <f>'Start Year Energy'!F65</f>
        <v>0.556047339714557</v>
      </c>
      <c r="C11">
        <f t="shared" si="2"/>
        <v>0.556047339714557</v>
      </c>
      <c r="D11">
        <f t="shared" si="0"/>
        <v>0.556047339714557</v>
      </c>
      <c r="E11">
        <f t="shared" si="0"/>
        <v>0.556047339714557</v>
      </c>
      <c r="F11">
        <f t="shared" si="0"/>
        <v>0.556047339714557</v>
      </c>
      <c r="G11">
        <f t="shared" si="0"/>
        <v>0.556047339714557</v>
      </c>
      <c r="H11">
        <f t="shared" si="0"/>
        <v>0.556047339714557</v>
      </c>
      <c r="I11">
        <f t="shared" si="0"/>
        <v>0.556047339714557</v>
      </c>
      <c r="J11">
        <f t="shared" si="0"/>
        <v>0.556047339714557</v>
      </c>
      <c r="K11">
        <f t="shared" si="0"/>
        <v>0.556047339714557</v>
      </c>
      <c r="L11">
        <f t="shared" si="0"/>
        <v>0.556047339714557</v>
      </c>
      <c r="M11">
        <f t="shared" ref="M11:AO24" si="3">$B11</f>
        <v>0.556047339714557</v>
      </c>
      <c r="N11">
        <f t="shared" si="3"/>
        <v>0.556047339714557</v>
      </c>
      <c r="O11">
        <f t="shared" si="3"/>
        <v>0.556047339714557</v>
      </c>
      <c r="P11">
        <f t="shared" si="3"/>
        <v>0.556047339714557</v>
      </c>
      <c r="Q11">
        <f t="shared" si="3"/>
        <v>0.556047339714557</v>
      </c>
      <c r="R11">
        <f t="shared" si="3"/>
        <v>0.556047339714557</v>
      </c>
      <c r="S11">
        <f t="shared" si="3"/>
        <v>0.556047339714557</v>
      </c>
      <c r="T11">
        <f t="shared" si="3"/>
        <v>0.556047339714557</v>
      </c>
      <c r="U11">
        <f t="shared" si="3"/>
        <v>0.556047339714557</v>
      </c>
      <c r="V11">
        <f t="shared" si="3"/>
        <v>0.556047339714557</v>
      </c>
      <c r="W11">
        <f t="shared" si="3"/>
        <v>0.556047339714557</v>
      </c>
      <c r="X11">
        <f t="shared" si="3"/>
        <v>0.556047339714557</v>
      </c>
      <c r="Y11">
        <f t="shared" si="3"/>
        <v>0.556047339714557</v>
      </c>
      <c r="Z11">
        <f t="shared" si="3"/>
        <v>0.556047339714557</v>
      </c>
      <c r="AA11">
        <f t="shared" si="3"/>
        <v>0.556047339714557</v>
      </c>
      <c r="AB11">
        <f t="shared" si="3"/>
        <v>0.556047339714557</v>
      </c>
      <c r="AC11">
        <f t="shared" si="3"/>
        <v>0.556047339714557</v>
      </c>
      <c r="AD11">
        <f t="shared" si="3"/>
        <v>0.556047339714557</v>
      </c>
      <c r="AE11">
        <f t="shared" si="3"/>
        <v>0.556047339714557</v>
      </c>
      <c r="AF11">
        <f t="shared" si="3"/>
        <v>0.556047339714557</v>
      </c>
      <c r="AG11">
        <f t="shared" si="1"/>
        <v>0.556047339714557</v>
      </c>
      <c r="AH11">
        <f t="shared" si="1"/>
        <v>0.556047339714557</v>
      </c>
      <c r="AI11">
        <f t="shared" si="1"/>
        <v>0.556047339714557</v>
      </c>
      <c r="AJ11">
        <f t="shared" si="1"/>
        <v>0.556047339714557</v>
      </c>
      <c r="AK11">
        <f t="shared" si="1"/>
        <v>0.556047339714557</v>
      </c>
      <c r="AL11">
        <f t="shared" si="1"/>
        <v>0.556047339714557</v>
      </c>
      <c r="AM11">
        <f t="shared" si="1"/>
        <v>0.556047339714557</v>
      </c>
      <c r="AN11">
        <f t="shared" si="1"/>
        <v>0.556047339714557</v>
      </c>
      <c r="AO11">
        <f t="shared" si="1"/>
        <v>0.556047339714557</v>
      </c>
      <c r="AP11">
        <f t="shared" si="1"/>
        <v>0.556047339714557</v>
      </c>
    </row>
    <row r="12" spans="1:42" x14ac:dyDescent="0.2">
      <c r="A12" t="s">
        <v>383</v>
      </c>
      <c r="B12">
        <f>'Start Year Energy'!F66</f>
        <v>0.95537916420522673</v>
      </c>
      <c r="C12">
        <f t="shared" si="2"/>
        <v>0.95537916420522673</v>
      </c>
      <c r="D12">
        <f t="shared" si="2"/>
        <v>0.95537916420522673</v>
      </c>
      <c r="E12">
        <f t="shared" si="2"/>
        <v>0.95537916420522673</v>
      </c>
      <c r="F12">
        <f t="shared" si="2"/>
        <v>0.95537916420522673</v>
      </c>
      <c r="G12">
        <f t="shared" si="2"/>
        <v>0.95537916420522673</v>
      </c>
      <c r="H12">
        <f t="shared" si="2"/>
        <v>0.95537916420522673</v>
      </c>
      <c r="I12">
        <f t="shared" si="2"/>
        <v>0.95537916420522673</v>
      </c>
      <c r="J12">
        <f t="shared" si="2"/>
        <v>0.95537916420522673</v>
      </c>
      <c r="K12">
        <f t="shared" si="2"/>
        <v>0.95537916420522673</v>
      </c>
      <c r="L12">
        <f t="shared" si="2"/>
        <v>0.95537916420522673</v>
      </c>
      <c r="M12">
        <f t="shared" si="2"/>
        <v>0.95537916420522673</v>
      </c>
      <c r="N12">
        <f t="shared" si="2"/>
        <v>0.95537916420522673</v>
      </c>
      <c r="O12">
        <f t="shared" si="2"/>
        <v>0.95537916420522673</v>
      </c>
      <c r="P12">
        <f t="shared" si="2"/>
        <v>0.95537916420522673</v>
      </c>
      <c r="Q12">
        <f t="shared" si="2"/>
        <v>0.95537916420522673</v>
      </c>
      <c r="R12">
        <f t="shared" si="2"/>
        <v>0.95537916420522673</v>
      </c>
      <c r="S12">
        <f t="shared" si="3"/>
        <v>0.95537916420522673</v>
      </c>
      <c r="T12">
        <f t="shared" si="3"/>
        <v>0.95537916420522673</v>
      </c>
      <c r="U12">
        <f t="shared" si="3"/>
        <v>0.95537916420522673</v>
      </c>
      <c r="V12">
        <f t="shared" si="3"/>
        <v>0.95537916420522673</v>
      </c>
      <c r="W12">
        <f t="shared" si="3"/>
        <v>0.95537916420522673</v>
      </c>
      <c r="X12">
        <f t="shared" si="3"/>
        <v>0.95537916420522673</v>
      </c>
      <c r="Y12">
        <f t="shared" si="3"/>
        <v>0.95537916420522673</v>
      </c>
      <c r="Z12">
        <f t="shared" si="3"/>
        <v>0.95537916420522673</v>
      </c>
      <c r="AA12">
        <f t="shared" si="3"/>
        <v>0.95537916420522673</v>
      </c>
      <c r="AB12">
        <f t="shared" si="3"/>
        <v>0.95537916420522673</v>
      </c>
      <c r="AC12">
        <f t="shared" si="3"/>
        <v>0.95537916420522673</v>
      </c>
      <c r="AD12">
        <f t="shared" si="3"/>
        <v>0.95537916420522673</v>
      </c>
      <c r="AE12">
        <f t="shared" si="3"/>
        <v>0.95537916420522673</v>
      </c>
      <c r="AF12">
        <f t="shared" si="3"/>
        <v>0.95537916420522673</v>
      </c>
      <c r="AG12">
        <f t="shared" si="1"/>
        <v>0.95537916420522673</v>
      </c>
      <c r="AH12">
        <f t="shared" si="1"/>
        <v>0.95537916420522673</v>
      </c>
      <c r="AI12">
        <f t="shared" si="1"/>
        <v>0.95537916420522673</v>
      </c>
      <c r="AJ12">
        <f t="shared" si="1"/>
        <v>0.95537916420522673</v>
      </c>
      <c r="AK12">
        <f t="shared" si="1"/>
        <v>0.95537916420522673</v>
      </c>
      <c r="AL12">
        <f t="shared" si="1"/>
        <v>0.95537916420522673</v>
      </c>
      <c r="AM12">
        <f t="shared" si="1"/>
        <v>0.95537916420522673</v>
      </c>
      <c r="AN12">
        <f t="shared" si="1"/>
        <v>0.95537916420522673</v>
      </c>
      <c r="AO12">
        <f t="shared" si="1"/>
        <v>0.95537916420522673</v>
      </c>
      <c r="AP12">
        <f t="shared" si="1"/>
        <v>0.95537916420522673</v>
      </c>
    </row>
    <row r="13" spans="1:42" x14ac:dyDescent="0.2">
      <c r="A13" t="s">
        <v>384</v>
      </c>
      <c r="B13">
        <f>'Start Year Energy'!F67</f>
        <v>0.96612306137249004</v>
      </c>
      <c r="C13">
        <f t="shared" si="2"/>
        <v>0.96612306137249004</v>
      </c>
      <c r="D13">
        <f t="shared" si="2"/>
        <v>0.96612306137249004</v>
      </c>
      <c r="E13">
        <f t="shared" si="2"/>
        <v>0.96612306137249004</v>
      </c>
      <c r="F13">
        <f t="shared" si="2"/>
        <v>0.96612306137249004</v>
      </c>
      <c r="G13">
        <f t="shared" si="2"/>
        <v>0.96612306137249004</v>
      </c>
      <c r="H13">
        <f t="shared" si="2"/>
        <v>0.96612306137249004</v>
      </c>
      <c r="I13">
        <f t="shared" si="2"/>
        <v>0.96612306137249004</v>
      </c>
      <c r="J13">
        <f t="shared" si="2"/>
        <v>0.96612306137249004</v>
      </c>
      <c r="K13">
        <f t="shared" si="2"/>
        <v>0.96612306137249004</v>
      </c>
      <c r="L13">
        <f t="shared" si="2"/>
        <v>0.96612306137249004</v>
      </c>
      <c r="M13">
        <f t="shared" si="2"/>
        <v>0.96612306137249004</v>
      </c>
      <c r="N13">
        <f t="shared" si="2"/>
        <v>0.96612306137249004</v>
      </c>
      <c r="O13">
        <f t="shared" si="2"/>
        <v>0.96612306137249004</v>
      </c>
      <c r="P13">
        <f t="shared" si="2"/>
        <v>0.96612306137249004</v>
      </c>
      <c r="Q13">
        <f t="shared" si="2"/>
        <v>0.96612306137249004</v>
      </c>
      <c r="R13">
        <f t="shared" si="2"/>
        <v>0.96612306137249004</v>
      </c>
      <c r="S13">
        <f t="shared" si="3"/>
        <v>0.96612306137249004</v>
      </c>
      <c r="T13">
        <f t="shared" si="3"/>
        <v>0.96612306137249004</v>
      </c>
      <c r="U13">
        <f t="shared" si="3"/>
        <v>0.96612306137249004</v>
      </c>
      <c r="V13">
        <f t="shared" si="3"/>
        <v>0.96612306137249004</v>
      </c>
      <c r="W13">
        <f t="shared" si="3"/>
        <v>0.96612306137249004</v>
      </c>
      <c r="X13">
        <f t="shared" si="3"/>
        <v>0.96612306137249004</v>
      </c>
      <c r="Y13">
        <f t="shared" si="3"/>
        <v>0.96612306137249004</v>
      </c>
      <c r="Z13">
        <f t="shared" si="3"/>
        <v>0.96612306137249004</v>
      </c>
      <c r="AA13">
        <f t="shared" si="3"/>
        <v>0.96612306137249004</v>
      </c>
      <c r="AB13">
        <f t="shared" si="3"/>
        <v>0.96612306137249004</v>
      </c>
      <c r="AC13">
        <f t="shared" si="3"/>
        <v>0.96612306137249004</v>
      </c>
      <c r="AD13">
        <f t="shared" si="3"/>
        <v>0.96612306137249004</v>
      </c>
      <c r="AE13">
        <f t="shared" si="3"/>
        <v>0.96612306137249004</v>
      </c>
      <c r="AF13">
        <f t="shared" si="3"/>
        <v>0.96612306137249004</v>
      </c>
      <c r="AG13">
        <f t="shared" si="1"/>
        <v>0.96612306137249004</v>
      </c>
      <c r="AH13">
        <f t="shared" si="1"/>
        <v>0.96612306137249004</v>
      </c>
      <c r="AI13">
        <f t="shared" si="1"/>
        <v>0.96612306137249004</v>
      </c>
      <c r="AJ13">
        <f t="shared" si="1"/>
        <v>0.96612306137249004</v>
      </c>
      <c r="AK13">
        <f t="shared" si="1"/>
        <v>0.96612306137249004</v>
      </c>
      <c r="AL13">
        <f t="shared" si="1"/>
        <v>0.96612306137249004</v>
      </c>
      <c r="AM13">
        <f t="shared" si="1"/>
        <v>0.96612306137249004</v>
      </c>
      <c r="AN13">
        <f t="shared" si="1"/>
        <v>0.96612306137249004</v>
      </c>
      <c r="AO13">
        <f t="shared" si="1"/>
        <v>0.96612306137249004</v>
      </c>
      <c r="AP13">
        <f t="shared" si="1"/>
        <v>0.96612306137249004</v>
      </c>
    </row>
    <row r="14" spans="1:42" x14ac:dyDescent="0.2">
      <c r="A14" t="s">
        <v>385</v>
      </c>
      <c r="B14">
        <f>'Start Year Energy'!F68</f>
        <v>0.95897292581273241</v>
      </c>
      <c r="C14">
        <f t="shared" si="2"/>
        <v>0.95897292581273241</v>
      </c>
      <c r="D14">
        <f t="shared" si="2"/>
        <v>0.95897292581273241</v>
      </c>
      <c r="E14">
        <f t="shared" si="2"/>
        <v>0.95897292581273241</v>
      </c>
      <c r="F14">
        <f t="shared" si="2"/>
        <v>0.95897292581273241</v>
      </c>
      <c r="G14">
        <f t="shared" si="2"/>
        <v>0.95897292581273241</v>
      </c>
      <c r="H14">
        <f t="shared" si="2"/>
        <v>0.95897292581273241</v>
      </c>
      <c r="I14">
        <f t="shared" si="2"/>
        <v>0.95897292581273241</v>
      </c>
      <c r="J14">
        <f t="shared" si="2"/>
        <v>0.95897292581273241</v>
      </c>
      <c r="K14">
        <f t="shared" si="2"/>
        <v>0.95897292581273241</v>
      </c>
      <c r="L14">
        <f t="shared" si="2"/>
        <v>0.95897292581273241</v>
      </c>
      <c r="M14">
        <f t="shared" si="2"/>
        <v>0.95897292581273241</v>
      </c>
      <c r="N14">
        <f t="shared" si="2"/>
        <v>0.95897292581273241</v>
      </c>
      <c r="O14">
        <f t="shared" si="2"/>
        <v>0.95897292581273241</v>
      </c>
      <c r="P14">
        <f t="shared" si="2"/>
        <v>0.95897292581273241</v>
      </c>
      <c r="Q14">
        <f t="shared" si="2"/>
        <v>0.95897292581273241</v>
      </c>
      <c r="R14">
        <f t="shared" si="2"/>
        <v>0.95897292581273241</v>
      </c>
      <c r="S14">
        <f t="shared" si="3"/>
        <v>0.95897292581273241</v>
      </c>
      <c r="T14">
        <f t="shared" si="3"/>
        <v>0.95897292581273241</v>
      </c>
      <c r="U14">
        <f t="shared" si="3"/>
        <v>0.95897292581273241</v>
      </c>
      <c r="V14">
        <f t="shared" si="3"/>
        <v>0.95897292581273241</v>
      </c>
      <c r="W14">
        <f t="shared" si="3"/>
        <v>0.95897292581273241</v>
      </c>
      <c r="X14">
        <f t="shared" si="3"/>
        <v>0.95897292581273241</v>
      </c>
      <c r="Y14">
        <f t="shared" si="3"/>
        <v>0.95897292581273241</v>
      </c>
      <c r="Z14">
        <f t="shared" si="3"/>
        <v>0.95897292581273241</v>
      </c>
      <c r="AA14">
        <f t="shared" si="3"/>
        <v>0.95897292581273241</v>
      </c>
      <c r="AB14">
        <f t="shared" si="3"/>
        <v>0.95897292581273241</v>
      </c>
      <c r="AC14">
        <f t="shared" si="3"/>
        <v>0.95897292581273241</v>
      </c>
      <c r="AD14">
        <f t="shared" si="3"/>
        <v>0.95897292581273241</v>
      </c>
      <c r="AE14">
        <f t="shared" si="3"/>
        <v>0.95897292581273241</v>
      </c>
      <c r="AF14">
        <f t="shared" si="3"/>
        <v>0.95897292581273241</v>
      </c>
      <c r="AG14">
        <f t="shared" si="1"/>
        <v>0.95897292581273241</v>
      </c>
      <c r="AH14">
        <f t="shared" si="1"/>
        <v>0.95897292581273241</v>
      </c>
      <c r="AI14">
        <f t="shared" si="1"/>
        <v>0.95897292581273241</v>
      </c>
      <c r="AJ14">
        <f t="shared" si="1"/>
        <v>0.95897292581273241</v>
      </c>
      <c r="AK14">
        <f t="shared" si="1"/>
        <v>0.95897292581273241</v>
      </c>
      <c r="AL14">
        <f t="shared" si="1"/>
        <v>0.95897292581273241</v>
      </c>
      <c r="AM14">
        <f t="shared" si="1"/>
        <v>0.95897292581273241</v>
      </c>
      <c r="AN14">
        <f t="shared" si="1"/>
        <v>0.95897292581273241</v>
      </c>
      <c r="AO14">
        <f t="shared" si="1"/>
        <v>0.95897292581273241</v>
      </c>
      <c r="AP14">
        <f t="shared" si="1"/>
        <v>0.95897292581273241</v>
      </c>
    </row>
    <row r="15" spans="1:42" x14ac:dyDescent="0.2">
      <c r="A15" t="s">
        <v>386</v>
      </c>
      <c r="B15">
        <f>'Start Year Energy'!F69</f>
        <v>0.79067236538894869</v>
      </c>
      <c r="C15">
        <f t="shared" si="2"/>
        <v>0.79067236538894869</v>
      </c>
      <c r="D15">
        <f t="shared" si="2"/>
        <v>0.79067236538894869</v>
      </c>
      <c r="E15">
        <f t="shared" si="2"/>
        <v>0.79067236538894869</v>
      </c>
      <c r="F15">
        <f t="shared" si="2"/>
        <v>0.79067236538894869</v>
      </c>
      <c r="G15">
        <f t="shared" si="2"/>
        <v>0.79067236538894869</v>
      </c>
      <c r="H15">
        <f t="shared" si="2"/>
        <v>0.79067236538894869</v>
      </c>
      <c r="I15">
        <f t="shared" si="2"/>
        <v>0.79067236538894869</v>
      </c>
      <c r="J15">
        <f t="shared" si="2"/>
        <v>0.79067236538894869</v>
      </c>
      <c r="K15">
        <f t="shared" si="2"/>
        <v>0.79067236538894869</v>
      </c>
      <c r="L15">
        <f t="shared" si="2"/>
        <v>0.79067236538894869</v>
      </c>
      <c r="M15">
        <f t="shared" si="2"/>
        <v>0.79067236538894869</v>
      </c>
      <c r="N15">
        <f t="shared" si="2"/>
        <v>0.79067236538894869</v>
      </c>
      <c r="O15">
        <f t="shared" si="2"/>
        <v>0.79067236538894869</v>
      </c>
      <c r="P15">
        <f t="shared" si="2"/>
        <v>0.79067236538894869</v>
      </c>
      <c r="Q15">
        <f t="shared" si="2"/>
        <v>0.79067236538894869</v>
      </c>
      <c r="R15">
        <f t="shared" si="2"/>
        <v>0.79067236538894869</v>
      </c>
      <c r="S15">
        <f t="shared" si="3"/>
        <v>0.79067236538894869</v>
      </c>
      <c r="T15">
        <f t="shared" si="3"/>
        <v>0.79067236538894869</v>
      </c>
      <c r="U15">
        <f t="shared" si="3"/>
        <v>0.79067236538894869</v>
      </c>
      <c r="V15">
        <f t="shared" si="3"/>
        <v>0.79067236538894869</v>
      </c>
      <c r="W15">
        <f t="shared" si="3"/>
        <v>0.79067236538894869</v>
      </c>
      <c r="X15">
        <f t="shared" si="3"/>
        <v>0.79067236538894869</v>
      </c>
      <c r="Y15">
        <f t="shared" si="3"/>
        <v>0.79067236538894869</v>
      </c>
      <c r="Z15">
        <f t="shared" si="3"/>
        <v>0.79067236538894869</v>
      </c>
      <c r="AA15">
        <f t="shared" si="3"/>
        <v>0.79067236538894869</v>
      </c>
      <c r="AB15">
        <f t="shared" si="3"/>
        <v>0.79067236538894869</v>
      </c>
      <c r="AC15">
        <f t="shared" si="3"/>
        <v>0.79067236538894869</v>
      </c>
      <c r="AD15">
        <f t="shared" si="3"/>
        <v>0.79067236538894869</v>
      </c>
      <c r="AE15">
        <f t="shared" si="3"/>
        <v>0.79067236538894869</v>
      </c>
      <c r="AF15">
        <f t="shared" si="3"/>
        <v>0.79067236538894869</v>
      </c>
      <c r="AG15">
        <f t="shared" si="1"/>
        <v>0.79067236538894869</v>
      </c>
      <c r="AH15">
        <f t="shared" si="1"/>
        <v>0.79067236538894869</v>
      </c>
      <c r="AI15">
        <f t="shared" si="1"/>
        <v>0.79067236538894869</v>
      </c>
      <c r="AJ15">
        <f t="shared" si="1"/>
        <v>0.79067236538894869</v>
      </c>
      <c r="AK15">
        <f t="shared" si="1"/>
        <v>0.79067236538894869</v>
      </c>
      <c r="AL15">
        <f t="shared" si="1"/>
        <v>0.79067236538894869</v>
      </c>
      <c r="AM15">
        <f t="shared" si="1"/>
        <v>0.79067236538894869</v>
      </c>
      <c r="AN15">
        <f t="shared" si="1"/>
        <v>0.79067236538894869</v>
      </c>
      <c r="AO15">
        <f t="shared" si="1"/>
        <v>0.79067236538894869</v>
      </c>
      <c r="AP15">
        <f t="shared" si="1"/>
        <v>0.79067236538894869</v>
      </c>
    </row>
    <row r="16" spans="1:42" x14ac:dyDescent="0.2">
      <c r="A16" t="s">
        <v>387</v>
      </c>
      <c r="B16">
        <f>'Start Year Energy'!F70</f>
        <v>0.92804737542075211</v>
      </c>
      <c r="C16">
        <f t="shared" si="2"/>
        <v>0.92804737542075211</v>
      </c>
      <c r="D16">
        <f t="shared" si="2"/>
        <v>0.92804737542075211</v>
      </c>
      <c r="E16">
        <f t="shared" si="2"/>
        <v>0.92804737542075211</v>
      </c>
      <c r="F16">
        <f t="shared" si="2"/>
        <v>0.92804737542075211</v>
      </c>
      <c r="G16">
        <f t="shared" si="2"/>
        <v>0.92804737542075211</v>
      </c>
      <c r="H16">
        <f t="shared" si="2"/>
        <v>0.92804737542075211</v>
      </c>
      <c r="I16">
        <f t="shared" si="2"/>
        <v>0.92804737542075211</v>
      </c>
      <c r="J16">
        <f t="shared" si="2"/>
        <v>0.92804737542075211</v>
      </c>
      <c r="K16">
        <f t="shared" si="2"/>
        <v>0.92804737542075211</v>
      </c>
      <c r="L16">
        <f t="shared" si="2"/>
        <v>0.92804737542075211</v>
      </c>
      <c r="M16">
        <f t="shared" si="2"/>
        <v>0.92804737542075211</v>
      </c>
      <c r="N16">
        <f t="shared" si="2"/>
        <v>0.92804737542075211</v>
      </c>
      <c r="O16">
        <f t="shared" si="2"/>
        <v>0.92804737542075211</v>
      </c>
      <c r="P16">
        <f t="shared" si="2"/>
        <v>0.92804737542075211</v>
      </c>
      <c r="Q16">
        <f t="shared" si="2"/>
        <v>0.92804737542075211</v>
      </c>
      <c r="R16">
        <f t="shared" si="2"/>
        <v>0.92804737542075211</v>
      </c>
      <c r="S16">
        <f t="shared" si="3"/>
        <v>0.92804737542075211</v>
      </c>
      <c r="T16">
        <f t="shared" si="3"/>
        <v>0.92804737542075211</v>
      </c>
      <c r="U16">
        <f t="shared" si="3"/>
        <v>0.92804737542075211</v>
      </c>
      <c r="V16">
        <f t="shared" si="3"/>
        <v>0.92804737542075211</v>
      </c>
      <c r="W16">
        <f t="shared" si="3"/>
        <v>0.92804737542075211</v>
      </c>
      <c r="X16">
        <f t="shared" si="3"/>
        <v>0.92804737542075211</v>
      </c>
      <c r="Y16">
        <f t="shared" si="3"/>
        <v>0.92804737542075211</v>
      </c>
      <c r="Z16">
        <f t="shared" si="3"/>
        <v>0.92804737542075211</v>
      </c>
      <c r="AA16">
        <f t="shared" si="3"/>
        <v>0.92804737542075211</v>
      </c>
      <c r="AB16">
        <f t="shared" si="3"/>
        <v>0.92804737542075211</v>
      </c>
      <c r="AC16">
        <f t="shared" si="3"/>
        <v>0.92804737542075211</v>
      </c>
      <c r="AD16">
        <f t="shared" si="3"/>
        <v>0.92804737542075211</v>
      </c>
      <c r="AE16">
        <f t="shared" si="3"/>
        <v>0.92804737542075211</v>
      </c>
      <c r="AF16">
        <f t="shared" si="3"/>
        <v>0.92804737542075211</v>
      </c>
      <c r="AG16">
        <f t="shared" si="1"/>
        <v>0.92804737542075211</v>
      </c>
      <c r="AH16">
        <f t="shared" si="1"/>
        <v>0.92804737542075211</v>
      </c>
      <c r="AI16">
        <f t="shared" si="1"/>
        <v>0.92804737542075211</v>
      </c>
      <c r="AJ16">
        <f t="shared" si="1"/>
        <v>0.92804737542075211</v>
      </c>
      <c r="AK16">
        <f t="shared" si="1"/>
        <v>0.92804737542075211</v>
      </c>
      <c r="AL16">
        <f t="shared" si="1"/>
        <v>0.92804737542075211</v>
      </c>
      <c r="AM16">
        <f t="shared" si="1"/>
        <v>0.92804737542075211</v>
      </c>
      <c r="AN16">
        <f t="shared" si="1"/>
        <v>0.92804737542075211</v>
      </c>
      <c r="AO16">
        <f t="shared" si="1"/>
        <v>0.92804737542075211</v>
      </c>
      <c r="AP16">
        <f t="shared" si="1"/>
        <v>0.92804737542075211</v>
      </c>
    </row>
    <row r="17" spans="1:42" x14ac:dyDescent="0.2">
      <c r="A17" t="s">
        <v>388</v>
      </c>
      <c r="B17">
        <f>'Start Year Energy'!F71</f>
        <v>0.95959678787746927</v>
      </c>
      <c r="C17">
        <f t="shared" si="2"/>
        <v>0.95959678787746927</v>
      </c>
      <c r="D17">
        <f t="shared" si="2"/>
        <v>0.95959678787746927</v>
      </c>
      <c r="E17">
        <f t="shared" si="2"/>
        <v>0.95959678787746927</v>
      </c>
      <c r="F17">
        <f t="shared" si="2"/>
        <v>0.95959678787746927</v>
      </c>
      <c r="G17">
        <f t="shared" si="2"/>
        <v>0.95959678787746927</v>
      </c>
      <c r="H17">
        <f t="shared" si="2"/>
        <v>0.95959678787746927</v>
      </c>
      <c r="I17">
        <f t="shared" si="2"/>
        <v>0.95959678787746927</v>
      </c>
      <c r="J17">
        <f t="shared" si="2"/>
        <v>0.95959678787746927</v>
      </c>
      <c r="K17">
        <f t="shared" si="2"/>
        <v>0.95959678787746927</v>
      </c>
      <c r="L17">
        <f t="shared" si="2"/>
        <v>0.95959678787746927</v>
      </c>
      <c r="M17">
        <f t="shared" si="2"/>
        <v>0.95959678787746927</v>
      </c>
      <c r="N17">
        <f t="shared" si="2"/>
        <v>0.95959678787746927</v>
      </c>
      <c r="O17">
        <f t="shared" si="2"/>
        <v>0.95959678787746927</v>
      </c>
      <c r="P17">
        <f t="shared" si="2"/>
        <v>0.95959678787746927</v>
      </c>
      <c r="Q17">
        <f t="shared" si="2"/>
        <v>0.95959678787746927</v>
      </c>
      <c r="R17">
        <f t="shared" si="2"/>
        <v>0.95959678787746927</v>
      </c>
      <c r="S17">
        <f t="shared" si="3"/>
        <v>0.95959678787746927</v>
      </c>
      <c r="T17">
        <f t="shared" si="3"/>
        <v>0.95959678787746927</v>
      </c>
      <c r="U17">
        <f t="shared" si="3"/>
        <v>0.95959678787746927</v>
      </c>
      <c r="V17">
        <f t="shared" si="3"/>
        <v>0.95959678787746927</v>
      </c>
      <c r="W17">
        <f t="shared" si="3"/>
        <v>0.95959678787746927</v>
      </c>
      <c r="X17">
        <f t="shared" si="3"/>
        <v>0.95959678787746927</v>
      </c>
      <c r="Y17">
        <f t="shared" si="3"/>
        <v>0.95959678787746927</v>
      </c>
      <c r="Z17">
        <f t="shared" si="3"/>
        <v>0.95959678787746927</v>
      </c>
      <c r="AA17">
        <f t="shared" si="3"/>
        <v>0.95959678787746927</v>
      </c>
      <c r="AB17">
        <f t="shared" si="3"/>
        <v>0.95959678787746927</v>
      </c>
      <c r="AC17">
        <f t="shared" si="3"/>
        <v>0.95959678787746927</v>
      </c>
      <c r="AD17">
        <f t="shared" si="3"/>
        <v>0.95959678787746927</v>
      </c>
      <c r="AE17">
        <f t="shared" si="3"/>
        <v>0.95959678787746927</v>
      </c>
      <c r="AF17">
        <f t="shared" si="3"/>
        <v>0.95959678787746927</v>
      </c>
      <c r="AG17">
        <f t="shared" si="1"/>
        <v>0.95959678787746927</v>
      </c>
      <c r="AH17">
        <f t="shared" si="1"/>
        <v>0.95959678787746927</v>
      </c>
      <c r="AI17">
        <f t="shared" si="1"/>
        <v>0.95959678787746927</v>
      </c>
      <c r="AJ17">
        <f t="shared" si="1"/>
        <v>0.95959678787746927</v>
      </c>
      <c r="AK17">
        <f t="shared" si="1"/>
        <v>0.95959678787746927</v>
      </c>
      <c r="AL17">
        <f t="shared" si="1"/>
        <v>0.95959678787746927</v>
      </c>
      <c r="AM17">
        <f t="shared" si="1"/>
        <v>0.95959678787746927</v>
      </c>
      <c r="AN17">
        <f t="shared" si="1"/>
        <v>0.95959678787746927</v>
      </c>
      <c r="AO17">
        <f t="shared" si="1"/>
        <v>0.95959678787746927</v>
      </c>
      <c r="AP17">
        <f t="shared" si="1"/>
        <v>0.95959678787746927</v>
      </c>
    </row>
    <row r="18" spans="1:42" x14ac:dyDescent="0.2">
      <c r="A18" t="s">
        <v>389</v>
      </c>
      <c r="B18">
        <f>'Start Year Energy'!F72</f>
        <v>0.9885679661354756</v>
      </c>
      <c r="C18">
        <f t="shared" si="2"/>
        <v>0.9885679661354756</v>
      </c>
      <c r="D18">
        <f t="shared" si="2"/>
        <v>0.9885679661354756</v>
      </c>
      <c r="E18">
        <f t="shared" si="2"/>
        <v>0.9885679661354756</v>
      </c>
      <c r="F18">
        <f t="shared" si="2"/>
        <v>0.9885679661354756</v>
      </c>
      <c r="G18">
        <f t="shared" si="2"/>
        <v>0.9885679661354756</v>
      </c>
      <c r="H18">
        <f t="shared" si="2"/>
        <v>0.9885679661354756</v>
      </c>
      <c r="I18">
        <f t="shared" si="2"/>
        <v>0.9885679661354756</v>
      </c>
      <c r="J18">
        <f t="shared" si="2"/>
        <v>0.9885679661354756</v>
      </c>
      <c r="K18">
        <f t="shared" si="2"/>
        <v>0.9885679661354756</v>
      </c>
      <c r="L18">
        <f t="shared" si="2"/>
        <v>0.9885679661354756</v>
      </c>
      <c r="M18">
        <f t="shared" si="2"/>
        <v>0.9885679661354756</v>
      </c>
      <c r="N18">
        <f t="shared" si="2"/>
        <v>0.9885679661354756</v>
      </c>
      <c r="O18">
        <f t="shared" si="2"/>
        <v>0.9885679661354756</v>
      </c>
      <c r="P18">
        <f t="shared" si="2"/>
        <v>0.9885679661354756</v>
      </c>
      <c r="Q18">
        <f t="shared" si="2"/>
        <v>0.9885679661354756</v>
      </c>
      <c r="R18">
        <f t="shared" si="2"/>
        <v>0.9885679661354756</v>
      </c>
      <c r="S18">
        <f t="shared" si="3"/>
        <v>0.9885679661354756</v>
      </c>
      <c r="T18">
        <f t="shared" si="3"/>
        <v>0.9885679661354756</v>
      </c>
      <c r="U18">
        <f t="shared" si="3"/>
        <v>0.9885679661354756</v>
      </c>
      <c r="V18">
        <f t="shared" si="3"/>
        <v>0.9885679661354756</v>
      </c>
      <c r="W18">
        <f t="shared" si="3"/>
        <v>0.9885679661354756</v>
      </c>
      <c r="X18">
        <f t="shared" si="3"/>
        <v>0.9885679661354756</v>
      </c>
      <c r="Y18">
        <f t="shared" si="3"/>
        <v>0.9885679661354756</v>
      </c>
      <c r="Z18">
        <f t="shared" si="3"/>
        <v>0.9885679661354756</v>
      </c>
      <c r="AA18">
        <f t="shared" si="3"/>
        <v>0.9885679661354756</v>
      </c>
      <c r="AB18">
        <f t="shared" si="3"/>
        <v>0.9885679661354756</v>
      </c>
      <c r="AC18">
        <f t="shared" si="3"/>
        <v>0.9885679661354756</v>
      </c>
      <c r="AD18">
        <f t="shared" si="3"/>
        <v>0.9885679661354756</v>
      </c>
      <c r="AE18">
        <f t="shared" si="3"/>
        <v>0.9885679661354756</v>
      </c>
      <c r="AF18">
        <f t="shared" si="3"/>
        <v>0.9885679661354756</v>
      </c>
      <c r="AG18">
        <f t="shared" si="3"/>
        <v>0.9885679661354756</v>
      </c>
      <c r="AH18">
        <f t="shared" si="3"/>
        <v>0.9885679661354756</v>
      </c>
      <c r="AI18">
        <f t="shared" si="3"/>
        <v>0.9885679661354756</v>
      </c>
      <c r="AJ18">
        <f t="shared" si="3"/>
        <v>0.9885679661354756</v>
      </c>
      <c r="AK18">
        <f t="shared" si="3"/>
        <v>0.9885679661354756</v>
      </c>
      <c r="AL18">
        <f t="shared" si="3"/>
        <v>0.9885679661354756</v>
      </c>
      <c r="AM18">
        <f t="shared" si="3"/>
        <v>0.9885679661354756</v>
      </c>
      <c r="AN18">
        <f t="shared" si="3"/>
        <v>0.9885679661354756</v>
      </c>
      <c r="AO18">
        <f t="shared" si="3"/>
        <v>0.9885679661354756</v>
      </c>
      <c r="AP18">
        <f t="shared" ref="AP18:AP23" si="4">$B18</f>
        <v>0.9885679661354756</v>
      </c>
    </row>
    <row r="19" spans="1:42" x14ac:dyDescent="0.2">
      <c r="A19" t="s">
        <v>390</v>
      </c>
      <c r="B19">
        <f>'Start Year Energy'!F73</f>
        <v>0.98684097234235124</v>
      </c>
      <c r="C19">
        <f t="shared" si="2"/>
        <v>0.98684097234235124</v>
      </c>
      <c r="D19">
        <f t="shared" si="2"/>
        <v>0.98684097234235124</v>
      </c>
      <c r="E19">
        <f t="shared" si="2"/>
        <v>0.98684097234235124</v>
      </c>
      <c r="F19">
        <f t="shared" si="2"/>
        <v>0.98684097234235124</v>
      </c>
      <c r="G19">
        <f t="shared" si="2"/>
        <v>0.98684097234235124</v>
      </c>
      <c r="H19">
        <f t="shared" si="2"/>
        <v>0.98684097234235124</v>
      </c>
      <c r="I19">
        <f t="shared" si="2"/>
        <v>0.98684097234235124</v>
      </c>
      <c r="J19">
        <f t="shared" si="2"/>
        <v>0.98684097234235124</v>
      </c>
      <c r="K19">
        <f t="shared" si="2"/>
        <v>0.98684097234235124</v>
      </c>
      <c r="L19">
        <f t="shared" si="2"/>
        <v>0.98684097234235124</v>
      </c>
      <c r="M19">
        <f t="shared" si="2"/>
        <v>0.98684097234235124</v>
      </c>
      <c r="N19">
        <f t="shared" si="2"/>
        <v>0.98684097234235124</v>
      </c>
      <c r="O19">
        <f t="shared" si="2"/>
        <v>0.98684097234235124</v>
      </c>
      <c r="P19">
        <f t="shared" si="2"/>
        <v>0.98684097234235124</v>
      </c>
      <c r="Q19">
        <f t="shared" si="2"/>
        <v>0.98684097234235124</v>
      </c>
      <c r="R19">
        <f t="shared" si="2"/>
        <v>0.98684097234235124</v>
      </c>
      <c r="S19">
        <f t="shared" si="3"/>
        <v>0.98684097234235124</v>
      </c>
      <c r="T19">
        <f t="shared" si="3"/>
        <v>0.98684097234235124</v>
      </c>
      <c r="U19">
        <f t="shared" si="3"/>
        <v>0.98684097234235124</v>
      </c>
      <c r="V19">
        <f t="shared" si="3"/>
        <v>0.98684097234235124</v>
      </c>
      <c r="W19">
        <f t="shared" si="3"/>
        <v>0.98684097234235124</v>
      </c>
      <c r="X19">
        <f t="shared" si="3"/>
        <v>0.98684097234235124</v>
      </c>
      <c r="Y19">
        <f t="shared" si="3"/>
        <v>0.98684097234235124</v>
      </c>
      <c r="Z19">
        <f t="shared" si="3"/>
        <v>0.98684097234235124</v>
      </c>
      <c r="AA19">
        <f t="shared" si="3"/>
        <v>0.98684097234235124</v>
      </c>
      <c r="AB19">
        <f t="shared" si="3"/>
        <v>0.98684097234235124</v>
      </c>
      <c r="AC19">
        <f t="shared" si="3"/>
        <v>0.98684097234235124</v>
      </c>
      <c r="AD19">
        <f t="shared" si="3"/>
        <v>0.98684097234235124</v>
      </c>
      <c r="AE19">
        <f t="shared" si="3"/>
        <v>0.98684097234235124</v>
      </c>
      <c r="AF19">
        <f t="shared" si="3"/>
        <v>0.98684097234235124</v>
      </c>
      <c r="AG19">
        <f t="shared" si="3"/>
        <v>0.98684097234235124</v>
      </c>
      <c r="AH19">
        <f t="shared" si="3"/>
        <v>0.98684097234235124</v>
      </c>
      <c r="AI19">
        <f t="shared" si="3"/>
        <v>0.98684097234235124</v>
      </c>
      <c r="AJ19">
        <f t="shared" si="3"/>
        <v>0.98684097234235124</v>
      </c>
      <c r="AK19">
        <f t="shared" si="3"/>
        <v>0.98684097234235124</v>
      </c>
      <c r="AL19">
        <f t="shared" si="3"/>
        <v>0.98684097234235124</v>
      </c>
      <c r="AM19">
        <f t="shared" si="3"/>
        <v>0.98684097234235124</v>
      </c>
      <c r="AN19">
        <f t="shared" si="3"/>
        <v>0.98684097234235124</v>
      </c>
      <c r="AO19">
        <f t="shared" si="3"/>
        <v>0.98684097234235124</v>
      </c>
      <c r="AP19">
        <f t="shared" si="4"/>
        <v>0.98684097234235124</v>
      </c>
    </row>
    <row r="20" spans="1:42" x14ac:dyDescent="0.2">
      <c r="A20" t="s">
        <v>391</v>
      </c>
      <c r="B20">
        <f>'Start Year Energy'!F74</f>
        <v>0.95800951067790818</v>
      </c>
      <c r="C20">
        <f t="shared" si="2"/>
        <v>0.95800951067790818</v>
      </c>
      <c r="D20">
        <f t="shared" si="2"/>
        <v>0.95800951067790818</v>
      </c>
      <c r="E20">
        <f t="shared" si="2"/>
        <v>0.95800951067790818</v>
      </c>
      <c r="F20">
        <f t="shared" si="2"/>
        <v>0.95800951067790818</v>
      </c>
      <c r="G20">
        <f t="shared" si="2"/>
        <v>0.95800951067790818</v>
      </c>
      <c r="H20">
        <f t="shared" si="2"/>
        <v>0.95800951067790818</v>
      </c>
      <c r="I20">
        <f t="shared" si="2"/>
        <v>0.95800951067790818</v>
      </c>
      <c r="J20">
        <f t="shared" si="2"/>
        <v>0.95800951067790818</v>
      </c>
      <c r="K20">
        <f t="shared" si="2"/>
        <v>0.95800951067790818</v>
      </c>
      <c r="L20">
        <f t="shared" si="2"/>
        <v>0.95800951067790818</v>
      </c>
      <c r="M20">
        <f t="shared" si="2"/>
        <v>0.95800951067790818</v>
      </c>
      <c r="N20">
        <f t="shared" si="2"/>
        <v>0.95800951067790818</v>
      </c>
      <c r="O20">
        <f t="shared" si="2"/>
        <v>0.95800951067790818</v>
      </c>
      <c r="P20">
        <f t="shared" si="2"/>
        <v>0.95800951067790818</v>
      </c>
      <c r="Q20">
        <f t="shared" si="2"/>
        <v>0.95800951067790818</v>
      </c>
      <c r="R20">
        <f t="shared" si="2"/>
        <v>0.95800951067790818</v>
      </c>
      <c r="S20">
        <f t="shared" si="3"/>
        <v>0.95800951067790818</v>
      </c>
      <c r="T20">
        <f t="shared" si="3"/>
        <v>0.95800951067790818</v>
      </c>
      <c r="U20">
        <f t="shared" si="3"/>
        <v>0.95800951067790818</v>
      </c>
      <c r="V20">
        <f t="shared" si="3"/>
        <v>0.95800951067790818</v>
      </c>
      <c r="W20">
        <f t="shared" si="3"/>
        <v>0.95800951067790818</v>
      </c>
      <c r="X20">
        <f t="shared" si="3"/>
        <v>0.95800951067790818</v>
      </c>
      <c r="Y20">
        <f t="shared" si="3"/>
        <v>0.95800951067790818</v>
      </c>
      <c r="Z20">
        <f t="shared" si="3"/>
        <v>0.95800951067790818</v>
      </c>
      <c r="AA20">
        <f t="shared" si="3"/>
        <v>0.95800951067790818</v>
      </c>
      <c r="AB20">
        <f t="shared" si="3"/>
        <v>0.95800951067790818</v>
      </c>
      <c r="AC20">
        <f t="shared" si="3"/>
        <v>0.95800951067790818</v>
      </c>
      <c r="AD20">
        <f t="shared" si="3"/>
        <v>0.95800951067790818</v>
      </c>
      <c r="AE20">
        <f t="shared" si="3"/>
        <v>0.95800951067790818</v>
      </c>
      <c r="AF20">
        <f t="shared" si="3"/>
        <v>0.95800951067790818</v>
      </c>
      <c r="AG20">
        <f t="shared" si="3"/>
        <v>0.95800951067790818</v>
      </c>
      <c r="AH20">
        <f t="shared" si="3"/>
        <v>0.95800951067790818</v>
      </c>
      <c r="AI20">
        <f t="shared" si="3"/>
        <v>0.95800951067790818</v>
      </c>
      <c r="AJ20">
        <f t="shared" si="3"/>
        <v>0.95800951067790818</v>
      </c>
      <c r="AK20">
        <f t="shared" si="3"/>
        <v>0.95800951067790818</v>
      </c>
      <c r="AL20">
        <f t="shared" si="3"/>
        <v>0.95800951067790818</v>
      </c>
      <c r="AM20">
        <f t="shared" si="3"/>
        <v>0.95800951067790818</v>
      </c>
      <c r="AN20">
        <f t="shared" si="3"/>
        <v>0.95800951067790818</v>
      </c>
      <c r="AO20">
        <f t="shared" si="3"/>
        <v>0.95800951067790818</v>
      </c>
      <c r="AP20">
        <f t="shared" si="4"/>
        <v>0.95800951067790818</v>
      </c>
    </row>
    <row r="21" spans="1:42" x14ac:dyDescent="0.2">
      <c r="A21" t="s">
        <v>392</v>
      </c>
      <c r="B21">
        <f>'Start Year Energy'!F75</f>
        <v>0.98370867801979978</v>
      </c>
      <c r="C21">
        <f t="shared" si="2"/>
        <v>0.98370867801979978</v>
      </c>
      <c r="D21">
        <f t="shared" si="2"/>
        <v>0.98370867801979978</v>
      </c>
      <c r="E21">
        <f t="shared" si="2"/>
        <v>0.98370867801979978</v>
      </c>
      <c r="F21">
        <f t="shared" si="2"/>
        <v>0.98370867801979978</v>
      </c>
      <c r="G21">
        <f t="shared" si="2"/>
        <v>0.98370867801979978</v>
      </c>
      <c r="H21">
        <f t="shared" si="2"/>
        <v>0.98370867801979978</v>
      </c>
      <c r="I21">
        <f t="shared" si="2"/>
        <v>0.98370867801979978</v>
      </c>
      <c r="J21">
        <f t="shared" si="2"/>
        <v>0.98370867801979978</v>
      </c>
      <c r="K21">
        <f t="shared" si="2"/>
        <v>0.98370867801979978</v>
      </c>
      <c r="L21">
        <f t="shared" si="2"/>
        <v>0.98370867801979978</v>
      </c>
      <c r="M21">
        <f t="shared" si="2"/>
        <v>0.98370867801979978</v>
      </c>
      <c r="N21">
        <f t="shared" si="2"/>
        <v>0.98370867801979978</v>
      </c>
      <c r="O21">
        <f t="shared" si="2"/>
        <v>0.98370867801979978</v>
      </c>
      <c r="P21">
        <f t="shared" si="2"/>
        <v>0.98370867801979978</v>
      </c>
      <c r="Q21">
        <f t="shared" si="2"/>
        <v>0.98370867801979978</v>
      </c>
      <c r="R21">
        <f t="shared" si="2"/>
        <v>0.98370867801979978</v>
      </c>
      <c r="S21">
        <f t="shared" si="3"/>
        <v>0.98370867801979978</v>
      </c>
      <c r="T21">
        <f t="shared" si="3"/>
        <v>0.98370867801979978</v>
      </c>
      <c r="U21">
        <f t="shared" si="3"/>
        <v>0.98370867801979978</v>
      </c>
      <c r="V21">
        <f t="shared" si="3"/>
        <v>0.98370867801979978</v>
      </c>
      <c r="W21">
        <f t="shared" si="3"/>
        <v>0.98370867801979978</v>
      </c>
      <c r="X21">
        <f t="shared" si="3"/>
        <v>0.98370867801979978</v>
      </c>
      <c r="Y21">
        <f t="shared" si="3"/>
        <v>0.98370867801979978</v>
      </c>
      <c r="Z21">
        <f t="shared" si="3"/>
        <v>0.98370867801979978</v>
      </c>
      <c r="AA21">
        <f t="shared" si="3"/>
        <v>0.98370867801979978</v>
      </c>
      <c r="AB21">
        <f t="shared" si="3"/>
        <v>0.98370867801979978</v>
      </c>
      <c r="AC21">
        <f t="shared" si="3"/>
        <v>0.98370867801979978</v>
      </c>
      <c r="AD21">
        <f t="shared" si="3"/>
        <v>0.98370867801979978</v>
      </c>
      <c r="AE21">
        <f t="shared" si="3"/>
        <v>0.98370867801979978</v>
      </c>
      <c r="AF21">
        <f t="shared" si="3"/>
        <v>0.98370867801979978</v>
      </c>
      <c r="AG21">
        <f t="shared" si="3"/>
        <v>0.98370867801979978</v>
      </c>
      <c r="AH21">
        <f t="shared" si="3"/>
        <v>0.98370867801979978</v>
      </c>
      <c r="AI21">
        <f t="shared" si="3"/>
        <v>0.98370867801979978</v>
      </c>
      <c r="AJ21">
        <f t="shared" si="3"/>
        <v>0.98370867801979978</v>
      </c>
      <c r="AK21">
        <f t="shared" si="3"/>
        <v>0.98370867801979978</v>
      </c>
      <c r="AL21">
        <f t="shared" si="3"/>
        <v>0.98370867801979978</v>
      </c>
      <c r="AM21">
        <f t="shared" si="3"/>
        <v>0.98370867801979978</v>
      </c>
      <c r="AN21">
        <f t="shared" si="3"/>
        <v>0.98370867801979978</v>
      </c>
      <c r="AO21">
        <f t="shared" si="3"/>
        <v>0.98370867801979978</v>
      </c>
      <c r="AP21">
        <f t="shared" si="4"/>
        <v>0.98370867801979978</v>
      </c>
    </row>
    <row r="22" spans="1:42" x14ac:dyDescent="0.2">
      <c r="A22" t="s">
        <v>393</v>
      </c>
      <c r="B22">
        <f>'Start Year Energy'!F76</f>
        <v>0.96197965841863697</v>
      </c>
      <c r="C22">
        <f t="shared" si="2"/>
        <v>0.96197965841863697</v>
      </c>
      <c r="D22">
        <f t="shared" si="2"/>
        <v>0.96197965841863697</v>
      </c>
      <c r="E22">
        <f t="shared" si="2"/>
        <v>0.96197965841863697</v>
      </c>
      <c r="F22">
        <f t="shared" si="2"/>
        <v>0.96197965841863697</v>
      </c>
      <c r="G22">
        <f t="shared" si="2"/>
        <v>0.96197965841863697</v>
      </c>
      <c r="H22">
        <f t="shared" si="2"/>
        <v>0.96197965841863697</v>
      </c>
      <c r="I22">
        <f t="shared" si="2"/>
        <v>0.96197965841863697</v>
      </c>
      <c r="J22">
        <f t="shared" si="2"/>
        <v>0.96197965841863697</v>
      </c>
      <c r="K22">
        <f t="shared" si="2"/>
        <v>0.96197965841863697</v>
      </c>
      <c r="L22">
        <f t="shared" si="2"/>
        <v>0.96197965841863697</v>
      </c>
      <c r="M22">
        <f t="shared" si="2"/>
        <v>0.96197965841863697</v>
      </c>
      <c r="N22">
        <f t="shared" si="2"/>
        <v>0.96197965841863697</v>
      </c>
      <c r="O22">
        <f t="shared" si="2"/>
        <v>0.96197965841863697</v>
      </c>
      <c r="P22">
        <f t="shared" si="2"/>
        <v>0.96197965841863697</v>
      </c>
      <c r="Q22">
        <f t="shared" si="2"/>
        <v>0.96197965841863697</v>
      </c>
      <c r="R22">
        <f t="shared" si="2"/>
        <v>0.96197965841863697</v>
      </c>
      <c r="S22">
        <f t="shared" si="3"/>
        <v>0.96197965841863697</v>
      </c>
      <c r="T22">
        <f t="shared" si="3"/>
        <v>0.96197965841863697</v>
      </c>
      <c r="U22">
        <f t="shared" si="3"/>
        <v>0.96197965841863697</v>
      </c>
      <c r="V22">
        <f t="shared" si="3"/>
        <v>0.96197965841863697</v>
      </c>
      <c r="W22">
        <f t="shared" si="3"/>
        <v>0.96197965841863697</v>
      </c>
      <c r="X22">
        <f t="shared" si="3"/>
        <v>0.96197965841863697</v>
      </c>
      <c r="Y22">
        <f t="shared" si="3"/>
        <v>0.96197965841863697</v>
      </c>
      <c r="Z22">
        <f t="shared" si="3"/>
        <v>0.96197965841863697</v>
      </c>
      <c r="AA22">
        <f t="shared" si="3"/>
        <v>0.96197965841863697</v>
      </c>
      <c r="AB22">
        <f t="shared" si="3"/>
        <v>0.96197965841863697</v>
      </c>
      <c r="AC22">
        <f t="shared" si="3"/>
        <v>0.96197965841863697</v>
      </c>
      <c r="AD22">
        <f t="shared" si="3"/>
        <v>0.96197965841863697</v>
      </c>
      <c r="AE22">
        <f t="shared" si="3"/>
        <v>0.96197965841863697</v>
      </c>
      <c r="AF22">
        <f t="shared" si="3"/>
        <v>0.96197965841863697</v>
      </c>
      <c r="AG22">
        <f t="shared" si="3"/>
        <v>0.96197965841863697</v>
      </c>
      <c r="AH22">
        <f t="shared" si="3"/>
        <v>0.96197965841863697</v>
      </c>
      <c r="AI22">
        <f t="shared" si="3"/>
        <v>0.96197965841863697</v>
      </c>
      <c r="AJ22">
        <f t="shared" si="3"/>
        <v>0.96197965841863697</v>
      </c>
      <c r="AK22">
        <f t="shared" si="3"/>
        <v>0.96197965841863697</v>
      </c>
      <c r="AL22">
        <f t="shared" si="3"/>
        <v>0.96197965841863697</v>
      </c>
      <c r="AM22">
        <f t="shared" si="3"/>
        <v>0.96197965841863697</v>
      </c>
      <c r="AN22">
        <f t="shared" si="3"/>
        <v>0.96197965841863697</v>
      </c>
      <c r="AO22">
        <f t="shared" si="3"/>
        <v>0.96197965841863697</v>
      </c>
      <c r="AP22">
        <f t="shared" si="4"/>
        <v>0.96197965841863697</v>
      </c>
    </row>
    <row r="23" spans="1:42" x14ac:dyDescent="0.2">
      <c r="A23" t="s">
        <v>394</v>
      </c>
      <c r="B23">
        <f>'Start Year Energy'!F77</f>
        <v>0.97513735420663461</v>
      </c>
      <c r="C23">
        <f t="shared" si="2"/>
        <v>0.97513735420663461</v>
      </c>
      <c r="D23">
        <f t="shared" si="2"/>
        <v>0.97513735420663461</v>
      </c>
      <c r="E23">
        <f t="shared" si="2"/>
        <v>0.97513735420663461</v>
      </c>
      <c r="F23">
        <f t="shared" si="2"/>
        <v>0.97513735420663461</v>
      </c>
      <c r="G23">
        <f t="shared" si="2"/>
        <v>0.97513735420663461</v>
      </c>
      <c r="H23">
        <f t="shared" si="2"/>
        <v>0.97513735420663461</v>
      </c>
      <c r="I23">
        <f t="shared" si="2"/>
        <v>0.97513735420663461</v>
      </c>
      <c r="J23">
        <f t="shared" si="2"/>
        <v>0.97513735420663461</v>
      </c>
      <c r="K23">
        <f t="shared" si="2"/>
        <v>0.97513735420663461</v>
      </c>
      <c r="L23">
        <f t="shared" si="2"/>
        <v>0.97513735420663461</v>
      </c>
      <c r="M23">
        <f t="shared" si="2"/>
        <v>0.97513735420663461</v>
      </c>
      <c r="N23">
        <f t="shared" si="2"/>
        <v>0.97513735420663461</v>
      </c>
      <c r="O23">
        <f t="shared" si="2"/>
        <v>0.97513735420663461</v>
      </c>
      <c r="P23">
        <f t="shared" si="2"/>
        <v>0.97513735420663461</v>
      </c>
      <c r="Q23">
        <f t="shared" si="2"/>
        <v>0.97513735420663461</v>
      </c>
      <c r="R23">
        <f t="shared" si="2"/>
        <v>0.97513735420663461</v>
      </c>
      <c r="S23">
        <f t="shared" si="3"/>
        <v>0.97513735420663461</v>
      </c>
      <c r="T23">
        <f t="shared" si="3"/>
        <v>0.97513735420663461</v>
      </c>
      <c r="U23">
        <f t="shared" si="3"/>
        <v>0.97513735420663461</v>
      </c>
      <c r="V23">
        <f t="shared" si="3"/>
        <v>0.97513735420663461</v>
      </c>
      <c r="W23">
        <f t="shared" si="3"/>
        <v>0.97513735420663461</v>
      </c>
      <c r="X23">
        <f t="shared" si="3"/>
        <v>0.97513735420663461</v>
      </c>
      <c r="Y23">
        <f t="shared" si="3"/>
        <v>0.97513735420663461</v>
      </c>
      <c r="Z23">
        <f t="shared" si="3"/>
        <v>0.97513735420663461</v>
      </c>
      <c r="AA23">
        <f t="shared" si="3"/>
        <v>0.97513735420663461</v>
      </c>
      <c r="AB23">
        <f t="shared" si="3"/>
        <v>0.97513735420663461</v>
      </c>
      <c r="AC23">
        <f t="shared" si="3"/>
        <v>0.97513735420663461</v>
      </c>
      <c r="AD23">
        <f t="shared" si="3"/>
        <v>0.97513735420663461</v>
      </c>
      <c r="AE23">
        <f t="shared" si="3"/>
        <v>0.97513735420663461</v>
      </c>
      <c r="AF23">
        <f t="shared" si="3"/>
        <v>0.97513735420663461</v>
      </c>
      <c r="AG23">
        <f t="shared" si="3"/>
        <v>0.97513735420663461</v>
      </c>
      <c r="AH23">
        <f t="shared" si="3"/>
        <v>0.97513735420663461</v>
      </c>
      <c r="AI23">
        <f t="shared" si="3"/>
        <v>0.97513735420663461</v>
      </c>
      <c r="AJ23">
        <f t="shared" si="3"/>
        <v>0.97513735420663461</v>
      </c>
      <c r="AK23">
        <f t="shared" si="3"/>
        <v>0.97513735420663461</v>
      </c>
      <c r="AL23">
        <f t="shared" si="3"/>
        <v>0.97513735420663461</v>
      </c>
      <c r="AM23">
        <f t="shared" si="3"/>
        <v>0.97513735420663461</v>
      </c>
      <c r="AN23">
        <f t="shared" si="3"/>
        <v>0.97513735420663461</v>
      </c>
      <c r="AO23">
        <f t="shared" si="3"/>
        <v>0.97513735420663461</v>
      </c>
      <c r="AP23">
        <f t="shared" si="4"/>
        <v>0.97513735420663461</v>
      </c>
    </row>
    <row r="24" spans="1:42" x14ac:dyDescent="0.2">
      <c r="A24" t="s">
        <v>395</v>
      </c>
      <c r="B24">
        <f>'Start Year Energy'!F78</f>
        <v>0.36572183730486663</v>
      </c>
      <c r="C24">
        <f t="shared" si="2"/>
        <v>0.36572183730486663</v>
      </c>
      <c r="D24">
        <f t="shared" si="2"/>
        <v>0.36572183730486663</v>
      </c>
      <c r="E24">
        <f t="shared" si="2"/>
        <v>0.36572183730486663</v>
      </c>
      <c r="F24">
        <f t="shared" si="2"/>
        <v>0.36572183730486663</v>
      </c>
      <c r="G24">
        <f t="shared" si="2"/>
        <v>0.36572183730486663</v>
      </c>
      <c r="H24">
        <f t="shared" si="2"/>
        <v>0.36572183730486663</v>
      </c>
      <c r="I24">
        <f t="shared" si="2"/>
        <v>0.36572183730486663</v>
      </c>
      <c r="J24">
        <f t="shared" si="2"/>
        <v>0.36572183730486663</v>
      </c>
      <c r="K24">
        <f t="shared" si="2"/>
        <v>0.36572183730486663</v>
      </c>
      <c r="L24">
        <f t="shared" si="2"/>
        <v>0.36572183730486663</v>
      </c>
      <c r="M24">
        <f t="shared" si="2"/>
        <v>0.36572183730486663</v>
      </c>
      <c r="N24">
        <f t="shared" si="2"/>
        <v>0.36572183730486663</v>
      </c>
      <c r="O24">
        <f t="shared" si="2"/>
        <v>0.36572183730486663</v>
      </c>
      <c r="P24">
        <f t="shared" si="2"/>
        <v>0.36572183730486663</v>
      </c>
      <c r="Q24">
        <f t="shared" si="2"/>
        <v>0.36572183730486663</v>
      </c>
      <c r="R24">
        <f t="shared" si="2"/>
        <v>0.36572183730486663</v>
      </c>
      <c r="S24">
        <f t="shared" si="3"/>
        <v>0.36572183730486663</v>
      </c>
      <c r="T24">
        <f t="shared" si="3"/>
        <v>0.36572183730486663</v>
      </c>
      <c r="U24">
        <f t="shared" si="3"/>
        <v>0.36572183730486663</v>
      </c>
      <c r="V24">
        <f t="shared" si="3"/>
        <v>0.36572183730486663</v>
      </c>
      <c r="W24">
        <f t="shared" si="3"/>
        <v>0.36572183730486663</v>
      </c>
      <c r="X24">
        <f t="shared" si="3"/>
        <v>0.36572183730486663</v>
      </c>
      <c r="Y24">
        <f t="shared" si="3"/>
        <v>0.36572183730486663</v>
      </c>
      <c r="Z24">
        <f t="shared" si="3"/>
        <v>0.36572183730486663</v>
      </c>
      <c r="AA24">
        <f t="shared" si="3"/>
        <v>0.36572183730486663</v>
      </c>
      <c r="AB24">
        <f t="shared" si="3"/>
        <v>0.36572183730486663</v>
      </c>
      <c r="AC24">
        <f t="shared" si="3"/>
        <v>0.36572183730486663</v>
      </c>
      <c r="AD24">
        <f t="shared" si="3"/>
        <v>0.36572183730486663</v>
      </c>
      <c r="AE24">
        <f t="shared" si="3"/>
        <v>0.36572183730486663</v>
      </c>
      <c r="AF24">
        <f t="shared" ref="AF24:AP26" si="5">$B24</f>
        <v>0.36572183730486663</v>
      </c>
      <c r="AG24">
        <f t="shared" si="5"/>
        <v>0.36572183730486663</v>
      </c>
      <c r="AH24">
        <f t="shared" si="5"/>
        <v>0.36572183730486663</v>
      </c>
      <c r="AI24">
        <f t="shared" si="5"/>
        <v>0.36572183730486663</v>
      </c>
      <c r="AJ24">
        <f t="shared" si="5"/>
        <v>0.36572183730486663</v>
      </c>
      <c r="AK24">
        <f t="shared" si="5"/>
        <v>0.36572183730486663</v>
      </c>
      <c r="AL24">
        <f t="shared" si="5"/>
        <v>0.36572183730486663</v>
      </c>
      <c r="AM24">
        <f t="shared" si="5"/>
        <v>0.36572183730486663</v>
      </c>
      <c r="AN24">
        <f t="shared" si="5"/>
        <v>0.36572183730486663</v>
      </c>
      <c r="AO24">
        <f t="shared" si="5"/>
        <v>0.36572183730486663</v>
      </c>
      <c r="AP24">
        <f t="shared" si="5"/>
        <v>0.36572183730486663</v>
      </c>
    </row>
    <row r="25" spans="1:42" x14ac:dyDescent="0.2">
      <c r="A25" t="s">
        <v>396</v>
      </c>
      <c r="B25">
        <f>'Start Year Energy'!F79</f>
        <v>0.96782997718503982</v>
      </c>
      <c r="C25">
        <f t="shared" si="2"/>
        <v>0.96782997718503982</v>
      </c>
      <c r="D25">
        <f t="shared" si="2"/>
        <v>0.96782997718503982</v>
      </c>
      <c r="E25">
        <f t="shared" si="2"/>
        <v>0.96782997718503982</v>
      </c>
      <c r="F25">
        <f t="shared" si="2"/>
        <v>0.96782997718503982</v>
      </c>
      <c r="G25">
        <f t="shared" si="2"/>
        <v>0.96782997718503982</v>
      </c>
      <c r="H25">
        <f t="shared" si="2"/>
        <v>0.96782997718503982</v>
      </c>
      <c r="I25">
        <f t="shared" si="2"/>
        <v>0.96782997718503982</v>
      </c>
      <c r="J25">
        <f t="shared" si="2"/>
        <v>0.96782997718503982</v>
      </c>
      <c r="K25">
        <f t="shared" si="2"/>
        <v>0.96782997718503982</v>
      </c>
      <c r="L25">
        <f t="shared" si="2"/>
        <v>0.96782997718503982</v>
      </c>
      <c r="M25">
        <f t="shared" si="2"/>
        <v>0.96782997718503982</v>
      </c>
      <c r="N25">
        <f t="shared" si="2"/>
        <v>0.96782997718503982</v>
      </c>
      <c r="O25">
        <f t="shared" si="2"/>
        <v>0.96782997718503982</v>
      </c>
      <c r="P25">
        <f t="shared" si="2"/>
        <v>0.96782997718503982</v>
      </c>
      <c r="Q25">
        <f t="shared" si="2"/>
        <v>0.96782997718503982</v>
      </c>
      <c r="R25">
        <f t="shared" si="2"/>
        <v>0.96782997718503982</v>
      </c>
      <c r="S25">
        <f t="shared" ref="S25:AF25" si="6">$B25</f>
        <v>0.96782997718503982</v>
      </c>
      <c r="T25">
        <f t="shared" si="6"/>
        <v>0.96782997718503982</v>
      </c>
      <c r="U25">
        <f t="shared" si="6"/>
        <v>0.96782997718503982</v>
      </c>
      <c r="V25">
        <f t="shared" si="6"/>
        <v>0.96782997718503982</v>
      </c>
      <c r="W25">
        <f t="shared" si="6"/>
        <v>0.96782997718503982</v>
      </c>
      <c r="X25">
        <f t="shared" si="6"/>
        <v>0.96782997718503982</v>
      </c>
      <c r="Y25">
        <f t="shared" si="6"/>
        <v>0.96782997718503982</v>
      </c>
      <c r="Z25">
        <f t="shared" si="6"/>
        <v>0.96782997718503982</v>
      </c>
      <c r="AA25">
        <f t="shared" si="6"/>
        <v>0.96782997718503982</v>
      </c>
      <c r="AB25">
        <f t="shared" si="6"/>
        <v>0.96782997718503982</v>
      </c>
      <c r="AC25">
        <f t="shared" si="6"/>
        <v>0.96782997718503982</v>
      </c>
      <c r="AD25">
        <f t="shared" si="6"/>
        <v>0.96782997718503982</v>
      </c>
      <c r="AE25">
        <f t="shared" si="6"/>
        <v>0.96782997718503982</v>
      </c>
      <c r="AF25">
        <f t="shared" si="6"/>
        <v>0.96782997718503982</v>
      </c>
      <c r="AG25">
        <f t="shared" si="5"/>
        <v>0.96782997718503982</v>
      </c>
      <c r="AH25">
        <f t="shared" si="5"/>
        <v>0.96782997718503982</v>
      </c>
      <c r="AI25">
        <f t="shared" si="5"/>
        <v>0.96782997718503982</v>
      </c>
      <c r="AJ25">
        <f t="shared" si="5"/>
        <v>0.96782997718503982</v>
      </c>
      <c r="AK25">
        <f t="shared" si="5"/>
        <v>0.96782997718503982</v>
      </c>
      <c r="AL25">
        <f t="shared" si="5"/>
        <v>0.96782997718503982</v>
      </c>
      <c r="AM25">
        <f t="shared" si="5"/>
        <v>0.96782997718503982</v>
      </c>
      <c r="AN25">
        <f t="shared" si="5"/>
        <v>0.96782997718503982</v>
      </c>
      <c r="AO25">
        <f t="shared" si="5"/>
        <v>0.96782997718503982</v>
      </c>
      <c r="AP25">
        <f t="shared" si="5"/>
        <v>0.96782997718503982</v>
      </c>
    </row>
    <row r="26" spans="1:42" x14ac:dyDescent="0.2">
      <c r="A26" t="s">
        <v>397</v>
      </c>
      <c r="B26">
        <f>'Start Year Energy'!F80</f>
        <v>1</v>
      </c>
      <c r="C26">
        <f t="shared" si="2"/>
        <v>1</v>
      </c>
      <c r="D26">
        <f t="shared" si="2"/>
        <v>1</v>
      </c>
      <c r="E26">
        <f t="shared" si="2"/>
        <v>1</v>
      </c>
      <c r="F26">
        <f t="shared" si="2"/>
        <v>1</v>
      </c>
      <c r="G26">
        <f t="shared" si="2"/>
        <v>1</v>
      </c>
      <c r="H26">
        <f t="shared" si="2"/>
        <v>1</v>
      </c>
      <c r="I26">
        <f t="shared" si="2"/>
        <v>1</v>
      </c>
      <c r="J26">
        <f t="shared" ref="J26:AF26" si="7">$B26</f>
        <v>1</v>
      </c>
      <c r="K26">
        <f t="shared" si="7"/>
        <v>1</v>
      </c>
      <c r="L26">
        <f t="shared" si="7"/>
        <v>1</v>
      </c>
      <c r="M26">
        <f t="shared" si="7"/>
        <v>1</v>
      </c>
      <c r="N26">
        <f t="shared" si="7"/>
        <v>1</v>
      </c>
      <c r="O26">
        <f t="shared" si="7"/>
        <v>1</v>
      </c>
      <c r="P26">
        <f t="shared" si="7"/>
        <v>1</v>
      </c>
      <c r="Q26">
        <f t="shared" si="7"/>
        <v>1</v>
      </c>
      <c r="R26">
        <f t="shared" si="7"/>
        <v>1</v>
      </c>
      <c r="S26">
        <f t="shared" si="7"/>
        <v>1</v>
      </c>
      <c r="T26">
        <f t="shared" si="7"/>
        <v>1</v>
      </c>
      <c r="U26">
        <f t="shared" si="7"/>
        <v>1</v>
      </c>
      <c r="V26">
        <f t="shared" si="7"/>
        <v>1</v>
      </c>
      <c r="W26">
        <f t="shared" si="7"/>
        <v>1</v>
      </c>
      <c r="X26">
        <f t="shared" si="7"/>
        <v>1</v>
      </c>
      <c r="Y26">
        <f t="shared" si="7"/>
        <v>1</v>
      </c>
      <c r="Z26">
        <f t="shared" si="7"/>
        <v>1</v>
      </c>
      <c r="AA26">
        <f t="shared" si="7"/>
        <v>1</v>
      </c>
      <c r="AB26">
        <f t="shared" si="7"/>
        <v>1</v>
      </c>
      <c r="AC26">
        <f t="shared" si="7"/>
        <v>1</v>
      </c>
      <c r="AD26">
        <f t="shared" si="7"/>
        <v>1</v>
      </c>
      <c r="AE26">
        <f t="shared" si="7"/>
        <v>1</v>
      </c>
      <c r="AF26">
        <f t="shared" si="7"/>
        <v>1</v>
      </c>
      <c r="AG26">
        <f t="shared" si="5"/>
        <v>1</v>
      </c>
      <c r="AH26">
        <f t="shared" si="5"/>
        <v>1</v>
      </c>
      <c r="AI26">
        <f t="shared" si="5"/>
        <v>1</v>
      </c>
      <c r="AJ26">
        <f t="shared" si="5"/>
        <v>1</v>
      </c>
      <c r="AK26">
        <f t="shared" si="5"/>
        <v>1</v>
      </c>
      <c r="AL26">
        <f t="shared" si="5"/>
        <v>1</v>
      </c>
      <c r="AM26">
        <f t="shared" si="5"/>
        <v>1</v>
      </c>
      <c r="AN26">
        <f t="shared" si="5"/>
        <v>1</v>
      </c>
      <c r="AO26">
        <f t="shared" si="5"/>
        <v>1</v>
      </c>
      <c r="AP26">
        <f t="shared" si="5"/>
        <v>1</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vt:i4>
      </vt:variant>
    </vt:vector>
  </HeadingPairs>
  <TitlesOfParts>
    <vt:vector size="30" baseType="lpstr">
      <vt:lpstr>About</vt:lpstr>
      <vt:lpstr>终端消费</vt:lpstr>
      <vt:lpstr>能源平衡表</vt:lpstr>
      <vt:lpstr>总量</vt:lpstr>
      <vt:lpstr>煤炭</vt:lpstr>
      <vt:lpstr>焦炭</vt:lpstr>
      <vt:lpstr>原油</vt:lpstr>
      <vt:lpstr>煤油</vt:lpstr>
      <vt:lpstr>汽油</vt:lpstr>
      <vt:lpstr>柴油</vt:lpstr>
      <vt:lpstr>燃料油</vt:lpstr>
      <vt:lpstr>天然气</vt:lpstr>
      <vt:lpstr>电力</vt:lpstr>
      <vt:lpstr>Input Data</vt:lpstr>
      <vt:lpstr>Non Energy Use Worksheet</vt:lpstr>
      <vt:lpstr>Non Energy Use Regression</vt:lpstr>
      <vt:lpstr>Start Year Energy</vt:lpstr>
      <vt:lpstr>Sector Code Switch</vt:lpstr>
      <vt:lpstr>Fuel Code Switch</vt:lpstr>
      <vt:lpstr>Energy Heat Value Conversion</vt:lpstr>
      <vt:lpstr>BPoIFufE-biomass</vt:lpstr>
      <vt:lpstr>BPoIFufE-coal</vt:lpstr>
      <vt:lpstr>BPoIFufE-crude-oil</vt:lpstr>
      <vt:lpstr>BPoIFufE-electricity</vt:lpstr>
      <vt:lpstr>BPoIFufE-heat</vt:lpstr>
      <vt:lpstr>BPoIFufE-heavy-or-residual-oil</vt:lpstr>
      <vt:lpstr>BPoIFufE-hydrogen</vt:lpstr>
      <vt:lpstr>BPoIFufE-LPG-propane-or-butane</vt:lpstr>
      <vt:lpstr>BPoIFufE-natural-gas</vt:lpstr>
      <vt:lpstr>BPoIFufE-petroleu-diesel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2023-02-17T09:18:01Z</dcterms:created>
  <dcterms:modified xsi:type="dcterms:W3CDTF">2023-02-24T11:01:37Z</dcterms:modified>
</cp:coreProperties>
</file>