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FOPITY" sheetId="1" r:id="rId1"/>
    <sheet name="参考依据" sheetId="2" r:id="rId2"/>
  </sheets>
  <definedNames>
    <definedName name="IQ_DAILY">500000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<sst xmlns="http://schemas.openxmlformats.org/spreadsheetml/2006/main" count="60" uniqueCount="40">
  <si>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参数一</t>
  </si>
  <si>
    <t>Renewable Portfolio Std Percentage</t>
  </si>
  <si>
    <t>Max Percentage</t>
  </si>
  <si>
    <t>Year</t>
  </si>
  <si>
    <t>Policy Goal</t>
  </si>
  <si>
    <t>FOPITY</t>
  </si>
  <si>
    <t>参数二</t>
  </si>
  <si>
    <t>Fraction of Additional Grid Battery Storage Potential Achieved</t>
  </si>
  <si>
    <t>Maximum PAGBSC (value)</t>
  </si>
  <si>
    <t>Maximum PAGBSC (percentage)</t>
  </si>
  <si>
    <t>参数三</t>
  </si>
  <si>
    <t>Fraction of Additional Demand Response Potential Achieved</t>
  </si>
  <si>
    <t>参数四</t>
  </si>
  <si>
    <t>Percentage TnD Losses Avoided</t>
  </si>
  <si>
    <t xml:space="preserve">Maximum </t>
  </si>
  <si>
    <t>参数五</t>
  </si>
  <si>
    <t>Subsidy for Elec Production by Fuel</t>
  </si>
  <si>
    <t>solar thermal es, newly built($/MWh)</t>
  </si>
  <si>
    <t>政策</t>
  </si>
  <si>
    <t>数值</t>
  </si>
  <si>
    <t>参考依据</t>
  </si>
  <si>
    <t>2025：43%；2030：50.9%；2060：90%</t>
  </si>
  <si>
    <t>2025：“十四五”期间，可再生能源发电量增量在全社会用电量增量中的占比超过50%，风电和太阳能发电量实现翻番（《“十四五”可再生能源发展规划》）；
2030：IEA预测（https://www.iea.org/commentaries/tripling-renewable-power-capacity-by-2030-is-vital-to-keep-the-150c-goal-within-reach）；
2060：国家能源局党组书记、局长章建华在4月指出，到2060年，我国非化石能源发电量占比将由目前的34％左右提高到90％以上。</t>
  </si>
  <si>
    <t>2030年0.92亿千瓦，2040年3.59亿千瓦，2050年6.65亿千瓦，2060年10.63亿千瓦</t>
  </si>
  <si>
    <t>《新型电力系统建设路线图研究》</t>
  </si>
  <si>
    <t>2030：5%；2045：10%；2060：20%</t>
  </si>
  <si>
    <t>中国电科院预测：根据中国电科院对新型电力系统下源荷平衡分析，2030年电力需求响应比例将达5%，2045年需求响应比例将达10%，2060年需求响应比例将达20%。（https://baijiahao.baidu.com/s?id=1768922497531662876&amp;wfr=spider&amp;for=pc）</t>
  </si>
  <si>
    <t>2025：4.3%；2030：3.9%；2060：3.3%</t>
  </si>
  <si>
    <t>根据对标其他国家较低线损率。日本：4.3%；德国：3.9%；韩国3.3%</t>
  </si>
  <si>
    <t>Solar Thermal Subsidy Calculation</t>
  </si>
  <si>
    <t>青海</t>
  </si>
  <si>
    <t>吉林</t>
  </si>
  <si>
    <t>甘肃</t>
  </si>
  <si>
    <t>燃煤发电基准价（元/kwh）</t>
  </si>
  <si>
    <t>RMB Year</t>
  </si>
  <si>
    <t>Current RMB vs 2012 USD</t>
  </si>
  <si>
    <t>燃煤发电基准价（$/MWh）</t>
  </si>
  <si>
    <t>太阳热能上网电价（元/kwh）</t>
  </si>
  <si>
    <t>太阳能热上网电价（$/MWh）</t>
  </si>
  <si>
    <t>https://www.cspplaza.com/article-24664-1.html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</si>
</sst>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9" fontId="0" fillId="0" borderId="0" xfId="3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9" fontId="1" fillId="0" borderId="0" xfId="3" applyFont="1">
      <alignment vertical="center"/>
    </xf>
    <xf numFmtId="9" fontId="0" fillId="0" borderId="0" xfId="3" applyAlignment="1"/>
    <xf numFmtId="0" fontId="0" fillId="3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203200</xdr:colOff>
      <xdr:row>3</xdr:row>
      <xdr:rowOff>203200</xdr:rowOff>
    </xdr:to>
    <xdr:pic>
      <xdr:nvPicPr>
        <xdr:cNvPr id="2" name="图片 1" descr="image.png"/>
        <xdr:cNvPicPr>
          <a:picLocks noChangeAspect="1"/>
        </xdr:cNvPicPr>
      </xdr:nvPicPr>
      <xdr:blipFill>
        <a:stretch>
          <a:fillRect/>
        </a:stretch>
      </xdr:blipFill>
      <xdr:spPr>
        <a:xfrm>
          <a:off x="3975100" y="1778000"/>
          <a:ext cx="203200" cy="203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5"/>
  <sheetViews>
    <sheetView tabSelected="1" topLeftCell="A13" workbookViewId="0">
      <selection activeCell="C38" sqref="C38"/>
    </sheetView>
  </sheetViews>
  <sheetFormatPr defaultColWidth="8.72727272727273" defaultRowHeight="14"/>
  <cols>
    <col min="1" max="1" width="29.9090909090909" customWidth="1"/>
    <col min="2" max="2" width="16.2727272727273" customWidth="1"/>
    <col min="3" max="3" width="13.7272727272727" customWidth="1"/>
    <col min="4" max="5" width="12.8181818181818"/>
    <col min="6" max="6" width="11.7272727272727"/>
    <col min="7" max="13" width="12.8181818181818"/>
    <col min="14" max="14" width="11.7272727272727"/>
    <col min="15" max="22" width="12.8181818181818"/>
    <col min="23" max="23" width="11.7272727272727"/>
    <col min="24" max="30" width="12.8181818181818"/>
    <col min="31" max="31" width="11.7272727272727"/>
    <col min="32" max="39" width="12.8181818181818"/>
  </cols>
  <sheetData>
    <row r="1" spans="1:4">
      <c r="A1" s="3" t="s">
        <v>0</v>
      </c>
      <c r="B1" s="3" t="s">
        <v>1</v>
      </c>
      <c r="C1" s="3"/>
      <c r="D1" s="3"/>
    </row>
    <row r="2" spans="2:3">
      <c r="B2" t="s">
        <v>2</v>
      </c>
      <c r="C2" t="s">
        <v>3</v>
      </c>
    </row>
    <row r="3" spans="1:3">
      <c r="A3" t="s">
        <v>4</v>
      </c>
      <c r="B3" s="4">
        <v>0.9</v>
      </c>
      <c r="C3">
        <v>2060</v>
      </c>
    </row>
    <row r="4" spans="2:2">
      <c r="B4" s="4"/>
    </row>
    <row r="5" spans="2:42">
      <c r="B5" s="5">
        <v>2020</v>
      </c>
      <c r="C5" s="5">
        <v>2021</v>
      </c>
      <c r="D5" s="5">
        <v>2022</v>
      </c>
      <c r="E5" s="5">
        <v>2023</v>
      </c>
      <c r="F5" s="5">
        <v>2024</v>
      </c>
      <c r="G5" s="5">
        <v>2025</v>
      </c>
      <c r="H5" s="5">
        <v>2026</v>
      </c>
      <c r="I5" s="5">
        <v>2027</v>
      </c>
      <c r="J5" s="5">
        <v>2028</v>
      </c>
      <c r="K5" s="5">
        <v>2029</v>
      </c>
      <c r="L5" s="5">
        <v>2030</v>
      </c>
      <c r="M5" s="5">
        <v>2031</v>
      </c>
      <c r="N5" s="5">
        <v>2032</v>
      </c>
      <c r="O5" s="5">
        <v>2033</v>
      </c>
      <c r="P5" s="5">
        <v>2034</v>
      </c>
      <c r="Q5" s="5">
        <v>2035</v>
      </c>
      <c r="R5" s="5">
        <v>2036</v>
      </c>
      <c r="S5" s="5">
        <v>2037</v>
      </c>
      <c r="T5" s="5">
        <v>2038</v>
      </c>
      <c r="U5" s="5">
        <v>2039</v>
      </c>
      <c r="V5" s="5">
        <v>2040</v>
      </c>
      <c r="W5" s="5">
        <v>2041</v>
      </c>
      <c r="X5" s="5">
        <v>2042</v>
      </c>
      <c r="Y5" s="5">
        <v>2043</v>
      </c>
      <c r="Z5" s="5">
        <v>2044</v>
      </c>
      <c r="AA5" s="5">
        <v>2045</v>
      </c>
      <c r="AB5" s="5">
        <v>2046</v>
      </c>
      <c r="AC5" s="5">
        <v>2047</v>
      </c>
      <c r="AD5" s="5">
        <v>2048</v>
      </c>
      <c r="AE5" s="5">
        <v>2049</v>
      </c>
      <c r="AF5" s="5">
        <v>2050</v>
      </c>
      <c r="AG5" s="5">
        <v>2051</v>
      </c>
      <c r="AH5" s="5">
        <v>2052</v>
      </c>
      <c r="AI5" s="5">
        <v>2053</v>
      </c>
      <c r="AJ5" s="5">
        <v>2054</v>
      </c>
      <c r="AK5" s="5">
        <v>2055</v>
      </c>
      <c r="AL5" s="5">
        <v>2056</v>
      </c>
      <c r="AM5" s="5">
        <v>2057</v>
      </c>
      <c r="AN5" s="5">
        <v>2058</v>
      </c>
      <c r="AO5" s="5">
        <v>2059</v>
      </c>
      <c r="AP5" s="5">
        <v>2060</v>
      </c>
    </row>
    <row r="6" spans="1:42">
      <c r="A6" t="s">
        <v>5</v>
      </c>
      <c r="B6" s="6">
        <v>0.323263051155634</v>
      </c>
      <c r="C6" s="6">
        <v>0.329371081916968</v>
      </c>
      <c r="D6" s="6">
        <v>0.346055296771267</v>
      </c>
      <c r="E6" s="6">
        <v>0.390371784041937</v>
      </c>
      <c r="F6" s="6">
        <v>0.434688271312608</v>
      </c>
      <c r="G6" s="6">
        <v>0.479004758583278</v>
      </c>
      <c r="H6" s="6">
        <v>0.496346839959717</v>
      </c>
      <c r="I6" s="6">
        <v>0.513688921336156</v>
      </c>
      <c r="J6" s="6">
        <v>0.531031002712595</v>
      </c>
      <c r="K6" s="6">
        <v>0.548373084089034</v>
      </c>
      <c r="L6" s="6">
        <v>0.565715165465473</v>
      </c>
      <c r="M6" s="6">
        <v>0.580191326616624</v>
      </c>
      <c r="N6" s="6">
        <v>0.594667487767775</v>
      </c>
      <c r="O6" s="6">
        <v>0.609143648918925</v>
      </c>
      <c r="P6" s="6">
        <v>0.623619810070076</v>
      </c>
      <c r="Q6" s="6">
        <v>0.638095971221227</v>
      </c>
      <c r="R6" s="6">
        <v>0.652572132372378</v>
      </c>
      <c r="S6" s="6">
        <v>0.667048293523529</v>
      </c>
      <c r="T6" s="6">
        <v>0.68152445467468</v>
      </c>
      <c r="U6" s="6">
        <v>0.696000615825831</v>
      </c>
      <c r="V6" s="6">
        <v>0.710476776976982</v>
      </c>
      <c r="W6" s="6">
        <v>0.724952938128133</v>
      </c>
      <c r="X6" s="6">
        <v>0.739429099279284</v>
      </c>
      <c r="Y6" s="6">
        <v>0.753905260430435</v>
      </c>
      <c r="Z6" s="6">
        <v>0.768381421581585</v>
      </c>
      <c r="AA6" s="6">
        <v>0.782857582732736</v>
      </c>
      <c r="AB6" s="6">
        <v>0.797333743883887</v>
      </c>
      <c r="AC6" s="6">
        <v>0.811809905035038</v>
      </c>
      <c r="AD6" s="6">
        <v>0.826286066186189</v>
      </c>
      <c r="AE6" s="6">
        <v>0.84076222733734</v>
      </c>
      <c r="AF6" s="6">
        <v>0.855238388488491</v>
      </c>
      <c r="AG6" s="6">
        <v>0.869714549639642</v>
      </c>
      <c r="AH6" s="6">
        <v>0.884190710790793</v>
      </c>
      <c r="AI6" s="6">
        <v>0.898666871941944</v>
      </c>
      <c r="AJ6" s="6">
        <v>0.913143033093095</v>
      </c>
      <c r="AK6" s="6">
        <v>0.927619194244246</v>
      </c>
      <c r="AL6" s="6">
        <v>0.942095355395396</v>
      </c>
      <c r="AM6" s="6">
        <v>0.956571516546547</v>
      </c>
      <c r="AN6" s="6">
        <v>0.971047677697698</v>
      </c>
      <c r="AO6" s="6">
        <v>0.985523838848849</v>
      </c>
      <c r="AP6" s="6">
        <v>1</v>
      </c>
    </row>
    <row r="8" spans="1:6">
      <c r="A8" s="3" t="s">
        <v>6</v>
      </c>
      <c r="B8" s="3" t="s">
        <v>7</v>
      </c>
      <c r="C8" s="3"/>
      <c r="D8" s="3"/>
      <c r="E8" s="3"/>
      <c r="F8" s="3"/>
    </row>
    <row r="9" spans="2:3">
      <c r="B9" t="s">
        <v>2</v>
      </c>
      <c r="C9" t="s">
        <v>3</v>
      </c>
    </row>
    <row r="10" spans="1:3">
      <c r="A10" s="7" t="s">
        <v>8</v>
      </c>
      <c r="B10" s="8">
        <v>781365.384615385</v>
      </c>
      <c r="C10" s="9">
        <v>2060</v>
      </c>
    </row>
    <row r="11" spans="1:2">
      <c r="A11" s="7" t="s">
        <v>9</v>
      </c>
      <c r="B11" s="10">
        <v>0.490037870564682</v>
      </c>
    </row>
    <row r="12" spans="1:2">
      <c r="A12" s="7"/>
      <c r="B12" s="10"/>
    </row>
    <row r="13" spans="2:42">
      <c r="B13" s="5">
        <v>2020</v>
      </c>
      <c r="C13" s="5">
        <v>2021</v>
      </c>
      <c r="D13" s="5">
        <v>2022</v>
      </c>
      <c r="E13" s="5">
        <v>2023</v>
      </c>
      <c r="F13" s="5">
        <v>2024</v>
      </c>
      <c r="G13" s="5">
        <v>2025</v>
      </c>
      <c r="H13" s="5">
        <v>2026</v>
      </c>
      <c r="I13" s="5">
        <v>2027</v>
      </c>
      <c r="J13" s="5">
        <v>2028</v>
      </c>
      <c r="K13" s="5">
        <v>2029</v>
      </c>
      <c r="L13" s="5">
        <v>2030</v>
      </c>
      <c r="M13" s="5">
        <v>2031</v>
      </c>
      <c r="N13" s="5">
        <v>2032</v>
      </c>
      <c r="O13" s="5">
        <v>2033</v>
      </c>
      <c r="P13" s="5">
        <v>2034</v>
      </c>
      <c r="Q13" s="5">
        <v>2035</v>
      </c>
      <c r="R13" s="5">
        <v>2036</v>
      </c>
      <c r="S13" s="5">
        <v>2037</v>
      </c>
      <c r="T13" s="5">
        <v>2038</v>
      </c>
      <c r="U13" s="5">
        <v>2039</v>
      </c>
      <c r="V13" s="5">
        <v>2040</v>
      </c>
      <c r="W13" s="5">
        <v>2041</v>
      </c>
      <c r="X13" s="5">
        <v>2042</v>
      </c>
      <c r="Y13" s="5">
        <v>2043</v>
      </c>
      <c r="Z13" s="5">
        <v>2044</v>
      </c>
      <c r="AA13" s="5">
        <v>2045</v>
      </c>
      <c r="AB13" s="5">
        <v>2046</v>
      </c>
      <c r="AC13" s="5">
        <v>2047</v>
      </c>
      <c r="AD13" s="5">
        <v>2048</v>
      </c>
      <c r="AE13" s="5">
        <v>2049</v>
      </c>
      <c r="AF13" s="5">
        <v>2050</v>
      </c>
      <c r="AG13" s="5">
        <v>2051</v>
      </c>
      <c r="AH13" s="5">
        <v>2052</v>
      </c>
      <c r="AI13" s="5">
        <v>2053</v>
      </c>
      <c r="AJ13" s="5">
        <v>2054</v>
      </c>
      <c r="AK13" s="5">
        <v>2055</v>
      </c>
      <c r="AL13" s="5">
        <v>2056</v>
      </c>
      <c r="AM13" s="5">
        <v>2057</v>
      </c>
      <c r="AN13" s="5">
        <v>2058</v>
      </c>
      <c r="AO13" s="5">
        <v>2059</v>
      </c>
      <c r="AP13" s="5">
        <v>2060</v>
      </c>
    </row>
    <row r="14" spans="1:42">
      <c r="A14" s="6" t="s">
        <v>5</v>
      </c>
      <c r="B14" s="6">
        <v>0</v>
      </c>
      <c r="C14" s="6">
        <v>0.0018987088676134</v>
      </c>
      <c r="D14" s="6">
        <v>0.00379741773522681</v>
      </c>
      <c r="E14" s="6">
        <v>0.00569612660284021</v>
      </c>
      <c r="F14" s="6">
        <v>0.00759483547045362</v>
      </c>
      <c r="G14" s="6">
        <v>0.00949354433806702</v>
      </c>
      <c r="H14" s="6">
        <v>0.0113922532056804</v>
      </c>
      <c r="I14" s="6">
        <v>0.0132909620732938</v>
      </c>
      <c r="J14" s="6">
        <v>0.0151896709409072</v>
      </c>
      <c r="K14" s="6">
        <v>0.0170883798085206</v>
      </c>
      <c r="L14" s="6">
        <v>0.018987088676134</v>
      </c>
      <c r="M14" s="6">
        <v>0.0439901651448402</v>
      </c>
      <c r="N14" s="6">
        <v>0.0689932416135464</v>
      </c>
      <c r="O14" s="6">
        <v>0.0939963180822526</v>
      </c>
      <c r="P14" s="6">
        <v>0.118999394550959</v>
      </c>
      <c r="Q14" s="6">
        <v>0.144002471019665</v>
      </c>
      <c r="R14" s="6">
        <v>0.169005547488371</v>
      </c>
      <c r="S14" s="6">
        <v>0.194008623957077</v>
      </c>
      <c r="T14" s="6">
        <v>0.219011700425784</v>
      </c>
      <c r="U14" s="6">
        <v>0.24401477689449</v>
      </c>
      <c r="V14" s="6">
        <v>0.269017853363196</v>
      </c>
      <c r="W14" s="6">
        <v>0.300347467697079</v>
      </c>
      <c r="X14" s="6">
        <v>0.331677082030962</v>
      </c>
      <c r="Y14" s="6">
        <v>0.363006696364845</v>
      </c>
      <c r="Z14" s="6">
        <v>0.394336310698728</v>
      </c>
      <c r="AA14" s="6">
        <v>0.425665925032611</v>
      </c>
      <c r="AB14" s="6">
        <v>0.456995539366494</v>
      </c>
      <c r="AC14" s="6">
        <v>0.488325153700376</v>
      </c>
      <c r="AD14" s="6">
        <v>0.519654768034259</v>
      </c>
      <c r="AE14" s="6">
        <v>0.550984382368142</v>
      </c>
      <c r="AF14" s="6">
        <v>0.582313996702025</v>
      </c>
      <c r="AG14" s="6">
        <v>0.624082597031823</v>
      </c>
      <c r="AH14" s="6">
        <v>0.66585119736162</v>
      </c>
      <c r="AI14" s="6">
        <v>0.707619797691418</v>
      </c>
      <c r="AJ14" s="6">
        <v>0.749388398021215</v>
      </c>
      <c r="AK14" s="6">
        <v>0.791156998351012</v>
      </c>
      <c r="AL14" s="6">
        <v>0.83292559868081</v>
      </c>
      <c r="AM14" s="6">
        <v>0.874694199010608</v>
      </c>
      <c r="AN14" s="6">
        <v>0.916462799340405</v>
      </c>
      <c r="AO14" s="6">
        <v>0.958231399670203</v>
      </c>
      <c r="AP14" s="6">
        <v>1</v>
      </c>
    </row>
    <row r="16" spans="1:6">
      <c r="A16" s="3" t="s">
        <v>10</v>
      </c>
      <c r="B16" s="3" t="s">
        <v>11</v>
      </c>
      <c r="C16" s="3"/>
      <c r="D16" s="3"/>
      <c r="E16" s="3"/>
      <c r="F16" s="3"/>
    </row>
    <row r="17" spans="2:3">
      <c r="B17" t="s">
        <v>2</v>
      </c>
      <c r="C17" t="s">
        <v>3</v>
      </c>
    </row>
    <row r="18" spans="1:3">
      <c r="A18" t="s">
        <v>4</v>
      </c>
      <c r="B18" s="11">
        <v>1</v>
      </c>
      <c r="C18">
        <v>2060</v>
      </c>
    </row>
    <row r="20" spans="2:42">
      <c r="B20" s="5">
        <v>2020</v>
      </c>
      <c r="C20" s="5">
        <v>2021</v>
      </c>
      <c r="D20" s="5">
        <v>2022</v>
      </c>
      <c r="E20" s="5">
        <v>2023</v>
      </c>
      <c r="F20" s="5">
        <v>2024</v>
      </c>
      <c r="G20" s="5">
        <v>2025</v>
      </c>
      <c r="H20" s="5">
        <v>2026</v>
      </c>
      <c r="I20" s="5">
        <v>2027</v>
      </c>
      <c r="J20" s="5">
        <v>2028</v>
      </c>
      <c r="K20" s="5">
        <v>2029</v>
      </c>
      <c r="L20" s="5">
        <v>2030</v>
      </c>
      <c r="M20" s="5">
        <v>2031</v>
      </c>
      <c r="N20" s="5">
        <v>2032</v>
      </c>
      <c r="O20" s="5">
        <v>2033</v>
      </c>
      <c r="P20" s="5">
        <v>2034</v>
      </c>
      <c r="Q20" s="5">
        <v>2035</v>
      </c>
      <c r="R20" s="5">
        <v>2036</v>
      </c>
      <c r="S20" s="5">
        <v>2037</v>
      </c>
      <c r="T20" s="5">
        <v>2038</v>
      </c>
      <c r="U20" s="5">
        <v>2039</v>
      </c>
      <c r="V20" s="5">
        <v>2040</v>
      </c>
      <c r="W20" s="5">
        <v>2041</v>
      </c>
      <c r="X20" s="5">
        <v>2042</v>
      </c>
      <c r="Y20" s="5">
        <v>2043</v>
      </c>
      <c r="Z20" s="5">
        <v>2044</v>
      </c>
      <c r="AA20" s="5">
        <v>2045</v>
      </c>
      <c r="AB20" s="5">
        <v>2046</v>
      </c>
      <c r="AC20" s="5">
        <v>2047</v>
      </c>
      <c r="AD20" s="5">
        <v>2048</v>
      </c>
      <c r="AE20" s="5">
        <v>2049</v>
      </c>
      <c r="AF20" s="5">
        <v>2050</v>
      </c>
      <c r="AG20" s="5">
        <v>2051</v>
      </c>
      <c r="AH20" s="5">
        <v>2052</v>
      </c>
      <c r="AI20" s="5">
        <v>2053</v>
      </c>
      <c r="AJ20" s="5">
        <v>2054</v>
      </c>
      <c r="AK20" s="5">
        <v>2055</v>
      </c>
      <c r="AL20" s="5">
        <v>2056</v>
      </c>
      <c r="AM20" s="5">
        <v>2057</v>
      </c>
      <c r="AN20" s="5">
        <v>2058</v>
      </c>
      <c r="AO20" s="5">
        <v>2059</v>
      </c>
      <c r="AP20" s="5">
        <v>2060</v>
      </c>
    </row>
    <row r="21" spans="1:42">
      <c r="A21" t="s">
        <v>5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0.0869565217391305</v>
      </c>
      <c r="I21" s="11">
        <v>0.153846153846154</v>
      </c>
      <c r="J21" s="11">
        <v>0.206896551724138</v>
      </c>
      <c r="K21" s="11">
        <v>0.25</v>
      </c>
      <c r="L21" s="11">
        <v>0.285714285714286</v>
      </c>
      <c r="M21" s="11">
        <v>0.311111111111111</v>
      </c>
      <c r="N21" s="11">
        <v>0.333333333333333</v>
      </c>
      <c r="O21" s="11">
        <v>0.352941176470588</v>
      </c>
      <c r="P21" s="11">
        <v>0.37037037037037</v>
      </c>
      <c r="Q21" s="11">
        <v>0.385964912280702</v>
      </c>
      <c r="R21" s="11">
        <v>0.4</v>
      </c>
      <c r="S21" s="11">
        <v>0.412698412698413</v>
      </c>
      <c r="T21" s="11">
        <v>0.424242424242424</v>
      </c>
      <c r="U21" s="11">
        <v>0.434782608695652</v>
      </c>
      <c r="V21" s="11">
        <v>0.444444444444445</v>
      </c>
      <c r="W21" s="11">
        <v>0.453333333333333</v>
      </c>
      <c r="X21" s="11">
        <v>0.461538461538462</v>
      </c>
      <c r="Y21" s="11">
        <v>0.469135802469136</v>
      </c>
      <c r="Z21" s="11">
        <v>0.476190476190476</v>
      </c>
      <c r="AA21" s="11">
        <v>0.482758620689655</v>
      </c>
      <c r="AB21" s="11">
        <v>0.511111111111111</v>
      </c>
      <c r="AC21" s="11">
        <v>0.537634408602151</v>
      </c>
      <c r="AD21" s="11">
        <v>0.5625</v>
      </c>
      <c r="AE21" s="11">
        <v>0.585858585858586</v>
      </c>
      <c r="AF21" s="11">
        <v>0.607843137254902</v>
      </c>
      <c r="AG21" s="11">
        <v>0.647058823529412</v>
      </c>
      <c r="AH21" s="11">
        <v>0.686274509803922</v>
      </c>
      <c r="AI21" s="11">
        <v>0.725490196078431</v>
      </c>
      <c r="AJ21" s="11">
        <v>0.764705882352941</v>
      </c>
      <c r="AK21" s="11">
        <v>0.803921568627451</v>
      </c>
      <c r="AL21" s="11">
        <v>0.843137254901961</v>
      </c>
      <c r="AM21" s="11">
        <v>0.882352941176471</v>
      </c>
      <c r="AN21" s="11">
        <v>0.92156862745098</v>
      </c>
      <c r="AO21" s="11">
        <v>0.96078431372549</v>
      </c>
      <c r="AP21" s="11">
        <v>1</v>
      </c>
    </row>
    <row r="23" spans="1:3">
      <c r="A23" s="3" t="s">
        <v>12</v>
      </c>
      <c r="B23" s="3" t="s">
        <v>13</v>
      </c>
      <c r="C23" s="3"/>
    </row>
    <row r="24" spans="2:3">
      <c r="B24" t="s">
        <v>2</v>
      </c>
      <c r="C24" t="s">
        <v>3</v>
      </c>
    </row>
    <row r="25" spans="1:3">
      <c r="A25" t="s">
        <v>14</v>
      </c>
      <c r="B25" s="6">
        <v>0.168765743073048</v>
      </c>
      <c r="C25">
        <v>2060</v>
      </c>
    </row>
    <row r="27" spans="2:42">
      <c r="B27">
        <v>2020</v>
      </c>
      <c r="C27">
        <v>2021</v>
      </c>
      <c r="D27">
        <v>2022</v>
      </c>
      <c r="E27">
        <v>2023</v>
      </c>
      <c r="F27">
        <v>2024</v>
      </c>
      <c r="G27">
        <v>2025</v>
      </c>
      <c r="H27">
        <v>2026</v>
      </c>
      <c r="I27">
        <v>2027</v>
      </c>
      <c r="J27">
        <v>2028</v>
      </c>
      <c r="K27">
        <v>2029</v>
      </c>
      <c r="L27">
        <v>2030</v>
      </c>
      <c r="M27">
        <v>2031</v>
      </c>
      <c r="N27">
        <v>2032</v>
      </c>
      <c r="O27">
        <v>2033</v>
      </c>
      <c r="P27">
        <v>2034</v>
      </c>
      <c r="Q27">
        <v>2035</v>
      </c>
      <c r="R27">
        <v>2036</v>
      </c>
      <c r="S27">
        <v>2037</v>
      </c>
      <c r="T27">
        <v>2038</v>
      </c>
      <c r="U27">
        <v>2039</v>
      </c>
      <c r="V27">
        <v>2040</v>
      </c>
      <c r="W27">
        <v>2041</v>
      </c>
      <c r="X27">
        <v>2042</v>
      </c>
      <c r="Y27">
        <v>2043</v>
      </c>
      <c r="Z27">
        <v>2044</v>
      </c>
      <c r="AA27">
        <v>2045</v>
      </c>
      <c r="AB27">
        <v>2046</v>
      </c>
      <c r="AC27">
        <v>2047</v>
      </c>
      <c r="AD27">
        <v>2048</v>
      </c>
      <c r="AE27">
        <v>2049</v>
      </c>
      <c r="AF27">
        <v>2050</v>
      </c>
      <c r="AG27">
        <v>2051</v>
      </c>
      <c r="AH27">
        <v>2052</v>
      </c>
      <c r="AI27">
        <v>2053</v>
      </c>
      <c r="AJ27">
        <v>2054</v>
      </c>
      <c r="AK27">
        <v>2055</v>
      </c>
      <c r="AL27">
        <v>2056</v>
      </c>
      <c r="AM27">
        <v>2057</v>
      </c>
      <c r="AN27">
        <v>2058</v>
      </c>
      <c r="AO27">
        <v>2059</v>
      </c>
      <c r="AP27">
        <v>2060</v>
      </c>
    </row>
    <row r="28" hidden="1" spans="1:42">
      <c r="A28" t="s">
        <v>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0.00240963855421694</v>
      </c>
      <c r="J28" s="6">
        <v>0.0121654501216545</v>
      </c>
      <c r="K28" s="6">
        <v>0.0221130221130221</v>
      </c>
      <c r="L28" s="6">
        <v>0.0346534653465346</v>
      </c>
      <c r="M28" s="6">
        <v>0.0372208436724566</v>
      </c>
      <c r="N28" s="6">
        <v>0.0398009950248756</v>
      </c>
      <c r="O28" s="6">
        <v>0.0400000000000001</v>
      </c>
      <c r="P28" s="6">
        <v>0.0426065162907268</v>
      </c>
      <c r="Q28" s="6">
        <v>0.0469024329069477</v>
      </c>
      <c r="R28" s="6">
        <v>0.0507282772476143</v>
      </c>
      <c r="S28" s="6">
        <v>0.0550389545111837</v>
      </c>
      <c r="T28" s="6">
        <v>0.0595926577822479</v>
      </c>
      <c r="U28" s="6">
        <v>0.0641509433962265</v>
      </c>
      <c r="V28" s="6">
        <v>0.0680100755667507</v>
      </c>
      <c r="W28" s="6">
        <v>0.0730478589420655</v>
      </c>
      <c r="X28" s="6">
        <v>0.0780856423173803</v>
      </c>
      <c r="Y28" s="6">
        <v>0.0831234256926952</v>
      </c>
      <c r="Z28" s="6">
        <v>0.08816120906801</v>
      </c>
      <c r="AA28" s="6">
        <v>0.093198992443325</v>
      </c>
      <c r="AB28" s="6">
        <v>0.0982367758186398</v>
      </c>
      <c r="AC28" s="6">
        <v>0.103274559193955</v>
      </c>
      <c r="AD28" s="6">
        <v>0.108312342569269</v>
      </c>
      <c r="AE28" s="6">
        <v>0.113350125944584</v>
      </c>
      <c r="AF28" s="6">
        <v>0.118387909319899</v>
      </c>
      <c r="AG28" s="6">
        <v>0.123425692695214</v>
      </c>
      <c r="AH28" s="6">
        <v>0.128463476070529</v>
      </c>
      <c r="AI28" s="6">
        <v>0.133501259445844</v>
      </c>
      <c r="AJ28" s="6">
        <v>0.138539042821159</v>
      </c>
      <c r="AK28" s="6">
        <v>0.143576826196473</v>
      </c>
      <c r="AL28" s="6">
        <v>0.148614609571788</v>
      </c>
      <c r="AM28" s="6">
        <v>0.153652392947103</v>
      </c>
      <c r="AN28" s="6">
        <v>0.158690176322418</v>
      </c>
      <c r="AO28" s="6">
        <v>0.163727959697733</v>
      </c>
      <c r="AP28" s="6">
        <v>0.168765743073048</v>
      </c>
    </row>
    <row r="29" spans="1:42">
      <c r="A29" t="s">
        <v>5</v>
      </c>
      <c r="B29" s="6">
        <f>B28/$B$25</f>
        <v>0</v>
      </c>
      <c r="C29" s="6">
        <f>C28/$B$25</f>
        <v>0</v>
      </c>
      <c r="D29" s="6">
        <f>D28/$B$25</f>
        <v>0</v>
      </c>
      <c r="E29" s="6">
        <f>E28/$B$25</f>
        <v>0</v>
      </c>
      <c r="F29" s="6">
        <f>F28/$B$25</f>
        <v>0</v>
      </c>
      <c r="G29" s="6">
        <f>G28/$B$25</f>
        <v>0</v>
      </c>
      <c r="H29" s="6">
        <f>H28/$B$25</f>
        <v>0</v>
      </c>
      <c r="I29" s="6">
        <f>I28/$B$25</f>
        <v>0.0142780075525989</v>
      </c>
      <c r="J29" s="6">
        <f>J28/$B$25</f>
        <v>0.0720848313178633</v>
      </c>
      <c r="K29" s="6">
        <f>K28/$B$25</f>
        <v>0.13102790714731</v>
      </c>
      <c r="L29" s="6">
        <f>L28/$B$25</f>
        <v>0.205334712575735</v>
      </c>
      <c r="M29" s="6">
        <f>M28/$B$25</f>
        <v>0.22054738713381</v>
      </c>
      <c r="N29" s="6">
        <f>N28/$B$25</f>
        <v>0.235835746639934</v>
      </c>
      <c r="O29" s="6">
        <f>O28/$B$25</f>
        <v>0.237014925373135</v>
      </c>
      <c r="P29" s="6">
        <f>P28/$B$25</f>
        <v>0.252459506976396</v>
      </c>
      <c r="Q29" s="6">
        <f>Q28/$B$25</f>
        <v>0.277914415881466</v>
      </c>
      <c r="R29" s="6">
        <f>R28/$B$25</f>
        <v>0.300583971153774</v>
      </c>
      <c r="S29" s="6">
        <f>S28/$B$25</f>
        <v>0.326126342402088</v>
      </c>
      <c r="T29" s="6">
        <f>T28/$B$25</f>
        <v>0.353108733426155</v>
      </c>
      <c r="U29" s="6">
        <f>U28/$B$25</f>
        <v>0.38011827654182</v>
      </c>
      <c r="V29" s="6">
        <f>V28/$B$25</f>
        <v>0.402985074626866</v>
      </c>
      <c r="W29" s="6">
        <f>W28/$B$25</f>
        <v>0.432835820895522</v>
      </c>
      <c r="X29" s="6">
        <f>X28/$B$25</f>
        <v>0.462686567164179</v>
      </c>
      <c r="Y29" s="6">
        <f>Y28/$B$25</f>
        <v>0.492537313432836</v>
      </c>
      <c r="Z29" s="6">
        <f>Z28/$B$25</f>
        <v>0.522388059701492</v>
      </c>
      <c r="AA29" s="6">
        <f>AA28/$B$25</f>
        <v>0.55223880597015</v>
      </c>
      <c r="AB29" s="6">
        <f>AB28/$B$25</f>
        <v>0.582089552238806</v>
      </c>
      <c r="AC29" s="6">
        <f>AC28/$B$25</f>
        <v>0.611940298507463</v>
      </c>
      <c r="AD29" s="6">
        <f>AD28/$B$25</f>
        <v>0.641791044776119</v>
      </c>
      <c r="AE29" s="6">
        <f>AE28/$B$25</f>
        <v>0.671641791044776</v>
      </c>
      <c r="AF29" s="6">
        <f>AF28/$B$25</f>
        <v>0.701492537313432</v>
      </c>
      <c r="AG29" s="6">
        <f>AG28/$B$25</f>
        <v>0.73134328358209</v>
      </c>
      <c r="AH29" s="6">
        <f>AH28/$B$25</f>
        <v>0.761194029850747</v>
      </c>
      <c r="AI29" s="6">
        <f>AI28/$B$25</f>
        <v>0.791044776119403</v>
      </c>
      <c r="AJ29" s="6">
        <f>AJ28/$B$25</f>
        <v>0.82089552238806</v>
      </c>
      <c r="AK29" s="6">
        <f>AK28/$B$25</f>
        <v>0.850746268656716</v>
      </c>
      <c r="AL29" s="6">
        <f>AL28/$B$25</f>
        <v>0.880597014925374</v>
      </c>
      <c r="AM29" s="6">
        <f>AM28/$B$25</f>
        <v>0.91044776119403</v>
      </c>
      <c r="AN29" s="6">
        <f>AN28/$B$25</f>
        <v>0.940298507462687</v>
      </c>
      <c r="AO29" s="6">
        <f>AO28/$B$25</f>
        <v>0.970149253731343</v>
      </c>
      <c r="AP29" s="6">
        <f>AP28/$B$25</f>
        <v>1</v>
      </c>
    </row>
    <row r="31" spans="1:4">
      <c r="A31" s="3" t="s">
        <v>15</v>
      </c>
      <c r="B31" s="3" t="s">
        <v>16</v>
      </c>
      <c r="C31" s="3"/>
      <c r="D31" s="12"/>
    </row>
    <row r="32" spans="1:2">
      <c r="A32" t="s">
        <v>17</v>
      </c>
      <c r="B32">
        <v>112.667492939403</v>
      </c>
    </row>
    <row r="34" spans="2:42">
      <c r="B34">
        <v>2020</v>
      </c>
      <c r="C34">
        <v>2021</v>
      </c>
      <c r="D34">
        <v>2022</v>
      </c>
      <c r="E34">
        <v>2023</v>
      </c>
      <c r="F34">
        <v>2024</v>
      </c>
      <c r="G34">
        <v>2025</v>
      </c>
      <c r="H34">
        <v>2026</v>
      </c>
      <c r="I34">
        <v>2027</v>
      </c>
      <c r="J34">
        <v>2028</v>
      </c>
      <c r="K34">
        <v>2029</v>
      </c>
      <c r="L34">
        <v>2030</v>
      </c>
      <c r="M34">
        <v>2031</v>
      </c>
      <c r="N34">
        <v>2032</v>
      </c>
      <c r="O34">
        <v>2033</v>
      </c>
      <c r="P34">
        <v>2034</v>
      </c>
      <c r="Q34">
        <v>2035</v>
      </c>
      <c r="R34">
        <v>2036</v>
      </c>
      <c r="S34">
        <v>2037</v>
      </c>
      <c r="T34">
        <v>2038</v>
      </c>
      <c r="U34">
        <v>2039</v>
      </c>
      <c r="V34">
        <v>2040</v>
      </c>
      <c r="W34">
        <v>2041</v>
      </c>
      <c r="X34">
        <v>2042</v>
      </c>
      <c r="Y34">
        <v>2043</v>
      </c>
      <c r="Z34">
        <v>2044</v>
      </c>
      <c r="AA34">
        <v>2045</v>
      </c>
      <c r="AB34">
        <v>2046</v>
      </c>
      <c r="AC34">
        <v>2047</v>
      </c>
      <c r="AD34">
        <v>2048</v>
      </c>
      <c r="AE34">
        <v>2049</v>
      </c>
      <c r="AF34">
        <v>2050</v>
      </c>
      <c r="AG34">
        <v>2051</v>
      </c>
      <c r="AH34">
        <v>2052</v>
      </c>
      <c r="AI34">
        <v>2053</v>
      </c>
      <c r="AJ34">
        <v>2054</v>
      </c>
      <c r="AK34">
        <v>2055</v>
      </c>
      <c r="AL34">
        <v>2056</v>
      </c>
      <c r="AM34">
        <v>2057</v>
      </c>
      <c r="AN34">
        <v>2058</v>
      </c>
      <c r="AO34">
        <v>2059</v>
      </c>
      <c r="AP34">
        <v>2060</v>
      </c>
    </row>
    <row r="35" spans="1:42">
      <c r="A35" t="s">
        <v>17</v>
      </c>
      <c r="B35">
        <v>112.667492939403</v>
      </c>
      <c r="C35">
        <v>112.667492939403</v>
      </c>
      <c r="D35">
        <v>112.667492939403</v>
      </c>
      <c r="E35">
        <v>112.667492939403</v>
      </c>
      <c r="F35">
        <v>112.667492939403</v>
      </c>
      <c r="G35">
        <v>112.667492939403</v>
      </c>
      <c r="H35">
        <v>112.667492939403</v>
      </c>
      <c r="I35">
        <v>112.667492939403</v>
      </c>
      <c r="J35">
        <v>112.667492939403</v>
      </c>
      <c r="K35">
        <v>112.667492939403</v>
      </c>
      <c r="L35">
        <v>112.667492939403</v>
      </c>
      <c r="M35">
        <v>112.667492939403</v>
      </c>
      <c r="N35">
        <v>112.667492939403</v>
      </c>
      <c r="O35">
        <v>112.667492939403</v>
      </c>
      <c r="P35">
        <v>112.667492939403</v>
      </c>
      <c r="Q35">
        <v>112.667492939403</v>
      </c>
      <c r="R35">
        <v>112.667492939403</v>
      </c>
      <c r="S35">
        <v>112.667492939403</v>
      </c>
      <c r="T35">
        <v>112.667492939403</v>
      </c>
      <c r="U35">
        <v>112.667492939403</v>
      </c>
      <c r="V35">
        <v>112.667492939403</v>
      </c>
      <c r="W35">
        <v>112.667492939403</v>
      </c>
      <c r="X35">
        <v>112.667492939403</v>
      </c>
      <c r="Y35">
        <v>112.667492939403</v>
      </c>
      <c r="Z35">
        <v>112.667492939403</v>
      </c>
      <c r="AA35">
        <v>112.667492939403</v>
      </c>
      <c r="AB35">
        <v>112.667492939403</v>
      </c>
      <c r="AC35">
        <v>112.667492939403</v>
      </c>
      <c r="AD35">
        <v>112.667492939403</v>
      </c>
      <c r="AE35">
        <v>112.667492939403</v>
      </c>
      <c r="AF35">
        <v>112.667492939403</v>
      </c>
      <c r="AG35">
        <v>112.667492939403</v>
      </c>
      <c r="AH35">
        <v>112.667492939403</v>
      </c>
      <c r="AI35">
        <v>112.667492939403</v>
      </c>
      <c r="AJ35">
        <v>112.667492939403</v>
      </c>
      <c r="AK35">
        <v>112.667492939403</v>
      </c>
      <c r="AL35">
        <v>112.667492939403</v>
      </c>
      <c r="AM35">
        <v>112.667492939403</v>
      </c>
      <c r="AN35">
        <v>112.667492939403</v>
      </c>
      <c r="AO35">
        <v>112.667492939403</v>
      </c>
      <c r="AP35">
        <v>112.667492939403</v>
      </c>
    </row>
  </sheetData>
  <mergeCells count="1">
    <mergeCell ref="C10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I13" sqref="I13"/>
    </sheetView>
  </sheetViews>
  <sheetFormatPr defaultColWidth="8.72727272727273" defaultRowHeight="14" outlineLevelCol="3"/>
  <cols>
    <col min="1" max="1" width="28.0909090909091" customWidth="1"/>
    <col min="2" max="2" width="28.8181818181818" customWidth="1"/>
    <col min="3" max="3" width="83.1818181818182" customWidth="1"/>
  </cols>
  <sheetData>
    <row r="1" spans="1:3">
      <c r="A1" t="s">
        <v>18</v>
      </c>
      <c r="B1" t="s">
        <v>19</v>
      </c>
      <c r="C1" t="s">
        <v>20</v>
      </c>
    </row>
    <row r="2" ht="84" spans="1:3">
      <c r="A2" s="1" t="s">
        <v>1</v>
      </c>
      <c r="B2" s="2" t="s">
        <v>21</v>
      </c>
      <c r="C2" s="2" t="s">
        <v>22</v>
      </c>
    </row>
    <row r="3" ht="42" spans="1:3">
      <c r="A3" s="1" t="s">
        <v>7</v>
      </c>
      <c r="B3" s="2" t="s">
        <v>23</v>
      </c>
      <c r="C3" s="2" t="s">
        <v>24</v>
      </c>
    </row>
    <row r="4" ht="42" spans="1:3">
      <c r="A4" s="1" t="s">
        <v>11</v>
      </c>
      <c r="B4" s="2" t="s">
        <v>25</v>
      </c>
      <c r="C4" s="2" t="s">
        <v>26</v>
      </c>
    </row>
    <row r="5" ht="28" spans="1:3">
      <c r="A5" s="1" t="s">
        <v>13</v>
      </c>
      <c r="B5" s="2" t="s">
        <v>27</v>
      </c>
      <c r="C5" s="2" t="s">
        <v>28</v>
      </c>
    </row>
    <row r="11" spans="1:1">
      <c r="A11" t="s">
        <v>29</v>
      </c>
    </row>
    <row r="12" spans="2:4">
      <c r="B12" t="s">
        <v>30</v>
      </c>
      <c r="C12" t="s">
        <v>31</v>
      </c>
      <c r="D12" t="s">
        <v>32</v>
      </c>
    </row>
    <row r="13" spans="1:4">
      <c r="A13" t="s">
        <v>33</v>
      </c>
      <c r="B13">
        <v>0.3247</v>
      </c>
      <c r="C13">
        <v>0.3085</v>
      </c>
      <c r="D13">
        <v>0.3078</v>
      </c>
    </row>
    <row r="15" spans="1:2">
      <c r="A15" t="s">
        <v>34</v>
      </c>
      <c r="B15">
        <v>2021</v>
      </c>
    </row>
    <row r="16" spans="1:2">
      <c r="A16" t="s">
        <v>35</v>
      </c>
      <c r="B16">
        <v>0.134716013877325</v>
      </c>
    </row>
    <row r="18" spans="2:4">
      <c r="B18" t="s">
        <v>30</v>
      </c>
      <c r="C18" t="s">
        <v>31</v>
      </c>
      <c r="D18" t="s">
        <v>32</v>
      </c>
    </row>
    <row r="19" spans="1:4">
      <c r="A19" t="s">
        <v>36</v>
      </c>
      <c r="B19">
        <v>43.7422897059674</v>
      </c>
      <c r="C19">
        <v>41.5598902811548</v>
      </c>
      <c r="D19">
        <v>41.4655890714406</v>
      </c>
    </row>
    <row r="21" spans="1:2">
      <c r="A21" t="s">
        <v>37</v>
      </c>
      <c r="B21">
        <v>1.15</v>
      </c>
    </row>
    <row r="22" spans="1:2">
      <c r="A22" t="s">
        <v>38</v>
      </c>
      <c r="B22">
        <v>154.923415958924</v>
      </c>
    </row>
    <row r="24" spans="1:2">
      <c r="A24" t="s">
        <v>20</v>
      </c>
      <c r="B24" t="s">
        <v>39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FOPITY</vt:lpstr>
      <vt:lpstr>参考依据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</dc:creator>
  <cp:lastModifiedBy>仰望星空✨✨</cp:lastModifiedBy>
  <dcterms:created xsi:type="dcterms:W3CDTF">2024-08-23T01:42:00Z</dcterms:created>
  <dcterms:modified xsi:type="dcterms:W3CDTF">2024-09-13T06:01:27Z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3D40A524F825450EA34CB10F5AB52396_13</vt:lpwstr>
  </property>
  <property fmtid="{D5CDD505-2E9C-101B-9397-08002B2CF9AE}" pid="3" name="KSOProductBuildVer">
    <vt:lpwstr>2052-12.1.0.18240</vt:lpwstr>
  </property>
</Properties>
</file>