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交通\"/>
    </mc:Choice>
  </mc:AlternateContent>
  <xr:revisionPtr revIDLastSave="0" documentId="13_ncr:1_{F73209EC-9F88-4B17-9780-54F1B36321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U燃油经济性" sheetId="1" r:id="rId1"/>
    <sheet name="CNS燃油经济性" sheetId="2" r:id="rId2"/>
    <sheet name="燃油经济性提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4" i="3" l="1"/>
  <c r="AW24" i="3"/>
  <c r="AX24" i="3"/>
  <c r="AV25" i="3"/>
  <c r="AW25" i="3"/>
  <c r="AX25" i="3"/>
  <c r="AV26" i="3"/>
  <c r="AW26" i="3"/>
  <c r="AX26" i="3"/>
  <c r="AV27" i="3"/>
  <c r="AW27" i="3"/>
  <c r="AX27" i="3"/>
  <c r="AV28" i="3"/>
  <c r="AW28" i="3"/>
  <c r="AX28" i="3"/>
  <c r="AV29" i="3"/>
  <c r="AW29" i="3"/>
  <c r="AX29" i="3"/>
  <c r="AV30" i="3"/>
  <c r="AW30" i="3"/>
  <c r="AX30" i="3"/>
  <c r="AV31" i="3"/>
  <c r="AW31" i="3"/>
  <c r="AX31" i="3"/>
  <c r="AV32" i="3"/>
  <c r="AW32" i="3"/>
  <c r="AX32" i="3"/>
  <c r="AV33" i="3"/>
  <c r="AW33" i="3"/>
  <c r="AX33" i="3"/>
  <c r="AV34" i="3"/>
  <c r="AW34" i="3"/>
  <c r="AX34" i="3"/>
  <c r="AV35" i="3"/>
  <c r="AW35" i="3"/>
  <c r="AX35" i="3"/>
  <c r="AV36" i="3"/>
  <c r="AW36" i="3"/>
  <c r="AX36" i="3"/>
  <c r="AV37" i="3"/>
  <c r="AW37" i="3"/>
  <c r="AX37" i="3"/>
  <c r="AV38" i="3"/>
  <c r="AW38" i="3"/>
  <c r="AX38" i="3"/>
  <c r="AV39" i="3"/>
  <c r="AW39" i="3"/>
  <c r="AX39" i="3"/>
  <c r="AV40" i="3"/>
  <c r="AW40" i="3"/>
  <c r="AX40" i="3"/>
  <c r="AV41" i="3"/>
  <c r="AW41" i="3"/>
  <c r="AX41" i="3"/>
  <c r="AV42" i="3"/>
  <c r="AW42" i="3"/>
  <c r="AX42" i="3"/>
  <c r="AV43" i="3"/>
  <c r="AW43" i="3"/>
  <c r="AX43" i="3"/>
  <c r="AV44" i="3"/>
  <c r="AW44" i="3"/>
  <c r="AX44" i="3"/>
  <c r="AV45" i="3"/>
  <c r="AW45" i="3"/>
  <c r="AX45" i="3"/>
  <c r="AV46" i="3"/>
  <c r="AW46" i="3"/>
  <c r="AX46" i="3"/>
  <c r="AV47" i="3"/>
  <c r="AW47" i="3"/>
  <c r="AX47" i="3"/>
  <c r="AV48" i="3"/>
  <c r="AW48" i="3"/>
  <c r="AX48" i="3"/>
  <c r="AV49" i="3"/>
  <c r="AW49" i="3"/>
  <c r="AX49" i="3"/>
  <c r="AV50" i="3"/>
  <c r="AW50" i="3"/>
  <c r="AX50" i="3"/>
  <c r="AV51" i="3"/>
  <c r="AW51" i="3"/>
  <c r="AX51" i="3"/>
  <c r="AV52" i="3"/>
  <c r="AW52" i="3"/>
  <c r="AX52" i="3"/>
  <c r="AV53" i="3"/>
  <c r="AW53" i="3"/>
  <c r="AX53" i="3"/>
  <c r="AV54" i="3"/>
  <c r="AW54" i="3"/>
  <c r="AX54" i="3"/>
  <c r="AV55" i="3"/>
  <c r="AW55" i="3"/>
  <c r="AX55" i="3"/>
  <c r="AV56" i="3"/>
  <c r="AW56" i="3"/>
  <c r="AX56" i="3"/>
  <c r="AV57" i="3"/>
  <c r="AW57" i="3"/>
  <c r="AX57" i="3"/>
  <c r="AV58" i="3"/>
  <c r="AW58" i="3"/>
  <c r="AX58" i="3"/>
  <c r="AV59" i="3"/>
  <c r="AW59" i="3"/>
  <c r="AX59" i="3"/>
  <c r="AV60" i="3"/>
  <c r="AW60" i="3"/>
  <c r="AX60" i="3"/>
  <c r="AV61" i="3"/>
  <c r="AW61" i="3"/>
  <c r="AX61" i="3"/>
  <c r="AV62" i="3"/>
  <c r="AW62" i="3"/>
  <c r="AX62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4" i="3"/>
  <c r="AR19" i="3" l="1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18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4" i="3"/>
  <c r="AP19" i="3" l="1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J18" i="3"/>
  <c r="AH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18" i="3"/>
  <c r="AB10" i="3"/>
  <c r="AB11" i="3"/>
  <c r="AB12" i="3"/>
  <c r="AB9" i="3"/>
  <c r="AA10" i="3"/>
  <c r="AA11" i="3"/>
  <c r="AA12" i="3"/>
  <c r="AA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D18" i="3"/>
  <c r="E24" i="2" l="1"/>
  <c r="F24" i="2"/>
  <c r="G24" i="2"/>
  <c r="G25" i="2" s="1"/>
  <c r="G26" i="2" s="1"/>
  <c r="G27" i="2" s="1"/>
  <c r="H24" i="2"/>
  <c r="I24" i="2"/>
  <c r="J24" i="2"/>
  <c r="J25" i="2" s="1"/>
  <c r="J26" i="2" s="1"/>
  <c r="J27" i="2" s="1"/>
  <c r="K24" i="2"/>
  <c r="K25" i="2" s="1"/>
  <c r="K26" i="2" s="1"/>
  <c r="K27" i="2" s="1"/>
  <c r="L24" i="2"/>
  <c r="L25" i="2" s="1"/>
  <c r="L26" i="2" s="1"/>
  <c r="L27" i="2" s="1"/>
  <c r="M24" i="2"/>
  <c r="N24" i="2"/>
  <c r="O24" i="2"/>
  <c r="O25" i="2" s="1"/>
  <c r="O26" i="2" s="1"/>
  <c r="O27" i="2" s="1"/>
  <c r="P24" i="2"/>
  <c r="Q24" i="2"/>
  <c r="R24" i="2"/>
  <c r="R25" i="2" s="1"/>
  <c r="R26" i="2" s="1"/>
  <c r="R27" i="2" s="1"/>
  <c r="S24" i="2"/>
  <c r="S25" i="2" s="1"/>
  <c r="S26" i="2" s="1"/>
  <c r="S27" i="2" s="1"/>
  <c r="E25" i="2"/>
  <c r="E26" i="2" s="1"/>
  <c r="E27" i="2" s="1"/>
  <c r="F25" i="2"/>
  <c r="H25" i="2"/>
  <c r="H26" i="2" s="1"/>
  <c r="H27" i="2" s="1"/>
  <c r="I25" i="2"/>
  <c r="M25" i="2"/>
  <c r="M26" i="2" s="1"/>
  <c r="M27" i="2" s="1"/>
  <c r="N25" i="2"/>
  <c r="P25" i="2"/>
  <c r="P26" i="2" s="1"/>
  <c r="P27" i="2" s="1"/>
  <c r="Q25" i="2"/>
  <c r="Q26" i="2" s="1"/>
  <c r="Q27" i="2" s="1"/>
  <c r="F26" i="2"/>
  <c r="F27" i="2" s="1"/>
  <c r="I26" i="2"/>
  <c r="I27" i="2" s="1"/>
  <c r="N26" i="2"/>
  <c r="N27" i="2" s="1"/>
  <c r="D24" i="2"/>
  <c r="D25" i="2" s="1"/>
  <c r="D26" i="2" s="1"/>
  <c r="D27" i="2" s="1"/>
  <c r="E19" i="2"/>
  <c r="F19" i="2"/>
  <c r="G19" i="2"/>
  <c r="H19" i="2"/>
  <c r="I19" i="2"/>
  <c r="J19" i="2"/>
  <c r="J20" i="2" s="1"/>
  <c r="J21" i="2" s="1"/>
  <c r="J22" i="2" s="1"/>
  <c r="K19" i="2"/>
  <c r="L19" i="2"/>
  <c r="L20" i="2" s="1"/>
  <c r="L21" i="2" s="1"/>
  <c r="L22" i="2" s="1"/>
  <c r="M19" i="2"/>
  <c r="N19" i="2"/>
  <c r="O19" i="2"/>
  <c r="P19" i="2"/>
  <c r="Q19" i="2"/>
  <c r="R19" i="2"/>
  <c r="R20" i="2" s="1"/>
  <c r="R21" i="2" s="1"/>
  <c r="R22" i="2" s="1"/>
  <c r="S19" i="2"/>
  <c r="E20" i="2"/>
  <c r="E21" i="2" s="1"/>
  <c r="E22" i="2" s="1"/>
  <c r="F20" i="2"/>
  <c r="G20" i="2"/>
  <c r="H20" i="2"/>
  <c r="I20" i="2"/>
  <c r="K20" i="2"/>
  <c r="K21" i="2" s="1"/>
  <c r="K22" i="2" s="1"/>
  <c r="M20" i="2"/>
  <c r="M21" i="2" s="1"/>
  <c r="M22" i="2" s="1"/>
  <c r="N20" i="2"/>
  <c r="O20" i="2"/>
  <c r="P20" i="2"/>
  <c r="Q20" i="2"/>
  <c r="S20" i="2"/>
  <c r="S21" i="2" s="1"/>
  <c r="S22" i="2" s="1"/>
  <c r="F21" i="2"/>
  <c r="F22" i="2" s="1"/>
  <c r="G21" i="2"/>
  <c r="H21" i="2"/>
  <c r="I21" i="2"/>
  <c r="N21" i="2"/>
  <c r="N22" i="2" s="1"/>
  <c r="O21" i="2"/>
  <c r="P21" i="2"/>
  <c r="Q21" i="2"/>
  <c r="G22" i="2"/>
  <c r="H22" i="2"/>
  <c r="I22" i="2"/>
  <c r="O22" i="2"/>
  <c r="P22" i="2"/>
  <c r="Q22" i="2"/>
  <c r="D20" i="2"/>
  <c r="D21" i="2" s="1"/>
  <c r="D22" i="2" s="1"/>
  <c r="D19" i="2"/>
  <c r="E29" i="2"/>
  <c r="F29" i="2"/>
  <c r="G29" i="2"/>
  <c r="H29" i="2"/>
  <c r="H30" i="2" s="1"/>
  <c r="H31" i="2" s="1"/>
  <c r="H32" i="2" s="1"/>
  <c r="I29" i="2"/>
  <c r="I30" i="2" s="1"/>
  <c r="I31" i="2" s="1"/>
  <c r="I32" i="2" s="1"/>
  <c r="J29" i="2"/>
  <c r="J30" i="2" s="1"/>
  <c r="J31" i="2" s="1"/>
  <c r="J32" i="2" s="1"/>
  <c r="K29" i="2"/>
  <c r="L29" i="2"/>
  <c r="L30" i="2" s="1"/>
  <c r="L31" i="2" s="1"/>
  <c r="L32" i="2" s="1"/>
  <c r="M29" i="2"/>
  <c r="N29" i="2"/>
  <c r="O29" i="2"/>
  <c r="P29" i="2"/>
  <c r="P30" i="2" s="1"/>
  <c r="P31" i="2" s="1"/>
  <c r="P32" i="2" s="1"/>
  <c r="Q29" i="2"/>
  <c r="Q30" i="2" s="1"/>
  <c r="Q31" i="2" s="1"/>
  <c r="Q32" i="2" s="1"/>
  <c r="R29" i="2"/>
  <c r="R30" i="2" s="1"/>
  <c r="R31" i="2" s="1"/>
  <c r="R32" i="2" s="1"/>
  <c r="S29" i="2"/>
  <c r="E30" i="2"/>
  <c r="E31" i="2" s="1"/>
  <c r="E32" i="2" s="1"/>
  <c r="F30" i="2"/>
  <c r="G30" i="2"/>
  <c r="K30" i="2"/>
  <c r="K31" i="2" s="1"/>
  <c r="K32" i="2" s="1"/>
  <c r="M30" i="2"/>
  <c r="M31" i="2" s="1"/>
  <c r="M32" i="2" s="1"/>
  <c r="N30" i="2"/>
  <c r="N31" i="2" s="1"/>
  <c r="N32" i="2" s="1"/>
  <c r="O30" i="2"/>
  <c r="S30" i="2"/>
  <c r="S31" i="2" s="1"/>
  <c r="S32" i="2" s="1"/>
  <c r="F31" i="2"/>
  <c r="F32" i="2" s="1"/>
  <c r="G31" i="2"/>
  <c r="O31" i="2"/>
  <c r="O32" i="2" s="1"/>
  <c r="G32" i="2"/>
  <c r="D30" i="2"/>
  <c r="D31" i="2" s="1"/>
  <c r="D32" i="2" s="1"/>
  <c r="D29" i="2"/>
  <c r="E34" i="2"/>
  <c r="F34" i="2"/>
  <c r="G34" i="2"/>
  <c r="G35" i="2" s="1"/>
  <c r="G36" i="2" s="1"/>
  <c r="G37" i="2" s="1"/>
  <c r="G38" i="2" s="1"/>
  <c r="G39" i="2" s="1"/>
  <c r="G40" i="2" s="1"/>
  <c r="G41" i="2" s="1"/>
  <c r="G42" i="2" s="1"/>
  <c r="H34" i="2"/>
  <c r="H35" i="2" s="1"/>
  <c r="H36" i="2" s="1"/>
  <c r="H37" i="2" s="1"/>
  <c r="H38" i="2" s="1"/>
  <c r="H39" i="2" s="1"/>
  <c r="H40" i="2" s="1"/>
  <c r="H41" i="2" s="1"/>
  <c r="H42" i="2" s="1"/>
  <c r="I34" i="2"/>
  <c r="I35" i="2" s="1"/>
  <c r="I36" i="2" s="1"/>
  <c r="I37" i="2" s="1"/>
  <c r="I38" i="2" s="1"/>
  <c r="I39" i="2" s="1"/>
  <c r="I40" i="2" s="1"/>
  <c r="I41" i="2" s="1"/>
  <c r="I42" i="2" s="1"/>
  <c r="J34" i="2"/>
  <c r="K34" i="2"/>
  <c r="K35" i="2" s="1"/>
  <c r="K36" i="2" s="1"/>
  <c r="K37" i="2" s="1"/>
  <c r="K38" i="2" s="1"/>
  <c r="K39" i="2" s="1"/>
  <c r="K40" i="2" s="1"/>
  <c r="K41" i="2" s="1"/>
  <c r="K42" i="2" s="1"/>
  <c r="L34" i="2"/>
  <c r="L35" i="2" s="1"/>
  <c r="L36" i="2" s="1"/>
  <c r="L37" i="2" s="1"/>
  <c r="L38" i="2" s="1"/>
  <c r="L39" i="2" s="1"/>
  <c r="L40" i="2" s="1"/>
  <c r="L41" i="2" s="1"/>
  <c r="L42" i="2" s="1"/>
  <c r="M34" i="2"/>
  <c r="N34" i="2"/>
  <c r="O34" i="2"/>
  <c r="O35" i="2" s="1"/>
  <c r="O36" i="2" s="1"/>
  <c r="O37" i="2" s="1"/>
  <c r="O38" i="2" s="1"/>
  <c r="O39" i="2" s="1"/>
  <c r="O40" i="2" s="1"/>
  <c r="O41" i="2" s="1"/>
  <c r="O42" i="2" s="1"/>
  <c r="P34" i="2"/>
  <c r="P35" i="2" s="1"/>
  <c r="P36" i="2" s="1"/>
  <c r="P37" i="2" s="1"/>
  <c r="P38" i="2" s="1"/>
  <c r="P39" i="2" s="1"/>
  <c r="P40" i="2" s="1"/>
  <c r="P41" i="2" s="1"/>
  <c r="P42" i="2" s="1"/>
  <c r="Q34" i="2"/>
  <c r="Q35" i="2" s="1"/>
  <c r="Q36" i="2" s="1"/>
  <c r="Q37" i="2" s="1"/>
  <c r="Q38" i="2" s="1"/>
  <c r="Q39" i="2" s="1"/>
  <c r="Q40" i="2" s="1"/>
  <c r="Q41" i="2" s="1"/>
  <c r="Q42" i="2" s="1"/>
  <c r="R34" i="2"/>
  <c r="S34" i="2"/>
  <c r="S35" i="2" s="1"/>
  <c r="S36" i="2" s="1"/>
  <c r="S37" i="2" s="1"/>
  <c r="S38" i="2" s="1"/>
  <c r="S39" i="2" s="1"/>
  <c r="S40" i="2" s="1"/>
  <c r="S41" i="2" s="1"/>
  <c r="S42" i="2" s="1"/>
  <c r="E35" i="2"/>
  <c r="E36" i="2" s="1"/>
  <c r="E37" i="2" s="1"/>
  <c r="E38" i="2" s="1"/>
  <c r="E39" i="2" s="1"/>
  <c r="E40" i="2" s="1"/>
  <c r="E41" i="2" s="1"/>
  <c r="E42" i="2" s="1"/>
  <c r="F35" i="2"/>
  <c r="J35" i="2"/>
  <c r="J36" i="2" s="1"/>
  <c r="J37" i="2" s="1"/>
  <c r="J38" i="2" s="1"/>
  <c r="J39" i="2" s="1"/>
  <c r="J40" i="2" s="1"/>
  <c r="J41" i="2" s="1"/>
  <c r="J42" i="2" s="1"/>
  <c r="M35" i="2"/>
  <c r="M36" i="2" s="1"/>
  <c r="M37" i="2" s="1"/>
  <c r="M38" i="2" s="1"/>
  <c r="M39" i="2" s="1"/>
  <c r="M40" i="2" s="1"/>
  <c r="M41" i="2" s="1"/>
  <c r="M42" i="2" s="1"/>
  <c r="N35" i="2"/>
  <c r="R35" i="2"/>
  <c r="F36" i="2"/>
  <c r="F37" i="2" s="1"/>
  <c r="F38" i="2" s="1"/>
  <c r="F39" i="2" s="1"/>
  <c r="F40" i="2" s="1"/>
  <c r="F41" i="2" s="1"/>
  <c r="F42" i="2" s="1"/>
  <c r="N36" i="2"/>
  <c r="N37" i="2" s="1"/>
  <c r="N38" i="2" s="1"/>
  <c r="N39" i="2" s="1"/>
  <c r="N40" i="2" s="1"/>
  <c r="N41" i="2" s="1"/>
  <c r="N42" i="2" s="1"/>
  <c r="R36" i="2"/>
  <c r="R37" i="2" s="1"/>
  <c r="R38" i="2" s="1"/>
  <c r="R39" i="2" s="1"/>
  <c r="R40" i="2" s="1"/>
  <c r="R41" i="2" s="1"/>
  <c r="R42" i="2" s="1"/>
  <c r="D34" i="2"/>
  <c r="D35" i="2" s="1"/>
  <c r="D36" i="2" s="1"/>
  <c r="D37" i="2" s="1"/>
  <c r="D38" i="2" s="1"/>
  <c r="D39" i="2" s="1"/>
  <c r="D40" i="2" s="1"/>
  <c r="D41" i="2" s="1"/>
  <c r="D42" i="2" s="1"/>
  <c r="E44" i="2"/>
  <c r="E45" i="2" s="1"/>
  <c r="E46" i="2" s="1"/>
  <c r="E47" i="2" s="1"/>
  <c r="E48" i="2" s="1"/>
  <c r="E49" i="2" s="1"/>
  <c r="E50" i="2" s="1"/>
  <c r="E51" i="2" s="1"/>
  <c r="E52" i="2" s="1"/>
  <c r="F44" i="2"/>
  <c r="F45" i="2" s="1"/>
  <c r="F46" i="2" s="1"/>
  <c r="F47" i="2" s="1"/>
  <c r="F48" i="2" s="1"/>
  <c r="F49" i="2" s="1"/>
  <c r="F50" i="2" s="1"/>
  <c r="F51" i="2" s="1"/>
  <c r="F52" i="2" s="1"/>
  <c r="G44" i="2"/>
  <c r="H44" i="2"/>
  <c r="I44" i="2"/>
  <c r="I45" i="2" s="1"/>
  <c r="I46" i="2" s="1"/>
  <c r="I47" i="2" s="1"/>
  <c r="I48" i="2" s="1"/>
  <c r="I49" i="2" s="1"/>
  <c r="I50" i="2" s="1"/>
  <c r="I51" i="2" s="1"/>
  <c r="I52" i="2" s="1"/>
  <c r="J44" i="2"/>
  <c r="K44" i="2"/>
  <c r="L44" i="2"/>
  <c r="L45" i="2" s="1"/>
  <c r="L46" i="2" s="1"/>
  <c r="L47" i="2" s="1"/>
  <c r="L48" i="2" s="1"/>
  <c r="L49" i="2" s="1"/>
  <c r="L50" i="2" s="1"/>
  <c r="L51" i="2" s="1"/>
  <c r="L52" i="2" s="1"/>
  <c r="M44" i="2"/>
  <c r="M45" i="2" s="1"/>
  <c r="M46" i="2" s="1"/>
  <c r="M47" i="2" s="1"/>
  <c r="M48" i="2" s="1"/>
  <c r="M49" i="2" s="1"/>
  <c r="M50" i="2" s="1"/>
  <c r="M51" i="2" s="1"/>
  <c r="M52" i="2" s="1"/>
  <c r="N44" i="2"/>
  <c r="N45" i="2" s="1"/>
  <c r="N46" i="2" s="1"/>
  <c r="N47" i="2" s="1"/>
  <c r="N48" i="2" s="1"/>
  <c r="N49" i="2" s="1"/>
  <c r="N50" i="2" s="1"/>
  <c r="N51" i="2" s="1"/>
  <c r="N52" i="2" s="1"/>
  <c r="O44" i="2"/>
  <c r="P44" i="2"/>
  <c r="P45" i="2" s="1"/>
  <c r="P46" i="2" s="1"/>
  <c r="P47" i="2" s="1"/>
  <c r="P48" i="2" s="1"/>
  <c r="P49" i="2" s="1"/>
  <c r="P50" i="2" s="1"/>
  <c r="P51" i="2" s="1"/>
  <c r="P52" i="2" s="1"/>
  <c r="Q44" i="2"/>
  <c r="Q45" i="2" s="1"/>
  <c r="Q46" i="2" s="1"/>
  <c r="Q47" i="2" s="1"/>
  <c r="Q48" i="2" s="1"/>
  <c r="Q49" i="2" s="1"/>
  <c r="Q50" i="2" s="1"/>
  <c r="Q51" i="2" s="1"/>
  <c r="Q52" i="2" s="1"/>
  <c r="R44" i="2"/>
  <c r="S44" i="2"/>
  <c r="G45" i="2"/>
  <c r="G46" i="2" s="1"/>
  <c r="G47" i="2" s="1"/>
  <c r="G48" i="2" s="1"/>
  <c r="G49" i="2" s="1"/>
  <c r="G50" i="2" s="1"/>
  <c r="G51" i="2" s="1"/>
  <c r="G52" i="2" s="1"/>
  <c r="H45" i="2"/>
  <c r="J45" i="2"/>
  <c r="J46" i="2" s="1"/>
  <c r="J47" i="2" s="1"/>
  <c r="J48" i="2" s="1"/>
  <c r="J49" i="2" s="1"/>
  <c r="J50" i="2" s="1"/>
  <c r="J51" i="2" s="1"/>
  <c r="J52" i="2" s="1"/>
  <c r="K45" i="2"/>
  <c r="K46" i="2" s="1"/>
  <c r="K47" i="2" s="1"/>
  <c r="K48" i="2" s="1"/>
  <c r="K49" i="2" s="1"/>
  <c r="K50" i="2" s="1"/>
  <c r="K51" i="2" s="1"/>
  <c r="K52" i="2" s="1"/>
  <c r="O45" i="2"/>
  <c r="O46" i="2" s="1"/>
  <c r="O47" i="2" s="1"/>
  <c r="O48" i="2" s="1"/>
  <c r="O49" i="2" s="1"/>
  <c r="O50" i="2" s="1"/>
  <c r="O51" i="2" s="1"/>
  <c r="O52" i="2" s="1"/>
  <c r="R45" i="2"/>
  <c r="R46" i="2" s="1"/>
  <c r="R47" i="2" s="1"/>
  <c r="R48" i="2" s="1"/>
  <c r="R49" i="2" s="1"/>
  <c r="R50" i="2" s="1"/>
  <c r="R51" i="2" s="1"/>
  <c r="R52" i="2" s="1"/>
  <c r="S45" i="2"/>
  <c r="S46" i="2" s="1"/>
  <c r="S47" i="2" s="1"/>
  <c r="S48" i="2" s="1"/>
  <c r="S49" i="2" s="1"/>
  <c r="S50" i="2" s="1"/>
  <c r="S51" i="2" s="1"/>
  <c r="S52" i="2" s="1"/>
  <c r="H46" i="2"/>
  <c r="H47" i="2" s="1"/>
  <c r="H48" i="2" s="1"/>
  <c r="H49" i="2" s="1"/>
  <c r="H50" i="2" s="1"/>
  <c r="H51" i="2" s="1"/>
  <c r="H52" i="2" s="1"/>
  <c r="D44" i="2"/>
  <c r="D45" i="2" s="1"/>
  <c r="D46" i="2" s="1"/>
  <c r="D47" i="2" s="1"/>
  <c r="D48" i="2" s="1"/>
  <c r="D49" i="2" s="1"/>
  <c r="D50" i="2" s="1"/>
  <c r="D51" i="2" s="1"/>
  <c r="D52" i="2" s="1"/>
  <c r="Q45" i="1"/>
  <c r="Q46" i="1" s="1"/>
  <c r="Q47" i="1" s="1"/>
  <c r="Q48" i="1" s="1"/>
  <c r="Q49" i="1" s="1"/>
  <c r="Q50" i="1" s="1"/>
  <c r="Q51" i="1" s="1"/>
  <c r="Q52" i="1" s="1"/>
  <c r="Q53" i="1" s="1"/>
  <c r="Q44" i="1"/>
  <c r="Q34" i="1"/>
  <c r="Q35" i="1" s="1"/>
  <c r="Q36" i="1" s="1"/>
  <c r="Q37" i="1" s="1"/>
  <c r="Q38" i="1" s="1"/>
  <c r="Q39" i="1" s="1"/>
  <c r="Q40" i="1" s="1"/>
  <c r="Q41" i="1" s="1"/>
  <c r="Q42" i="1" s="1"/>
  <c r="Q31" i="1"/>
  <c r="Q32" i="1" s="1"/>
  <c r="Q30" i="1"/>
  <c r="Q29" i="1"/>
  <c r="H29" i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S25" i="1"/>
  <c r="S26" i="1" s="1"/>
  <c r="S27" i="1" s="1"/>
  <c r="M25" i="1"/>
  <c r="M26" i="1" s="1"/>
  <c r="M27" i="1" s="1"/>
  <c r="I25" i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D25" i="1"/>
  <c r="D26" i="1" s="1"/>
  <c r="D27" i="1" s="1"/>
  <c r="S24" i="1"/>
  <c r="Q24" i="1"/>
  <c r="Q25" i="1" s="1"/>
  <c r="Q26" i="1" s="1"/>
  <c r="Q27" i="1" s="1"/>
  <c r="O24" i="1"/>
  <c r="O25" i="1" s="1"/>
  <c r="O26" i="1" s="1"/>
  <c r="O27" i="1" s="1"/>
  <c r="M24" i="1"/>
  <c r="K24" i="1"/>
  <c r="K25" i="1" s="1"/>
  <c r="K26" i="1" s="1"/>
  <c r="K27" i="1" s="1"/>
  <c r="K28" i="1" s="1"/>
  <c r="I24" i="1"/>
  <c r="H24" i="1"/>
  <c r="H25" i="1" s="1"/>
  <c r="H26" i="1" s="1"/>
  <c r="H27" i="1" s="1"/>
  <c r="F24" i="1"/>
  <c r="F25" i="1" s="1"/>
  <c r="F26" i="1" s="1"/>
  <c r="F27" i="1" s="1"/>
  <c r="D24" i="1"/>
  <c r="D22" i="1"/>
  <c r="D21" i="1"/>
  <c r="D20" i="1"/>
  <c r="F19" i="1"/>
  <c r="F20" i="1" s="1"/>
  <c r="F21" i="1" s="1"/>
  <c r="F22" i="1" s="1"/>
  <c r="D19" i="1"/>
  <c r="Q16" i="1"/>
  <c r="Q17" i="1" s="1"/>
  <c r="Q15" i="1"/>
  <c r="K15" i="1"/>
  <c r="K16" i="1" s="1"/>
  <c r="K17" i="1" s="1"/>
  <c r="S14" i="1"/>
  <c r="S15" i="1" s="1"/>
  <c r="S16" i="1" s="1"/>
  <c r="S17" i="1" s="1"/>
  <c r="Q14" i="1"/>
  <c r="K14" i="1"/>
  <c r="O10" i="1"/>
  <c r="O11" i="1" s="1"/>
  <c r="O12" i="1" s="1"/>
  <c r="O13" i="1" s="1"/>
  <c r="O14" i="1" s="1"/>
  <c r="O15" i="1" s="1"/>
  <c r="O16" i="1" s="1"/>
  <c r="O17" i="1" s="1"/>
  <c r="Q9" i="1"/>
  <c r="Q10" i="1" s="1"/>
  <c r="Q11" i="1" s="1"/>
  <c r="Q12" i="1" s="1"/>
  <c r="O9" i="1"/>
  <c r="S6" i="1"/>
  <c r="S7" i="1" s="1"/>
  <c r="S8" i="1" s="1"/>
  <c r="S9" i="1" s="1"/>
  <c r="S10" i="1" s="1"/>
  <c r="S11" i="1" s="1"/>
  <c r="S12" i="1" s="1"/>
  <c r="D6" i="1"/>
  <c r="D7" i="1" s="1"/>
  <c r="D8" i="1" s="1"/>
  <c r="D9" i="1" s="1"/>
  <c r="D10" i="1" s="1"/>
  <c r="D11" i="1" s="1"/>
  <c r="D12" i="1" s="1"/>
  <c r="S5" i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F5" i="1"/>
  <c r="F6" i="1" s="1"/>
  <c r="F7" i="1" s="1"/>
  <c r="F8" i="1" s="1"/>
  <c r="F9" i="1" s="1"/>
  <c r="F10" i="1" s="1"/>
  <c r="F11" i="1" s="1"/>
  <c r="F12" i="1" s="1"/>
  <c r="D5" i="1"/>
  <c r="S4" i="1"/>
  <c r="Q4" i="1"/>
  <c r="Q5" i="1" s="1"/>
  <c r="Q6" i="1" s="1"/>
  <c r="Q7" i="1" s="1"/>
  <c r="O4" i="1"/>
  <c r="O5" i="1" s="1"/>
  <c r="O6" i="1" s="1"/>
  <c r="O7" i="1" s="1"/>
  <c r="M4" i="1"/>
  <c r="K4" i="1"/>
  <c r="K5" i="1" s="1"/>
  <c r="K6" i="1" s="1"/>
  <c r="K7" i="1" s="1"/>
  <c r="K8" i="1" s="1"/>
  <c r="K9" i="1" s="1"/>
  <c r="K10" i="1" s="1"/>
  <c r="K11" i="1" s="1"/>
  <c r="K12" i="1" s="1"/>
  <c r="I4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F4" i="1"/>
  <c r="D4" i="1"/>
</calcChain>
</file>

<file path=xl/sharedStrings.xml><?xml version="1.0" encoding="utf-8"?>
<sst xmlns="http://schemas.openxmlformats.org/spreadsheetml/2006/main" count="156" uniqueCount="47">
  <si>
    <t>手动输入区域</t>
  </si>
  <si>
    <t>起始年</t>
  </si>
  <si>
    <t>终止年</t>
  </si>
  <si>
    <t>乘用车</t>
  </si>
  <si>
    <t>出租车</t>
  </si>
  <si>
    <t>轻型货车</t>
  </si>
  <si>
    <t>中型公交车</t>
  </si>
  <si>
    <t>道路客车</t>
  </si>
  <si>
    <t>中型货车</t>
  </si>
  <si>
    <t>重型货车</t>
  </si>
  <si>
    <t>大型公交车</t>
  </si>
  <si>
    <t>stage</t>
  </si>
  <si>
    <t>PV(汽油)</t>
  </si>
  <si>
    <t>PV(柴油)</t>
  </si>
  <si>
    <t>Taxi(汽油)</t>
  </si>
  <si>
    <t>Taxi(柴油)</t>
  </si>
  <si>
    <t>l_Truck(汽油)</t>
  </si>
  <si>
    <t>l_Truck(柴油)</t>
  </si>
  <si>
    <t>city bus(汽油)</t>
  </si>
  <si>
    <t>city bus(柴油)</t>
  </si>
  <si>
    <t>road bus(汽油)</t>
  </si>
  <si>
    <t>road bus(柴油)</t>
  </si>
  <si>
    <t>h_Truck(汽油)</t>
  </si>
  <si>
    <t>h_Truck(柴油)</t>
  </si>
  <si>
    <t>阶段0</t>
  </si>
  <si>
    <t>阶段1</t>
  </si>
  <si>
    <t>阶段2</t>
  </si>
  <si>
    <t>阶段3</t>
  </si>
  <si>
    <t>阶段4</t>
  </si>
  <si>
    <t>stage5</t>
  </si>
  <si>
    <t>stage6</t>
  </si>
  <si>
    <t>stage7</t>
  </si>
  <si>
    <t>stage8</t>
  </si>
  <si>
    <t>客运LDVs</t>
    <phoneticPr fontId="1" type="noConversion"/>
  </si>
  <si>
    <t>客运HDVs</t>
    <phoneticPr fontId="1" type="noConversion"/>
  </si>
  <si>
    <t>货运LDVs</t>
    <phoneticPr fontId="1" type="noConversion"/>
  </si>
  <si>
    <t>货运HDVs</t>
    <phoneticPr fontId="1" type="noConversion"/>
  </si>
  <si>
    <t>汽油</t>
    <phoneticPr fontId="1" type="noConversion"/>
  </si>
  <si>
    <t>柴油</t>
    <phoneticPr fontId="1" type="noConversion"/>
  </si>
  <si>
    <t>起始年数量</t>
    <phoneticPr fontId="1" type="noConversion"/>
  </si>
  <si>
    <t>起始年占比</t>
    <phoneticPr fontId="1" type="noConversion"/>
  </si>
  <si>
    <t>客运LDV</t>
    <phoneticPr fontId="1" type="noConversion"/>
  </si>
  <si>
    <t>客运HDV</t>
    <phoneticPr fontId="1" type="noConversion"/>
  </si>
  <si>
    <t>货运LDV</t>
    <phoneticPr fontId="1" type="noConversion"/>
  </si>
  <si>
    <t>货运HDV</t>
    <phoneticPr fontId="1" type="noConversion"/>
  </si>
  <si>
    <t>销量</t>
    <phoneticPr fontId="1" type="noConversion"/>
  </si>
  <si>
    <t>Fopity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</si>
</sst>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);[Red]\(0.00\)"/>
    <numFmt numFmtId="179" formatCode="0.0"/>
  </numFmts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5" borderId="2" xfId="0" applyNumberFormat="1" applyFont="1" applyFill="1" applyBorder="1" applyAlignment="1">
      <alignment horizontal="center" vertical="center"/>
    </xf>
    <xf numFmtId="178" fontId="2" fillId="5" borderId="3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7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79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17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9" fontId="4" fillId="9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6" borderId="0" xfId="0" applyFont="1" applyFill="1">
      <alignment vertical="center"/>
    </xf>
    <xf numFmtId="0" fontId="0" fillId="6" borderId="0" xfId="0" applyFill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workbookViewId="0">
      <selection activeCell="F21" sqref="F21"/>
    </sheetView>
  </sheetViews>
  <sheetFormatPr defaultColWidth="9" defaultRowHeight="14.4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3" t="s">
        <v>3</v>
      </c>
      <c r="E1" s="4"/>
      <c r="F1" s="3" t="s">
        <v>4</v>
      </c>
      <c r="G1" s="4"/>
      <c r="H1" s="3" t="s">
        <v>5</v>
      </c>
      <c r="I1" s="4"/>
      <c r="J1" s="3" t="s">
        <v>6</v>
      </c>
      <c r="K1" s="4"/>
      <c r="L1" s="3" t="s">
        <v>7</v>
      </c>
      <c r="M1" s="4"/>
      <c r="N1" s="3" t="s">
        <v>8</v>
      </c>
      <c r="O1" s="4"/>
      <c r="P1" s="3" t="s">
        <v>9</v>
      </c>
      <c r="Q1" s="4"/>
      <c r="R1" s="3" t="s">
        <v>10</v>
      </c>
      <c r="S1" s="4"/>
    </row>
    <row r="2" spans="1:19" x14ac:dyDescent="0.25">
      <c r="A2" s="5" t="s">
        <v>11</v>
      </c>
      <c r="B2" s="6"/>
      <c r="C2" s="6"/>
      <c r="D2" s="7" t="s">
        <v>12</v>
      </c>
      <c r="E2" s="8" t="s">
        <v>13</v>
      </c>
      <c r="F2" s="7" t="s">
        <v>14</v>
      </c>
      <c r="G2" s="8" t="s">
        <v>15</v>
      </c>
      <c r="H2" s="8" t="s">
        <v>16</v>
      </c>
      <c r="I2" s="7" t="s">
        <v>17</v>
      </c>
      <c r="J2" s="8" t="s">
        <v>18</v>
      </c>
      <c r="K2" s="7" t="s">
        <v>19</v>
      </c>
      <c r="L2" s="8" t="s">
        <v>20</v>
      </c>
      <c r="M2" s="7" t="s">
        <v>21</v>
      </c>
      <c r="N2" s="8" t="s">
        <v>22</v>
      </c>
      <c r="O2" s="7" t="s">
        <v>23</v>
      </c>
      <c r="P2" s="8" t="s">
        <v>22</v>
      </c>
      <c r="Q2" s="7" t="s">
        <v>23</v>
      </c>
      <c r="R2" s="8" t="s">
        <v>22</v>
      </c>
      <c r="S2" s="7" t="s">
        <v>23</v>
      </c>
    </row>
    <row r="3" spans="1:19" x14ac:dyDescent="0.25">
      <c r="A3" s="9" t="s">
        <v>24</v>
      </c>
      <c r="B3" s="9">
        <v>2001</v>
      </c>
      <c r="C3" s="9">
        <v>5</v>
      </c>
      <c r="D3" s="10">
        <v>11.61</v>
      </c>
      <c r="E3" s="10">
        <v>0</v>
      </c>
      <c r="F3" s="10">
        <v>11.61</v>
      </c>
      <c r="G3" s="10">
        <v>0</v>
      </c>
      <c r="H3" s="10">
        <v>19.52</v>
      </c>
      <c r="I3" s="10">
        <v>13.82</v>
      </c>
      <c r="J3" s="11">
        <v>0</v>
      </c>
      <c r="K3" s="10">
        <v>14.83</v>
      </c>
      <c r="L3" s="10">
        <v>0</v>
      </c>
      <c r="M3" s="10">
        <v>28.22</v>
      </c>
      <c r="N3" s="10">
        <v>0</v>
      </c>
      <c r="O3" s="10">
        <v>25.3</v>
      </c>
      <c r="P3" s="10">
        <v>0</v>
      </c>
      <c r="Q3" s="10">
        <v>47.75</v>
      </c>
      <c r="R3" s="10">
        <v>0</v>
      </c>
      <c r="S3" s="10">
        <v>28.22</v>
      </c>
    </row>
    <row r="4" spans="1:19" x14ac:dyDescent="0.25">
      <c r="A4" s="9"/>
      <c r="B4" s="9">
        <v>2002</v>
      </c>
      <c r="C4" s="9"/>
      <c r="D4" s="10">
        <f t="shared" ref="D4:D12" si="0">D3-0.2</f>
        <v>11.41</v>
      </c>
      <c r="E4" s="10"/>
      <c r="F4" s="10">
        <f t="shared" ref="F4:F12" si="1">F3-0.2</f>
        <v>11.41</v>
      </c>
      <c r="G4" s="10"/>
      <c r="H4" s="10">
        <f t="shared" ref="H4:H13" si="2">H3-0.34</f>
        <v>19.18</v>
      </c>
      <c r="I4" s="10">
        <f t="shared" ref="I4:I8" si="3">I3-0.14</f>
        <v>13.68</v>
      </c>
      <c r="J4" s="11"/>
      <c r="K4" s="10">
        <f t="shared" ref="K4:K8" si="4">K3-0.58</f>
        <v>14.25</v>
      </c>
      <c r="L4" s="10"/>
      <c r="M4" s="10">
        <f t="shared" ref="M4:M8" si="5">M3-1.12</f>
        <v>27.099999999999998</v>
      </c>
      <c r="N4" s="10"/>
      <c r="O4" s="10">
        <f t="shared" ref="O4:O7" si="6">O3-1.34</f>
        <v>23.96</v>
      </c>
      <c r="P4" s="10"/>
      <c r="Q4" s="10">
        <f t="shared" ref="Q4:Q7" si="7">Q3-1.32</f>
        <v>46.43</v>
      </c>
      <c r="R4" s="10"/>
      <c r="S4" s="10">
        <f t="shared" ref="S4:S8" si="8">S3-1.12</f>
        <v>27.099999999999998</v>
      </c>
    </row>
    <row r="5" spans="1:19" x14ac:dyDescent="0.25">
      <c r="A5" s="9"/>
      <c r="B5" s="9">
        <v>2003</v>
      </c>
      <c r="C5" s="9"/>
      <c r="D5" s="10">
        <f t="shared" si="0"/>
        <v>11.21</v>
      </c>
      <c r="E5" s="10"/>
      <c r="F5" s="10">
        <f t="shared" si="1"/>
        <v>11.21</v>
      </c>
      <c r="G5" s="10"/>
      <c r="H5" s="10">
        <f t="shared" si="2"/>
        <v>18.84</v>
      </c>
      <c r="I5" s="10">
        <f t="shared" si="3"/>
        <v>13.54</v>
      </c>
      <c r="J5" s="11"/>
      <c r="K5" s="10">
        <f t="shared" si="4"/>
        <v>13.67</v>
      </c>
      <c r="L5" s="10"/>
      <c r="M5" s="10">
        <f t="shared" si="5"/>
        <v>25.979999999999997</v>
      </c>
      <c r="N5" s="10"/>
      <c r="O5" s="10">
        <f t="shared" si="6"/>
        <v>22.62</v>
      </c>
      <c r="P5" s="10"/>
      <c r="Q5" s="10">
        <f t="shared" si="7"/>
        <v>45.11</v>
      </c>
      <c r="R5" s="10"/>
      <c r="S5" s="10">
        <f t="shared" si="8"/>
        <v>25.979999999999997</v>
      </c>
    </row>
    <row r="6" spans="1:19" x14ac:dyDescent="0.25">
      <c r="A6" s="9"/>
      <c r="B6" s="9">
        <v>2004</v>
      </c>
      <c r="C6" s="9"/>
      <c r="D6" s="10">
        <f t="shared" si="0"/>
        <v>11.010000000000002</v>
      </c>
      <c r="E6" s="10"/>
      <c r="F6" s="10">
        <f t="shared" si="1"/>
        <v>11.010000000000002</v>
      </c>
      <c r="G6" s="10"/>
      <c r="H6" s="10">
        <f t="shared" si="2"/>
        <v>18.5</v>
      </c>
      <c r="I6" s="10">
        <f t="shared" si="3"/>
        <v>13.399999999999999</v>
      </c>
      <c r="J6" s="11"/>
      <c r="K6" s="10">
        <f t="shared" si="4"/>
        <v>13.09</v>
      </c>
      <c r="L6" s="10"/>
      <c r="M6" s="10">
        <f t="shared" si="5"/>
        <v>24.859999999999996</v>
      </c>
      <c r="N6" s="10"/>
      <c r="O6" s="10">
        <f t="shared" si="6"/>
        <v>21.28</v>
      </c>
      <c r="P6" s="10"/>
      <c r="Q6" s="10">
        <f t="shared" si="7"/>
        <v>43.79</v>
      </c>
      <c r="R6" s="10"/>
      <c r="S6" s="10">
        <f t="shared" si="8"/>
        <v>24.859999999999996</v>
      </c>
    </row>
    <row r="7" spans="1:19" x14ac:dyDescent="0.25">
      <c r="A7" s="9"/>
      <c r="B7" s="9">
        <v>2005</v>
      </c>
      <c r="C7" s="9"/>
      <c r="D7" s="10">
        <f t="shared" si="0"/>
        <v>10.810000000000002</v>
      </c>
      <c r="E7" s="10"/>
      <c r="F7" s="10">
        <f t="shared" si="1"/>
        <v>10.810000000000002</v>
      </c>
      <c r="G7" s="10"/>
      <c r="H7" s="10">
        <f t="shared" si="2"/>
        <v>18.16</v>
      </c>
      <c r="I7" s="10">
        <f t="shared" si="3"/>
        <v>13.259999999999998</v>
      </c>
      <c r="J7" s="11"/>
      <c r="K7" s="10">
        <f t="shared" si="4"/>
        <v>12.51</v>
      </c>
      <c r="L7" s="10"/>
      <c r="M7" s="10">
        <f t="shared" si="5"/>
        <v>23.739999999999995</v>
      </c>
      <c r="N7" s="10"/>
      <c r="O7" s="10">
        <f t="shared" si="6"/>
        <v>19.940000000000001</v>
      </c>
      <c r="P7" s="10"/>
      <c r="Q7" s="10">
        <f t="shared" si="7"/>
        <v>42.47</v>
      </c>
      <c r="R7" s="10"/>
      <c r="S7" s="10">
        <f t="shared" si="8"/>
        <v>23.739999999999995</v>
      </c>
    </row>
    <row r="8" spans="1:19" x14ac:dyDescent="0.25">
      <c r="A8" s="9" t="s">
        <v>25</v>
      </c>
      <c r="B8" s="9">
        <v>2006</v>
      </c>
      <c r="C8" s="9">
        <v>10</v>
      </c>
      <c r="D8" s="10">
        <f t="shared" si="0"/>
        <v>10.610000000000003</v>
      </c>
      <c r="E8" s="10">
        <v>0</v>
      </c>
      <c r="F8" s="10">
        <f t="shared" si="1"/>
        <v>10.610000000000003</v>
      </c>
      <c r="G8" s="10">
        <v>0</v>
      </c>
      <c r="H8" s="10">
        <f t="shared" si="2"/>
        <v>17.82</v>
      </c>
      <c r="I8" s="10">
        <f t="shared" si="3"/>
        <v>13.119999999999997</v>
      </c>
      <c r="J8" s="11">
        <v>0</v>
      </c>
      <c r="K8" s="10">
        <f t="shared" si="4"/>
        <v>11.93</v>
      </c>
      <c r="L8" s="10">
        <v>0</v>
      </c>
      <c r="M8" s="10">
        <f t="shared" si="5"/>
        <v>22.619999999999994</v>
      </c>
      <c r="N8" s="10">
        <v>0</v>
      </c>
      <c r="O8" s="10">
        <v>18.55</v>
      </c>
      <c r="P8" s="10">
        <v>0</v>
      </c>
      <c r="Q8" s="10">
        <v>41.22</v>
      </c>
      <c r="R8" s="10">
        <v>0</v>
      </c>
      <c r="S8" s="10">
        <f t="shared" si="8"/>
        <v>22.619999999999994</v>
      </c>
    </row>
    <row r="9" spans="1:19" x14ac:dyDescent="0.25">
      <c r="A9" s="9"/>
      <c r="B9" s="9">
        <v>2007</v>
      </c>
      <c r="C9" s="9"/>
      <c r="D9" s="10">
        <f t="shared" si="0"/>
        <v>10.410000000000004</v>
      </c>
      <c r="E9" s="10"/>
      <c r="F9" s="10">
        <f t="shared" si="1"/>
        <v>10.410000000000004</v>
      </c>
      <c r="G9" s="10"/>
      <c r="H9" s="10">
        <f t="shared" si="2"/>
        <v>17.48</v>
      </c>
      <c r="I9" s="10">
        <f t="shared" ref="I9:I13" si="9">I8-0.16</f>
        <v>12.959999999999997</v>
      </c>
      <c r="J9" s="11"/>
      <c r="K9" s="10">
        <f t="shared" ref="K9:K12" si="10">K8-0.26</f>
        <v>11.67</v>
      </c>
      <c r="L9" s="10"/>
      <c r="M9" s="10">
        <f t="shared" ref="M9:M13" si="11">M8-0.46</f>
        <v>22.159999999999993</v>
      </c>
      <c r="N9" s="10"/>
      <c r="O9" s="10">
        <f t="shared" ref="O9:O13" si="12">O8-0.44</f>
        <v>18.11</v>
      </c>
      <c r="P9" s="10"/>
      <c r="Q9" s="10">
        <f t="shared" ref="Q9:Q12" si="13">Q8-0.96</f>
        <v>40.26</v>
      </c>
      <c r="R9" s="10"/>
      <c r="S9" s="10">
        <f t="shared" ref="S9:S12" si="14">S8-0.46</f>
        <v>22.159999999999993</v>
      </c>
    </row>
    <row r="10" spans="1:19" x14ac:dyDescent="0.25">
      <c r="A10" s="9"/>
      <c r="B10" s="9">
        <v>2008</v>
      </c>
      <c r="C10" s="9"/>
      <c r="D10" s="10">
        <f t="shared" si="0"/>
        <v>10.210000000000004</v>
      </c>
      <c r="E10" s="10"/>
      <c r="F10" s="10">
        <f t="shared" si="1"/>
        <v>10.210000000000004</v>
      </c>
      <c r="G10" s="10"/>
      <c r="H10" s="10">
        <f t="shared" si="2"/>
        <v>17.14</v>
      </c>
      <c r="I10" s="10">
        <f t="shared" si="9"/>
        <v>12.799999999999997</v>
      </c>
      <c r="J10" s="11"/>
      <c r="K10" s="10">
        <f t="shared" si="10"/>
        <v>11.41</v>
      </c>
      <c r="L10" s="10"/>
      <c r="M10" s="10">
        <f t="shared" si="11"/>
        <v>21.699999999999992</v>
      </c>
      <c r="N10" s="10"/>
      <c r="O10" s="10">
        <f t="shared" si="12"/>
        <v>17.669999999999998</v>
      </c>
      <c r="P10" s="10"/>
      <c r="Q10" s="10">
        <f t="shared" si="13"/>
        <v>39.299999999999997</v>
      </c>
      <c r="R10" s="10"/>
      <c r="S10" s="10">
        <f t="shared" si="14"/>
        <v>21.699999999999992</v>
      </c>
    </row>
    <row r="11" spans="1:19" x14ac:dyDescent="0.25">
      <c r="A11" s="9"/>
      <c r="B11" s="9">
        <v>2009</v>
      </c>
      <c r="C11" s="9"/>
      <c r="D11" s="10">
        <f t="shared" si="0"/>
        <v>10.010000000000005</v>
      </c>
      <c r="E11" s="10"/>
      <c r="F11" s="10">
        <f t="shared" si="1"/>
        <v>10.010000000000005</v>
      </c>
      <c r="G11" s="10"/>
      <c r="H11" s="10">
        <f t="shared" si="2"/>
        <v>16.8</v>
      </c>
      <c r="I11" s="10">
        <f t="shared" si="9"/>
        <v>12.639999999999997</v>
      </c>
      <c r="J11" s="11"/>
      <c r="K11" s="10">
        <f t="shared" si="10"/>
        <v>11.15</v>
      </c>
      <c r="L11" s="10"/>
      <c r="M11" s="10">
        <f t="shared" si="11"/>
        <v>21.239999999999991</v>
      </c>
      <c r="N11" s="10"/>
      <c r="O11" s="10">
        <f t="shared" si="12"/>
        <v>17.229999999999997</v>
      </c>
      <c r="P11" s="10"/>
      <c r="Q11" s="10">
        <f t="shared" si="13"/>
        <v>38.339999999999996</v>
      </c>
      <c r="R11" s="10"/>
      <c r="S11" s="10">
        <f t="shared" si="14"/>
        <v>21.239999999999991</v>
      </c>
    </row>
    <row r="12" spans="1:19" x14ac:dyDescent="0.25">
      <c r="A12" s="9"/>
      <c r="B12" s="9">
        <v>2010</v>
      </c>
      <c r="C12" s="9"/>
      <c r="D12" s="10">
        <f t="shared" si="0"/>
        <v>9.8100000000000058</v>
      </c>
      <c r="E12" s="10"/>
      <c r="F12" s="10">
        <f t="shared" si="1"/>
        <v>9.8100000000000058</v>
      </c>
      <c r="G12" s="10"/>
      <c r="H12" s="10">
        <f t="shared" si="2"/>
        <v>16.46</v>
      </c>
      <c r="I12" s="10">
        <f t="shared" si="9"/>
        <v>12.479999999999997</v>
      </c>
      <c r="J12" s="11"/>
      <c r="K12" s="10">
        <f t="shared" si="10"/>
        <v>10.89</v>
      </c>
      <c r="L12" s="10"/>
      <c r="M12" s="10">
        <f t="shared" si="11"/>
        <v>20.77999999999999</v>
      </c>
      <c r="N12" s="10"/>
      <c r="O12" s="10">
        <f t="shared" si="12"/>
        <v>16.789999999999996</v>
      </c>
      <c r="P12" s="10"/>
      <c r="Q12" s="10">
        <f t="shared" si="13"/>
        <v>37.379999999999995</v>
      </c>
      <c r="R12" s="10"/>
      <c r="S12" s="10">
        <f t="shared" si="14"/>
        <v>20.77999999999999</v>
      </c>
    </row>
    <row r="13" spans="1:19" x14ac:dyDescent="0.25">
      <c r="A13" s="9" t="s">
        <v>26</v>
      </c>
      <c r="B13" s="9">
        <v>2011</v>
      </c>
      <c r="C13" s="9">
        <v>15</v>
      </c>
      <c r="D13" s="10">
        <v>9.6</v>
      </c>
      <c r="E13" s="10">
        <v>0</v>
      </c>
      <c r="F13" s="10">
        <v>9.6</v>
      </c>
      <c r="G13" s="10">
        <v>0</v>
      </c>
      <c r="H13" s="10">
        <f t="shared" si="2"/>
        <v>16.12</v>
      </c>
      <c r="I13" s="10">
        <f t="shared" si="9"/>
        <v>12.319999999999997</v>
      </c>
      <c r="J13" s="11">
        <v>0</v>
      </c>
      <c r="K13" s="10">
        <v>10.57</v>
      </c>
      <c r="L13" s="10">
        <v>0</v>
      </c>
      <c r="M13" s="10">
        <f t="shared" si="11"/>
        <v>20.31999999999999</v>
      </c>
      <c r="N13" s="10">
        <v>0</v>
      </c>
      <c r="O13" s="10">
        <f t="shared" si="12"/>
        <v>16.349999999999994</v>
      </c>
      <c r="P13" s="10">
        <v>0</v>
      </c>
      <c r="Q13" s="10">
        <v>36.380000000000003</v>
      </c>
      <c r="R13" s="10">
        <v>0</v>
      </c>
      <c r="S13" s="10">
        <v>20.329999999999998</v>
      </c>
    </row>
    <row r="14" spans="1:19" x14ac:dyDescent="0.25">
      <c r="A14" s="9"/>
      <c r="B14" s="9">
        <v>2012</v>
      </c>
      <c r="C14" s="9"/>
      <c r="D14" s="10">
        <v>9.6</v>
      </c>
      <c r="E14" s="10"/>
      <c r="F14" s="10">
        <v>9.6</v>
      </c>
      <c r="G14" s="10"/>
      <c r="H14" s="10">
        <f t="shared" ref="H14:H17" si="15">H13-0.76</f>
        <v>15.360000000000001</v>
      </c>
      <c r="I14" s="10">
        <f t="shared" ref="I14:I18" si="16">I13-0.44</f>
        <v>11.879999999999997</v>
      </c>
      <c r="J14" s="11"/>
      <c r="K14" s="10">
        <f t="shared" ref="K14:K17" si="17">K13-0.32</f>
        <v>10.25</v>
      </c>
      <c r="L14" s="10"/>
      <c r="M14" s="10">
        <f t="shared" ref="M14:M17" si="18">M13-0.52</f>
        <v>19.79999999999999</v>
      </c>
      <c r="N14" s="10"/>
      <c r="O14" s="10">
        <f t="shared" ref="O14:O17" si="19">O13-0.48</f>
        <v>15.869999999999994</v>
      </c>
      <c r="P14" s="10"/>
      <c r="Q14" s="10">
        <f t="shared" ref="Q14:Q17" si="20">Q13-1.04</f>
        <v>35.340000000000003</v>
      </c>
      <c r="R14" s="10"/>
      <c r="S14" s="10">
        <f t="shared" ref="S14:S17" si="21">S13-0.52</f>
        <v>19.809999999999999</v>
      </c>
    </row>
    <row r="15" spans="1:19" x14ac:dyDescent="0.25">
      <c r="A15" s="9"/>
      <c r="B15" s="9">
        <v>2013</v>
      </c>
      <c r="C15" s="9"/>
      <c r="D15" s="10">
        <v>9.6</v>
      </c>
      <c r="E15" s="10"/>
      <c r="F15" s="10">
        <v>9.6</v>
      </c>
      <c r="G15" s="10"/>
      <c r="H15" s="10">
        <f t="shared" si="15"/>
        <v>14.600000000000001</v>
      </c>
      <c r="I15" s="10">
        <f t="shared" si="16"/>
        <v>11.439999999999998</v>
      </c>
      <c r="J15" s="11"/>
      <c r="K15" s="10">
        <f t="shared" si="17"/>
        <v>9.93</v>
      </c>
      <c r="L15" s="10"/>
      <c r="M15" s="10">
        <f t="shared" si="18"/>
        <v>19.27999999999999</v>
      </c>
      <c r="N15" s="10"/>
      <c r="O15" s="10">
        <f t="shared" si="19"/>
        <v>15.389999999999993</v>
      </c>
      <c r="P15" s="10"/>
      <c r="Q15" s="10">
        <f t="shared" si="20"/>
        <v>34.300000000000004</v>
      </c>
      <c r="R15" s="10"/>
      <c r="S15" s="10">
        <f t="shared" si="21"/>
        <v>19.29</v>
      </c>
    </row>
    <row r="16" spans="1:19" x14ac:dyDescent="0.25">
      <c r="A16" s="9"/>
      <c r="B16" s="9">
        <v>2014</v>
      </c>
      <c r="C16" s="9"/>
      <c r="D16" s="10">
        <v>9.6</v>
      </c>
      <c r="E16" s="10"/>
      <c r="F16" s="10">
        <v>9.6</v>
      </c>
      <c r="G16" s="10"/>
      <c r="H16" s="10">
        <f t="shared" si="15"/>
        <v>13.840000000000002</v>
      </c>
      <c r="I16" s="10">
        <f t="shared" si="16"/>
        <v>10.999999999999998</v>
      </c>
      <c r="J16" s="11"/>
      <c r="K16" s="10">
        <f t="shared" si="17"/>
        <v>9.61</v>
      </c>
      <c r="L16" s="10"/>
      <c r="M16" s="10">
        <f t="shared" si="18"/>
        <v>18.759999999999991</v>
      </c>
      <c r="N16" s="10"/>
      <c r="O16" s="10">
        <f t="shared" si="19"/>
        <v>14.909999999999993</v>
      </c>
      <c r="P16" s="10"/>
      <c r="Q16" s="10">
        <f t="shared" si="20"/>
        <v>33.260000000000005</v>
      </c>
      <c r="R16" s="10"/>
      <c r="S16" s="10">
        <f t="shared" si="21"/>
        <v>18.77</v>
      </c>
    </row>
    <row r="17" spans="1:19" x14ac:dyDescent="0.25">
      <c r="A17" s="9"/>
      <c r="B17" s="9">
        <v>2015</v>
      </c>
      <c r="C17" s="9"/>
      <c r="D17" s="10">
        <v>9.6</v>
      </c>
      <c r="E17" s="10"/>
      <c r="F17" s="10">
        <v>9.6</v>
      </c>
      <c r="G17" s="10"/>
      <c r="H17" s="10">
        <f t="shared" si="15"/>
        <v>13.080000000000002</v>
      </c>
      <c r="I17" s="10">
        <f t="shared" si="16"/>
        <v>10.559999999999999</v>
      </c>
      <c r="J17" s="11"/>
      <c r="K17" s="10">
        <f t="shared" si="17"/>
        <v>9.2899999999999991</v>
      </c>
      <c r="L17" s="10"/>
      <c r="M17" s="10">
        <f t="shared" si="18"/>
        <v>18.239999999999991</v>
      </c>
      <c r="N17" s="10"/>
      <c r="O17" s="10">
        <f t="shared" si="19"/>
        <v>14.429999999999993</v>
      </c>
      <c r="P17" s="10"/>
      <c r="Q17" s="10">
        <f t="shared" si="20"/>
        <v>32.220000000000006</v>
      </c>
      <c r="R17" s="10"/>
      <c r="S17" s="10">
        <f t="shared" si="21"/>
        <v>18.25</v>
      </c>
    </row>
    <row r="18" spans="1:19" x14ac:dyDescent="0.25">
      <c r="A18" s="9" t="s">
        <v>27</v>
      </c>
      <c r="B18" s="9">
        <v>2016</v>
      </c>
      <c r="C18" s="9">
        <v>20</v>
      </c>
      <c r="D18" s="10">
        <v>9.6</v>
      </c>
      <c r="E18" s="10">
        <v>0</v>
      </c>
      <c r="F18" s="10">
        <v>9.6</v>
      </c>
      <c r="G18" s="10">
        <v>0</v>
      </c>
      <c r="H18" s="10">
        <v>12.3</v>
      </c>
      <c r="I18" s="10">
        <f t="shared" si="16"/>
        <v>10.119999999999999</v>
      </c>
      <c r="J18" s="11">
        <v>0</v>
      </c>
      <c r="K18" s="10">
        <v>8.9700000000000006</v>
      </c>
      <c r="L18" s="10">
        <v>0</v>
      </c>
      <c r="M18" s="10">
        <v>17.690000000000001</v>
      </c>
      <c r="N18" s="10">
        <v>0</v>
      </c>
      <c r="O18" s="10">
        <v>13.98</v>
      </c>
      <c r="P18" s="10">
        <v>0</v>
      </c>
      <c r="Q18" s="10">
        <v>31.16</v>
      </c>
      <c r="R18" s="10">
        <v>0</v>
      </c>
      <c r="S18" s="10">
        <v>17.690000000000001</v>
      </c>
    </row>
    <row r="19" spans="1:19" x14ac:dyDescent="0.25">
      <c r="A19" s="12"/>
      <c r="B19" s="9">
        <v>2017</v>
      </c>
      <c r="C19" s="12"/>
      <c r="D19" s="13">
        <f t="shared" ref="D19:D22" si="22">D18-0.4</f>
        <v>9.1999999999999993</v>
      </c>
      <c r="E19" s="13"/>
      <c r="F19" s="13">
        <f t="shared" ref="F19:F22" si="23">F18-0.4</f>
        <v>9.1999999999999993</v>
      </c>
      <c r="G19" s="13"/>
      <c r="H19" s="13">
        <v>12.3</v>
      </c>
      <c r="I19" s="13">
        <v>10.1</v>
      </c>
      <c r="J19" s="14"/>
      <c r="K19" s="13">
        <v>8.9700000000000006</v>
      </c>
      <c r="L19" s="13"/>
      <c r="M19" s="13">
        <v>17.690000000000001</v>
      </c>
      <c r="N19" s="13"/>
      <c r="O19" s="13">
        <v>13.98</v>
      </c>
      <c r="P19" s="13"/>
      <c r="Q19" s="13">
        <v>31.16</v>
      </c>
      <c r="R19" s="13"/>
      <c r="S19" s="13">
        <v>17.690000000000001</v>
      </c>
    </row>
    <row r="20" spans="1:19" x14ac:dyDescent="0.25">
      <c r="A20" s="12"/>
      <c r="B20" s="9">
        <v>2018</v>
      </c>
      <c r="C20" s="12"/>
      <c r="D20" s="13">
        <f t="shared" si="22"/>
        <v>8.7999999999999989</v>
      </c>
      <c r="E20" s="13"/>
      <c r="F20" s="13">
        <f t="shared" si="23"/>
        <v>8.7999999999999989</v>
      </c>
      <c r="G20" s="13"/>
      <c r="H20" s="13">
        <v>12.3</v>
      </c>
      <c r="I20" s="13">
        <v>10.1</v>
      </c>
      <c r="J20" s="14"/>
      <c r="K20" s="13">
        <v>8.9700000000000006</v>
      </c>
      <c r="L20" s="13"/>
      <c r="M20" s="13">
        <v>17.690000000000001</v>
      </c>
      <c r="N20" s="13"/>
      <c r="O20" s="13">
        <v>13.98</v>
      </c>
      <c r="P20" s="13"/>
      <c r="Q20" s="13">
        <v>31.16</v>
      </c>
      <c r="R20" s="13"/>
      <c r="S20" s="13">
        <v>17.690000000000001</v>
      </c>
    </row>
    <row r="21" spans="1:19" x14ac:dyDescent="0.25">
      <c r="A21" s="12"/>
      <c r="B21" s="9">
        <v>2019</v>
      </c>
      <c r="C21" s="12"/>
      <c r="D21" s="13">
        <f t="shared" si="22"/>
        <v>8.3999999999999986</v>
      </c>
      <c r="E21" s="13"/>
      <c r="F21" s="13">
        <f t="shared" si="23"/>
        <v>8.3999999999999986</v>
      </c>
      <c r="G21" s="13"/>
      <c r="H21" s="13">
        <v>12.3</v>
      </c>
      <c r="I21" s="13">
        <v>10.1</v>
      </c>
      <c r="J21" s="14"/>
      <c r="K21" s="13">
        <v>8.9700000000000006</v>
      </c>
      <c r="L21" s="13"/>
      <c r="M21" s="13">
        <v>17.690000000000001</v>
      </c>
      <c r="N21" s="13"/>
      <c r="O21" s="13">
        <v>13.98</v>
      </c>
      <c r="P21" s="13"/>
      <c r="Q21" s="13">
        <v>31.16</v>
      </c>
      <c r="R21" s="13"/>
      <c r="S21" s="13">
        <v>17.690000000000001</v>
      </c>
    </row>
    <row r="22" spans="1:19" x14ac:dyDescent="0.25">
      <c r="A22" s="12"/>
      <c r="B22" s="9">
        <v>2020</v>
      </c>
      <c r="C22" s="12"/>
      <c r="D22" s="13">
        <f t="shared" si="22"/>
        <v>7.9999999999999982</v>
      </c>
      <c r="E22" s="13"/>
      <c r="F22" s="13">
        <f t="shared" si="23"/>
        <v>7.9999999999999982</v>
      </c>
      <c r="G22" s="13"/>
      <c r="H22" s="13">
        <v>12.3</v>
      </c>
      <c r="I22" s="13">
        <v>10.1</v>
      </c>
      <c r="J22" s="14"/>
      <c r="K22" s="13">
        <v>8.9700000000000006</v>
      </c>
      <c r="L22" s="13"/>
      <c r="M22" s="13">
        <v>17.690000000000001</v>
      </c>
      <c r="N22" s="13"/>
      <c r="O22" s="13">
        <v>13.98</v>
      </c>
      <c r="P22" s="13"/>
      <c r="Q22" s="13">
        <v>31.16</v>
      </c>
      <c r="R22" s="13"/>
      <c r="S22" s="13">
        <v>17.690000000000001</v>
      </c>
    </row>
    <row r="23" spans="1:19" x14ac:dyDescent="0.25">
      <c r="A23" s="12" t="s">
        <v>28</v>
      </c>
      <c r="B23" s="9">
        <v>2021</v>
      </c>
      <c r="C23" s="12">
        <v>25</v>
      </c>
      <c r="D23" s="13">
        <v>7.61</v>
      </c>
      <c r="E23" s="13">
        <v>0</v>
      </c>
      <c r="F23" s="13">
        <v>7.61</v>
      </c>
      <c r="G23" s="13">
        <v>0</v>
      </c>
      <c r="H23" s="13">
        <v>12.3</v>
      </c>
      <c r="I23" s="13">
        <v>10.1</v>
      </c>
      <c r="J23" s="14">
        <v>0</v>
      </c>
      <c r="K23" s="13">
        <v>8.9700000000000006</v>
      </c>
      <c r="L23" s="13">
        <v>0</v>
      </c>
      <c r="M23" s="13">
        <v>17.690000000000001</v>
      </c>
      <c r="N23" s="13">
        <v>0</v>
      </c>
      <c r="O23" s="13">
        <v>13.98</v>
      </c>
      <c r="P23" s="13">
        <v>0</v>
      </c>
      <c r="Q23" s="13">
        <v>31.16</v>
      </c>
      <c r="R23" s="13">
        <v>0</v>
      </c>
      <c r="S23" s="13">
        <v>17.690000000000001</v>
      </c>
    </row>
    <row r="24" spans="1:19" x14ac:dyDescent="0.25">
      <c r="A24" s="9"/>
      <c r="B24" s="9">
        <v>2022</v>
      </c>
      <c r="C24" s="9"/>
      <c r="D24" s="10">
        <f t="shared" ref="D24:D27" si="24">D23-0.72</f>
        <v>6.8900000000000006</v>
      </c>
      <c r="E24" s="10"/>
      <c r="F24" s="10">
        <f t="shared" ref="F24:F27" si="25">F23-0.72</f>
        <v>6.8900000000000006</v>
      </c>
      <c r="G24" s="10"/>
      <c r="H24" s="10">
        <f t="shared" ref="H24:H27" si="26">H23-0.34</f>
        <v>11.96</v>
      </c>
      <c r="I24" s="10">
        <f t="shared" ref="I24:I28" si="27">I23-0.26</f>
        <v>9.84</v>
      </c>
      <c r="J24" s="10"/>
      <c r="K24" s="10">
        <f t="shared" ref="K24:K28" si="28">K23-0.2</f>
        <v>8.7700000000000014</v>
      </c>
      <c r="L24" s="10"/>
      <c r="M24" s="10">
        <f t="shared" ref="M24:M27" si="29">M23-1.48</f>
        <v>16.21</v>
      </c>
      <c r="N24" s="10"/>
      <c r="O24" s="10">
        <f t="shared" ref="O24:O27" si="30">O23-0.74</f>
        <v>13.24</v>
      </c>
      <c r="P24" s="10"/>
      <c r="Q24" s="10">
        <f t="shared" ref="Q24:Q27" si="31">Q23-0.86</f>
        <v>30.3</v>
      </c>
      <c r="R24" s="10"/>
      <c r="S24" s="10">
        <f t="shared" ref="S24:S27" si="32">S23-1.48</f>
        <v>16.21</v>
      </c>
    </row>
    <row r="25" spans="1:19" x14ac:dyDescent="0.25">
      <c r="A25" s="9"/>
      <c r="B25" s="9">
        <v>2023</v>
      </c>
      <c r="C25" s="9"/>
      <c r="D25" s="10">
        <f t="shared" si="24"/>
        <v>6.1700000000000008</v>
      </c>
      <c r="E25" s="10"/>
      <c r="F25" s="10">
        <f t="shared" si="25"/>
        <v>6.1700000000000008</v>
      </c>
      <c r="G25" s="10"/>
      <c r="H25" s="10">
        <f t="shared" si="26"/>
        <v>11.620000000000001</v>
      </c>
      <c r="I25" s="10">
        <f t="shared" si="27"/>
        <v>9.58</v>
      </c>
      <c r="J25" s="10"/>
      <c r="K25" s="10">
        <f t="shared" si="28"/>
        <v>8.5700000000000021</v>
      </c>
      <c r="L25" s="10"/>
      <c r="M25" s="10">
        <f t="shared" si="29"/>
        <v>14.73</v>
      </c>
      <c r="N25" s="10"/>
      <c r="O25" s="10">
        <f t="shared" si="30"/>
        <v>12.5</v>
      </c>
      <c r="P25" s="10"/>
      <c r="Q25" s="10">
        <f t="shared" si="31"/>
        <v>29.44</v>
      </c>
      <c r="R25" s="10"/>
      <c r="S25" s="10">
        <f t="shared" si="32"/>
        <v>14.73</v>
      </c>
    </row>
    <row r="26" spans="1:19" x14ac:dyDescent="0.25">
      <c r="A26" s="9"/>
      <c r="B26" s="9">
        <v>2024</v>
      </c>
      <c r="C26" s="9"/>
      <c r="D26" s="10">
        <f t="shared" si="24"/>
        <v>5.4500000000000011</v>
      </c>
      <c r="E26" s="10"/>
      <c r="F26" s="10">
        <f t="shared" si="25"/>
        <v>5.4500000000000011</v>
      </c>
      <c r="G26" s="10"/>
      <c r="H26" s="10">
        <f t="shared" si="26"/>
        <v>11.280000000000001</v>
      </c>
      <c r="I26" s="10">
        <f t="shared" si="27"/>
        <v>9.32</v>
      </c>
      <c r="J26" s="10"/>
      <c r="K26" s="10">
        <f t="shared" si="28"/>
        <v>8.3700000000000028</v>
      </c>
      <c r="L26" s="10"/>
      <c r="M26" s="10">
        <f t="shared" si="29"/>
        <v>13.25</v>
      </c>
      <c r="N26" s="10"/>
      <c r="O26" s="10">
        <f t="shared" si="30"/>
        <v>11.76</v>
      </c>
      <c r="P26" s="10"/>
      <c r="Q26" s="10">
        <f t="shared" si="31"/>
        <v>28.580000000000002</v>
      </c>
      <c r="R26" s="10"/>
      <c r="S26" s="10">
        <f t="shared" si="32"/>
        <v>13.25</v>
      </c>
    </row>
    <row r="27" spans="1:19" x14ac:dyDescent="0.25">
      <c r="A27" s="9"/>
      <c r="B27" s="9">
        <v>2025</v>
      </c>
      <c r="C27" s="9"/>
      <c r="D27" s="10">
        <f t="shared" si="24"/>
        <v>4.7300000000000013</v>
      </c>
      <c r="E27" s="10"/>
      <c r="F27" s="10">
        <f t="shared" si="25"/>
        <v>4.7300000000000013</v>
      </c>
      <c r="G27" s="10"/>
      <c r="H27" s="10">
        <f t="shared" si="26"/>
        <v>10.940000000000001</v>
      </c>
      <c r="I27" s="10">
        <f t="shared" si="27"/>
        <v>9.06</v>
      </c>
      <c r="J27" s="10"/>
      <c r="K27" s="10">
        <f t="shared" si="28"/>
        <v>8.1700000000000035</v>
      </c>
      <c r="L27" s="10"/>
      <c r="M27" s="10">
        <f t="shared" si="29"/>
        <v>11.77</v>
      </c>
      <c r="N27" s="10"/>
      <c r="O27" s="10">
        <f t="shared" si="30"/>
        <v>11.02</v>
      </c>
      <c r="P27" s="10"/>
      <c r="Q27" s="10">
        <f t="shared" si="31"/>
        <v>27.720000000000002</v>
      </c>
      <c r="R27" s="10"/>
      <c r="S27" s="10">
        <f t="shared" si="32"/>
        <v>11.77</v>
      </c>
    </row>
    <row r="28" spans="1:19" x14ac:dyDescent="0.25">
      <c r="A28" s="9" t="s">
        <v>29</v>
      </c>
      <c r="B28" s="9">
        <v>2026</v>
      </c>
      <c r="C28" s="9">
        <v>30</v>
      </c>
      <c r="D28" s="10">
        <v>4</v>
      </c>
      <c r="E28" s="10">
        <v>0</v>
      </c>
      <c r="F28" s="10">
        <v>4</v>
      </c>
      <c r="G28" s="10">
        <v>0</v>
      </c>
      <c r="H28" s="10">
        <v>10.5984</v>
      </c>
      <c r="I28" s="10">
        <f t="shared" si="27"/>
        <v>8.8000000000000007</v>
      </c>
      <c r="J28" s="10">
        <v>0</v>
      </c>
      <c r="K28" s="10">
        <f t="shared" si="28"/>
        <v>7.9700000000000033</v>
      </c>
      <c r="L28" s="10">
        <v>0</v>
      </c>
      <c r="M28" s="10">
        <v>10.3</v>
      </c>
      <c r="N28" s="10">
        <v>0</v>
      </c>
      <c r="O28" s="10">
        <v>10.3</v>
      </c>
      <c r="P28" s="10">
        <v>0</v>
      </c>
      <c r="Q28" s="10">
        <v>26.864000000000001</v>
      </c>
      <c r="R28" s="10">
        <v>0</v>
      </c>
      <c r="S28" s="10">
        <v>10.3</v>
      </c>
    </row>
    <row r="29" spans="1:19" x14ac:dyDescent="0.25">
      <c r="A29" s="9"/>
      <c r="B29" s="9">
        <v>2027</v>
      </c>
      <c r="C29" s="9"/>
      <c r="D29" s="10">
        <v>4</v>
      </c>
      <c r="E29" s="10"/>
      <c r="F29" s="10">
        <v>4</v>
      </c>
      <c r="G29" s="10"/>
      <c r="H29" s="10">
        <f t="shared" ref="H29:I43" si="33">H28-0.04</f>
        <v>10.558400000000001</v>
      </c>
      <c r="I29" s="10">
        <f t="shared" si="33"/>
        <v>8.7600000000000016</v>
      </c>
      <c r="J29" s="10"/>
      <c r="K29" s="10">
        <v>8</v>
      </c>
      <c r="L29" s="10"/>
      <c r="M29" s="10">
        <v>10.3</v>
      </c>
      <c r="N29" s="10"/>
      <c r="O29" s="10">
        <v>10.3</v>
      </c>
      <c r="P29" s="10"/>
      <c r="Q29" s="10">
        <f t="shared" ref="Q29:Q32" si="34">Q28-0.12</f>
        <v>26.744</v>
      </c>
      <c r="R29" s="10"/>
      <c r="S29" s="10">
        <v>10.3</v>
      </c>
    </row>
    <row r="30" spans="1:19" x14ac:dyDescent="0.25">
      <c r="A30" s="9"/>
      <c r="B30" s="9">
        <v>2028</v>
      </c>
      <c r="C30" s="9"/>
      <c r="D30" s="10">
        <v>4</v>
      </c>
      <c r="E30" s="10"/>
      <c r="F30" s="10">
        <v>4</v>
      </c>
      <c r="G30" s="10"/>
      <c r="H30" s="10">
        <f t="shared" si="33"/>
        <v>10.518400000000002</v>
      </c>
      <c r="I30" s="10">
        <f t="shared" si="33"/>
        <v>8.7200000000000024</v>
      </c>
      <c r="J30" s="10"/>
      <c r="K30" s="10">
        <v>8</v>
      </c>
      <c r="L30" s="10"/>
      <c r="M30" s="10">
        <v>10.3</v>
      </c>
      <c r="N30" s="10"/>
      <c r="O30" s="10">
        <v>10.3</v>
      </c>
      <c r="P30" s="10"/>
      <c r="Q30" s="10">
        <f t="shared" si="34"/>
        <v>26.623999999999999</v>
      </c>
      <c r="R30" s="10"/>
      <c r="S30" s="10">
        <v>10.3</v>
      </c>
    </row>
    <row r="31" spans="1:19" x14ac:dyDescent="0.25">
      <c r="A31" s="9"/>
      <c r="B31" s="9">
        <v>2029</v>
      </c>
      <c r="C31" s="9"/>
      <c r="D31" s="10">
        <v>4</v>
      </c>
      <c r="E31" s="10"/>
      <c r="F31" s="10">
        <v>4</v>
      </c>
      <c r="G31" s="10"/>
      <c r="H31" s="10">
        <f t="shared" si="33"/>
        <v>10.478400000000002</v>
      </c>
      <c r="I31" s="10">
        <f t="shared" si="33"/>
        <v>8.6800000000000033</v>
      </c>
      <c r="J31" s="10"/>
      <c r="K31" s="10">
        <v>8</v>
      </c>
      <c r="L31" s="10"/>
      <c r="M31" s="10">
        <v>10.3</v>
      </c>
      <c r="N31" s="10"/>
      <c r="O31" s="10">
        <v>10.3</v>
      </c>
      <c r="P31" s="10"/>
      <c r="Q31" s="10">
        <f t="shared" si="34"/>
        <v>26.503999999999998</v>
      </c>
      <c r="R31" s="10"/>
      <c r="S31" s="10">
        <v>10.3</v>
      </c>
    </row>
    <row r="32" spans="1:19" x14ac:dyDescent="0.25">
      <c r="A32" s="9"/>
      <c r="B32" s="9">
        <v>2030</v>
      </c>
      <c r="C32" s="9"/>
      <c r="D32" s="10">
        <v>4</v>
      </c>
      <c r="E32" s="10"/>
      <c r="F32" s="10">
        <v>4</v>
      </c>
      <c r="G32" s="10"/>
      <c r="H32" s="10">
        <f t="shared" si="33"/>
        <v>10.438400000000003</v>
      </c>
      <c r="I32" s="10">
        <f t="shared" si="33"/>
        <v>8.6400000000000041</v>
      </c>
      <c r="J32" s="10"/>
      <c r="K32" s="10">
        <v>8</v>
      </c>
      <c r="L32" s="10"/>
      <c r="M32" s="10">
        <v>10.3</v>
      </c>
      <c r="N32" s="10"/>
      <c r="O32" s="10">
        <v>10.3</v>
      </c>
      <c r="P32" s="10"/>
      <c r="Q32" s="10">
        <f t="shared" si="34"/>
        <v>26.383999999999997</v>
      </c>
      <c r="R32" s="10"/>
      <c r="S32" s="10">
        <v>10.3</v>
      </c>
    </row>
    <row r="33" spans="1:19" x14ac:dyDescent="0.25">
      <c r="A33" s="9" t="s">
        <v>30</v>
      </c>
      <c r="B33" s="9">
        <v>2031</v>
      </c>
      <c r="C33" s="9">
        <v>40</v>
      </c>
      <c r="D33" s="10">
        <v>4</v>
      </c>
      <c r="E33" s="10">
        <v>0</v>
      </c>
      <c r="F33" s="10">
        <v>4</v>
      </c>
      <c r="G33" s="10">
        <v>0</v>
      </c>
      <c r="H33" s="10">
        <f t="shared" si="33"/>
        <v>10.398400000000004</v>
      </c>
      <c r="I33" s="10">
        <f t="shared" si="33"/>
        <v>8.600000000000005</v>
      </c>
      <c r="J33" s="10">
        <v>0</v>
      </c>
      <c r="K33" s="10">
        <v>8</v>
      </c>
      <c r="L33" s="10">
        <v>0</v>
      </c>
      <c r="M33" s="10">
        <v>10.3</v>
      </c>
      <c r="N33" s="10">
        <v>0</v>
      </c>
      <c r="O33" s="10">
        <v>10.3</v>
      </c>
      <c r="P33" s="10">
        <v>0</v>
      </c>
      <c r="Q33" s="10">
        <v>26.28</v>
      </c>
      <c r="R33" s="10">
        <v>0</v>
      </c>
      <c r="S33" s="10">
        <v>10.3</v>
      </c>
    </row>
    <row r="34" spans="1:19" x14ac:dyDescent="0.25">
      <c r="A34" s="9"/>
      <c r="B34" s="9">
        <v>2032</v>
      </c>
      <c r="C34" s="9"/>
      <c r="D34" s="10">
        <v>4</v>
      </c>
      <c r="E34" s="10"/>
      <c r="F34" s="10">
        <v>4</v>
      </c>
      <c r="G34" s="10"/>
      <c r="H34" s="10">
        <f t="shared" ref="H34:H52" si="35">H33-0.06</f>
        <v>10.338400000000004</v>
      </c>
      <c r="I34" s="10">
        <f t="shared" si="33"/>
        <v>8.5600000000000058</v>
      </c>
      <c r="J34" s="10"/>
      <c r="K34" s="10">
        <v>8</v>
      </c>
      <c r="L34" s="10"/>
      <c r="M34" s="10">
        <v>10.3</v>
      </c>
      <c r="N34" s="10"/>
      <c r="O34" s="10">
        <v>10.3</v>
      </c>
      <c r="P34" s="10"/>
      <c r="Q34" s="10">
        <f t="shared" ref="Q34:Q42" si="36">Q33-0.15</f>
        <v>26.130000000000003</v>
      </c>
      <c r="R34" s="10"/>
      <c r="S34" s="10">
        <v>10.3</v>
      </c>
    </row>
    <row r="35" spans="1:19" x14ac:dyDescent="0.25">
      <c r="A35" s="9"/>
      <c r="B35" s="9">
        <v>2033</v>
      </c>
      <c r="C35" s="9"/>
      <c r="D35" s="10">
        <v>4</v>
      </c>
      <c r="E35" s="10"/>
      <c r="F35" s="10">
        <v>4</v>
      </c>
      <c r="G35" s="10"/>
      <c r="H35" s="10">
        <f t="shared" si="35"/>
        <v>10.278400000000003</v>
      </c>
      <c r="I35" s="10">
        <f t="shared" si="33"/>
        <v>8.5200000000000067</v>
      </c>
      <c r="J35" s="10"/>
      <c r="K35" s="10">
        <v>8</v>
      </c>
      <c r="L35" s="10"/>
      <c r="M35" s="10">
        <v>10.3</v>
      </c>
      <c r="N35" s="10"/>
      <c r="O35" s="10">
        <v>10.3</v>
      </c>
      <c r="P35" s="10"/>
      <c r="Q35" s="10">
        <f t="shared" si="36"/>
        <v>25.980000000000004</v>
      </c>
      <c r="R35" s="10"/>
      <c r="S35" s="10">
        <v>10.3</v>
      </c>
    </row>
    <row r="36" spans="1:19" x14ac:dyDescent="0.25">
      <c r="A36" s="9"/>
      <c r="B36" s="9">
        <v>2034</v>
      </c>
      <c r="C36" s="9"/>
      <c r="D36" s="10">
        <v>4</v>
      </c>
      <c r="E36" s="10"/>
      <c r="F36" s="10">
        <v>4</v>
      </c>
      <c r="G36" s="10"/>
      <c r="H36" s="10">
        <f t="shared" si="35"/>
        <v>10.218400000000003</v>
      </c>
      <c r="I36" s="10">
        <f t="shared" si="33"/>
        <v>8.4800000000000075</v>
      </c>
      <c r="J36" s="10"/>
      <c r="K36" s="10">
        <v>8</v>
      </c>
      <c r="L36" s="10"/>
      <c r="M36" s="10">
        <v>10.3</v>
      </c>
      <c r="N36" s="10"/>
      <c r="O36" s="10">
        <v>10.3</v>
      </c>
      <c r="P36" s="10"/>
      <c r="Q36" s="10">
        <f t="shared" si="36"/>
        <v>25.830000000000005</v>
      </c>
      <c r="R36" s="10"/>
      <c r="S36" s="10">
        <v>10.3</v>
      </c>
    </row>
    <row r="37" spans="1:19" x14ac:dyDescent="0.25">
      <c r="A37" s="9"/>
      <c r="B37" s="9">
        <v>2035</v>
      </c>
      <c r="C37" s="9"/>
      <c r="D37" s="10">
        <v>4</v>
      </c>
      <c r="E37" s="10"/>
      <c r="F37" s="10">
        <v>4</v>
      </c>
      <c r="G37" s="10"/>
      <c r="H37" s="10">
        <f t="shared" si="35"/>
        <v>10.158400000000002</v>
      </c>
      <c r="I37" s="10">
        <f t="shared" si="33"/>
        <v>8.4400000000000084</v>
      </c>
      <c r="J37" s="10"/>
      <c r="K37" s="10">
        <v>8</v>
      </c>
      <c r="L37" s="10"/>
      <c r="M37" s="10">
        <v>10.3</v>
      </c>
      <c r="N37" s="10"/>
      <c r="O37" s="10">
        <v>10.3</v>
      </c>
      <c r="P37" s="10"/>
      <c r="Q37" s="10">
        <f t="shared" si="36"/>
        <v>25.680000000000007</v>
      </c>
      <c r="R37" s="10"/>
      <c r="S37" s="10">
        <v>10.3</v>
      </c>
    </row>
    <row r="38" spans="1:19" x14ac:dyDescent="0.25">
      <c r="A38" s="9"/>
      <c r="B38" s="9">
        <v>2036</v>
      </c>
      <c r="C38" s="9"/>
      <c r="D38" s="10">
        <v>4</v>
      </c>
      <c r="E38" s="10"/>
      <c r="F38" s="10">
        <v>4</v>
      </c>
      <c r="G38" s="10"/>
      <c r="H38" s="10">
        <f t="shared" si="35"/>
        <v>10.098400000000002</v>
      </c>
      <c r="I38" s="10">
        <f t="shared" si="33"/>
        <v>8.4000000000000092</v>
      </c>
      <c r="J38" s="10"/>
      <c r="K38" s="10">
        <v>8</v>
      </c>
      <c r="L38" s="10"/>
      <c r="M38" s="10">
        <v>10.3</v>
      </c>
      <c r="N38" s="10"/>
      <c r="O38" s="10">
        <v>10.3</v>
      </c>
      <c r="P38" s="10"/>
      <c r="Q38" s="10">
        <f t="shared" si="36"/>
        <v>25.530000000000008</v>
      </c>
      <c r="R38" s="10"/>
      <c r="S38" s="10">
        <v>10.3</v>
      </c>
    </row>
    <row r="39" spans="1:19" x14ac:dyDescent="0.25">
      <c r="A39" s="9"/>
      <c r="B39" s="9">
        <v>2037</v>
      </c>
      <c r="C39" s="9"/>
      <c r="D39" s="10">
        <v>4</v>
      </c>
      <c r="E39" s="10"/>
      <c r="F39" s="10">
        <v>4</v>
      </c>
      <c r="G39" s="10"/>
      <c r="H39" s="10">
        <f t="shared" si="35"/>
        <v>10.038400000000001</v>
      </c>
      <c r="I39" s="10">
        <f t="shared" si="33"/>
        <v>8.3600000000000101</v>
      </c>
      <c r="J39" s="10"/>
      <c r="K39" s="10">
        <v>8</v>
      </c>
      <c r="L39" s="10"/>
      <c r="M39" s="10">
        <v>10.3</v>
      </c>
      <c r="N39" s="10"/>
      <c r="O39" s="10">
        <v>10.3</v>
      </c>
      <c r="P39" s="10"/>
      <c r="Q39" s="10">
        <f t="shared" si="36"/>
        <v>25.38000000000001</v>
      </c>
      <c r="R39" s="10"/>
      <c r="S39" s="10">
        <v>10.3</v>
      </c>
    </row>
    <row r="40" spans="1:19" x14ac:dyDescent="0.25">
      <c r="A40" s="9"/>
      <c r="B40" s="9">
        <v>2038</v>
      </c>
      <c r="C40" s="9"/>
      <c r="D40" s="10">
        <v>4</v>
      </c>
      <c r="E40" s="10"/>
      <c r="F40" s="10">
        <v>4</v>
      </c>
      <c r="G40" s="10"/>
      <c r="H40" s="10">
        <f t="shared" si="35"/>
        <v>9.9784000000000006</v>
      </c>
      <c r="I40" s="10">
        <f t="shared" si="33"/>
        <v>8.3200000000000109</v>
      </c>
      <c r="J40" s="10"/>
      <c r="K40" s="10">
        <v>8</v>
      </c>
      <c r="L40" s="10"/>
      <c r="M40" s="10">
        <v>10.3</v>
      </c>
      <c r="N40" s="10"/>
      <c r="O40" s="10">
        <v>10.3</v>
      </c>
      <c r="P40" s="10"/>
      <c r="Q40" s="10">
        <f t="shared" si="36"/>
        <v>25.230000000000011</v>
      </c>
      <c r="R40" s="10"/>
      <c r="S40" s="10">
        <v>10.3</v>
      </c>
    </row>
    <row r="41" spans="1:19" x14ac:dyDescent="0.25">
      <c r="A41" s="9"/>
      <c r="B41" s="9">
        <v>2039</v>
      </c>
      <c r="C41" s="9"/>
      <c r="D41" s="10">
        <v>4</v>
      </c>
      <c r="E41" s="10"/>
      <c r="F41" s="10">
        <v>4</v>
      </c>
      <c r="G41" s="10"/>
      <c r="H41" s="10">
        <f t="shared" si="35"/>
        <v>9.9184000000000001</v>
      </c>
      <c r="I41" s="10">
        <f t="shared" si="33"/>
        <v>8.2800000000000118</v>
      </c>
      <c r="J41" s="10"/>
      <c r="K41" s="10">
        <v>8</v>
      </c>
      <c r="L41" s="10"/>
      <c r="M41" s="10">
        <v>10.3</v>
      </c>
      <c r="N41" s="10"/>
      <c r="O41" s="10">
        <v>10.3</v>
      </c>
      <c r="P41" s="10"/>
      <c r="Q41" s="10">
        <f t="shared" si="36"/>
        <v>25.080000000000013</v>
      </c>
      <c r="R41" s="10"/>
      <c r="S41" s="10">
        <v>10.3</v>
      </c>
    </row>
    <row r="42" spans="1:19" x14ac:dyDescent="0.25">
      <c r="A42" s="9"/>
      <c r="B42" s="9">
        <v>2040</v>
      </c>
      <c r="C42" s="9"/>
      <c r="D42" s="10">
        <v>4</v>
      </c>
      <c r="E42" s="10"/>
      <c r="F42" s="10">
        <v>4</v>
      </c>
      <c r="G42" s="10"/>
      <c r="H42" s="10">
        <f t="shared" si="35"/>
        <v>9.8583999999999996</v>
      </c>
      <c r="I42" s="10">
        <f t="shared" si="33"/>
        <v>8.2400000000000126</v>
      </c>
      <c r="J42" s="10"/>
      <c r="K42" s="10">
        <v>8</v>
      </c>
      <c r="L42" s="10"/>
      <c r="M42" s="10">
        <v>10.3</v>
      </c>
      <c r="N42" s="10"/>
      <c r="O42" s="10">
        <v>10.3</v>
      </c>
      <c r="P42" s="10"/>
      <c r="Q42" s="10">
        <f t="shared" si="36"/>
        <v>24.930000000000014</v>
      </c>
      <c r="R42" s="10"/>
      <c r="S42" s="10">
        <v>10.3</v>
      </c>
    </row>
    <row r="43" spans="1:19" x14ac:dyDescent="0.25">
      <c r="A43" s="9" t="s">
        <v>31</v>
      </c>
      <c r="B43" s="9">
        <v>2041</v>
      </c>
      <c r="C43" s="9">
        <v>50</v>
      </c>
      <c r="D43" s="10">
        <v>4</v>
      </c>
      <c r="E43" s="10">
        <v>0</v>
      </c>
      <c r="F43" s="10">
        <v>4</v>
      </c>
      <c r="G43" s="10">
        <v>0</v>
      </c>
      <c r="H43" s="10">
        <f t="shared" si="35"/>
        <v>9.7983999999999991</v>
      </c>
      <c r="I43" s="10">
        <f t="shared" si="33"/>
        <v>8.2000000000000135</v>
      </c>
      <c r="J43" s="10">
        <v>0</v>
      </c>
      <c r="K43" s="10">
        <v>8</v>
      </c>
      <c r="L43" s="10">
        <v>0</v>
      </c>
      <c r="M43" s="10">
        <v>10.3</v>
      </c>
      <c r="N43" s="10">
        <v>0</v>
      </c>
      <c r="O43" s="10">
        <v>10.3</v>
      </c>
      <c r="P43" s="10">
        <v>0</v>
      </c>
      <c r="Q43" s="10">
        <v>24.82</v>
      </c>
      <c r="R43" s="10">
        <v>0</v>
      </c>
      <c r="S43" s="10">
        <v>10.3</v>
      </c>
    </row>
    <row r="44" spans="1:19" x14ac:dyDescent="0.25">
      <c r="A44" s="9"/>
      <c r="B44" s="9">
        <v>2042</v>
      </c>
      <c r="C44" s="9"/>
      <c r="D44" s="10">
        <v>4</v>
      </c>
      <c r="E44" s="10"/>
      <c r="F44" s="10">
        <v>4</v>
      </c>
      <c r="G44" s="10"/>
      <c r="H44" s="10">
        <f t="shared" si="35"/>
        <v>9.7383999999999986</v>
      </c>
      <c r="I44" s="10">
        <f t="shared" ref="I44:I53" si="37">I43-0.05</f>
        <v>8.1500000000000128</v>
      </c>
      <c r="J44" s="10"/>
      <c r="K44" s="10">
        <v>8</v>
      </c>
      <c r="L44" s="10"/>
      <c r="M44" s="10">
        <v>10.3</v>
      </c>
      <c r="N44" s="10"/>
      <c r="O44" s="10">
        <v>10.3</v>
      </c>
      <c r="P44" s="10"/>
      <c r="Q44" s="10">
        <f t="shared" ref="Q44:Q53" si="38">Q43-0.14</f>
        <v>24.68</v>
      </c>
      <c r="R44" s="10"/>
      <c r="S44" s="10">
        <v>10.3</v>
      </c>
    </row>
    <row r="45" spans="1:19" x14ac:dyDescent="0.25">
      <c r="A45" s="9"/>
      <c r="B45" s="9">
        <v>2043</v>
      </c>
      <c r="C45" s="9"/>
      <c r="D45" s="10">
        <v>4</v>
      </c>
      <c r="E45" s="10"/>
      <c r="F45" s="10">
        <v>4</v>
      </c>
      <c r="G45" s="10"/>
      <c r="H45" s="10">
        <f t="shared" si="35"/>
        <v>9.6783999999999981</v>
      </c>
      <c r="I45" s="10">
        <f t="shared" si="37"/>
        <v>8.1000000000000121</v>
      </c>
      <c r="J45" s="10"/>
      <c r="K45" s="10">
        <v>8</v>
      </c>
      <c r="L45" s="10"/>
      <c r="M45" s="10">
        <v>10.3</v>
      </c>
      <c r="N45" s="10"/>
      <c r="O45" s="10">
        <v>10.3</v>
      </c>
      <c r="P45" s="10"/>
      <c r="Q45" s="10">
        <f t="shared" si="38"/>
        <v>24.54</v>
      </c>
      <c r="R45" s="10"/>
      <c r="S45" s="10">
        <v>10.3</v>
      </c>
    </row>
    <row r="46" spans="1:19" x14ac:dyDescent="0.25">
      <c r="A46" s="9"/>
      <c r="B46" s="9">
        <v>2044</v>
      </c>
      <c r="C46" s="9"/>
      <c r="D46" s="10">
        <v>4</v>
      </c>
      <c r="E46" s="10"/>
      <c r="F46" s="10">
        <v>4</v>
      </c>
      <c r="G46" s="10"/>
      <c r="H46" s="10">
        <f t="shared" si="35"/>
        <v>9.6183999999999976</v>
      </c>
      <c r="I46" s="10">
        <f t="shared" si="37"/>
        <v>8.0500000000000114</v>
      </c>
      <c r="J46" s="10"/>
      <c r="K46" s="10">
        <v>8</v>
      </c>
      <c r="L46" s="10"/>
      <c r="M46" s="10">
        <v>10.3</v>
      </c>
      <c r="N46" s="10"/>
      <c r="O46" s="10">
        <v>10.3</v>
      </c>
      <c r="P46" s="10"/>
      <c r="Q46" s="10">
        <f t="shared" si="38"/>
        <v>24.4</v>
      </c>
      <c r="R46" s="10"/>
      <c r="S46" s="10">
        <v>10.3</v>
      </c>
    </row>
    <row r="47" spans="1:19" x14ac:dyDescent="0.25">
      <c r="A47" s="9"/>
      <c r="B47" s="9">
        <v>2045</v>
      </c>
      <c r="C47" s="9"/>
      <c r="D47" s="10">
        <v>4</v>
      </c>
      <c r="E47" s="10"/>
      <c r="F47" s="10">
        <v>4</v>
      </c>
      <c r="G47" s="10"/>
      <c r="H47" s="10">
        <f t="shared" si="35"/>
        <v>9.5583999999999971</v>
      </c>
      <c r="I47" s="10">
        <f t="shared" si="37"/>
        <v>8.0000000000000107</v>
      </c>
      <c r="J47" s="10"/>
      <c r="K47" s="10">
        <v>8</v>
      </c>
      <c r="L47" s="10"/>
      <c r="M47" s="10">
        <v>10.3</v>
      </c>
      <c r="N47" s="10"/>
      <c r="O47" s="10">
        <v>10.3</v>
      </c>
      <c r="P47" s="10"/>
      <c r="Q47" s="10">
        <f t="shared" si="38"/>
        <v>24.259999999999998</v>
      </c>
      <c r="R47" s="10"/>
      <c r="S47" s="10">
        <v>10.3</v>
      </c>
    </row>
    <row r="48" spans="1:19" x14ac:dyDescent="0.25">
      <c r="A48" s="9"/>
      <c r="B48" s="9">
        <v>2046</v>
      </c>
      <c r="C48" s="9"/>
      <c r="D48" s="10">
        <v>4</v>
      </c>
      <c r="E48" s="10"/>
      <c r="F48" s="10">
        <v>4</v>
      </c>
      <c r="G48" s="10"/>
      <c r="H48" s="10">
        <f t="shared" si="35"/>
        <v>9.4983999999999966</v>
      </c>
      <c r="I48" s="10">
        <f t="shared" si="37"/>
        <v>7.9500000000000108</v>
      </c>
      <c r="J48" s="10"/>
      <c r="K48" s="10">
        <v>8</v>
      </c>
      <c r="L48" s="10"/>
      <c r="M48" s="10">
        <v>10.3</v>
      </c>
      <c r="N48" s="10"/>
      <c r="O48" s="10">
        <v>10.3</v>
      </c>
      <c r="P48" s="10"/>
      <c r="Q48" s="10">
        <f t="shared" si="38"/>
        <v>24.119999999999997</v>
      </c>
      <c r="R48" s="10"/>
      <c r="S48" s="10">
        <v>10.3</v>
      </c>
    </row>
    <row r="49" spans="1:19" x14ac:dyDescent="0.25">
      <c r="A49" s="9"/>
      <c r="B49" s="9">
        <v>2047</v>
      </c>
      <c r="C49" s="9"/>
      <c r="D49" s="10">
        <v>4</v>
      </c>
      <c r="E49" s="10"/>
      <c r="F49" s="10">
        <v>4</v>
      </c>
      <c r="G49" s="10"/>
      <c r="H49" s="10">
        <f t="shared" si="35"/>
        <v>9.4383999999999961</v>
      </c>
      <c r="I49" s="10">
        <f t="shared" si="37"/>
        <v>7.900000000000011</v>
      </c>
      <c r="J49" s="10"/>
      <c r="K49" s="10">
        <v>8</v>
      </c>
      <c r="L49" s="10"/>
      <c r="M49" s="10">
        <v>10.3</v>
      </c>
      <c r="N49" s="10"/>
      <c r="O49" s="10">
        <v>10.3</v>
      </c>
      <c r="P49" s="10"/>
      <c r="Q49" s="10">
        <f t="shared" si="38"/>
        <v>23.979999999999997</v>
      </c>
      <c r="R49" s="10"/>
      <c r="S49" s="10">
        <v>10.3</v>
      </c>
    </row>
    <row r="50" spans="1:19" x14ac:dyDescent="0.25">
      <c r="A50" s="9"/>
      <c r="B50" s="9">
        <v>2048</v>
      </c>
      <c r="C50" s="9"/>
      <c r="D50" s="10">
        <v>4</v>
      </c>
      <c r="E50" s="10"/>
      <c r="F50" s="10">
        <v>4</v>
      </c>
      <c r="G50" s="10"/>
      <c r="H50" s="10">
        <f t="shared" si="35"/>
        <v>9.3783999999999956</v>
      </c>
      <c r="I50" s="10">
        <f t="shared" si="37"/>
        <v>7.8500000000000112</v>
      </c>
      <c r="J50" s="10"/>
      <c r="K50" s="10">
        <v>8</v>
      </c>
      <c r="L50" s="10"/>
      <c r="M50" s="10">
        <v>10.3</v>
      </c>
      <c r="N50" s="10"/>
      <c r="O50" s="10">
        <v>10.3</v>
      </c>
      <c r="P50" s="10"/>
      <c r="Q50" s="10">
        <f t="shared" si="38"/>
        <v>23.839999999999996</v>
      </c>
      <c r="R50" s="10"/>
      <c r="S50" s="10">
        <v>10.3</v>
      </c>
    </row>
    <row r="51" spans="1:19" x14ac:dyDescent="0.25">
      <c r="A51" s="9"/>
      <c r="B51" s="9">
        <v>2049</v>
      </c>
      <c r="C51" s="9"/>
      <c r="D51" s="10">
        <v>4</v>
      </c>
      <c r="E51" s="10"/>
      <c r="F51" s="10">
        <v>4</v>
      </c>
      <c r="G51" s="10"/>
      <c r="H51" s="10">
        <f t="shared" si="35"/>
        <v>9.3183999999999951</v>
      </c>
      <c r="I51" s="10">
        <f t="shared" si="37"/>
        <v>7.8000000000000114</v>
      </c>
      <c r="J51" s="10"/>
      <c r="K51" s="10">
        <v>8</v>
      </c>
      <c r="L51" s="10"/>
      <c r="M51" s="10">
        <v>10.3</v>
      </c>
      <c r="N51" s="10"/>
      <c r="O51" s="10">
        <v>10.3</v>
      </c>
      <c r="P51" s="10"/>
      <c r="Q51" s="10">
        <f t="shared" si="38"/>
        <v>23.699999999999996</v>
      </c>
      <c r="R51" s="10"/>
      <c r="S51" s="10">
        <v>10.3</v>
      </c>
    </row>
    <row r="52" spans="1:19" x14ac:dyDescent="0.25">
      <c r="A52" s="9"/>
      <c r="B52" s="9">
        <v>2050</v>
      </c>
      <c r="C52" s="9"/>
      <c r="D52" s="10">
        <v>4</v>
      </c>
      <c r="E52" s="10"/>
      <c r="F52" s="10">
        <v>4</v>
      </c>
      <c r="G52" s="10"/>
      <c r="H52" s="10">
        <f t="shared" si="35"/>
        <v>9.2583999999999946</v>
      </c>
      <c r="I52" s="10">
        <f t="shared" si="37"/>
        <v>7.7500000000000115</v>
      </c>
      <c r="J52" s="10"/>
      <c r="K52" s="10">
        <v>8</v>
      </c>
      <c r="L52" s="10"/>
      <c r="M52" s="10">
        <v>10.3</v>
      </c>
      <c r="N52" s="10"/>
      <c r="O52" s="10">
        <v>10.3</v>
      </c>
      <c r="P52" s="10"/>
      <c r="Q52" s="10">
        <f t="shared" si="38"/>
        <v>23.559999999999995</v>
      </c>
      <c r="R52" s="10"/>
      <c r="S52" s="10">
        <v>10.3</v>
      </c>
    </row>
    <row r="53" spans="1:19" x14ac:dyDescent="0.25">
      <c r="A53" s="9" t="s">
        <v>32</v>
      </c>
      <c r="B53" s="9">
        <v>2051</v>
      </c>
      <c r="C53" s="9">
        <v>60</v>
      </c>
      <c r="D53" s="10">
        <v>4</v>
      </c>
      <c r="E53" s="10">
        <v>0</v>
      </c>
      <c r="F53" s="10">
        <v>4</v>
      </c>
      <c r="G53" s="10">
        <v>0</v>
      </c>
      <c r="H53" s="10">
        <v>9.2159999999999993</v>
      </c>
      <c r="I53" s="10">
        <f t="shared" si="37"/>
        <v>7.7000000000000117</v>
      </c>
      <c r="J53" s="10">
        <v>0</v>
      </c>
      <c r="K53" s="10">
        <v>8</v>
      </c>
      <c r="L53" s="10">
        <v>0</v>
      </c>
      <c r="M53" s="10">
        <v>10.3</v>
      </c>
      <c r="N53" s="10">
        <v>0</v>
      </c>
      <c r="O53" s="10">
        <v>10.3</v>
      </c>
      <c r="P53" s="10">
        <v>0</v>
      </c>
      <c r="Q53" s="10">
        <f t="shared" si="38"/>
        <v>23.419999999999995</v>
      </c>
      <c r="R53" s="10">
        <v>0</v>
      </c>
      <c r="S53" s="10">
        <v>10.3</v>
      </c>
    </row>
    <row r="54" spans="1:19" x14ac:dyDescent="0.25">
      <c r="A54" s="9"/>
      <c r="B54" s="9">
        <v>2052</v>
      </c>
      <c r="C54" s="9"/>
      <c r="D54" s="10">
        <v>4</v>
      </c>
      <c r="E54" s="15"/>
      <c r="F54" s="10">
        <v>4</v>
      </c>
      <c r="G54" s="15"/>
      <c r="H54" s="10">
        <v>9.2159999999999993</v>
      </c>
      <c r="I54" s="10">
        <v>7.68</v>
      </c>
      <c r="J54" s="15"/>
      <c r="K54" s="10">
        <v>8</v>
      </c>
      <c r="L54" s="15"/>
      <c r="M54" s="10">
        <v>10.3</v>
      </c>
      <c r="N54" s="15"/>
      <c r="O54" s="10">
        <v>10.3</v>
      </c>
      <c r="P54" s="15"/>
      <c r="Q54" s="10">
        <v>23.36</v>
      </c>
      <c r="R54" s="15"/>
      <c r="S54" s="10">
        <v>10.3</v>
      </c>
    </row>
    <row r="55" spans="1:19" x14ac:dyDescent="0.25">
      <c r="A55" s="9"/>
      <c r="B55" s="9">
        <v>2053</v>
      </c>
      <c r="C55" s="9"/>
      <c r="D55" s="10">
        <v>4</v>
      </c>
      <c r="E55" s="15"/>
      <c r="F55" s="10">
        <v>4</v>
      </c>
      <c r="G55" s="15"/>
      <c r="H55" s="10">
        <v>9.2159999999999993</v>
      </c>
      <c r="I55" s="10">
        <v>7.68</v>
      </c>
      <c r="J55" s="15"/>
      <c r="K55" s="10">
        <v>8</v>
      </c>
      <c r="L55" s="15"/>
      <c r="M55" s="10">
        <v>10.3</v>
      </c>
      <c r="N55" s="15"/>
      <c r="O55" s="10">
        <v>10.3</v>
      </c>
      <c r="P55" s="15"/>
      <c r="Q55" s="10">
        <v>23.36</v>
      </c>
      <c r="R55" s="15"/>
      <c r="S55" s="10">
        <v>10.3</v>
      </c>
    </row>
    <row r="56" spans="1:19" x14ac:dyDescent="0.25">
      <c r="A56" s="9"/>
      <c r="B56" s="9">
        <v>2054</v>
      </c>
      <c r="C56" s="9"/>
      <c r="D56" s="10">
        <v>4</v>
      </c>
      <c r="E56" s="15"/>
      <c r="F56" s="10">
        <v>4</v>
      </c>
      <c r="G56" s="15"/>
      <c r="H56" s="10">
        <v>9.2159999999999993</v>
      </c>
      <c r="I56" s="10">
        <v>7.68</v>
      </c>
      <c r="J56" s="15"/>
      <c r="K56" s="10">
        <v>8</v>
      </c>
      <c r="L56" s="15"/>
      <c r="M56" s="10">
        <v>10.3</v>
      </c>
      <c r="N56" s="15"/>
      <c r="O56" s="10">
        <v>10.3</v>
      </c>
      <c r="P56" s="15"/>
      <c r="Q56" s="10">
        <v>23.36</v>
      </c>
      <c r="R56" s="15"/>
      <c r="S56" s="10">
        <v>10.3</v>
      </c>
    </row>
    <row r="57" spans="1:19" x14ac:dyDescent="0.25">
      <c r="A57" s="9"/>
      <c r="B57" s="9">
        <v>2055</v>
      </c>
      <c r="C57" s="9"/>
      <c r="D57" s="10">
        <v>4</v>
      </c>
      <c r="E57" s="15"/>
      <c r="F57" s="10">
        <v>4</v>
      </c>
      <c r="G57" s="15"/>
      <c r="H57" s="10">
        <v>9.2159999999999993</v>
      </c>
      <c r="I57" s="10">
        <v>7.68</v>
      </c>
      <c r="J57" s="15"/>
      <c r="K57" s="10">
        <v>8</v>
      </c>
      <c r="L57" s="15"/>
      <c r="M57" s="10">
        <v>10.3</v>
      </c>
      <c r="N57" s="15"/>
      <c r="O57" s="10">
        <v>10.3</v>
      </c>
      <c r="P57" s="15"/>
      <c r="Q57" s="10">
        <v>23.36</v>
      </c>
      <c r="R57" s="15"/>
      <c r="S57" s="10">
        <v>10.3</v>
      </c>
    </row>
    <row r="58" spans="1:19" x14ac:dyDescent="0.25">
      <c r="A58" s="9"/>
      <c r="B58" s="9">
        <v>2056</v>
      </c>
      <c r="C58" s="9"/>
      <c r="D58" s="10">
        <v>4</v>
      </c>
      <c r="E58" s="15"/>
      <c r="F58" s="10">
        <v>4</v>
      </c>
      <c r="G58" s="15"/>
      <c r="H58" s="10">
        <v>9.2159999999999993</v>
      </c>
      <c r="I58" s="10">
        <v>7.68</v>
      </c>
      <c r="J58" s="15"/>
      <c r="K58" s="10">
        <v>8</v>
      </c>
      <c r="L58" s="15"/>
      <c r="M58" s="10">
        <v>10.3</v>
      </c>
      <c r="N58" s="15"/>
      <c r="O58" s="10">
        <v>10.3</v>
      </c>
      <c r="P58" s="15"/>
      <c r="Q58" s="10">
        <v>23.36</v>
      </c>
      <c r="R58" s="15"/>
      <c r="S58" s="10">
        <v>10.3</v>
      </c>
    </row>
    <row r="59" spans="1:19" x14ac:dyDescent="0.25">
      <c r="A59" s="9"/>
      <c r="B59" s="9">
        <v>2057</v>
      </c>
      <c r="C59" s="9"/>
      <c r="D59" s="10">
        <v>4</v>
      </c>
      <c r="E59" s="15"/>
      <c r="F59" s="10">
        <v>4</v>
      </c>
      <c r="G59" s="15"/>
      <c r="H59" s="10">
        <v>9.2159999999999993</v>
      </c>
      <c r="I59" s="10">
        <v>7.68</v>
      </c>
      <c r="J59" s="15"/>
      <c r="K59" s="10">
        <v>8</v>
      </c>
      <c r="L59" s="15"/>
      <c r="M59" s="10">
        <v>10.3</v>
      </c>
      <c r="N59" s="15"/>
      <c r="O59" s="10">
        <v>10.3</v>
      </c>
      <c r="P59" s="15"/>
      <c r="Q59" s="10">
        <v>23.36</v>
      </c>
      <c r="R59" s="15"/>
      <c r="S59" s="10">
        <v>10.3</v>
      </c>
    </row>
    <row r="60" spans="1:19" x14ac:dyDescent="0.25">
      <c r="A60" s="9"/>
      <c r="B60" s="9">
        <v>2058</v>
      </c>
      <c r="C60" s="9"/>
      <c r="D60" s="10">
        <v>4</v>
      </c>
      <c r="E60" s="15"/>
      <c r="F60" s="10">
        <v>4</v>
      </c>
      <c r="G60" s="15"/>
      <c r="H60" s="10">
        <v>9.2159999999999993</v>
      </c>
      <c r="I60" s="10">
        <v>7.68</v>
      </c>
      <c r="J60" s="15"/>
      <c r="K60" s="10">
        <v>8</v>
      </c>
      <c r="L60" s="15"/>
      <c r="M60" s="10">
        <v>10.3</v>
      </c>
      <c r="N60" s="15"/>
      <c r="O60" s="10">
        <v>10.3</v>
      </c>
      <c r="P60" s="15"/>
      <c r="Q60" s="10">
        <v>23.36</v>
      </c>
      <c r="R60" s="15"/>
      <c r="S60" s="10">
        <v>10.3</v>
      </c>
    </row>
    <row r="61" spans="1:19" x14ac:dyDescent="0.25">
      <c r="A61" s="9"/>
      <c r="B61" s="9">
        <v>2059</v>
      </c>
      <c r="C61" s="9"/>
      <c r="D61" s="10">
        <v>4</v>
      </c>
      <c r="E61" s="15"/>
      <c r="F61" s="10">
        <v>4</v>
      </c>
      <c r="G61" s="15"/>
      <c r="H61" s="10">
        <v>9.2159999999999993</v>
      </c>
      <c r="I61" s="10">
        <v>7.68</v>
      </c>
      <c r="J61" s="15"/>
      <c r="K61" s="10">
        <v>8</v>
      </c>
      <c r="L61" s="15"/>
      <c r="M61" s="10">
        <v>10.3</v>
      </c>
      <c r="N61" s="15"/>
      <c r="O61" s="10">
        <v>10.3</v>
      </c>
      <c r="P61" s="15"/>
      <c r="Q61" s="10">
        <v>23.36</v>
      </c>
      <c r="R61" s="15"/>
      <c r="S61" s="10">
        <v>10.3</v>
      </c>
    </row>
    <row r="62" spans="1:19" x14ac:dyDescent="0.25">
      <c r="A62" s="9"/>
      <c r="B62" s="9">
        <v>2060</v>
      </c>
      <c r="C62" s="9"/>
      <c r="D62" s="10">
        <v>4</v>
      </c>
      <c r="E62" s="15"/>
      <c r="F62" s="10">
        <v>4</v>
      </c>
      <c r="G62" s="15"/>
      <c r="H62" s="10">
        <v>9.2159999999999993</v>
      </c>
      <c r="I62" s="10">
        <v>7.68</v>
      </c>
      <c r="J62" s="15"/>
      <c r="K62" s="10">
        <v>8</v>
      </c>
      <c r="L62" s="15"/>
      <c r="M62" s="10">
        <v>10.3</v>
      </c>
      <c r="N62" s="15"/>
      <c r="O62" s="10">
        <v>10.3</v>
      </c>
      <c r="P62" s="15"/>
      <c r="Q62" s="10">
        <v>23.36</v>
      </c>
      <c r="R62" s="15"/>
      <c r="S62" s="10">
        <v>10.3</v>
      </c>
    </row>
  </sheetData>
  <protectedRanges>
    <protectedRange sqref="K3:S23 G28:S53 B3:E53 F3:I27" name="燃油耗"/>
  </protectedRanges>
  <mergeCells count="10">
    <mergeCell ref="L1:M1"/>
    <mergeCell ref="N1:O1"/>
    <mergeCell ref="P1:Q1"/>
    <mergeCell ref="R1:S1"/>
    <mergeCell ref="B1:B2"/>
    <mergeCell ref="C1:C2"/>
    <mergeCell ref="D1:E1"/>
    <mergeCell ref="F1:G1"/>
    <mergeCell ref="H1:I1"/>
    <mergeCell ref="J1:K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2"/>
  <sheetViews>
    <sheetView workbookViewId="0">
      <selection activeCell="N23" sqref="N23"/>
    </sheetView>
  </sheetViews>
  <sheetFormatPr defaultColWidth="9" defaultRowHeight="14.4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3" t="s">
        <v>3</v>
      </c>
      <c r="E1" s="4"/>
      <c r="F1" s="3" t="s">
        <v>4</v>
      </c>
      <c r="G1" s="4"/>
      <c r="H1" s="3" t="s">
        <v>5</v>
      </c>
      <c r="I1" s="4"/>
      <c r="J1" s="3" t="s">
        <v>6</v>
      </c>
      <c r="K1" s="4"/>
      <c r="L1" s="3" t="s">
        <v>7</v>
      </c>
      <c r="M1" s="4"/>
      <c r="N1" s="3" t="s">
        <v>8</v>
      </c>
      <c r="O1" s="4"/>
      <c r="P1" s="3" t="s">
        <v>9</v>
      </c>
      <c r="Q1" s="4"/>
      <c r="R1" s="3" t="s">
        <v>10</v>
      </c>
      <c r="S1" s="4"/>
    </row>
    <row r="2" spans="1:19" x14ac:dyDescent="0.25">
      <c r="A2" s="5" t="s">
        <v>11</v>
      </c>
      <c r="B2" s="6"/>
      <c r="C2" s="6"/>
      <c r="D2" s="7" t="s">
        <v>12</v>
      </c>
      <c r="E2" s="8" t="s">
        <v>13</v>
      </c>
      <c r="F2" s="7" t="s">
        <v>14</v>
      </c>
      <c r="G2" s="8" t="s">
        <v>15</v>
      </c>
      <c r="H2" s="8" t="s">
        <v>16</v>
      </c>
      <c r="I2" s="7" t="s">
        <v>17</v>
      </c>
      <c r="J2" s="8" t="s">
        <v>18</v>
      </c>
      <c r="K2" s="7" t="s">
        <v>19</v>
      </c>
      <c r="L2" s="8" t="s">
        <v>20</v>
      </c>
      <c r="M2" s="7" t="s">
        <v>21</v>
      </c>
      <c r="N2" s="8" t="s">
        <v>22</v>
      </c>
      <c r="O2" s="7" t="s">
        <v>23</v>
      </c>
      <c r="P2" s="8" t="s">
        <v>22</v>
      </c>
      <c r="Q2" s="7" t="s">
        <v>23</v>
      </c>
      <c r="R2" s="8" t="s">
        <v>22</v>
      </c>
      <c r="S2" s="7" t="s">
        <v>23</v>
      </c>
    </row>
    <row r="3" spans="1:19" x14ac:dyDescent="0.25">
      <c r="A3" s="9" t="s">
        <v>24</v>
      </c>
      <c r="B3" s="9">
        <v>2001</v>
      </c>
      <c r="C3" s="9">
        <v>5</v>
      </c>
    </row>
    <row r="4" spans="1:19" x14ac:dyDescent="0.25">
      <c r="A4" s="9"/>
      <c r="B4" s="9">
        <v>2002</v>
      </c>
      <c r="C4" s="9"/>
    </row>
    <row r="5" spans="1:19" x14ac:dyDescent="0.25">
      <c r="A5" s="9"/>
      <c r="B5" s="9">
        <v>2003</v>
      </c>
      <c r="C5" s="9"/>
    </row>
    <row r="6" spans="1:19" x14ac:dyDescent="0.25">
      <c r="A6" s="9"/>
      <c r="B6" s="9">
        <v>2004</v>
      </c>
      <c r="C6" s="9"/>
    </row>
    <row r="7" spans="1:19" x14ac:dyDescent="0.25">
      <c r="A7" s="9"/>
      <c r="B7" s="9">
        <v>2005</v>
      </c>
      <c r="C7" s="9"/>
    </row>
    <row r="8" spans="1:19" x14ac:dyDescent="0.25">
      <c r="A8" s="9" t="s">
        <v>25</v>
      </c>
      <c r="B8" s="9">
        <v>2006</v>
      </c>
      <c r="C8" s="9">
        <v>10</v>
      </c>
    </row>
    <row r="9" spans="1:19" x14ac:dyDescent="0.25">
      <c r="A9" s="9"/>
      <c r="B9" s="9">
        <v>2007</v>
      </c>
      <c r="C9" s="9"/>
    </row>
    <row r="10" spans="1:19" x14ac:dyDescent="0.25">
      <c r="A10" s="9"/>
      <c r="B10" s="9">
        <v>2008</v>
      </c>
      <c r="C10" s="9"/>
    </row>
    <row r="11" spans="1:19" x14ac:dyDescent="0.25">
      <c r="A11" s="9"/>
      <c r="B11" s="9">
        <v>2009</v>
      </c>
      <c r="C11" s="9"/>
    </row>
    <row r="12" spans="1:19" x14ac:dyDescent="0.25">
      <c r="A12" s="9"/>
      <c r="B12" s="9">
        <v>2010</v>
      </c>
      <c r="C12" s="9"/>
    </row>
    <row r="13" spans="1:19" x14ac:dyDescent="0.25">
      <c r="A13" s="9" t="s">
        <v>26</v>
      </c>
      <c r="B13" s="9">
        <v>2011</v>
      </c>
      <c r="C13" s="9">
        <v>15</v>
      </c>
    </row>
    <row r="14" spans="1:19" x14ac:dyDescent="0.25">
      <c r="A14" s="9"/>
      <c r="B14" s="9">
        <v>2012</v>
      </c>
      <c r="C14" s="9"/>
    </row>
    <row r="15" spans="1:19" x14ac:dyDescent="0.25">
      <c r="A15" s="9"/>
      <c r="B15" s="9">
        <v>2013</v>
      </c>
      <c r="C15" s="9"/>
    </row>
    <row r="16" spans="1:19" x14ac:dyDescent="0.25">
      <c r="A16" s="9"/>
      <c r="B16" s="9">
        <v>2014</v>
      </c>
      <c r="C16" s="9"/>
    </row>
    <row r="17" spans="1:19" x14ac:dyDescent="0.25">
      <c r="A17" s="9"/>
      <c r="B17" s="9">
        <v>2015</v>
      </c>
      <c r="C17" s="9"/>
    </row>
    <row r="18" spans="1:19" x14ac:dyDescent="0.25">
      <c r="A18" s="9" t="s">
        <v>27</v>
      </c>
      <c r="B18" s="9">
        <v>2016</v>
      </c>
      <c r="C18" s="9">
        <v>20</v>
      </c>
      <c r="D18" s="16">
        <v>9.6</v>
      </c>
      <c r="E18" s="16">
        <v>0</v>
      </c>
      <c r="F18" s="16">
        <v>9.6</v>
      </c>
      <c r="G18" s="16">
        <v>0</v>
      </c>
      <c r="H18" s="16">
        <v>12.3</v>
      </c>
      <c r="I18" s="16">
        <v>10.1</v>
      </c>
      <c r="J18" s="17">
        <v>0</v>
      </c>
      <c r="K18" s="16">
        <v>8.9700000000000006</v>
      </c>
      <c r="L18" s="16">
        <v>0</v>
      </c>
      <c r="M18" s="16">
        <v>17.690000000000001</v>
      </c>
      <c r="N18" s="16">
        <v>0</v>
      </c>
      <c r="O18" s="16">
        <v>13.98</v>
      </c>
      <c r="P18" s="16">
        <v>0</v>
      </c>
      <c r="Q18" s="16">
        <v>31.16</v>
      </c>
      <c r="R18" s="16">
        <v>0</v>
      </c>
      <c r="S18" s="16">
        <v>17.690000000000001</v>
      </c>
    </row>
    <row r="19" spans="1:19" x14ac:dyDescent="0.25">
      <c r="A19" s="12"/>
      <c r="B19" s="9">
        <v>2017</v>
      </c>
      <c r="C19" s="12"/>
      <c r="D19" s="16">
        <f>D18-(D$18-D$23)/5</f>
        <v>9.202</v>
      </c>
      <c r="E19" s="16">
        <f t="shared" ref="E19:S22" si="0">E18-(E$18-E$23)/5</f>
        <v>0</v>
      </c>
      <c r="F19" s="16">
        <f t="shared" si="0"/>
        <v>9.202</v>
      </c>
      <c r="G19" s="16">
        <f t="shared" si="0"/>
        <v>0</v>
      </c>
      <c r="H19" s="16">
        <f t="shared" si="0"/>
        <v>12.3</v>
      </c>
      <c r="I19" s="16">
        <f t="shared" si="0"/>
        <v>10.1</v>
      </c>
      <c r="J19" s="16">
        <f t="shared" si="0"/>
        <v>0</v>
      </c>
      <c r="K19" s="16">
        <f t="shared" si="0"/>
        <v>8.9700000000000006</v>
      </c>
      <c r="L19" s="16">
        <f t="shared" si="0"/>
        <v>0</v>
      </c>
      <c r="M19" s="16">
        <f t="shared" si="0"/>
        <v>17.690000000000001</v>
      </c>
      <c r="N19" s="16">
        <f t="shared" si="0"/>
        <v>0</v>
      </c>
      <c r="O19" s="16">
        <f t="shared" si="0"/>
        <v>13.98</v>
      </c>
      <c r="P19" s="16">
        <f t="shared" si="0"/>
        <v>0</v>
      </c>
      <c r="Q19" s="16">
        <f t="shared" si="0"/>
        <v>31.16</v>
      </c>
      <c r="R19" s="16">
        <f t="shared" si="0"/>
        <v>0</v>
      </c>
      <c r="S19" s="16">
        <f t="shared" si="0"/>
        <v>17.690000000000001</v>
      </c>
    </row>
    <row r="20" spans="1:19" x14ac:dyDescent="0.25">
      <c r="A20" s="12"/>
      <c r="B20" s="9">
        <v>2018</v>
      </c>
      <c r="C20" s="12"/>
      <c r="D20" s="16">
        <f t="shared" ref="D20:D22" si="1">D19-(D$18-D$23)/5</f>
        <v>8.8040000000000003</v>
      </c>
      <c r="E20" s="16">
        <f t="shared" si="0"/>
        <v>0</v>
      </c>
      <c r="F20" s="16">
        <f t="shared" si="0"/>
        <v>8.8040000000000003</v>
      </c>
      <c r="G20" s="16">
        <f t="shared" si="0"/>
        <v>0</v>
      </c>
      <c r="H20" s="16">
        <f t="shared" si="0"/>
        <v>12.3</v>
      </c>
      <c r="I20" s="16">
        <f t="shared" si="0"/>
        <v>10.1</v>
      </c>
      <c r="J20" s="16">
        <f t="shared" si="0"/>
        <v>0</v>
      </c>
      <c r="K20" s="16">
        <f t="shared" si="0"/>
        <v>8.9700000000000006</v>
      </c>
      <c r="L20" s="16">
        <f t="shared" si="0"/>
        <v>0</v>
      </c>
      <c r="M20" s="16">
        <f t="shared" si="0"/>
        <v>17.690000000000001</v>
      </c>
      <c r="N20" s="16">
        <f t="shared" si="0"/>
        <v>0</v>
      </c>
      <c r="O20" s="16">
        <f t="shared" si="0"/>
        <v>13.98</v>
      </c>
      <c r="P20" s="16">
        <f t="shared" si="0"/>
        <v>0</v>
      </c>
      <c r="Q20" s="16">
        <f t="shared" si="0"/>
        <v>31.16</v>
      </c>
      <c r="R20" s="16">
        <f t="shared" si="0"/>
        <v>0</v>
      </c>
      <c r="S20" s="16">
        <f t="shared" si="0"/>
        <v>17.690000000000001</v>
      </c>
    </row>
    <row r="21" spans="1:19" x14ac:dyDescent="0.25">
      <c r="A21" s="12"/>
      <c r="B21" s="9">
        <v>2019</v>
      </c>
      <c r="C21" s="12"/>
      <c r="D21" s="16">
        <f t="shared" si="1"/>
        <v>8.4060000000000006</v>
      </c>
      <c r="E21" s="16">
        <f t="shared" si="0"/>
        <v>0</v>
      </c>
      <c r="F21" s="16">
        <f t="shared" si="0"/>
        <v>8.4060000000000006</v>
      </c>
      <c r="G21" s="16">
        <f t="shared" si="0"/>
        <v>0</v>
      </c>
      <c r="H21" s="16">
        <f t="shared" si="0"/>
        <v>12.3</v>
      </c>
      <c r="I21" s="16">
        <f t="shared" si="0"/>
        <v>10.1</v>
      </c>
      <c r="J21" s="16">
        <f t="shared" si="0"/>
        <v>0</v>
      </c>
      <c r="K21" s="16">
        <f t="shared" si="0"/>
        <v>8.9700000000000006</v>
      </c>
      <c r="L21" s="16">
        <f t="shared" si="0"/>
        <v>0</v>
      </c>
      <c r="M21" s="16">
        <f t="shared" si="0"/>
        <v>17.690000000000001</v>
      </c>
      <c r="N21" s="16">
        <f t="shared" si="0"/>
        <v>0</v>
      </c>
      <c r="O21" s="16">
        <f t="shared" si="0"/>
        <v>13.98</v>
      </c>
      <c r="P21" s="16">
        <f t="shared" si="0"/>
        <v>0</v>
      </c>
      <c r="Q21" s="16">
        <f t="shared" si="0"/>
        <v>31.16</v>
      </c>
      <c r="R21" s="16">
        <f t="shared" si="0"/>
        <v>0</v>
      </c>
      <c r="S21" s="16">
        <f t="shared" si="0"/>
        <v>17.690000000000001</v>
      </c>
    </row>
    <row r="22" spans="1:19" x14ac:dyDescent="0.25">
      <c r="A22" s="12"/>
      <c r="B22" s="9">
        <v>2020</v>
      </c>
      <c r="C22" s="12"/>
      <c r="D22" s="16">
        <f t="shared" si="1"/>
        <v>8.0080000000000009</v>
      </c>
      <c r="E22" s="16">
        <f t="shared" si="0"/>
        <v>0</v>
      </c>
      <c r="F22" s="16">
        <f t="shared" si="0"/>
        <v>8.0080000000000009</v>
      </c>
      <c r="G22" s="16">
        <f t="shared" si="0"/>
        <v>0</v>
      </c>
      <c r="H22" s="16">
        <f t="shared" si="0"/>
        <v>12.3</v>
      </c>
      <c r="I22" s="16">
        <f t="shared" si="0"/>
        <v>10.1</v>
      </c>
      <c r="J22" s="16">
        <f t="shared" si="0"/>
        <v>0</v>
      </c>
      <c r="K22" s="16">
        <f t="shared" si="0"/>
        <v>8.9700000000000006</v>
      </c>
      <c r="L22" s="16">
        <f t="shared" si="0"/>
        <v>0</v>
      </c>
      <c r="M22" s="16">
        <f t="shared" si="0"/>
        <v>17.690000000000001</v>
      </c>
      <c r="N22" s="16">
        <f t="shared" si="0"/>
        <v>0</v>
      </c>
      <c r="O22" s="16">
        <f t="shared" si="0"/>
        <v>13.98</v>
      </c>
      <c r="P22" s="16">
        <f t="shared" si="0"/>
        <v>0</v>
      </c>
      <c r="Q22" s="16">
        <f t="shared" si="0"/>
        <v>31.16</v>
      </c>
      <c r="R22" s="16">
        <f t="shared" si="0"/>
        <v>0</v>
      </c>
      <c r="S22" s="16">
        <f t="shared" si="0"/>
        <v>17.690000000000001</v>
      </c>
    </row>
    <row r="23" spans="1:19" x14ac:dyDescent="0.25">
      <c r="A23" s="12" t="s">
        <v>28</v>
      </c>
      <c r="B23" s="9">
        <v>2021</v>
      </c>
      <c r="C23" s="12">
        <v>25</v>
      </c>
      <c r="D23" s="16">
        <v>7.6099999999999994</v>
      </c>
      <c r="E23" s="18">
        <v>0</v>
      </c>
      <c r="F23" s="18">
        <v>7.61</v>
      </c>
      <c r="G23" s="18">
        <v>0</v>
      </c>
      <c r="H23" s="18">
        <v>12.3</v>
      </c>
      <c r="I23" s="18">
        <v>10.1</v>
      </c>
      <c r="J23" s="19">
        <v>0</v>
      </c>
      <c r="K23" s="18">
        <v>8.9700000000000006</v>
      </c>
      <c r="L23" s="18">
        <v>0</v>
      </c>
      <c r="M23" s="18">
        <v>17.690000000000001</v>
      </c>
      <c r="N23" s="18">
        <v>0</v>
      </c>
      <c r="O23" s="18">
        <v>13.98</v>
      </c>
      <c r="P23" s="18">
        <v>0</v>
      </c>
      <c r="Q23" s="18">
        <v>31.16</v>
      </c>
      <c r="R23" s="18">
        <v>0</v>
      </c>
      <c r="S23" s="18">
        <v>17.690000000000001</v>
      </c>
    </row>
    <row r="24" spans="1:19" x14ac:dyDescent="0.25">
      <c r="A24" s="9"/>
      <c r="B24" s="9">
        <v>2022</v>
      </c>
      <c r="C24" s="9"/>
      <c r="D24" s="20">
        <f>D23-(D$23-D$28)/5</f>
        <v>6.8879999999999999</v>
      </c>
      <c r="E24" s="20">
        <f t="shared" ref="E24:S27" si="2">E23-(E$23-E$28)/5</f>
        <v>0</v>
      </c>
      <c r="F24" s="20">
        <f t="shared" si="2"/>
        <v>6.8879999999999999</v>
      </c>
      <c r="G24" s="20">
        <f t="shared" si="2"/>
        <v>0</v>
      </c>
      <c r="H24" s="20">
        <f t="shared" si="2"/>
        <v>11.936640000000001</v>
      </c>
      <c r="I24" s="20">
        <f t="shared" si="2"/>
        <v>9.8271999999999995</v>
      </c>
      <c r="J24" s="20">
        <f t="shared" si="2"/>
        <v>0</v>
      </c>
      <c r="K24" s="20">
        <f t="shared" si="2"/>
        <v>8.754746157428972</v>
      </c>
      <c r="L24" s="20">
        <f t="shared" si="2"/>
        <v>0</v>
      </c>
      <c r="M24" s="20">
        <f t="shared" si="2"/>
        <v>16.790400000000002</v>
      </c>
      <c r="N24" s="20">
        <f t="shared" si="2"/>
        <v>0</v>
      </c>
      <c r="O24" s="20">
        <f t="shared" si="2"/>
        <v>13.320976405733187</v>
      </c>
      <c r="P24" s="20">
        <f t="shared" si="2"/>
        <v>0</v>
      </c>
      <c r="Q24" s="20">
        <f t="shared" si="2"/>
        <v>30.2424</v>
      </c>
      <c r="R24" s="20">
        <f t="shared" si="2"/>
        <v>0</v>
      </c>
      <c r="S24" s="20">
        <f t="shared" si="2"/>
        <v>16.790400000000002</v>
      </c>
    </row>
    <row r="25" spans="1:19" x14ac:dyDescent="0.25">
      <c r="A25" s="9"/>
      <c r="B25" s="9">
        <v>2023</v>
      </c>
      <c r="C25" s="9"/>
      <c r="D25" s="20">
        <f t="shared" ref="D25:D27" si="3">D24-(D$23-D$28)/5</f>
        <v>6.1660000000000004</v>
      </c>
      <c r="E25" s="20">
        <f t="shared" si="2"/>
        <v>0</v>
      </c>
      <c r="F25" s="20">
        <f t="shared" si="2"/>
        <v>6.1659999999999995</v>
      </c>
      <c r="G25" s="20">
        <f t="shared" si="2"/>
        <v>0</v>
      </c>
      <c r="H25" s="20">
        <f t="shared" si="2"/>
        <v>11.57328</v>
      </c>
      <c r="I25" s="20">
        <f t="shared" si="2"/>
        <v>9.5543999999999993</v>
      </c>
      <c r="J25" s="20">
        <f t="shared" si="2"/>
        <v>0</v>
      </c>
      <c r="K25" s="20">
        <f t="shared" si="2"/>
        <v>8.5394923148579434</v>
      </c>
      <c r="L25" s="20">
        <f t="shared" si="2"/>
        <v>0</v>
      </c>
      <c r="M25" s="20">
        <f t="shared" si="2"/>
        <v>15.8908</v>
      </c>
      <c r="N25" s="20">
        <f t="shared" si="2"/>
        <v>0</v>
      </c>
      <c r="O25" s="20">
        <f t="shared" si="2"/>
        <v>12.661952811466374</v>
      </c>
      <c r="P25" s="20">
        <f t="shared" si="2"/>
        <v>0</v>
      </c>
      <c r="Q25" s="20">
        <f t="shared" si="2"/>
        <v>29.3248</v>
      </c>
      <c r="R25" s="20">
        <f t="shared" si="2"/>
        <v>0</v>
      </c>
      <c r="S25" s="20">
        <f t="shared" si="2"/>
        <v>15.8908</v>
      </c>
    </row>
    <row r="26" spans="1:19" x14ac:dyDescent="0.25">
      <c r="A26" s="9"/>
      <c r="B26" s="9">
        <v>2024</v>
      </c>
      <c r="C26" s="9"/>
      <c r="D26" s="20">
        <f t="shared" si="3"/>
        <v>5.4440000000000008</v>
      </c>
      <c r="E26" s="20">
        <f t="shared" si="2"/>
        <v>0</v>
      </c>
      <c r="F26" s="20">
        <f t="shared" si="2"/>
        <v>5.4439999999999991</v>
      </c>
      <c r="G26" s="20">
        <f t="shared" si="2"/>
        <v>0</v>
      </c>
      <c r="H26" s="20">
        <f t="shared" si="2"/>
        <v>11.20992</v>
      </c>
      <c r="I26" s="20">
        <f t="shared" si="2"/>
        <v>9.2815999999999992</v>
      </c>
      <c r="J26" s="20">
        <f t="shared" si="2"/>
        <v>0</v>
      </c>
      <c r="K26" s="20">
        <f t="shared" si="2"/>
        <v>8.3242384722869147</v>
      </c>
      <c r="L26" s="20">
        <f t="shared" si="2"/>
        <v>0</v>
      </c>
      <c r="M26" s="20">
        <f t="shared" si="2"/>
        <v>14.991199999999999</v>
      </c>
      <c r="N26" s="20">
        <f t="shared" si="2"/>
        <v>0</v>
      </c>
      <c r="O26" s="20">
        <f t="shared" si="2"/>
        <v>12.002929217199561</v>
      </c>
      <c r="P26" s="20">
        <f t="shared" si="2"/>
        <v>0</v>
      </c>
      <c r="Q26" s="20">
        <f t="shared" si="2"/>
        <v>28.4072</v>
      </c>
      <c r="R26" s="20">
        <f t="shared" si="2"/>
        <v>0</v>
      </c>
      <c r="S26" s="20">
        <f t="shared" si="2"/>
        <v>14.991199999999999</v>
      </c>
    </row>
    <row r="27" spans="1:19" x14ac:dyDescent="0.25">
      <c r="A27" s="9"/>
      <c r="B27" s="9">
        <v>2025</v>
      </c>
      <c r="C27" s="9"/>
      <c r="D27" s="20">
        <f t="shared" si="3"/>
        <v>4.7220000000000013</v>
      </c>
      <c r="E27" s="20">
        <f t="shared" si="2"/>
        <v>0</v>
      </c>
      <c r="F27" s="20">
        <f t="shared" si="2"/>
        <v>4.7219999999999986</v>
      </c>
      <c r="G27" s="20">
        <f t="shared" si="2"/>
        <v>0</v>
      </c>
      <c r="H27" s="20">
        <f t="shared" si="2"/>
        <v>10.84656</v>
      </c>
      <c r="I27" s="20">
        <f t="shared" si="2"/>
        <v>9.008799999999999</v>
      </c>
      <c r="J27" s="20">
        <f t="shared" si="2"/>
        <v>0</v>
      </c>
      <c r="K27" s="20">
        <f t="shared" si="2"/>
        <v>8.1089846297158861</v>
      </c>
      <c r="L27" s="20">
        <f t="shared" si="2"/>
        <v>0</v>
      </c>
      <c r="M27" s="20">
        <f t="shared" si="2"/>
        <v>14.091599999999998</v>
      </c>
      <c r="N27" s="20">
        <f t="shared" si="2"/>
        <v>0</v>
      </c>
      <c r="O27" s="20">
        <f t="shared" si="2"/>
        <v>11.343905622932748</v>
      </c>
      <c r="P27" s="20">
        <f t="shared" si="2"/>
        <v>0</v>
      </c>
      <c r="Q27" s="20">
        <f t="shared" si="2"/>
        <v>27.489599999999999</v>
      </c>
      <c r="R27" s="20">
        <f t="shared" si="2"/>
        <v>0</v>
      </c>
      <c r="S27" s="20">
        <f t="shared" si="2"/>
        <v>14.091599999999998</v>
      </c>
    </row>
    <row r="28" spans="1:19" x14ac:dyDescent="0.25">
      <c r="A28" s="9" t="s">
        <v>29</v>
      </c>
      <c r="B28" s="9">
        <v>2026</v>
      </c>
      <c r="C28" s="9">
        <v>30</v>
      </c>
      <c r="D28" s="16">
        <v>4</v>
      </c>
      <c r="E28" s="16">
        <v>0</v>
      </c>
      <c r="F28" s="16">
        <v>4</v>
      </c>
      <c r="G28" s="16">
        <v>0</v>
      </c>
      <c r="H28" s="16">
        <v>10.4832</v>
      </c>
      <c r="I28" s="16">
        <v>8.7360000000000007</v>
      </c>
      <c r="J28" s="16">
        <v>0</v>
      </c>
      <c r="K28" s="16">
        <v>7.8937307871448539</v>
      </c>
      <c r="L28" s="16">
        <v>0</v>
      </c>
      <c r="M28" s="16">
        <v>13.191999999999998</v>
      </c>
      <c r="N28" s="16">
        <v>0</v>
      </c>
      <c r="O28" s="16">
        <v>10.684882028665932</v>
      </c>
      <c r="P28" s="16">
        <v>0</v>
      </c>
      <c r="Q28" s="16">
        <v>26.571999999999999</v>
      </c>
      <c r="R28" s="16">
        <v>0</v>
      </c>
      <c r="S28" s="16">
        <v>13.191999999999998</v>
      </c>
    </row>
    <row r="29" spans="1:19" x14ac:dyDescent="0.25">
      <c r="A29" s="9"/>
      <c r="B29" s="9">
        <v>2027</v>
      </c>
      <c r="C29" s="9"/>
      <c r="D29" s="16">
        <f>D28-(D$28-D$33)/5</f>
        <v>3.94</v>
      </c>
      <c r="E29" s="16">
        <f t="shared" ref="E29:S32" si="4">E28-(E$28-E$33)/5</f>
        <v>0</v>
      </c>
      <c r="F29" s="16">
        <f t="shared" si="4"/>
        <v>3.94</v>
      </c>
      <c r="G29" s="16">
        <f t="shared" si="4"/>
        <v>0</v>
      </c>
      <c r="H29" s="16">
        <f t="shared" si="4"/>
        <v>10.41408</v>
      </c>
      <c r="I29" s="16">
        <f t="shared" si="4"/>
        <v>8.6783999999999999</v>
      </c>
      <c r="J29" s="16">
        <f t="shared" si="4"/>
        <v>0</v>
      </c>
      <c r="K29" s="16">
        <f t="shared" si="4"/>
        <v>7.7925291103865861</v>
      </c>
      <c r="L29" s="16">
        <f t="shared" si="4"/>
        <v>0</v>
      </c>
      <c r="M29" s="16">
        <f t="shared" si="4"/>
        <v>12.997999999999999</v>
      </c>
      <c r="N29" s="16">
        <f t="shared" si="4"/>
        <v>0</v>
      </c>
      <c r="O29" s="16">
        <f t="shared" si="4"/>
        <v>10.598247850055127</v>
      </c>
      <c r="P29" s="16">
        <f t="shared" si="4"/>
        <v>0</v>
      </c>
      <c r="Q29" s="16">
        <f t="shared" si="4"/>
        <v>26.396799999999999</v>
      </c>
      <c r="R29" s="16">
        <f t="shared" si="4"/>
        <v>0</v>
      </c>
      <c r="S29" s="16">
        <f t="shared" si="4"/>
        <v>12.997999999999999</v>
      </c>
    </row>
    <row r="30" spans="1:19" x14ac:dyDescent="0.25">
      <c r="A30" s="9"/>
      <c r="B30" s="9">
        <v>2028</v>
      </c>
      <c r="C30" s="9"/>
      <c r="D30" s="16">
        <f t="shared" ref="D30:D32" si="5">D29-(D$28-D$33)/5</f>
        <v>3.88</v>
      </c>
      <c r="E30" s="16">
        <f t="shared" si="4"/>
        <v>0</v>
      </c>
      <c r="F30" s="16">
        <f t="shared" si="4"/>
        <v>3.88</v>
      </c>
      <c r="G30" s="16">
        <f t="shared" si="4"/>
        <v>0</v>
      </c>
      <c r="H30" s="16">
        <f t="shared" si="4"/>
        <v>10.34496</v>
      </c>
      <c r="I30" s="16">
        <f t="shared" si="4"/>
        <v>8.6207999999999991</v>
      </c>
      <c r="J30" s="16">
        <f t="shared" si="4"/>
        <v>0</v>
      </c>
      <c r="K30" s="16">
        <f t="shared" si="4"/>
        <v>7.6913274336283184</v>
      </c>
      <c r="L30" s="16">
        <f t="shared" si="4"/>
        <v>0</v>
      </c>
      <c r="M30" s="16">
        <f t="shared" si="4"/>
        <v>12.804</v>
      </c>
      <c r="N30" s="16">
        <f t="shared" si="4"/>
        <v>0</v>
      </c>
      <c r="O30" s="16">
        <f t="shared" si="4"/>
        <v>10.511613671444323</v>
      </c>
      <c r="P30" s="16">
        <f t="shared" si="4"/>
        <v>0</v>
      </c>
      <c r="Q30" s="16">
        <f t="shared" si="4"/>
        <v>26.221599999999999</v>
      </c>
      <c r="R30" s="16">
        <f t="shared" si="4"/>
        <v>0</v>
      </c>
      <c r="S30" s="16">
        <f t="shared" si="4"/>
        <v>12.804</v>
      </c>
    </row>
    <row r="31" spans="1:19" x14ac:dyDescent="0.25">
      <c r="A31" s="9"/>
      <c r="B31" s="9">
        <v>2029</v>
      </c>
      <c r="C31" s="9"/>
      <c r="D31" s="16">
        <f t="shared" si="5"/>
        <v>3.82</v>
      </c>
      <c r="E31" s="16">
        <f t="shared" si="4"/>
        <v>0</v>
      </c>
      <c r="F31" s="16">
        <f t="shared" si="4"/>
        <v>3.82</v>
      </c>
      <c r="G31" s="16">
        <f t="shared" si="4"/>
        <v>0</v>
      </c>
      <c r="H31" s="16">
        <f t="shared" si="4"/>
        <v>10.275840000000001</v>
      </c>
      <c r="I31" s="16">
        <f t="shared" si="4"/>
        <v>8.5631999999999984</v>
      </c>
      <c r="J31" s="16">
        <f t="shared" si="4"/>
        <v>0</v>
      </c>
      <c r="K31" s="16">
        <f t="shared" si="4"/>
        <v>7.5901257568700506</v>
      </c>
      <c r="L31" s="16">
        <f t="shared" si="4"/>
        <v>0</v>
      </c>
      <c r="M31" s="16">
        <f t="shared" si="4"/>
        <v>12.610000000000001</v>
      </c>
      <c r="N31" s="16">
        <f t="shared" si="4"/>
        <v>0</v>
      </c>
      <c r="O31" s="16">
        <f t="shared" si="4"/>
        <v>10.424979492833518</v>
      </c>
      <c r="P31" s="16">
        <f t="shared" si="4"/>
        <v>0</v>
      </c>
      <c r="Q31" s="16">
        <f t="shared" si="4"/>
        <v>26.046399999999998</v>
      </c>
      <c r="R31" s="16">
        <f t="shared" si="4"/>
        <v>0</v>
      </c>
      <c r="S31" s="16">
        <f t="shared" si="4"/>
        <v>12.610000000000001</v>
      </c>
    </row>
    <row r="32" spans="1:19" x14ac:dyDescent="0.25">
      <c r="A32" s="9"/>
      <c r="B32" s="9">
        <v>2030</v>
      </c>
      <c r="C32" s="9"/>
      <c r="D32" s="16">
        <f t="shared" si="5"/>
        <v>3.76</v>
      </c>
      <c r="E32" s="18">
        <f t="shared" si="4"/>
        <v>0</v>
      </c>
      <c r="F32" s="18">
        <f t="shared" si="4"/>
        <v>3.76</v>
      </c>
      <c r="G32" s="18">
        <f t="shared" si="4"/>
        <v>0</v>
      </c>
      <c r="H32" s="18">
        <f t="shared" si="4"/>
        <v>10.206720000000001</v>
      </c>
      <c r="I32" s="18">
        <f t="shared" si="4"/>
        <v>8.5055999999999976</v>
      </c>
      <c r="J32" s="19">
        <f t="shared" si="4"/>
        <v>0</v>
      </c>
      <c r="K32" s="18">
        <f t="shared" si="4"/>
        <v>7.4889240801117829</v>
      </c>
      <c r="L32" s="18">
        <f t="shared" si="4"/>
        <v>0</v>
      </c>
      <c r="M32" s="18">
        <f t="shared" si="4"/>
        <v>12.416000000000002</v>
      </c>
      <c r="N32" s="18">
        <f t="shared" si="4"/>
        <v>0</v>
      </c>
      <c r="O32" s="18">
        <f t="shared" si="4"/>
        <v>10.338345314222714</v>
      </c>
      <c r="P32" s="18">
        <f t="shared" si="4"/>
        <v>0</v>
      </c>
      <c r="Q32" s="18">
        <f t="shared" si="4"/>
        <v>25.871199999999998</v>
      </c>
      <c r="R32" s="18">
        <f t="shared" si="4"/>
        <v>0</v>
      </c>
      <c r="S32" s="18">
        <f t="shared" si="4"/>
        <v>12.416000000000002</v>
      </c>
    </row>
    <row r="33" spans="1:19" x14ac:dyDescent="0.25">
      <c r="A33" s="9" t="s">
        <v>30</v>
      </c>
      <c r="B33" s="9">
        <v>2031</v>
      </c>
      <c r="C33" s="9">
        <v>40</v>
      </c>
      <c r="D33" s="20">
        <v>3.7</v>
      </c>
      <c r="E33" s="20">
        <v>0</v>
      </c>
      <c r="F33" s="20">
        <v>3.7</v>
      </c>
      <c r="G33" s="20">
        <v>0</v>
      </c>
      <c r="H33" s="20">
        <v>10.137600000000001</v>
      </c>
      <c r="I33" s="20">
        <v>8.4480000000000004</v>
      </c>
      <c r="J33" s="20">
        <v>0</v>
      </c>
      <c r="K33" s="20">
        <v>7.387722403353516</v>
      </c>
      <c r="L33" s="20">
        <v>0</v>
      </c>
      <c r="M33" s="20">
        <v>12.222</v>
      </c>
      <c r="N33" s="20">
        <v>0</v>
      </c>
      <c r="O33" s="20">
        <v>10.251711135611908</v>
      </c>
      <c r="P33" s="20">
        <v>0</v>
      </c>
      <c r="Q33" s="20">
        <v>25.695999999999998</v>
      </c>
      <c r="R33" s="20">
        <v>0</v>
      </c>
      <c r="S33" s="20">
        <v>12.222</v>
      </c>
    </row>
    <row r="34" spans="1:19" x14ac:dyDescent="0.25">
      <c r="A34" s="9"/>
      <c r="B34" s="9">
        <v>2032</v>
      </c>
      <c r="C34" s="9"/>
      <c r="D34" s="20">
        <f>D33-(D$33-D$43)/10</f>
        <v>3.66</v>
      </c>
      <c r="E34" s="20">
        <f t="shared" ref="E34:S42" si="6">E33-(E$33-E$43)/10</f>
        <v>0</v>
      </c>
      <c r="F34" s="20">
        <f t="shared" si="6"/>
        <v>3.66</v>
      </c>
      <c r="G34" s="20">
        <f t="shared" si="6"/>
        <v>0</v>
      </c>
      <c r="H34" s="20">
        <f t="shared" si="6"/>
        <v>10.08</v>
      </c>
      <c r="I34" s="20">
        <f t="shared" si="6"/>
        <v>8.4</v>
      </c>
      <c r="J34" s="20">
        <f t="shared" si="6"/>
        <v>0</v>
      </c>
      <c r="K34" s="20">
        <f t="shared" si="6"/>
        <v>7.3371215649743826</v>
      </c>
      <c r="L34" s="20">
        <f t="shared" si="6"/>
        <v>0</v>
      </c>
      <c r="M34" s="20">
        <f t="shared" si="6"/>
        <v>12.125</v>
      </c>
      <c r="N34" s="20">
        <f t="shared" si="6"/>
        <v>0</v>
      </c>
      <c r="O34" s="20">
        <f t="shared" si="6"/>
        <v>10.222833076074973</v>
      </c>
      <c r="P34" s="20">
        <f t="shared" si="6"/>
        <v>0</v>
      </c>
      <c r="Q34" s="20">
        <f t="shared" si="6"/>
        <v>25.549999999999997</v>
      </c>
      <c r="R34" s="20">
        <f t="shared" si="6"/>
        <v>0</v>
      </c>
      <c r="S34" s="20">
        <f t="shared" si="6"/>
        <v>12.125</v>
      </c>
    </row>
    <row r="35" spans="1:19" x14ac:dyDescent="0.25">
      <c r="A35" s="9"/>
      <c r="B35" s="9">
        <v>2033</v>
      </c>
      <c r="C35" s="9"/>
      <c r="D35" s="20">
        <f t="shared" ref="D35:D42" si="7">D34-(D$33-D$43)/10</f>
        <v>3.62</v>
      </c>
      <c r="E35" s="20">
        <f t="shared" si="6"/>
        <v>0</v>
      </c>
      <c r="F35" s="20">
        <f t="shared" si="6"/>
        <v>3.62</v>
      </c>
      <c r="G35" s="20">
        <f t="shared" si="6"/>
        <v>0</v>
      </c>
      <c r="H35" s="20">
        <f t="shared" si="6"/>
        <v>10.022399999999999</v>
      </c>
      <c r="I35" s="20">
        <f t="shared" si="6"/>
        <v>8.3520000000000003</v>
      </c>
      <c r="J35" s="20">
        <f t="shared" si="6"/>
        <v>0</v>
      </c>
      <c r="K35" s="20">
        <f t="shared" si="6"/>
        <v>7.2865207265952492</v>
      </c>
      <c r="L35" s="20">
        <f t="shared" si="6"/>
        <v>0</v>
      </c>
      <c r="M35" s="20">
        <f t="shared" si="6"/>
        <v>12.028</v>
      </c>
      <c r="N35" s="20">
        <f t="shared" si="6"/>
        <v>0</v>
      </c>
      <c r="O35" s="20">
        <f t="shared" si="6"/>
        <v>10.193955016538039</v>
      </c>
      <c r="P35" s="20">
        <f t="shared" si="6"/>
        <v>0</v>
      </c>
      <c r="Q35" s="20">
        <f t="shared" si="6"/>
        <v>25.403999999999996</v>
      </c>
      <c r="R35" s="20">
        <f t="shared" si="6"/>
        <v>0</v>
      </c>
      <c r="S35" s="20">
        <f t="shared" si="6"/>
        <v>12.028</v>
      </c>
    </row>
    <row r="36" spans="1:19" x14ac:dyDescent="0.25">
      <c r="A36" s="9"/>
      <c r="B36" s="9">
        <v>2034</v>
      </c>
      <c r="C36" s="9"/>
      <c r="D36" s="20">
        <f t="shared" si="7"/>
        <v>3.58</v>
      </c>
      <c r="E36" s="20">
        <f t="shared" si="6"/>
        <v>0</v>
      </c>
      <c r="F36" s="20">
        <f t="shared" si="6"/>
        <v>3.58</v>
      </c>
      <c r="G36" s="20">
        <f t="shared" si="6"/>
        <v>0</v>
      </c>
      <c r="H36" s="20">
        <f t="shared" si="6"/>
        <v>9.9647999999999985</v>
      </c>
      <c r="I36" s="20">
        <f t="shared" si="6"/>
        <v>8.3040000000000003</v>
      </c>
      <c r="J36" s="20">
        <f t="shared" si="6"/>
        <v>0</v>
      </c>
      <c r="K36" s="20">
        <f t="shared" si="6"/>
        <v>7.2359198882161158</v>
      </c>
      <c r="L36" s="20">
        <f t="shared" si="6"/>
        <v>0</v>
      </c>
      <c r="M36" s="20">
        <f t="shared" si="6"/>
        <v>11.931000000000001</v>
      </c>
      <c r="N36" s="20">
        <f t="shared" si="6"/>
        <v>0</v>
      </c>
      <c r="O36" s="20">
        <f t="shared" si="6"/>
        <v>10.165076957001105</v>
      </c>
      <c r="P36" s="20">
        <f t="shared" si="6"/>
        <v>0</v>
      </c>
      <c r="Q36" s="20">
        <f t="shared" si="6"/>
        <v>25.257999999999996</v>
      </c>
      <c r="R36" s="20">
        <f t="shared" si="6"/>
        <v>0</v>
      </c>
      <c r="S36" s="20">
        <f t="shared" si="6"/>
        <v>11.931000000000001</v>
      </c>
    </row>
    <row r="37" spans="1:19" x14ac:dyDescent="0.25">
      <c r="A37" s="9"/>
      <c r="B37" s="9">
        <v>2035</v>
      </c>
      <c r="C37" s="9"/>
      <c r="D37" s="16">
        <f t="shared" si="7"/>
        <v>3.54</v>
      </c>
      <c r="E37" s="16">
        <f t="shared" si="6"/>
        <v>0</v>
      </c>
      <c r="F37" s="16">
        <f t="shared" si="6"/>
        <v>3.54</v>
      </c>
      <c r="G37" s="16">
        <f t="shared" si="6"/>
        <v>0</v>
      </c>
      <c r="H37" s="16">
        <f t="shared" si="6"/>
        <v>9.9071999999999978</v>
      </c>
      <c r="I37" s="16">
        <f t="shared" si="6"/>
        <v>8.2560000000000002</v>
      </c>
      <c r="J37" s="16">
        <f t="shared" si="6"/>
        <v>0</v>
      </c>
      <c r="K37" s="16">
        <f t="shared" si="6"/>
        <v>7.1853190498369823</v>
      </c>
      <c r="L37" s="16">
        <f t="shared" si="6"/>
        <v>0</v>
      </c>
      <c r="M37" s="16">
        <f t="shared" si="6"/>
        <v>11.834000000000001</v>
      </c>
      <c r="N37" s="16">
        <f t="shared" si="6"/>
        <v>0</v>
      </c>
      <c r="O37" s="16">
        <f t="shared" si="6"/>
        <v>10.136198897464171</v>
      </c>
      <c r="P37" s="16">
        <f t="shared" si="6"/>
        <v>0</v>
      </c>
      <c r="Q37" s="16">
        <f t="shared" si="6"/>
        <v>25.111999999999995</v>
      </c>
      <c r="R37" s="16">
        <f t="shared" si="6"/>
        <v>0</v>
      </c>
      <c r="S37" s="16">
        <f t="shared" si="6"/>
        <v>11.834000000000001</v>
      </c>
    </row>
    <row r="38" spans="1:19" x14ac:dyDescent="0.25">
      <c r="A38" s="9"/>
      <c r="B38" s="9">
        <v>2036</v>
      </c>
      <c r="C38" s="9"/>
      <c r="D38" s="16">
        <f t="shared" si="7"/>
        <v>3.5</v>
      </c>
      <c r="E38" s="16">
        <f t="shared" si="6"/>
        <v>0</v>
      </c>
      <c r="F38" s="16">
        <f t="shared" si="6"/>
        <v>3.5</v>
      </c>
      <c r="G38" s="16">
        <f t="shared" si="6"/>
        <v>0</v>
      </c>
      <c r="H38" s="16">
        <f t="shared" si="6"/>
        <v>9.849599999999997</v>
      </c>
      <c r="I38" s="16">
        <f t="shared" si="6"/>
        <v>8.2080000000000002</v>
      </c>
      <c r="J38" s="16">
        <f t="shared" si="6"/>
        <v>0</v>
      </c>
      <c r="K38" s="16">
        <f t="shared" si="6"/>
        <v>7.1347182114578489</v>
      </c>
      <c r="L38" s="16">
        <f t="shared" si="6"/>
        <v>0</v>
      </c>
      <c r="M38" s="16">
        <f t="shared" si="6"/>
        <v>11.737000000000002</v>
      </c>
      <c r="N38" s="16">
        <f t="shared" si="6"/>
        <v>0</v>
      </c>
      <c r="O38" s="16">
        <f t="shared" si="6"/>
        <v>10.107320837927237</v>
      </c>
      <c r="P38" s="16">
        <f t="shared" si="6"/>
        <v>0</v>
      </c>
      <c r="Q38" s="16">
        <f t="shared" si="6"/>
        <v>24.965999999999994</v>
      </c>
      <c r="R38" s="16">
        <f t="shared" si="6"/>
        <v>0</v>
      </c>
      <c r="S38" s="16">
        <f t="shared" si="6"/>
        <v>11.737000000000002</v>
      </c>
    </row>
    <row r="39" spans="1:19" x14ac:dyDescent="0.25">
      <c r="A39" s="9"/>
      <c r="B39" s="9">
        <v>2037</v>
      </c>
      <c r="C39" s="9"/>
      <c r="D39" s="16">
        <f t="shared" si="7"/>
        <v>3.46</v>
      </c>
      <c r="E39" s="16">
        <f t="shared" si="6"/>
        <v>0</v>
      </c>
      <c r="F39" s="16">
        <f t="shared" si="6"/>
        <v>3.46</v>
      </c>
      <c r="G39" s="16">
        <f t="shared" si="6"/>
        <v>0</v>
      </c>
      <c r="H39" s="16">
        <f t="shared" si="6"/>
        <v>9.7919999999999963</v>
      </c>
      <c r="I39" s="16">
        <f t="shared" si="6"/>
        <v>8.16</v>
      </c>
      <c r="J39" s="16">
        <f t="shared" si="6"/>
        <v>0</v>
      </c>
      <c r="K39" s="16">
        <f t="shared" si="6"/>
        <v>7.0841173730787155</v>
      </c>
      <c r="L39" s="16">
        <f t="shared" si="6"/>
        <v>0</v>
      </c>
      <c r="M39" s="16">
        <f t="shared" si="6"/>
        <v>11.640000000000002</v>
      </c>
      <c r="N39" s="16">
        <f t="shared" si="6"/>
        <v>0</v>
      </c>
      <c r="O39" s="16">
        <f t="shared" si="6"/>
        <v>10.078442778390302</v>
      </c>
      <c r="P39" s="16">
        <f t="shared" si="6"/>
        <v>0</v>
      </c>
      <c r="Q39" s="16">
        <f t="shared" si="6"/>
        <v>24.819999999999993</v>
      </c>
      <c r="R39" s="16">
        <f t="shared" si="6"/>
        <v>0</v>
      </c>
      <c r="S39" s="16">
        <f t="shared" si="6"/>
        <v>11.640000000000002</v>
      </c>
    </row>
    <row r="40" spans="1:19" x14ac:dyDescent="0.25">
      <c r="A40" s="9"/>
      <c r="B40" s="9">
        <v>2038</v>
      </c>
      <c r="C40" s="9"/>
      <c r="D40" s="16">
        <f t="shared" si="7"/>
        <v>3.42</v>
      </c>
      <c r="E40" s="16">
        <f t="shared" si="6"/>
        <v>0</v>
      </c>
      <c r="F40" s="16">
        <f t="shared" si="6"/>
        <v>3.42</v>
      </c>
      <c r="G40" s="16">
        <f t="shared" si="6"/>
        <v>0</v>
      </c>
      <c r="H40" s="16">
        <f t="shared" si="6"/>
        <v>9.7343999999999955</v>
      </c>
      <c r="I40" s="16">
        <f t="shared" si="6"/>
        <v>8.1120000000000001</v>
      </c>
      <c r="J40" s="16">
        <f t="shared" si="6"/>
        <v>0</v>
      </c>
      <c r="K40" s="16">
        <f t="shared" si="6"/>
        <v>7.033516534699582</v>
      </c>
      <c r="L40" s="16">
        <f t="shared" si="6"/>
        <v>0</v>
      </c>
      <c r="M40" s="16">
        <f t="shared" si="6"/>
        <v>11.543000000000003</v>
      </c>
      <c r="N40" s="16">
        <f t="shared" si="6"/>
        <v>0</v>
      </c>
      <c r="O40" s="16">
        <f t="shared" si="6"/>
        <v>10.049564718853368</v>
      </c>
      <c r="P40" s="16">
        <f t="shared" si="6"/>
        <v>0</v>
      </c>
      <c r="Q40" s="16">
        <f t="shared" si="6"/>
        <v>24.673999999999992</v>
      </c>
      <c r="R40" s="16">
        <f t="shared" si="6"/>
        <v>0</v>
      </c>
      <c r="S40" s="16">
        <f t="shared" si="6"/>
        <v>11.543000000000003</v>
      </c>
    </row>
    <row r="41" spans="1:19" x14ac:dyDescent="0.25">
      <c r="A41" s="9"/>
      <c r="B41" s="9">
        <v>2039</v>
      </c>
      <c r="C41" s="9"/>
      <c r="D41" s="16">
        <f t="shared" si="7"/>
        <v>3.38</v>
      </c>
      <c r="E41" s="18">
        <f t="shared" si="6"/>
        <v>0</v>
      </c>
      <c r="F41" s="18">
        <f t="shared" si="6"/>
        <v>3.38</v>
      </c>
      <c r="G41" s="18">
        <f t="shared" si="6"/>
        <v>0</v>
      </c>
      <c r="H41" s="18">
        <f t="shared" si="6"/>
        <v>9.6767999999999947</v>
      </c>
      <c r="I41" s="18">
        <f t="shared" si="6"/>
        <v>8.0640000000000001</v>
      </c>
      <c r="J41" s="19">
        <f t="shared" si="6"/>
        <v>0</v>
      </c>
      <c r="K41" s="18">
        <f t="shared" si="6"/>
        <v>6.9829156963204486</v>
      </c>
      <c r="L41" s="18">
        <f t="shared" si="6"/>
        <v>0</v>
      </c>
      <c r="M41" s="18">
        <f t="shared" si="6"/>
        <v>11.446000000000003</v>
      </c>
      <c r="N41" s="18">
        <f t="shared" si="6"/>
        <v>0</v>
      </c>
      <c r="O41" s="18">
        <f t="shared" si="6"/>
        <v>10.020686659316434</v>
      </c>
      <c r="P41" s="18">
        <f t="shared" si="6"/>
        <v>0</v>
      </c>
      <c r="Q41" s="18">
        <f t="shared" si="6"/>
        <v>24.527999999999992</v>
      </c>
      <c r="R41" s="18">
        <f t="shared" si="6"/>
        <v>0</v>
      </c>
      <c r="S41" s="18">
        <f t="shared" si="6"/>
        <v>11.446000000000003</v>
      </c>
    </row>
    <row r="42" spans="1:19" x14ac:dyDescent="0.25">
      <c r="A42" s="9"/>
      <c r="B42" s="9">
        <v>2040</v>
      </c>
      <c r="C42" s="9"/>
      <c r="D42" s="20">
        <f t="shared" si="7"/>
        <v>3.34</v>
      </c>
      <c r="E42" s="20">
        <f t="shared" si="6"/>
        <v>0</v>
      </c>
      <c r="F42" s="20">
        <f t="shared" si="6"/>
        <v>3.34</v>
      </c>
      <c r="G42" s="20">
        <f t="shared" si="6"/>
        <v>0</v>
      </c>
      <c r="H42" s="20">
        <f t="shared" si="6"/>
        <v>9.619199999999994</v>
      </c>
      <c r="I42" s="20">
        <f t="shared" si="6"/>
        <v>8.016</v>
      </c>
      <c r="J42" s="20">
        <f t="shared" si="6"/>
        <v>0</v>
      </c>
      <c r="K42" s="20">
        <f t="shared" si="6"/>
        <v>6.9323148579413152</v>
      </c>
      <c r="L42" s="20">
        <f t="shared" si="6"/>
        <v>0</v>
      </c>
      <c r="M42" s="20">
        <f t="shared" si="6"/>
        <v>11.349000000000004</v>
      </c>
      <c r="N42" s="20">
        <f t="shared" si="6"/>
        <v>0</v>
      </c>
      <c r="O42" s="20">
        <f t="shared" si="6"/>
        <v>9.9918085997794996</v>
      </c>
      <c r="P42" s="20">
        <f t="shared" si="6"/>
        <v>0</v>
      </c>
      <c r="Q42" s="20">
        <f t="shared" si="6"/>
        <v>24.381999999999991</v>
      </c>
      <c r="R42" s="20">
        <f t="shared" si="6"/>
        <v>0</v>
      </c>
      <c r="S42" s="20">
        <f t="shared" si="6"/>
        <v>11.349000000000004</v>
      </c>
    </row>
    <row r="43" spans="1:19" x14ac:dyDescent="0.25">
      <c r="A43" s="9" t="s">
        <v>31</v>
      </c>
      <c r="B43" s="9">
        <v>2041</v>
      </c>
      <c r="C43" s="9">
        <v>50</v>
      </c>
      <c r="D43" s="20">
        <v>3.3</v>
      </c>
      <c r="E43" s="20">
        <v>0</v>
      </c>
      <c r="F43" s="20">
        <v>3.3</v>
      </c>
      <c r="G43" s="20">
        <v>0</v>
      </c>
      <c r="H43" s="20">
        <v>9.5615999999999985</v>
      </c>
      <c r="I43" s="20">
        <v>7.9679999999999991</v>
      </c>
      <c r="J43" s="20">
        <v>0</v>
      </c>
      <c r="K43" s="20">
        <v>6.8817140195621791</v>
      </c>
      <c r="L43" s="20">
        <v>0</v>
      </c>
      <c r="M43" s="20">
        <v>11.252000000000001</v>
      </c>
      <c r="N43" s="20">
        <v>0</v>
      </c>
      <c r="O43" s="20">
        <v>9.9629305402425583</v>
      </c>
      <c r="P43" s="20">
        <v>0</v>
      </c>
      <c r="Q43" s="20">
        <v>24.235999999999997</v>
      </c>
      <c r="R43" s="20">
        <v>0</v>
      </c>
      <c r="S43" s="20">
        <v>11.252000000000001</v>
      </c>
    </row>
    <row r="44" spans="1:19" x14ac:dyDescent="0.25">
      <c r="A44" s="9"/>
      <c r="B44" s="9">
        <v>2042</v>
      </c>
      <c r="C44" s="9"/>
      <c r="D44" s="20">
        <f>D43-(D$43-D$53)/10</f>
        <v>3.27</v>
      </c>
      <c r="E44" s="20">
        <f t="shared" ref="E44:S52" si="8">E43-(E$43-E$53)/10</f>
        <v>0</v>
      </c>
      <c r="F44" s="20">
        <f t="shared" si="8"/>
        <v>3.27</v>
      </c>
      <c r="G44" s="20">
        <f t="shared" si="8"/>
        <v>0</v>
      </c>
      <c r="H44" s="20">
        <f t="shared" si="8"/>
        <v>9.5039999999999978</v>
      </c>
      <c r="I44" s="20">
        <f t="shared" si="8"/>
        <v>7.919999999999999</v>
      </c>
      <c r="J44" s="20">
        <f t="shared" si="8"/>
        <v>0</v>
      </c>
      <c r="K44" s="20">
        <f t="shared" si="8"/>
        <v>6.8311131811830457</v>
      </c>
      <c r="L44" s="20">
        <f t="shared" si="8"/>
        <v>0</v>
      </c>
      <c r="M44" s="20">
        <f t="shared" si="8"/>
        <v>11.155000000000001</v>
      </c>
      <c r="N44" s="20">
        <f t="shared" si="8"/>
        <v>0</v>
      </c>
      <c r="O44" s="20">
        <f t="shared" si="8"/>
        <v>9.9484915104740903</v>
      </c>
      <c r="P44" s="20">
        <f t="shared" si="8"/>
        <v>0</v>
      </c>
      <c r="Q44" s="20">
        <f t="shared" si="8"/>
        <v>24.089999999999996</v>
      </c>
      <c r="R44" s="20">
        <f t="shared" si="8"/>
        <v>0</v>
      </c>
      <c r="S44" s="20">
        <f t="shared" si="8"/>
        <v>11.155000000000001</v>
      </c>
    </row>
    <row r="45" spans="1:19" x14ac:dyDescent="0.25">
      <c r="A45" s="9"/>
      <c r="B45" s="9">
        <v>2043</v>
      </c>
      <c r="C45" s="9"/>
      <c r="D45" s="20">
        <f>D44-(D$43-D$53)/10</f>
        <v>3.24</v>
      </c>
      <c r="E45" s="20">
        <f t="shared" si="8"/>
        <v>0</v>
      </c>
      <c r="F45" s="20">
        <f t="shared" si="8"/>
        <v>3.24</v>
      </c>
      <c r="G45" s="20">
        <f t="shared" si="8"/>
        <v>0</v>
      </c>
      <c r="H45" s="20">
        <f t="shared" si="8"/>
        <v>9.446399999999997</v>
      </c>
      <c r="I45" s="20">
        <f t="shared" si="8"/>
        <v>7.871999999999999</v>
      </c>
      <c r="J45" s="20">
        <f t="shared" si="8"/>
        <v>0</v>
      </c>
      <c r="K45" s="20">
        <f t="shared" si="8"/>
        <v>6.7805123428039122</v>
      </c>
      <c r="L45" s="20">
        <f t="shared" si="8"/>
        <v>0</v>
      </c>
      <c r="M45" s="20">
        <f t="shared" si="8"/>
        <v>11.058000000000002</v>
      </c>
      <c r="N45" s="20">
        <f t="shared" si="8"/>
        <v>0</v>
      </c>
      <c r="O45" s="20">
        <f t="shared" si="8"/>
        <v>9.9340524807056223</v>
      </c>
      <c r="P45" s="20">
        <f t="shared" si="8"/>
        <v>0</v>
      </c>
      <c r="Q45" s="20">
        <f t="shared" si="8"/>
        <v>23.943999999999996</v>
      </c>
      <c r="R45" s="20">
        <f t="shared" si="8"/>
        <v>0</v>
      </c>
      <c r="S45" s="20">
        <f t="shared" si="8"/>
        <v>11.058000000000002</v>
      </c>
    </row>
    <row r="46" spans="1:19" x14ac:dyDescent="0.25">
      <c r="A46" s="9"/>
      <c r="B46" s="9">
        <v>2044</v>
      </c>
      <c r="C46" s="9"/>
      <c r="D46" s="16">
        <f t="shared" ref="D46:D52" si="9">D45-(D$43-D$53)/10</f>
        <v>3.2100000000000004</v>
      </c>
      <c r="E46" s="16">
        <f t="shared" si="8"/>
        <v>0</v>
      </c>
      <c r="F46" s="16">
        <f t="shared" si="8"/>
        <v>3.2100000000000004</v>
      </c>
      <c r="G46" s="16">
        <f t="shared" si="8"/>
        <v>0</v>
      </c>
      <c r="H46" s="16">
        <f t="shared" si="8"/>
        <v>9.3887999999999963</v>
      </c>
      <c r="I46" s="16">
        <f t="shared" si="8"/>
        <v>7.823999999999999</v>
      </c>
      <c r="J46" s="16">
        <f t="shared" si="8"/>
        <v>0</v>
      </c>
      <c r="K46" s="16">
        <f t="shared" si="8"/>
        <v>6.7299115044247788</v>
      </c>
      <c r="L46" s="16">
        <f t="shared" si="8"/>
        <v>0</v>
      </c>
      <c r="M46" s="16">
        <f t="shared" si="8"/>
        <v>10.961000000000002</v>
      </c>
      <c r="N46" s="16">
        <f t="shared" si="8"/>
        <v>0</v>
      </c>
      <c r="O46" s="16">
        <f t="shared" si="8"/>
        <v>9.9196134509371543</v>
      </c>
      <c r="P46" s="16">
        <f t="shared" si="8"/>
        <v>0</v>
      </c>
      <c r="Q46" s="16">
        <f t="shared" si="8"/>
        <v>23.797999999999995</v>
      </c>
      <c r="R46" s="16">
        <f t="shared" si="8"/>
        <v>0</v>
      </c>
      <c r="S46" s="16">
        <f t="shared" si="8"/>
        <v>10.961000000000002</v>
      </c>
    </row>
    <row r="47" spans="1:19" x14ac:dyDescent="0.25">
      <c r="A47" s="9"/>
      <c r="B47" s="9">
        <v>2045</v>
      </c>
      <c r="C47" s="9"/>
      <c r="D47" s="16">
        <f t="shared" si="9"/>
        <v>3.1800000000000006</v>
      </c>
      <c r="E47" s="16">
        <f t="shared" si="8"/>
        <v>0</v>
      </c>
      <c r="F47" s="16">
        <f t="shared" si="8"/>
        <v>3.1800000000000006</v>
      </c>
      <c r="G47" s="16">
        <f t="shared" si="8"/>
        <v>0</v>
      </c>
      <c r="H47" s="16">
        <f t="shared" si="8"/>
        <v>9.3311999999999955</v>
      </c>
      <c r="I47" s="16">
        <f t="shared" si="8"/>
        <v>7.7759999999999989</v>
      </c>
      <c r="J47" s="16">
        <f t="shared" si="8"/>
        <v>0</v>
      </c>
      <c r="K47" s="16">
        <f t="shared" si="8"/>
        <v>6.6793106660456454</v>
      </c>
      <c r="L47" s="16">
        <f t="shared" si="8"/>
        <v>0</v>
      </c>
      <c r="M47" s="16">
        <f t="shared" si="8"/>
        <v>10.864000000000003</v>
      </c>
      <c r="N47" s="16">
        <f t="shared" si="8"/>
        <v>0</v>
      </c>
      <c r="O47" s="16">
        <f t="shared" si="8"/>
        <v>9.9051744211686863</v>
      </c>
      <c r="P47" s="16">
        <f t="shared" si="8"/>
        <v>0</v>
      </c>
      <c r="Q47" s="16">
        <f t="shared" si="8"/>
        <v>23.651999999999994</v>
      </c>
      <c r="R47" s="16">
        <f t="shared" si="8"/>
        <v>0</v>
      </c>
      <c r="S47" s="16">
        <f t="shared" si="8"/>
        <v>10.864000000000003</v>
      </c>
    </row>
    <row r="48" spans="1:19" x14ac:dyDescent="0.25">
      <c r="A48" s="9"/>
      <c r="B48" s="9">
        <v>2046</v>
      </c>
      <c r="C48" s="9"/>
      <c r="D48" s="16">
        <f t="shared" si="9"/>
        <v>3.1500000000000008</v>
      </c>
      <c r="E48" s="16">
        <f t="shared" si="8"/>
        <v>0</v>
      </c>
      <c r="F48" s="16">
        <f t="shared" si="8"/>
        <v>3.1500000000000008</v>
      </c>
      <c r="G48" s="16">
        <f t="shared" si="8"/>
        <v>0</v>
      </c>
      <c r="H48" s="16">
        <f t="shared" si="8"/>
        <v>9.2735999999999947</v>
      </c>
      <c r="I48" s="16">
        <f t="shared" si="8"/>
        <v>7.7279999999999989</v>
      </c>
      <c r="J48" s="16">
        <f t="shared" si="8"/>
        <v>0</v>
      </c>
      <c r="K48" s="16">
        <f t="shared" si="8"/>
        <v>6.628709827666512</v>
      </c>
      <c r="L48" s="16">
        <f t="shared" si="8"/>
        <v>0</v>
      </c>
      <c r="M48" s="16">
        <f t="shared" si="8"/>
        <v>10.767000000000003</v>
      </c>
      <c r="N48" s="16">
        <f t="shared" si="8"/>
        <v>0</v>
      </c>
      <c r="O48" s="16">
        <f t="shared" si="8"/>
        <v>9.8907353914002183</v>
      </c>
      <c r="P48" s="16">
        <f t="shared" si="8"/>
        <v>0</v>
      </c>
      <c r="Q48" s="16">
        <f t="shared" si="8"/>
        <v>23.505999999999993</v>
      </c>
      <c r="R48" s="16">
        <f t="shared" si="8"/>
        <v>0</v>
      </c>
      <c r="S48" s="16">
        <f t="shared" si="8"/>
        <v>10.767000000000003</v>
      </c>
    </row>
    <row r="49" spans="1:19" x14ac:dyDescent="0.25">
      <c r="A49" s="9"/>
      <c r="B49" s="9">
        <v>2047</v>
      </c>
      <c r="C49" s="9"/>
      <c r="D49" s="16">
        <f t="shared" si="9"/>
        <v>3.120000000000001</v>
      </c>
      <c r="E49" s="16">
        <f t="shared" si="8"/>
        <v>0</v>
      </c>
      <c r="F49" s="16">
        <f t="shared" si="8"/>
        <v>3.120000000000001</v>
      </c>
      <c r="G49" s="16">
        <f t="shared" si="8"/>
        <v>0</v>
      </c>
      <c r="H49" s="16">
        <f t="shared" si="8"/>
        <v>9.215999999999994</v>
      </c>
      <c r="I49" s="16">
        <f t="shared" si="8"/>
        <v>7.6799999999999988</v>
      </c>
      <c r="J49" s="16">
        <f t="shared" si="8"/>
        <v>0</v>
      </c>
      <c r="K49" s="16">
        <f t="shared" si="8"/>
        <v>6.5781089892873785</v>
      </c>
      <c r="L49" s="16">
        <f t="shared" si="8"/>
        <v>0</v>
      </c>
      <c r="M49" s="16">
        <f t="shared" si="8"/>
        <v>10.670000000000003</v>
      </c>
      <c r="N49" s="16">
        <f t="shared" si="8"/>
        <v>0</v>
      </c>
      <c r="O49" s="16">
        <f t="shared" si="8"/>
        <v>9.8762963616317503</v>
      </c>
      <c r="P49" s="16">
        <f t="shared" si="8"/>
        <v>0</v>
      </c>
      <c r="Q49" s="16">
        <f t="shared" si="8"/>
        <v>23.359999999999992</v>
      </c>
      <c r="R49" s="16">
        <f t="shared" si="8"/>
        <v>0</v>
      </c>
      <c r="S49" s="16">
        <f t="shared" si="8"/>
        <v>10.670000000000003</v>
      </c>
    </row>
    <row r="50" spans="1:19" x14ac:dyDescent="0.25">
      <c r="A50" s="9"/>
      <c r="B50" s="9">
        <v>2048</v>
      </c>
      <c r="C50" s="9"/>
      <c r="D50" s="16">
        <f t="shared" si="9"/>
        <v>3.0900000000000012</v>
      </c>
      <c r="E50" s="18">
        <f t="shared" si="8"/>
        <v>0</v>
      </c>
      <c r="F50" s="18">
        <f t="shared" si="8"/>
        <v>3.0900000000000012</v>
      </c>
      <c r="G50" s="18">
        <f t="shared" si="8"/>
        <v>0</v>
      </c>
      <c r="H50" s="18">
        <f t="shared" si="8"/>
        <v>9.1583999999999932</v>
      </c>
      <c r="I50" s="18">
        <f t="shared" si="8"/>
        <v>7.6319999999999988</v>
      </c>
      <c r="J50" s="19">
        <f t="shared" si="8"/>
        <v>0</v>
      </c>
      <c r="K50" s="18">
        <f t="shared" si="8"/>
        <v>6.5275081509082451</v>
      </c>
      <c r="L50" s="18">
        <f t="shared" si="8"/>
        <v>0</v>
      </c>
      <c r="M50" s="18">
        <f t="shared" si="8"/>
        <v>10.573000000000004</v>
      </c>
      <c r="N50" s="18">
        <f t="shared" si="8"/>
        <v>0</v>
      </c>
      <c r="O50" s="18">
        <f t="shared" si="8"/>
        <v>9.8618573318632823</v>
      </c>
      <c r="P50" s="18">
        <f t="shared" si="8"/>
        <v>0</v>
      </c>
      <c r="Q50" s="18">
        <f t="shared" si="8"/>
        <v>23.213999999999992</v>
      </c>
      <c r="R50" s="18">
        <f t="shared" si="8"/>
        <v>0</v>
      </c>
      <c r="S50" s="18">
        <f t="shared" si="8"/>
        <v>10.573000000000004</v>
      </c>
    </row>
    <row r="51" spans="1:19" x14ac:dyDescent="0.25">
      <c r="A51" s="9"/>
      <c r="B51" s="9">
        <v>2049</v>
      </c>
      <c r="C51" s="9"/>
      <c r="D51" s="20">
        <f t="shared" si="9"/>
        <v>3.0600000000000014</v>
      </c>
      <c r="E51" s="20">
        <f t="shared" si="8"/>
        <v>0</v>
      </c>
      <c r="F51" s="20">
        <f t="shared" si="8"/>
        <v>3.0600000000000014</v>
      </c>
      <c r="G51" s="20">
        <f t="shared" si="8"/>
        <v>0</v>
      </c>
      <c r="H51" s="20">
        <f t="shared" si="8"/>
        <v>9.1007999999999925</v>
      </c>
      <c r="I51" s="20">
        <f t="shared" si="8"/>
        <v>7.5839999999999987</v>
      </c>
      <c r="J51" s="20">
        <f t="shared" si="8"/>
        <v>0</v>
      </c>
      <c r="K51" s="20">
        <f t="shared" si="8"/>
        <v>6.4769073125291117</v>
      </c>
      <c r="L51" s="20">
        <f t="shared" si="8"/>
        <v>0</v>
      </c>
      <c r="M51" s="20">
        <f t="shared" si="8"/>
        <v>10.476000000000004</v>
      </c>
      <c r="N51" s="20">
        <f t="shared" si="8"/>
        <v>0</v>
      </c>
      <c r="O51" s="20">
        <f t="shared" si="8"/>
        <v>9.8474183020948143</v>
      </c>
      <c r="P51" s="20">
        <f t="shared" si="8"/>
        <v>0</v>
      </c>
      <c r="Q51" s="20">
        <f t="shared" si="8"/>
        <v>23.067999999999991</v>
      </c>
      <c r="R51" s="20">
        <f t="shared" si="8"/>
        <v>0</v>
      </c>
      <c r="S51" s="20">
        <f t="shared" si="8"/>
        <v>10.476000000000004</v>
      </c>
    </row>
    <row r="52" spans="1:19" x14ac:dyDescent="0.25">
      <c r="A52" s="9"/>
      <c r="B52" s="9">
        <v>2050</v>
      </c>
      <c r="C52" s="9"/>
      <c r="D52" s="20">
        <f t="shared" si="9"/>
        <v>3.0300000000000016</v>
      </c>
      <c r="E52" s="20">
        <f t="shared" si="8"/>
        <v>0</v>
      </c>
      <c r="F52" s="20">
        <f t="shared" si="8"/>
        <v>3.0300000000000016</v>
      </c>
      <c r="G52" s="20">
        <f t="shared" si="8"/>
        <v>0</v>
      </c>
      <c r="H52" s="20">
        <f t="shared" si="8"/>
        <v>9.0431999999999917</v>
      </c>
      <c r="I52" s="20">
        <f t="shared" si="8"/>
        <v>7.5359999999999987</v>
      </c>
      <c r="J52" s="20">
        <f t="shared" si="8"/>
        <v>0</v>
      </c>
      <c r="K52" s="20">
        <f t="shared" si="8"/>
        <v>6.4263064741499782</v>
      </c>
      <c r="L52" s="20">
        <f t="shared" si="8"/>
        <v>0</v>
      </c>
      <c r="M52" s="20">
        <f t="shared" si="8"/>
        <v>10.379000000000005</v>
      </c>
      <c r="N52" s="20">
        <f t="shared" si="8"/>
        <v>0</v>
      </c>
      <c r="O52" s="20">
        <f t="shared" si="8"/>
        <v>9.8329792723263463</v>
      </c>
      <c r="P52" s="20">
        <f t="shared" si="8"/>
        <v>0</v>
      </c>
      <c r="Q52" s="20">
        <f t="shared" si="8"/>
        <v>22.92199999999999</v>
      </c>
      <c r="R52" s="20">
        <f t="shared" si="8"/>
        <v>0</v>
      </c>
      <c r="S52" s="20">
        <f t="shared" si="8"/>
        <v>10.379000000000005</v>
      </c>
    </row>
    <row r="53" spans="1:19" x14ac:dyDescent="0.25">
      <c r="A53" s="9" t="s">
        <v>32</v>
      </c>
      <c r="B53" s="9">
        <v>2051</v>
      </c>
      <c r="C53" s="9">
        <v>60</v>
      </c>
      <c r="D53" s="20">
        <v>3</v>
      </c>
      <c r="E53" s="20">
        <v>0</v>
      </c>
      <c r="F53" s="20">
        <v>3</v>
      </c>
      <c r="G53" s="20">
        <v>0</v>
      </c>
      <c r="H53" s="20">
        <v>8.9855999999999998</v>
      </c>
      <c r="I53" s="20">
        <v>7.4879999999999995</v>
      </c>
      <c r="J53" s="20">
        <v>0</v>
      </c>
      <c r="K53" s="20">
        <v>6.375705635770843</v>
      </c>
      <c r="L53" s="20">
        <v>0</v>
      </c>
      <c r="M53" s="20">
        <v>10.282</v>
      </c>
      <c r="N53" s="20">
        <v>0</v>
      </c>
      <c r="O53" s="20">
        <v>9.8185402425578818</v>
      </c>
      <c r="P53" s="20">
        <v>0</v>
      </c>
      <c r="Q53" s="20">
        <v>22.776</v>
      </c>
      <c r="R53" s="20">
        <v>0</v>
      </c>
      <c r="S53" s="20">
        <v>10.282</v>
      </c>
    </row>
    <row r="54" spans="1:19" x14ac:dyDescent="0.25">
      <c r="A54" s="9"/>
      <c r="B54" s="9">
        <v>2052</v>
      </c>
      <c r="C54" s="9"/>
      <c r="D54" s="20">
        <v>3</v>
      </c>
      <c r="E54" s="20">
        <v>0</v>
      </c>
      <c r="F54" s="20">
        <v>3</v>
      </c>
      <c r="G54" s="20">
        <v>0</v>
      </c>
      <c r="H54" s="20">
        <v>8.9855999999999998</v>
      </c>
      <c r="I54" s="20">
        <v>7.4879999999999995</v>
      </c>
      <c r="J54" s="20">
        <v>0</v>
      </c>
      <c r="K54" s="20">
        <v>6.375705635770843</v>
      </c>
      <c r="L54" s="20">
        <v>0</v>
      </c>
      <c r="M54" s="20">
        <v>10.282</v>
      </c>
      <c r="N54" s="20">
        <v>0</v>
      </c>
      <c r="O54" s="20">
        <v>9.8185402425578818</v>
      </c>
      <c r="P54" s="20">
        <v>0</v>
      </c>
      <c r="Q54" s="20">
        <v>22.776</v>
      </c>
      <c r="R54" s="20">
        <v>0</v>
      </c>
      <c r="S54" s="20">
        <v>10.282</v>
      </c>
    </row>
    <row r="55" spans="1:19" x14ac:dyDescent="0.25">
      <c r="A55" s="9"/>
      <c r="B55" s="9">
        <v>2053</v>
      </c>
      <c r="C55" s="9"/>
      <c r="D55" s="16">
        <v>3</v>
      </c>
      <c r="E55" s="16">
        <v>0</v>
      </c>
      <c r="F55" s="16">
        <v>3</v>
      </c>
      <c r="G55" s="16">
        <v>0</v>
      </c>
      <c r="H55" s="16">
        <v>8.9855999999999998</v>
      </c>
      <c r="I55" s="16">
        <v>7.4879999999999995</v>
      </c>
      <c r="J55" s="16">
        <v>0</v>
      </c>
      <c r="K55" s="16">
        <v>6.375705635770843</v>
      </c>
      <c r="L55" s="16">
        <v>0</v>
      </c>
      <c r="M55" s="16">
        <v>10.282</v>
      </c>
      <c r="N55" s="16">
        <v>0</v>
      </c>
      <c r="O55" s="16">
        <v>9.8185402425578818</v>
      </c>
      <c r="P55" s="16">
        <v>0</v>
      </c>
      <c r="Q55" s="16">
        <v>22.776</v>
      </c>
      <c r="R55" s="16">
        <v>0</v>
      </c>
      <c r="S55" s="16">
        <v>10.282</v>
      </c>
    </row>
    <row r="56" spans="1:19" x14ac:dyDescent="0.25">
      <c r="A56" s="9"/>
      <c r="B56" s="9">
        <v>2054</v>
      </c>
      <c r="C56" s="9"/>
      <c r="D56" s="16">
        <v>3</v>
      </c>
      <c r="E56" s="16">
        <v>0</v>
      </c>
      <c r="F56" s="16">
        <v>3</v>
      </c>
      <c r="G56" s="16">
        <v>0</v>
      </c>
      <c r="H56" s="16">
        <v>8.9855999999999998</v>
      </c>
      <c r="I56" s="16">
        <v>7.4879999999999995</v>
      </c>
      <c r="J56" s="16">
        <v>0</v>
      </c>
      <c r="K56" s="16">
        <v>6.375705635770843</v>
      </c>
      <c r="L56" s="16">
        <v>0</v>
      </c>
      <c r="M56" s="16">
        <v>10.282</v>
      </c>
      <c r="N56" s="16">
        <v>0</v>
      </c>
      <c r="O56" s="16">
        <v>9.8185402425578818</v>
      </c>
      <c r="P56" s="16">
        <v>0</v>
      </c>
      <c r="Q56" s="16">
        <v>22.776</v>
      </c>
      <c r="R56" s="16">
        <v>0</v>
      </c>
      <c r="S56" s="16">
        <v>10.282</v>
      </c>
    </row>
    <row r="57" spans="1:19" x14ac:dyDescent="0.25">
      <c r="A57" s="9"/>
      <c r="B57" s="9">
        <v>2055</v>
      </c>
      <c r="C57" s="9"/>
      <c r="D57" s="16">
        <v>3</v>
      </c>
      <c r="E57" s="16">
        <v>0</v>
      </c>
      <c r="F57" s="16">
        <v>3</v>
      </c>
      <c r="G57" s="16">
        <v>0</v>
      </c>
      <c r="H57" s="16">
        <v>8.9855999999999998</v>
      </c>
      <c r="I57" s="16">
        <v>7.4879999999999995</v>
      </c>
      <c r="J57" s="16">
        <v>0</v>
      </c>
      <c r="K57" s="16">
        <v>6.375705635770843</v>
      </c>
      <c r="L57" s="16">
        <v>0</v>
      </c>
      <c r="M57" s="16">
        <v>10.282</v>
      </c>
      <c r="N57" s="16">
        <v>0</v>
      </c>
      <c r="O57" s="16">
        <v>9.8185402425578818</v>
      </c>
      <c r="P57" s="16">
        <v>0</v>
      </c>
      <c r="Q57" s="16">
        <v>22.776</v>
      </c>
      <c r="R57" s="16">
        <v>0</v>
      </c>
      <c r="S57" s="16">
        <v>10.282</v>
      </c>
    </row>
    <row r="58" spans="1:19" x14ac:dyDescent="0.25">
      <c r="A58" s="9"/>
      <c r="B58" s="9">
        <v>2056</v>
      </c>
      <c r="C58" s="9"/>
      <c r="D58" s="16">
        <v>3</v>
      </c>
      <c r="E58" s="16">
        <v>0</v>
      </c>
      <c r="F58" s="16">
        <v>3</v>
      </c>
      <c r="G58" s="16">
        <v>0</v>
      </c>
      <c r="H58" s="16">
        <v>8.9855999999999998</v>
      </c>
      <c r="I58" s="16">
        <v>7.4879999999999995</v>
      </c>
      <c r="J58" s="16">
        <v>0</v>
      </c>
      <c r="K58" s="16">
        <v>6.375705635770843</v>
      </c>
      <c r="L58" s="16">
        <v>0</v>
      </c>
      <c r="M58" s="16">
        <v>10.282</v>
      </c>
      <c r="N58" s="16">
        <v>0</v>
      </c>
      <c r="O58" s="16">
        <v>9.8185402425578818</v>
      </c>
      <c r="P58" s="16">
        <v>0</v>
      </c>
      <c r="Q58" s="16">
        <v>22.776</v>
      </c>
      <c r="R58" s="16">
        <v>0</v>
      </c>
      <c r="S58" s="16">
        <v>10.282</v>
      </c>
    </row>
    <row r="59" spans="1:19" x14ac:dyDescent="0.25">
      <c r="A59" s="9"/>
      <c r="B59" s="9">
        <v>2057</v>
      </c>
      <c r="C59" s="9"/>
      <c r="D59" s="16">
        <v>3</v>
      </c>
      <c r="E59" s="18">
        <v>0</v>
      </c>
      <c r="F59" s="18">
        <v>3</v>
      </c>
      <c r="G59" s="18">
        <v>0</v>
      </c>
      <c r="H59" s="18">
        <v>8.9855999999999998</v>
      </c>
      <c r="I59" s="18">
        <v>7.4879999999999995</v>
      </c>
      <c r="J59" s="19">
        <v>0</v>
      </c>
      <c r="K59" s="18">
        <v>6.375705635770843</v>
      </c>
      <c r="L59" s="18">
        <v>0</v>
      </c>
      <c r="M59" s="18">
        <v>10.282</v>
      </c>
      <c r="N59" s="18">
        <v>0</v>
      </c>
      <c r="O59" s="18">
        <v>9.8185402425578818</v>
      </c>
      <c r="P59" s="18">
        <v>0</v>
      </c>
      <c r="Q59" s="18">
        <v>22.776</v>
      </c>
      <c r="R59" s="18">
        <v>0</v>
      </c>
      <c r="S59" s="18">
        <v>10.282</v>
      </c>
    </row>
    <row r="60" spans="1:19" x14ac:dyDescent="0.25">
      <c r="A60" s="9"/>
      <c r="B60" s="9">
        <v>2058</v>
      </c>
      <c r="C60" s="9"/>
      <c r="D60" s="20">
        <v>3</v>
      </c>
      <c r="E60" s="20">
        <v>0</v>
      </c>
      <c r="F60" s="20">
        <v>3</v>
      </c>
      <c r="G60" s="20">
        <v>0</v>
      </c>
      <c r="H60" s="20">
        <v>8.9855999999999998</v>
      </c>
      <c r="I60" s="20">
        <v>7.4879999999999995</v>
      </c>
      <c r="J60" s="20">
        <v>0</v>
      </c>
      <c r="K60" s="20">
        <v>6.375705635770843</v>
      </c>
      <c r="L60" s="20">
        <v>0</v>
      </c>
      <c r="M60" s="20">
        <v>10.282</v>
      </c>
      <c r="N60" s="20">
        <v>0</v>
      </c>
      <c r="O60" s="20">
        <v>9.8185402425578818</v>
      </c>
      <c r="P60" s="20">
        <v>0</v>
      </c>
      <c r="Q60" s="20">
        <v>22.776</v>
      </c>
      <c r="R60" s="20">
        <v>0</v>
      </c>
      <c r="S60" s="20">
        <v>10.282</v>
      </c>
    </row>
    <row r="61" spans="1:19" x14ac:dyDescent="0.25">
      <c r="A61" s="9"/>
      <c r="B61" s="9">
        <v>2059</v>
      </c>
      <c r="C61" s="9"/>
      <c r="D61" s="20">
        <v>3</v>
      </c>
      <c r="E61" s="20">
        <v>0</v>
      </c>
      <c r="F61" s="20">
        <v>3</v>
      </c>
      <c r="G61" s="20">
        <v>0</v>
      </c>
      <c r="H61" s="20">
        <v>8.9855999999999998</v>
      </c>
      <c r="I61" s="20">
        <v>7.4879999999999995</v>
      </c>
      <c r="J61" s="20">
        <v>0</v>
      </c>
      <c r="K61" s="20">
        <v>6.375705635770843</v>
      </c>
      <c r="L61" s="20">
        <v>0</v>
      </c>
      <c r="M61" s="20">
        <v>10.282</v>
      </c>
      <c r="N61" s="20">
        <v>0</v>
      </c>
      <c r="O61" s="20">
        <v>9.8185402425578818</v>
      </c>
      <c r="P61" s="20">
        <v>0</v>
      </c>
      <c r="Q61" s="20">
        <v>22.776</v>
      </c>
      <c r="R61" s="20">
        <v>0</v>
      </c>
      <c r="S61" s="20">
        <v>10.282</v>
      </c>
    </row>
    <row r="62" spans="1:19" x14ac:dyDescent="0.25">
      <c r="A62" s="9"/>
      <c r="B62" s="9">
        <v>2060</v>
      </c>
      <c r="C62" s="9"/>
      <c r="D62" s="20">
        <v>3</v>
      </c>
      <c r="E62" s="20">
        <v>0</v>
      </c>
      <c r="F62" s="20">
        <v>3</v>
      </c>
      <c r="G62" s="20">
        <v>0</v>
      </c>
      <c r="H62" s="20">
        <v>8.9855999999999998</v>
      </c>
      <c r="I62" s="20">
        <v>7.4879999999999995</v>
      </c>
      <c r="J62" s="20">
        <v>0</v>
      </c>
      <c r="K62" s="20">
        <v>6.375705635770843</v>
      </c>
      <c r="L62" s="20">
        <v>0</v>
      </c>
      <c r="M62" s="20">
        <v>10.282</v>
      </c>
      <c r="N62" s="20">
        <v>0</v>
      </c>
      <c r="O62" s="20">
        <v>9.8185402425578818</v>
      </c>
      <c r="P62" s="20">
        <v>0</v>
      </c>
      <c r="Q62" s="20">
        <v>22.776</v>
      </c>
      <c r="R62" s="20">
        <v>0</v>
      </c>
      <c r="S62" s="20">
        <v>10.282</v>
      </c>
    </row>
  </sheetData>
  <protectedRanges>
    <protectedRange sqref="B3:C53" name="燃油耗"/>
    <protectedRange algorithmName="SHA-512" hashValue="6lDiRZfOO8YIf3+avbxJX1em3pn6kawIpP0SopVsZMO76+LmcaTPf+0YCiociqpRqUtWsOshhT0LSEn1CPPKNw==" saltValue="xcdOB1VrplTAVVsqVQvPPQ==" spinCount="100000" sqref="K18:S18 D18:I18" name="燃油耗_3"/>
    <protectedRange algorithmName="SHA-512" hashValue="6lDiRZfOO8YIf3+avbxJX1em3pn6kawIpP0SopVsZMO76+LmcaTPf+0YCiociqpRqUtWsOshhT0LSEn1CPPKNw==" saltValue="xcdOB1VrplTAVVsqVQvPPQ==" spinCount="100000" sqref="K23:S23 D23:I23" name="燃油耗_4"/>
  </protectedRanges>
  <mergeCells count="10">
    <mergeCell ref="L1:M1"/>
    <mergeCell ref="N1:O1"/>
    <mergeCell ref="P1:Q1"/>
    <mergeCell ref="R1:S1"/>
    <mergeCell ref="B1:B2"/>
    <mergeCell ref="C1:C2"/>
    <mergeCell ref="D1:E1"/>
    <mergeCell ref="F1:G1"/>
    <mergeCell ref="H1:I1"/>
    <mergeCell ref="J1:K1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62"/>
  <sheetViews>
    <sheetView tabSelected="1" topLeftCell="AC21" workbookViewId="0">
      <selection activeCell="AW40" sqref="AW40"/>
    </sheetView>
  </sheetViews>
  <sheetFormatPr defaultColWidth="9" defaultRowHeight="14.4" x14ac:dyDescent="0.25"/>
  <cols>
    <col min="43" max="43" width="14.109375" bestFit="1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3" t="s">
        <v>3</v>
      </c>
      <c r="E1" s="4"/>
      <c r="F1" s="3" t="s">
        <v>4</v>
      </c>
      <c r="G1" s="4"/>
      <c r="H1" s="3" t="s">
        <v>5</v>
      </c>
      <c r="I1" s="4"/>
      <c r="J1" s="3" t="s">
        <v>6</v>
      </c>
      <c r="K1" s="4"/>
      <c r="L1" s="3" t="s">
        <v>7</v>
      </c>
      <c r="M1" s="4"/>
      <c r="N1" s="3" t="s">
        <v>8</v>
      </c>
      <c r="O1" s="4"/>
      <c r="P1" s="3" t="s">
        <v>9</v>
      </c>
      <c r="Q1" s="4"/>
      <c r="R1" s="3" t="s">
        <v>10</v>
      </c>
      <c r="S1" s="4"/>
    </row>
    <row r="2" spans="1:28" x14ac:dyDescent="0.25">
      <c r="A2" s="5" t="s">
        <v>11</v>
      </c>
      <c r="B2" s="6"/>
      <c r="C2" s="6"/>
      <c r="D2" s="7" t="s">
        <v>12</v>
      </c>
      <c r="E2" s="8" t="s">
        <v>13</v>
      </c>
      <c r="F2" s="7" t="s">
        <v>14</v>
      </c>
      <c r="G2" s="8" t="s">
        <v>15</v>
      </c>
      <c r="H2" s="8" t="s">
        <v>16</v>
      </c>
      <c r="I2" s="7" t="s">
        <v>17</v>
      </c>
      <c r="J2" s="8" t="s">
        <v>18</v>
      </c>
      <c r="K2" s="7" t="s">
        <v>19</v>
      </c>
      <c r="L2" s="8" t="s">
        <v>20</v>
      </c>
      <c r="M2" s="7" t="s">
        <v>21</v>
      </c>
      <c r="N2" s="8" t="s">
        <v>22</v>
      </c>
      <c r="O2" s="7" t="s">
        <v>23</v>
      </c>
      <c r="P2" s="8" t="s">
        <v>22</v>
      </c>
      <c r="Q2" s="7" t="s">
        <v>23</v>
      </c>
      <c r="R2" s="8" t="s">
        <v>22</v>
      </c>
      <c r="S2" s="7" t="s">
        <v>23</v>
      </c>
    </row>
    <row r="3" spans="1:28" x14ac:dyDescent="0.25">
      <c r="A3" s="9" t="s">
        <v>24</v>
      </c>
      <c r="B3" s="9">
        <v>2001</v>
      </c>
      <c r="C3" s="9">
        <v>5</v>
      </c>
    </row>
    <row r="4" spans="1:28" x14ac:dyDescent="0.25">
      <c r="A4" s="9"/>
      <c r="B4" s="9">
        <v>2002</v>
      </c>
      <c r="C4" s="9"/>
    </row>
    <row r="5" spans="1:28" x14ac:dyDescent="0.25">
      <c r="A5" s="9"/>
      <c r="B5" s="9">
        <v>2003</v>
      </c>
      <c r="C5" s="9"/>
    </row>
    <row r="6" spans="1:28" x14ac:dyDescent="0.25">
      <c r="A6" s="9"/>
      <c r="B6" s="9">
        <v>2004</v>
      </c>
      <c r="C6" s="9"/>
    </row>
    <row r="7" spans="1:28" x14ac:dyDescent="0.25">
      <c r="A7" s="9"/>
      <c r="B7" s="9">
        <v>2005</v>
      </c>
      <c r="C7" s="9"/>
    </row>
    <row r="8" spans="1:28" x14ac:dyDescent="0.25">
      <c r="A8" s="9" t="s">
        <v>25</v>
      </c>
      <c r="B8" s="9">
        <v>2006</v>
      </c>
      <c r="C8" s="9">
        <v>10</v>
      </c>
      <c r="V8" s="21" t="s">
        <v>39</v>
      </c>
      <c r="W8" s="21" t="s">
        <v>37</v>
      </c>
      <c r="X8" s="21" t="s">
        <v>38</v>
      </c>
      <c r="Z8" s="21" t="s">
        <v>40</v>
      </c>
      <c r="AA8" s="21" t="s">
        <v>37</v>
      </c>
      <c r="AB8" s="21" t="s">
        <v>38</v>
      </c>
    </row>
    <row r="9" spans="1:28" x14ac:dyDescent="0.25">
      <c r="A9" s="9"/>
      <c r="B9" s="9">
        <v>2007</v>
      </c>
      <c r="C9" s="9"/>
      <c r="V9" s="21" t="s">
        <v>33</v>
      </c>
      <c r="W9">
        <v>261344177</v>
      </c>
      <c r="X9">
        <v>1843349</v>
      </c>
      <c r="Z9" s="21" t="s">
        <v>33</v>
      </c>
      <c r="AA9">
        <f>W9/(W9+X9)</f>
        <v>0.99299606243496508</v>
      </c>
      <c r="AB9">
        <f>1-AA9</f>
        <v>7.0039375650349234E-3</v>
      </c>
    </row>
    <row r="10" spans="1:28" x14ac:dyDescent="0.25">
      <c r="A10" s="9"/>
      <c r="B10" s="9">
        <v>2008</v>
      </c>
      <c r="C10" s="9"/>
      <c r="V10" s="21" t="s">
        <v>34</v>
      </c>
      <c r="W10">
        <v>631888</v>
      </c>
      <c r="X10">
        <v>850154</v>
      </c>
      <c r="Z10" s="21" t="s">
        <v>34</v>
      </c>
      <c r="AA10">
        <f t="shared" ref="AA10:AA12" si="0">W10/(W10+X10)</f>
        <v>0.42636308552659102</v>
      </c>
      <c r="AB10">
        <f t="shared" ref="AB10:AB12" si="1">1-AA10</f>
        <v>0.57363691447340903</v>
      </c>
    </row>
    <row r="11" spans="1:28" x14ac:dyDescent="0.25">
      <c r="A11" s="9"/>
      <c r="B11" s="9">
        <v>2009</v>
      </c>
      <c r="C11" s="9"/>
      <c r="V11" s="21" t="s">
        <v>35</v>
      </c>
      <c r="W11">
        <v>13054425</v>
      </c>
      <c r="X11">
        <v>9943096</v>
      </c>
      <c r="Z11" s="21" t="s">
        <v>35</v>
      </c>
      <c r="AA11">
        <f t="shared" si="0"/>
        <v>0.5676448778979265</v>
      </c>
      <c r="AB11">
        <f t="shared" si="1"/>
        <v>0.4323551221020735</v>
      </c>
    </row>
    <row r="12" spans="1:28" x14ac:dyDescent="0.25">
      <c r="A12" s="9"/>
      <c r="B12" s="9">
        <v>2010</v>
      </c>
      <c r="C12" s="9"/>
      <c r="V12" s="21" t="s">
        <v>36</v>
      </c>
      <c r="W12">
        <v>0</v>
      </c>
      <c r="X12">
        <v>8595806</v>
      </c>
      <c r="Z12" s="21" t="s">
        <v>36</v>
      </c>
      <c r="AA12">
        <f t="shared" si="0"/>
        <v>0</v>
      </c>
      <c r="AB12">
        <f t="shared" si="1"/>
        <v>1</v>
      </c>
    </row>
    <row r="13" spans="1:28" x14ac:dyDescent="0.25">
      <c r="A13" s="9" t="s">
        <v>26</v>
      </c>
      <c r="B13" s="9">
        <v>2011</v>
      </c>
      <c r="C13" s="9">
        <v>15</v>
      </c>
    </row>
    <row r="14" spans="1:28" x14ac:dyDescent="0.25">
      <c r="A14" s="9"/>
      <c r="B14" s="9">
        <v>2012</v>
      </c>
      <c r="C14" s="9"/>
    </row>
    <row r="15" spans="1:28" x14ac:dyDescent="0.25">
      <c r="A15" s="9"/>
      <c r="B15" s="9">
        <v>2013</v>
      </c>
      <c r="C15" s="9"/>
    </row>
    <row r="16" spans="1:28" x14ac:dyDescent="0.25">
      <c r="A16" s="9"/>
      <c r="B16" s="9">
        <v>2014</v>
      </c>
      <c r="C16" s="9"/>
    </row>
    <row r="17" spans="1:50" x14ac:dyDescent="0.25">
      <c r="A17" s="9"/>
      <c r="B17" s="9">
        <v>2015</v>
      </c>
      <c r="C17" s="9"/>
      <c r="X17" s="21" t="s">
        <v>3</v>
      </c>
      <c r="Y17" s="21" t="s">
        <v>45</v>
      </c>
      <c r="Z17" s="21" t="s">
        <v>4</v>
      </c>
      <c r="AA17" s="21" t="s">
        <v>45</v>
      </c>
      <c r="AB17" s="21" t="s">
        <v>5</v>
      </c>
      <c r="AC17" s="21" t="s">
        <v>45</v>
      </c>
      <c r="AD17" s="22" t="s">
        <v>6</v>
      </c>
      <c r="AE17" s="21" t="s">
        <v>45</v>
      </c>
      <c r="AF17" s="23" t="s">
        <v>7</v>
      </c>
      <c r="AG17" s="21" t="s">
        <v>45</v>
      </c>
      <c r="AH17" s="25" t="s">
        <v>8</v>
      </c>
      <c r="AI17" s="21" t="s">
        <v>45</v>
      </c>
      <c r="AJ17" s="25" t="s">
        <v>9</v>
      </c>
      <c r="AK17" s="21" t="s">
        <v>45</v>
      </c>
      <c r="AL17" s="23" t="s">
        <v>10</v>
      </c>
      <c r="AM17" s="21" t="s">
        <v>45</v>
      </c>
      <c r="AP17" s="21" t="s">
        <v>41</v>
      </c>
      <c r="AQ17" s="21" t="s">
        <v>42</v>
      </c>
      <c r="AR17" s="21" t="s">
        <v>43</v>
      </c>
      <c r="AS17" s="21" t="s">
        <v>44</v>
      </c>
      <c r="AT17" s="21" t="s">
        <v>46</v>
      </c>
      <c r="AU17" s="21" t="s">
        <v>41</v>
      </c>
      <c r="AV17" s="21" t="s">
        <v>42</v>
      </c>
      <c r="AW17" s="21" t="s">
        <v>43</v>
      </c>
      <c r="AX17" s="21" t="s">
        <v>44</v>
      </c>
    </row>
    <row r="18" spans="1:50" x14ac:dyDescent="0.25">
      <c r="A18" s="9" t="s">
        <v>27</v>
      </c>
      <c r="B18" s="9">
        <v>2016</v>
      </c>
      <c r="C18" s="9">
        <v>20</v>
      </c>
      <c r="D18">
        <f>IFERROR((BAU燃油经济性!D18-CNS燃油经济性!D18)/BAU燃油经济性!D18,0)</f>
        <v>0</v>
      </c>
      <c r="E18">
        <f>IFERROR((BAU燃油经济性!E18-CNS燃油经济性!E18)/BAU燃油经济性!E18,0)</f>
        <v>0</v>
      </c>
      <c r="F18">
        <f>IFERROR((BAU燃油经济性!F18-CNS燃油经济性!F18)/BAU燃油经济性!F18,0)</f>
        <v>0</v>
      </c>
      <c r="G18">
        <f>IFERROR((BAU燃油经济性!G18-CNS燃油经济性!G18)/BAU燃油经济性!G18,0)</f>
        <v>0</v>
      </c>
      <c r="H18">
        <f>IFERROR((BAU燃油经济性!H18-CNS燃油经济性!H18)/BAU燃油经济性!H18,0)</f>
        <v>0</v>
      </c>
      <c r="I18">
        <f>IFERROR((BAU燃油经济性!I18-CNS燃油经济性!I18)/BAU燃油经济性!I18,0)</f>
        <v>1.9762845849801954E-3</v>
      </c>
      <c r="J18">
        <f>IFERROR((BAU燃油经济性!J18-CNS燃油经济性!J18)/BAU燃油经济性!J18,0)</f>
        <v>0</v>
      </c>
      <c r="K18">
        <f>IFERROR((BAU燃油经济性!K18-CNS燃油经济性!K18)/BAU燃油经济性!K18,0)</f>
        <v>0</v>
      </c>
      <c r="L18">
        <f>IFERROR((BAU燃油经济性!L18-CNS燃油经济性!L18)/BAU燃油经济性!L18,0)</f>
        <v>0</v>
      </c>
      <c r="M18">
        <f>IFERROR((BAU燃油经济性!M18-CNS燃油经济性!M18)/BAU燃油经济性!M18,0)</f>
        <v>0</v>
      </c>
      <c r="N18">
        <f>IFERROR((BAU燃油经济性!N18-CNS燃油经济性!N18)/BAU燃油经济性!N18,0)</f>
        <v>0</v>
      </c>
      <c r="O18">
        <f>IFERROR((BAU燃油经济性!O18-CNS燃油经济性!O18)/BAU燃油经济性!O18,0)</f>
        <v>0</v>
      </c>
      <c r="P18">
        <f>IFERROR((BAU燃油经济性!P18-CNS燃油经济性!P18)/BAU燃油经济性!P18,0)</f>
        <v>0</v>
      </c>
      <c r="Q18">
        <f>IFERROR((BAU燃油经济性!Q18-CNS燃油经济性!Q18)/BAU燃油经济性!Q18,0)</f>
        <v>0</v>
      </c>
      <c r="R18">
        <f>IFERROR((BAU燃油经济性!R18-CNS燃油经济性!R18)/BAU燃油经济性!R18,0)</f>
        <v>0</v>
      </c>
      <c r="S18">
        <f>IFERROR((BAU燃油经济性!S18-CNS燃油经济性!S18)/BAU燃油经济性!S18,0)</f>
        <v>0</v>
      </c>
      <c r="U18" s="9" t="s">
        <v>27</v>
      </c>
      <c r="V18" s="9">
        <v>2016</v>
      </c>
      <c r="W18" s="9">
        <v>20</v>
      </c>
      <c r="X18">
        <f>D18*$AA$9+E18*$AB$9</f>
        <v>0</v>
      </c>
      <c r="Z18">
        <f>F18*$AA$9+G18*$AB$9</f>
        <v>0</v>
      </c>
      <c r="AB18">
        <f>H18*$AA$11+I18*$AB$11</f>
        <v>8.5445676304755805E-4</v>
      </c>
      <c r="AD18">
        <f>J18*$AA$10+K18*$AB$10</f>
        <v>0</v>
      </c>
      <c r="AF18">
        <f>L18*$AA$10+M18*$AB$10</f>
        <v>0</v>
      </c>
      <c r="AH18">
        <f>O18</f>
        <v>0</v>
      </c>
      <c r="AJ18">
        <f>Q18</f>
        <v>0</v>
      </c>
      <c r="AL18">
        <f>R18*$AA$10+S18*$AB$10</f>
        <v>0</v>
      </c>
      <c r="AO18" s="9">
        <v>2016</v>
      </c>
      <c r="AP18">
        <f>X18</f>
        <v>0</v>
      </c>
      <c r="AR18">
        <f>AB18</f>
        <v>8.5445676304755805E-4</v>
      </c>
    </row>
    <row r="19" spans="1:50" x14ac:dyDescent="0.25">
      <c r="A19" s="12"/>
      <c r="B19" s="9">
        <v>2017</v>
      </c>
      <c r="C19" s="12"/>
      <c r="D19">
        <f>IFERROR((BAU燃油经济性!D19-CNS燃油经济性!D19)/BAU燃油经济性!D19,0)</f>
        <v>-2.1739130434789871E-4</v>
      </c>
      <c r="E19">
        <f>IFERROR((BAU燃油经济性!E19-CNS燃油经济性!E19)/BAU燃油经济性!E19,0)</f>
        <v>0</v>
      </c>
      <c r="F19">
        <f>IFERROR((BAU燃油经济性!F19-CNS燃油经济性!F19)/BAU燃油经济性!F19,0)</f>
        <v>-2.1739130434789871E-4</v>
      </c>
      <c r="G19">
        <f>IFERROR((BAU燃油经济性!G19-CNS燃油经济性!G19)/BAU燃油经济性!G19,0)</f>
        <v>0</v>
      </c>
      <c r="H19">
        <f>IFERROR((BAU燃油经济性!H19-CNS燃油经济性!H19)/BAU燃油经济性!H19,0)</f>
        <v>0</v>
      </c>
      <c r="I19">
        <f>IFERROR((BAU燃油经济性!I19-CNS燃油经济性!I19)/BAU燃油经济性!I19,0)</f>
        <v>0</v>
      </c>
      <c r="J19">
        <f>IFERROR((BAU燃油经济性!J19-CNS燃油经济性!J19)/BAU燃油经济性!J19,0)</f>
        <v>0</v>
      </c>
      <c r="K19">
        <f>IFERROR((BAU燃油经济性!K19-CNS燃油经济性!K19)/BAU燃油经济性!K19,0)</f>
        <v>0</v>
      </c>
      <c r="L19">
        <f>IFERROR((BAU燃油经济性!L19-CNS燃油经济性!L19)/BAU燃油经济性!L19,0)</f>
        <v>0</v>
      </c>
      <c r="M19">
        <f>IFERROR((BAU燃油经济性!M19-CNS燃油经济性!M19)/BAU燃油经济性!M19,0)</f>
        <v>0</v>
      </c>
      <c r="N19">
        <f>IFERROR((BAU燃油经济性!N19-CNS燃油经济性!N19)/BAU燃油经济性!N19,0)</f>
        <v>0</v>
      </c>
      <c r="O19">
        <f>IFERROR((BAU燃油经济性!O19-CNS燃油经济性!O19)/BAU燃油经济性!O19,0)</f>
        <v>0</v>
      </c>
      <c r="P19">
        <f>IFERROR((BAU燃油经济性!P19-CNS燃油经济性!P19)/BAU燃油经济性!P19,0)</f>
        <v>0</v>
      </c>
      <c r="Q19">
        <f>IFERROR((BAU燃油经济性!Q19-CNS燃油经济性!Q19)/BAU燃油经济性!Q19,0)</f>
        <v>0</v>
      </c>
      <c r="R19">
        <f>IFERROR((BAU燃油经济性!R19-CNS燃油经济性!R19)/BAU燃油经济性!R19,0)</f>
        <v>0</v>
      </c>
      <c r="S19">
        <f>IFERROR((BAU燃油经济性!S19-CNS燃油经济性!S19)/BAU燃油经济性!S19,0)</f>
        <v>0</v>
      </c>
      <c r="U19" s="12"/>
      <c r="V19" s="9">
        <v>2017</v>
      </c>
      <c r="W19" s="12"/>
      <c r="X19">
        <f t="shared" ref="X19:X62" si="2">D19*$AA$9+E19*$AB$9</f>
        <v>-2.1586870922506453E-4</v>
      </c>
      <c r="Z19">
        <f t="shared" ref="Z19:Z62" si="3">F19*$AA$9+G19*$AB$9</f>
        <v>-2.1586870922506453E-4</v>
      </c>
      <c r="AB19">
        <f t="shared" ref="AB19:AB62" si="4">H19*$AA$11+I19*$AB$11</f>
        <v>0</v>
      </c>
      <c r="AD19">
        <f t="shared" ref="AD19:AD62" si="5">J19*$AA$10+K19*$AB$10</f>
        <v>0</v>
      </c>
      <c r="AF19">
        <f t="shared" ref="AF19:AF62" si="6">L19*$AA$10+M19*$AB$10</f>
        <v>0</v>
      </c>
      <c r="AH19">
        <f t="shared" ref="AH19:AH62" si="7">O19</f>
        <v>0</v>
      </c>
      <c r="AJ19">
        <f t="shared" ref="AJ19:AJ62" si="8">Q19</f>
        <v>0</v>
      </c>
      <c r="AL19">
        <f t="shared" ref="AL19:AL62" si="9">R19*$AA$10+S19*$AB$10</f>
        <v>0</v>
      </c>
      <c r="AO19" s="9">
        <v>2017</v>
      </c>
      <c r="AP19">
        <f t="shared" ref="AP19:AP62" si="10">X19</f>
        <v>-2.1586870922506453E-4</v>
      </c>
      <c r="AR19">
        <f t="shared" ref="AR19:AR62" si="11">AB19</f>
        <v>0</v>
      </c>
    </row>
    <row r="20" spans="1:50" x14ac:dyDescent="0.25">
      <c r="A20" s="12"/>
      <c r="B20" s="9">
        <v>2018</v>
      </c>
      <c r="C20" s="12"/>
      <c r="D20">
        <f>IFERROR((BAU燃油经济性!D20-CNS燃油经济性!D20)/BAU燃油经济性!D20,0)</f>
        <v>-4.5454545454560639E-4</v>
      </c>
      <c r="E20">
        <f>IFERROR((BAU燃油经济性!E20-CNS燃油经济性!E20)/BAU燃油经济性!E20,0)</f>
        <v>0</v>
      </c>
      <c r="F20">
        <f>IFERROR((BAU燃油经济性!F20-CNS燃油经济性!F20)/BAU燃油经济性!F20,0)</f>
        <v>-4.5454545454560639E-4</v>
      </c>
      <c r="G20">
        <f>IFERROR((BAU燃油经济性!G20-CNS燃油经济性!G20)/BAU燃油经济性!G20,0)</f>
        <v>0</v>
      </c>
      <c r="H20">
        <f>IFERROR((BAU燃油经济性!H20-CNS燃油经济性!H20)/BAU燃油经济性!H20,0)</f>
        <v>0</v>
      </c>
      <c r="I20">
        <f>IFERROR((BAU燃油经济性!I20-CNS燃油经济性!I20)/BAU燃油经济性!I20,0)</f>
        <v>0</v>
      </c>
      <c r="J20">
        <f>IFERROR((BAU燃油经济性!J20-CNS燃油经济性!J20)/BAU燃油经济性!J20,0)</f>
        <v>0</v>
      </c>
      <c r="K20">
        <f>IFERROR((BAU燃油经济性!K20-CNS燃油经济性!K20)/BAU燃油经济性!K20,0)</f>
        <v>0</v>
      </c>
      <c r="L20">
        <f>IFERROR((BAU燃油经济性!L20-CNS燃油经济性!L20)/BAU燃油经济性!L20,0)</f>
        <v>0</v>
      </c>
      <c r="M20">
        <f>IFERROR((BAU燃油经济性!M20-CNS燃油经济性!M20)/BAU燃油经济性!M20,0)</f>
        <v>0</v>
      </c>
      <c r="N20">
        <f>IFERROR((BAU燃油经济性!N20-CNS燃油经济性!N20)/BAU燃油经济性!N20,0)</f>
        <v>0</v>
      </c>
      <c r="O20">
        <f>IFERROR((BAU燃油经济性!O20-CNS燃油经济性!O20)/BAU燃油经济性!O20,0)</f>
        <v>0</v>
      </c>
      <c r="P20">
        <f>IFERROR((BAU燃油经济性!P20-CNS燃油经济性!P20)/BAU燃油经济性!P20,0)</f>
        <v>0</v>
      </c>
      <c r="Q20">
        <f>IFERROR((BAU燃油经济性!Q20-CNS燃油经济性!Q20)/BAU燃油经济性!Q20,0)</f>
        <v>0</v>
      </c>
      <c r="R20">
        <f>IFERROR((BAU燃油经济性!R20-CNS燃油经济性!R20)/BAU燃油经济性!R20,0)</f>
        <v>0</v>
      </c>
      <c r="S20">
        <f>IFERROR((BAU燃油经济性!S20-CNS燃油经济性!S20)/BAU燃油经济性!S20,0)</f>
        <v>0</v>
      </c>
      <c r="U20" s="12"/>
      <c r="V20" s="9">
        <v>2018</v>
      </c>
      <c r="W20" s="12"/>
      <c r="X20">
        <f t="shared" si="2"/>
        <v>-4.5136184656149853E-4</v>
      </c>
      <c r="Z20">
        <f t="shared" si="3"/>
        <v>-4.5136184656149853E-4</v>
      </c>
      <c r="AB20">
        <f t="shared" si="4"/>
        <v>0</v>
      </c>
      <c r="AD20">
        <f t="shared" si="5"/>
        <v>0</v>
      </c>
      <c r="AF20">
        <f t="shared" si="6"/>
        <v>0</v>
      </c>
      <c r="AH20">
        <f t="shared" si="7"/>
        <v>0</v>
      </c>
      <c r="AJ20">
        <f t="shared" si="8"/>
        <v>0</v>
      </c>
      <c r="AL20">
        <f t="shared" si="9"/>
        <v>0</v>
      </c>
      <c r="AO20" s="9">
        <v>2018</v>
      </c>
      <c r="AP20">
        <f t="shared" si="10"/>
        <v>-4.5136184656149853E-4</v>
      </c>
      <c r="AR20">
        <f t="shared" si="11"/>
        <v>0</v>
      </c>
    </row>
    <row r="21" spans="1:50" x14ac:dyDescent="0.25">
      <c r="A21" s="12"/>
      <c r="B21" s="9">
        <v>2019</v>
      </c>
      <c r="C21" s="12"/>
      <c r="D21">
        <f>IFERROR((BAU燃油经济性!D21-CNS燃油经济性!D21)/BAU燃油经济性!D21,0)</f>
        <v>-7.1428571428595292E-4</v>
      </c>
      <c r="E21">
        <f>IFERROR((BAU燃油经济性!E21-CNS燃油经济性!E21)/BAU燃油经济性!E21,0)</f>
        <v>0</v>
      </c>
      <c r="F21">
        <f>IFERROR((BAU燃油经济性!F21-CNS燃油经济性!F21)/BAU燃油经济性!F21,0)</f>
        <v>-7.1428571428595292E-4</v>
      </c>
      <c r="G21">
        <f>IFERROR((BAU燃油经济性!G21-CNS燃油经济性!G21)/BAU燃油经济性!G21,0)</f>
        <v>0</v>
      </c>
      <c r="H21">
        <f>IFERROR((BAU燃油经济性!H21-CNS燃油经济性!H21)/BAU燃油经济性!H21,0)</f>
        <v>0</v>
      </c>
      <c r="I21">
        <f>IFERROR((BAU燃油经济性!I21-CNS燃油经济性!I21)/BAU燃油经济性!I21,0)</f>
        <v>0</v>
      </c>
      <c r="J21">
        <f>IFERROR((BAU燃油经济性!J21-CNS燃油经济性!J21)/BAU燃油经济性!J21,0)</f>
        <v>0</v>
      </c>
      <c r="K21">
        <f>IFERROR((BAU燃油经济性!K21-CNS燃油经济性!K21)/BAU燃油经济性!K21,0)</f>
        <v>0</v>
      </c>
      <c r="L21">
        <f>IFERROR((BAU燃油经济性!L21-CNS燃油经济性!L21)/BAU燃油经济性!L21,0)</f>
        <v>0</v>
      </c>
      <c r="M21">
        <f>IFERROR((BAU燃油经济性!M21-CNS燃油经济性!M21)/BAU燃油经济性!M21,0)</f>
        <v>0</v>
      </c>
      <c r="N21">
        <f>IFERROR((BAU燃油经济性!N21-CNS燃油经济性!N21)/BAU燃油经济性!N21,0)</f>
        <v>0</v>
      </c>
      <c r="O21">
        <f>IFERROR((BAU燃油经济性!O21-CNS燃油经济性!O21)/BAU燃油经济性!O21,0)</f>
        <v>0</v>
      </c>
      <c r="P21">
        <f>IFERROR((BAU燃油经济性!P21-CNS燃油经济性!P21)/BAU燃油经济性!P21,0)</f>
        <v>0</v>
      </c>
      <c r="Q21">
        <f>IFERROR((BAU燃油经济性!Q21-CNS燃油经济性!Q21)/BAU燃油经济性!Q21,0)</f>
        <v>0</v>
      </c>
      <c r="R21">
        <f>IFERROR((BAU燃油经济性!R21-CNS燃油经济性!R21)/BAU燃油经济性!R21,0)</f>
        <v>0</v>
      </c>
      <c r="S21">
        <f>IFERROR((BAU燃油经济性!S21-CNS燃油经济性!S21)/BAU燃油经济性!S21,0)</f>
        <v>0</v>
      </c>
      <c r="U21" s="12"/>
      <c r="V21" s="9">
        <v>2019</v>
      </c>
      <c r="W21" s="12"/>
      <c r="X21">
        <f t="shared" si="2"/>
        <v>-7.0928290173949773E-4</v>
      </c>
      <c r="Z21">
        <f t="shared" si="3"/>
        <v>-7.0928290173949773E-4</v>
      </c>
      <c r="AB21">
        <f t="shared" si="4"/>
        <v>0</v>
      </c>
      <c r="AD21">
        <f t="shared" si="5"/>
        <v>0</v>
      </c>
      <c r="AF21">
        <f t="shared" si="6"/>
        <v>0</v>
      </c>
      <c r="AH21">
        <f t="shared" si="7"/>
        <v>0</v>
      </c>
      <c r="AJ21">
        <f t="shared" si="8"/>
        <v>0</v>
      </c>
      <c r="AL21">
        <f t="shared" si="9"/>
        <v>0</v>
      </c>
      <c r="AO21" s="9">
        <v>2019</v>
      </c>
      <c r="AP21">
        <f t="shared" si="10"/>
        <v>-7.0928290173949773E-4</v>
      </c>
      <c r="AR21">
        <f t="shared" si="11"/>
        <v>0</v>
      </c>
    </row>
    <row r="22" spans="1:50" x14ac:dyDescent="0.25">
      <c r="A22" s="12"/>
      <c r="B22" s="9">
        <v>2020</v>
      </c>
      <c r="C22" s="12"/>
      <c r="D22">
        <f>IFERROR((BAU燃油经济性!D22-CNS燃油经济性!D22)/BAU燃油经济性!D22,0)</f>
        <v>-1.0000000000003342E-3</v>
      </c>
      <c r="E22">
        <f>IFERROR((BAU燃油经济性!E22-CNS燃油经济性!E22)/BAU燃油经济性!E22,0)</f>
        <v>0</v>
      </c>
      <c r="F22">
        <f>IFERROR((BAU燃油经济性!F22-CNS燃油经济性!F22)/BAU燃油经济性!F22,0)</f>
        <v>-1.0000000000003342E-3</v>
      </c>
      <c r="G22">
        <f>IFERROR((BAU燃油经济性!G22-CNS燃油经济性!G22)/BAU燃油经济性!G22,0)</f>
        <v>0</v>
      </c>
      <c r="H22">
        <f>IFERROR((BAU燃油经济性!H22-CNS燃油经济性!H22)/BAU燃油经济性!H22,0)</f>
        <v>0</v>
      </c>
      <c r="I22">
        <f>IFERROR((BAU燃油经济性!I22-CNS燃油经济性!I22)/BAU燃油经济性!I22,0)</f>
        <v>0</v>
      </c>
      <c r="J22">
        <f>IFERROR((BAU燃油经济性!J22-CNS燃油经济性!J22)/BAU燃油经济性!J22,0)</f>
        <v>0</v>
      </c>
      <c r="K22">
        <f>IFERROR((BAU燃油经济性!K22-CNS燃油经济性!K22)/BAU燃油经济性!K22,0)</f>
        <v>0</v>
      </c>
      <c r="L22">
        <f>IFERROR((BAU燃油经济性!L22-CNS燃油经济性!L22)/BAU燃油经济性!L22,0)</f>
        <v>0</v>
      </c>
      <c r="M22">
        <f>IFERROR((BAU燃油经济性!M22-CNS燃油经济性!M22)/BAU燃油经济性!M22,0)</f>
        <v>0</v>
      </c>
      <c r="N22">
        <f>IFERROR((BAU燃油经济性!N22-CNS燃油经济性!N22)/BAU燃油经济性!N22,0)</f>
        <v>0</v>
      </c>
      <c r="O22">
        <f>IFERROR((BAU燃油经济性!O22-CNS燃油经济性!O22)/BAU燃油经济性!O22,0)</f>
        <v>0</v>
      </c>
      <c r="P22">
        <f>IFERROR((BAU燃油经济性!P22-CNS燃油经济性!P22)/BAU燃油经济性!P22,0)</f>
        <v>0</v>
      </c>
      <c r="Q22">
        <f>IFERROR((BAU燃油经济性!Q22-CNS燃油经济性!Q22)/BAU燃油经济性!Q22,0)</f>
        <v>0</v>
      </c>
      <c r="R22">
        <f>IFERROR((BAU燃油经济性!R22-CNS燃油经济性!R22)/BAU燃油经济性!R22,0)</f>
        <v>0</v>
      </c>
      <c r="S22">
        <f>IFERROR((BAU燃油经济性!S22-CNS燃油经济性!S22)/BAU燃油经济性!S22,0)</f>
        <v>0</v>
      </c>
      <c r="U22" s="12"/>
      <c r="V22" s="9">
        <v>2020</v>
      </c>
      <c r="W22" s="12"/>
      <c r="X22">
        <f t="shared" si="2"/>
        <v>-9.9299606243529685E-4</v>
      </c>
      <c r="Z22">
        <f t="shared" si="3"/>
        <v>-9.9299606243529685E-4</v>
      </c>
      <c r="AB22">
        <f t="shared" si="4"/>
        <v>0</v>
      </c>
      <c r="AD22">
        <f t="shared" si="5"/>
        <v>0</v>
      </c>
      <c r="AE22">
        <v>5275.9878610444603</v>
      </c>
      <c r="AF22">
        <f t="shared" si="6"/>
        <v>0</v>
      </c>
      <c r="AG22">
        <v>124695.247400049</v>
      </c>
      <c r="AH22">
        <f t="shared" si="7"/>
        <v>0</v>
      </c>
      <c r="AI22">
        <v>95769.558689613244</v>
      </c>
      <c r="AJ22">
        <f t="shared" si="8"/>
        <v>0</v>
      </c>
      <c r="AK22">
        <v>1486078.8349042004</v>
      </c>
      <c r="AL22">
        <f t="shared" si="9"/>
        <v>0</v>
      </c>
      <c r="AM22" s="24">
        <v>59319.678805622199</v>
      </c>
      <c r="AO22" s="9">
        <v>2020</v>
      </c>
      <c r="AP22">
        <f t="shared" si="10"/>
        <v>-9.9299606243529685E-4</v>
      </c>
      <c r="AR22">
        <f t="shared" si="11"/>
        <v>0</v>
      </c>
    </row>
    <row r="23" spans="1:50" x14ac:dyDescent="0.25">
      <c r="A23" s="12" t="s">
        <v>28</v>
      </c>
      <c r="B23" s="9">
        <v>2021</v>
      </c>
      <c r="C23" s="12">
        <v>25</v>
      </c>
      <c r="D23">
        <f>IFERROR((BAU燃油经济性!D23-CNS燃油经济性!D23)/BAU燃油经济性!D23,0)</f>
        <v>1.1671201310119911E-16</v>
      </c>
      <c r="E23">
        <f>IFERROR((BAU燃油经济性!E23-CNS燃油经济性!E23)/BAU燃油经济性!E23,0)</f>
        <v>0</v>
      </c>
      <c r="F23">
        <f>IFERROR((BAU燃油经济性!F23-CNS燃油经济性!F23)/BAU燃油经济性!F23,0)</f>
        <v>0</v>
      </c>
      <c r="G23">
        <f>IFERROR((BAU燃油经济性!G23-CNS燃油经济性!G23)/BAU燃油经济性!G23,0)</f>
        <v>0</v>
      </c>
      <c r="H23">
        <f>IFERROR((BAU燃油经济性!H23-CNS燃油经济性!H23)/BAU燃油经济性!H23,0)</f>
        <v>0</v>
      </c>
      <c r="I23">
        <f>IFERROR((BAU燃油经济性!I23-CNS燃油经济性!I23)/BAU燃油经济性!I23,0)</f>
        <v>0</v>
      </c>
      <c r="J23">
        <f>IFERROR((BAU燃油经济性!J23-CNS燃油经济性!J23)/BAU燃油经济性!J23,0)</f>
        <v>0</v>
      </c>
      <c r="K23">
        <f>IFERROR((BAU燃油经济性!K23-CNS燃油经济性!K23)/BAU燃油经济性!K23,0)</f>
        <v>0</v>
      </c>
      <c r="L23">
        <f>IFERROR((BAU燃油经济性!L23-CNS燃油经济性!L23)/BAU燃油经济性!L23,0)</f>
        <v>0</v>
      </c>
      <c r="M23">
        <f>IFERROR((BAU燃油经济性!M23-CNS燃油经济性!M23)/BAU燃油经济性!M23,0)</f>
        <v>0</v>
      </c>
      <c r="N23">
        <f>IFERROR((BAU燃油经济性!N23-CNS燃油经济性!N23)/BAU燃油经济性!N23,0)</f>
        <v>0</v>
      </c>
      <c r="O23">
        <f>IFERROR((BAU燃油经济性!O23-CNS燃油经济性!O23)/BAU燃油经济性!O23,0)</f>
        <v>0</v>
      </c>
      <c r="P23">
        <f>IFERROR((BAU燃油经济性!P23-CNS燃油经济性!P23)/BAU燃油经济性!P23,0)</f>
        <v>0</v>
      </c>
      <c r="Q23">
        <f>IFERROR((BAU燃油经济性!Q23-CNS燃油经济性!Q23)/BAU燃油经济性!Q23,0)</f>
        <v>0</v>
      </c>
      <c r="R23">
        <f>IFERROR((BAU燃油经济性!R23-CNS燃油经济性!R23)/BAU燃油经济性!R23,0)</f>
        <v>0</v>
      </c>
      <c r="S23">
        <f>IFERROR((BAU燃油经济性!S23-CNS燃油经济性!S23)/BAU燃油经济性!S23,0)</f>
        <v>0</v>
      </c>
      <c r="U23" s="12" t="s">
        <v>28</v>
      </c>
      <c r="V23" s="9">
        <v>2021</v>
      </c>
      <c r="W23" s="12">
        <v>25</v>
      </c>
      <c r="X23">
        <f t="shared" si="2"/>
        <v>1.1589456944834877E-16</v>
      </c>
      <c r="Z23">
        <f t="shared" si="3"/>
        <v>0</v>
      </c>
      <c r="AB23">
        <f t="shared" si="4"/>
        <v>0</v>
      </c>
      <c r="AD23">
        <f t="shared" si="5"/>
        <v>0</v>
      </c>
      <c r="AE23">
        <v>14786.5694437944</v>
      </c>
      <c r="AF23">
        <f t="shared" si="6"/>
        <v>0</v>
      </c>
      <c r="AG23">
        <v>-406.07578414352599</v>
      </c>
      <c r="AH23">
        <f t="shared" si="7"/>
        <v>0</v>
      </c>
      <c r="AI23">
        <v>34625.977359658922</v>
      </c>
      <c r="AJ23">
        <f t="shared" si="8"/>
        <v>0</v>
      </c>
      <c r="AK23">
        <v>1443872.3143542781</v>
      </c>
      <c r="AL23">
        <f t="shared" si="9"/>
        <v>0</v>
      </c>
      <c r="AM23" s="24">
        <v>166250.297222872</v>
      </c>
      <c r="AO23" s="9">
        <v>2021</v>
      </c>
      <c r="AP23">
        <f t="shared" si="10"/>
        <v>1.1589456944834877E-16</v>
      </c>
      <c r="AR23">
        <f t="shared" si="11"/>
        <v>0</v>
      </c>
    </row>
    <row r="24" spans="1:50" x14ac:dyDescent="0.25">
      <c r="A24" s="9"/>
      <c r="B24" s="9">
        <v>2022</v>
      </c>
      <c r="C24" s="9"/>
      <c r="D24">
        <f>IFERROR((BAU燃油经济性!D24-CNS燃油经济性!D24)/BAU燃油经济性!D24,0)</f>
        <v>2.9027576197397209E-4</v>
      </c>
      <c r="E24">
        <f>IFERROR((BAU燃油经济性!E24-CNS燃油经济性!E24)/BAU燃油经济性!E24,0)</f>
        <v>0</v>
      </c>
      <c r="F24">
        <f>IFERROR((BAU燃油经济性!F24-CNS燃油经济性!F24)/BAU燃油经济性!F24,0)</f>
        <v>2.9027576197397209E-4</v>
      </c>
      <c r="G24">
        <f>IFERROR((BAU燃油经济性!G24-CNS燃油经济性!G24)/BAU燃油经济性!G24,0)</f>
        <v>0</v>
      </c>
      <c r="H24">
        <f>IFERROR((BAU燃油经济性!H24-CNS燃油经济性!H24)/BAU燃油经济性!H24,0)</f>
        <v>1.9531772575251058E-3</v>
      </c>
      <c r="I24">
        <f>IFERROR((BAU燃油经济性!I24-CNS燃油经济性!I24)/BAU燃油经济性!I24,0)</f>
        <v>1.3008130081301186E-3</v>
      </c>
      <c r="J24">
        <f>IFERROR((BAU燃油经济性!J24-CNS燃油经济性!J24)/BAU燃油经济性!J24,0)</f>
        <v>0</v>
      </c>
      <c r="K24">
        <f>IFERROR((BAU燃油经济性!K24-CNS燃油经济性!K24)/BAU燃油经济性!K24,0)</f>
        <v>1.7393207036521493E-3</v>
      </c>
      <c r="L24">
        <f>IFERROR((BAU燃油经济性!L24-CNS燃油经济性!L24)/BAU燃油经济性!L24,0)</f>
        <v>0</v>
      </c>
      <c r="M24">
        <f>IFERROR((BAU燃油经济性!M24-CNS燃油经济性!M24)/BAU燃油经济性!M24,0)</f>
        <v>-3.5805058605798946E-2</v>
      </c>
      <c r="N24">
        <f>IFERROR((BAU燃油经济性!N24-CNS燃油经济性!N24)/BAU燃油经济性!N24,0)</f>
        <v>0</v>
      </c>
      <c r="O24">
        <f>IFERROR((BAU燃油经济性!O24-CNS燃油经济性!O24)/BAU燃油经济性!O24,0)</f>
        <v>-6.1160427290926894E-3</v>
      </c>
      <c r="P24">
        <f>IFERROR((BAU燃油经济性!P24-CNS燃油经济性!P24)/BAU燃油经济性!P24,0)</f>
        <v>0</v>
      </c>
      <c r="Q24">
        <f>IFERROR((BAU燃油经济性!Q24-CNS燃油经济性!Q24)/BAU燃油经济性!Q24,0)</f>
        <v>1.9009900990099261E-3</v>
      </c>
      <c r="R24">
        <f>IFERROR((BAU燃油经济性!R24-CNS燃油经济性!R24)/BAU燃油经济性!R24,0)</f>
        <v>0</v>
      </c>
      <c r="S24">
        <f>IFERROR((BAU燃油经济性!S24-CNS燃油经济性!S24)/BAU燃油经济性!S24,0)</f>
        <v>-3.5805058605798946E-2</v>
      </c>
      <c r="U24" s="9"/>
      <c r="V24" s="9">
        <v>2022</v>
      </c>
      <c r="W24" s="9"/>
      <c r="X24">
        <f t="shared" si="2"/>
        <v>2.8824268866046342E-4</v>
      </c>
      <c r="Z24">
        <f t="shared" si="3"/>
        <v>2.8824268866046342E-4</v>
      </c>
      <c r="AB24">
        <f t="shared" si="4"/>
        <v>1.6711242328229087E-3</v>
      </c>
      <c r="AD24">
        <f t="shared" si="5"/>
        <v>9.9773856172273752E-4</v>
      </c>
      <c r="AE24">
        <v>5010.2423330688498</v>
      </c>
      <c r="AF24">
        <f t="shared" si="6"/>
        <v>-2.0539103341170088E-2</v>
      </c>
      <c r="AG24">
        <v>168080.935215523</v>
      </c>
      <c r="AH24">
        <f t="shared" si="7"/>
        <v>-6.1160427290926894E-3</v>
      </c>
      <c r="AI24">
        <v>87157.395479513798</v>
      </c>
      <c r="AJ24">
        <f t="shared" si="8"/>
        <v>1.9009900990099261E-3</v>
      </c>
      <c r="AK24">
        <v>813781.61741225235</v>
      </c>
      <c r="AL24">
        <f t="shared" si="9"/>
        <v>-2.0539103341170088E-2</v>
      </c>
      <c r="AM24" s="24">
        <v>56331.813825883102</v>
      </c>
      <c r="AO24" s="9">
        <v>2022</v>
      </c>
      <c r="AP24">
        <f t="shared" si="10"/>
        <v>2.8824268866046342E-4</v>
      </c>
      <c r="AQ24">
        <f>AD24*AE24/(AE24+AG24+AM24)+AF24*AG24/(AE24+AG24+AM24)+AL24*AM24/(AE24+AG24+AM24)</f>
        <v>-2.0068772114225367E-2</v>
      </c>
      <c r="AR24">
        <f t="shared" si="11"/>
        <v>1.6711242328229087E-3</v>
      </c>
      <c r="AS24">
        <f>AH24*AI24/(AI24+AK24)+AJ24*AK24/(AI24+AK24)</f>
        <v>1.1254174012216376E-3</v>
      </c>
      <c r="AT24">
        <v>2022</v>
      </c>
      <c r="AU24">
        <f>AP24/AP$62</f>
        <v>1.1611030478958883E-3</v>
      </c>
      <c r="AV24">
        <f t="shared" ref="AV24:AX39" si="12">AQ24/AQ$62</f>
        <v>-4.4258520225811688</v>
      </c>
      <c r="AW24">
        <f t="shared" si="12"/>
        <v>6.6844969312916405E-2</v>
      </c>
      <c r="AX24">
        <f t="shared" si="12"/>
        <v>4.1758639114250942E-2</v>
      </c>
    </row>
    <row r="25" spans="1:50" x14ac:dyDescent="0.25">
      <c r="A25" s="9"/>
      <c r="B25" s="9">
        <v>2023</v>
      </c>
      <c r="C25" s="9"/>
      <c r="D25">
        <f>IFERROR((BAU燃油经济性!D25-CNS燃油经济性!D25)/BAU燃油经济性!D25,0)</f>
        <v>6.4829821717997524E-4</v>
      </c>
      <c r="E25">
        <f>IFERROR((BAU燃油经济性!E25-CNS燃油经济性!E25)/BAU燃油经济性!E25,0)</f>
        <v>0</v>
      </c>
      <c r="F25">
        <f>IFERROR((BAU燃油经济性!F25-CNS燃油经济性!F25)/BAU燃油经济性!F25,0)</f>
        <v>6.4829821718011922E-4</v>
      </c>
      <c r="G25">
        <f>IFERROR((BAU燃油经济性!G25-CNS燃油经济性!G25)/BAU燃油经济性!G25,0)</f>
        <v>0</v>
      </c>
      <c r="H25">
        <f>IFERROR((BAU燃油经济性!H25-CNS燃油经济性!H25)/BAU燃油经济性!H25,0)</f>
        <v>4.0206540447504761E-3</v>
      </c>
      <c r="I25">
        <f>IFERROR((BAU燃油经济性!I25-CNS燃油经济性!I25)/BAU燃油经济性!I25,0)</f>
        <v>2.6722338204593667E-3</v>
      </c>
      <c r="J25">
        <f>IFERROR((BAU燃油经济性!J25-CNS燃油经济性!J25)/BAU燃油经济性!J25,0)</f>
        <v>0</v>
      </c>
      <c r="K25">
        <f>IFERROR((BAU燃油经济性!K25-CNS燃油经济性!K25)/BAU燃油经济性!K25,0)</f>
        <v>3.5598232371130334E-3</v>
      </c>
      <c r="L25">
        <f>IFERROR((BAU燃油经济性!L25-CNS燃油经济性!L25)/BAU燃油经济性!L25,0)</f>
        <v>0</v>
      </c>
      <c r="M25">
        <f>IFERROR((BAU燃油经济性!M25-CNS燃油经济性!M25)/BAU燃油经济性!M25,0)</f>
        <v>-7.8805159538357095E-2</v>
      </c>
      <c r="N25">
        <f>IFERROR((BAU燃油经济性!N25-CNS燃油经济性!N25)/BAU燃油经济性!N25,0)</f>
        <v>0</v>
      </c>
      <c r="O25">
        <f>IFERROR((BAU燃油经济性!O25-CNS燃油经济性!O25)/BAU燃油经济性!O25,0)</f>
        <v>-1.2956224917309953E-2</v>
      </c>
      <c r="P25">
        <f>IFERROR((BAU燃油经济性!P25-CNS燃油经济性!P25)/BAU燃油经济性!P25,0)</f>
        <v>0</v>
      </c>
      <c r="Q25">
        <f>IFERROR((BAU燃油经济性!Q25-CNS燃油经济性!Q25)/BAU燃油经济性!Q25,0)</f>
        <v>3.913043478260921E-3</v>
      </c>
      <c r="R25">
        <f>IFERROR((BAU燃油经济性!R25-CNS燃油经济性!R25)/BAU燃油经济性!R25,0)</f>
        <v>0</v>
      </c>
      <c r="S25">
        <f>IFERROR((BAU燃油经济性!S25-CNS燃油经济性!S25)/BAU燃油经济性!S25,0)</f>
        <v>-7.8805159538357095E-2</v>
      </c>
      <c r="U25" s="9"/>
      <c r="V25" s="9">
        <v>2023</v>
      </c>
      <c r="W25" s="9"/>
      <c r="X25">
        <f t="shared" si="2"/>
        <v>6.437575769433232E-4</v>
      </c>
      <c r="Z25">
        <f t="shared" si="3"/>
        <v>6.4375757694346621E-4</v>
      </c>
      <c r="AB25">
        <f t="shared" si="4"/>
        <v>3.437657654032188E-3</v>
      </c>
      <c r="AD25">
        <f t="shared" si="5"/>
        <v>2.0420460178082632E-3</v>
      </c>
      <c r="AE25">
        <v>4238.2229015869998</v>
      </c>
      <c r="AF25">
        <f t="shared" si="6"/>
        <v>-4.5205548562167901E-2</v>
      </c>
      <c r="AG25">
        <v>147765.974608989</v>
      </c>
      <c r="AH25">
        <f t="shared" si="7"/>
        <v>-1.2956224917309953E-2</v>
      </c>
      <c r="AI25">
        <v>52794.86800395418</v>
      </c>
      <c r="AJ25">
        <f t="shared" si="8"/>
        <v>3.913043478260921E-3</v>
      </c>
      <c r="AK25">
        <v>728354.80490870215</v>
      </c>
      <c r="AL25">
        <f t="shared" si="9"/>
        <v>-4.5205548562167901E-2</v>
      </c>
      <c r="AM25" s="24">
        <v>47651.743682935798</v>
      </c>
      <c r="AO25" s="9">
        <v>2023</v>
      </c>
      <c r="AP25">
        <f t="shared" si="10"/>
        <v>6.437575769433232E-4</v>
      </c>
      <c r="AQ25">
        <f t="shared" ref="AQ25:AQ62" si="13">AD25*AE25/(AE25+AG25+AM25)+AF25*AG25/(AE25+AG25+AM25)+AL25*AM25/(AE25+AG25+AM25)</f>
        <v>-4.4202593998448364E-2</v>
      </c>
      <c r="AR25">
        <f t="shared" si="11"/>
        <v>3.437657654032188E-3</v>
      </c>
      <c r="AS25">
        <f t="shared" ref="AS25:AS62" si="14">AH25*AI25/(AI25+AK25)+AJ25*AK25/(AI25+AK25)</f>
        <v>2.7729152427249087E-3</v>
      </c>
      <c r="AT25">
        <v>2023</v>
      </c>
      <c r="AU25">
        <f t="shared" ref="AU25:AU62" si="15">AP25/AP$62</f>
        <v>2.5931928687199009E-3</v>
      </c>
      <c r="AV25">
        <f t="shared" si="12"/>
        <v>-9.7481868316545075</v>
      </c>
      <c r="AW25">
        <f t="shared" si="12"/>
        <v>0.13750630616128762</v>
      </c>
      <c r="AX25">
        <f t="shared" si="12"/>
        <v>0.10288908523154329</v>
      </c>
    </row>
    <row r="26" spans="1:50" x14ac:dyDescent="0.25">
      <c r="A26" s="9"/>
      <c r="B26" s="9">
        <v>2024</v>
      </c>
      <c r="C26" s="9"/>
      <c r="D26">
        <f>IFERROR((BAU燃油经济性!D26-CNS燃油经济性!D26)/BAU燃油经济性!D26,0)</f>
        <v>1.1009174311927021E-3</v>
      </c>
      <c r="E26">
        <f>IFERROR((BAU燃油经济性!E26-CNS燃油经济性!E26)/BAU燃油经济性!E26,0)</f>
        <v>0</v>
      </c>
      <c r="F26">
        <f>IFERROR((BAU燃油经济性!F26-CNS燃油经济性!F26)/BAU燃油经济性!F26,0)</f>
        <v>1.100917431193028E-3</v>
      </c>
      <c r="G26">
        <f>IFERROR((BAU燃油经济性!G26-CNS燃油经济性!G26)/BAU燃油经济性!G26,0)</f>
        <v>0</v>
      </c>
      <c r="H26">
        <f>IFERROR((BAU燃油经济性!H26-CNS燃油经济性!H26)/BAU燃油经济性!H26,0)</f>
        <v>6.2127659574468799E-3</v>
      </c>
      <c r="I26">
        <f>IFERROR((BAU燃油经济性!I26-CNS燃油经济性!I26)/BAU燃油经济性!I26,0)</f>
        <v>4.1201716738198607E-3</v>
      </c>
      <c r="J26">
        <f>IFERROR((BAU燃油经济性!J26-CNS燃油经济性!J26)/BAU燃油经济性!J26,0)</f>
        <v>0</v>
      </c>
      <c r="K26">
        <f>IFERROR((BAU燃油经济性!K26-CNS燃油经济性!K26)/BAU燃油经济性!K26,0)</f>
        <v>5.467327086390447E-3</v>
      </c>
      <c r="L26">
        <f>IFERROR((BAU燃油经济性!L26-CNS燃油经济性!L26)/BAU燃油经济性!L26,0)</f>
        <v>0</v>
      </c>
      <c r="M26">
        <f>IFERROR((BAU燃油经济性!M26-CNS燃油经济性!M26)/BAU燃油经济性!M26,0)</f>
        <v>-0.13141132075471693</v>
      </c>
      <c r="N26">
        <f>IFERROR((BAU燃油经济性!N26-CNS燃油经济性!N26)/BAU燃油经济性!N26,0)</f>
        <v>0</v>
      </c>
      <c r="O26">
        <f>IFERROR((BAU燃油经济性!O26-CNS燃油经济性!O26)/BAU燃油经济性!O26,0)</f>
        <v>-2.0657246360506941E-2</v>
      </c>
      <c r="P26">
        <f>IFERROR((BAU燃油经济性!P26-CNS燃油经济性!P26)/BAU燃油经济性!P26,0)</f>
        <v>0</v>
      </c>
      <c r="Q26">
        <f>IFERROR((BAU燃油经济性!Q26-CNS燃油经济性!Q26)/BAU燃油经济性!Q26,0)</f>
        <v>6.0461861441568326E-3</v>
      </c>
      <c r="R26">
        <f>IFERROR((BAU燃油经济性!R26-CNS燃油经济性!R26)/BAU燃油经济性!R26,0)</f>
        <v>0</v>
      </c>
      <c r="S26">
        <f>IFERROR((BAU燃油经济性!S26-CNS燃油经济性!S26)/BAU燃油经济性!S26,0)</f>
        <v>-0.13141132075471693</v>
      </c>
      <c r="U26" s="9"/>
      <c r="V26" s="9">
        <v>2024</v>
      </c>
      <c r="W26" s="9"/>
      <c r="X26">
        <f t="shared" si="2"/>
        <v>1.0932066742403697E-3</v>
      </c>
      <c r="Z26">
        <f t="shared" si="3"/>
        <v>1.0932066742406934E-3</v>
      </c>
      <c r="AB26">
        <f t="shared" si="4"/>
        <v>5.3080221004392194E-3</v>
      </c>
      <c r="AD26">
        <f t="shared" si="5"/>
        <v>3.1362606402539094E-3</v>
      </c>
      <c r="AE26">
        <v>3298.3662455674298</v>
      </c>
      <c r="AF26">
        <f t="shared" si="6"/>
        <v>-7.5382384564611271E-2</v>
      </c>
      <c r="AG26">
        <v>128582.99541330901</v>
      </c>
      <c r="AH26">
        <f t="shared" si="7"/>
        <v>-2.0657246360506941E-2</v>
      </c>
      <c r="AI26">
        <v>54291.03722488787</v>
      </c>
      <c r="AJ26">
        <f t="shared" si="8"/>
        <v>6.0461861441568326E-3</v>
      </c>
      <c r="AK26">
        <v>834576.65009417944</v>
      </c>
      <c r="AL26">
        <f t="shared" si="9"/>
        <v>-7.5382384564611271E-2</v>
      </c>
      <c r="AM26" s="24">
        <v>37084.6240407445</v>
      </c>
      <c r="AO26" s="9">
        <v>2024</v>
      </c>
      <c r="AP26">
        <f t="shared" si="10"/>
        <v>1.0932066742403697E-3</v>
      </c>
      <c r="AQ26">
        <f t="shared" si="13"/>
        <v>-7.3849630809948372E-2</v>
      </c>
      <c r="AR26">
        <f t="shared" si="11"/>
        <v>5.3080221004392194E-3</v>
      </c>
      <c r="AS26">
        <f t="shared" si="14"/>
        <v>4.4151705623939001E-3</v>
      </c>
      <c r="AT26">
        <v>2024</v>
      </c>
      <c r="AU26">
        <f t="shared" si="15"/>
        <v>4.4036697247708083E-3</v>
      </c>
      <c r="AV26">
        <f t="shared" si="12"/>
        <v>-16.286374474071732</v>
      </c>
      <c r="AW26">
        <f t="shared" si="12"/>
        <v>0.21232088401756893</v>
      </c>
      <c r="AX26">
        <f t="shared" si="12"/>
        <v>0.16382500745300052</v>
      </c>
    </row>
    <row r="27" spans="1:50" x14ac:dyDescent="0.25">
      <c r="A27" s="9"/>
      <c r="B27" s="9">
        <v>2025</v>
      </c>
      <c r="C27" s="9"/>
      <c r="D27">
        <f>IFERROR((BAU燃油经济性!D27-CNS燃油经济性!D27)/BAU燃油经济性!D27,0)</f>
        <v>1.6913319238900644E-3</v>
      </c>
      <c r="E27">
        <f>IFERROR((BAU燃油经济性!E27-CNS燃油经济性!E27)/BAU燃油经济性!E27,0)</f>
        <v>0</v>
      </c>
      <c r="F27">
        <f>IFERROR((BAU燃油经济性!F27-CNS燃油经济性!F27)/BAU燃油经济性!F27,0)</f>
        <v>1.6913319238906278E-3</v>
      </c>
      <c r="G27">
        <f>IFERROR((BAU燃油经济性!G27-CNS燃油经济性!G27)/BAU燃油经济性!G27,0)</f>
        <v>0</v>
      </c>
      <c r="H27">
        <f>IFERROR((BAU燃油经济性!H27-CNS燃油经济性!H27)/BAU燃油经济性!H27,0)</f>
        <v>8.5411334552103358E-3</v>
      </c>
      <c r="I27">
        <f>IFERROR((BAU燃油经济性!I27-CNS燃油经济性!I27)/BAU燃油经济性!I27,0)</f>
        <v>5.6512141280354814E-3</v>
      </c>
      <c r="J27">
        <f>IFERROR((BAU燃油经济性!J27-CNS燃油经济性!J27)/BAU燃油经济性!J27,0)</f>
        <v>0</v>
      </c>
      <c r="K27">
        <f>IFERROR((BAU燃油经济性!K27-CNS燃油经济性!K27)/BAU燃油经济性!K27,0)</f>
        <v>7.4682215770033519E-3</v>
      </c>
      <c r="L27">
        <f>IFERROR((BAU燃油经济性!L27-CNS燃油经济性!L27)/BAU燃油经济性!L27,0)</f>
        <v>0</v>
      </c>
      <c r="M27">
        <f>IFERROR((BAU燃油经济性!M27-CNS燃油经济性!M27)/BAU燃油经济性!M27,0)</f>
        <v>-0.19724723874256572</v>
      </c>
      <c r="N27">
        <f>IFERROR((BAU燃油经济性!N27-CNS燃油经济性!N27)/BAU燃油经济性!N27,0)</f>
        <v>0</v>
      </c>
      <c r="O27">
        <f>IFERROR((BAU燃油经济性!O27-CNS燃油经济性!O27)/BAU燃油经济性!O27,0)</f>
        <v>-2.93925247670371E-2</v>
      </c>
      <c r="P27">
        <f>IFERROR((BAU燃油经济性!P27-CNS燃油经济性!P27)/BAU燃油经济性!P27,0)</f>
        <v>0</v>
      </c>
      <c r="Q27">
        <f>IFERROR((BAU燃油经济性!Q27-CNS燃油经济性!Q27)/BAU燃油经济性!Q27,0)</f>
        <v>8.311688311688421E-3</v>
      </c>
      <c r="R27">
        <f>IFERROR((BAU燃油经济性!R27-CNS燃油经济性!R27)/BAU燃油经济性!R27,0)</f>
        <v>0</v>
      </c>
      <c r="S27">
        <f>IFERROR((BAU燃油经济性!S27-CNS燃油经济性!S27)/BAU燃油经济性!S27,0)</f>
        <v>-0.19724723874256572</v>
      </c>
      <c r="U27" s="9"/>
      <c r="V27" s="9">
        <v>2025</v>
      </c>
      <c r="W27" s="9"/>
      <c r="X27">
        <f t="shared" si="2"/>
        <v>1.6794859406933881E-3</v>
      </c>
      <c r="Z27">
        <f t="shared" si="3"/>
        <v>1.6794859406939473E-3</v>
      </c>
      <c r="AB27">
        <f t="shared" si="4"/>
        <v>7.291662031644509E-3</v>
      </c>
      <c r="AD27">
        <f t="shared" si="5"/>
        <v>4.2840475820359394E-3</v>
      </c>
      <c r="AE27">
        <v>6762.9429894196801</v>
      </c>
      <c r="AF27">
        <f t="shared" si="6"/>
        <v>-0.11314829742068526</v>
      </c>
      <c r="AG27">
        <v>114572.299372963</v>
      </c>
      <c r="AH27">
        <f t="shared" si="7"/>
        <v>-2.93925247670371E-2</v>
      </c>
      <c r="AI27">
        <v>82042.143308370956</v>
      </c>
      <c r="AJ27">
        <f t="shared" si="8"/>
        <v>8.311688311688421E-3</v>
      </c>
      <c r="AK27">
        <v>959003.89448668994</v>
      </c>
      <c r="AL27">
        <f t="shared" si="9"/>
        <v>-0.11314829742068526</v>
      </c>
      <c r="AM27" s="24">
        <v>76038.007758738604</v>
      </c>
      <c r="AO27" s="9">
        <v>2025</v>
      </c>
      <c r="AP27">
        <f t="shared" si="10"/>
        <v>1.6794859406933881E-3</v>
      </c>
      <c r="AQ27">
        <f t="shared" si="13"/>
        <v>-0.10912450871639073</v>
      </c>
      <c r="AR27">
        <f t="shared" si="11"/>
        <v>7.291662031644509E-3</v>
      </c>
      <c r="AS27">
        <f t="shared" si="14"/>
        <v>5.3403168829225557E-3</v>
      </c>
      <c r="AT27">
        <v>2025</v>
      </c>
      <c r="AU27">
        <f t="shared" si="15"/>
        <v>6.7653276955602576E-3</v>
      </c>
      <c r="AV27">
        <f t="shared" si="12"/>
        <v>-24.065693948125055</v>
      </c>
      <c r="AW27">
        <f t="shared" si="12"/>
        <v>0.2916664812657806</v>
      </c>
      <c r="AX27">
        <f t="shared" si="12"/>
        <v>0.19815258341272657</v>
      </c>
    </row>
    <row r="28" spans="1:50" x14ac:dyDescent="0.25">
      <c r="A28" s="9" t="s">
        <v>29</v>
      </c>
      <c r="B28" s="9">
        <v>2026</v>
      </c>
      <c r="C28" s="9">
        <v>30</v>
      </c>
      <c r="D28">
        <f>IFERROR((BAU燃油经济性!D28-CNS燃油经济性!D28)/BAU燃油经济性!D28,0)</f>
        <v>0</v>
      </c>
      <c r="E28">
        <f>IFERROR((BAU燃油经济性!E28-CNS燃油经济性!E28)/BAU燃油经济性!E28,0)</f>
        <v>0</v>
      </c>
      <c r="F28">
        <f>IFERROR((BAU燃油经济性!F28-CNS燃油经济性!F28)/BAU燃油经济性!F28,0)</f>
        <v>0</v>
      </c>
      <c r="G28">
        <f>IFERROR((BAU燃油经济性!G28-CNS燃油经济性!G28)/BAU燃油经济性!G28,0)</f>
        <v>0</v>
      </c>
      <c r="H28">
        <f>IFERROR((BAU燃油经济性!H28-CNS燃油经济性!H28)/BAU燃油经济性!H28,0)</f>
        <v>1.0869565217391281E-2</v>
      </c>
      <c r="I28">
        <f>IFERROR((BAU燃油经济性!I28-CNS燃油经济性!I28)/BAU燃油经济性!I28,0)</f>
        <v>7.2727272727272788E-3</v>
      </c>
      <c r="J28">
        <f>IFERROR((BAU燃油经济性!J28-CNS燃油经济性!J28)/BAU燃油经济性!J28,0)</f>
        <v>0</v>
      </c>
      <c r="K28">
        <f>IFERROR((BAU燃油经济性!K28-CNS燃油经济性!K28)/BAU燃油经济性!K28,0)</f>
        <v>9.5695373720388194E-3</v>
      </c>
      <c r="L28">
        <f>IFERROR((BAU燃油经济性!L28-CNS燃油经济性!L28)/BAU燃油经济性!L28,0)</f>
        <v>0</v>
      </c>
      <c r="M28">
        <f>IFERROR((BAU燃油经济性!M28-CNS燃油经济性!M28)/BAU燃油经济性!M28,0)</f>
        <v>-0.28077669902912594</v>
      </c>
      <c r="N28">
        <f>IFERROR((BAU燃油经济性!N28-CNS燃油经济性!N28)/BAU燃油经济性!N28,0)</f>
        <v>0</v>
      </c>
      <c r="O28">
        <f>IFERROR((BAU燃油经济性!O28-CNS燃油经济性!O28)/BAU燃油经济性!O28,0)</f>
        <v>-3.7367187249119527E-2</v>
      </c>
      <c r="P28">
        <f>IFERROR((BAU燃油经济性!P28-CNS燃油经济性!P28)/BAU燃油经济性!P28,0)</f>
        <v>0</v>
      </c>
      <c r="Q28">
        <f>IFERROR((BAU燃油经济性!Q28-CNS燃油经济性!Q28)/BAU燃油经济性!Q28,0)</f>
        <v>1.0869565217391363E-2</v>
      </c>
      <c r="R28">
        <f>IFERROR((BAU燃油经济性!R28-CNS燃油经济性!R28)/BAU燃油经济性!R28,0)</f>
        <v>0</v>
      </c>
      <c r="S28">
        <f>IFERROR((BAU燃油经济性!S28-CNS燃油经济性!S28)/BAU燃油经济性!S28,0)</f>
        <v>-0.28077669902912594</v>
      </c>
      <c r="U28" s="9" t="s">
        <v>29</v>
      </c>
      <c r="V28" s="9">
        <v>2026</v>
      </c>
      <c r="W28" s="9">
        <v>30</v>
      </c>
      <c r="X28">
        <f t="shared" si="2"/>
        <v>0</v>
      </c>
      <c r="Z28">
        <f t="shared" si="3"/>
        <v>0</v>
      </c>
      <c r="AB28">
        <f t="shared" si="4"/>
        <v>9.3144539086447049E-3</v>
      </c>
      <c r="AD28">
        <f t="shared" si="5"/>
        <v>5.4894398910343241E-3</v>
      </c>
      <c r="AE28">
        <v>8919.2059033718506</v>
      </c>
      <c r="AF28">
        <f t="shared" si="6"/>
        <v>-0.16106387928709684</v>
      </c>
      <c r="AG28">
        <v>109688.21436067901</v>
      </c>
      <c r="AH28">
        <f t="shared" si="7"/>
        <v>-3.7367187249119527E-2</v>
      </c>
      <c r="AI28">
        <v>115778.35369070095</v>
      </c>
      <c r="AJ28">
        <f t="shared" si="8"/>
        <v>1.0869565217391363E-2</v>
      </c>
      <c r="AK28">
        <v>1008115.3970790152</v>
      </c>
      <c r="AL28">
        <f t="shared" si="9"/>
        <v>-0.16106387928709684</v>
      </c>
      <c r="AM28" s="24">
        <v>100281.585804196</v>
      </c>
      <c r="AO28" s="9">
        <v>2026</v>
      </c>
      <c r="AP28">
        <f t="shared" si="10"/>
        <v>0</v>
      </c>
      <c r="AQ28">
        <f t="shared" si="13"/>
        <v>-0.15427722803254917</v>
      </c>
      <c r="AR28">
        <f t="shared" si="11"/>
        <v>9.3144539086447049E-3</v>
      </c>
      <c r="AS28">
        <f t="shared" si="14"/>
        <v>5.9004373223980212E-3</v>
      </c>
      <c r="AT28">
        <v>2026</v>
      </c>
      <c r="AU28">
        <f t="shared" si="15"/>
        <v>0</v>
      </c>
      <c r="AV28">
        <f t="shared" si="12"/>
        <v>-34.023415973819262</v>
      </c>
      <c r="AW28">
        <f t="shared" si="12"/>
        <v>0.3725781563457885</v>
      </c>
      <c r="AX28">
        <f t="shared" si="12"/>
        <v>0.21893586547961302</v>
      </c>
    </row>
    <row r="29" spans="1:50" x14ac:dyDescent="0.25">
      <c r="A29" s="9"/>
      <c r="B29" s="9">
        <v>2027</v>
      </c>
      <c r="C29" s="9"/>
      <c r="D29">
        <f>IFERROR((BAU燃油经济性!D29-CNS燃油经济性!D29)/BAU燃油经济性!D29,0)</f>
        <v>1.5000000000000013E-2</v>
      </c>
      <c r="E29">
        <f>IFERROR((BAU燃油经济性!E29-CNS燃油经济性!E29)/BAU燃油经济性!E29,0)</f>
        <v>0</v>
      </c>
      <c r="F29">
        <f>IFERROR((BAU燃油经济性!F29-CNS燃油经济性!F29)/BAU燃油经济性!F29,0)</f>
        <v>1.5000000000000013E-2</v>
      </c>
      <c r="G29">
        <f>IFERROR((BAU燃油经济性!G29-CNS燃油经济性!G29)/BAU燃油经济性!G29,0)</f>
        <v>0</v>
      </c>
      <c r="H29">
        <f>IFERROR((BAU燃油经济性!H29-CNS燃油经济性!H29)/BAU燃油经济性!H29,0)</f>
        <v>1.3668737687528455E-2</v>
      </c>
      <c r="I29">
        <f>IFERROR((BAU燃油经济性!I29-CNS燃油经济性!I29)/BAU燃油经济性!I29,0)</f>
        <v>9.3150684931508736E-3</v>
      </c>
      <c r="J29">
        <f>IFERROR((BAU燃油经济性!J29-CNS燃油经济性!J29)/BAU燃油经济性!J29,0)</f>
        <v>0</v>
      </c>
      <c r="K29">
        <f>IFERROR((BAU燃油经济性!K29-CNS燃油经济性!K29)/BAU燃油经济性!K29,0)</f>
        <v>2.5933861201676733E-2</v>
      </c>
      <c r="L29">
        <f>IFERROR((BAU燃油经济性!L29-CNS燃油经济性!L29)/BAU燃油经济性!L29,0)</f>
        <v>0</v>
      </c>
      <c r="M29">
        <f>IFERROR((BAU燃油经济性!M29-CNS燃油经济性!M29)/BAU燃油经济性!M29,0)</f>
        <v>-0.26194174757281541</v>
      </c>
      <c r="N29">
        <f>IFERROR((BAU燃油经济性!N29-CNS燃油经济性!N29)/BAU燃油经济性!N29,0)</f>
        <v>0</v>
      </c>
      <c r="O29">
        <f>IFERROR((BAU燃油经济性!O29-CNS燃油经济性!O29)/BAU燃油经济性!O29,0)</f>
        <v>-2.8956101947099674E-2</v>
      </c>
      <c r="P29">
        <f>IFERROR((BAU燃油经济性!P29-CNS燃油经济性!P29)/BAU燃油经济性!P29,0)</f>
        <v>0</v>
      </c>
      <c r="Q29">
        <f>IFERROR((BAU燃油经济性!Q29-CNS燃油经济性!Q29)/BAU燃油经济性!Q29,0)</f>
        <v>1.2982351181573469E-2</v>
      </c>
      <c r="R29">
        <f>IFERROR((BAU燃油经济性!R29-CNS燃油经济性!R29)/BAU燃油经济性!R29,0)</f>
        <v>0</v>
      </c>
      <c r="S29">
        <f>IFERROR((BAU燃油经济性!S29-CNS燃油经济性!S29)/BAU燃油经济性!S29,0)</f>
        <v>-0.26194174757281541</v>
      </c>
      <c r="U29" s="9"/>
      <c r="V29" s="9">
        <v>2027</v>
      </c>
      <c r="W29" s="9"/>
      <c r="X29">
        <f t="shared" si="2"/>
        <v>1.4894940936524489E-2</v>
      </c>
      <c r="Z29">
        <f t="shared" si="3"/>
        <v>1.4894940936524489E-2</v>
      </c>
      <c r="AB29">
        <f t="shared" si="4"/>
        <v>1.1786406511401299E-2</v>
      </c>
      <c r="AD29">
        <f t="shared" si="5"/>
        <v>1.4876620120111497E-2</v>
      </c>
      <c r="AE29">
        <v>5757.3190754276102</v>
      </c>
      <c r="AF29">
        <f t="shared" si="6"/>
        <v>-0.15025945584944242</v>
      </c>
      <c r="AG29">
        <v>114661.90622436701</v>
      </c>
      <c r="AH29">
        <f t="shared" si="7"/>
        <v>-2.8956101947099674E-2</v>
      </c>
      <c r="AI29">
        <v>141551.97393325239</v>
      </c>
      <c r="AJ29">
        <f t="shared" si="8"/>
        <v>1.2982351181573469E-2</v>
      </c>
      <c r="AK29">
        <v>1091325.0501950886</v>
      </c>
      <c r="AL29">
        <f t="shared" si="9"/>
        <v>-0.15025945584944242</v>
      </c>
      <c r="AM29" s="24">
        <v>64731.445054583302</v>
      </c>
      <c r="AO29" s="9">
        <v>2027</v>
      </c>
      <c r="AP29">
        <f t="shared" si="10"/>
        <v>1.4894940936524489E-2</v>
      </c>
      <c r="AQ29">
        <f t="shared" si="13"/>
        <v>-0.14512449696216939</v>
      </c>
      <c r="AR29">
        <f t="shared" si="11"/>
        <v>1.1786406511401299E-2</v>
      </c>
      <c r="AS29">
        <f t="shared" si="14"/>
        <v>8.1672149531503424E-3</v>
      </c>
      <c r="AT29">
        <v>2027</v>
      </c>
      <c r="AU29">
        <f t="shared" si="15"/>
        <v>6.0000000000000053E-2</v>
      </c>
      <c r="AV29">
        <f t="shared" si="12"/>
        <v>-32.004925102059943</v>
      </c>
      <c r="AW29">
        <f t="shared" si="12"/>
        <v>0.47145626045605232</v>
      </c>
      <c r="AX29">
        <f t="shared" si="12"/>
        <v>0.30304470272710221</v>
      </c>
    </row>
    <row r="30" spans="1:50" x14ac:dyDescent="0.25">
      <c r="A30" s="9"/>
      <c r="B30" s="9">
        <v>2028</v>
      </c>
      <c r="C30" s="9"/>
      <c r="D30">
        <f>IFERROR((BAU燃油经济性!D30-CNS燃油经济性!D30)/BAU燃油经济性!D30,0)</f>
        <v>3.0000000000000027E-2</v>
      </c>
      <c r="E30">
        <f>IFERROR((BAU燃油经济性!E30-CNS燃油经济性!E30)/BAU燃油经济性!E30,0)</f>
        <v>0</v>
      </c>
      <c r="F30">
        <f>IFERROR((BAU燃油经济性!F30-CNS燃油经济性!F30)/BAU燃油经济性!F30,0)</f>
        <v>3.0000000000000027E-2</v>
      </c>
      <c r="G30">
        <f>IFERROR((BAU燃油经济性!G30-CNS燃油经济性!G30)/BAU燃油经济性!G30,0)</f>
        <v>0</v>
      </c>
      <c r="H30">
        <f>IFERROR((BAU燃油经济性!H30-CNS燃油经济性!H30)/BAU燃油经济性!H30,0)</f>
        <v>1.6489199878308596E-2</v>
      </c>
      <c r="I30">
        <f>IFERROR((BAU燃油经济性!I30-CNS燃油经济性!I30)/BAU燃油经济性!I30,0)</f>
        <v>1.1376146788991199E-2</v>
      </c>
      <c r="J30">
        <f>IFERROR((BAU燃油经济性!J30-CNS燃油经济性!J30)/BAU燃油经济性!J30,0)</f>
        <v>0</v>
      </c>
      <c r="K30">
        <f>IFERROR((BAU燃油经济性!K30-CNS燃油经济性!K30)/BAU燃油经济性!K30,0)</f>
        <v>3.8584070796460201E-2</v>
      </c>
      <c r="L30">
        <f>IFERROR((BAU燃油经济性!L30-CNS燃油经济性!L30)/BAU燃油经济性!L30,0)</f>
        <v>0</v>
      </c>
      <c r="M30">
        <f>IFERROR((BAU燃油经济性!M30-CNS燃油经济性!M30)/BAU燃油经济性!M30,0)</f>
        <v>-0.24310679611650479</v>
      </c>
      <c r="N30">
        <f>IFERROR((BAU燃油经济性!N30-CNS燃油经济性!N30)/BAU燃油经济性!N30,0)</f>
        <v>0</v>
      </c>
      <c r="O30">
        <f>IFERROR((BAU燃油经济性!O30-CNS燃油经济性!O30)/BAU燃油经济性!O30,0)</f>
        <v>-2.0545016645079822E-2</v>
      </c>
      <c r="P30">
        <f>IFERROR((BAU燃油经济性!P30-CNS燃油经济性!P30)/BAU燃油经济性!P30,0)</f>
        <v>0</v>
      </c>
      <c r="Q30">
        <f>IFERROR((BAU燃油经济性!Q30-CNS燃油经济性!Q30)/BAU燃油经济性!Q30,0)</f>
        <v>1.5114182692307696E-2</v>
      </c>
      <c r="R30">
        <f>IFERROR((BAU燃油经济性!R30-CNS燃油经济性!R30)/BAU燃油经济性!R30,0)</f>
        <v>0</v>
      </c>
      <c r="S30">
        <f>IFERROR((BAU燃油经济性!S30-CNS燃油经济性!S30)/BAU燃油经济性!S30,0)</f>
        <v>-0.24310679611650479</v>
      </c>
      <c r="U30" s="9"/>
      <c r="V30" s="9">
        <v>2028</v>
      </c>
      <c r="W30" s="9"/>
      <c r="X30">
        <f t="shared" si="2"/>
        <v>2.9789881873048978E-2</v>
      </c>
      <c r="Z30">
        <f t="shared" si="3"/>
        <v>2.9789881873048978E-2</v>
      </c>
      <c r="AB30">
        <f t="shared" si="4"/>
        <v>1.4278545185562388E-2</v>
      </c>
      <c r="AD30">
        <f t="shared" si="5"/>
        <v>2.2133247319505001E-2</v>
      </c>
      <c r="AE30">
        <v>3393.0166070117002</v>
      </c>
      <c r="AF30">
        <f t="shared" si="6"/>
        <v>-0.13945503241178794</v>
      </c>
      <c r="AG30">
        <v>125956.537569708</v>
      </c>
      <c r="AH30">
        <f t="shared" si="7"/>
        <v>-2.0545016645079822E-2</v>
      </c>
      <c r="AI30">
        <v>151334.27271268459</v>
      </c>
      <c r="AJ30">
        <f t="shared" si="8"/>
        <v>1.5114182692307696E-2</v>
      </c>
      <c r="AK30">
        <v>1235507.9591983519</v>
      </c>
      <c r="AL30">
        <f t="shared" si="9"/>
        <v>-0.13945503241178794</v>
      </c>
      <c r="AM30" s="24">
        <v>38148.809400450402</v>
      </c>
      <c r="AO30" s="9">
        <v>2028</v>
      </c>
      <c r="AP30">
        <f t="shared" si="10"/>
        <v>2.9789881873048978E-2</v>
      </c>
      <c r="AQ30">
        <f t="shared" si="13"/>
        <v>-0.13618173645284487</v>
      </c>
      <c r="AR30">
        <f t="shared" si="11"/>
        <v>1.4278545185562388E-2</v>
      </c>
      <c r="AS30">
        <f t="shared" si="14"/>
        <v>1.1222998191959745E-2</v>
      </c>
      <c r="AT30">
        <v>2028</v>
      </c>
      <c r="AU30">
        <f t="shared" si="15"/>
        <v>0.12000000000000011</v>
      </c>
      <c r="AV30">
        <f t="shared" si="12"/>
        <v>-30.03273993485692</v>
      </c>
      <c r="AW30">
        <f t="shared" si="12"/>
        <v>0.57114180742249598</v>
      </c>
      <c r="AX30">
        <f t="shared" si="12"/>
        <v>0.41642961159940456</v>
      </c>
    </row>
    <row r="31" spans="1:50" x14ac:dyDescent="0.25">
      <c r="A31" s="9"/>
      <c r="B31" s="9">
        <v>2029</v>
      </c>
      <c r="C31" s="9"/>
      <c r="D31">
        <f>IFERROR((BAU燃油经济性!D31-CNS燃油经济性!D31)/BAU燃油经济性!D31,0)</f>
        <v>4.500000000000004E-2</v>
      </c>
      <c r="E31">
        <f>IFERROR((BAU燃油经济性!E31-CNS燃油经济性!E31)/BAU燃油经济性!E31,0)</f>
        <v>0</v>
      </c>
      <c r="F31">
        <f>IFERROR((BAU燃油经济性!F31-CNS燃油经济性!F31)/BAU燃油经济性!F31,0)</f>
        <v>4.500000000000004E-2</v>
      </c>
      <c r="G31">
        <f>IFERROR((BAU燃油经济性!G31-CNS燃油经济性!G31)/BAU燃油经济性!G31,0)</f>
        <v>0</v>
      </c>
      <c r="H31">
        <f>IFERROR((BAU燃油经济性!H31-CNS燃油经济性!H31)/BAU燃油经济性!H31,0)</f>
        <v>1.9331195602382216E-2</v>
      </c>
      <c r="I31">
        <f>IFERROR((BAU燃油经济性!I31-CNS燃油经济性!I31)/BAU燃油经济性!I31,0)</f>
        <v>1.3456221198157241E-2</v>
      </c>
      <c r="J31">
        <f>IFERROR((BAU燃油经济性!J31-CNS燃油经济性!J31)/BAU燃油经济性!J31,0)</f>
        <v>0</v>
      </c>
      <c r="K31">
        <f>IFERROR((BAU燃油经济性!K31-CNS燃油经济性!K31)/BAU燃油经济性!K31,0)</f>
        <v>5.123428039124367E-2</v>
      </c>
      <c r="L31">
        <f>IFERROR((BAU燃油经济性!L31-CNS燃油经济性!L31)/BAU燃油经济性!L31,0)</f>
        <v>0</v>
      </c>
      <c r="M31">
        <f>IFERROR((BAU燃油经济性!M31-CNS燃油经济性!M31)/BAU燃油经济性!M31,0)</f>
        <v>-0.2242718446601942</v>
      </c>
      <c r="N31">
        <f>IFERROR((BAU燃油经济性!N31-CNS燃油经济性!N31)/BAU燃油经济性!N31,0)</f>
        <v>0</v>
      </c>
      <c r="O31">
        <f>IFERROR((BAU燃油经济性!O31-CNS燃油经济性!O31)/BAU燃油经济性!O31,0)</f>
        <v>-1.2133931343059972E-2</v>
      </c>
      <c r="P31">
        <f>IFERROR((BAU燃油经济性!P31-CNS燃油经济性!P31)/BAU燃油经济性!P31,0)</f>
        <v>0</v>
      </c>
      <c r="Q31">
        <f>IFERROR((BAU燃油经济性!Q31-CNS燃油经济性!Q31)/BAU燃油经济性!Q31,0)</f>
        <v>1.7265318442499223E-2</v>
      </c>
      <c r="R31">
        <f>IFERROR((BAU燃油经济性!R31-CNS燃油经济性!R31)/BAU燃油经济性!R31,0)</f>
        <v>0</v>
      </c>
      <c r="S31">
        <f>IFERROR((BAU燃油经济性!S31-CNS燃油经济性!S31)/BAU燃油经济性!S31,0)</f>
        <v>-0.2242718446601942</v>
      </c>
      <c r="U31" s="9"/>
      <c r="V31" s="9">
        <v>2029</v>
      </c>
      <c r="W31" s="9"/>
      <c r="X31">
        <f t="shared" si="2"/>
        <v>4.468482280957347E-2</v>
      </c>
      <c r="Z31">
        <f t="shared" si="3"/>
        <v>4.468482280957347E-2</v>
      </c>
      <c r="AB31">
        <f t="shared" si="4"/>
        <v>1.6791120326496971E-2</v>
      </c>
      <c r="AD31">
        <f t="shared" si="5"/>
        <v>2.9389874518898504E-2</v>
      </c>
      <c r="AE31">
        <v>4478.18813181928</v>
      </c>
      <c r="AF31">
        <f t="shared" si="6"/>
        <v>-0.1286506089741335</v>
      </c>
      <c r="AG31">
        <v>137936.097904658</v>
      </c>
      <c r="AH31">
        <f t="shared" si="7"/>
        <v>-1.2133931343059972E-2</v>
      </c>
      <c r="AI31">
        <v>141366.98803488305</v>
      </c>
      <c r="AJ31">
        <f t="shared" si="8"/>
        <v>1.7265318442499223E-2</v>
      </c>
      <c r="AK31">
        <v>1284527.3034105916</v>
      </c>
      <c r="AL31">
        <f t="shared" si="9"/>
        <v>-0.1286506089741335</v>
      </c>
      <c r="AM31" s="24">
        <v>50349.752237314802</v>
      </c>
      <c r="AO31" s="9">
        <v>2029</v>
      </c>
      <c r="AP31">
        <f t="shared" si="10"/>
        <v>4.468482280957347E-2</v>
      </c>
      <c r="AQ31">
        <f t="shared" si="13"/>
        <v>-0.12497909937170318</v>
      </c>
      <c r="AR31">
        <f t="shared" si="11"/>
        <v>1.6791120326496971E-2</v>
      </c>
      <c r="AS31">
        <f t="shared" si="14"/>
        <v>1.4350597893014077E-2</v>
      </c>
      <c r="AT31">
        <v>2029</v>
      </c>
      <c r="AU31">
        <f t="shared" si="15"/>
        <v>0.18000000000000016</v>
      </c>
      <c r="AV31">
        <f t="shared" si="12"/>
        <v>-27.562174535956949</v>
      </c>
      <c r="AW31">
        <f t="shared" si="12"/>
        <v>0.67164481305987933</v>
      </c>
      <c r="AX31">
        <f t="shared" si="12"/>
        <v>0.53247927199064815</v>
      </c>
    </row>
    <row r="32" spans="1:50" x14ac:dyDescent="0.25">
      <c r="A32" s="9"/>
      <c r="B32" s="9">
        <v>2030</v>
      </c>
      <c r="C32" s="9"/>
      <c r="D32">
        <f>IFERROR((BAU燃油经济性!D32-CNS燃油经济性!D32)/BAU燃油经济性!D32,0)</f>
        <v>6.0000000000000053E-2</v>
      </c>
      <c r="E32">
        <f>IFERROR((BAU燃油经济性!E32-CNS燃油经济性!E32)/BAU燃油经济性!E32,0)</f>
        <v>0</v>
      </c>
      <c r="F32">
        <f>IFERROR((BAU燃油经济性!F32-CNS燃油经济性!F32)/BAU燃油经济性!F32,0)</f>
        <v>6.0000000000000053E-2</v>
      </c>
      <c r="G32">
        <f>IFERROR((BAU燃油经济性!G32-CNS燃油经济性!G32)/BAU燃油经济性!G32,0)</f>
        <v>0</v>
      </c>
      <c r="H32">
        <f>IFERROR((BAU燃油经济性!H32-CNS燃油经济性!H32)/BAU燃油经济性!H32,0)</f>
        <v>2.219497240956492E-2</v>
      </c>
      <c r="I32">
        <f>IFERROR((BAU燃油经济性!I32-CNS燃油经济性!I32)/BAU燃油经济性!I32,0)</f>
        <v>1.5555555555556303E-2</v>
      </c>
      <c r="J32">
        <f>IFERROR((BAU燃油经济性!J32-CNS燃油经济性!J32)/BAU燃油经济性!J32,0)</f>
        <v>0</v>
      </c>
      <c r="K32">
        <f>IFERROR((BAU燃油经济性!K32-CNS燃油经济性!K32)/BAU燃油经济性!K32,0)</f>
        <v>6.3884489986027138E-2</v>
      </c>
      <c r="L32">
        <f>IFERROR((BAU燃油经济性!L32-CNS燃油经济性!L32)/BAU燃油经济性!L32,0)</f>
        <v>0</v>
      </c>
      <c r="M32">
        <f>IFERROR((BAU燃油经济性!M32-CNS燃油经济性!M32)/BAU燃油经济性!M32,0)</f>
        <v>-0.20543689320388361</v>
      </c>
      <c r="N32">
        <f>IFERROR((BAU燃油经济性!N32-CNS燃油经济性!N32)/BAU燃油经济性!N32,0)</f>
        <v>0</v>
      </c>
      <c r="O32">
        <f>IFERROR((BAU燃油经济性!O32-CNS燃油经济性!O32)/BAU燃油经济性!O32,0)</f>
        <v>-3.7228460410401215E-3</v>
      </c>
      <c r="P32">
        <f>IFERROR((BAU燃油经济性!P32-CNS燃油经济性!P32)/BAU燃油经济性!P32,0)</f>
        <v>0</v>
      </c>
      <c r="Q32">
        <f>IFERROR((BAU燃油经济性!Q32-CNS燃油经济性!Q32)/BAU燃油经济性!Q32,0)</f>
        <v>1.9436021831412926E-2</v>
      </c>
      <c r="R32">
        <f>IFERROR((BAU燃油经济性!R32-CNS燃油经济性!R32)/BAU燃油经济性!R32,0)</f>
        <v>0</v>
      </c>
      <c r="S32">
        <f>IFERROR((BAU燃油经济性!S32-CNS燃油经济性!S32)/BAU燃油经济性!S32,0)</f>
        <v>-0.20543689320388361</v>
      </c>
      <c r="U32" s="9"/>
      <c r="V32" s="9">
        <v>2030</v>
      </c>
      <c r="W32" s="9"/>
      <c r="X32">
        <f t="shared" si="2"/>
        <v>5.9579763746097955E-2</v>
      </c>
      <c r="Z32">
        <f t="shared" si="3"/>
        <v>5.9579763746097955E-2</v>
      </c>
      <c r="AB32">
        <f t="shared" si="4"/>
        <v>1.9324386524963461E-2</v>
      </c>
      <c r="AD32">
        <f t="shared" si="5"/>
        <v>3.6646501718292007E-2</v>
      </c>
      <c r="AE32">
        <v>11070.359982158299</v>
      </c>
      <c r="AF32">
        <f t="shared" si="6"/>
        <v>-0.11784618553647905</v>
      </c>
      <c r="AG32">
        <v>145747.50555636201</v>
      </c>
      <c r="AH32">
        <f t="shared" si="7"/>
        <v>-3.7228460410401215E-3</v>
      </c>
      <c r="AI32">
        <v>118505.97708458977</v>
      </c>
      <c r="AJ32">
        <f t="shared" si="8"/>
        <v>1.9436021831412926E-2</v>
      </c>
      <c r="AK32">
        <v>1197686.0921152402</v>
      </c>
      <c r="AL32">
        <f t="shared" si="9"/>
        <v>-0.11784618553647905</v>
      </c>
      <c r="AM32" s="24">
        <v>124467.723523958</v>
      </c>
      <c r="AO32" s="9">
        <v>2030</v>
      </c>
      <c r="AP32">
        <f t="shared" si="10"/>
        <v>5.9579763746097955E-2</v>
      </c>
      <c r="AQ32">
        <f t="shared" si="13"/>
        <v>-0.11176592501470228</v>
      </c>
      <c r="AR32">
        <f t="shared" si="11"/>
        <v>1.9324386524963461E-2</v>
      </c>
      <c r="AS32">
        <f t="shared" si="14"/>
        <v>1.7350866989941774E-2</v>
      </c>
      <c r="AT32">
        <v>2030</v>
      </c>
      <c r="AU32">
        <f t="shared" si="15"/>
        <v>0.24000000000000021</v>
      </c>
      <c r="AV32">
        <f t="shared" si="12"/>
        <v>-24.648216765157514</v>
      </c>
      <c r="AW32">
        <f t="shared" si="12"/>
        <v>0.77297546099853898</v>
      </c>
      <c r="AX32">
        <f t="shared" si="12"/>
        <v>0.6438043273241133</v>
      </c>
    </row>
    <row r="33" spans="1:50" x14ac:dyDescent="0.25">
      <c r="A33" s="9" t="s">
        <v>30</v>
      </c>
      <c r="B33" s="9">
        <v>2031</v>
      </c>
      <c r="C33" s="9">
        <v>40</v>
      </c>
      <c r="D33">
        <f>IFERROR((BAU燃油经济性!D33-CNS燃油经济性!D33)/BAU燃油经济性!D33,0)</f>
        <v>7.4999999999999956E-2</v>
      </c>
      <c r="E33">
        <f>IFERROR((BAU燃油经济性!E33-CNS燃油经济性!E33)/BAU燃油经济性!E33,0)</f>
        <v>0</v>
      </c>
      <c r="F33">
        <f>IFERROR((BAU燃油经济性!F33-CNS燃油经济性!F33)/BAU燃油经济性!F33,0)</f>
        <v>7.4999999999999956E-2</v>
      </c>
      <c r="G33">
        <f>IFERROR((BAU燃油经济性!G33-CNS燃油经济性!G33)/BAU燃油经济性!G33,0)</f>
        <v>0</v>
      </c>
      <c r="H33">
        <f>IFERROR((BAU燃油经济性!H33-CNS燃油经济性!H33)/BAU燃油经济性!H33,0)</f>
        <v>2.5080781658717029E-2</v>
      </c>
      <c r="I33">
        <f>IFERROR((BAU燃油经济性!I33-CNS燃油经济性!I33)/BAU燃油经济性!I33,0)</f>
        <v>1.7674418604651684E-2</v>
      </c>
      <c r="J33">
        <f>IFERROR((BAU燃油经济性!J33-CNS燃油经济性!J33)/BAU燃油经济性!J33,0)</f>
        <v>0</v>
      </c>
      <c r="K33">
        <f>IFERROR((BAU燃油经济性!K33-CNS燃油经济性!K33)/BAU燃油经济性!K33,0)</f>
        <v>7.6534699580810495E-2</v>
      </c>
      <c r="L33">
        <f>IFERROR((BAU燃油经济性!L33-CNS燃油经济性!L33)/BAU燃油经济性!L33,0)</f>
        <v>0</v>
      </c>
      <c r="M33">
        <f>IFERROR((BAU燃油经济性!M33-CNS燃油经济性!M33)/BAU燃油经济性!M33,0)</f>
        <v>-0.18660194174757269</v>
      </c>
      <c r="N33">
        <f>IFERROR((BAU燃油经济性!N33-CNS燃油经济性!N33)/BAU燃油经济性!N33,0)</f>
        <v>0</v>
      </c>
      <c r="O33">
        <f>IFERROR((BAU燃油经济性!O33-CNS燃油经济性!O33)/BAU燃油经济性!O33,0)</f>
        <v>4.6882392609799012E-3</v>
      </c>
      <c r="P33">
        <f>IFERROR((BAU燃油经济性!P33-CNS燃油经济性!P33)/BAU燃油经济性!P33,0)</f>
        <v>0</v>
      </c>
      <c r="Q33">
        <f>IFERROR((BAU燃油经济性!Q33-CNS燃油经济性!Q33)/BAU燃油经济性!Q33,0)</f>
        <v>2.2222222222222341E-2</v>
      </c>
      <c r="R33">
        <f>IFERROR((BAU燃油经济性!R33-CNS燃油经济性!R33)/BAU燃油经济性!R33,0)</f>
        <v>0</v>
      </c>
      <c r="S33">
        <f>IFERROR((BAU燃油经济性!S33-CNS燃油经济性!S33)/BAU燃油经济性!S33,0)</f>
        <v>-0.18660194174757269</v>
      </c>
      <c r="U33" s="9" t="s">
        <v>30</v>
      </c>
      <c r="V33" s="9">
        <v>2031</v>
      </c>
      <c r="W33" s="9">
        <v>40</v>
      </c>
      <c r="X33">
        <f t="shared" si="2"/>
        <v>7.4474704682622336E-2</v>
      </c>
      <c r="Z33">
        <f t="shared" si="3"/>
        <v>7.4474704682622336E-2</v>
      </c>
      <c r="AB33">
        <f t="shared" si="4"/>
        <v>2.187860265614432E-2</v>
      </c>
      <c r="AD33">
        <f t="shared" si="5"/>
        <v>4.3903128917685441E-2</v>
      </c>
      <c r="AE33">
        <v>9006.5422464097792</v>
      </c>
      <c r="AF33">
        <f t="shared" si="6"/>
        <v>-0.10704176209882441</v>
      </c>
      <c r="AG33">
        <v>146663.297834558</v>
      </c>
      <c r="AH33">
        <f t="shared" si="7"/>
        <v>4.6882392609799012E-3</v>
      </c>
      <c r="AI33">
        <v>95696.894288517884</v>
      </c>
      <c r="AJ33">
        <f t="shared" si="8"/>
        <v>2.2222222222222341E-2</v>
      </c>
      <c r="AK33">
        <v>1144266.7619802915</v>
      </c>
      <c r="AL33">
        <f t="shared" si="9"/>
        <v>-0.10704176209882441</v>
      </c>
      <c r="AM33" s="24">
        <v>101263.53723272801</v>
      </c>
      <c r="AO33" s="9">
        <v>2031</v>
      </c>
      <c r="AP33">
        <f t="shared" si="10"/>
        <v>7.4474704682622336E-2</v>
      </c>
      <c r="AQ33">
        <f t="shared" si="13"/>
        <v>-0.10175054010176918</v>
      </c>
      <c r="AR33">
        <f t="shared" si="11"/>
        <v>2.187860265614432E-2</v>
      </c>
      <c r="AS33">
        <f t="shared" si="14"/>
        <v>2.0868998919736342E-2</v>
      </c>
      <c r="AT33">
        <v>2031</v>
      </c>
      <c r="AU33">
        <f t="shared" si="15"/>
        <v>0.29999999999999982</v>
      </c>
      <c r="AV33">
        <f t="shared" si="12"/>
        <v>-22.439481157341536</v>
      </c>
      <c r="AW33">
        <f t="shared" si="12"/>
        <v>0.87514410624577343</v>
      </c>
      <c r="AX33">
        <f t="shared" si="12"/>
        <v>0.77434469523840144</v>
      </c>
    </row>
    <row r="34" spans="1:50" x14ac:dyDescent="0.25">
      <c r="A34" s="9"/>
      <c r="B34" s="9">
        <v>2032</v>
      </c>
      <c r="C34" s="9"/>
      <c r="D34">
        <f>IFERROR((BAU燃油经济性!D34-CNS燃油经济性!D34)/BAU燃油经济性!D34,0)</f>
        <v>8.4999999999999964E-2</v>
      </c>
      <c r="E34">
        <f>IFERROR((BAU燃油经济性!E34-CNS燃油经济性!E34)/BAU燃油经济性!E34,0)</f>
        <v>0</v>
      </c>
      <c r="F34">
        <f>IFERROR((BAU燃油经济性!F34-CNS燃油经济性!F34)/BAU燃油经济性!F34,0)</f>
        <v>8.4999999999999964E-2</v>
      </c>
      <c r="G34">
        <f>IFERROR((BAU燃油经济性!G34-CNS燃油经济性!G34)/BAU燃油经济性!G34,0)</f>
        <v>0</v>
      </c>
      <c r="H34">
        <f>IFERROR((BAU燃油经济性!H34-CNS燃油经济性!H34)/BAU燃油经济性!H34,0)</f>
        <v>2.4994196394026485E-2</v>
      </c>
      <c r="I34">
        <f>IFERROR((BAU燃油经济性!I34-CNS燃油经济性!I34)/BAU燃油经济性!I34,0)</f>
        <v>1.8691588785047356E-2</v>
      </c>
      <c r="J34">
        <f>IFERROR((BAU燃油经济性!J34-CNS燃油经济性!J34)/BAU燃油经济性!J34,0)</f>
        <v>0</v>
      </c>
      <c r="K34">
        <f>IFERROR((BAU燃油经济性!K34-CNS燃油经济性!K34)/BAU燃油经济性!K34,0)</f>
        <v>8.2859804378202173E-2</v>
      </c>
      <c r="L34">
        <f>IFERROR((BAU燃油经济性!L34-CNS燃油经济性!L34)/BAU燃油经济性!L34,0)</f>
        <v>0</v>
      </c>
      <c r="M34">
        <f>IFERROR((BAU燃油经济性!M34-CNS燃油经济性!M34)/BAU燃油经济性!M34,0)</f>
        <v>-0.1771844660194174</v>
      </c>
      <c r="N34">
        <f>IFERROR((BAU燃油经济性!N34-CNS燃油经济性!N34)/BAU燃油经济性!N34,0)</f>
        <v>0</v>
      </c>
      <c r="O34">
        <f>IFERROR((BAU燃油经济性!O34-CNS燃油经济性!O34)/BAU燃油经济性!O34,0)</f>
        <v>7.491934361653128E-3</v>
      </c>
      <c r="P34">
        <f>IFERROR((BAU燃油经济性!P34-CNS燃油经济性!P34)/BAU燃油经济性!P34,0)</f>
        <v>0</v>
      </c>
      <c r="Q34">
        <f>IFERROR((BAU燃油经济性!Q34-CNS燃油经济性!Q34)/BAU燃油经济性!Q34,0)</f>
        <v>2.2196708763873148E-2</v>
      </c>
      <c r="R34">
        <f>IFERROR((BAU燃油经济性!R34-CNS燃油经济性!R34)/BAU燃油经济性!R34,0)</f>
        <v>0</v>
      </c>
      <c r="S34">
        <f>IFERROR((BAU燃油经济性!S34-CNS燃油经济性!S34)/BAU燃油经济性!S34,0)</f>
        <v>-0.1771844660194174</v>
      </c>
      <c r="U34" s="9"/>
      <c r="V34" s="9">
        <v>2032</v>
      </c>
      <c r="W34" s="9"/>
      <c r="X34">
        <f t="shared" si="2"/>
        <v>8.4404665306971993E-2</v>
      </c>
      <c r="Z34">
        <f t="shared" si="3"/>
        <v>8.4404665306971993E-2</v>
      </c>
      <c r="AB34">
        <f t="shared" si="4"/>
        <v>2.2269231711684857E-2</v>
      </c>
      <c r="AD34">
        <f t="shared" si="5"/>
        <v>4.7531442517382165E-2</v>
      </c>
      <c r="AE34">
        <v>4630.38222235392</v>
      </c>
      <c r="AF34">
        <f t="shared" si="6"/>
        <v>-0.10163955037999718</v>
      </c>
      <c r="AG34">
        <v>140899.815308441</v>
      </c>
      <c r="AH34">
        <f t="shared" si="7"/>
        <v>7.491934361653128E-3</v>
      </c>
      <c r="AI34">
        <v>82050.974048758857</v>
      </c>
      <c r="AJ34">
        <f t="shared" si="8"/>
        <v>2.2196708763873148E-2</v>
      </c>
      <c r="AK34">
        <v>1100207.865409866</v>
      </c>
      <c r="AL34">
        <f t="shared" si="9"/>
        <v>-0.10163955037999718</v>
      </c>
      <c r="AM34" s="24">
        <v>52060.920800322303</v>
      </c>
      <c r="AO34" s="9">
        <v>2032</v>
      </c>
      <c r="AP34">
        <f t="shared" si="10"/>
        <v>8.4404665306971993E-2</v>
      </c>
      <c r="AQ34">
        <f t="shared" si="13"/>
        <v>-9.8143853207792203E-2</v>
      </c>
      <c r="AR34">
        <f t="shared" si="11"/>
        <v>2.2269231711684857E-2</v>
      </c>
      <c r="AS34">
        <f t="shared" si="14"/>
        <v>2.1176169925337669E-2</v>
      </c>
      <c r="AT34">
        <v>2032</v>
      </c>
      <c r="AU34">
        <f t="shared" si="15"/>
        <v>0.33999999999999986</v>
      </c>
      <c r="AV34">
        <f t="shared" si="12"/>
        <v>-21.64408309344055</v>
      </c>
      <c r="AW34">
        <f t="shared" si="12"/>
        <v>0.89076926846739501</v>
      </c>
      <c r="AX34">
        <f t="shared" si="12"/>
        <v>0.78574228261828705</v>
      </c>
    </row>
    <row r="35" spans="1:50" x14ac:dyDescent="0.25">
      <c r="A35" s="9"/>
      <c r="B35" s="9">
        <v>2033</v>
      </c>
      <c r="C35" s="9"/>
      <c r="D35">
        <f>IFERROR((BAU燃油经济性!D35-CNS燃油经济性!D35)/BAU燃油经济性!D35,0)</f>
        <v>9.4999999999999973E-2</v>
      </c>
      <c r="E35">
        <f>IFERROR((BAU燃油经济性!E35-CNS燃油经济性!E35)/BAU燃油经济性!E35,0)</f>
        <v>0</v>
      </c>
      <c r="F35">
        <f>IFERROR((BAU燃油经济性!F35-CNS燃油经济性!F35)/BAU燃油经济性!F35,0)</f>
        <v>9.4999999999999973E-2</v>
      </c>
      <c r="G35">
        <f>IFERROR((BAU燃油经济性!G35-CNS燃油经济性!G35)/BAU燃油经济性!G35,0)</f>
        <v>0</v>
      </c>
      <c r="H35">
        <f>IFERROR((BAU燃油经济性!H35-CNS燃油经济性!H35)/BAU燃油经济性!H35,0)</f>
        <v>2.4906600249066362E-2</v>
      </c>
      <c r="I35">
        <f>IFERROR((BAU燃油经济性!I35-CNS燃油经济性!I35)/BAU燃油经济性!I35,0)</f>
        <v>1.971830985915566E-2</v>
      </c>
      <c r="J35">
        <f>IFERROR((BAU燃油经济性!J35-CNS燃油经济性!J35)/BAU燃油经济性!J35,0)</f>
        <v>0</v>
      </c>
      <c r="K35">
        <f>IFERROR((BAU燃油经济性!K35-CNS燃油经济性!K35)/BAU燃油经济性!K35,0)</f>
        <v>8.9184909175593852E-2</v>
      </c>
      <c r="L35">
        <f>IFERROR((BAU燃油经济性!L35-CNS燃油经济性!L35)/BAU燃油经济性!L35,0)</f>
        <v>0</v>
      </c>
      <c r="M35">
        <f>IFERROR((BAU燃油经济性!M35-CNS燃油经济性!M35)/BAU燃油经济性!M35,0)</f>
        <v>-0.1677669902912621</v>
      </c>
      <c r="N35">
        <f>IFERROR((BAU燃油经济性!N35-CNS燃油经济性!N35)/BAU燃油经济性!N35,0)</f>
        <v>0</v>
      </c>
      <c r="O35">
        <f>IFERROR((BAU燃油经济性!O35-CNS燃油经济性!O35)/BAU燃油经济性!O35,0)</f>
        <v>1.0295629462326353E-2</v>
      </c>
      <c r="P35">
        <f>IFERROR((BAU燃油经济性!P35-CNS燃油经济性!P35)/BAU燃油经济性!P35,0)</f>
        <v>0</v>
      </c>
      <c r="Q35">
        <f>IFERROR((BAU燃油经济性!Q35-CNS燃油经济性!Q35)/BAU燃油经济性!Q35,0)</f>
        <v>2.2170900692840938E-2</v>
      </c>
      <c r="R35">
        <f>IFERROR((BAU燃油经济性!R35-CNS燃油经济性!R35)/BAU燃油经济性!R35,0)</f>
        <v>0</v>
      </c>
      <c r="S35">
        <f>IFERROR((BAU燃油经济性!S35-CNS燃油经济性!S35)/BAU燃油经济性!S35,0)</f>
        <v>-0.1677669902912621</v>
      </c>
      <c r="U35" s="9"/>
      <c r="V35" s="9">
        <v>2033</v>
      </c>
      <c r="W35" s="9"/>
      <c r="X35">
        <f t="shared" si="2"/>
        <v>9.433462593132165E-2</v>
      </c>
      <c r="Z35">
        <f t="shared" si="3"/>
        <v>9.433462593132165E-2</v>
      </c>
      <c r="AB35">
        <f t="shared" si="4"/>
        <v>2.2663416324035505E-2</v>
      </c>
      <c r="AD35">
        <f t="shared" si="5"/>
        <v>5.1159756117078882E-2</v>
      </c>
      <c r="AE35">
        <v>3755.81112847346</v>
      </c>
      <c r="AF35">
        <f t="shared" si="6"/>
        <v>-9.6237338661169958E-2</v>
      </c>
      <c r="AG35">
        <v>132073.345308908</v>
      </c>
      <c r="AH35">
        <f t="shared" si="7"/>
        <v>1.0295629462326353E-2</v>
      </c>
      <c r="AI35">
        <v>79744.378416141495</v>
      </c>
      <c r="AJ35">
        <f t="shared" si="8"/>
        <v>2.2170900692840938E-2</v>
      </c>
      <c r="AK35">
        <v>1056949.3826532643</v>
      </c>
      <c r="AL35">
        <f t="shared" si="9"/>
        <v>-9.6237338661169958E-2</v>
      </c>
      <c r="AM35" s="24">
        <v>42227.8283543133</v>
      </c>
      <c r="AO35" s="9">
        <v>2033</v>
      </c>
      <c r="AP35">
        <f t="shared" si="10"/>
        <v>9.433462593132165E-2</v>
      </c>
      <c r="AQ35">
        <f t="shared" si="13"/>
        <v>-9.3128246088809236E-2</v>
      </c>
      <c r="AR35">
        <f t="shared" si="11"/>
        <v>2.2663416324035505E-2</v>
      </c>
      <c r="AS35">
        <f t="shared" si="14"/>
        <v>2.1337794930115943E-2</v>
      </c>
      <c r="AT35">
        <v>2033</v>
      </c>
      <c r="AU35">
        <f t="shared" si="15"/>
        <v>0.37999999999999989</v>
      </c>
      <c r="AV35">
        <f t="shared" si="12"/>
        <v>-20.537969835206457</v>
      </c>
      <c r="AW35">
        <f t="shared" si="12"/>
        <v>0.90653665296142094</v>
      </c>
      <c r="AX35">
        <f t="shared" si="12"/>
        <v>0.79173938221799889</v>
      </c>
    </row>
    <row r="36" spans="1:50" x14ac:dyDescent="0.25">
      <c r="A36" s="9"/>
      <c r="B36" s="9">
        <v>2034</v>
      </c>
      <c r="C36" s="9"/>
      <c r="D36">
        <f>IFERROR((BAU燃油经济性!D36-CNS燃油经济性!D36)/BAU燃油经济性!D36,0)</f>
        <v>0.10499999999999998</v>
      </c>
      <c r="E36">
        <f>IFERROR((BAU燃油经济性!E36-CNS燃油经济性!E36)/BAU燃油经济性!E36,0)</f>
        <v>0</v>
      </c>
      <c r="F36">
        <f>IFERROR((BAU燃油经济性!F36-CNS燃油经济性!F36)/BAU燃油经济性!F36,0)</f>
        <v>0.10499999999999998</v>
      </c>
      <c r="G36">
        <f>IFERROR((BAU燃油经济性!G36-CNS燃油经济性!G36)/BAU燃油经济性!G36,0)</f>
        <v>0</v>
      </c>
      <c r="H36">
        <f>IFERROR((BAU燃油经济性!H36-CNS燃油经济性!H36)/BAU燃油经济性!H36,0)</f>
        <v>2.4817975416895403E-2</v>
      </c>
      <c r="I36">
        <f>IFERROR((BAU燃油经济性!I36-CNS燃油经济性!I36)/BAU燃油经济性!I36,0)</f>
        <v>2.0754716981132914E-2</v>
      </c>
      <c r="J36">
        <f>IFERROR((BAU燃油经济性!J36-CNS燃油经济性!J36)/BAU燃油经济性!J36,0)</f>
        <v>0</v>
      </c>
      <c r="K36">
        <f>IFERROR((BAU燃油经济性!K36-CNS燃油经济性!K36)/BAU燃油经济性!K36,0)</f>
        <v>9.551001397298553E-2</v>
      </c>
      <c r="L36">
        <f>IFERROR((BAU燃油经济性!L36-CNS燃油经济性!L36)/BAU燃油经济性!L36,0)</f>
        <v>0</v>
      </c>
      <c r="M36">
        <f>IFERROR((BAU燃油经济性!M36-CNS燃油经济性!M36)/BAU燃油经济性!M36,0)</f>
        <v>-0.15834951456310681</v>
      </c>
      <c r="N36">
        <f>IFERROR((BAU燃油经济性!N36-CNS燃油经济性!N36)/BAU燃油经济性!N36,0)</f>
        <v>0</v>
      </c>
      <c r="O36">
        <f>IFERROR((BAU燃油经济性!O36-CNS燃油经济性!O36)/BAU燃油经济性!O36,0)</f>
        <v>1.309932456299958E-2</v>
      </c>
      <c r="P36">
        <f>IFERROR((BAU燃油经济性!P36-CNS燃油经济性!P36)/BAU燃油经济性!P36,0)</f>
        <v>0</v>
      </c>
      <c r="Q36">
        <f>IFERROR((BAU燃油经济性!Q36-CNS燃油经济性!Q36)/BAU燃油经济性!Q36,0)</f>
        <v>2.214479287650057E-2</v>
      </c>
      <c r="R36">
        <f>IFERROR((BAU燃油经济性!R36-CNS燃油经济性!R36)/BAU燃油经济性!R36,0)</f>
        <v>0</v>
      </c>
      <c r="S36">
        <f>IFERROR((BAU燃油经济性!S36-CNS燃油经济性!S36)/BAU燃油经济性!S36,0)</f>
        <v>-0.15834951456310681</v>
      </c>
      <c r="U36" s="9"/>
      <c r="V36" s="9">
        <v>2034</v>
      </c>
      <c r="W36" s="9"/>
      <c r="X36">
        <f t="shared" si="2"/>
        <v>0.10426458655567132</v>
      </c>
      <c r="Z36">
        <f t="shared" si="3"/>
        <v>0.10426458655567132</v>
      </c>
      <c r="AB36">
        <f t="shared" si="4"/>
        <v>2.3061204819769032E-2</v>
      </c>
      <c r="AD36">
        <f t="shared" si="5"/>
        <v>5.4788069716775599E-2</v>
      </c>
      <c r="AE36">
        <v>5456.6018958341001</v>
      </c>
      <c r="AF36">
        <f t="shared" si="6"/>
        <v>-9.0835126942342734E-2</v>
      </c>
      <c r="AG36">
        <v>125100.959275905</v>
      </c>
      <c r="AH36">
        <f t="shared" si="7"/>
        <v>1.309932456299958E-2</v>
      </c>
      <c r="AI36">
        <v>86230.69689478993</v>
      </c>
      <c r="AJ36">
        <f t="shared" si="8"/>
        <v>2.214479287650057E-2</v>
      </c>
      <c r="AK36">
        <v>1029292.8239802737</v>
      </c>
      <c r="AL36">
        <f t="shared" si="9"/>
        <v>-9.0835126942342734E-2</v>
      </c>
      <c r="AM36" s="24">
        <v>61350.382213910103</v>
      </c>
      <c r="AO36" s="9">
        <v>2034</v>
      </c>
      <c r="AP36">
        <f t="shared" si="10"/>
        <v>0.10426458655567132</v>
      </c>
      <c r="AQ36">
        <f t="shared" si="13"/>
        <v>-8.6694559350667999E-2</v>
      </c>
      <c r="AR36">
        <f t="shared" si="11"/>
        <v>2.3061204819769032E-2</v>
      </c>
      <c r="AS36">
        <f t="shared" si="14"/>
        <v>2.1445572266789829E-2</v>
      </c>
      <c r="AT36">
        <v>2034</v>
      </c>
      <c r="AU36">
        <f t="shared" si="15"/>
        <v>0.41999999999999993</v>
      </c>
      <c r="AV36">
        <f t="shared" si="12"/>
        <v>-19.119121422329599</v>
      </c>
      <c r="AW36">
        <f t="shared" si="12"/>
        <v>0.92244819279076196</v>
      </c>
      <c r="AX36">
        <f t="shared" si="12"/>
        <v>0.79573846282753491</v>
      </c>
    </row>
    <row r="37" spans="1:50" x14ac:dyDescent="0.25">
      <c r="A37" s="9"/>
      <c r="B37" s="9">
        <v>2035</v>
      </c>
      <c r="C37" s="9"/>
      <c r="D37">
        <f>IFERROR((BAU燃油经济性!D37-CNS燃油经济性!D37)/BAU燃油经济性!D37,0)</f>
        <v>0.11499999999999999</v>
      </c>
      <c r="E37">
        <f>IFERROR((BAU燃油经济性!E37-CNS燃油经济性!E37)/BAU燃油经济性!E37,0)</f>
        <v>0</v>
      </c>
      <c r="F37">
        <f>IFERROR((BAU燃油经济性!F37-CNS燃油经济性!F37)/BAU燃油经济性!F37,0)</f>
        <v>0.11499999999999999</v>
      </c>
      <c r="G37">
        <f>IFERROR((BAU燃油经济性!G37-CNS燃油经济性!G37)/BAU燃油经济性!G37,0)</f>
        <v>0</v>
      </c>
      <c r="H37">
        <f>IFERROR((BAU燃油经济性!H37-CNS燃油经济性!H37)/BAU燃油经济性!H37,0)</f>
        <v>2.4728303669869691E-2</v>
      </c>
      <c r="I37">
        <f>IFERROR((BAU燃油经济性!I37-CNS燃油经济性!I37)/BAU燃油经济性!I37,0)</f>
        <v>2.1800947867299521E-2</v>
      </c>
      <c r="J37">
        <f>IFERROR((BAU燃油经济性!J37-CNS燃油经济性!J37)/BAU燃油经济性!J37,0)</f>
        <v>0</v>
      </c>
      <c r="K37">
        <f>IFERROR((BAU燃油经济性!K37-CNS燃油经济性!K37)/BAU燃油经济性!K37,0)</f>
        <v>0.10183511877037721</v>
      </c>
      <c r="L37">
        <f>IFERROR((BAU燃油经济性!L37-CNS燃油经济性!L37)/BAU燃油经济性!L37,0)</f>
        <v>0</v>
      </c>
      <c r="M37">
        <f>IFERROR((BAU燃油经济性!M37-CNS燃油经济性!M37)/BAU燃油经济性!M37,0)</f>
        <v>-0.14893203883495151</v>
      </c>
      <c r="N37">
        <f>IFERROR((BAU燃油经济性!N37-CNS燃油经济性!N37)/BAU燃油经济性!N37,0)</f>
        <v>0</v>
      </c>
      <c r="O37">
        <f>IFERROR((BAU燃油经济性!O37-CNS燃油经济性!O37)/BAU燃油经济性!O37,0)</f>
        <v>1.5903019663672805E-2</v>
      </c>
      <c r="P37">
        <f>IFERROR((BAU燃油经济性!P37-CNS燃油经济性!P37)/BAU燃油经济性!P37,0)</f>
        <v>0</v>
      </c>
      <c r="Q37">
        <f>IFERROR((BAU燃油经济性!Q37-CNS燃油经济性!Q37)/BAU燃油经济性!Q37,0)</f>
        <v>2.2118380062305758E-2</v>
      </c>
      <c r="R37">
        <f>IFERROR((BAU燃油经济性!R37-CNS燃油经济性!R37)/BAU燃油经济性!R37,0)</f>
        <v>0</v>
      </c>
      <c r="S37">
        <f>IFERROR((BAU燃油经济性!S37-CNS燃油经济性!S37)/BAU燃油经济性!S37,0)</f>
        <v>-0.14893203883495151</v>
      </c>
      <c r="U37" s="9"/>
      <c r="V37" s="9">
        <v>2035</v>
      </c>
      <c r="W37" s="9"/>
      <c r="X37">
        <f t="shared" si="2"/>
        <v>0.11419454718002098</v>
      </c>
      <c r="Z37">
        <f t="shared" si="3"/>
        <v>0.11419454718002098</v>
      </c>
      <c r="AB37">
        <f t="shared" si="4"/>
        <v>2.3462646394413252E-2</v>
      </c>
      <c r="AD37">
        <f t="shared" si="5"/>
        <v>5.8416383316472323E-2</v>
      </c>
      <c r="AE37">
        <v>8134.1683776535401</v>
      </c>
      <c r="AF37">
        <f t="shared" si="6"/>
        <v>-8.543291522351551E-2</v>
      </c>
      <c r="AG37">
        <v>122564.83660675</v>
      </c>
      <c r="AH37">
        <f t="shared" si="7"/>
        <v>1.5903019663672805E-2</v>
      </c>
      <c r="AI37">
        <v>98312.860448458698</v>
      </c>
      <c r="AJ37">
        <f t="shared" si="8"/>
        <v>2.2118380062305758E-2</v>
      </c>
      <c r="AK37">
        <v>1055976.814529337</v>
      </c>
      <c r="AL37">
        <f t="shared" si="9"/>
        <v>-8.543291522351551E-2</v>
      </c>
      <c r="AM37" s="24">
        <v>91455.148916460006</v>
      </c>
      <c r="AO37" s="9">
        <v>2035</v>
      </c>
      <c r="AP37">
        <f t="shared" si="10"/>
        <v>0.11419454718002098</v>
      </c>
      <c r="AQ37">
        <f t="shared" si="13"/>
        <v>-8.0165877021503018E-2</v>
      </c>
      <c r="AR37">
        <f t="shared" si="11"/>
        <v>2.3462646394413252E-2</v>
      </c>
      <c r="AS37">
        <f t="shared" si="14"/>
        <v>2.1589007000453297E-2</v>
      </c>
      <c r="AT37">
        <v>2035</v>
      </c>
      <c r="AU37">
        <f t="shared" si="15"/>
        <v>0.45999999999999996</v>
      </c>
      <c r="AV37">
        <f t="shared" si="12"/>
        <v>-17.679323226064113</v>
      </c>
      <c r="AW37">
        <f t="shared" si="12"/>
        <v>0.93850585577653078</v>
      </c>
      <c r="AX37">
        <f t="shared" si="12"/>
        <v>0.80106061199014755</v>
      </c>
    </row>
    <row r="38" spans="1:50" x14ac:dyDescent="0.25">
      <c r="A38" s="9"/>
      <c r="B38" s="9">
        <v>2036</v>
      </c>
      <c r="C38" s="9"/>
      <c r="D38">
        <f>IFERROR((BAU燃油经济性!D38-CNS燃油经济性!D38)/BAU燃油经济性!D38,0)</f>
        <v>0.125</v>
      </c>
      <c r="E38">
        <f>IFERROR((BAU燃油经济性!E38-CNS燃油经济性!E38)/BAU燃油经济性!E38,0)</f>
        <v>0</v>
      </c>
      <c r="F38">
        <f>IFERROR((BAU燃油经济性!F38-CNS燃油经济性!F38)/BAU燃油经济性!F38,0)</f>
        <v>0.125</v>
      </c>
      <c r="G38">
        <f>IFERROR((BAU燃油经济性!G38-CNS燃油经济性!G38)/BAU燃油经济性!G38,0)</f>
        <v>0</v>
      </c>
      <c r="H38">
        <f>IFERROR((BAU燃油经济性!H38-CNS燃油经济性!H38)/BAU燃油经济性!H38,0)</f>
        <v>2.4637566347144552E-2</v>
      </c>
      <c r="I38">
        <f>IFERROR((BAU燃油经济性!I38-CNS燃油经济性!I38)/BAU燃油经济性!I38,0)</f>
        <v>2.2857142857143908E-2</v>
      </c>
      <c r="J38">
        <f>IFERROR((BAU燃油经济性!J38-CNS燃油经济性!J38)/BAU燃油经济性!J38,0)</f>
        <v>0</v>
      </c>
      <c r="K38">
        <f>IFERROR((BAU燃油经济性!K38-CNS燃油经济性!K38)/BAU燃油经济性!K38,0)</f>
        <v>0.10816022356776889</v>
      </c>
      <c r="L38">
        <f>IFERROR((BAU燃油经济性!L38-CNS燃油经济性!L38)/BAU燃油经济性!L38,0)</f>
        <v>0</v>
      </c>
      <c r="M38">
        <f>IFERROR((BAU燃油经济性!M38-CNS燃油经济性!M38)/BAU燃油经济性!M38,0)</f>
        <v>-0.13951456310679622</v>
      </c>
      <c r="N38">
        <f>IFERROR((BAU燃油经济性!N38-CNS燃油经济性!N38)/BAU燃油经济性!N38,0)</f>
        <v>0</v>
      </c>
      <c r="O38">
        <f>IFERROR((BAU燃油经济性!O38-CNS燃油经济性!O38)/BAU燃油经济性!O38,0)</f>
        <v>1.8706714764346034E-2</v>
      </c>
      <c r="P38">
        <f>IFERROR((BAU燃油经济性!P38-CNS燃油经济性!P38)/BAU燃油经济性!P38,0)</f>
        <v>0</v>
      </c>
      <c r="Q38">
        <f>IFERROR((BAU燃油经济性!Q38-CNS燃油经济性!Q38)/BAU燃油经济性!Q38,0)</f>
        <v>2.2091656874266122E-2</v>
      </c>
      <c r="R38">
        <f>IFERROR((BAU燃油经济性!R38-CNS燃油经济性!R38)/BAU燃油经济性!R38,0)</f>
        <v>0</v>
      </c>
      <c r="S38">
        <f>IFERROR((BAU燃油经济性!S38-CNS燃油经济性!S38)/BAU燃油经济性!S38,0)</f>
        <v>-0.13951456310679622</v>
      </c>
      <c r="U38" s="9"/>
      <c r="V38" s="9">
        <v>2036</v>
      </c>
      <c r="W38" s="9"/>
      <c r="X38">
        <f t="shared" si="2"/>
        <v>0.12412450780437063</v>
      </c>
      <c r="Z38">
        <f t="shared" si="3"/>
        <v>0.12412450780437063</v>
      </c>
      <c r="AB38">
        <f t="shared" si="4"/>
        <v>2.3867791131731923E-2</v>
      </c>
      <c r="AD38">
        <f t="shared" si="5"/>
        <v>6.204469691616904E-2</v>
      </c>
      <c r="AE38">
        <v>7098.0455357421597</v>
      </c>
      <c r="AF38">
        <f t="shared" si="6"/>
        <v>-8.0030703504688286E-2</v>
      </c>
      <c r="AG38">
        <v>123349.660601221</v>
      </c>
      <c r="AH38">
        <f t="shared" si="7"/>
        <v>1.8706714764346034E-2</v>
      </c>
      <c r="AI38">
        <v>112936.40226302226</v>
      </c>
      <c r="AJ38">
        <f t="shared" si="8"/>
        <v>2.2091656874266122E-2</v>
      </c>
      <c r="AK38">
        <v>1117312.5854371507</v>
      </c>
      <c r="AL38">
        <f t="shared" si="9"/>
        <v>-8.0030703504688286E-2</v>
      </c>
      <c r="AM38" s="24">
        <v>79805.676665175604</v>
      </c>
      <c r="AO38" s="9">
        <v>2036</v>
      </c>
      <c r="AP38">
        <f t="shared" si="10"/>
        <v>0.12412450780437063</v>
      </c>
      <c r="AQ38">
        <f t="shared" si="13"/>
        <v>-7.5234311416932612E-2</v>
      </c>
      <c r="AR38">
        <f t="shared" si="11"/>
        <v>2.3867791131731923E-2</v>
      </c>
      <c r="AS38">
        <f t="shared" si="14"/>
        <v>2.1780920439946741E-2</v>
      </c>
      <c r="AT38">
        <v>2036</v>
      </c>
      <c r="AU38">
        <f t="shared" si="15"/>
        <v>0.5</v>
      </c>
      <c r="AV38">
        <f t="shared" si="12"/>
        <v>-16.591744001921725</v>
      </c>
      <c r="AW38">
        <f t="shared" si="12"/>
        <v>0.95471164526927765</v>
      </c>
      <c r="AX38">
        <f t="shared" si="12"/>
        <v>0.80818156467159907</v>
      </c>
    </row>
    <row r="39" spans="1:50" x14ac:dyDescent="0.25">
      <c r="A39" s="9"/>
      <c r="B39" s="9">
        <v>2037</v>
      </c>
      <c r="C39" s="9"/>
      <c r="D39">
        <f>IFERROR((BAU燃油经济性!D39-CNS燃油经济性!D39)/BAU燃油经济性!D39,0)</f>
        <v>0.13500000000000001</v>
      </c>
      <c r="E39">
        <f>IFERROR((BAU燃油经济性!E39-CNS燃油经济性!E39)/BAU燃油经济性!E39,0)</f>
        <v>0</v>
      </c>
      <c r="F39">
        <f>IFERROR((BAU燃油经济性!F39-CNS燃油经济性!F39)/BAU燃油经济性!F39,0)</f>
        <v>0.13500000000000001</v>
      </c>
      <c r="G39">
        <f>IFERROR((BAU燃油经济性!G39-CNS燃油经济性!G39)/BAU燃油经济性!G39,0)</f>
        <v>0</v>
      </c>
      <c r="H39">
        <f>IFERROR((BAU燃油经济性!H39-CNS燃油经济性!H39)/BAU燃油经济性!H39,0)</f>
        <v>2.4545744341728244E-2</v>
      </c>
      <c r="I39">
        <f>IFERROR((BAU燃油经济性!I39-CNS燃油经济性!I39)/BAU燃油经济性!I39,0)</f>
        <v>2.3923444976077717E-2</v>
      </c>
      <c r="J39">
        <f>IFERROR((BAU燃油经济性!J39-CNS燃油经济性!J39)/BAU燃油经济性!J39,0)</f>
        <v>0</v>
      </c>
      <c r="K39">
        <f>IFERROR((BAU燃油经济性!K39-CNS燃油经济性!K39)/BAU燃油经济性!K39,0)</f>
        <v>0.11448532836516057</v>
      </c>
      <c r="L39">
        <f>IFERROR((BAU燃油经济性!L39-CNS燃油经济性!L39)/BAU燃油经济性!L39,0)</f>
        <v>0</v>
      </c>
      <c r="M39">
        <f>IFERROR((BAU燃油经济性!M39-CNS燃油经济性!M39)/BAU燃油经济性!M39,0)</f>
        <v>-0.13009708737864092</v>
      </c>
      <c r="N39">
        <f>IFERROR((BAU燃油经济性!N39-CNS燃油经济性!N39)/BAU燃油经济性!N39,0)</f>
        <v>0</v>
      </c>
      <c r="O39">
        <f>IFERROR((BAU燃油经济性!O39-CNS燃油经济性!O39)/BAU燃油经济性!O39,0)</f>
        <v>2.1510409865019259E-2</v>
      </c>
      <c r="P39">
        <f>IFERROR((BAU燃油经济性!P39-CNS燃油经济性!P39)/BAU燃油经济性!P39,0)</f>
        <v>0</v>
      </c>
      <c r="Q39">
        <f>IFERROR((BAU燃油经济性!Q39-CNS燃油经济性!Q39)/BAU燃油经济性!Q39,0)</f>
        <v>2.2064617809299303E-2</v>
      </c>
      <c r="R39">
        <f>IFERROR((BAU燃油经济性!R39-CNS燃油经济性!R39)/BAU燃油经济性!R39,0)</f>
        <v>0</v>
      </c>
      <c r="S39">
        <f>IFERROR((BAU燃油经济性!S39-CNS燃油经济性!S39)/BAU燃油经济性!S39,0)</f>
        <v>-0.13009708737864092</v>
      </c>
      <c r="U39" s="9"/>
      <c r="V39" s="9">
        <v>2037</v>
      </c>
      <c r="W39" s="9"/>
      <c r="X39">
        <f t="shared" si="2"/>
        <v>0.13405446842872029</v>
      </c>
      <c r="Z39">
        <f t="shared" si="3"/>
        <v>0.13405446842872029</v>
      </c>
      <c r="AB39">
        <f t="shared" si="4"/>
        <v>2.4276690023508365E-2</v>
      </c>
      <c r="AD39">
        <f t="shared" si="5"/>
        <v>6.5673010515865757E-2</v>
      </c>
      <c r="AE39">
        <v>4412.9166555633601</v>
      </c>
      <c r="AF39">
        <f t="shared" si="6"/>
        <v>-7.4628491785861062E-2</v>
      </c>
      <c r="AG39">
        <v>124763.96861298</v>
      </c>
      <c r="AH39">
        <f t="shared" si="7"/>
        <v>2.1510409865019259E-2</v>
      </c>
      <c r="AI39">
        <v>125568.86522636877</v>
      </c>
      <c r="AJ39">
        <f t="shared" si="8"/>
        <v>2.2064617809299303E-2</v>
      </c>
      <c r="AK39">
        <v>1167491.6430750117</v>
      </c>
      <c r="AL39">
        <f t="shared" si="9"/>
        <v>-7.4628491785861062E-2</v>
      </c>
      <c r="AM39" s="24">
        <v>49615.883413381598</v>
      </c>
      <c r="AO39" s="9">
        <v>2037</v>
      </c>
      <c r="AP39">
        <f t="shared" si="10"/>
        <v>0.13405446842872029</v>
      </c>
      <c r="AQ39">
        <f t="shared" si="13"/>
        <v>-7.1165606564762951E-2</v>
      </c>
      <c r="AR39">
        <f t="shared" si="11"/>
        <v>2.4276690023508365E-2</v>
      </c>
      <c r="AS39">
        <f t="shared" si="14"/>
        <v>2.2010798779009601E-2</v>
      </c>
      <c r="AT39">
        <v>2037</v>
      </c>
      <c r="AU39">
        <f t="shared" si="15"/>
        <v>0.54</v>
      </c>
      <c r="AV39">
        <f t="shared" si="12"/>
        <v>-15.6944551445483</v>
      </c>
      <c r="AW39">
        <f t="shared" si="12"/>
        <v>0.9710676009403354</v>
      </c>
      <c r="AX39">
        <f t="shared" si="12"/>
        <v>0.81671120584356716</v>
      </c>
    </row>
    <row r="40" spans="1:50" x14ac:dyDescent="0.25">
      <c r="A40" s="9"/>
      <c r="B40" s="9">
        <v>2038</v>
      </c>
      <c r="C40" s="9"/>
      <c r="D40">
        <f>IFERROR((BAU燃油经济性!D40-CNS燃油经济性!D40)/BAU燃油经济性!D40,0)</f>
        <v>0.14500000000000002</v>
      </c>
      <c r="E40">
        <f>IFERROR((BAU燃油经济性!E40-CNS燃油经济性!E40)/BAU燃油经济性!E40,0)</f>
        <v>0</v>
      </c>
      <c r="F40">
        <f>IFERROR((BAU燃油经济性!F40-CNS燃油经济性!F40)/BAU燃油经济性!F40,0)</f>
        <v>0.14500000000000002</v>
      </c>
      <c r="G40">
        <f>IFERROR((BAU燃油经济性!G40-CNS燃油经济性!G40)/BAU燃油经济性!G40,0)</f>
        <v>0</v>
      </c>
      <c r="H40">
        <f>IFERROR((BAU燃油经济性!H40-CNS燃油经济性!H40)/BAU燃油经济性!H40,0)</f>
        <v>2.4452818087068576E-2</v>
      </c>
      <c r="I40">
        <f>IFERROR((BAU燃油经济性!I40-CNS燃油经济性!I40)/BAU燃油经济性!I40,0)</f>
        <v>2.5000000000001271E-2</v>
      </c>
      <c r="J40">
        <f>IFERROR((BAU燃油经济性!J40-CNS燃油经济性!J40)/BAU燃油经济性!J40,0)</f>
        <v>0</v>
      </c>
      <c r="K40">
        <f>IFERROR((BAU燃油经济性!K40-CNS燃油经济性!K40)/BAU燃油经济性!K40,0)</f>
        <v>0.12081043316255224</v>
      </c>
      <c r="L40">
        <f>IFERROR((BAU燃油经济性!L40-CNS燃油经济性!L40)/BAU燃油经济性!L40,0)</f>
        <v>0</v>
      </c>
      <c r="M40">
        <f>IFERROR((BAU燃油经济性!M40-CNS燃油经济性!M40)/BAU燃油经济性!M40,0)</f>
        <v>-0.12067961165048563</v>
      </c>
      <c r="N40">
        <f>IFERROR((BAU燃油经济性!N40-CNS燃油经济性!N40)/BAU燃油经济性!N40,0)</f>
        <v>0</v>
      </c>
      <c r="O40">
        <f>IFERROR((BAU燃油经济性!O40-CNS燃油经济性!O40)/BAU燃油经济性!O40,0)</f>
        <v>2.4314104965692484E-2</v>
      </c>
      <c r="P40">
        <f>IFERROR((BAU燃油经济性!P40-CNS燃油经济性!P40)/BAU燃油经济性!P40,0)</f>
        <v>0</v>
      </c>
      <c r="Q40">
        <f>IFERROR((BAU燃油经济性!Q40-CNS燃油经济性!Q40)/BAU燃油经济性!Q40,0)</f>
        <v>2.203725723345297E-2</v>
      </c>
      <c r="R40">
        <f>IFERROR((BAU燃油经济性!R40-CNS燃油经济性!R40)/BAU燃油经济性!R40,0)</f>
        <v>0</v>
      </c>
      <c r="S40">
        <f>IFERROR((BAU燃油经济性!S40-CNS燃油经济性!S40)/BAU燃油经济性!S40,0)</f>
        <v>-0.12067961165048563</v>
      </c>
      <c r="U40" s="9"/>
      <c r="V40" s="9">
        <v>2038</v>
      </c>
      <c r="W40" s="9"/>
      <c r="X40">
        <f t="shared" si="2"/>
        <v>0.14398442905306996</v>
      </c>
      <c r="Z40">
        <f t="shared" si="3"/>
        <v>0.14398442905306996</v>
      </c>
      <c r="AB40">
        <f t="shared" si="4"/>
        <v>2.4689394989846639E-2</v>
      </c>
      <c r="AD40">
        <f t="shared" si="5"/>
        <v>6.9301324115562474E-2</v>
      </c>
      <c r="AE40">
        <v>4116.9418889358603</v>
      </c>
      <c r="AF40">
        <f t="shared" si="6"/>
        <v>-6.9226280067033838E-2</v>
      </c>
      <c r="AG40">
        <v>125588.54177079401</v>
      </c>
      <c r="AH40">
        <f t="shared" si="7"/>
        <v>2.4314104965692484E-2</v>
      </c>
      <c r="AI40">
        <v>131687.09558394854</v>
      </c>
      <c r="AJ40">
        <f t="shared" si="8"/>
        <v>2.203725723345297E-2</v>
      </c>
      <c r="AK40">
        <v>1190489.5194841977</v>
      </c>
      <c r="AL40">
        <f t="shared" si="9"/>
        <v>-6.9226280067033838E-2</v>
      </c>
      <c r="AM40" s="24">
        <v>46288.141092261903</v>
      </c>
      <c r="AO40" s="9">
        <v>2038</v>
      </c>
      <c r="AP40">
        <f t="shared" si="10"/>
        <v>0.14398442905306996</v>
      </c>
      <c r="AQ40">
        <f t="shared" si="13"/>
        <v>-6.5985764410646103E-2</v>
      </c>
      <c r="AR40">
        <f t="shared" si="11"/>
        <v>2.4689394989846639E-2</v>
      </c>
      <c r="AS40">
        <f t="shared" si="14"/>
        <v>2.2264028348240889E-2</v>
      </c>
      <c r="AT40">
        <v>2038</v>
      </c>
      <c r="AU40">
        <f t="shared" si="15"/>
        <v>0.58000000000000007</v>
      </c>
      <c r="AV40">
        <f t="shared" ref="AV40:AV62" si="16">AQ40/AQ$62</f>
        <v>-14.552122432613267</v>
      </c>
      <c r="AW40">
        <f t="shared" ref="AW40:AW62" si="17">AR40/AR$62</f>
        <v>0.98757579959386632</v>
      </c>
      <c r="AX40">
        <f t="shared" ref="AX40:AX62" si="18">AS40/AS$62</f>
        <v>0.82610729495957691</v>
      </c>
    </row>
    <row r="41" spans="1:50" x14ac:dyDescent="0.25">
      <c r="A41" s="9"/>
      <c r="B41" s="9">
        <v>2039</v>
      </c>
      <c r="C41" s="9"/>
      <c r="D41">
        <f>IFERROR((BAU燃油经济性!D41-CNS燃油经济性!D41)/BAU燃油经济性!D41,0)</f>
        <v>0.15500000000000003</v>
      </c>
      <c r="E41">
        <f>IFERROR((BAU燃油经济性!E41-CNS燃油经济性!E41)/BAU燃油经济性!E41,0)</f>
        <v>0</v>
      </c>
      <c r="F41">
        <f>IFERROR((BAU燃油经济性!F41-CNS燃油经济性!F41)/BAU燃油经济性!F41,0)</f>
        <v>0.15500000000000003</v>
      </c>
      <c r="G41">
        <f>IFERROR((BAU燃油经济性!G41-CNS燃油经济性!G41)/BAU燃油经济性!G41,0)</f>
        <v>0</v>
      </c>
      <c r="H41">
        <f>IFERROR((BAU燃油经济性!H41-CNS燃油经济性!H41)/BAU燃油经济性!H41,0)</f>
        <v>2.4358767543152662E-2</v>
      </c>
      <c r="I41">
        <f>IFERROR((BAU燃油经济性!I41-CNS燃油经济性!I41)/BAU燃油经济性!I41,0)</f>
        <v>2.608695652174051E-2</v>
      </c>
      <c r="J41">
        <f>IFERROR((BAU燃油经济性!J41-CNS燃油经济性!J41)/BAU燃油经济性!J41,0)</f>
        <v>0</v>
      </c>
      <c r="K41">
        <f>IFERROR((BAU燃油经济性!K41-CNS燃油经济性!K41)/BAU燃油经济性!K41,0)</f>
        <v>0.12713553795994392</v>
      </c>
      <c r="L41">
        <f>IFERROR((BAU燃油经济性!L41-CNS燃油经济性!L41)/BAU燃油经济性!L41,0)</f>
        <v>0</v>
      </c>
      <c r="M41">
        <f>IFERROR((BAU燃油经济性!M41-CNS燃油经济性!M41)/BAU燃油经济性!M41,0)</f>
        <v>-0.11126213592233034</v>
      </c>
      <c r="N41">
        <f>IFERROR((BAU燃油经济性!N41-CNS燃油经济性!N41)/BAU燃油经济性!N41,0)</f>
        <v>0</v>
      </c>
      <c r="O41">
        <f>IFERROR((BAU燃油经济性!O41-CNS燃油经济性!O41)/BAU燃油经济性!O41,0)</f>
        <v>2.7117800066365709E-2</v>
      </c>
      <c r="P41">
        <f>IFERROR((BAU燃油经济性!P41-CNS燃油经济性!P41)/BAU燃油经济性!P41,0)</f>
        <v>0</v>
      </c>
      <c r="Q41">
        <f>IFERROR((BAU燃油经济性!Q41-CNS燃油经济性!Q41)/BAU燃油经济性!Q41,0)</f>
        <v>2.2009569377991253E-2</v>
      </c>
      <c r="R41">
        <f>IFERROR((BAU燃油经济性!R41-CNS燃油经济性!R41)/BAU燃油经济性!R41,0)</f>
        <v>0</v>
      </c>
      <c r="S41">
        <f>IFERROR((BAU燃油经济性!S41-CNS燃油经济性!S41)/BAU燃油经济性!S41,0)</f>
        <v>-0.11126213592233034</v>
      </c>
      <c r="U41" s="9"/>
      <c r="V41" s="9">
        <v>2039</v>
      </c>
      <c r="W41" s="9"/>
      <c r="X41">
        <f t="shared" si="2"/>
        <v>0.15391438967741961</v>
      </c>
      <c r="Z41">
        <f t="shared" si="3"/>
        <v>0.15391438967741961</v>
      </c>
      <c r="AB41">
        <f t="shared" si="4"/>
        <v>2.5105958900005471E-2</v>
      </c>
      <c r="AD41">
        <f t="shared" si="5"/>
        <v>7.2929637715259205E-2</v>
      </c>
      <c r="AE41">
        <v>8504.8157999843497</v>
      </c>
      <c r="AF41">
        <f t="shared" si="6"/>
        <v>-6.3824068348206614E-2</v>
      </c>
      <c r="AG41">
        <v>126629.026474571</v>
      </c>
      <c r="AH41">
        <f t="shared" si="7"/>
        <v>2.7117800066365709E-2</v>
      </c>
      <c r="AI41">
        <v>129499.15581655863</v>
      </c>
      <c r="AJ41">
        <f t="shared" si="8"/>
        <v>2.2009569377991253E-2</v>
      </c>
      <c r="AK41">
        <v>1204476.4954538774</v>
      </c>
      <c r="AL41">
        <f t="shared" si="9"/>
        <v>-6.3824068348206614E-2</v>
      </c>
      <c r="AM41" s="24">
        <v>95622.460635490905</v>
      </c>
      <c r="AO41" s="9">
        <v>2039</v>
      </c>
      <c r="AP41">
        <f t="shared" si="10"/>
        <v>0.15391438967741961</v>
      </c>
      <c r="AQ41">
        <f t="shared" si="13"/>
        <v>-5.8783837310667553E-2</v>
      </c>
      <c r="AR41">
        <f t="shared" si="11"/>
        <v>2.5105958900005471E-2</v>
      </c>
      <c r="AS41">
        <f t="shared" si="14"/>
        <v>2.2505464157802805E-2</v>
      </c>
      <c r="AT41">
        <v>2039</v>
      </c>
      <c r="AU41">
        <f t="shared" si="15"/>
        <v>0.62000000000000011</v>
      </c>
      <c r="AV41">
        <f t="shared" si="16"/>
        <v>-12.963850691796177</v>
      </c>
      <c r="AW41">
        <f t="shared" si="17"/>
        <v>1.0042383560002197</v>
      </c>
      <c r="AX41">
        <f t="shared" si="18"/>
        <v>0.83506577634595758</v>
      </c>
    </row>
    <row r="42" spans="1:50" x14ac:dyDescent="0.25">
      <c r="A42" s="9"/>
      <c r="B42" s="9">
        <v>2040</v>
      </c>
      <c r="C42" s="9"/>
      <c r="D42">
        <f>IFERROR((BAU燃油经济性!D42-CNS燃油经济性!D42)/BAU燃油经济性!D42,0)</f>
        <v>0.16500000000000004</v>
      </c>
      <c r="E42">
        <f>IFERROR((BAU燃油经济性!E42-CNS燃油经济性!E42)/BAU燃油经济性!E42,0)</f>
        <v>0</v>
      </c>
      <c r="F42">
        <f>IFERROR((BAU燃油经济性!F42-CNS燃油经济性!F42)/BAU燃油经济性!F42,0)</f>
        <v>0.16500000000000004</v>
      </c>
      <c r="G42">
        <f>IFERROR((BAU燃油经济性!G42-CNS燃油经济性!G42)/BAU燃油经济性!G42,0)</f>
        <v>0</v>
      </c>
      <c r="H42">
        <f>IFERROR((BAU燃油经济性!H42-CNS燃油经济性!H42)/BAU燃油经济性!H42,0)</f>
        <v>2.4263572182099086E-2</v>
      </c>
      <c r="I42">
        <f>IFERROR((BAU燃油经济性!I42-CNS燃油经济性!I42)/BAU燃油经济性!I42,0)</f>
        <v>2.7184466019418967E-2</v>
      </c>
      <c r="J42">
        <f>IFERROR((BAU燃油经济性!J42-CNS燃油经济性!J42)/BAU燃油经济性!J42,0)</f>
        <v>0</v>
      </c>
      <c r="K42">
        <f>IFERROR((BAU燃油经济性!K42-CNS燃油经济性!K42)/BAU燃油经济性!K42,0)</f>
        <v>0.1334606427573356</v>
      </c>
      <c r="L42">
        <f>IFERROR((BAU燃油经济性!L42-CNS燃油经济性!L42)/BAU燃油经济性!L42,0)</f>
        <v>0</v>
      </c>
      <c r="M42">
        <f>IFERROR((BAU燃油经济性!M42-CNS燃油经济性!M42)/BAU燃油经济性!M42,0)</f>
        <v>-0.10184466019417504</v>
      </c>
      <c r="N42">
        <f>IFERROR((BAU燃油经济性!N42-CNS燃油经济性!N42)/BAU燃油经济性!N42,0)</f>
        <v>0</v>
      </c>
      <c r="O42">
        <f>IFERROR((BAU燃油经济性!O42-CNS燃油经济性!O42)/BAU燃油经济性!O42,0)</f>
        <v>2.9921495167038938E-2</v>
      </c>
      <c r="P42">
        <f>IFERROR((BAU燃油经济性!P42-CNS燃油经济性!P42)/BAU燃油经济性!P42,0)</f>
        <v>0</v>
      </c>
      <c r="Q42">
        <f>IFERROR((BAU燃油经济性!Q42-CNS燃油经济性!Q42)/BAU燃油经济性!Q42,0)</f>
        <v>2.1981548335339864E-2</v>
      </c>
      <c r="R42">
        <f>IFERROR((BAU燃油经济性!R42-CNS燃油经济性!R42)/BAU燃油经济性!R42,0)</f>
        <v>0</v>
      </c>
      <c r="S42">
        <f>IFERROR((BAU燃油经济性!S42-CNS燃油经济性!S42)/BAU燃油经济性!S42,0)</f>
        <v>-0.10184466019417504</v>
      </c>
      <c r="U42" s="9"/>
      <c r="V42" s="9">
        <v>2040</v>
      </c>
      <c r="W42" s="9"/>
      <c r="X42">
        <f t="shared" si="2"/>
        <v>0.16384435030176928</v>
      </c>
      <c r="Z42">
        <f t="shared" si="3"/>
        <v>0.16384435030176928</v>
      </c>
      <c r="AB42">
        <f t="shared" si="4"/>
        <v>2.5526435593780719E-2</v>
      </c>
      <c r="AD42">
        <f t="shared" si="5"/>
        <v>7.6557951314955922E-2</v>
      </c>
      <c r="AE42">
        <v>9901.8693543302397</v>
      </c>
      <c r="AF42">
        <f t="shared" si="6"/>
        <v>-5.842185662937939E-2</v>
      </c>
      <c r="AG42">
        <v>128771.44442294</v>
      </c>
      <c r="AH42">
        <f t="shared" si="7"/>
        <v>2.9921495167038938E-2</v>
      </c>
      <c r="AI42">
        <v>120897.48099887953</v>
      </c>
      <c r="AJ42">
        <f t="shared" si="8"/>
        <v>2.1981548335339864E-2</v>
      </c>
      <c r="AK42">
        <v>1201839.6558074355</v>
      </c>
      <c r="AL42">
        <f t="shared" si="9"/>
        <v>-5.842185662937939E-2</v>
      </c>
      <c r="AM42" s="24">
        <v>111329.99641849499</v>
      </c>
      <c r="AO42" s="9">
        <v>2040</v>
      </c>
      <c r="AP42">
        <f t="shared" si="10"/>
        <v>0.16384435030176928</v>
      </c>
      <c r="AQ42">
        <f t="shared" si="13"/>
        <v>-5.3075717721495302E-2</v>
      </c>
      <c r="AR42">
        <f t="shared" si="11"/>
        <v>2.5526435593780719E-2</v>
      </c>
      <c r="AS42">
        <f t="shared" si="14"/>
        <v>2.2707255314078762E-2</v>
      </c>
      <c r="AT42">
        <v>2040</v>
      </c>
      <c r="AU42">
        <f t="shared" si="15"/>
        <v>0.66000000000000014</v>
      </c>
      <c r="AV42">
        <f t="shared" si="16"/>
        <v>-11.705014700980087</v>
      </c>
      <c r="AW42">
        <f t="shared" si="17"/>
        <v>1.0210574237512295</v>
      </c>
      <c r="AX42">
        <f t="shared" si="18"/>
        <v>0.84255324194070336</v>
      </c>
    </row>
    <row r="43" spans="1:50" x14ac:dyDescent="0.25">
      <c r="A43" s="9" t="s">
        <v>31</v>
      </c>
      <c r="B43" s="9">
        <v>2041</v>
      </c>
      <c r="C43" s="9">
        <v>50</v>
      </c>
      <c r="D43">
        <f>IFERROR((BAU燃油经济性!D43-CNS燃油经济性!D43)/BAU燃油经济性!D43,0)</f>
        <v>0.17500000000000004</v>
      </c>
      <c r="E43">
        <f>IFERROR((BAU燃油经济性!E43-CNS燃油经济性!E43)/BAU燃油经济性!E43,0)</f>
        <v>0</v>
      </c>
      <c r="F43">
        <f>IFERROR((BAU燃油经济性!F43-CNS燃油经济性!F43)/BAU燃油经济性!F43,0)</f>
        <v>0.17500000000000004</v>
      </c>
      <c r="G43">
        <f>IFERROR((BAU燃油经济性!G43-CNS燃油经济性!G43)/BAU燃油经济性!G43,0)</f>
        <v>0</v>
      </c>
      <c r="H43">
        <f>IFERROR((BAU燃油经济性!H43-CNS燃油经济性!H43)/BAU燃油经济性!H43,0)</f>
        <v>2.4167210973220176E-2</v>
      </c>
      <c r="I43">
        <f>IFERROR((BAU燃油经济性!I43-CNS燃油经济性!I43)/BAU燃油经济性!I43,0)</f>
        <v>2.829268292683098E-2</v>
      </c>
      <c r="J43">
        <f>IFERROR((BAU燃油经济性!J43-CNS燃油经济性!J43)/BAU燃油经济性!J43,0)</f>
        <v>0</v>
      </c>
      <c r="K43">
        <f>IFERROR((BAU燃油经济性!K43-CNS燃油经济性!K43)/BAU燃油经济性!K43,0)</f>
        <v>0.13978574755472761</v>
      </c>
      <c r="L43">
        <f>IFERROR((BAU燃油经济性!L43-CNS燃油经济性!L43)/BAU燃油经济性!L43,0)</f>
        <v>0</v>
      </c>
      <c r="M43">
        <f>IFERROR((BAU燃油经济性!M43-CNS燃油经济性!M43)/BAU燃油经济性!M43,0)</f>
        <v>-9.2427184466019413E-2</v>
      </c>
      <c r="N43">
        <f>IFERROR((BAU燃油经济性!N43-CNS燃油经济性!N43)/BAU燃油经济性!N43,0)</f>
        <v>0</v>
      </c>
      <c r="O43">
        <f>IFERROR((BAU燃油经济性!O43-CNS燃油经济性!O43)/BAU燃油经济性!O43,0)</f>
        <v>3.2725190267712853E-2</v>
      </c>
      <c r="P43">
        <f>IFERROR((BAU燃油经济性!P43-CNS燃油经济性!P43)/BAU燃油经济性!P43,0)</f>
        <v>0</v>
      </c>
      <c r="Q43">
        <f>IFERROR((BAU燃油经济性!Q43-CNS燃油经济性!Q43)/BAU燃油经济性!Q43,0)</f>
        <v>2.352941176470601E-2</v>
      </c>
      <c r="R43">
        <f>IFERROR((BAU燃油经济性!R43-CNS燃油经济性!R43)/BAU燃油经济性!R43,0)</f>
        <v>0</v>
      </c>
      <c r="S43">
        <f>IFERROR((BAU燃油经济性!S43-CNS燃油经济性!S43)/BAU燃油经济性!S43,0)</f>
        <v>-9.2427184466019413E-2</v>
      </c>
      <c r="U43" s="9" t="s">
        <v>31</v>
      </c>
      <c r="V43" s="9">
        <v>2041</v>
      </c>
      <c r="W43" s="9">
        <v>50</v>
      </c>
      <c r="X43">
        <f t="shared" si="2"/>
        <v>0.17377431092611892</v>
      </c>
      <c r="Z43">
        <f t="shared" si="3"/>
        <v>0.17377431092611892</v>
      </c>
      <c r="AB43">
        <f t="shared" si="4"/>
        <v>2.5950879903452254E-2</v>
      </c>
      <c r="AD43">
        <f t="shared" si="5"/>
        <v>8.0186264914652833E-2</v>
      </c>
      <c r="AE43">
        <v>6449.4788769771803</v>
      </c>
      <c r="AF43">
        <f t="shared" si="6"/>
        <v>-5.3019644910551979E-2</v>
      </c>
      <c r="AG43">
        <v>131634.42134388199</v>
      </c>
      <c r="AH43">
        <f t="shared" si="7"/>
        <v>3.2725190267712853E-2</v>
      </c>
      <c r="AI43">
        <v>110133.98704997497</v>
      </c>
      <c r="AJ43">
        <f t="shared" si="8"/>
        <v>2.352941176470601E-2</v>
      </c>
      <c r="AK43">
        <v>1182398.4407483172</v>
      </c>
      <c r="AL43">
        <f t="shared" si="9"/>
        <v>-5.3019644910551979E-2</v>
      </c>
      <c r="AM43" s="24">
        <v>72513.626930558094</v>
      </c>
      <c r="AO43" s="9">
        <v>2041</v>
      </c>
      <c r="AP43">
        <f t="shared" si="10"/>
        <v>0.17377431092611892</v>
      </c>
      <c r="AQ43">
        <f t="shared" si="13"/>
        <v>-4.8940258446111232E-2</v>
      </c>
      <c r="AR43">
        <f t="shared" si="11"/>
        <v>2.5950879903452254E-2</v>
      </c>
      <c r="AS43">
        <f t="shared" si="14"/>
        <v>2.4312964833691483E-2</v>
      </c>
      <c r="AT43">
        <v>2041</v>
      </c>
      <c r="AU43">
        <f t="shared" si="15"/>
        <v>0.70000000000000018</v>
      </c>
      <c r="AV43">
        <f t="shared" si="16"/>
        <v>-10.793004205565325</v>
      </c>
      <c r="AW43">
        <f t="shared" si="17"/>
        <v>1.0380351961380909</v>
      </c>
      <c r="AX43">
        <f t="shared" si="18"/>
        <v>0.90213313139242124</v>
      </c>
    </row>
    <row r="44" spans="1:50" x14ac:dyDescent="0.25">
      <c r="A44" s="9"/>
      <c r="B44" s="9">
        <v>2042</v>
      </c>
      <c r="C44" s="9"/>
      <c r="D44">
        <f>IFERROR((BAU燃油经济性!D44-CNS燃油经济性!D44)/BAU燃油经济性!D44,0)</f>
        <v>0.1825</v>
      </c>
      <c r="E44">
        <f>IFERROR((BAU燃油经济性!E44-CNS燃油经济性!E44)/BAU燃油经济性!E44,0)</f>
        <v>0</v>
      </c>
      <c r="F44">
        <f>IFERROR((BAU燃油经济性!F44-CNS燃油经济性!F44)/BAU燃油经济性!F44,0)</f>
        <v>0.1825</v>
      </c>
      <c r="G44">
        <f>IFERROR((BAU燃油经济性!G44-CNS燃油经济性!G44)/BAU燃油经济性!G44,0)</f>
        <v>0</v>
      </c>
      <c r="H44">
        <f>IFERROR((BAU燃油经济性!H44-CNS燃油经济性!H44)/BAU燃油经济性!H44,0)</f>
        <v>2.4069662367534796E-2</v>
      </c>
      <c r="I44">
        <f>IFERROR((BAU燃油经济性!I44-CNS燃油经济性!I44)/BAU燃油经济性!I44,0)</f>
        <v>2.8220858895707163E-2</v>
      </c>
      <c r="J44">
        <f>IFERROR((BAU燃油经济性!J44-CNS燃油经济性!J44)/BAU燃油经济性!J44,0)</f>
        <v>0</v>
      </c>
      <c r="K44">
        <f>IFERROR((BAU燃油经济性!K44-CNS燃油经济性!K44)/BAU燃油经济性!K44,0)</f>
        <v>0.14611085235211929</v>
      </c>
      <c r="L44">
        <f>IFERROR((BAU燃油经济性!L44-CNS燃油经济性!L44)/BAU燃油经济性!L44,0)</f>
        <v>0</v>
      </c>
      <c r="M44">
        <f>IFERROR((BAU燃油经济性!M44-CNS燃油经济性!M44)/BAU燃油经济性!M44,0)</f>
        <v>-8.3009708737864119E-2</v>
      </c>
      <c r="N44">
        <f>IFERROR((BAU燃油经济性!N44-CNS燃油经济性!N44)/BAU燃油经济性!N44,0)</f>
        <v>0</v>
      </c>
      <c r="O44">
        <f>IFERROR((BAU燃油经济性!O44-CNS燃油经济性!O44)/BAU燃油经济性!O44,0)</f>
        <v>3.4127037818049551E-2</v>
      </c>
      <c r="P44">
        <f>IFERROR((BAU燃油经济性!P44-CNS燃油经济性!P44)/BAU燃油经济性!P44,0)</f>
        <v>0</v>
      </c>
      <c r="Q44">
        <f>IFERROR((BAU燃油经济性!Q44-CNS燃油经济性!Q44)/BAU燃油经济性!Q44,0)</f>
        <v>2.3905996758509053E-2</v>
      </c>
      <c r="R44">
        <f>IFERROR((BAU燃油经济性!R44-CNS燃油经济性!R44)/BAU燃油经济性!R44,0)</f>
        <v>0</v>
      </c>
      <c r="S44">
        <f>IFERROR((BAU燃油经济性!S44-CNS燃油经济性!S44)/BAU燃油经济性!S44,0)</f>
        <v>-8.3009708737864119E-2</v>
      </c>
      <c r="U44" s="9"/>
      <c r="V44" s="9">
        <v>2042</v>
      </c>
      <c r="W44" s="9"/>
      <c r="X44">
        <f t="shared" si="2"/>
        <v>0.18122178139438111</v>
      </c>
      <c r="Z44">
        <f t="shared" si="3"/>
        <v>0.18122178139438111</v>
      </c>
      <c r="AB44">
        <f t="shared" si="4"/>
        <v>2.5864453449342462E-2</v>
      </c>
      <c r="AD44">
        <f t="shared" si="5"/>
        <v>8.381457851434955E-2</v>
      </c>
      <c r="AE44">
        <v>4173.04202419794</v>
      </c>
      <c r="AF44">
        <f t="shared" si="6"/>
        <v>-4.7617433191724755E-2</v>
      </c>
      <c r="AG44">
        <v>134055.80133757499</v>
      </c>
      <c r="AH44">
        <f t="shared" si="7"/>
        <v>3.4127037818049551E-2</v>
      </c>
      <c r="AI44">
        <v>101643.04794750887</v>
      </c>
      <c r="AJ44">
        <f t="shared" si="8"/>
        <v>2.3905996758509053E-2</v>
      </c>
      <c r="AK44">
        <v>1157892.2422286812</v>
      </c>
      <c r="AL44">
        <f t="shared" si="9"/>
        <v>-4.7617433191724755E-2</v>
      </c>
      <c r="AM44" s="24">
        <v>46918.893492067204</v>
      </c>
      <c r="AO44" s="9">
        <v>2042</v>
      </c>
      <c r="AP44">
        <f t="shared" si="10"/>
        <v>0.18122178139438111</v>
      </c>
      <c r="AQ44">
        <f t="shared" si="13"/>
        <v>-4.4655089079426481E-2</v>
      </c>
      <c r="AR44">
        <f t="shared" si="11"/>
        <v>2.5864453449342462E-2</v>
      </c>
      <c r="AS44">
        <f t="shared" si="14"/>
        <v>2.4730823005610879E-2</v>
      </c>
      <c r="AT44">
        <v>2042</v>
      </c>
      <c r="AU44">
        <f t="shared" si="15"/>
        <v>0.73</v>
      </c>
      <c r="AV44">
        <f t="shared" si="16"/>
        <v>-9.8479775043452129</v>
      </c>
      <c r="AW44">
        <f t="shared" si="17"/>
        <v>1.0345781379736994</v>
      </c>
      <c r="AX44">
        <f t="shared" si="18"/>
        <v>0.91763776867915736</v>
      </c>
    </row>
    <row r="45" spans="1:50" x14ac:dyDescent="0.25">
      <c r="A45" s="9"/>
      <c r="B45" s="9">
        <v>2043</v>
      </c>
      <c r="C45" s="9"/>
      <c r="D45">
        <f>IFERROR((BAU燃油经济性!D45-CNS燃油经济性!D45)/BAU燃油经济性!D45,0)</f>
        <v>0.18999999999999995</v>
      </c>
      <c r="E45">
        <f>IFERROR((BAU燃油经济性!E45-CNS燃油经济性!E45)/BAU燃油经济性!E45,0)</f>
        <v>0</v>
      </c>
      <c r="F45">
        <f>IFERROR((BAU燃油经济性!F45-CNS燃油经济性!F45)/BAU燃油经济性!F45,0)</f>
        <v>0.18999999999999995</v>
      </c>
      <c r="G45">
        <f>IFERROR((BAU燃油经济性!G45-CNS燃油经济性!G45)/BAU燃油经济性!G45,0)</f>
        <v>0</v>
      </c>
      <c r="H45">
        <f>IFERROR((BAU燃油经济性!H45-CNS燃油经济性!H45)/BAU燃油经济性!H45,0)</f>
        <v>2.3970904281699571E-2</v>
      </c>
      <c r="I45">
        <f>IFERROR((BAU燃油经济性!I45-CNS燃油经济性!I45)/BAU燃油经济性!I45,0)</f>
        <v>2.8148148148149719E-2</v>
      </c>
      <c r="J45">
        <f>IFERROR((BAU燃油经济性!J45-CNS燃油经济性!J45)/BAU燃油经济性!J45,0)</f>
        <v>0</v>
      </c>
      <c r="K45">
        <f>IFERROR((BAU燃油经济性!K45-CNS燃油经济性!K45)/BAU燃油经济性!K45,0)</f>
        <v>0.15243595714951097</v>
      </c>
      <c r="L45">
        <f>IFERROR((BAU燃油经济性!L45-CNS燃油经济性!L45)/BAU燃油经济性!L45,0)</f>
        <v>0</v>
      </c>
      <c r="M45">
        <f>IFERROR((BAU燃油经济性!M45-CNS燃油经济性!M45)/BAU燃油经济性!M45,0)</f>
        <v>-7.3592233009708824E-2</v>
      </c>
      <c r="N45">
        <f>IFERROR((BAU燃油经济性!N45-CNS燃油经济性!N45)/BAU燃油经济性!N45,0)</f>
        <v>0</v>
      </c>
      <c r="O45">
        <f>IFERROR((BAU燃油经济性!O45-CNS燃油经济性!O45)/BAU燃油经济性!O45,0)</f>
        <v>3.5528885368386248E-2</v>
      </c>
      <c r="P45">
        <f>IFERROR((BAU燃油经济性!P45-CNS燃油经济性!P45)/BAU燃油经济性!P45,0)</f>
        <v>0</v>
      </c>
      <c r="Q45">
        <f>IFERROR((BAU燃油经济性!Q45-CNS燃油经济性!Q45)/BAU燃油经济性!Q45,0)</f>
        <v>2.4286878565607323E-2</v>
      </c>
      <c r="R45">
        <f>IFERROR((BAU燃油经济性!R45-CNS燃油经济性!R45)/BAU燃油经济性!R45,0)</f>
        <v>0</v>
      </c>
      <c r="S45">
        <f>IFERROR((BAU燃油经济性!S45-CNS燃油经济性!S45)/BAU燃油经济性!S45,0)</f>
        <v>-7.3592233009708824E-2</v>
      </c>
      <c r="U45" s="9"/>
      <c r="V45" s="9">
        <v>2043</v>
      </c>
      <c r="W45" s="9"/>
      <c r="X45">
        <f t="shared" si="2"/>
        <v>0.1886692518626433</v>
      </c>
      <c r="Z45">
        <f t="shared" si="3"/>
        <v>0.1886692518626433</v>
      </c>
      <c r="AB45">
        <f t="shared" si="4"/>
        <v>2.5776957063628762E-2</v>
      </c>
      <c r="AD45">
        <f t="shared" si="5"/>
        <v>8.7442892114046267E-2</v>
      </c>
      <c r="AE45">
        <v>4842.4765562043303</v>
      </c>
      <c r="AF45">
        <f t="shared" si="6"/>
        <v>-4.2215221472897531E-2</v>
      </c>
      <c r="AG45">
        <v>135060.78777101601</v>
      </c>
      <c r="AH45">
        <f t="shared" si="7"/>
        <v>3.5528885368386248E-2</v>
      </c>
      <c r="AI45">
        <v>98287.923219274846</v>
      </c>
      <c r="AJ45">
        <f t="shared" si="8"/>
        <v>2.4286878565607323E-2</v>
      </c>
      <c r="AK45">
        <v>1145836.1540213395</v>
      </c>
      <c r="AL45">
        <f t="shared" si="9"/>
        <v>-4.2215221472897531E-2</v>
      </c>
      <c r="AM45" s="24">
        <v>54445.567636489999</v>
      </c>
      <c r="AO45" s="9">
        <v>2043</v>
      </c>
      <c r="AP45">
        <f t="shared" si="10"/>
        <v>0.1886692518626433</v>
      </c>
      <c r="AQ45">
        <f t="shared" si="13"/>
        <v>-3.8984605836968778E-2</v>
      </c>
      <c r="AR45">
        <f t="shared" si="11"/>
        <v>2.5776957063628762E-2</v>
      </c>
      <c r="AS45">
        <f t="shared" si="14"/>
        <v>2.5175016269615765E-2</v>
      </c>
      <c r="AT45">
        <v>2043</v>
      </c>
      <c r="AU45">
        <f t="shared" si="15"/>
        <v>0.75999999999999979</v>
      </c>
      <c r="AV45">
        <f t="shared" si="16"/>
        <v>-8.5974416178046145</v>
      </c>
      <c r="AW45">
        <f t="shared" si="17"/>
        <v>1.0310782825451512</v>
      </c>
      <c r="AX45">
        <f t="shared" si="18"/>
        <v>0.93411957017647429</v>
      </c>
    </row>
    <row r="46" spans="1:50" x14ac:dyDescent="0.25">
      <c r="A46" s="9"/>
      <c r="B46" s="9">
        <v>2044</v>
      </c>
      <c r="C46" s="9"/>
      <c r="D46">
        <f>IFERROR((BAU燃油经济性!D46-CNS燃油经济性!D46)/BAU燃油经济性!D46,0)</f>
        <v>0.1974999999999999</v>
      </c>
      <c r="E46">
        <f>IFERROR((BAU燃油经济性!E46-CNS燃油经济性!E46)/BAU燃油经济性!E46,0)</f>
        <v>0</v>
      </c>
      <c r="F46">
        <f>IFERROR((BAU燃油经济性!F46-CNS燃油经济性!F46)/BAU燃油经济性!F46,0)</f>
        <v>0.1974999999999999</v>
      </c>
      <c r="G46">
        <f>IFERROR((BAU燃油经济性!G46-CNS燃油经济性!G46)/BAU燃油经济性!G46,0)</f>
        <v>0</v>
      </c>
      <c r="H46">
        <f>IFERROR((BAU燃油经济性!H46-CNS燃油经济性!H46)/BAU燃油经济性!H46,0)</f>
        <v>2.3870914081344237E-2</v>
      </c>
      <c r="I46">
        <f>IFERROR((BAU燃油经济性!I46-CNS燃油经济性!I46)/BAU燃油经济性!I46,0)</f>
        <v>2.8074534161492186E-2</v>
      </c>
      <c r="J46">
        <f>IFERROR((BAU燃油经济性!J46-CNS燃油经济性!J46)/BAU燃油经济性!J46,0)</f>
        <v>0</v>
      </c>
      <c r="K46">
        <f>IFERROR((BAU燃油经济性!K46-CNS燃油经济性!K46)/BAU燃油经济性!K46,0)</f>
        <v>0.15876106194690265</v>
      </c>
      <c r="L46">
        <f>IFERROR((BAU燃油经济性!L46-CNS燃油经济性!L46)/BAU燃油经济性!L46,0)</f>
        <v>0</v>
      </c>
      <c r="M46">
        <f>IFERROR((BAU燃油经济性!M46-CNS燃油经济性!M46)/BAU燃油经济性!M46,0)</f>
        <v>-6.4174757281553529E-2</v>
      </c>
      <c r="N46">
        <f>IFERROR((BAU燃油经济性!N46-CNS燃油经济性!N46)/BAU燃油经济性!N46,0)</f>
        <v>0</v>
      </c>
      <c r="O46">
        <f>IFERROR((BAU燃油经济性!O46-CNS燃油经济性!O46)/BAU燃油经济性!O46,0)</f>
        <v>3.6930732918722953E-2</v>
      </c>
      <c r="P46">
        <f>IFERROR((BAU燃油经济性!P46-CNS燃油经济性!P46)/BAU燃油经济性!P46,0)</f>
        <v>0</v>
      </c>
      <c r="Q46">
        <f>IFERROR((BAU燃油经济性!Q46-CNS燃油经济性!Q46)/BAU燃油经济性!Q46,0)</f>
        <v>2.4672131147541142E-2</v>
      </c>
      <c r="R46">
        <f>IFERROR((BAU燃油经济性!R46-CNS燃油经济性!R46)/BAU燃油经济性!R46,0)</f>
        <v>0</v>
      </c>
      <c r="S46">
        <f>IFERROR((BAU燃油经济性!S46-CNS燃油经济性!S46)/BAU燃油经济性!S46,0)</f>
        <v>-6.4174757281553529E-2</v>
      </c>
      <c r="U46" s="9"/>
      <c r="V46" s="9">
        <v>2044</v>
      </c>
      <c r="W46" s="9"/>
      <c r="X46">
        <f t="shared" si="2"/>
        <v>0.19611672233090549</v>
      </c>
      <c r="Z46">
        <f t="shared" si="3"/>
        <v>0.19611672233090549</v>
      </c>
      <c r="AB46">
        <f t="shared" si="4"/>
        <v>2.5688370754367331E-2</v>
      </c>
      <c r="AD46">
        <f t="shared" si="5"/>
        <v>9.1071205713742984E-2</v>
      </c>
      <c r="AE46">
        <v>7128.2232731322802</v>
      </c>
      <c r="AF46">
        <f t="shared" si="6"/>
        <v>-3.6813009754070307E-2</v>
      </c>
      <c r="AG46">
        <v>134360.16457069901</v>
      </c>
      <c r="AH46">
        <f t="shared" si="7"/>
        <v>3.6930732918722953E-2</v>
      </c>
      <c r="AI46">
        <v>100545.98122442793</v>
      </c>
      <c r="AJ46">
        <f t="shared" si="8"/>
        <v>2.4672131147541142E-2</v>
      </c>
      <c r="AK46">
        <v>1148225.0893062856</v>
      </c>
      <c r="AL46">
        <f t="shared" si="9"/>
        <v>-3.6813009754070307E-2</v>
      </c>
      <c r="AM46" s="24">
        <v>80144.974960814099</v>
      </c>
      <c r="AO46" s="9">
        <v>2044</v>
      </c>
      <c r="AP46">
        <f t="shared" si="10"/>
        <v>0.19611672233090549</v>
      </c>
      <c r="AQ46">
        <f t="shared" si="13"/>
        <v>-3.269996815497031E-2</v>
      </c>
      <c r="AR46">
        <f t="shared" si="11"/>
        <v>2.5688370754367331E-2</v>
      </c>
      <c r="AS46">
        <f t="shared" si="14"/>
        <v>2.5659144037741395E-2</v>
      </c>
      <c r="AT46">
        <v>2044</v>
      </c>
      <c r="AU46">
        <f t="shared" si="15"/>
        <v>0.78999999999999959</v>
      </c>
      <c r="AV46">
        <f t="shared" si="16"/>
        <v>-7.211463629826631</v>
      </c>
      <c r="AW46">
        <f t="shared" si="17"/>
        <v>1.027534830174694</v>
      </c>
      <c r="AX46">
        <f t="shared" si="18"/>
        <v>0.95208314238746095</v>
      </c>
    </row>
    <row r="47" spans="1:50" x14ac:dyDescent="0.25">
      <c r="A47" s="9"/>
      <c r="B47" s="9">
        <v>2045</v>
      </c>
      <c r="C47" s="9"/>
      <c r="D47">
        <f>IFERROR((BAU燃油经济性!D47-CNS燃油经济性!D47)/BAU燃油经济性!D47,0)</f>
        <v>0.20499999999999985</v>
      </c>
      <c r="E47">
        <f>IFERROR((BAU燃油经济性!E47-CNS燃油经济性!E47)/BAU燃油经济性!E47,0)</f>
        <v>0</v>
      </c>
      <c r="F47">
        <f>IFERROR((BAU燃油经济性!F47-CNS燃油经济性!F47)/BAU燃油经济性!F47,0)</f>
        <v>0.20499999999999985</v>
      </c>
      <c r="G47">
        <f>IFERROR((BAU燃油经济性!G47-CNS燃油经济性!G47)/BAU燃油经济性!G47,0)</f>
        <v>0</v>
      </c>
      <c r="H47">
        <f>IFERROR((BAU燃油经济性!H47-CNS燃油经济性!H47)/BAU燃油经济性!H47,0)</f>
        <v>2.376966856377654E-2</v>
      </c>
      <c r="I47">
        <f>IFERROR((BAU燃油经济性!I47-CNS燃油经济性!I47)/BAU燃油经济性!I47,0)</f>
        <v>2.800000000000143E-2</v>
      </c>
      <c r="J47">
        <f>IFERROR((BAU燃油经济性!J47-CNS燃油经济性!J47)/BAU燃油经济性!J47,0)</f>
        <v>0</v>
      </c>
      <c r="K47">
        <f>IFERROR((BAU燃油经济性!K47-CNS燃油经济性!K47)/BAU燃油经济性!K47,0)</f>
        <v>0.16508616674429433</v>
      </c>
      <c r="L47">
        <f>IFERROR((BAU燃油经济性!L47-CNS燃油经济性!L47)/BAU燃油经济性!L47,0)</f>
        <v>0</v>
      </c>
      <c r="M47">
        <f>IFERROR((BAU燃油经济性!M47-CNS燃油经济性!M47)/BAU燃油经济性!M47,0)</f>
        <v>-5.4757281553398235E-2</v>
      </c>
      <c r="N47">
        <f>IFERROR((BAU燃油经济性!N47-CNS燃油经济性!N47)/BAU燃油经济性!N47,0)</f>
        <v>0</v>
      </c>
      <c r="O47">
        <f>IFERROR((BAU燃油经济性!O47-CNS燃油经济性!O47)/BAU燃油经济性!O47,0)</f>
        <v>3.833258046905965E-2</v>
      </c>
      <c r="P47">
        <f>IFERROR((BAU燃油经济性!P47-CNS燃油经济性!P47)/BAU燃油经济性!P47,0)</f>
        <v>0</v>
      </c>
      <c r="Q47">
        <f>IFERROR((BAU燃油经济性!Q47-CNS燃油经济性!Q47)/BAU燃油经济性!Q47,0)</f>
        <v>2.5061830173124657E-2</v>
      </c>
      <c r="R47">
        <f>IFERROR((BAU燃油经济性!R47-CNS燃油经济性!R47)/BAU燃油经济性!R47,0)</f>
        <v>0</v>
      </c>
      <c r="S47">
        <f>IFERROR((BAU燃油经济性!S47-CNS燃油经济性!S47)/BAU燃油经济性!S47,0)</f>
        <v>-5.4757281553398235E-2</v>
      </c>
      <c r="U47" s="9"/>
      <c r="V47" s="9">
        <v>2045</v>
      </c>
      <c r="W47" s="9"/>
      <c r="X47">
        <f t="shared" si="2"/>
        <v>0.20356419279916768</v>
      </c>
      <c r="Z47">
        <f t="shared" si="3"/>
        <v>0.20356419279916768</v>
      </c>
      <c r="AB47">
        <f t="shared" si="4"/>
        <v>2.5598674028417791E-2</v>
      </c>
      <c r="AD47">
        <f t="shared" si="5"/>
        <v>9.4699519313439701E-2</v>
      </c>
      <c r="AE47">
        <v>7576.5495494158604</v>
      </c>
      <c r="AF47">
        <f t="shared" si="6"/>
        <v>-3.1410798035243083E-2</v>
      </c>
      <c r="AG47">
        <v>132371.968592046</v>
      </c>
      <c r="AH47">
        <f t="shared" si="7"/>
        <v>3.833258046905965E-2</v>
      </c>
      <c r="AI47">
        <v>106892.32157089887</v>
      </c>
      <c r="AJ47">
        <f t="shared" si="8"/>
        <v>2.5061830173124657E-2</v>
      </c>
      <c r="AK47">
        <v>1159855.7323209234</v>
      </c>
      <c r="AL47">
        <f t="shared" si="9"/>
        <v>-3.1410798035243083E-2</v>
      </c>
      <c r="AM47" s="24">
        <v>85185.655760257301</v>
      </c>
      <c r="AO47" s="9">
        <v>2045</v>
      </c>
      <c r="AP47">
        <f t="shared" si="10"/>
        <v>0.20356419279916768</v>
      </c>
      <c r="AQ47">
        <f t="shared" si="13"/>
        <v>-2.716674635918806E-2</v>
      </c>
      <c r="AR47">
        <f t="shared" si="11"/>
        <v>2.5598674028417791E-2</v>
      </c>
      <c r="AS47">
        <f t="shared" si="14"/>
        <v>2.6181659253392046E-2</v>
      </c>
      <c r="AT47">
        <v>2045</v>
      </c>
      <c r="AU47">
        <f t="shared" si="15"/>
        <v>0.8199999999999994</v>
      </c>
      <c r="AV47">
        <f t="shared" si="16"/>
        <v>-5.991198596327429</v>
      </c>
      <c r="AW47">
        <f t="shared" si="17"/>
        <v>1.0239469611367125</v>
      </c>
      <c r="AX47">
        <f t="shared" si="18"/>
        <v>0.97147108174078489</v>
      </c>
    </row>
    <row r="48" spans="1:50" x14ac:dyDescent="0.25">
      <c r="A48" s="9"/>
      <c r="B48" s="9">
        <v>2046</v>
      </c>
      <c r="C48" s="9"/>
      <c r="D48">
        <f>IFERROR((BAU燃油经济性!D48-CNS燃油经济性!D48)/BAU燃油经济性!D48,0)</f>
        <v>0.2124999999999998</v>
      </c>
      <c r="E48">
        <f>IFERROR((BAU燃油经济性!E48-CNS燃油经济性!E48)/BAU燃油经济性!E48,0)</f>
        <v>0</v>
      </c>
      <c r="F48">
        <f>IFERROR((BAU燃油经济性!F48-CNS燃油经济性!F48)/BAU燃油经济性!F48,0)</f>
        <v>0.2124999999999998</v>
      </c>
      <c r="G48">
        <f>IFERROR((BAU燃油经济性!G48-CNS燃油经济性!G48)/BAU燃油经济性!G48,0)</f>
        <v>0</v>
      </c>
      <c r="H48">
        <f>IFERROR((BAU燃油经济性!H48-CNS燃油经济性!H48)/BAU燃油经济性!H48,0)</f>
        <v>2.3667143940032213E-2</v>
      </c>
      <c r="I48">
        <f>IFERROR((BAU燃油经济性!I48-CNS燃油经济性!I48)/BAU燃油经济性!I48,0)</f>
        <v>2.7924528301888258E-2</v>
      </c>
      <c r="J48">
        <f>IFERROR((BAU燃油经济性!J48-CNS燃油经济性!J48)/BAU燃油经济性!J48,0)</f>
        <v>0</v>
      </c>
      <c r="K48">
        <f>IFERROR((BAU燃油经济性!K48-CNS燃油经济性!K48)/BAU燃油经济性!K48,0)</f>
        <v>0.17141127154168601</v>
      </c>
      <c r="L48">
        <f>IFERROR((BAU燃油经济性!L48-CNS燃油经济性!L48)/BAU燃油经济性!L48,0)</f>
        <v>0</v>
      </c>
      <c r="M48">
        <f>IFERROR((BAU燃油经济性!M48-CNS燃油经济性!M48)/BAU燃油经济性!M48,0)</f>
        <v>-4.533980582524294E-2</v>
      </c>
      <c r="N48">
        <f>IFERROR((BAU燃油经济性!N48-CNS燃油经济性!N48)/BAU燃油经济性!N48,0)</f>
        <v>0</v>
      </c>
      <c r="O48">
        <f>IFERROR((BAU燃油经济性!O48-CNS燃油经济性!O48)/BAU燃油经济性!O48,0)</f>
        <v>3.9734428019396348E-2</v>
      </c>
      <c r="P48">
        <f>IFERROR((BAU燃油经济性!P48-CNS燃油经济性!P48)/BAU燃油经济性!P48,0)</f>
        <v>0</v>
      </c>
      <c r="Q48">
        <f>IFERROR((BAU燃油经济性!Q48-CNS燃油经济性!Q48)/BAU燃油经济性!Q48,0)</f>
        <v>2.5456053067993548E-2</v>
      </c>
      <c r="R48">
        <f>IFERROR((BAU燃油经济性!R48-CNS燃油经济性!R48)/BAU燃油经济性!R48,0)</f>
        <v>0</v>
      </c>
      <c r="S48">
        <f>IFERROR((BAU燃油经济性!S48-CNS燃油经济性!S48)/BAU燃油经济性!S48,0)</f>
        <v>-4.533980582524294E-2</v>
      </c>
      <c r="U48" s="9"/>
      <c r="V48" s="9">
        <v>2046</v>
      </c>
      <c r="W48" s="9"/>
      <c r="X48">
        <f t="shared" si="2"/>
        <v>0.21101166326742987</v>
      </c>
      <c r="Z48">
        <f t="shared" si="3"/>
        <v>0.21101166326742987</v>
      </c>
      <c r="AB48">
        <f t="shared" si="4"/>
        <v>2.5507845875637942E-2</v>
      </c>
      <c r="AD48">
        <f t="shared" si="5"/>
        <v>9.8327832913136431E-2</v>
      </c>
      <c r="AE48">
        <v>5550.1154644810704</v>
      </c>
      <c r="AF48">
        <f t="shared" si="6"/>
        <v>-2.6008586316415856E-2</v>
      </c>
      <c r="AG48">
        <v>129934.046886682</v>
      </c>
      <c r="AH48">
        <f t="shared" si="7"/>
        <v>3.9734428019396348E-2</v>
      </c>
      <c r="AI48">
        <v>114780.66302484483</v>
      </c>
      <c r="AJ48">
        <f t="shared" si="8"/>
        <v>2.5456053067993548E-2</v>
      </c>
      <c r="AK48">
        <v>1176974.8908834625</v>
      </c>
      <c r="AL48">
        <f t="shared" si="9"/>
        <v>-2.6008586316415856E-2</v>
      </c>
      <c r="AM48" s="24">
        <v>62401.786235717002</v>
      </c>
      <c r="AO48" s="9">
        <v>2046</v>
      </c>
      <c r="AP48">
        <f t="shared" si="10"/>
        <v>0.21101166326742987</v>
      </c>
      <c r="AQ48">
        <f t="shared" si="13"/>
        <v>-2.2521317573525979E-2</v>
      </c>
      <c r="AR48">
        <f t="shared" si="11"/>
        <v>2.5507845875637942E-2</v>
      </c>
      <c r="AS48">
        <f t="shared" si="14"/>
        <v>2.6724777122541475E-2</v>
      </c>
      <c r="AT48">
        <v>2046</v>
      </c>
      <c r="AU48">
        <f t="shared" si="15"/>
        <v>0.8499999999999992</v>
      </c>
      <c r="AV48">
        <f t="shared" si="16"/>
        <v>-4.9667223468709034</v>
      </c>
      <c r="AW48">
        <f t="shared" si="17"/>
        <v>1.0203138350255185</v>
      </c>
      <c r="AX48">
        <f t="shared" si="18"/>
        <v>0.99162348303624481</v>
      </c>
    </row>
    <row r="49" spans="1:50" x14ac:dyDescent="0.25">
      <c r="A49" s="9"/>
      <c r="B49" s="9">
        <v>2047</v>
      </c>
      <c r="C49" s="9"/>
      <c r="D49">
        <f>IFERROR((BAU燃油经济性!D49-CNS燃油经济性!D49)/BAU燃油经济性!D49,0)</f>
        <v>0.21999999999999975</v>
      </c>
      <c r="E49">
        <f>IFERROR((BAU燃油经济性!E49-CNS燃油经济性!E49)/BAU燃油经济性!E49,0)</f>
        <v>0</v>
      </c>
      <c r="F49">
        <f>IFERROR((BAU燃油经济性!F49-CNS燃油经济性!F49)/BAU燃油经济性!F49,0)</f>
        <v>0.21999999999999975</v>
      </c>
      <c r="G49">
        <f>IFERROR((BAU燃油经济性!G49-CNS燃油经济性!G49)/BAU燃油经济性!G49,0)</f>
        <v>0</v>
      </c>
      <c r="H49">
        <f>IFERROR((BAU燃油经济性!H49-CNS燃油经济性!H49)/BAU燃油经济性!H49,0)</f>
        <v>2.3563315816240278E-2</v>
      </c>
      <c r="I49">
        <f>IFERROR((BAU燃油经济性!I49-CNS燃油经济性!I49)/BAU燃油经济性!I49,0)</f>
        <v>2.784810126582429E-2</v>
      </c>
      <c r="J49">
        <f>IFERROR((BAU燃油经济性!J49-CNS燃油经济性!J49)/BAU燃油经济性!J49,0)</f>
        <v>0</v>
      </c>
      <c r="K49">
        <f>IFERROR((BAU燃油经济性!K49-CNS燃油经济性!K49)/BAU燃油经济性!K49,0)</f>
        <v>0.17773637633907768</v>
      </c>
      <c r="L49">
        <f>IFERROR((BAU燃油经济性!L49-CNS燃油经济性!L49)/BAU燃油经济性!L49,0)</f>
        <v>0</v>
      </c>
      <c r="M49">
        <f>IFERROR((BAU燃油经济性!M49-CNS燃油经济性!M49)/BAU燃油经济性!M49,0)</f>
        <v>-3.5922330097087646E-2</v>
      </c>
      <c r="N49">
        <f>IFERROR((BAU燃油经济性!N49-CNS燃油经济性!N49)/BAU燃油经济性!N49,0)</f>
        <v>0</v>
      </c>
      <c r="O49">
        <f>IFERROR((BAU燃油经济性!O49-CNS燃油经济性!O49)/BAU燃油经济性!O49,0)</f>
        <v>4.1136275569733045E-2</v>
      </c>
      <c r="P49">
        <f>IFERROR((BAU燃油经济性!P49-CNS燃油经济性!P49)/BAU燃油经济性!P49,0)</f>
        <v>0</v>
      </c>
      <c r="Q49">
        <f>IFERROR((BAU燃油经济性!Q49-CNS燃油经济性!Q49)/BAU燃油经济性!Q49,0)</f>
        <v>2.5854879065888434E-2</v>
      </c>
      <c r="R49">
        <f>IFERROR((BAU燃油经济性!R49-CNS燃油经济性!R49)/BAU燃油经济性!R49,0)</f>
        <v>0</v>
      </c>
      <c r="S49">
        <f>IFERROR((BAU燃油经济性!S49-CNS燃油经济性!S49)/BAU燃油经济性!S49,0)</f>
        <v>-3.5922330097087646E-2</v>
      </c>
      <c r="U49" s="9"/>
      <c r="V49" s="9">
        <v>2047</v>
      </c>
      <c r="W49" s="9"/>
      <c r="X49">
        <f t="shared" si="2"/>
        <v>0.21845913373569206</v>
      </c>
      <c r="Z49">
        <f t="shared" si="3"/>
        <v>0.21845913373569206</v>
      </c>
      <c r="AB49">
        <f t="shared" si="4"/>
        <v>2.5415864752476362E-2</v>
      </c>
      <c r="AD49">
        <f t="shared" si="5"/>
        <v>0.10195614651283315</v>
      </c>
      <c r="AE49">
        <v>4297.4669352871897</v>
      </c>
      <c r="AF49">
        <f t="shared" si="6"/>
        <v>-2.0606374597588632E-2</v>
      </c>
      <c r="AG49">
        <v>127892.843551607</v>
      </c>
      <c r="AH49">
        <f t="shared" si="7"/>
        <v>4.1136275569733045E-2</v>
      </c>
      <c r="AI49">
        <v>121568.41827280715</v>
      </c>
      <c r="AJ49">
        <f t="shared" si="8"/>
        <v>2.5854879065888434E-2</v>
      </c>
      <c r="AK49">
        <v>1197264.6425265782</v>
      </c>
      <c r="AL49">
        <f t="shared" si="9"/>
        <v>-2.0606374597588632E-2</v>
      </c>
      <c r="AM49" s="24">
        <v>48317.843974067</v>
      </c>
      <c r="AO49" s="9">
        <v>2047</v>
      </c>
      <c r="AP49">
        <f t="shared" si="10"/>
        <v>0.21845913373569206</v>
      </c>
      <c r="AQ49">
        <f t="shared" si="13"/>
        <v>-1.7688454442954357E-2</v>
      </c>
      <c r="AR49">
        <f t="shared" si="11"/>
        <v>2.5415864752476362E-2</v>
      </c>
      <c r="AS49">
        <f t="shared" si="14"/>
        <v>2.7263499502538667E-2</v>
      </c>
      <c r="AT49">
        <v>2047</v>
      </c>
      <c r="AU49">
        <f t="shared" si="15"/>
        <v>0.87999999999999901</v>
      </c>
      <c r="AV49">
        <f t="shared" si="16"/>
        <v>-3.9009104008507083</v>
      </c>
      <c r="AW49">
        <f t="shared" si="17"/>
        <v>1.0166345900990552</v>
      </c>
      <c r="AX49">
        <f t="shared" si="18"/>
        <v>1.0116127896034379</v>
      </c>
    </row>
    <row r="50" spans="1:50" x14ac:dyDescent="0.25">
      <c r="A50" s="9"/>
      <c r="B50" s="9">
        <v>2048</v>
      </c>
      <c r="C50" s="9"/>
      <c r="D50">
        <f>IFERROR((BAU燃油经济性!D50-CNS燃油经济性!D50)/BAU燃油经济性!D50,0)</f>
        <v>0.2274999999999997</v>
      </c>
      <c r="E50">
        <f>IFERROR((BAU燃油经济性!E50-CNS燃油经济性!E50)/BAU燃油经济性!E50,0)</f>
        <v>0</v>
      </c>
      <c r="F50">
        <f>IFERROR((BAU燃油经济性!F50-CNS燃油经济性!F50)/BAU燃油经济性!F50,0)</f>
        <v>0.2274999999999997</v>
      </c>
      <c r="G50">
        <f>IFERROR((BAU燃油经济性!G50-CNS燃油经济性!G50)/BAU燃油经济性!G50,0)</f>
        <v>0</v>
      </c>
      <c r="H50">
        <f>IFERROR((BAU燃油经济性!H50-CNS燃油经济性!H50)/BAU燃油经济性!H50,0)</f>
        <v>2.3458159174273064E-2</v>
      </c>
      <c r="I50">
        <f>IFERROR((BAU燃油经济性!I50-CNS燃油经济性!I50)/BAU燃油经济性!I50,0)</f>
        <v>2.7770700636944215E-2</v>
      </c>
      <c r="J50">
        <f>IFERROR((BAU燃油经济性!J50-CNS燃油经济性!J50)/BAU燃油经济性!J50,0)</f>
        <v>0</v>
      </c>
      <c r="K50">
        <f>IFERROR((BAU燃油经济性!K50-CNS燃油经济性!K50)/BAU燃油经济性!K50,0)</f>
        <v>0.18406148113646936</v>
      </c>
      <c r="L50">
        <f>IFERROR((BAU燃油经济性!L50-CNS燃油经济性!L50)/BAU燃油经济性!L50,0)</f>
        <v>0</v>
      </c>
      <c r="M50">
        <f>IFERROR((BAU燃油经济性!M50-CNS燃油经济性!M50)/BAU燃油经济性!M50,0)</f>
        <v>-2.6504854368932351E-2</v>
      </c>
      <c r="N50">
        <f>IFERROR((BAU燃油经济性!N50-CNS燃油经济性!N50)/BAU燃油经济性!N50,0)</f>
        <v>0</v>
      </c>
      <c r="O50">
        <f>IFERROR((BAU燃油经济性!O50-CNS燃油经济性!O50)/BAU燃油经济性!O50,0)</f>
        <v>4.253812312006975E-2</v>
      </c>
      <c r="P50">
        <f>IFERROR((BAU燃油经济性!P50-CNS燃油经济性!P50)/BAU燃油经济性!P50,0)</f>
        <v>0</v>
      </c>
      <c r="Q50">
        <f>IFERROR((BAU燃油经济性!Q50-CNS燃油经济性!Q50)/BAU燃油经济性!Q50,0)</f>
        <v>2.6258389261745171E-2</v>
      </c>
      <c r="R50">
        <f>IFERROR((BAU燃油经济性!R50-CNS燃油经济性!R50)/BAU燃油经济性!R50,0)</f>
        <v>0</v>
      </c>
      <c r="S50">
        <f>IFERROR((BAU燃油经济性!S50-CNS燃油经济性!S50)/BAU燃油经济性!S50,0)</f>
        <v>-2.6504854368932351E-2</v>
      </c>
      <c r="U50" s="9"/>
      <c r="V50" s="9">
        <v>2048</v>
      </c>
      <c r="W50" s="9"/>
      <c r="X50">
        <f t="shared" si="2"/>
        <v>0.22590660420395425</v>
      </c>
      <c r="Z50">
        <f t="shared" si="3"/>
        <v>0.22590660420395425</v>
      </c>
      <c r="AB50">
        <f t="shared" si="4"/>
        <v>2.5322708564936507E-2</v>
      </c>
      <c r="AD50">
        <f t="shared" si="5"/>
        <v>0.10558446011252987</v>
      </c>
      <c r="AE50">
        <v>6810.8599943645604</v>
      </c>
      <c r="AF50">
        <f t="shared" si="6"/>
        <v>-1.5204162878761409E-2</v>
      </c>
      <c r="AG50">
        <v>126771.12724822899</v>
      </c>
      <c r="AH50">
        <f t="shared" si="7"/>
        <v>4.253812312006975E-2</v>
      </c>
      <c r="AI50">
        <v>125299.06340251805</v>
      </c>
      <c r="AJ50">
        <f t="shared" si="8"/>
        <v>2.6258389261745171E-2</v>
      </c>
      <c r="AK50">
        <v>1213261.7247328553</v>
      </c>
      <c r="AL50">
        <f t="shared" si="9"/>
        <v>-1.5204162878761409E-2</v>
      </c>
      <c r="AM50" s="24">
        <v>76576.754514326196</v>
      </c>
      <c r="AO50" s="9">
        <v>2048</v>
      </c>
      <c r="AP50">
        <f t="shared" si="10"/>
        <v>0.22590660420395425</v>
      </c>
      <c r="AQ50">
        <f t="shared" si="13"/>
        <v>-1.1289624786135617E-2</v>
      </c>
      <c r="AR50">
        <f t="shared" si="11"/>
        <v>2.5322708564936507E-2</v>
      </c>
      <c r="AS50">
        <f t="shared" si="14"/>
        <v>2.7782291218959858E-2</v>
      </c>
      <c r="AT50">
        <v>2048</v>
      </c>
      <c r="AU50">
        <f t="shared" si="15"/>
        <v>0.90999999999999881</v>
      </c>
      <c r="AV50">
        <f t="shared" si="16"/>
        <v>-2.4897491689829501</v>
      </c>
      <c r="AW50">
        <f t="shared" si="17"/>
        <v>1.012908342597461</v>
      </c>
      <c r="AX50">
        <f t="shared" si="18"/>
        <v>1.0308625684303683</v>
      </c>
    </row>
    <row r="51" spans="1:50" x14ac:dyDescent="0.25">
      <c r="A51" s="9"/>
      <c r="B51" s="9">
        <v>2049</v>
      </c>
      <c r="C51" s="9"/>
      <c r="D51">
        <f>IFERROR((BAU燃油经济性!D51-CNS燃油经济性!D51)/BAU燃油经济性!D51,0)</f>
        <v>0.23499999999999965</v>
      </c>
      <c r="E51">
        <f>IFERROR((BAU燃油经济性!E51-CNS燃油经济性!E51)/BAU燃油经济性!E51,0)</f>
        <v>0</v>
      </c>
      <c r="F51">
        <f>IFERROR((BAU燃油经济性!F51-CNS燃油经济性!F51)/BAU燃油经济性!F51,0)</f>
        <v>0.23499999999999965</v>
      </c>
      <c r="G51">
        <f>IFERROR((BAU燃油经济性!G51-CNS燃油经济性!G51)/BAU燃油经济性!G51,0)</f>
        <v>0</v>
      </c>
      <c r="H51">
        <f>IFERROR((BAU燃油经济性!H51-CNS燃油经济性!H51)/BAU燃油经济性!H51,0)</f>
        <v>2.335164835164865E-2</v>
      </c>
      <c r="I51">
        <f>IFERROR((BAU燃油经济性!I51-CNS燃油经济性!I51)/BAU燃油经济性!I51,0)</f>
        <v>2.7692307692309272E-2</v>
      </c>
      <c r="J51">
        <f>IFERROR((BAU燃油经济性!J51-CNS燃油经济性!J51)/BAU燃油经济性!J51,0)</f>
        <v>0</v>
      </c>
      <c r="K51">
        <f>IFERROR((BAU燃油经济性!K51-CNS燃油经济性!K51)/BAU燃油经济性!K51,0)</f>
        <v>0.19038658593386104</v>
      </c>
      <c r="L51">
        <f>IFERROR((BAU燃油经济性!L51-CNS燃油经济性!L51)/BAU燃油经济性!L51,0)</f>
        <v>0</v>
      </c>
      <c r="M51">
        <f>IFERROR((BAU燃油经济性!M51-CNS燃油经济性!M51)/BAU燃油经济性!M51,0)</f>
        <v>-1.7087378640777057E-2</v>
      </c>
      <c r="N51">
        <f>IFERROR((BAU燃油经济性!N51-CNS燃油经济性!N51)/BAU燃油经济性!N51,0)</f>
        <v>0</v>
      </c>
      <c r="O51">
        <f>IFERROR((BAU燃油经济性!O51-CNS燃油经济性!O51)/BAU燃油经济性!O51,0)</f>
        <v>4.3939970670406447E-2</v>
      </c>
      <c r="P51">
        <f>IFERROR((BAU燃油经济性!P51-CNS燃油经济性!P51)/BAU燃油经济性!P51,0)</f>
        <v>0</v>
      </c>
      <c r="Q51">
        <f>IFERROR((BAU燃油经济性!Q51-CNS燃油经济性!Q51)/BAU燃油经济性!Q51,0)</f>
        <v>2.6666666666666883E-2</v>
      </c>
      <c r="R51">
        <f>IFERROR((BAU燃油经济性!R51-CNS燃油经济性!R51)/BAU燃油经济性!R51,0)</f>
        <v>0</v>
      </c>
      <c r="S51">
        <f>IFERROR((BAU燃油经济性!S51-CNS燃油经济性!S51)/BAU燃油经济性!S51,0)</f>
        <v>-1.7087378640777057E-2</v>
      </c>
      <c r="U51" s="9"/>
      <c r="V51" s="9">
        <v>2049</v>
      </c>
      <c r="W51" s="9"/>
      <c r="X51">
        <f t="shared" si="2"/>
        <v>0.23335407467221644</v>
      </c>
      <c r="Z51">
        <f t="shared" si="3"/>
        <v>0.23335407467221644</v>
      </c>
      <c r="AB51">
        <f t="shared" si="4"/>
        <v>2.5228354650883481E-2</v>
      </c>
      <c r="AD51">
        <f t="shared" si="5"/>
        <v>0.10921277371222658</v>
      </c>
      <c r="AE51">
        <v>9403.5774795243597</v>
      </c>
      <c r="AF51">
        <f t="shared" si="6"/>
        <v>-9.8019511599341854E-3</v>
      </c>
      <c r="AG51">
        <v>126655.58080844001</v>
      </c>
      <c r="AH51">
        <f t="shared" si="7"/>
        <v>4.3939970670406447E-2</v>
      </c>
      <c r="AI51">
        <v>125201.16070130712</v>
      </c>
      <c r="AJ51">
        <f t="shared" si="8"/>
        <v>2.6666666666666883E-2</v>
      </c>
      <c r="AK51">
        <v>1220625.8313579466</v>
      </c>
      <c r="AL51">
        <f t="shared" si="9"/>
        <v>-9.8019511599341854E-3</v>
      </c>
      <c r="AM51" s="24">
        <v>105727.535847427</v>
      </c>
      <c r="AO51" s="9">
        <v>2049</v>
      </c>
      <c r="AP51">
        <f t="shared" si="10"/>
        <v>0.23335407467221644</v>
      </c>
      <c r="AQ51">
        <f t="shared" si="13"/>
        <v>-5.1732258674127155E-3</v>
      </c>
      <c r="AR51">
        <f t="shared" si="11"/>
        <v>2.5228354650883481E-2</v>
      </c>
      <c r="AS51">
        <f t="shared" si="14"/>
        <v>2.8273587707168285E-2</v>
      </c>
      <c r="AT51">
        <v>2049</v>
      </c>
      <c r="AU51">
        <f t="shared" si="15"/>
        <v>0.93999999999999861</v>
      </c>
      <c r="AV51">
        <f t="shared" si="16"/>
        <v>-1.1408735939718226</v>
      </c>
      <c r="AW51">
        <f t="shared" si="17"/>
        <v>1.00913418603534</v>
      </c>
      <c r="AX51">
        <f t="shared" si="18"/>
        <v>1.0490921361684578</v>
      </c>
    </row>
    <row r="52" spans="1:50" x14ac:dyDescent="0.25">
      <c r="A52" s="9"/>
      <c r="B52" s="9">
        <v>2050</v>
      </c>
      <c r="C52" s="9"/>
      <c r="D52">
        <f>IFERROR((BAU燃油经济性!D52-CNS燃油经济性!D52)/BAU燃油经济性!D52,0)</f>
        <v>0.2424999999999996</v>
      </c>
      <c r="E52">
        <f>IFERROR((BAU燃油经济性!E52-CNS燃油经济性!E52)/BAU燃油经济性!E52,0)</f>
        <v>0</v>
      </c>
      <c r="F52">
        <f>IFERROR((BAU燃油经济性!F52-CNS燃油经济性!F52)/BAU燃油经济性!F52,0)</f>
        <v>0.2424999999999996</v>
      </c>
      <c r="G52">
        <f>IFERROR((BAU燃油经济性!G52-CNS燃油经济性!G52)/BAU燃油经济性!G52,0)</f>
        <v>0</v>
      </c>
      <c r="H52">
        <f>IFERROR((BAU燃油经济性!H52-CNS燃油经济性!H52)/BAU燃油经济性!H52,0)</f>
        <v>2.3243757020651849E-2</v>
      </c>
      <c r="I52">
        <f>IFERROR((BAU燃油经济性!I52-CNS燃油经济性!I52)/BAU燃油经济性!I52,0)</f>
        <v>2.7612903225808068E-2</v>
      </c>
      <c r="J52">
        <f>IFERROR((BAU燃油经济性!J52-CNS燃油经济性!J52)/BAU燃油经济性!J52,0)</f>
        <v>0</v>
      </c>
      <c r="K52">
        <f>IFERROR((BAU燃油经济性!K52-CNS燃油经济性!K52)/BAU燃油经济性!K52,0)</f>
        <v>0.19671169073125272</v>
      </c>
      <c r="L52">
        <f>IFERROR((BAU燃油经济性!L52-CNS燃油经济性!L52)/BAU燃油经济性!L52,0)</f>
        <v>0</v>
      </c>
      <c r="M52">
        <f>IFERROR((BAU燃油经济性!M52-CNS燃油经济性!M52)/BAU燃油经济性!M52,0)</f>
        <v>-7.6699029126217639E-3</v>
      </c>
      <c r="N52">
        <f>IFERROR((BAU燃油经济性!N52-CNS燃油经济性!N52)/BAU燃油经济性!N52,0)</f>
        <v>0</v>
      </c>
      <c r="O52">
        <f>IFERROR((BAU燃油经济性!O52-CNS燃油经济性!O52)/BAU燃油经济性!O52,0)</f>
        <v>4.5341818220743145E-2</v>
      </c>
      <c r="P52">
        <f>IFERROR((BAU燃油经济性!P52-CNS燃油经济性!P52)/BAU燃油经济性!P52,0)</f>
        <v>0</v>
      </c>
      <c r="Q52">
        <f>IFERROR((BAU燃油经济性!Q52-CNS燃油经济性!Q52)/BAU燃油经济性!Q52,0)</f>
        <v>2.7079796264855915E-2</v>
      </c>
      <c r="R52">
        <f>IFERROR((BAU燃油经济性!R52-CNS燃油经济性!R52)/BAU燃油经济性!R52,0)</f>
        <v>0</v>
      </c>
      <c r="S52">
        <f>IFERROR((BAU燃油经济性!S52-CNS燃油经济性!S52)/BAU燃油经济性!S52,0)</f>
        <v>-7.6699029126217639E-3</v>
      </c>
      <c r="U52" s="9"/>
      <c r="V52" s="9">
        <v>2050</v>
      </c>
      <c r="W52" s="9"/>
      <c r="X52">
        <f t="shared" si="2"/>
        <v>0.24080154514047863</v>
      </c>
      <c r="Z52">
        <f t="shared" si="3"/>
        <v>0.24080154514047863</v>
      </c>
      <c r="AB52">
        <f t="shared" si="4"/>
        <v>2.5132779761663976E-2</v>
      </c>
      <c r="AD52">
        <f t="shared" si="5"/>
        <v>0.1128410873119233</v>
      </c>
      <c r="AE52">
        <v>7890.0747575894902</v>
      </c>
      <c r="AF52">
        <f t="shared" si="6"/>
        <v>-4.3997394411069615E-3</v>
      </c>
      <c r="AG52">
        <v>127309.525158691</v>
      </c>
      <c r="AH52">
        <f t="shared" si="7"/>
        <v>4.5341818220743145E-2</v>
      </c>
      <c r="AI52">
        <v>121836.93923307711</v>
      </c>
      <c r="AJ52">
        <f t="shared" si="8"/>
        <v>2.7079796264855915E-2</v>
      </c>
      <c r="AK52">
        <v>1220066.9085729439</v>
      </c>
      <c r="AL52">
        <f t="shared" si="9"/>
        <v>-4.3997394411069615E-3</v>
      </c>
      <c r="AM52" s="24">
        <v>88710.723507976407</v>
      </c>
      <c r="AO52" s="9">
        <v>2050</v>
      </c>
      <c r="AP52">
        <f t="shared" si="10"/>
        <v>0.24080154514047863</v>
      </c>
      <c r="AQ52">
        <f t="shared" si="13"/>
        <v>-2.6844762045125309E-4</v>
      </c>
      <c r="AR52">
        <f t="shared" si="11"/>
        <v>2.5132779761663976E-2</v>
      </c>
      <c r="AS52">
        <f t="shared" si="14"/>
        <v>2.8737879936760091E-2</v>
      </c>
      <c r="AT52">
        <v>2050</v>
      </c>
      <c r="AU52">
        <f t="shared" si="15"/>
        <v>0.96999999999999842</v>
      </c>
      <c r="AV52">
        <f t="shared" si="16"/>
        <v>-5.9201900204403218E-2</v>
      </c>
      <c r="AW52">
        <f t="shared" si="17"/>
        <v>1.0053111904665599</v>
      </c>
      <c r="AX52">
        <f t="shared" si="18"/>
        <v>1.0663197102561068</v>
      </c>
    </row>
    <row r="53" spans="1:50" x14ac:dyDescent="0.25">
      <c r="A53" s="9" t="s">
        <v>32</v>
      </c>
      <c r="B53" s="9">
        <v>2051</v>
      </c>
      <c r="C53" s="9">
        <v>60</v>
      </c>
      <c r="D53">
        <f>IFERROR((BAU燃油经济性!D53-CNS燃油经济性!D53)/BAU燃油经济性!D53,0)</f>
        <v>0.25</v>
      </c>
      <c r="E53">
        <f>IFERROR((BAU燃油经济性!E53-CNS燃油经济性!E53)/BAU燃油经济性!E53,0)</f>
        <v>0</v>
      </c>
      <c r="F53">
        <f>IFERROR((BAU燃油经济性!F53-CNS燃油经济性!F53)/BAU燃油经济性!F53,0)</f>
        <v>0.25</v>
      </c>
      <c r="G53">
        <f>IFERROR((BAU燃油经济性!G53-CNS燃油经济性!G53)/BAU燃油经济性!G53,0)</f>
        <v>0</v>
      </c>
      <c r="H53">
        <f>IFERROR((BAU燃油经济性!H53-CNS燃油经济性!H53)/BAU燃油经济性!H53,0)</f>
        <v>2.4999999999999946E-2</v>
      </c>
      <c r="I53">
        <f>IFERROR((BAU燃油经济性!I53-CNS燃油经济性!I53)/BAU燃油经济性!I53,0)</f>
        <v>2.7532467532469074E-2</v>
      </c>
      <c r="J53">
        <f>IFERROR((BAU燃油经济性!J53-CNS燃油经济性!J53)/BAU燃油经济性!J53,0)</f>
        <v>0</v>
      </c>
      <c r="K53">
        <f>IFERROR((BAU燃油经济性!K53-CNS燃油经济性!K53)/BAU燃油经济性!K53,0)</f>
        <v>0.20303679552864462</v>
      </c>
      <c r="L53">
        <f>IFERROR((BAU燃油经济性!L53-CNS燃油经济性!L53)/BAU燃油经济性!L53,0)</f>
        <v>0</v>
      </c>
      <c r="M53">
        <f>IFERROR((BAU燃油经济性!M53-CNS燃油经济性!M53)/BAU燃油经济性!M53,0)</f>
        <v>1.7475728155340467E-3</v>
      </c>
      <c r="N53">
        <f>IFERROR((BAU燃油经济性!N53-CNS燃油经济性!N53)/BAU燃油经济性!N53,0)</f>
        <v>0</v>
      </c>
      <c r="O53">
        <f>IFERROR((BAU燃油经济性!O53-CNS燃油经济性!O53)/BAU燃油经济性!O53,0)</f>
        <v>4.6743665771079503E-2</v>
      </c>
      <c r="P53">
        <f>IFERROR((BAU燃油经济性!P53-CNS燃油经济性!P53)/BAU燃油经济性!P53,0)</f>
        <v>0</v>
      </c>
      <c r="Q53">
        <f>IFERROR((BAU燃油经济性!Q53-CNS燃油经济性!Q53)/BAU燃油经济性!Q53,0)</f>
        <v>2.7497865072587318E-2</v>
      </c>
      <c r="R53">
        <f>IFERROR((BAU燃油经济性!R53-CNS燃油经济性!R53)/BAU燃油经济性!R53,0)</f>
        <v>0</v>
      </c>
      <c r="S53">
        <f>IFERROR((BAU燃油经济性!S53-CNS燃油经济性!S53)/BAU燃油经济性!S53,0)</f>
        <v>1.7475728155340467E-3</v>
      </c>
      <c r="U53" s="9" t="s">
        <v>32</v>
      </c>
      <c r="V53" s="9">
        <v>2051</v>
      </c>
      <c r="W53" s="9">
        <v>60</v>
      </c>
      <c r="X53">
        <f t="shared" si="2"/>
        <v>0.24824901560874127</v>
      </c>
      <c r="Z53">
        <f t="shared" si="3"/>
        <v>0.24824901560874127</v>
      </c>
      <c r="AB53">
        <f t="shared" si="4"/>
        <v>2.6094925309220172E-2</v>
      </c>
      <c r="AD53">
        <f t="shared" si="5"/>
        <v>0.11646940091162016</v>
      </c>
      <c r="AE53">
        <v>5142.5396250923995</v>
      </c>
      <c r="AF53">
        <f t="shared" si="6"/>
        <v>1.0024722777205585E-3</v>
      </c>
      <c r="AG53">
        <v>128384.381111133</v>
      </c>
      <c r="AH53">
        <f t="shared" si="7"/>
        <v>4.6743665771079503E-2</v>
      </c>
      <c r="AI53">
        <v>116933.4588041458</v>
      </c>
      <c r="AJ53">
        <f t="shared" si="8"/>
        <v>2.7497865072587318E-2</v>
      </c>
      <c r="AK53">
        <v>1216315.2030433491</v>
      </c>
      <c r="AL53">
        <f t="shared" si="9"/>
        <v>1.0024722777205585E-3</v>
      </c>
      <c r="AM53" s="24">
        <v>57819.276093875502</v>
      </c>
      <c r="AO53" s="9">
        <v>2051</v>
      </c>
      <c r="AP53">
        <f t="shared" si="10"/>
        <v>0.24824901560874127</v>
      </c>
      <c r="AQ53">
        <f t="shared" si="13"/>
        <v>4.105712716906202E-3</v>
      </c>
      <c r="AR53">
        <f t="shared" si="11"/>
        <v>2.6094925309220172E-2</v>
      </c>
      <c r="AS53">
        <f t="shared" si="14"/>
        <v>2.9185830796859207E-2</v>
      </c>
      <c r="AT53">
        <v>2051</v>
      </c>
      <c r="AU53">
        <f t="shared" si="15"/>
        <v>1</v>
      </c>
      <c r="AV53">
        <f t="shared" si="16"/>
        <v>0.90545035983423094</v>
      </c>
      <c r="AW53">
        <f t="shared" si="17"/>
        <v>1.0437970123688076</v>
      </c>
      <c r="AX53">
        <f t="shared" si="18"/>
        <v>1.0829409374447856</v>
      </c>
    </row>
    <row r="54" spans="1:50" x14ac:dyDescent="0.25">
      <c r="A54" s="9"/>
      <c r="B54" s="9">
        <v>2052</v>
      </c>
      <c r="C54" s="9"/>
      <c r="D54">
        <f>IFERROR((BAU燃油经济性!D54-CNS燃油经济性!D54)/BAU燃油经济性!D54,0)</f>
        <v>0.25</v>
      </c>
      <c r="E54">
        <f>IFERROR((BAU燃油经济性!E54-CNS燃油经济性!E54)/BAU燃油经济性!E54,0)</f>
        <v>0</v>
      </c>
      <c r="F54">
        <f>IFERROR((BAU燃油经济性!F54-CNS燃油经济性!F54)/BAU燃油经济性!F54,0)</f>
        <v>0.25</v>
      </c>
      <c r="G54">
        <f>IFERROR((BAU燃油经济性!G54-CNS燃油经济性!G54)/BAU燃油经济性!G54,0)</f>
        <v>0</v>
      </c>
      <c r="H54">
        <f>IFERROR((BAU燃油经济性!H54-CNS燃油经济性!H54)/BAU燃油经济性!H54,0)</f>
        <v>2.4999999999999946E-2</v>
      </c>
      <c r="I54">
        <f>IFERROR((BAU燃油经济性!I54-CNS燃油经济性!I54)/BAU燃油经济性!I54,0)</f>
        <v>2.5000000000000022E-2</v>
      </c>
      <c r="J54">
        <f>IFERROR((BAU燃油经济性!J54-CNS燃油经济性!J54)/BAU燃油经济性!J54,0)</f>
        <v>0</v>
      </c>
      <c r="K54">
        <f>IFERROR((BAU燃油经济性!K54-CNS燃油经济性!K54)/BAU燃油经济性!K54,0)</f>
        <v>0.20303679552864462</v>
      </c>
      <c r="L54">
        <f>IFERROR((BAU燃油经济性!L54-CNS燃油经济性!L54)/BAU燃油经济性!L54,0)</f>
        <v>0</v>
      </c>
      <c r="M54">
        <f>IFERROR((BAU燃油经济性!M54-CNS燃油经济性!M54)/BAU燃油经济性!M54,0)</f>
        <v>1.7475728155340467E-3</v>
      </c>
      <c r="N54">
        <f>IFERROR((BAU燃油经济性!N54-CNS燃油经济性!N54)/BAU燃油经济性!N54,0)</f>
        <v>0</v>
      </c>
      <c r="O54">
        <f>IFERROR((BAU燃油经济性!O54-CNS燃油经济性!O54)/BAU燃油经济性!O54,0)</f>
        <v>4.6743665771079503E-2</v>
      </c>
      <c r="P54">
        <f>IFERROR((BAU燃油经济性!P54-CNS燃油经济性!P54)/BAU燃油经济性!P54,0)</f>
        <v>0</v>
      </c>
      <c r="Q54">
        <f>IFERROR((BAU燃油经济性!Q54-CNS燃油经济性!Q54)/BAU燃油经济性!Q54,0)</f>
        <v>2.4999999999999984E-2</v>
      </c>
      <c r="R54">
        <f>IFERROR((BAU燃油经济性!R54-CNS燃油经济性!R54)/BAU燃油经济性!R54,0)</f>
        <v>0</v>
      </c>
      <c r="S54">
        <f>IFERROR((BAU燃油经济性!S54-CNS燃油经济性!S54)/BAU燃油经济性!S54,0)</f>
        <v>1.7475728155340467E-3</v>
      </c>
      <c r="U54" s="9"/>
      <c r="V54" s="9">
        <v>2052</v>
      </c>
      <c r="W54" s="9"/>
      <c r="X54">
        <f t="shared" si="2"/>
        <v>0.24824901560874127</v>
      </c>
      <c r="Z54">
        <f t="shared" si="3"/>
        <v>0.24824901560874127</v>
      </c>
      <c r="AB54">
        <f t="shared" si="4"/>
        <v>2.4999999999999981E-2</v>
      </c>
      <c r="AD54">
        <f t="shared" si="5"/>
        <v>0.11646940091162016</v>
      </c>
      <c r="AE54">
        <v>4632.9465770730203</v>
      </c>
      <c r="AF54">
        <f t="shared" si="6"/>
        <v>1.0024722777205585E-3</v>
      </c>
      <c r="AG54">
        <v>129574.080963288</v>
      </c>
      <c r="AH54">
        <f t="shared" si="7"/>
        <v>4.6743665771079503E-2</v>
      </c>
      <c r="AI54">
        <v>112555.7999713266</v>
      </c>
      <c r="AJ54">
        <f t="shared" si="8"/>
        <v>2.4999999999999984E-2</v>
      </c>
      <c r="AK54">
        <v>1212278.6977934875</v>
      </c>
      <c r="AL54">
        <f t="shared" si="9"/>
        <v>1.0024722777205585E-3</v>
      </c>
      <c r="AM54" s="24">
        <v>52089.752689683497</v>
      </c>
      <c r="AO54" s="9">
        <v>2052</v>
      </c>
      <c r="AP54">
        <f t="shared" si="10"/>
        <v>0.24824901560874127</v>
      </c>
      <c r="AQ54">
        <f t="shared" si="13"/>
        <v>3.8739771481696664E-3</v>
      </c>
      <c r="AR54">
        <f t="shared" si="11"/>
        <v>2.4999999999999981E-2</v>
      </c>
      <c r="AS54">
        <f t="shared" si="14"/>
        <v>2.6847306738541347E-2</v>
      </c>
      <c r="AT54">
        <v>2052</v>
      </c>
      <c r="AU54">
        <f t="shared" si="15"/>
        <v>1</v>
      </c>
      <c r="AV54">
        <f t="shared" si="16"/>
        <v>0.85434472518159577</v>
      </c>
      <c r="AW54">
        <f t="shared" si="17"/>
        <v>1</v>
      </c>
      <c r="AX54">
        <f t="shared" si="18"/>
        <v>0.99616994731677955</v>
      </c>
    </row>
    <row r="55" spans="1:50" x14ac:dyDescent="0.25">
      <c r="A55" s="9"/>
      <c r="B55" s="9">
        <v>2053</v>
      </c>
      <c r="C55" s="9"/>
      <c r="D55">
        <f>IFERROR((BAU燃油经济性!D55-CNS燃油经济性!D55)/BAU燃油经济性!D55,0)</f>
        <v>0.25</v>
      </c>
      <c r="E55">
        <f>IFERROR((BAU燃油经济性!E55-CNS燃油经济性!E55)/BAU燃油经济性!E55,0)</f>
        <v>0</v>
      </c>
      <c r="F55">
        <f>IFERROR((BAU燃油经济性!F55-CNS燃油经济性!F55)/BAU燃油经济性!F55,0)</f>
        <v>0.25</v>
      </c>
      <c r="G55">
        <f>IFERROR((BAU燃油经济性!G55-CNS燃油经济性!G55)/BAU燃油经济性!G55,0)</f>
        <v>0</v>
      </c>
      <c r="H55">
        <f>IFERROR((BAU燃油经济性!H55-CNS燃油经济性!H55)/BAU燃油经济性!H55,0)</f>
        <v>2.4999999999999946E-2</v>
      </c>
      <c r="I55">
        <f>IFERROR((BAU燃油经济性!I55-CNS燃油经济性!I55)/BAU燃油经济性!I55,0)</f>
        <v>2.5000000000000022E-2</v>
      </c>
      <c r="J55">
        <f>IFERROR((BAU燃油经济性!J55-CNS燃油经济性!J55)/BAU燃油经济性!J55,0)</f>
        <v>0</v>
      </c>
      <c r="K55">
        <f>IFERROR((BAU燃油经济性!K55-CNS燃油经济性!K55)/BAU燃油经济性!K55,0)</f>
        <v>0.20303679552864462</v>
      </c>
      <c r="L55">
        <f>IFERROR((BAU燃油经济性!L55-CNS燃油经济性!L55)/BAU燃油经济性!L55,0)</f>
        <v>0</v>
      </c>
      <c r="M55">
        <f>IFERROR((BAU燃油经济性!M55-CNS燃油经济性!M55)/BAU燃油经济性!M55,0)</f>
        <v>1.7475728155340467E-3</v>
      </c>
      <c r="N55">
        <f>IFERROR((BAU燃油经济性!N55-CNS燃油经济性!N55)/BAU燃油经济性!N55,0)</f>
        <v>0</v>
      </c>
      <c r="O55">
        <f>IFERROR((BAU燃油经济性!O55-CNS燃油经济性!O55)/BAU燃油经济性!O55,0)</f>
        <v>4.6743665771079503E-2</v>
      </c>
      <c r="P55">
        <f>IFERROR((BAU燃油经济性!P55-CNS燃油经济性!P55)/BAU燃油经济性!P55,0)</f>
        <v>0</v>
      </c>
      <c r="Q55">
        <f>IFERROR((BAU燃油经济性!Q55-CNS燃油经济性!Q55)/BAU燃油经济性!Q55,0)</f>
        <v>2.4999999999999984E-2</v>
      </c>
      <c r="R55">
        <f>IFERROR((BAU燃油经济性!R55-CNS燃油经济性!R55)/BAU燃油经济性!R55,0)</f>
        <v>0</v>
      </c>
      <c r="S55">
        <f>IFERROR((BAU燃油经济性!S55-CNS燃油经济性!S55)/BAU燃油经济性!S55,0)</f>
        <v>1.7475728155340467E-3</v>
      </c>
      <c r="U55" s="9"/>
      <c r="V55" s="9">
        <v>2053</v>
      </c>
      <c r="W55" s="9"/>
      <c r="X55">
        <f t="shared" si="2"/>
        <v>0.24824901560874127</v>
      </c>
      <c r="Z55">
        <f t="shared" si="3"/>
        <v>0.24824901560874127</v>
      </c>
      <c r="AB55">
        <f t="shared" si="4"/>
        <v>2.4999999999999981E-2</v>
      </c>
      <c r="AD55">
        <f t="shared" si="5"/>
        <v>0.11646940091162016</v>
      </c>
      <c r="AE55">
        <v>6271.44670918676</v>
      </c>
      <c r="AF55">
        <f t="shared" si="6"/>
        <v>1.0024722777205585E-3</v>
      </c>
      <c r="AG55">
        <v>130649.292748985</v>
      </c>
      <c r="AH55">
        <f t="shared" si="7"/>
        <v>4.6743665771079503E-2</v>
      </c>
      <c r="AI55">
        <v>110329.63504121953</v>
      </c>
      <c r="AJ55">
        <f t="shared" si="8"/>
        <v>2.4999999999999984E-2</v>
      </c>
      <c r="AK55">
        <v>1210329.730694741</v>
      </c>
      <c r="AL55">
        <f t="shared" si="9"/>
        <v>1.0024722777205585E-3</v>
      </c>
      <c r="AM55" s="24">
        <v>70511.952307996296</v>
      </c>
      <c r="AO55" s="9">
        <v>2053</v>
      </c>
      <c r="AP55">
        <f t="shared" si="10"/>
        <v>0.24824901560874127</v>
      </c>
      <c r="AQ55">
        <f t="shared" si="13"/>
        <v>4.4934585992849347E-3</v>
      </c>
      <c r="AR55">
        <f t="shared" si="11"/>
        <v>2.4999999999999981E-2</v>
      </c>
      <c r="AS55">
        <f t="shared" si="14"/>
        <v>2.6816494677751039E-2</v>
      </c>
      <c r="AT55">
        <v>2053</v>
      </c>
      <c r="AU55">
        <f t="shared" si="15"/>
        <v>1</v>
      </c>
      <c r="AV55">
        <f t="shared" si="16"/>
        <v>0.99096161523171511</v>
      </c>
      <c r="AW55">
        <f t="shared" si="17"/>
        <v>1</v>
      </c>
      <c r="AX55">
        <f t="shared" si="18"/>
        <v>0.99502666507721915</v>
      </c>
    </row>
    <row r="56" spans="1:50" x14ac:dyDescent="0.25">
      <c r="A56" s="9"/>
      <c r="B56" s="9">
        <v>2054</v>
      </c>
      <c r="C56" s="9"/>
      <c r="D56">
        <f>IFERROR((BAU燃油经济性!D56-CNS燃油经济性!D56)/BAU燃油经济性!D56,0)</f>
        <v>0.25</v>
      </c>
      <c r="E56">
        <f>IFERROR((BAU燃油经济性!E56-CNS燃油经济性!E56)/BAU燃油经济性!E56,0)</f>
        <v>0</v>
      </c>
      <c r="F56">
        <f>IFERROR((BAU燃油经济性!F56-CNS燃油经济性!F56)/BAU燃油经济性!F56,0)</f>
        <v>0.25</v>
      </c>
      <c r="G56">
        <f>IFERROR((BAU燃油经济性!G56-CNS燃油经济性!G56)/BAU燃油经济性!G56,0)</f>
        <v>0</v>
      </c>
      <c r="H56">
        <f>IFERROR((BAU燃油经济性!H56-CNS燃油经济性!H56)/BAU燃油经济性!H56,0)</f>
        <v>2.4999999999999946E-2</v>
      </c>
      <c r="I56">
        <f>IFERROR((BAU燃油经济性!I56-CNS燃油经济性!I56)/BAU燃油经济性!I56,0)</f>
        <v>2.5000000000000022E-2</v>
      </c>
      <c r="J56">
        <f>IFERROR((BAU燃油经济性!J56-CNS燃油经济性!J56)/BAU燃油经济性!J56,0)</f>
        <v>0</v>
      </c>
      <c r="K56">
        <f>IFERROR((BAU燃油经济性!K56-CNS燃油经济性!K56)/BAU燃油经济性!K56,0)</f>
        <v>0.20303679552864462</v>
      </c>
      <c r="L56">
        <f>IFERROR((BAU燃油经济性!L56-CNS燃油经济性!L56)/BAU燃油经济性!L56,0)</f>
        <v>0</v>
      </c>
      <c r="M56">
        <f>IFERROR((BAU燃油经济性!M56-CNS燃油经济性!M56)/BAU燃油经济性!M56,0)</f>
        <v>1.7475728155340467E-3</v>
      </c>
      <c r="N56">
        <f>IFERROR((BAU燃油经济性!N56-CNS燃油经济性!N56)/BAU燃油经济性!N56,0)</f>
        <v>0</v>
      </c>
      <c r="O56">
        <f>IFERROR((BAU燃油经济性!O56-CNS燃油经济性!O56)/BAU燃油经济性!O56,0)</f>
        <v>4.6743665771079503E-2</v>
      </c>
      <c r="P56">
        <f>IFERROR((BAU燃油经济性!P56-CNS燃油经济性!P56)/BAU燃油经济性!P56,0)</f>
        <v>0</v>
      </c>
      <c r="Q56">
        <f>IFERROR((BAU燃油经济性!Q56-CNS燃油经济性!Q56)/BAU燃油经济性!Q56,0)</f>
        <v>2.4999999999999984E-2</v>
      </c>
      <c r="R56">
        <f>IFERROR((BAU燃油经济性!R56-CNS燃油经济性!R56)/BAU燃油经济性!R56,0)</f>
        <v>0</v>
      </c>
      <c r="S56">
        <f>IFERROR((BAU燃油经济性!S56-CNS燃油经济性!S56)/BAU燃油经济性!S56,0)</f>
        <v>1.7475728155340467E-3</v>
      </c>
      <c r="U56" s="9"/>
      <c r="V56" s="9">
        <v>2054</v>
      </c>
      <c r="W56" s="9"/>
      <c r="X56">
        <f t="shared" si="2"/>
        <v>0.24824901560874127</v>
      </c>
      <c r="Z56">
        <f t="shared" si="3"/>
        <v>0.24824901560874127</v>
      </c>
      <c r="AB56">
        <f t="shared" si="4"/>
        <v>2.4999999999999981E-2</v>
      </c>
      <c r="AD56">
        <f t="shared" si="5"/>
        <v>0.11646940091162016</v>
      </c>
      <c r="AE56">
        <v>7454.2077158776601</v>
      </c>
      <c r="AF56">
        <f t="shared" si="6"/>
        <v>1.0024722777205585E-3</v>
      </c>
      <c r="AG56">
        <v>131427.134837691</v>
      </c>
      <c r="AH56">
        <f t="shared" si="7"/>
        <v>4.6743665771079503E-2</v>
      </c>
      <c r="AI56">
        <v>110913.82037055073</v>
      </c>
      <c r="AJ56">
        <f t="shared" si="8"/>
        <v>2.4999999999999984E-2</v>
      </c>
      <c r="AK56">
        <v>1212616.4693554696</v>
      </c>
      <c r="AL56">
        <f t="shared" si="9"/>
        <v>1.0024722777205585E-3</v>
      </c>
      <c r="AM56" s="24">
        <v>83810.126009030704</v>
      </c>
      <c r="AO56" s="9">
        <v>2054</v>
      </c>
      <c r="AP56">
        <f t="shared" si="10"/>
        <v>0.24824901560874127</v>
      </c>
      <c r="AQ56">
        <f t="shared" si="13"/>
        <v>4.8675259140683724E-3</v>
      </c>
      <c r="AR56">
        <f t="shared" si="11"/>
        <v>2.4999999999999981E-2</v>
      </c>
      <c r="AS56">
        <f t="shared" si="14"/>
        <v>2.6822151754479315E-2</v>
      </c>
      <c r="AT56">
        <v>2054</v>
      </c>
      <c r="AU56">
        <f t="shared" si="15"/>
        <v>1</v>
      </c>
      <c r="AV56">
        <f t="shared" si="16"/>
        <v>1.0734562776999916</v>
      </c>
      <c r="AW56">
        <f t="shared" si="17"/>
        <v>1</v>
      </c>
      <c r="AX56">
        <f t="shared" si="18"/>
        <v>0.99523657104213603</v>
      </c>
    </row>
    <row r="57" spans="1:50" x14ac:dyDescent="0.25">
      <c r="A57" s="9"/>
      <c r="B57" s="9">
        <v>2055</v>
      </c>
      <c r="C57" s="9"/>
      <c r="D57">
        <f>IFERROR((BAU燃油经济性!D57-CNS燃油经济性!D57)/BAU燃油经济性!D57,0)</f>
        <v>0.25</v>
      </c>
      <c r="E57">
        <f>IFERROR((BAU燃油经济性!E57-CNS燃油经济性!E57)/BAU燃油经济性!E57,0)</f>
        <v>0</v>
      </c>
      <c r="F57">
        <f>IFERROR((BAU燃油经济性!F57-CNS燃油经济性!F57)/BAU燃油经济性!F57,0)</f>
        <v>0.25</v>
      </c>
      <c r="G57">
        <f>IFERROR((BAU燃油经济性!G57-CNS燃油经济性!G57)/BAU燃油经济性!G57,0)</f>
        <v>0</v>
      </c>
      <c r="H57">
        <f>IFERROR((BAU燃油经济性!H57-CNS燃油经济性!H57)/BAU燃油经济性!H57,0)</f>
        <v>2.4999999999999946E-2</v>
      </c>
      <c r="I57">
        <f>IFERROR((BAU燃油经济性!I57-CNS燃油经济性!I57)/BAU燃油经济性!I57,0)</f>
        <v>2.5000000000000022E-2</v>
      </c>
      <c r="J57">
        <f>IFERROR((BAU燃油经济性!J57-CNS燃油经济性!J57)/BAU燃油经济性!J57,0)</f>
        <v>0</v>
      </c>
      <c r="K57">
        <f>IFERROR((BAU燃油经济性!K57-CNS燃油经济性!K57)/BAU燃油经济性!K57,0)</f>
        <v>0.20303679552864462</v>
      </c>
      <c r="L57">
        <f>IFERROR((BAU燃油经济性!L57-CNS燃油经济性!L57)/BAU燃油经济性!L57,0)</f>
        <v>0</v>
      </c>
      <c r="M57">
        <f>IFERROR((BAU燃油经济性!M57-CNS燃油经济性!M57)/BAU燃油经济性!M57,0)</f>
        <v>1.7475728155340467E-3</v>
      </c>
      <c r="N57">
        <f>IFERROR((BAU燃油经济性!N57-CNS燃油经济性!N57)/BAU燃油经济性!N57,0)</f>
        <v>0</v>
      </c>
      <c r="O57">
        <f>IFERROR((BAU燃油经济性!O57-CNS燃油经济性!O57)/BAU燃油经济性!O57,0)</f>
        <v>4.6743665771079503E-2</v>
      </c>
      <c r="P57">
        <f>IFERROR((BAU燃油经济性!P57-CNS燃油经济性!P57)/BAU燃油经济性!P57,0)</f>
        <v>0</v>
      </c>
      <c r="Q57">
        <f>IFERROR((BAU燃油经济性!Q57-CNS燃油经济性!Q57)/BAU燃油经济性!Q57,0)</f>
        <v>2.4999999999999984E-2</v>
      </c>
      <c r="R57">
        <f>IFERROR((BAU燃油经济性!R57-CNS燃油经济性!R57)/BAU燃油经济性!R57,0)</f>
        <v>0</v>
      </c>
      <c r="S57">
        <f>IFERROR((BAU燃油经济性!S57-CNS燃油经济性!S57)/BAU燃油经济性!S57,0)</f>
        <v>1.7475728155340467E-3</v>
      </c>
      <c r="U57" s="9"/>
      <c r="V57" s="9">
        <v>2055</v>
      </c>
      <c r="W57" s="9"/>
      <c r="X57">
        <f t="shared" si="2"/>
        <v>0.24824901560874127</v>
      </c>
      <c r="Z57">
        <f t="shared" si="3"/>
        <v>0.24824901560874127</v>
      </c>
      <c r="AB57">
        <f t="shared" si="4"/>
        <v>2.4999999999999981E-2</v>
      </c>
      <c r="AD57">
        <f t="shared" si="5"/>
        <v>0.11646940091162016</v>
      </c>
      <c r="AE57">
        <v>6417.0925534143198</v>
      </c>
      <c r="AF57">
        <f t="shared" si="6"/>
        <v>1.0024722777205585E-3</v>
      </c>
      <c r="AG57">
        <v>131764.62537156101</v>
      </c>
      <c r="AH57">
        <f t="shared" si="7"/>
        <v>4.6743665771079503E-2</v>
      </c>
      <c r="AI57">
        <v>113854.61836117937</v>
      </c>
      <c r="AJ57">
        <f t="shared" si="8"/>
        <v>2.4999999999999984E-2</v>
      </c>
      <c r="AK57">
        <v>1219513.2958694473</v>
      </c>
      <c r="AL57">
        <f t="shared" si="9"/>
        <v>1.0024722777205585E-3</v>
      </c>
      <c r="AM57" s="24">
        <v>72149.496769147197</v>
      </c>
      <c r="AO57" s="9">
        <v>2055</v>
      </c>
      <c r="AP57">
        <f t="shared" si="10"/>
        <v>0.24824901560874127</v>
      </c>
      <c r="AQ57">
        <f t="shared" si="13"/>
        <v>4.5253063419833234E-3</v>
      </c>
      <c r="AR57">
        <f t="shared" si="11"/>
        <v>2.4999999999999981E-2</v>
      </c>
      <c r="AS57">
        <f t="shared" si="14"/>
        <v>2.6856664422263189E-2</v>
      </c>
      <c r="AT57">
        <v>2055</v>
      </c>
      <c r="AU57">
        <f t="shared" si="15"/>
        <v>1</v>
      </c>
      <c r="AV57">
        <f t="shared" si="16"/>
        <v>0.99798513394198018</v>
      </c>
      <c r="AW57">
        <f t="shared" si="17"/>
        <v>1</v>
      </c>
      <c r="AX57">
        <f t="shared" si="18"/>
        <v>0.99651716439113924</v>
      </c>
    </row>
    <row r="58" spans="1:50" x14ac:dyDescent="0.25">
      <c r="A58" s="9"/>
      <c r="B58" s="9">
        <v>2056</v>
      </c>
      <c r="C58" s="9"/>
      <c r="D58">
        <f>IFERROR((BAU燃油经济性!D58-CNS燃油经济性!D58)/BAU燃油经济性!D58,0)</f>
        <v>0.25</v>
      </c>
      <c r="E58">
        <f>IFERROR((BAU燃油经济性!E58-CNS燃油经济性!E58)/BAU燃油经济性!E58,0)</f>
        <v>0</v>
      </c>
      <c r="F58">
        <f>IFERROR((BAU燃油经济性!F58-CNS燃油经济性!F58)/BAU燃油经济性!F58,0)</f>
        <v>0.25</v>
      </c>
      <c r="G58">
        <f>IFERROR((BAU燃油经济性!G58-CNS燃油经济性!G58)/BAU燃油经济性!G58,0)</f>
        <v>0</v>
      </c>
      <c r="H58">
        <f>IFERROR((BAU燃油经济性!H58-CNS燃油经济性!H58)/BAU燃油经济性!H58,0)</f>
        <v>2.4999999999999946E-2</v>
      </c>
      <c r="I58">
        <f>IFERROR((BAU燃油经济性!I58-CNS燃油经济性!I58)/BAU燃油经济性!I58,0)</f>
        <v>2.5000000000000022E-2</v>
      </c>
      <c r="J58">
        <f>IFERROR((BAU燃油经济性!J58-CNS燃油经济性!J58)/BAU燃油经济性!J58,0)</f>
        <v>0</v>
      </c>
      <c r="K58">
        <f>IFERROR((BAU燃油经济性!K58-CNS燃油经济性!K58)/BAU燃油经济性!K58,0)</f>
        <v>0.20303679552864462</v>
      </c>
      <c r="L58">
        <f>IFERROR((BAU燃油经济性!L58-CNS燃油经济性!L58)/BAU燃油经济性!L58,0)</f>
        <v>0</v>
      </c>
      <c r="M58">
        <f>IFERROR((BAU燃油经济性!M58-CNS燃油经济性!M58)/BAU燃油经济性!M58,0)</f>
        <v>1.7475728155340467E-3</v>
      </c>
      <c r="N58">
        <f>IFERROR((BAU燃油经济性!N58-CNS燃油经济性!N58)/BAU燃油经济性!N58,0)</f>
        <v>0</v>
      </c>
      <c r="O58">
        <f>IFERROR((BAU燃油经济性!O58-CNS燃油经济性!O58)/BAU燃油经济性!O58,0)</f>
        <v>4.6743665771079503E-2</v>
      </c>
      <c r="P58">
        <f>IFERROR((BAU燃油经济性!P58-CNS燃油经济性!P58)/BAU燃油经济性!P58,0)</f>
        <v>0</v>
      </c>
      <c r="Q58">
        <f>IFERROR((BAU燃油经济性!Q58-CNS燃油经济性!Q58)/BAU燃油经济性!Q58,0)</f>
        <v>2.4999999999999984E-2</v>
      </c>
      <c r="R58">
        <f>IFERROR((BAU燃油经济性!R58-CNS燃油经济性!R58)/BAU燃油经济性!R58,0)</f>
        <v>0</v>
      </c>
      <c r="S58">
        <f>IFERROR((BAU燃油经济性!S58-CNS燃油经济性!S58)/BAU燃油经济性!S58,0)</f>
        <v>1.7475728155340467E-3</v>
      </c>
      <c r="U58" s="9"/>
      <c r="V58" s="9">
        <v>2056</v>
      </c>
      <c r="W58" s="9"/>
      <c r="X58">
        <f t="shared" si="2"/>
        <v>0.24824901560874127</v>
      </c>
      <c r="Z58">
        <f t="shared" si="3"/>
        <v>0.24824901560874127</v>
      </c>
      <c r="AB58">
        <f t="shared" si="4"/>
        <v>2.4999999999999981E-2</v>
      </c>
      <c r="AD58">
        <f t="shared" si="5"/>
        <v>0.11646940091162016</v>
      </c>
      <c r="AE58">
        <v>4854.4048134245204</v>
      </c>
      <c r="AF58">
        <f t="shared" si="6"/>
        <v>1.0024722777205585E-3</v>
      </c>
      <c r="AG58">
        <v>131601.246087835</v>
      </c>
      <c r="AH58">
        <f t="shared" si="7"/>
        <v>4.6743665771079503E-2</v>
      </c>
      <c r="AI58">
        <v>117967.10493430216</v>
      </c>
      <c r="AJ58">
        <f t="shared" si="8"/>
        <v>2.4999999999999984E-2</v>
      </c>
      <c r="AK58">
        <v>1229019.1437057368</v>
      </c>
      <c r="AL58">
        <f t="shared" si="9"/>
        <v>1.0024722777205585E-3</v>
      </c>
      <c r="AM58" s="24">
        <v>54579.680982776699</v>
      </c>
      <c r="AO58" s="9">
        <v>2056</v>
      </c>
      <c r="AP58">
        <f t="shared" si="10"/>
        <v>0.24824901560874127</v>
      </c>
      <c r="AQ58">
        <f t="shared" si="13"/>
        <v>3.9366060247281601E-3</v>
      </c>
      <c r="AR58">
        <f t="shared" si="11"/>
        <v>2.4999999999999981E-2</v>
      </c>
      <c r="AS58">
        <f t="shared" si="14"/>
        <v>2.690427875879435E-2</v>
      </c>
      <c r="AT58">
        <v>2056</v>
      </c>
      <c r="AU58">
        <f t="shared" si="15"/>
        <v>1</v>
      </c>
      <c r="AV58">
        <f t="shared" si="16"/>
        <v>0.86815653879982502</v>
      </c>
      <c r="AW58">
        <f t="shared" si="17"/>
        <v>1</v>
      </c>
      <c r="AX58">
        <f t="shared" si="18"/>
        <v>0.99828389546683693</v>
      </c>
    </row>
    <row r="59" spans="1:50" x14ac:dyDescent="0.25">
      <c r="A59" s="9"/>
      <c r="B59" s="9">
        <v>2057</v>
      </c>
      <c r="C59" s="9"/>
      <c r="D59">
        <f>IFERROR((BAU燃油经济性!D59-CNS燃油经济性!D59)/BAU燃油经济性!D59,0)</f>
        <v>0.25</v>
      </c>
      <c r="E59">
        <f>IFERROR((BAU燃油经济性!E59-CNS燃油经济性!E59)/BAU燃油经济性!E59,0)</f>
        <v>0</v>
      </c>
      <c r="F59">
        <f>IFERROR((BAU燃油经济性!F59-CNS燃油经济性!F59)/BAU燃油经济性!F59,0)</f>
        <v>0.25</v>
      </c>
      <c r="G59">
        <f>IFERROR((BAU燃油经济性!G59-CNS燃油经济性!G59)/BAU燃油经济性!G59,0)</f>
        <v>0</v>
      </c>
      <c r="H59">
        <f>IFERROR((BAU燃油经济性!H59-CNS燃油经济性!H59)/BAU燃油经济性!H59,0)</f>
        <v>2.4999999999999946E-2</v>
      </c>
      <c r="I59">
        <f>IFERROR((BAU燃油经济性!I59-CNS燃油经济性!I59)/BAU燃油经济性!I59,0)</f>
        <v>2.5000000000000022E-2</v>
      </c>
      <c r="J59">
        <f>IFERROR((BAU燃油经济性!J59-CNS燃油经济性!J59)/BAU燃油经济性!J59,0)</f>
        <v>0</v>
      </c>
      <c r="K59">
        <f>IFERROR((BAU燃油经济性!K59-CNS燃油经济性!K59)/BAU燃油经济性!K59,0)</f>
        <v>0.20303679552864462</v>
      </c>
      <c r="L59">
        <f>IFERROR((BAU燃油经济性!L59-CNS燃油经济性!L59)/BAU燃油经济性!L59,0)</f>
        <v>0</v>
      </c>
      <c r="M59">
        <f>IFERROR((BAU燃油经济性!M59-CNS燃油经济性!M59)/BAU燃油经济性!M59,0)</f>
        <v>1.7475728155340467E-3</v>
      </c>
      <c r="N59">
        <f>IFERROR((BAU燃油经济性!N59-CNS燃油经济性!N59)/BAU燃油经济性!N59,0)</f>
        <v>0</v>
      </c>
      <c r="O59">
        <f>IFERROR((BAU燃油经济性!O59-CNS燃油经济性!O59)/BAU燃油经济性!O59,0)</f>
        <v>4.6743665771079503E-2</v>
      </c>
      <c r="P59">
        <f>IFERROR((BAU燃油经济性!P59-CNS燃油经济性!P59)/BAU燃油经济性!P59,0)</f>
        <v>0</v>
      </c>
      <c r="Q59">
        <f>IFERROR((BAU燃油经济性!Q59-CNS燃油经济性!Q59)/BAU燃油经济性!Q59,0)</f>
        <v>2.4999999999999984E-2</v>
      </c>
      <c r="R59">
        <f>IFERROR((BAU燃油经济性!R59-CNS燃油经济性!R59)/BAU燃油经济性!R59,0)</f>
        <v>0</v>
      </c>
      <c r="S59">
        <f>IFERROR((BAU燃油经济性!S59-CNS燃油经济性!S59)/BAU燃油经济性!S59,0)</f>
        <v>1.7475728155340467E-3</v>
      </c>
      <c r="U59" s="9"/>
      <c r="V59" s="9">
        <v>2057</v>
      </c>
      <c r="W59" s="9"/>
      <c r="X59">
        <f t="shared" si="2"/>
        <v>0.24824901560874127</v>
      </c>
      <c r="Z59">
        <f t="shared" si="3"/>
        <v>0.24824901560874127</v>
      </c>
      <c r="AB59">
        <f t="shared" si="4"/>
        <v>2.4999999999999981E-2</v>
      </c>
      <c r="AD59">
        <f t="shared" si="5"/>
        <v>0.11646940091162016</v>
      </c>
      <c r="AE59">
        <v>5860.9025321931103</v>
      </c>
      <c r="AF59">
        <f t="shared" si="6"/>
        <v>1.0024722777205585E-3</v>
      </c>
      <c r="AG59">
        <v>131004.653238524</v>
      </c>
      <c r="AH59">
        <f t="shared" si="7"/>
        <v>4.6743665771079503E-2</v>
      </c>
      <c r="AI59">
        <v>121826.86310399638</v>
      </c>
      <c r="AJ59">
        <f t="shared" si="8"/>
        <v>2.4999999999999984E-2</v>
      </c>
      <c r="AK59">
        <v>1238600.6036160439</v>
      </c>
      <c r="AL59">
        <f t="shared" si="9"/>
        <v>1.0024722777205585E-3</v>
      </c>
      <c r="AM59" s="24">
        <v>65896.068163418298</v>
      </c>
      <c r="AO59" s="9">
        <v>2057</v>
      </c>
      <c r="AP59">
        <f t="shared" si="10"/>
        <v>0.24824901560874127</v>
      </c>
      <c r="AQ59">
        <f t="shared" si="13"/>
        <v>4.3400881504106195E-3</v>
      </c>
      <c r="AR59">
        <f t="shared" si="11"/>
        <v>2.4999999999999981E-2</v>
      </c>
      <c r="AS59">
        <f t="shared" si="14"/>
        <v>2.69471545952089E-2</v>
      </c>
      <c r="AT59">
        <v>2057</v>
      </c>
      <c r="AU59">
        <f t="shared" si="15"/>
        <v>1</v>
      </c>
      <c r="AV59">
        <f t="shared" si="16"/>
        <v>0.95713817513826671</v>
      </c>
      <c r="AW59">
        <f t="shared" si="17"/>
        <v>1</v>
      </c>
      <c r="AX59">
        <f t="shared" si="18"/>
        <v>0.99987480438437581</v>
      </c>
    </row>
    <row r="60" spans="1:50" x14ac:dyDescent="0.25">
      <c r="A60" s="9"/>
      <c r="B60" s="9">
        <v>2058</v>
      </c>
      <c r="C60" s="9"/>
      <c r="D60">
        <f>IFERROR((BAU燃油经济性!D60-CNS燃油经济性!D60)/BAU燃油经济性!D60,0)</f>
        <v>0.25</v>
      </c>
      <c r="E60">
        <f>IFERROR((BAU燃油经济性!E60-CNS燃油经济性!E60)/BAU燃油经济性!E60,0)</f>
        <v>0</v>
      </c>
      <c r="F60">
        <f>IFERROR((BAU燃油经济性!F60-CNS燃油经济性!F60)/BAU燃油经济性!F60,0)</f>
        <v>0.25</v>
      </c>
      <c r="G60">
        <f>IFERROR((BAU燃油经济性!G60-CNS燃油经济性!G60)/BAU燃油经济性!G60,0)</f>
        <v>0</v>
      </c>
      <c r="H60">
        <f>IFERROR((BAU燃油经济性!H60-CNS燃油经济性!H60)/BAU燃油经济性!H60,0)</f>
        <v>2.4999999999999946E-2</v>
      </c>
      <c r="I60">
        <f>IFERROR((BAU燃油经济性!I60-CNS燃油经济性!I60)/BAU燃油经济性!I60,0)</f>
        <v>2.5000000000000022E-2</v>
      </c>
      <c r="J60">
        <f>IFERROR((BAU燃油经济性!J60-CNS燃油经济性!J60)/BAU燃油经济性!J60,0)</f>
        <v>0</v>
      </c>
      <c r="K60">
        <f>IFERROR((BAU燃油经济性!K60-CNS燃油经济性!K60)/BAU燃油经济性!K60,0)</f>
        <v>0.20303679552864462</v>
      </c>
      <c r="L60">
        <f>IFERROR((BAU燃油经济性!L60-CNS燃油经济性!L60)/BAU燃油经济性!L60,0)</f>
        <v>0</v>
      </c>
      <c r="M60">
        <f>IFERROR((BAU燃油经济性!M60-CNS燃油经济性!M60)/BAU燃油经济性!M60,0)</f>
        <v>1.7475728155340467E-3</v>
      </c>
      <c r="N60">
        <f>IFERROR((BAU燃油经济性!N60-CNS燃油经济性!N60)/BAU燃油经济性!N60,0)</f>
        <v>0</v>
      </c>
      <c r="O60">
        <f>IFERROR((BAU燃油经济性!O60-CNS燃油经济性!O60)/BAU燃油经济性!O60,0)</f>
        <v>4.6743665771079503E-2</v>
      </c>
      <c r="P60">
        <f>IFERROR((BAU燃油经济性!P60-CNS燃油经济性!P60)/BAU燃油经济性!P60,0)</f>
        <v>0</v>
      </c>
      <c r="Q60">
        <f>IFERROR((BAU燃油经济性!Q60-CNS燃油经济性!Q60)/BAU燃油经济性!Q60,0)</f>
        <v>2.4999999999999984E-2</v>
      </c>
      <c r="R60">
        <f>IFERROR((BAU燃油经济性!R60-CNS燃油经济性!R60)/BAU燃油经济性!R60,0)</f>
        <v>0</v>
      </c>
      <c r="S60">
        <f>IFERROR((BAU燃油经济性!S60-CNS燃油经济性!S60)/BAU燃油经济性!S60,0)</f>
        <v>1.7475728155340467E-3</v>
      </c>
      <c r="U60" s="9"/>
      <c r="V60" s="9">
        <v>2058</v>
      </c>
      <c r="W60" s="9"/>
      <c r="X60">
        <f t="shared" si="2"/>
        <v>0.24824901560874127</v>
      </c>
      <c r="Z60">
        <f t="shared" si="3"/>
        <v>0.24824901560874127</v>
      </c>
      <c r="AB60">
        <f t="shared" si="4"/>
        <v>2.4999999999999981E-2</v>
      </c>
      <c r="AD60">
        <f t="shared" si="5"/>
        <v>0.11646940091162016</v>
      </c>
      <c r="AE60">
        <v>8421.4094099256708</v>
      </c>
      <c r="AF60">
        <f t="shared" si="6"/>
        <v>1.0024722777205585E-3</v>
      </c>
      <c r="AG60">
        <v>130165.942297858</v>
      </c>
      <c r="AH60">
        <f t="shared" si="7"/>
        <v>4.6743665771079503E-2</v>
      </c>
      <c r="AI60">
        <v>124289.51803206303</v>
      </c>
      <c r="AJ60">
        <f t="shared" si="8"/>
        <v>2.4999999999999984E-2</v>
      </c>
      <c r="AK60">
        <v>1246466.6486114487</v>
      </c>
      <c r="AL60">
        <f t="shared" si="9"/>
        <v>1.0024722777205585E-3</v>
      </c>
      <c r="AM60" s="24">
        <v>94684.694969813499</v>
      </c>
      <c r="AO60" s="9">
        <v>2058</v>
      </c>
      <c r="AP60">
        <f t="shared" si="10"/>
        <v>0.24824901560874127</v>
      </c>
      <c r="AQ60">
        <f t="shared" si="13"/>
        <v>5.1709712178300603E-3</v>
      </c>
      <c r="AR60">
        <f t="shared" si="11"/>
        <v>2.4999999999999981E-2</v>
      </c>
      <c r="AS60">
        <f t="shared" si="14"/>
        <v>2.6971546657751096E-2</v>
      </c>
      <c r="AT60">
        <v>2058</v>
      </c>
      <c r="AU60">
        <f t="shared" si="15"/>
        <v>1</v>
      </c>
      <c r="AV60">
        <f t="shared" si="16"/>
        <v>1.1403763664703686</v>
      </c>
      <c r="AW60">
        <f t="shared" si="17"/>
        <v>1</v>
      </c>
      <c r="AX60">
        <f t="shared" si="18"/>
        <v>1.0007798724381007</v>
      </c>
    </row>
    <row r="61" spans="1:50" x14ac:dyDescent="0.25">
      <c r="A61" s="9"/>
      <c r="B61" s="9">
        <v>2059</v>
      </c>
      <c r="C61" s="9"/>
      <c r="D61">
        <f>IFERROR((BAU燃油经济性!D61-CNS燃油经济性!D61)/BAU燃油经济性!D61,0)</f>
        <v>0.25</v>
      </c>
      <c r="E61">
        <f>IFERROR((BAU燃油经济性!E61-CNS燃油经济性!E61)/BAU燃油经济性!E61,0)</f>
        <v>0</v>
      </c>
      <c r="F61">
        <f>IFERROR((BAU燃油经济性!F61-CNS燃油经济性!F61)/BAU燃油经济性!F61,0)</f>
        <v>0.25</v>
      </c>
      <c r="G61">
        <f>IFERROR((BAU燃油经济性!G61-CNS燃油经济性!G61)/BAU燃油经济性!G61,0)</f>
        <v>0</v>
      </c>
      <c r="H61">
        <f>IFERROR((BAU燃油经济性!H61-CNS燃油经济性!H61)/BAU燃油经济性!H61,0)</f>
        <v>2.4999999999999946E-2</v>
      </c>
      <c r="I61">
        <f>IFERROR((BAU燃油经济性!I61-CNS燃油经济性!I61)/BAU燃油经济性!I61,0)</f>
        <v>2.5000000000000022E-2</v>
      </c>
      <c r="J61">
        <f>IFERROR((BAU燃油经济性!J61-CNS燃油经济性!J61)/BAU燃油经济性!J61,0)</f>
        <v>0</v>
      </c>
      <c r="K61">
        <f>IFERROR((BAU燃油经济性!K61-CNS燃油经济性!K61)/BAU燃油经济性!K61,0)</f>
        <v>0.20303679552864462</v>
      </c>
      <c r="L61">
        <f>IFERROR((BAU燃油经济性!L61-CNS燃油经济性!L61)/BAU燃油经济性!L61,0)</f>
        <v>0</v>
      </c>
      <c r="M61">
        <f>IFERROR((BAU燃油经济性!M61-CNS燃油经济性!M61)/BAU燃油经济性!M61,0)</f>
        <v>1.7475728155340467E-3</v>
      </c>
      <c r="N61">
        <f>IFERROR((BAU燃油经济性!N61-CNS燃油经济性!N61)/BAU燃油经济性!N61,0)</f>
        <v>0</v>
      </c>
      <c r="O61">
        <f>IFERROR((BAU燃油经济性!O61-CNS燃油经济性!O61)/BAU燃油经济性!O61,0)</f>
        <v>4.6743665771079503E-2</v>
      </c>
      <c r="P61">
        <f>IFERROR((BAU燃油经济性!P61-CNS燃油经济性!P61)/BAU燃油经济性!P61,0)</f>
        <v>0</v>
      </c>
      <c r="Q61">
        <f>IFERROR((BAU燃油经济性!Q61-CNS燃油经济性!Q61)/BAU燃油经济性!Q61,0)</f>
        <v>2.4999999999999984E-2</v>
      </c>
      <c r="R61">
        <f>IFERROR((BAU燃油经济性!R61-CNS燃油经济性!R61)/BAU燃油经济性!R61,0)</f>
        <v>0</v>
      </c>
      <c r="S61">
        <f>IFERROR((BAU燃油经济性!S61-CNS燃油经济性!S61)/BAU燃油经济性!S61,0)</f>
        <v>1.7475728155340467E-3</v>
      </c>
      <c r="U61" s="9"/>
      <c r="V61" s="9">
        <v>2059</v>
      </c>
      <c r="W61" s="9"/>
      <c r="X61">
        <f t="shared" si="2"/>
        <v>0.24824901560874127</v>
      </c>
      <c r="Z61">
        <f t="shared" si="3"/>
        <v>0.24824901560874127</v>
      </c>
      <c r="AB61">
        <f t="shared" si="4"/>
        <v>2.4999999999999981E-2</v>
      </c>
      <c r="AD61">
        <f t="shared" si="5"/>
        <v>0.11646940091162016</v>
      </c>
      <c r="AE61">
        <v>8550.0330653863894</v>
      </c>
      <c r="AF61">
        <f t="shared" si="6"/>
        <v>1.0024722777205585E-3</v>
      </c>
      <c r="AG61">
        <v>129336.083867283</v>
      </c>
      <c r="AH61">
        <f t="shared" si="7"/>
        <v>4.6743665771079503E-2</v>
      </c>
      <c r="AI61">
        <v>124844.99081886921</v>
      </c>
      <c r="AJ61">
        <f t="shared" si="8"/>
        <v>2.4999999999999984E-2</v>
      </c>
      <c r="AK61">
        <v>1252007.4269853905</v>
      </c>
      <c r="AL61">
        <f t="shared" si="9"/>
        <v>1.0024722777205585E-3</v>
      </c>
      <c r="AM61" s="24">
        <v>96130.853325307806</v>
      </c>
      <c r="AO61" s="9">
        <v>2059</v>
      </c>
      <c r="AP61">
        <f t="shared" si="10"/>
        <v>0.24824901560874127</v>
      </c>
      <c r="AQ61">
        <f t="shared" si="13"/>
        <v>5.2211665745064929E-3</v>
      </c>
      <c r="AR61">
        <f t="shared" si="11"/>
        <v>2.4999999999999981E-2</v>
      </c>
      <c r="AS61">
        <f t="shared" si="14"/>
        <v>2.6971589488064419E-2</v>
      </c>
      <c r="AT61">
        <v>2059</v>
      </c>
      <c r="AU61">
        <f t="shared" si="15"/>
        <v>1</v>
      </c>
      <c r="AV61">
        <f t="shared" si="16"/>
        <v>1.1514461628488475</v>
      </c>
      <c r="AW61">
        <f t="shared" si="17"/>
        <v>1</v>
      </c>
      <c r="AX61">
        <f t="shared" si="18"/>
        <v>1.0007814616578827</v>
      </c>
    </row>
    <row r="62" spans="1:50" x14ac:dyDescent="0.25">
      <c r="A62" s="9"/>
      <c r="B62" s="9">
        <v>2060</v>
      </c>
      <c r="C62" s="9"/>
      <c r="D62">
        <f>IFERROR((BAU燃油经济性!D62-CNS燃油经济性!D62)/BAU燃油经济性!D62,0)</f>
        <v>0.25</v>
      </c>
      <c r="E62">
        <f>IFERROR((BAU燃油经济性!E62-CNS燃油经济性!E62)/BAU燃油经济性!E62,0)</f>
        <v>0</v>
      </c>
      <c r="F62">
        <f>IFERROR((BAU燃油经济性!F62-CNS燃油经济性!F62)/BAU燃油经济性!F62,0)</f>
        <v>0.25</v>
      </c>
      <c r="G62">
        <f>IFERROR((BAU燃油经济性!G62-CNS燃油经济性!G62)/BAU燃油经济性!G62,0)</f>
        <v>0</v>
      </c>
      <c r="H62">
        <f>IFERROR((BAU燃油经济性!H62-CNS燃油经济性!H62)/BAU燃油经济性!H62,0)</f>
        <v>2.4999999999999946E-2</v>
      </c>
      <c r="I62">
        <f>IFERROR((BAU燃油经济性!I62-CNS燃油经济性!I62)/BAU燃油经济性!I62,0)</f>
        <v>2.5000000000000022E-2</v>
      </c>
      <c r="J62">
        <f>IFERROR((BAU燃油经济性!J62-CNS燃油经济性!J62)/BAU燃油经济性!J62,0)</f>
        <v>0</v>
      </c>
      <c r="K62">
        <f>IFERROR((BAU燃油经济性!K62-CNS燃油经济性!K62)/BAU燃油经济性!K62,0)</f>
        <v>0.20303679552864462</v>
      </c>
      <c r="L62">
        <f>IFERROR((BAU燃油经济性!L62-CNS燃油经济性!L62)/BAU燃油经济性!L62,0)</f>
        <v>0</v>
      </c>
      <c r="M62">
        <f>IFERROR((BAU燃油经济性!M62-CNS燃油经济性!M62)/BAU燃油经济性!M62,0)</f>
        <v>1.7475728155340467E-3</v>
      </c>
      <c r="N62">
        <f>IFERROR((BAU燃油经济性!N62-CNS燃油经济性!N62)/BAU燃油经济性!N62,0)</f>
        <v>0</v>
      </c>
      <c r="O62">
        <f>IFERROR((BAU燃油经济性!O62-CNS燃油经济性!O62)/BAU燃油经济性!O62,0)</f>
        <v>4.6743665771079503E-2</v>
      </c>
      <c r="P62">
        <f>IFERROR((BAU燃油经济性!P62-CNS燃油经济性!P62)/BAU燃油经济性!P62,0)</f>
        <v>0</v>
      </c>
      <c r="Q62">
        <f>IFERROR((BAU燃油经济性!Q62-CNS燃油经济性!Q62)/BAU燃油经济性!Q62,0)</f>
        <v>2.4999999999999984E-2</v>
      </c>
      <c r="R62">
        <f>IFERROR((BAU燃油经济性!R62-CNS燃油经济性!R62)/BAU燃油经济性!R62,0)</f>
        <v>0</v>
      </c>
      <c r="S62">
        <f>IFERROR((BAU燃油经济性!S62-CNS燃油经济性!S62)/BAU燃油经济性!S62,0)</f>
        <v>1.7475728155340467E-3</v>
      </c>
      <c r="U62" s="9"/>
      <c r="V62" s="9">
        <v>2060</v>
      </c>
      <c r="W62" s="9"/>
      <c r="X62">
        <f t="shared" si="2"/>
        <v>0.24824901560874127</v>
      </c>
      <c r="Z62">
        <f t="shared" si="3"/>
        <v>0.24824901560874127</v>
      </c>
      <c r="AB62">
        <f t="shared" si="4"/>
        <v>2.4999999999999981E-2</v>
      </c>
      <c r="AD62">
        <f t="shared" si="5"/>
        <v>0.11646940091162016</v>
      </c>
      <c r="AE62">
        <v>6295.6967383619603</v>
      </c>
      <c r="AF62">
        <f t="shared" si="6"/>
        <v>1.0024722777205585E-3</v>
      </c>
      <c r="AG62">
        <v>128738.178522678</v>
      </c>
      <c r="AH62">
        <f t="shared" si="7"/>
        <v>4.6743665771079503E-2</v>
      </c>
      <c r="AI62">
        <v>123674.50847025577</v>
      </c>
      <c r="AJ62">
        <f t="shared" si="8"/>
        <v>2.4999999999999984E-2</v>
      </c>
      <c r="AK62">
        <v>1254996.4127461016</v>
      </c>
      <c r="AL62">
        <f t="shared" si="9"/>
        <v>1.0024722777205585E-3</v>
      </c>
      <c r="AM62" s="24">
        <v>70784.603417056103</v>
      </c>
      <c r="AO62" s="9">
        <v>2060</v>
      </c>
      <c r="AP62">
        <f t="shared" si="10"/>
        <v>0.24824901560874127</v>
      </c>
      <c r="AQ62">
        <f t="shared" si="13"/>
        <v>4.5344426365437332E-3</v>
      </c>
      <c r="AR62">
        <f t="shared" si="11"/>
        <v>2.4999999999999981E-2</v>
      </c>
      <c r="AS62">
        <f t="shared" si="14"/>
        <v>2.6950528683238797E-2</v>
      </c>
      <c r="AT62">
        <v>2060</v>
      </c>
      <c r="AU62">
        <f t="shared" si="15"/>
        <v>1</v>
      </c>
      <c r="AV62">
        <f t="shared" si="16"/>
        <v>1</v>
      </c>
      <c r="AW62">
        <f t="shared" si="17"/>
        <v>1</v>
      </c>
      <c r="AX62">
        <f t="shared" si="18"/>
        <v>1</v>
      </c>
    </row>
  </sheetData>
  <protectedRanges>
    <protectedRange sqref="B3:C53 V18:W53 AO18:AO53" name="燃油耗"/>
  </protectedRanges>
  <mergeCells count="10">
    <mergeCell ref="L1:M1"/>
    <mergeCell ref="N1:O1"/>
    <mergeCell ref="P1:Q1"/>
    <mergeCell ref="R1:S1"/>
    <mergeCell ref="B1:B2"/>
    <mergeCell ref="C1:C2"/>
    <mergeCell ref="D1:E1"/>
    <mergeCell ref="F1:G1"/>
    <mergeCell ref="H1:I1"/>
    <mergeCell ref="J1:K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BAU燃油经济性</vt:lpstr>
      <vt:lpstr>CNS燃油经济性</vt:lpstr>
      <vt:lpstr>燃油经济性提升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何逸群</dc:creator>
  <cp:lastModifiedBy>逸群 何</cp:lastModifiedBy>
  <dcterms:created xsi:type="dcterms:W3CDTF">2023-05-12T11:15:00Z</dcterms:created>
  <dcterms:modified xsi:type="dcterms:W3CDTF">2024-11-08T08:28:35Z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