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About" sheetId="1" r:id="rId1"/>
    <sheet name="Data" sheetId="7" r:id="rId2"/>
    <sheet name="Calculations" sheetId="3" r:id="rId3"/>
    <sheet name="CC-CCoEtSOToCpY" sheetId="4" r:id="rId4"/>
    <sheet name="CC-TOMCpTS" sheetId="5" r:id="rId5"/>
    <sheet name="CC-EUpTCS" sheetId="6" r:id="rId6"/>
  </sheets>
  <definedNames>
    <definedName name="solver_adj" localSheetId="0" hidden="1">About!$A$57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About!$A$55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<sst xmlns="http://schemas.openxmlformats.org/spreadsheetml/2006/main" count="284" uniqueCount="167">
  <si>
    <t>CC Capital Cost of Eqpt to Sequester One Ton of CO2 per Year</t>
  </si>
  <si>
    <t>CC CCS Total O&amp;M Cost per Ton Sequestered</t>
  </si>
  <si>
    <t>CC Energy Use per Ton CO2 Sequestered</t>
  </si>
  <si>
    <t>Source:</t>
  </si>
  <si>
    <t>Liu et al.</t>
  </si>
  <si>
    <t>Techno-economic analysis of using carbon capture and storage (CCS) in decarbonizing China’s coal-fired power plants</t>
  </si>
  <si>
    <t>Journal of Cleaner Production</t>
  </si>
  <si>
    <t>https://doi.org/10.1016/j.jclepro.2022.131384</t>
  </si>
  <si>
    <t>Table 1, Table A2 and Table A3</t>
  </si>
  <si>
    <t>Pour et al.</t>
  </si>
  <si>
    <t>Potential for using municipal solid waste as a resource for bioenergy with carbon capture and storage (BECCS)</t>
  </si>
  <si>
    <t>International Journal of Greenhouse Gas Control</t>
  </si>
  <si>
    <t>https://doi.org/10.1016/j.ijggc.2017.11.007</t>
  </si>
  <si>
    <t>Pour - Table 1</t>
  </si>
  <si>
    <t>Notes:</t>
  </si>
  <si>
    <t xml:space="preserve">This variable captures the capital and O&amp;M costs and energy use of </t>
  </si>
  <si>
    <t>carbon capture and sequestration, for both the power and industry</t>
  </si>
  <si>
    <t>sectors.  It also includes data on energy use per ton CO2 sequestered.</t>
  </si>
  <si>
    <t>The energy use value here should exclude any energy that is not additional</t>
  </si>
  <si>
    <t>to the energy already accounted for in indst/BIFUbC or the heat rates in the</t>
  </si>
  <si>
    <t>electricity sector.  For example, if a steel mill has excess process heat that</t>
  </si>
  <si>
    <t>isn't being used, and they use it to power CCS, that heat should be excluded</t>
  </si>
  <si>
    <t>from here, since it does not increase the overall energy demand of the steel</t>
  </si>
  <si>
    <t>mill.</t>
  </si>
  <si>
    <t>We use coal to represent electric utilities (which are likely to primarily apply CCS to coal</t>
  </si>
  <si>
    <t>plants) and natural gas to represent industry.</t>
  </si>
  <si>
    <t>2015 to 2012 USD</t>
  </si>
  <si>
    <t>Constant price conversion</t>
  </si>
  <si>
    <t>https://stats.areppim.com/calc/calc_usdlrxdeflator.php</t>
  </si>
  <si>
    <t>Capital Cost</t>
  </si>
  <si>
    <t>Table A</t>
  </si>
  <si>
    <t>coal electricity</t>
  </si>
  <si>
    <t>Capacity</t>
  </si>
  <si>
    <t xml:space="preserve"> MW</t>
  </si>
  <si>
    <t>total cost</t>
  </si>
  <si>
    <t>Total CO2</t>
  </si>
  <si>
    <t>g/kWh</t>
  </si>
  <si>
    <t>Capture</t>
  </si>
  <si>
    <t xml:space="preserve"> Mt/a</t>
  </si>
  <si>
    <t>Capital cost</t>
  </si>
  <si>
    <t>From 2020 $ to 2012</t>
  </si>
  <si>
    <t>capture rate</t>
  </si>
  <si>
    <t>Initial investment</t>
  </si>
  <si>
    <t>$/kW</t>
  </si>
  <si>
    <t>Initial capture cost</t>
  </si>
  <si>
    <t>emission</t>
  </si>
  <si>
    <t>Operation hour</t>
  </si>
  <si>
    <t>h</t>
  </si>
  <si>
    <t>Table A2</t>
  </si>
  <si>
    <t>nature gas electricity</t>
  </si>
  <si>
    <t>Table A3</t>
  </si>
  <si>
    <t>biomass electricity</t>
  </si>
  <si>
    <t>Waste electricity</t>
  </si>
  <si>
    <t>unit capture</t>
  </si>
  <si>
    <t>t CO2/MWh</t>
  </si>
  <si>
    <t>from 2015 $ to 2012</t>
  </si>
  <si>
    <t>Capital</t>
  </si>
  <si>
    <t>emission factor</t>
  </si>
  <si>
    <t>Tco2/t</t>
  </si>
  <si>
    <t>cement</t>
  </si>
  <si>
    <t>capital cost</t>
  </si>
  <si>
    <t>https://doi.org/10.1016/j.enconman.2012.04.012</t>
  </si>
  <si>
    <t>annual cement production</t>
  </si>
  <si>
    <t>million t</t>
  </si>
  <si>
    <t>process</t>
  </si>
  <si>
    <t>emission CO2-process</t>
  </si>
  <si>
    <t>fuel</t>
  </si>
  <si>
    <t>emission CO2-fuel</t>
  </si>
  <si>
    <t>https://ieaghg.org/publications/deployment-of-ccs-in-the-cement-industry/</t>
  </si>
  <si>
    <t>capture rate-process</t>
  </si>
  <si>
    <t>https://doi.org/10.1021/acs.est.2c05724</t>
  </si>
  <si>
    <t>capture rate-fuel</t>
  </si>
  <si>
    <t>capital cost-process</t>
  </si>
  <si>
    <t>million $</t>
  </si>
  <si>
    <t>capital cost-fuel</t>
  </si>
  <si>
    <t>capital quantity-process</t>
  </si>
  <si>
    <t>capital quantity-fuel</t>
  </si>
  <si>
    <t>chemicals</t>
  </si>
  <si>
    <t>2013 $</t>
  </si>
  <si>
    <t>2012$</t>
  </si>
  <si>
    <t>capture CO2</t>
  </si>
  <si>
    <t>http://dx.doi.org/10.1016/j.ijggc.2015.05.018</t>
  </si>
  <si>
    <t>Table 2</t>
  </si>
  <si>
    <t>1.7 Mt/yr</t>
  </si>
  <si>
    <t>from 2013 $ to 2012</t>
  </si>
  <si>
    <t>no ccs capital cost</t>
  </si>
  <si>
    <t>production</t>
  </si>
  <si>
    <t>with ccs</t>
  </si>
  <si>
    <t>petroleum</t>
  </si>
  <si>
    <t>pre-combustion</t>
  </si>
  <si>
    <t>$/ton</t>
  </si>
  <si>
    <t>https://doi.org/10.1016/j.ijggc.2017.03.020</t>
  </si>
  <si>
    <t>DNV（2010）</t>
  </si>
  <si>
    <t>from 2010 $ to 2012</t>
  </si>
  <si>
    <t>iron and steel</t>
  </si>
  <si>
    <t>processing cost</t>
  </si>
  <si>
    <t>post</t>
  </si>
  <si>
    <t>https://doi.org/10.1016/j.jclepro.2019.118953</t>
  </si>
  <si>
    <t>Table 1</t>
  </si>
  <si>
    <t>Kuramochi et al. (2012)</t>
  </si>
  <si>
    <t>annual capacity</t>
  </si>
  <si>
    <t>MtCO2</t>
  </si>
  <si>
    <t>form 2022 $ to 2012</t>
  </si>
  <si>
    <t>investment</t>
  </si>
  <si>
    <t>million CNY</t>
  </si>
  <si>
    <t>energy input capture</t>
  </si>
  <si>
    <t>54.0-88.0</t>
  </si>
  <si>
    <t>$/tCO2</t>
  </si>
  <si>
    <t>fuel cost</t>
  </si>
  <si>
    <t>Table1</t>
  </si>
  <si>
    <t>IEA(2013)</t>
  </si>
  <si>
    <t>GAS PROCESSING</t>
  </si>
  <si>
    <t>https://ieefa.org/sites/default/files/2022-09/The%20Carbon%20Capture%20Crux.pdf</t>
  </si>
  <si>
    <t>annual capture CO2</t>
  </si>
  <si>
    <t>from 2008 $ to 2012</t>
  </si>
  <si>
    <t>Capex cost</t>
  </si>
  <si>
    <t>million $ 2005</t>
  </si>
  <si>
    <t>assume 2010 - 2020 cost decline 40%</t>
  </si>
  <si>
    <t>O&amp;M cost</t>
  </si>
  <si>
    <t>fixed cost</t>
  </si>
  <si>
    <t>variable cost</t>
  </si>
  <si>
    <t>total O$M cost</t>
  </si>
  <si>
    <t>coal elec</t>
  </si>
  <si>
    <t>nature gas elec</t>
  </si>
  <si>
    <t>waste elec</t>
  </si>
  <si>
    <t>biomass</t>
  </si>
  <si>
    <t>inudstry-fuel</t>
  </si>
  <si>
    <t>Table 4</t>
  </si>
  <si>
    <t>industry-process</t>
  </si>
  <si>
    <t>total prcoess cost</t>
  </si>
  <si>
    <t>million US$/year</t>
  </si>
  <si>
    <t>Energy Use per Ton Sequestered (BTU/metric ton CO2e)</t>
  </si>
  <si>
    <t>coal</t>
  </si>
  <si>
    <t>自用率</t>
  </si>
  <si>
    <t>排放因子</t>
  </si>
  <si>
    <t>g/kwh</t>
  </si>
  <si>
    <t>发电量</t>
  </si>
  <si>
    <t>kwh</t>
  </si>
  <si>
    <t>总排放</t>
  </si>
  <si>
    <t>t</t>
  </si>
  <si>
    <t>电力需求</t>
  </si>
  <si>
    <t>需要能量</t>
  </si>
  <si>
    <t>kwh/t</t>
  </si>
  <si>
    <t>1kwh</t>
  </si>
  <si>
    <t>BTU</t>
  </si>
  <si>
    <t>nature gas</t>
  </si>
  <si>
    <t>beccs</t>
  </si>
  <si>
    <t>waste</t>
  </si>
  <si>
    <t>t/MWh</t>
  </si>
  <si>
    <t>MWh</t>
  </si>
  <si>
    <t>排放</t>
  </si>
  <si>
    <t>iron fuel</t>
  </si>
  <si>
    <t>Capital Cost of Eqpt to Sequester One Ton of CO2 per Year</t>
  </si>
  <si>
    <t>Capital cost ($/(metric ton CO2e*yr))</t>
  </si>
  <si>
    <t>emission percentage</t>
  </si>
  <si>
    <t>Fuel-capital cost</t>
  </si>
  <si>
    <t>process-capital cost</t>
  </si>
  <si>
    <t>refined petroleum and coke</t>
  </si>
  <si>
    <t>cement and other nonmetallic minerals</t>
  </si>
  <si>
    <t>energy pipelines and gas processing</t>
  </si>
  <si>
    <t>CCS Total O&amp;M Cost per Ton Sequestered</t>
  </si>
  <si>
    <t>industry-fuel</t>
  </si>
  <si>
    <t>Energy Use per Ton CO2 Sequestered</t>
  </si>
  <si>
    <t>energy demand</t>
  </si>
  <si>
    <t>electricity sector</t>
  </si>
  <si>
    <t>industry sector</t>
  </si>
  <si>
    <t>O&amp;M Cost per Ton ($/metric ton CO2e)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</si>
</sst>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0.000"/>
    <numFmt numFmtId="178" formatCode="&quot;$&quot;#,##0.00"/>
    <numFmt numFmtId="179" formatCode="0.00_);[Red]\(0.00\)"/>
    <numFmt numFmtId="180" formatCode="###0.000;###0.000"/>
    <numFmt numFmtId="181" formatCode="###0.0000;###0.0000"/>
    <numFmt numFmtId="182" formatCode="###0;###0"/>
  </numFmts>
  <fonts count="3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"/>
      <color rgb="FF000000"/>
      <name val="Arial"/>
      <charset val="134"/>
    </font>
    <font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u/>
      <sz val="11"/>
      <color rgb="FF800080"/>
      <name val="宋体"/>
      <charset val="0"/>
      <scheme val="minor"/>
    </font>
    <font>
      <sz val="9"/>
      <color rgb="FF000000"/>
      <name val="Times New Roman"/>
      <charset val="134"/>
    </font>
    <font>
      <sz val="9"/>
      <name val="Times New Roman"/>
      <charset val="134"/>
    </font>
    <font>
      <u/>
      <sz val="11"/>
      <color rgb="FF800080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77" fontId="1" fillId="0" borderId="0" xfId="0" applyNumberFormat="1" applyFont="1"/>
    <xf numFmtId="2" fontId="1" fillId="0" borderId="0" xfId="0" applyNumberFormat="1" applyFont="1"/>
    <xf numFmtId="0" fontId="2" fillId="2" borderId="0" xfId="0" applyFont="1" applyFill="1"/>
    <xf numFmtId="0" fontId="0" fillId="2" borderId="0" xfId="0" applyFill="1"/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Font="1"/>
    <xf numFmtId="0" fontId="5" fillId="0" borderId="0" xfId="0" applyFont="1" applyFill="1" applyAlignment="1">
      <alignment vertical="center"/>
    </xf>
    <xf numFmtId="10" fontId="0" fillId="0" borderId="0" xfId="0" applyNumberFormat="1"/>
    <xf numFmtId="0" fontId="0" fillId="0" borderId="0" xfId="2" applyNumberFormat="1" applyFont="1"/>
    <xf numFmtId="0" fontId="5" fillId="0" borderId="0" xfId="0" applyFont="1" applyFill="1" applyAlignment="1"/>
    <xf numFmtId="178" fontId="0" fillId="0" borderId="0" xfId="2" applyNumberFormat="1" applyFont="1"/>
    <xf numFmtId="179" fontId="0" fillId="0" borderId="0" xfId="0" applyNumberFormat="1"/>
    <xf numFmtId="178" fontId="0" fillId="0" borderId="0" xfId="0" applyNumberFormat="1"/>
    <xf numFmtId="0" fontId="4" fillId="2" borderId="0" xfId="0" applyFont="1" applyFill="1"/>
    <xf numFmtId="1" fontId="0" fillId="0" borderId="0" xfId="0" applyNumberFormat="1"/>
    <xf numFmtId="0" fontId="0" fillId="3" borderId="0" xfId="0" applyFill="1"/>
    <xf numFmtId="0" fontId="6" fillId="0" borderId="0" xfId="6">
      <alignment vertical="center"/>
    </xf>
    <xf numFmtId="0" fontId="3" fillId="0" borderId="0" xfId="0" applyNumberFormat="1" applyFont="1" applyFill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0" fontId="8" fillId="0" borderId="0" xfId="0" applyNumberFormat="1" applyFont="1" applyFill="1" applyBorder="1" applyAlignment="1" applyProtection="1">
      <alignment vertical="center"/>
    </xf>
    <xf numFmtId="0" fontId="9" fillId="0" borderId="0" xfId="0" applyNumberFormat="1" applyFont="1" applyFill="1" applyBorder="1" applyAlignment="1" applyProtection="1">
      <alignment vertical="center"/>
    </xf>
    <xf numFmtId="0" fontId="10" fillId="0" borderId="0" xfId="6" applyFo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180" fontId="11" fillId="0" borderId="0" xfId="0" applyNumberFormat="1" applyFont="1" applyAlignment="1">
      <alignment horizontal="left" vertical="center" wrapText="1"/>
    </xf>
    <xf numFmtId="181" fontId="11" fillId="0" borderId="0" xfId="0" applyNumberFormat="1" applyFont="1" applyAlignment="1">
      <alignment horizontal="left" vertical="top" wrapText="1"/>
    </xf>
    <xf numFmtId="182" fontId="11" fillId="0" borderId="0" xfId="0" applyNumberFormat="1" applyFont="1" applyAlignment="1">
      <alignment vertical="top" wrapText="1"/>
    </xf>
    <xf numFmtId="181" fontId="11" fillId="0" borderId="0" xfId="0" applyNumberFormat="1" applyFont="1" applyAlignment="1">
      <alignment vertical="top" wrapText="1"/>
    </xf>
    <xf numFmtId="0" fontId="12" fillId="0" borderId="0" xfId="0" applyFont="1" applyAlignment="1">
      <alignment vertical="top" wrapText="1"/>
    </xf>
    <xf numFmtId="0" fontId="6" fillId="0" borderId="0" xfId="6"/>
    <xf numFmtId="0" fontId="13" fillId="0" borderId="0" xfId="6" applyFont="1">
      <alignment vertical="center"/>
    </xf>
    <xf numFmtId="0" fontId="5" fillId="4" borderId="0" xfId="0" applyFont="1" applyFill="1" applyAlignment="1">
      <alignment vertical="center"/>
    </xf>
    <xf numFmtId="10" fontId="5" fillId="4" borderId="0" xfId="0" applyNumberFormat="1" applyFont="1" applyFill="1" applyAlignment="1">
      <alignment vertical="center"/>
    </xf>
    <xf numFmtId="9" fontId="5" fillId="4" borderId="0" xfId="3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2" fillId="0" borderId="0" xfId="0" applyFont="1"/>
    <xf numFmtId="0" fontId="14" fillId="0" borderId="0" xfId="0" applyFont="1"/>
    <xf numFmtId="0" fontId="15" fillId="0" borderId="0" xfId="6" applyFont="1"/>
    <xf numFmtId="2" fontId="0" fillId="0" borderId="0" xfId="3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ijggc.2017.11.007" TargetMode="External"/><Relationship Id="rId2" Type="http://schemas.openxmlformats.org/officeDocument/2006/relationships/hyperlink" Target="https://stats.areppim.com/calc/calc_usdlrxdeflator.php" TargetMode="External"/><Relationship Id="rId1" Type="http://schemas.openxmlformats.org/officeDocument/2006/relationships/hyperlink" Target="https://doi.org/10.1016/j.jclepro.2022.131384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oi.org/10.1016/j.jclepro.2022.131384" TargetMode="External"/><Relationship Id="rId6" Type="http://schemas.openxmlformats.org/officeDocument/2006/relationships/hyperlink" Target="https://doi.org/10.1016/j.jclepro.2019.118953" TargetMode="External"/><Relationship Id="rId5" Type="http://schemas.openxmlformats.org/officeDocument/2006/relationships/hyperlink" Target="https://doi.org/10.1016/j.ijggc.2017.03.020" TargetMode="External"/><Relationship Id="rId4" Type="http://schemas.openxmlformats.org/officeDocument/2006/relationships/hyperlink" Target="http://dx.doi.org/10.1016/j.ijggc.2015.05.018" TargetMode="External"/><Relationship Id="rId3" Type="http://schemas.openxmlformats.org/officeDocument/2006/relationships/hyperlink" Target="https://doi.org/10.1021/acs.est.2c05724" TargetMode="External"/><Relationship Id="rId2" Type="http://schemas.openxmlformats.org/officeDocument/2006/relationships/hyperlink" Target="https://ieaghg.org/publications/deployment-of-ccs-in-the-cement-industry/" TargetMode="External"/><Relationship Id="rId1" Type="http://schemas.openxmlformats.org/officeDocument/2006/relationships/hyperlink" Target="https://doi.org/10.1016/j.enconman.2012.04.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tabSelected="1" workbookViewId="0">
      <selection activeCell="B36" sqref="B36"/>
    </sheetView>
  </sheetViews>
  <sheetFormatPr defaultColWidth="9" defaultRowHeight="13.5" outlineLevelCol="1"/>
  <cols>
    <col min="1" max="1" width="30.375" customWidth="1"/>
    <col min="2" max="2" width="55.875" customWidth="1"/>
    <col min="4" max="4" width="30.5" customWidth="1"/>
  </cols>
  <sheetData>
    <row r="1" spans="1:1">
      <c r="A1" s="8" t="s">
        <v>0</v>
      </c>
    </row>
    <row r="2" spans="1:1">
      <c r="A2" s="38" t="s">
        <v>1</v>
      </c>
    </row>
    <row r="3" spans="1:1">
      <c r="A3" s="8" t="s">
        <v>2</v>
      </c>
    </row>
    <row r="5" spans="1:2">
      <c r="A5" s="8" t="s">
        <v>3</v>
      </c>
      <c r="B5" t="s">
        <v>4</v>
      </c>
    </row>
    <row r="6" spans="2:2">
      <c r="B6" s="26">
        <v>2022</v>
      </c>
    </row>
    <row r="7" spans="2:2">
      <c r="B7" t="s">
        <v>5</v>
      </c>
    </row>
    <row r="8" spans="2:2">
      <c r="B8" s="39" t="s">
        <v>6</v>
      </c>
    </row>
    <row r="9" spans="2:2">
      <c r="B9" s="32" t="s">
        <v>7</v>
      </c>
    </row>
    <row r="10" spans="2:2">
      <c r="B10" t="s">
        <v>8</v>
      </c>
    </row>
    <row r="12" spans="2:2">
      <c r="B12" t="s">
        <v>9</v>
      </c>
    </row>
    <row r="13" spans="2:2">
      <c r="B13" s="26">
        <v>2018</v>
      </c>
    </row>
    <row r="14" spans="2:2">
      <c r="B14" t="s">
        <v>10</v>
      </c>
    </row>
    <row r="15" spans="2:2">
      <c r="B15" t="s">
        <v>11</v>
      </c>
    </row>
    <row r="16" spans="2:2">
      <c r="B16" s="40" t="s">
        <v>12</v>
      </c>
    </row>
    <row r="17" spans="2:2">
      <c r="B17" t="s">
        <v>13</v>
      </c>
    </row>
    <row r="39" spans="1:1">
      <c r="A39" s="8" t="s">
        <v>14</v>
      </c>
    </row>
    <row r="40" spans="1:1">
      <c r="A40" t="s">
        <v>15</v>
      </c>
    </row>
    <row r="41" spans="1:1">
      <c r="A41" t="s">
        <v>16</v>
      </c>
    </row>
    <row r="42" spans="1:1">
      <c r="A42" t="s">
        <v>17</v>
      </c>
    </row>
    <row r="43" spans="1:1">
      <c r="A43" s="8"/>
    </row>
    <row r="44" spans="1:1">
      <c r="A44" t="s">
        <v>18</v>
      </c>
    </row>
    <row r="45" spans="1:1">
      <c r="A45" t="s">
        <v>19</v>
      </c>
    </row>
    <row r="46" spans="1:1">
      <c r="A46" t="s">
        <v>20</v>
      </c>
    </row>
    <row r="47" spans="1:1">
      <c r="A47" t="s">
        <v>21</v>
      </c>
    </row>
    <row r="48" spans="1:1">
      <c r="A48" t="s">
        <v>22</v>
      </c>
    </row>
    <row r="49" spans="1:1">
      <c r="A49" t="s">
        <v>23</v>
      </c>
    </row>
    <row r="51" spans="1:1">
      <c r="A51" t="s">
        <v>24</v>
      </c>
    </row>
    <row r="52" spans="1:1">
      <c r="A52" t="s">
        <v>25</v>
      </c>
    </row>
    <row r="55" spans="1:2">
      <c r="A55" s="41">
        <v>0.97</v>
      </c>
      <c r="B55" t="s">
        <v>26</v>
      </c>
    </row>
    <row r="57" spans="1:2">
      <c r="A57" s="10" t="s">
        <v>27</v>
      </c>
      <c r="B57" s="32" t="s">
        <v>28</v>
      </c>
    </row>
  </sheetData>
  <hyperlinks>
    <hyperlink ref="B9" r:id="rId1" display="https://doi.org/10.1016/j.jclepro.2022.131384"/>
    <hyperlink ref="B57" r:id="rId2" display="https://stats.areppim.com/calc/calc_usdlrxdeflator.php"/>
    <hyperlink ref="B16" r:id="rId3" display="https://doi.org/10.1016/j.ijggc.2017.11.007"/>
  </hyperlinks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2"/>
  <sheetViews>
    <sheetView topLeftCell="A95" workbookViewId="0">
      <selection activeCell="B112" sqref="B112"/>
    </sheetView>
  </sheetViews>
  <sheetFormatPr defaultColWidth="9" defaultRowHeight="13.5"/>
  <cols>
    <col min="1" max="1" width="22.625" customWidth="1"/>
    <col min="2" max="2" width="11.625" customWidth="1"/>
    <col min="3" max="3" width="11.5"/>
    <col min="4" max="4" width="9.5" customWidth="1"/>
    <col min="5" max="5" width="12.625"/>
  </cols>
  <sheetData>
    <row r="1" s="18" customFormat="1" spans="1:1">
      <c r="A1" s="18" t="s">
        <v>29</v>
      </c>
    </row>
    <row r="2" spans="1:2">
      <c r="A2" t="s">
        <v>30</v>
      </c>
      <c r="B2" s="7" t="s">
        <v>31</v>
      </c>
    </row>
    <row r="3" spans="1:6">
      <c r="A3" s="9" t="s">
        <v>32</v>
      </c>
      <c r="B3" s="9">
        <v>1000</v>
      </c>
      <c r="C3" s="9" t="s">
        <v>33</v>
      </c>
      <c r="D3" s="9" t="s">
        <v>34</v>
      </c>
      <c r="F3" s="19" t="s">
        <v>7</v>
      </c>
    </row>
    <row r="4" spans="1:6">
      <c r="A4" s="9" t="s">
        <v>35</v>
      </c>
      <c r="B4" s="9">
        <v>838</v>
      </c>
      <c r="C4" s="9" t="s">
        <v>36</v>
      </c>
      <c r="D4" s="9">
        <f>B3*10^3*(B8+B7)*0.88</f>
        <v>763215200</v>
      </c>
      <c r="F4" s="9"/>
    </row>
    <row r="5" spans="1:6">
      <c r="A5" s="9" t="s">
        <v>37</v>
      </c>
      <c r="B5" s="9">
        <f>B3*1000*B9*B4*B6/10^6/10^6</f>
        <v>3.3403518</v>
      </c>
      <c r="C5" s="9" t="s">
        <v>38</v>
      </c>
      <c r="D5" t="s">
        <v>39</v>
      </c>
      <c r="F5" s="9" t="s">
        <v>40</v>
      </c>
    </row>
    <row r="6" spans="1:6">
      <c r="A6" s="9" t="s">
        <v>41</v>
      </c>
      <c r="B6" s="9">
        <v>0.9</v>
      </c>
      <c r="C6" s="9"/>
      <c r="D6" s="9">
        <f>D4/B5/10^6</f>
        <v>228.483478895846</v>
      </c>
      <c r="F6" s="9">
        <v>0.88</v>
      </c>
    </row>
    <row r="7" spans="1:4">
      <c r="A7" s="9" t="s">
        <v>42</v>
      </c>
      <c r="B7" s="9">
        <v>496.02</v>
      </c>
      <c r="C7" s="9" t="s">
        <v>43</v>
      </c>
      <c r="D7" s="9"/>
    </row>
    <row r="8" spans="1:4">
      <c r="A8" s="9" t="s">
        <v>44</v>
      </c>
      <c r="B8" s="9">
        <v>371.27</v>
      </c>
      <c r="C8" s="9" t="s">
        <v>43</v>
      </c>
      <c r="D8" s="9" t="s">
        <v>45</v>
      </c>
    </row>
    <row r="9" spans="1:4">
      <c r="A9" s="9" t="s">
        <v>46</v>
      </c>
      <c r="B9" s="9">
        <v>4429</v>
      </c>
      <c r="C9" s="9" t="s">
        <v>47</v>
      </c>
      <c r="D9" s="9">
        <f>B3*B9*1000*B4/10^6</f>
        <v>3711502</v>
      </c>
    </row>
    <row r="10" spans="1:4">
      <c r="A10" s="20"/>
      <c r="D10" s="9"/>
    </row>
    <row r="11" spans="1:4">
      <c r="A11" s="20"/>
      <c r="D11" s="9"/>
    </row>
    <row r="12" spans="1:2">
      <c r="A12" s="7" t="s">
        <v>48</v>
      </c>
      <c r="B12" t="s">
        <v>49</v>
      </c>
    </row>
    <row r="13" spans="1:4">
      <c r="A13" s="9" t="s">
        <v>32</v>
      </c>
      <c r="B13" s="9">
        <v>1000</v>
      </c>
      <c r="C13" s="9" t="s">
        <v>33</v>
      </c>
      <c r="D13" s="9" t="s">
        <v>34</v>
      </c>
    </row>
    <row r="14" spans="1:4">
      <c r="A14" s="9" t="s">
        <v>35</v>
      </c>
      <c r="B14" s="9">
        <v>428</v>
      </c>
      <c r="C14" s="9" t="s">
        <v>36</v>
      </c>
      <c r="D14" s="9">
        <f>B13*10^3*(B18+B17)*0.88</f>
        <v>837091200</v>
      </c>
    </row>
    <row r="15" spans="1:4">
      <c r="A15" s="9" t="s">
        <v>37</v>
      </c>
      <c r="B15" s="9">
        <f>B13*1000*B19*B14*B16/10^6/10^6</f>
        <v>1.02145976470588</v>
      </c>
      <c r="C15" s="9" t="s">
        <v>38</v>
      </c>
      <c r="D15" t="s">
        <v>39</v>
      </c>
    </row>
    <row r="16" spans="1:4">
      <c r="A16" s="9" t="s">
        <v>41</v>
      </c>
      <c r="B16" s="9">
        <f>13.8/15.3</f>
        <v>0.901960784313726</v>
      </c>
      <c r="C16" s="9"/>
      <c r="D16" s="9">
        <f>D14/B15/10^6</f>
        <v>819.504819400332</v>
      </c>
    </row>
    <row r="17" spans="1:4">
      <c r="A17" s="9" t="s">
        <v>42</v>
      </c>
      <c r="B17" s="9">
        <v>387.98</v>
      </c>
      <c r="C17" s="9" t="s">
        <v>43</v>
      </c>
      <c r="D17" s="9"/>
    </row>
    <row r="18" spans="1:4">
      <c r="A18" s="9" t="s">
        <v>44</v>
      </c>
      <c r="B18" s="9">
        <v>563.26</v>
      </c>
      <c r="C18" s="9" t="s">
        <v>43</v>
      </c>
      <c r="D18" s="9" t="s">
        <v>45</v>
      </c>
    </row>
    <row r="19" spans="1:4">
      <c r="A19" s="9" t="s">
        <v>46</v>
      </c>
      <c r="B19" s="9">
        <v>2646</v>
      </c>
      <c r="C19" s="9" t="s">
        <v>47</v>
      </c>
      <c r="D19" s="9">
        <f>B13*B19*1000*B14/10^6</f>
        <v>1132488</v>
      </c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 t="s">
        <v>50</v>
      </c>
      <c r="B22" s="7" t="s">
        <v>51</v>
      </c>
      <c r="C22" s="7"/>
      <c r="D22" s="7"/>
    </row>
    <row r="23" spans="1:4">
      <c r="A23" s="9" t="s">
        <v>32</v>
      </c>
      <c r="B23" s="9">
        <v>1000</v>
      </c>
      <c r="C23" s="9" t="s">
        <v>33</v>
      </c>
      <c r="D23" s="9" t="s">
        <v>34</v>
      </c>
    </row>
    <row r="24" spans="1:4">
      <c r="A24" s="9" t="s">
        <v>35</v>
      </c>
      <c r="B24" s="9">
        <v>838</v>
      </c>
      <c r="C24" s="9" t="s">
        <v>36</v>
      </c>
      <c r="D24" s="9">
        <f>B23*10^3*(B28+B27)*0.88</f>
        <v>1969633600</v>
      </c>
    </row>
    <row r="25" spans="1:4">
      <c r="A25" s="9" t="s">
        <v>37</v>
      </c>
      <c r="B25" s="9">
        <f>B23*1000*B29*B24*B26/10^6/10^6</f>
        <v>4.802578</v>
      </c>
      <c r="C25" s="9" t="s">
        <v>38</v>
      </c>
      <c r="D25" t="s">
        <v>39</v>
      </c>
    </row>
    <row r="26" spans="1:4">
      <c r="A26" s="9" t="s">
        <v>41</v>
      </c>
      <c r="B26" s="9">
        <f>1</f>
        <v>1</v>
      </c>
      <c r="C26" s="9"/>
      <c r="D26" s="9">
        <f>D24/B25/10^6</f>
        <v>410.120064681927</v>
      </c>
    </row>
    <row r="27" spans="1:4">
      <c r="A27" s="9" t="s">
        <v>42</v>
      </c>
      <c r="B27" s="9">
        <v>1674.96</v>
      </c>
      <c r="C27" s="9" t="s">
        <v>43</v>
      </c>
      <c r="D27" s="9"/>
    </row>
    <row r="28" spans="1:4">
      <c r="A28" s="9" t="s">
        <v>44</v>
      </c>
      <c r="B28" s="9">
        <v>563.26</v>
      </c>
      <c r="C28" s="9" t="s">
        <v>43</v>
      </c>
      <c r="D28" s="9" t="s">
        <v>45</v>
      </c>
    </row>
    <row r="29" spans="1:12">
      <c r="A29" s="9" t="s">
        <v>46</v>
      </c>
      <c r="B29" s="9">
        <v>5731</v>
      </c>
      <c r="C29" s="9" t="s">
        <v>47</v>
      </c>
      <c r="D29" s="9">
        <f>B23*B29*1000*B24/10^6</f>
        <v>4802578</v>
      </c>
      <c r="J29" s="25"/>
      <c r="K29" s="25"/>
      <c r="L29" s="25"/>
    </row>
    <row r="30" spans="10:12">
      <c r="J30" s="25"/>
      <c r="K30" s="25"/>
      <c r="L30" s="25"/>
    </row>
    <row r="31" spans="1:12">
      <c r="A31" s="7" t="s">
        <v>13</v>
      </c>
      <c r="B31" t="s">
        <v>52</v>
      </c>
      <c r="J31" s="26"/>
      <c r="K31" s="25"/>
      <c r="L31" s="25"/>
    </row>
    <row r="32" spans="1:12">
      <c r="A32" s="7" t="s">
        <v>53</v>
      </c>
      <c r="B32" s="7">
        <v>0.9</v>
      </c>
      <c r="C32" s="7" t="s">
        <v>54</v>
      </c>
      <c r="D32" s="7" t="s">
        <v>34</v>
      </c>
      <c r="F32" s="7" t="s">
        <v>55</v>
      </c>
      <c r="J32" s="26"/>
      <c r="K32" s="25"/>
      <c r="L32" s="25"/>
    </row>
    <row r="33" spans="1:12">
      <c r="A33" s="7" t="s">
        <v>32</v>
      </c>
      <c r="B33" s="7">
        <v>10</v>
      </c>
      <c r="C33" s="7" t="s">
        <v>33</v>
      </c>
      <c r="D33" s="7">
        <f>B33*B35*10^3*F33</f>
        <v>58200000</v>
      </c>
      <c r="F33" s="7">
        <v>0.97</v>
      </c>
      <c r="J33" s="26"/>
      <c r="K33" s="25"/>
      <c r="L33" s="25"/>
    </row>
    <row r="34" spans="1:12">
      <c r="A34" s="7" t="s">
        <v>46</v>
      </c>
      <c r="B34" s="7">
        <v>8000</v>
      </c>
      <c r="C34" s="7" t="s">
        <v>47</v>
      </c>
      <c r="D34" t="s">
        <v>39</v>
      </c>
      <c r="J34" s="26"/>
      <c r="K34" s="25"/>
      <c r="L34" s="25"/>
    </row>
    <row r="35" spans="1:25">
      <c r="A35" s="7" t="s">
        <v>56</v>
      </c>
      <c r="B35" s="7">
        <v>6000</v>
      </c>
      <c r="C35" s="7" t="s">
        <v>43</v>
      </c>
      <c r="D35" s="7">
        <f>D33/(B32*B33*B34)</f>
        <v>808.333333333333</v>
      </c>
      <c r="J35" s="26"/>
      <c r="L35" s="25"/>
      <c r="Y35" s="29"/>
    </row>
    <row r="36" spans="1:25">
      <c r="A36" s="7" t="s">
        <v>57</v>
      </c>
      <c r="B36" s="7">
        <v>0.39</v>
      </c>
      <c r="C36" s="7" t="s">
        <v>58</v>
      </c>
      <c r="D36" s="7"/>
      <c r="J36" s="26"/>
      <c r="L36" s="25"/>
      <c r="Y36" s="30"/>
    </row>
    <row r="37" spans="10:12">
      <c r="J37" s="26"/>
      <c r="L37" s="25"/>
    </row>
    <row r="38" spans="10:25">
      <c r="J38" s="26"/>
      <c r="L38" s="25"/>
      <c r="Y38" s="31"/>
    </row>
    <row r="39" spans="1:10">
      <c r="A39" s="7" t="s">
        <v>59</v>
      </c>
      <c r="B39" s="7"/>
      <c r="C39" s="7"/>
      <c r="D39" s="7"/>
      <c r="E39" s="7" t="s">
        <v>60</v>
      </c>
      <c r="F39" s="21" t="s">
        <v>61</v>
      </c>
      <c r="G39" s="7"/>
      <c r="J39" s="26"/>
    </row>
    <row r="40" spans="1:10">
      <c r="A40" s="7" t="s">
        <v>62</v>
      </c>
      <c r="B40" s="7">
        <v>1.998</v>
      </c>
      <c r="C40" s="7" t="s">
        <v>63</v>
      </c>
      <c r="D40" s="7" t="s">
        <v>64</v>
      </c>
      <c r="E40" s="7">
        <f>B45/B47</f>
        <v>84.8998131563688</v>
      </c>
      <c r="F40" s="7"/>
      <c r="G40" s="7"/>
      <c r="J40" s="26"/>
    </row>
    <row r="41" spans="1:10">
      <c r="A41" s="7" t="s">
        <v>65</v>
      </c>
      <c r="B41" s="7">
        <v>1.66</v>
      </c>
      <c r="C41" s="7" t="s">
        <v>63</v>
      </c>
      <c r="D41" s="7" t="s">
        <v>66</v>
      </c>
      <c r="E41" s="7">
        <f>B46/B48</f>
        <v>107.27969348659</v>
      </c>
      <c r="F41" s="7"/>
      <c r="G41" s="7"/>
      <c r="J41" s="26"/>
    </row>
    <row r="42" spans="1:10">
      <c r="A42" s="7" t="s">
        <v>67</v>
      </c>
      <c r="B42" s="7">
        <v>0.87</v>
      </c>
      <c r="C42" s="7" t="s">
        <v>63</v>
      </c>
      <c r="D42" s="7"/>
      <c r="E42" s="7"/>
      <c r="F42" s="22" t="s">
        <v>68</v>
      </c>
      <c r="G42" s="7"/>
      <c r="J42" s="26"/>
    </row>
    <row r="43" spans="1:10">
      <c r="A43" s="7" t="s">
        <v>69</v>
      </c>
      <c r="B43" s="7">
        <f>(626-65)/626</f>
        <v>0.896166134185304</v>
      </c>
      <c r="C43" s="7"/>
      <c r="D43" s="7"/>
      <c r="E43" s="7"/>
      <c r="F43" s="23" t="s">
        <v>70</v>
      </c>
      <c r="G43" s="7"/>
      <c r="J43" s="26"/>
    </row>
    <row r="44" spans="1:10">
      <c r="A44" s="7" t="s">
        <v>71</v>
      </c>
      <c r="B44" s="7">
        <v>0.9</v>
      </c>
      <c r="C44" s="7"/>
      <c r="D44" s="7"/>
      <c r="E44" s="7"/>
      <c r="F44" s="7"/>
      <c r="G44" s="22"/>
      <c r="J44" s="26"/>
    </row>
    <row r="45" spans="1:10">
      <c r="A45" s="7" t="s">
        <v>72</v>
      </c>
      <c r="B45" s="7">
        <v>126.3</v>
      </c>
      <c r="C45" s="7" t="s">
        <v>73</v>
      </c>
      <c r="D45" s="7"/>
      <c r="E45" s="7"/>
      <c r="F45" s="7"/>
      <c r="G45" s="22"/>
      <c r="J45" s="26"/>
    </row>
    <row r="46" spans="1:10">
      <c r="A46" s="7" t="s">
        <v>74</v>
      </c>
      <c r="B46" s="7">
        <v>84</v>
      </c>
      <c r="C46" s="7" t="s">
        <v>73</v>
      </c>
      <c r="D46" s="7"/>
      <c r="E46" s="7"/>
      <c r="F46" s="7"/>
      <c r="G46" s="7"/>
      <c r="J46" s="26"/>
    </row>
    <row r="47" spans="1:10">
      <c r="A47" s="7" t="s">
        <v>75</v>
      </c>
      <c r="B47" s="7">
        <f>B41*B43</f>
        <v>1.4876357827476</v>
      </c>
      <c r="C47" s="7" t="s">
        <v>63</v>
      </c>
      <c r="D47" s="7"/>
      <c r="E47" s="7"/>
      <c r="F47" s="7"/>
      <c r="G47" s="7"/>
      <c r="J47" s="26"/>
    </row>
    <row r="48" spans="1:10">
      <c r="A48" s="7" t="s">
        <v>76</v>
      </c>
      <c r="B48" s="7">
        <f>B42*B44</f>
        <v>0.783</v>
      </c>
      <c r="C48" s="7" t="s">
        <v>63</v>
      </c>
      <c r="D48" s="7"/>
      <c r="E48" s="7"/>
      <c r="F48" s="7"/>
      <c r="G48" s="7"/>
      <c r="J48" s="26"/>
    </row>
    <row r="49" spans="10:10">
      <c r="J49" s="26"/>
    </row>
    <row r="50" spans="1:12">
      <c r="A50" s="9" t="s">
        <v>77</v>
      </c>
      <c r="B50" s="9" t="s">
        <v>78</v>
      </c>
      <c r="C50" s="9" t="s">
        <v>79</v>
      </c>
      <c r="D50" t="s">
        <v>34</v>
      </c>
      <c r="E50" s="9" t="s">
        <v>80</v>
      </c>
      <c r="F50" s="24" t="s">
        <v>81</v>
      </c>
      <c r="J50" s="26"/>
      <c r="L50" t="s">
        <v>82</v>
      </c>
    </row>
    <row r="51" spans="1:10">
      <c r="A51" s="9" t="s">
        <v>66</v>
      </c>
      <c r="B51" s="9">
        <v>45</v>
      </c>
      <c r="C51" s="9"/>
      <c r="D51" s="9">
        <f>(B54-B53)*D54*10^3</f>
        <v>103695000</v>
      </c>
      <c r="E51" s="9" t="s">
        <v>83</v>
      </c>
      <c r="F51" s="9" t="s">
        <v>84</v>
      </c>
      <c r="J51" s="26"/>
    </row>
    <row r="52" spans="1:10">
      <c r="A52" s="9" t="s">
        <v>64</v>
      </c>
      <c r="B52" s="9">
        <f>D51/1.7/10^6</f>
        <v>60.9970588235294</v>
      </c>
      <c r="C52" s="9">
        <f>B52/F52</f>
        <v>59.6840105905376</v>
      </c>
      <c r="D52" s="9"/>
      <c r="E52" s="9"/>
      <c r="F52" s="9">
        <v>1.022</v>
      </c>
      <c r="J52" s="26"/>
    </row>
    <row r="53" spans="1:4">
      <c r="A53" t="s">
        <v>85</v>
      </c>
      <c r="B53">
        <v>578</v>
      </c>
      <c r="D53" t="s">
        <v>86</v>
      </c>
    </row>
    <row r="54" spans="1:9">
      <c r="A54" s="9" t="s">
        <v>87</v>
      </c>
      <c r="B54" s="9">
        <v>1247</v>
      </c>
      <c r="D54" s="9">
        <v>155</v>
      </c>
      <c r="E54" s="9"/>
      <c r="F54" s="9"/>
      <c r="G54" s="9"/>
      <c r="H54" s="9"/>
      <c r="I54" s="9"/>
    </row>
    <row r="55" spans="1:9">
      <c r="A55" s="9"/>
      <c r="B55" s="9"/>
      <c r="C55" s="9"/>
      <c r="D55" s="9"/>
      <c r="E55" s="9"/>
      <c r="F55" s="9"/>
      <c r="G55" s="9"/>
      <c r="H55" s="9"/>
      <c r="I55" s="9"/>
    </row>
    <row r="56" spans="1:9">
      <c r="A56" s="9" t="s">
        <v>88</v>
      </c>
      <c r="B56" s="9"/>
      <c r="C56" s="9"/>
      <c r="D56" s="9"/>
      <c r="E56" s="9"/>
      <c r="F56" s="9"/>
      <c r="G56" s="9"/>
      <c r="H56" s="9"/>
      <c r="I56" s="9"/>
    </row>
    <row r="57" spans="1:12">
      <c r="A57" s="9" t="s">
        <v>89</v>
      </c>
      <c r="B57" s="9">
        <f>75</f>
        <v>75</v>
      </c>
      <c r="C57" s="9" t="s">
        <v>90</v>
      </c>
      <c r="D57" s="9"/>
      <c r="E57" s="9"/>
      <c r="F57" s="24" t="s">
        <v>91</v>
      </c>
      <c r="G57" s="9"/>
      <c r="H57" s="9"/>
      <c r="I57" s="9"/>
      <c r="J57" s="27"/>
      <c r="K57" s="27" t="s">
        <v>82</v>
      </c>
      <c r="L57" s="25" t="s">
        <v>92</v>
      </c>
    </row>
    <row r="58" spans="1:12">
      <c r="A58" s="9"/>
      <c r="B58" s="9"/>
      <c r="C58" s="9"/>
      <c r="D58" s="9"/>
      <c r="E58" s="9"/>
      <c r="F58" s="9" t="s">
        <v>93</v>
      </c>
      <c r="G58" s="9"/>
      <c r="H58" s="9"/>
      <c r="I58" s="9">
        <v>1.04</v>
      </c>
      <c r="J58" s="28"/>
      <c r="K58" s="28"/>
      <c r="L58" s="25"/>
    </row>
    <row r="59" spans="10:12">
      <c r="J59" s="25"/>
      <c r="K59" s="25"/>
      <c r="L59" s="25"/>
    </row>
    <row r="60" spans="1:12">
      <c r="A60" s="9" t="s">
        <v>94</v>
      </c>
      <c r="B60" s="9" t="s">
        <v>95</v>
      </c>
      <c r="C60" s="9"/>
      <c r="D60" s="9" t="s">
        <v>96</v>
      </c>
      <c r="E60" s="9"/>
      <c r="F60" s="24" t="s">
        <v>97</v>
      </c>
      <c r="K60" t="s">
        <v>98</v>
      </c>
      <c r="L60" t="s">
        <v>99</v>
      </c>
    </row>
    <row r="61" spans="1:6">
      <c r="A61" s="9" t="s">
        <v>100</v>
      </c>
      <c r="B61" s="9">
        <v>0.5</v>
      </c>
      <c r="C61" s="9" t="s">
        <v>101</v>
      </c>
      <c r="D61" s="9">
        <f>B62/B61</f>
        <v>814.4</v>
      </c>
      <c r="E61" s="9"/>
      <c r="F61" s="9" t="s">
        <v>102</v>
      </c>
    </row>
    <row r="62" spans="1:6">
      <c r="A62" s="9" t="s">
        <v>103</v>
      </c>
      <c r="B62" s="9">
        <v>407.2</v>
      </c>
      <c r="C62" s="9" t="s">
        <v>104</v>
      </c>
      <c r="D62" s="9">
        <f>D61/6.73*F62</f>
        <v>95.5982169390787</v>
      </c>
      <c r="E62" s="9"/>
      <c r="F62" s="9">
        <v>0.79</v>
      </c>
    </row>
    <row r="63" spans="1:6">
      <c r="A63" s="9" t="s">
        <v>105</v>
      </c>
      <c r="B63" s="9" t="s">
        <v>106</v>
      </c>
      <c r="C63" s="9" t="s">
        <v>107</v>
      </c>
      <c r="D63" s="9"/>
      <c r="E63" s="9"/>
      <c r="F63" s="24" t="s">
        <v>91</v>
      </c>
    </row>
    <row r="65" spans="1:12">
      <c r="A65" t="s">
        <v>94</v>
      </c>
      <c r="B65" t="s">
        <v>108</v>
      </c>
      <c r="C65">
        <v>71</v>
      </c>
      <c r="F65" s="32" t="s">
        <v>91</v>
      </c>
      <c r="K65" t="s">
        <v>109</v>
      </c>
      <c r="L65" t="s">
        <v>110</v>
      </c>
    </row>
    <row r="67" spans="1:11">
      <c r="A67" s="9" t="s">
        <v>111</v>
      </c>
      <c r="B67" s="9"/>
      <c r="C67" s="9"/>
      <c r="D67" s="9" t="s">
        <v>34</v>
      </c>
      <c r="E67" s="9"/>
      <c r="F67" s="9" t="s">
        <v>112</v>
      </c>
      <c r="G67" s="9"/>
      <c r="H67" s="9"/>
      <c r="I67" s="9"/>
      <c r="J67" s="9"/>
      <c r="K67" s="9"/>
    </row>
    <row r="68" spans="1:11">
      <c r="A68" s="9" t="s">
        <v>113</v>
      </c>
      <c r="B68" s="9">
        <v>6</v>
      </c>
      <c r="C68" s="9" t="s">
        <v>63</v>
      </c>
      <c r="D68" s="9">
        <f>B69/B68*J70</f>
        <v>26.964</v>
      </c>
      <c r="E68" s="9"/>
      <c r="F68" s="9" t="s">
        <v>114</v>
      </c>
      <c r="G68" s="9"/>
      <c r="H68" s="9"/>
      <c r="I68" s="9" t="s">
        <v>93</v>
      </c>
      <c r="J68" s="9"/>
      <c r="K68" s="9"/>
    </row>
    <row r="69" spans="1:11">
      <c r="A69" s="9" t="s">
        <v>115</v>
      </c>
      <c r="B69" s="9">
        <f>170*F69+86*I69</f>
        <v>269.64</v>
      </c>
      <c r="C69" s="9" t="s">
        <v>116</v>
      </c>
      <c r="D69" s="9"/>
      <c r="E69" s="9"/>
      <c r="F69" s="9">
        <v>1.06</v>
      </c>
      <c r="G69" s="9"/>
      <c r="H69" s="9"/>
      <c r="I69" s="9">
        <v>1.04</v>
      </c>
      <c r="J69" s="9"/>
      <c r="K69" s="9"/>
    </row>
    <row r="70" spans="1:11">
      <c r="A70" s="9"/>
      <c r="B70" s="9"/>
      <c r="C70" s="9"/>
      <c r="D70" s="9"/>
      <c r="E70" s="9"/>
      <c r="F70" s="9" t="s">
        <v>117</v>
      </c>
      <c r="G70" s="9"/>
      <c r="H70" s="9"/>
      <c r="I70" s="9"/>
      <c r="J70" s="9">
        <v>0.6</v>
      </c>
      <c r="K70" s="9"/>
    </row>
    <row r="72" s="18" customFormat="1" spans="1:1">
      <c r="A72" s="18" t="s">
        <v>118</v>
      </c>
    </row>
    <row r="73" spans="2:7">
      <c r="B73" t="s">
        <v>119</v>
      </c>
      <c r="C73" t="s">
        <v>120</v>
      </c>
      <c r="E73" t="s">
        <v>121</v>
      </c>
      <c r="G73" t="s">
        <v>7</v>
      </c>
    </row>
    <row r="74" spans="1:5">
      <c r="A74" t="s">
        <v>122</v>
      </c>
      <c r="B74">
        <f>20.62</f>
        <v>20.62</v>
      </c>
      <c r="C74">
        <f>17.12</f>
        <v>17.12</v>
      </c>
      <c r="E74">
        <f t="shared" ref="E74:E77" si="0">SUM(B74:C74)</f>
        <v>37.74</v>
      </c>
    </row>
    <row r="75" spans="1:5">
      <c r="A75" t="s">
        <v>123</v>
      </c>
      <c r="B75">
        <v>16.43</v>
      </c>
      <c r="C75">
        <v>10.91</v>
      </c>
      <c r="E75">
        <f t="shared" si="0"/>
        <v>27.34</v>
      </c>
    </row>
    <row r="76" spans="1:7">
      <c r="A76" t="s">
        <v>124</v>
      </c>
      <c r="E76">
        <v>29</v>
      </c>
      <c r="G76" t="s">
        <v>13</v>
      </c>
    </row>
    <row r="77" spans="1:5">
      <c r="A77" t="s">
        <v>125</v>
      </c>
      <c r="B77">
        <v>54.26</v>
      </c>
      <c r="C77">
        <v>10.91</v>
      </c>
      <c r="E77">
        <f t="shared" si="0"/>
        <v>65.17</v>
      </c>
    </row>
    <row r="78" spans="1:7">
      <c r="A78" s="9" t="s">
        <v>126</v>
      </c>
      <c r="B78">
        <v>14</v>
      </c>
      <c r="C78">
        <v>58.63</v>
      </c>
      <c r="D78" t="s">
        <v>104</v>
      </c>
      <c r="E78">
        <f>C78+B78</f>
        <v>72.63</v>
      </c>
      <c r="F78" s="9" t="s">
        <v>127</v>
      </c>
      <c r="G78" s="33" t="s">
        <v>97</v>
      </c>
    </row>
    <row r="79" spans="1:5">
      <c r="A79" t="s">
        <v>60</v>
      </c>
      <c r="B79">
        <v>360</v>
      </c>
      <c r="E79">
        <f>E78/B79*C65</f>
        <v>14.32425</v>
      </c>
    </row>
    <row r="82" spans="1:7">
      <c r="A82" t="s">
        <v>128</v>
      </c>
      <c r="E82">
        <f>E83/B45*E40</f>
        <v>5.98264716620493</v>
      </c>
      <c r="G82" s="32" t="s">
        <v>61</v>
      </c>
    </row>
    <row r="83" spans="3:6">
      <c r="C83" t="s">
        <v>129</v>
      </c>
      <c r="E83">
        <v>8.9</v>
      </c>
      <c r="F83" t="s">
        <v>130</v>
      </c>
    </row>
    <row r="86" s="18" customFormat="1" spans="1:1">
      <c r="A86" s="18" t="s">
        <v>131</v>
      </c>
    </row>
    <row r="87" spans="1:3">
      <c r="A87" s="9" t="s">
        <v>132</v>
      </c>
      <c r="B87" s="9"/>
      <c r="C87" s="9"/>
    </row>
    <row r="88" spans="1:3">
      <c r="A88" s="34" t="s">
        <v>133</v>
      </c>
      <c r="B88" s="35">
        <v>0.0601</v>
      </c>
      <c r="C88" s="9"/>
    </row>
    <row r="89" spans="1:3">
      <c r="A89" s="9" t="s">
        <v>134</v>
      </c>
      <c r="B89" s="9">
        <v>838</v>
      </c>
      <c r="C89" s="9" t="s">
        <v>135</v>
      </c>
    </row>
    <row r="90" spans="1:3">
      <c r="A90" s="9" t="s">
        <v>136</v>
      </c>
      <c r="B90" s="9">
        <f>B3*B9*10^3</f>
        <v>4429000000</v>
      </c>
      <c r="C90" s="9" t="s">
        <v>137</v>
      </c>
    </row>
    <row r="91" spans="1:3">
      <c r="A91" s="9" t="s">
        <v>138</v>
      </c>
      <c r="B91" s="9">
        <f>B89*B90/10^6</f>
        <v>3711502</v>
      </c>
      <c r="C91" s="9" t="s">
        <v>139</v>
      </c>
    </row>
    <row r="92" spans="1:3">
      <c r="A92" s="9" t="s">
        <v>140</v>
      </c>
      <c r="B92" s="9">
        <f>B90*B88</f>
        <v>266182900</v>
      </c>
      <c r="C92" s="9" t="s">
        <v>137</v>
      </c>
    </row>
    <row r="93" spans="1:3">
      <c r="A93" s="9" t="s">
        <v>141</v>
      </c>
      <c r="B93" s="9">
        <f>B92/B91</f>
        <v>71.7183770883055</v>
      </c>
      <c r="C93" s="9" t="s">
        <v>142</v>
      </c>
    </row>
    <row r="94" spans="1:3">
      <c r="A94" s="9" t="s">
        <v>143</v>
      </c>
      <c r="B94" s="9">
        <v>3412.142</v>
      </c>
      <c r="C94" s="9" t="s">
        <v>144</v>
      </c>
    </row>
    <row r="95" spans="1:3">
      <c r="A95" s="9"/>
      <c r="B95" s="9">
        <f>B94*B93</f>
        <v>244713.286634845</v>
      </c>
      <c r="C95" s="9"/>
    </row>
    <row r="96" spans="1:3">
      <c r="A96" s="9"/>
      <c r="B96" s="9"/>
      <c r="C96" s="9"/>
    </row>
    <row r="97" spans="1:3">
      <c r="A97" s="9" t="s">
        <v>145</v>
      </c>
      <c r="B97" s="9"/>
      <c r="C97" s="9"/>
    </row>
    <row r="98" spans="1:3">
      <c r="A98" s="34" t="s">
        <v>133</v>
      </c>
      <c r="B98" s="35">
        <v>0.0287</v>
      </c>
      <c r="C98" s="9"/>
    </row>
    <row r="99" spans="1:3">
      <c r="A99" s="9" t="s">
        <v>134</v>
      </c>
      <c r="B99" s="9">
        <v>428</v>
      </c>
      <c r="C99" s="9"/>
    </row>
    <row r="100" spans="1:3">
      <c r="A100" s="9" t="s">
        <v>136</v>
      </c>
      <c r="B100" s="9">
        <f>B13*B19*10^3</f>
        <v>2646000000</v>
      </c>
      <c r="C100" s="9"/>
    </row>
    <row r="101" spans="1:3">
      <c r="A101" s="9" t="s">
        <v>138</v>
      </c>
      <c r="B101" s="9">
        <f>B100*B99/10^6</f>
        <v>1132488</v>
      </c>
      <c r="C101" s="9"/>
    </row>
    <row r="102" spans="1:3">
      <c r="A102" s="9" t="s">
        <v>140</v>
      </c>
      <c r="B102" s="9">
        <f>B100*B98</f>
        <v>75940200</v>
      </c>
      <c r="C102" s="9"/>
    </row>
    <row r="103" spans="1:3">
      <c r="A103" s="9" t="s">
        <v>141</v>
      </c>
      <c r="B103" s="9">
        <f>B102/B101</f>
        <v>67.0560747663551</v>
      </c>
      <c r="C103" s="9"/>
    </row>
    <row r="104" spans="1:3">
      <c r="A104" s="9"/>
      <c r="B104" s="9">
        <f>B103*B94</f>
        <v>228804.849065421</v>
      </c>
      <c r="C104" s="9"/>
    </row>
    <row r="105" spans="1:3">
      <c r="A105" s="9"/>
      <c r="B105" s="9"/>
      <c r="C105" s="9"/>
    </row>
    <row r="106" spans="1:3">
      <c r="A106" s="9" t="s">
        <v>146</v>
      </c>
      <c r="B106" s="9"/>
      <c r="C106" s="9"/>
    </row>
    <row r="107" spans="1:3">
      <c r="A107" s="34" t="s">
        <v>133</v>
      </c>
      <c r="B107" s="36">
        <v>0.114</v>
      </c>
      <c r="C107" s="9"/>
    </row>
    <row r="108" spans="1:3">
      <c r="A108" s="9" t="s">
        <v>134</v>
      </c>
      <c r="B108" s="9">
        <v>838</v>
      </c>
      <c r="C108" s="9"/>
    </row>
    <row r="109" spans="1:3">
      <c r="A109" s="9" t="s">
        <v>136</v>
      </c>
      <c r="B109" s="9">
        <f>B23*B29</f>
        <v>5731000</v>
      </c>
      <c r="C109" s="9"/>
    </row>
    <row r="110" spans="1:3">
      <c r="A110" s="9" t="s">
        <v>138</v>
      </c>
      <c r="B110" s="9">
        <f>B109*B108/10^6</f>
        <v>4802.578</v>
      </c>
      <c r="C110" s="9"/>
    </row>
    <row r="111" spans="1:3">
      <c r="A111" s="9" t="s">
        <v>140</v>
      </c>
      <c r="B111" s="9">
        <f>B109*B107</f>
        <v>653334</v>
      </c>
      <c r="C111" s="9"/>
    </row>
    <row r="112" spans="1:3">
      <c r="A112" s="9" t="s">
        <v>141</v>
      </c>
      <c r="B112" s="9">
        <f>B111/B110</f>
        <v>136.038186157518</v>
      </c>
      <c r="C112" s="9"/>
    </row>
    <row r="113" spans="1:3">
      <c r="A113" s="9"/>
      <c r="B113" s="9">
        <f>B112*B94</f>
        <v>464181.608591885</v>
      </c>
      <c r="C113" s="9"/>
    </row>
    <row r="114" spans="1:3">
      <c r="A114" s="9"/>
      <c r="B114" s="9"/>
      <c r="C114" s="9"/>
    </row>
    <row r="115" spans="1:3">
      <c r="A115" s="9" t="s">
        <v>147</v>
      </c>
      <c r="B115" s="9"/>
      <c r="C115" s="9"/>
    </row>
    <row r="116" spans="1:3">
      <c r="A116" s="34" t="s">
        <v>133</v>
      </c>
      <c r="B116" s="35">
        <v>0.114</v>
      </c>
      <c r="C116" s="9"/>
    </row>
    <row r="117" spans="1:3">
      <c r="A117" s="9" t="s">
        <v>134</v>
      </c>
      <c r="B117" s="9">
        <f>B32</f>
        <v>0.9</v>
      </c>
      <c r="C117" s="9" t="s">
        <v>148</v>
      </c>
    </row>
    <row r="118" spans="1:3">
      <c r="A118" s="9" t="s">
        <v>136</v>
      </c>
      <c r="B118" s="9">
        <f>B34*B33</f>
        <v>80000</v>
      </c>
      <c r="C118" s="9" t="s">
        <v>149</v>
      </c>
    </row>
    <row r="119" spans="1:3">
      <c r="A119" s="9" t="s">
        <v>138</v>
      </c>
      <c r="B119" s="9">
        <f>B117*B118</f>
        <v>72000</v>
      </c>
      <c r="C119" s="9" t="s">
        <v>139</v>
      </c>
    </row>
    <row r="120" spans="1:3">
      <c r="A120" s="9" t="s">
        <v>140</v>
      </c>
      <c r="B120" s="9">
        <f>B118*B116</f>
        <v>9120</v>
      </c>
      <c r="C120" s="9" t="s">
        <v>149</v>
      </c>
    </row>
    <row r="121" spans="1:3">
      <c r="A121" s="9" t="s">
        <v>141</v>
      </c>
      <c r="B121" s="9">
        <f>B120*1000/B119</f>
        <v>126.666666666667</v>
      </c>
      <c r="C121" s="9"/>
    </row>
    <row r="122" spans="1:3">
      <c r="A122" s="9"/>
      <c r="B122" s="9">
        <f>B121*B94</f>
        <v>432204.653333333</v>
      </c>
      <c r="C122" s="9"/>
    </row>
    <row r="123" spans="1:3">
      <c r="A123" s="9"/>
      <c r="B123" s="9"/>
      <c r="C123" s="9"/>
    </row>
    <row r="124" spans="1:3">
      <c r="A124" s="9" t="s">
        <v>59</v>
      </c>
      <c r="B124" s="9"/>
      <c r="C124" s="9"/>
    </row>
    <row r="125" spans="1:3">
      <c r="A125" s="9" t="s">
        <v>140</v>
      </c>
      <c r="B125" s="9">
        <v>450000</v>
      </c>
      <c r="C125" s="9" t="s">
        <v>149</v>
      </c>
    </row>
    <row r="126" spans="1:3">
      <c r="A126" s="9" t="s">
        <v>150</v>
      </c>
      <c r="B126" s="9">
        <f>B41</f>
        <v>1.66</v>
      </c>
      <c r="C126" s="9" t="s">
        <v>63</v>
      </c>
    </row>
    <row r="127" spans="1:3">
      <c r="A127" s="9" t="s">
        <v>141</v>
      </c>
      <c r="B127" s="9">
        <f>B125*10^3/B126/10^6</f>
        <v>271.084337349398</v>
      </c>
      <c r="C127" s="9"/>
    </row>
    <row r="128" spans="1:3">
      <c r="A128" s="9"/>
      <c r="B128" s="9">
        <f>B127*B94</f>
        <v>924978.253012048</v>
      </c>
      <c r="C128" s="9"/>
    </row>
    <row r="129" spans="1:3">
      <c r="A129" s="9"/>
      <c r="B129" s="9"/>
      <c r="C129" s="9"/>
    </row>
    <row r="130" spans="1:3">
      <c r="A130" s="9" t="s">
        <v>151</v>
      </c>
      <c r="B130" s="9"/>
      <c r="C130" s="9"/>
    </row>
    <row r="131" spans="1:3">
      <c r="A131" s="9" t="s">
        <v>140</v>
      </c>
      <c r="B131" s="37">
        <v>142</v>
      </c>
      <c r="C131" s="9" t="s">
        <v>142</v>
      </c>
    </row>
    <row r="132" spans="1:3">
      <c r="A132" s="9"/>
      <c r="B132" s="9">
        <f>B131*B94</f>
        <v>484524.164</v>
      </c>
      <c r="C132" s="9"/>
    </row>
  </sheetData>
  <hyperlinks>
    <hyperlink ref="F39" r:id="rId1" display="https://doi.org/10.1016/j.enconman.2012.04.012"/>
    <hyperlink ref="F42" r:id="rId2" display="https://ieaghg.org/publications/deployment-of-ccs-in-the-cement-industry/"/>
    <hyperlink ref="F43" r:id="rId3" display="https://doi.org/10.1021/acs.est.2c05724"/>
    <hyperlink ref="F50" r:id="rId4" display="http://dx.doi.org/10.1016/j.ijggc.2015.05.018"/>
    <hyperlink ref="F57" r:id="rId5" display="https://doi.org/10.1016/j.ijggc.2017.03.020"/>
    <hyperlink ref="F60" r:id="rId6" display="https://doi.org/10.1016/j.jclepro.2019.118953"/>
    <hyperlink ref="F63" r:id="rId5" display="https://doi.org/10.1016/j.ijggc.2017.03.020"/>
    <hyperlink ref="F65" r:id="rId5" display="https://doi.org/10.1016/j.ijggc.2017.03.020"/>
    <hyperlink ref="F3" r:id="rId7" display="https://doi.org/10.1016/j.jclepro.2022.131384" tooltip="https://doi.org/10.1016/j.jclepro.2022.131384"/>
    <hyperlink ref="G78" r:id="rId6" display="https://doi.org/10.1016/j.jclepro.2019.118953"/>
    <hyperlink ref="G82" r:id="rId1" display="https://doi.org/10.1016/j.enconman.2012.04.012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workbookViewId="0">
      <selection activeCell="E34" sqref="E34"/>
    </sheetView>
  </sheetViews>
  <sheetFormatPr defaultColWidth="9" defaultRowHeight="13.5" outlineLevelCol="4"/>
  <cols>
    <col min="1" max="1" width="35.375" customWidth="1"/>
    <col min="2" max="2" width="20.375" customWidth="1"/>
    <col min="3" max="3" width="22" customWidth="1"/>
    <col min="4" max="5" width="12.625"/>
  </cols>
  <sheetData>
    <row r="1" spans="1:3">
      <c r="A1" s="5" t="s">
        <v>152</v>
      </c>
      <c r="B1" s="6"/>
      <c r="C1" s="6"/>
    </row>
    <row r="2" spans="2:4">
      <c r="B2" s="7" t="s">
        <v>153</v>
      </c>
      <c r="D2" s="8" t="s">
        <v>154</v>
      </c>
    </row>
    <row r="3" spans="1:5">
      <c r="A3" s="8" t="s">
        <v>31</v>
      </c>
      <c r="B3">
        <f>Data!D6</f>
        <v>228.483478895846</v>
      </c>
      <c r="D3" s="9">
        <v>0.94</v>
      </c>
      <c r="E3" cm="1">
        <f t="array" ref="E3">SUMPRODUCT(B3:B6,D3:D6)</f>
        <v>260.647338316234</v>
      </c>
    </row>
    <row r="4" spans="1:4">
      <c r="A4" s="8" t="s">
        <v>123</v>
      </c>
      <c r="B4">
        <f>Data!D16</f>
        <v>819.504819400332</v>
      </c>
      <c r="C4" s="10"/>
      <c r="D4">
        <v>0.05</v>
      </c>
    </row>
    <row r="5" spans="1:4">
      <c r="A5" s="7" t="s">
        <v>51</v>
      </c>
      <c r="B5">
        <f>Data!D26</f>
        <v>410.120064681927</v>
      </c>
      <c r="C5" s="7"/>
      <c r="D5" s="9">
        <v>0.008</v>
      </c>
    </row>
    <row r="6" spans="1:4">
      <c r="A6" s="8" t="s">
        <v>52</v>
      </c>
      <c r="B6">
        <f>Data!D35</f>
        <v>808.333333333333</v>
      </c>
      <c r="D6" s="9">
        <v>0.002</v>
      </c>
    </row>
    <row r="7" spans="2:4">
      <c r="B7" t="s">
        <v>155</v>
      </c>
      <c r="C7" t="s">
        <v>156</v>
      </c>
      <c r="D7" t="s">
        <v>45</v>
      </c>
    </row>
    <row r="8" spans="1:2">
      <c r="A8" s="9" t="s">
        <v>157</v>
      </c>
      <c r="B8">
        <f>Data!B57*Data!I58</f>
        <v>78</v>
      </c>
    </row>
    <row r="9" spans="1:3">
      <c r="A9" s="9" t="s">
        <v>77</v>
      </c>
      <c r="B9">
        <f>C9/2</f>
        <v>29.8420052952688</v>
      </c>
      <c r="C9">
        <f>Data!C52</f>
        <v>59.6840105905376</v>
      </c>
    </row>
    <row r="10" spans="1:3">
      <c r="A10" s="9" t="s">
        <v>158</v>
      </c>
      <c r="B10">
        <f>Data!E41</f>
        <v>107.27969348659</v>
      </c>
      <c r="C10">
        <f>Data!E40</f>
        <v>84.8998131563688</v>
      </c>
    </row>
    <row r="11" spans="1:3">
      <c r="A11" s="9" t="s">
        <v>94</v>
      </c>
      <c r="B11">
        <f>Data!C65</f>
        <v>71</v>
      </c>
      <c r="C11" s="11">
        <f>Data!D62</f>
        <v>95.5982169390787</v>
      </c>
    </row>
    <row r="12" spans="1:3">
      <c r="A12" s="12" t="s">
        <v>159</v>
      </c>
      <c r="B12" s="13"/>
      <c r="C12" s="11">
        <f>Data!D68</f>
        <v>26.964</v>
      </c>
    </row>
    <row r="13" spans="3:3">
      <c r="C13" s="11"/>
    </row>
    <row r="15" spans="1:3">
      <c r="A15" s="5" t="s">
        <v>160</v>
      </c>
      <c r="B15" s="6"/>
      <c r="C15" s="6"/>
    </row>
    <row r="16" spans="1:4">
      <c r="A16" s="8"/>
      <c r="B16" s="8"/>
      <c r="C16" s="8"/>
      <c r="D16" s="8" t="s">
        <v>154</v>
      </c>
    </row>
    <row r="17" customFormat="1" spans="1:5">
      <c r="A17" s="8" t="s">
        <v>31</v>
      </c>
      <c r="B17">
        <f>Data!E74*10^6/Data!D9*Data!F6</f>
        <v>8.9481832422561</v>
      </c>
      <c r="D17" s="9">
        <v>0.94</v>
      </c>
      <c r="E17" cm="1">
        <f t="array" ref="E17">SUMPRODUCT(B17:B20,D17:D20)</f>
        <v>9.59099259701954</v>
      </c>
    </row>
    <row r="18" customFormat="1" spans="1:4">
      <c r="A18" s="8" t="s">
        <v>123</v>
      </c>
      <c r="B18">
        <f>Data!E75*10^6/Data!D19*Data!F6</f>
        <v>21.2445518186506</v>
      </c>
      <c r="D18">
        <v>0.05</v>
      </c>
    </row>
    <row r="19" customFormat="1" spans="1:4">
      <c r="A19" s="7" t="s">
        <v>51</v>
      </c>
      <c r="B19">
        <f>Data!E77*10^6/Data!D29*Data!F6</f>
        <v>11.9414197957847</v>
      </c>
      <c r="D19" s="9">
        <v>0.008</v>
      </c>
    </row>
    <row r="20" customFormat="1" spans="1:4">
      <c r="A20" s="8" t="s">
        <v>52</v>
      </c>
      <c r="B20">
        <f>Data!E76*Data!B36*Data!F33</f>
        <v>10.9707</v>
      </c>
      <c r="D20" s="9">
        <v>0.002</v>
      </c>
    </row>
    <row r="21" spans="1:5">
      <c r="A21" s="8" t="s">
        <v>161</v>
      </c>
      <c r="B21">
        <f>Data!E79</f>
        <v>14.32425</v>
      </c>
      <c r="D21" s="14">
        <f>1/3</f>
        <v>0.333333333333333</v>
      </c>
      <c r="E21" cm="1">
        <f t="array" ref="E21">SUMPRODUCT(B21:B22,D21:D22)</f>
        <v>8.76318144413662</v>
      </c>
    </row>
    <row r="22" spans="1:4">
      <c r="A22" s="8" t="s">
        <v>128</v>
      </c>
      <c r="B22">
        <f>Data!E82</f>
        <v>5.98264716620493</v>
      </c>
      <c r="D22">
        <f>2/3</f>
        <v>0.666666666666667</v>
      </c>
    </row>
    <row r="23" spans="1:1">
      <c r="A23" s="8"/>
    </row>
    <row r="24" spans="1:1">
      <c r="A24" s="8"/>
    </row>
    <row r="25" spans="1:3">
      <c r="A25" s="8"/>
      <c r="B25" s="15"/>
      <c r="C25" s="15"/>
    </row>
    <row r="28" spans="1:3">
      <c r="A28" s="16" t="s">
        <v>162</v>
      </c>
      <c r="B28" s="6"/>
      <c r="C28" s="6"/>
    </row>
    <row r="29" spans="2:4">
      <c r="B29" s="8" t="s">
        <v>163</v>
      </c>
      <c r="C29" s="8"/>
      <c r="D29" s="8" t="s">
        <v>154</v>
      </c>
    </row>
    <row r="30" spans="1:5">
      <c r="A30" s="8" t="s">
        <v>31</v>
      </c>
      <c r="B30">
        <f>Data!B95</f>
        <v>244713.286634845</v>
      </c>
      <c r="D30" s="9">
        <v>0.94</v>
      </c>
      <c r="E30" cm="1">
        <f t="array" ref="E30">SUMPRODUCT(B30:B33,D30:D33)</f>
        <v>246048.594065427</v>
      </c>
    </row>
    <row r="31" spans="1:4">
      <c r="A31" s="8" t="s">
        <v>123</v>
      </c>
      <c r="B31">
        <f>Data!B104</f>
        <v>228804.849065421</v>
      </c>
      <c r="D31">
        <v>0.05</v>
      </c>
    </row>
    <row r="32" spans="1:4">
      <c r="A32" s="7" t="s">
        <v>51</v>
      </c>
      <c r="B32">
        <f>Data!B113</f>
        <v>464181.608591885</v>
      </c>
      <c r="D32" s="9">
        <v>0.008</v>
      </c>
    </row>
    <row r="33" spans="1:4">
      <c r="A33" s="8" t="s">
        <v>52</v>
      </c>
      <c r="B33" s="17">
        <f>Data!B122</f>
        <v>432204.653333333</v>
      </c>
      <c r="C33" s="17"/>
      <c r="D33" s="9">
        <v>0.002</v>
      </c>
    </row>
    <row r="34" spans="1:5">
      <c r="A34" s="8" t="s">
        <v>161</v>
      </c>
      <c r="B34">
        <f>Data!B132</f>
        <v>484524.164</v>
      </c>
      <c r="D34" s="14">
        <f>1/3</f>
        <v>0.333333333333333</v>
      </c>
      <c r="E34" cm="1">
        <f t="array" ref="E34">SUMPRODUCT(B34:B35,D34:D35)</f>
        <v>778160.223341365</v>
      </c>
    </row>
    <row r="35" spans="1:4">
      <c r="A35" s="8" t="s">
        <v>128</v>
      </c>
      <c r="B35">
        <f>Data!B128</f>
        <v>924978.253012048</v>
      </c>
      <c r="D35">
        <f>2/3</f>
        <v>0.666666666666667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B3"/>
  <sheetViews>
    <sheetView workbookViewId="0">
      <selection activeCell="B3" sqref="B3"/>
    </sheetView>
  </sheetViews>
  <sheetFormatPr defaultColWidth="9" defaultRowHeight="13.5" outlineLevelRow="2" outlineLevelCol="1"/>
  <cols>
    <col min="1" max="1" width="19.5" customWidth="1"/>
    <col min="2" max="2" width="24.5" customWidth="1"/>
  </cols>
  <sheetData>
    <row r="1" spans="1:2">
      <c r="A1" s="1"/>
      <c r="B1" s="2" t="s">
        <v>153</v>
      </c>
    </row>
    <row r="2" spans="1:2">
      <c r="A2" s="1" t="s">
        <v>164</v>
      </c>
      <c r="B2" s="4">
        <f>Calculations!E3</f>
        <v>260.647338316234</v>
      </c>
    </row>
    <row r="3" spans="1:2">
      <c r="A3" s="1" t="s">
        <v>165</v>
      </c>
      <c r="B3" s="4">
        <v>81.4523091050308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B3"/>
  <sheetViews>
    <sheetView workbookViewId="0">
      <selection activeCell="B4" sqref="B4"/>
    </sheetView>
  </sheetViews>
  <sheetFormatPr defaultColWidth="9" defaultRowHeight="13.5" outlineLevelRow="2" outlineLevelCol="1"/>
  <cols>
    <col min="1" max="1" width="19.125" customWidth="1"/>
    <col min="2" max="2" width="25.875" customWidth="1"/>
  </cols>
  <sheetData>
    <row r="1" spans="1:2">
      <c r="A1" s="1"/>
      <c r="B1" s="2" t="s">
        <v>166</v>
      </c>
    </row>
    <row r="2" spans="1:2">
      <c r="A2" s="1" t="s">
        <v>164</v>
      </c>
      <c r="B2" s="3">
        <f>Calculations!E17</f>
        <v>9.59099259701954</v>
      </c>
    </row>
    <row r="3" spans="1:2">
      <c r="A3" s="1" t="s">
        <v>165</v>
      </c>
      <c r="B3" s="1">
        <f>Calculations!E21</f>
        <v>8.76318144413662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B3"/>
  <sheetViews>
    <sheetView workbookViewId="0">
      <selection activeCell="B4" sqref="B4"/>
    </sheetView>
  </sheetViews>
  <sheetFormatPr defaultColWidth="9" defaultRowHeight="13.5" outlineLevelRow="2" outlineLevelCol="1"/>
  <cols>
    <col min="1" max="1" width="19" customWidth="1"/>
    <col min="2" max="2" width="42.5" customWidth="1"/>
  </cols>
  <sheetData>
    <row r="1" spans="1:2">
      <c r="A1" s="1"/>
      <c r="B1" s="2" t="s">
        <v>131</v>
      </c>
    </row>
    <row r="2" spans="1:2">
      <c r="A2" s="1" t="s">
        <v>164</v>
      </c>
      <c r="B2" s="3">
        <f>Calculations!E30</f>
        <v>246048.594065427</v>
      </c>
    </row>
    <row r="3" spans="1:2">
      <c r="A3" s="1" t="s">
        <v>165</v>
      </c>
      <c r="B3" s="1">
        <f>Calculations!E34</f>
        <v>778160.223341365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EnergyInnovation.org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Data</vt:lpstr>
      <vt:lpstr>Calculations</vt:lpstr>
      <vt:lpstr>CC-CCoEtSOToCpY</vt:lpstr>
      <vt:lpstr>CC-TOMCpTS</vt:lpstr>
      <vt:lpstr>CC-EUpTCS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朱能高</cp:lastModifiedBy>
  <dcterms:created xsi:type="dcterms:W3CDTF">2014-08-18T23:28:00Z</dcterms:created>
  <dcterms:modified xsi:type="dcterms:W3CDTF">2024-09-24T15:04:48Z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51C5C731485A4722A519A7668CACBE60_12</vt:lpwstr>
  </property>
  <property fmtid="{D5CDD505-2E9C-101B-9397-08002B2CF9AE}" pid="3" name="KSOProductBuildVer">
    <vt:lpwstr>2052-12.1.0.18276</vt:lpwstr>
  </property>
</Properties>
</file>