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CCS\CCS(1)\"/>
    </mc:Choice>
  </mc:AlternateContent>
  <xr:revisionPtr revIDLastSave="0" documentId="13_ncr:1_{A8691EF9-AF34-4A06-8280-3738F3D122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cs" sheetId="1" r:id="rId1"/>
    <sheet name="土地利用" sheetId="2" r:id="rId2"/>
    <sheet name="land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E28" i="3"/>
  <c r="F28" i="3"/>
  <c r="G28" i="3"/>
  <c r="H28" i="3"/>
  <c r="I28" i="3"/>
  <c r="J28" i="3"/>
  <c r="K28" i="3"/>
  <c r="K7" i="2" s="1"/>
  <c r="L28" i="3"/>
  <c r="M28" i="3"/>
  <c r="N28" i="3"/>
  <c r="O28" i="3"/>
  <c r="P28" i="3"/>
  <c r="Q28" i="3"/>
  <c r="R28" i="3"/>
  <c r="S28" i="3"/>
  <c r="S7" i="2" s="1"/>
  <c r="T28" i="3"/>
  <c r="U28" i="3"/>
  <c r="V28" i="3"/>
  <c r="W28" i="3"/>
  <c r="X28" i="3"/>
  <c r="Y28" i="3"/>
  <c r="Z28" i="3"/>
  <c r="AA28" i="3"/>
  <c r="AA7" i="2" s="1"/>
  <c r="AB28" i="3"/>
  <c r="AC28" i="3"/>
  <c r="AD28" i="3"/>
  <c r="AE28" i="3"/>
  <c r="AF28" i="3"/>
  <c r="AG28" i="3"/>
  <c r="AH28" i="3"/>
  <c r="AI28" i="3"/>
  <c r="AI7" i="2" s="1"/>
  <c r="AJ28" i="3"/>
  <c r="AK28" i="3"/>
  <c r="AL28" i="3"/>
  <c r="AM28" i="3"/>
  <c r="AN28" i="3"/>
  <c r="C28" i="3"/>
  <c r="D14" i="3"/>
  <c r="E14" i="3"/>
  <c r="F14" i="3"/>
  <c r="G14" i="3"/>
  <c r="H14" i="3"/>
  <c r="I14" i="3"/>
  <c r="J14" i="3"/>
  <c r="J6" i="2" s="1"/>
  <c r="K14" i="3"/>
  <c r="K6" i="2" s="1"/>
  <c r="L14" i="3"/>
  <c r="M14" i="3"/>
  <c r="N14" i="3"/>
  <c r="O14" i="3"/>
  <c r="P14" i="3"/>
  <c r="Q14" i="3"/>
  <c r="R14" i="3"/>
  <c r="R6" i="2" s="1"/>
  <c r="S14" i="3"/>
  <c r="S6" i="2" s="1"/>
  <c r="T14" i="3"/>
  <c r="U14" i="3"/>
  <c r="V14" i="3"/>
  <c r="W14" i="3"/>
  <c r="X14" i="3"/>
  <c r="Y14" i="3"/>
  <c r="Z14" i="3"/>
  <c r="Z6" i="2" s="1"/>
  <c r="AA14" i="3"/>
  <c r="AA6" i="2" s="1"/>
  <c r="AB14" i="3"/>
  <c r="AC14" i="3"/>
  <c r="AD14" i="3"/>
  <c r="AE14" i="3"/>
  <c r="AF14" i="3"/>
  <c r="AG14" i="3"/>
  <c r="AH14" i="3"/>
  <c r="AH6" i="2" s="1"/>
  <c r="AI14" i="3"/>
  <c r="AI6" i="2" s="1"/>
  <c r="AJ14" i="3"/>
  <c r="AK14" i="3"/>
  <c r="AL14" i="3"/>
  <c r="AM14" i="3"/>
  <c r="AN14" i="3"/>
  <c r="C14" i="3"/>
  <c r="C6" i="2" s="1"/>
  <c r="C7" i="2"/>
  <c r="D7" i="2"/>
  <c r="E7" i="2"/>
  <c r="F7" i="2"/>
  <c r="G7" i="2"/>
  <c r="H7" i="2"/>
  <c r="I7" i="2"/>
  <c r="J7" i="2"/>
  <c r="L7" i="2"/>
  <c r="M7" i="2"/>
  <c r="N7" i="2"/>
  <c r="O7" i="2"/>
  <c r="P7" i="2"/>
  <c r="Q7" i="2"/>
  <c r="R7" i="2"/>
  <c r="T7" i="2"/>
  <c r="U7" i="2"/>
  <c r="V7" i="2"/>
  <c r="W7" i="2"/>
  <c r="X7" i="2"/>
  <c r="Y7" i="2"/>
  <c r="Z7" i="2"/>
  <c r="AB7" i="2"/>
  <c r="AC7" i="2"/>
  <c r="AD7" i="2"/>
  <c r="AE7" i="2"/>
  <c r="AF7" i="2"/>
  <c r="AG7" i="2"/>
  <c r="AH7" i="2"/>
  <c r="AJ7" i="2"/>
  <c r="AK7" i="2"/>
  <c r="AL7" i="2"/>
  <c r="AM7" i="2"/>
  <c r="AN7" i="2"/>
  <c r="B7" i="2"/>
  <c r="D6" i="2"/>
  <c r="E6" i="2"/>
  <c r="F6" i="2"/>
  <c r="G6" i="2"/>
  <c r="H6" i="2"/>
  <c r="I6" i="2"/>
  <c r="L6" i="2"/>
  <c r="M6" i="2"/>
  <c r="N6" i="2"/>
  <c r="O6" i="2"/>
  <c r="P6" i="2"/>
  <c r="Q6" i="2"/>
  <c r="T6" i="2"/>
  <c r="U6" i="2"/>
  <c r="V6" i="2"/>
  <c r="W6" i="2"/>
  <c r="X6" i="2"/>
  <c r="Y6" i="2"/>
  <c r="AB6" i="2"/>
  <c r="AC6" i="2"/>
  <c r="AD6" i="2"/>
  <c r="AE6" i="2"/>
  <c r="AF6" i="2"/>
  <c r="AG6" i="2"/>
  <c r="AJ6" i="2"/>
  <c r="AK6" i="2"/>
  <c r="AL6" i="2"/>
  <c r="AM6" i="2"/>
  <c r="AN6" i="2"/>
  <c r="B6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C3" i="2"/>
  <c r="C2" i="2"/>
</calcChain>
</file>

<file path=xl/sharedStrings.xml><?xml version="1.0" encoding="utf-8"?>
<sst xmlns="http://schemas.openxmlformats.org/spreadsheetml/2006/main" count="73" uniqueCount="54">
  <si>
    <t>hard coal</t>
  </si>
  <si>
    <t>natural gas nonpeaker</t>
  </si>
  <si>
    <t>biomass</t>
  </si>
  <si>
    <t>natural gas peaker</t>
  </si>
  <si>
    <t>lignite</t>
  </si>
  <si>
    <t>municipal solid waste</t>
  </si>
  <si>
    <t>Fraction of potential achieved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</si>
  <si>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</si>
  <si>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</si>
  <si>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</si>
  <si>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</si>
  <si>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</si>
  <si>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</si>
  <si>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</si>
  <si>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</si>
  <si>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</si>
  <si>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</si>
  <si>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</si>
  <si>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</si>
  <si>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</si>
  <si>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</si>
  <si>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</si>
  <si>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</si>
  <si>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</si>
  <si>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</si>
  <si>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</si>
  <si>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</si>
  <si>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</si>
  <si>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</si>
  <si>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</si>
  <si>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</si>
  <si>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</si>
  <si>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Time (Year)</t>
  </si>
  <si>
    <t>LULUCF Anthropogenic Pollutant Emissions[CO2] : MostRecentRun</t>
  </si>
  <si>
    <t>LULUCF Anthropogenic Pollutant Emissions[VOC] : MostRecentRun</t>
  </si>
  <si>
    <t>LULUCF Anthropogenic Pollutant Emissions[CO] : MostRecentRun</t>
  </si>
  <si>
    <t>LULUCF Anthropogenic Pollutant Emissions[NOx] : MostRecentRun</t>
  </si>
  <si>
    <t>LULUCF Anthropogenic Pollutant Emissions[PM10] : MostRecentRun</t>
  </si>
  <si>
    <t>LULUCF Anthropogenic Pollutant Emissions[PM25] : MostRecentRun</t>
  </si>
  <si>
    <t>LULUCF Anthropogenic Pollutant Emissions[SOx] : MostRecentRun</t>
  </si>
  <si>
    <t>LULUCF Anthropogenic Pollutant Emissions[BC] : MostRecentRun</t>
  </si>
  <si>
    <t>LULUCF Anthropogenic Pollutant Emissions[OC] : MostRecentRun</t>
  </si>
  <si>
    <t>LULUCF Anthropogenic Pollutant Emissions[CH4] : MostRecentRun</t>
  </si>
  <si>
    <t>LULUCF Anthropogenic Pollutant Emissions[N2O] : MostRecentRun</t>
  </si>
  <si>
    <t>LULUCF Anthropogenic Pollutant Emissions[F gases] : MostRecentRun</t>
  </si>
  <si>
    <t>BAU</t>
    <phoneticPr fontId="2" type="noConversion"/>
  </si>
  <si>
    <t>CNS</t>
    <phoneticPr fontId="2" type="noConversion"/>
  </si>
  <si>
    <t xml:space="preserve"> BAU CO2 impact</t>
    <phoneticPr fontId="2" type="noConversion"/>
  </si>
  <si>
    <t>CNS CO2 impact</t>
    <phoneticPr fontId="2" type="noConversion"/>
  </si>
  <si>
    <t>BAU CH4 and N2O impact</t>
    <phoneticPr fontId="2" type="noConversion"/>
  </si>
  <si>
    <t>CNS CH4 and N2O impact</t>
    <phoneticPr fontId="2" type="noConversion"/>
  </si>
  <si>
    <t>electricity CCS Potential achieved 2060</t>
    <phoneticPr fontId="2" type="noConversion"/>
  </si>
  <si>
    <t>Industrial energy CCS potential achieved 2060</t>
    <phoneticPr fontId="2" type="noConversion"/>
  </si>
  <si>
    <t>Industrial process CCS potential achieved 2060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</si>
</sst>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6470370883033596"/>
          <c:y val="5.6584362139917695E-2"/>
          <c:w val="0.47465901434181734"/>
          <c:h val="0.678762839830206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ccs!$E$1</c:f>
              <c:strCache>
                <c:ptCount val="1"/>
                <c:pt idx="0">
                  <c:v>Industrial energy CCS potential achieved 2060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ccs!$D$2:$D$26</c15:sqref>
                  </c15:fullRef>
                </c:ext>
              </c:extLst>
              <c:f>(ccs!$D$10:$D$11,ccs!$D$14:$D$15,ccs!$D$24)</c:f>
              <c:strCache>
                <c:ptCount val="5"/>
                <c:pt idx="0">
                  <c:v>refined petroleum and coke 19</c:v>
                </c:pt>
                <c:pt idx="1">
                  <c:v>chemicals 20</c:v>
                </c:pt>
                <c:pt idx="2">
                  <c:v>cement and other nonmetallic minerals 239</c:v>
                </c:pt>
                <c:pt idx="3">
                  <c:v>iron and steel 241</c:v>
                </c:pt>
                <c:pt idx="4">
                  <c:v>energy pipelines and gas processing 352T353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ccs!$E$2:$E$26</c15:sqref>
                  </c15:fullRef>
                </c:ext>
              </c:extLst>
              <c:f>(ccs!$E$10:$E$11,ccs!$E$14:$E$15,ccs!$E$24)</c:f>
              <c:numCache>
                <c:formatCode>General</c:formatCode>
                <c:ptCount val="5"/>
                <c:pt idx="0">
                  <c:v>0.10337112624780299</c:v>
                </c:pt>
                <c:pt idx="1">
                  <c:v>0.10337112624780299</c:v>
                </c:pt>
                <c:pt idx="2">
                  <c:v>0.175051150981896</c:v>
                </c:pt>
                <c:pt idx="3">
                  <c:v>0.65296803652968005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C-4BDF-B000-DCD83AC8948A}"/>
            </c:ext>
          </c:extLst>
        </c:ser>
        <c:ser>
          <c:idx val="1"/>
          <c:order val="1"/>
          <c:tx>
            <c:strRef>
              <c:f>ccs!$F$1</c:f>
              <c:strCache>
                <c:ptCount val="1"/>
                <c:pt idx="0">
                  <c:v>Industrial process CCS potential achieved 2060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ccs!$D$2:$D$26</c15:sqref>
                  </c15:fullRef>
                </c:ext>
              </c:extLst>
              <c:f>(ccs!$D$10:$D$11,ccs!$D$14:$D$15,ccs!$D$24)</c:f>
              <c:strCache>
                <c:ptCount val="5"/>
                <c:pt idx="0">
                  <c:v>refined petroleum and coke 19</c:v>
                </c:pt>
                <c:pt idx="1">
                  <c:v>chemicals 20</c:v>
                </c:pt>
                <c:pt idx="2">
                  <c:v>cement and other nonmetallic minerals 239</c:v>
                </c:pt>
                <c:pt idx="3">
                  <c:v>iron and steel 241</c:v>
                </c:pt>
                <c:pt idx="4">
                  <c:v>energy pipelines and gas processing 352T353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ccs!$F$2:$F$26</c15:sqref>
                  </c15:fullRef>
                </c:ext>
              </c:extLst>
              <c:f>(ccs!$F$10:$F$11,ccs!$F$14:$F$15,ccs!$F$24)</c:f>
              <c:numCache>
                <c:formatCode>General</c:formatCode>
                <c:ptCount val="5"/>
                <c:pt idx="0">
                  <c:v>0</c:v>
                </c:pt>
                <c:pt idx="1">
                  <c:v>0.45255937052294198</c:v>
                </c:pt>
                <c:pt idx="2">
                  <c:v>0.55287330377074195</c:v>
                </c:pt>
                <c:pt idx="3">
                  <c:v>4.3187773709526901E-2</c:v>
                </c:pt>
                <c:pt idx="4">
                  <c:v>0.191474387570779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C-4BDF-B000-DCD83AC8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6576143"/>
        <c:axId val="356554543"/>
      </c:barChart>
      <c:catAx>
        <c:axId val="35657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6554543"/>
        <c:crosses val="autoZero"/>
        <c:auto val="1"/>
        <c:lblAlgn val="ctr"/>
        <c:lblOffset val="100"/>
        <c:noMultiLvlLbl val="0"/>
      </c:catAx>
      <c:valAx>
        <c:axId val="35655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657614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ccs!$B$1</c:f>
              <c:strCache>
                <c:ptCount val="1"/>
                <c:pt idx="0">
                  <c:v>electricity CCS Potential achieved 2060</c:v>
                </c:pt>
              </c:strCache>
            </c:strRef>
          </c:tx>
          <c:spPr>
            <a:solidFill>
              <a:srgbClr val="30C0B4">
                <a:lumMod val="75000"/>
              </a:srgbClr>
            </a:solidFill>
            <a:ln>
              <a:solidFill>
                <a:srgbClr val="30C0B4">
                  <a:lumMod val="50000"/>
                </a:srgb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ccs!$A$2:$A$7</c15:sqref>
                  </c15:fullRef>
                </c:ext>
              </c:extLst>
              <c:f>ccs!$A$2:$A$7</c:f>
              <c:strCache>
                <c:ptCount val="6"/>
                <c:pt idx="0">
                  <c:v>hard coal</c:v>
                </c:pt>
                <c:pt idx="1">
                  <c:v>natural gas nonpeaker</c:v>
                </c:pt>
                <c:pt idx="2">
                  <c:v>biomass</c:v>
                </c:pt>
                <c:pt idx="3">
                  <c:v>natural gas peaker</c:v>
                </c:pt>
                <c:pt idx="4">
                  <c:v>lignite</c:v>
                </c:pt>
                <c:pt idx="5">
                  <c:v>municipal solid waste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ccs!$B$2:$B$17</c15:sqref>
                  </c15:fullRef>
                </c:ext>
              </c:extLst>
              <c:f>ccs!$B$2:$B$7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0.60005543237250503</c:v>
                </c:pt>
                <c:pt idx="3">
                  <c:v>1</c:v>
                </c:pt>
                <c:pt idx="4">
                  <c:v>1</c:v>
                </c:pt>
                <c:pt idx="5">
                  <c:v>0.60005543237250503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C-4BDF-B000-DCD83AC8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6576143"/>
        <c:axId val="356554543"/>
      </c:barChart>
      <c:catAx>
        <c:axId val="35657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6554543"/>
        <c:crosses val="autoZero"/>
        <c:auto val="1"/>
        <c:lblAlgn val="ctr"/>
        <c:lblOffset val="100"/>
        <c:noMultiLvlLbl val="0"/>
      </c:catAx>
      <c:valAx>
        <c:axId val="35655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6576143"/>
        <c:crosses val="autoZero"/>
        <c:crossBetween val="between"/>
      </c:valAx>
      <c:spPr>
        <a:noFill/>
        <a:ln>
          <a:solidFill>
            <a:sysClr val="windowText" lastClr="000000">
              <a:alpha val="99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土地利用!$B$2</c:f>
              <c:strCache>
                <c:ptCount val="1"/>
                <c:pt idx="0">
                  <c:v> BAU CO2 impact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7"/>
              <c:layout>
                <c:manualLayout>
                  <c:x val="-1.3888888888888788E-2"/>
                  <c:y val="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98-4C4C-BFB1-1286BA2AA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土地利用!$C$1:$AN$1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土地利用!$C$2:$AN$2</c:f>
              <c:numCache>
                <c:formatCode>0.00E+00</c:formatCode>
                <c:ptCount val="38"/>
                <c:pt idx="0">
                  <c:v>-1222730000000000</c:v>
                </c:pt>
                <c:pt idx="1">
                  <c:v>-1222730000000000</c:v>
                </c:pt>
                <c:pt idx="2">
                  <c:v>-1222730000000000</c:v>
                </c:pt>
                <c:pt idx="3">
                  <c:v>-1222730000000000</c:v>
                </c:pt>
                <c:pt idx="4">
                  <c:v>-1222730000000000</c:v>
                </c:pt>
                <c:pt idx="5">
                  <c:v>-1222730000000000</c:v>
                </c:pt>
                <c:pt idx="6">
                  <c:v>-1222730000000000</c:v>
                </c:pt>
                <c:pt idx="7">
                  <c:v>-1222730000000000</c:v>
                </c:pt>
                <c:pt idx="8">
                  <c:v>-1222730000000000</c:v>
                </c:pt>
                <c:pt idx="9">
                  <c:v>-1222730000000000</c:v>
                </c:pt>
                <c:pt idx="10">
                  <c:v>-1222730000000000</c:v>
                </c:pt>
                <c:pt idx="11">
                  <c:v>-1222730000000000</c:v>
                </c:pt>
                <c:pt idx="12">
                  <c:v>-1222730000000000</c:v>
                </c:pt>
                <c:pt idx="13">
                  <c:v>-1222730000000000</c:v>
                </c:pt>
                <c:pt idx="14">
                  <c:v>-1222730000000000</c:v>
                </c:pt>
                <c:pt idx="15">
                  <c:v>-1222730000000000</c:v>
                </c:pt>
                <c:pt idx="16">
                  <c:v>-1222730000000000</c:v>
                </c:pt>
                <c:pt idx="17">
                  <c:v>-1222730000000000</c:v>
                </c:pt>
                <c:pt idx="18">
                  <c:v>-1222730000000000</c:v>
                </c:pt>
                <c:pt idx="19">
                  <c:v>-1222730000000000</c:v>
                </c:pt>
                <c:pt idx="20">
                  <c:v>-1222730000000000</c:v>
                </c:pt>
                <c:pt idx="21">
                  <c:v>-1222730000000000</c:v>
                </c:pt>
                <c:pt idx="22">
                  <c:v>-1222730000000000</c:v>
                </c:pt>
                <c:pt idx="23">
                  <c:v>-1222730000000000</c:v>
                </c:pt>
                <c:pt idx="24">
                  <c:v>-1222730000000000</c:v>
                </c:pt>
                <c:pt idx="25">
                  <c:v>-1222730000000000</c:v>
                </c:pt>
                <c:pt idx="26">
                  <c:v>-1222730000000000</c:v>
                </c:pt>
                <c:pt idx="27">
                  <c:v>-1222730000000000</c:v>
                </c:pt>
                <c:pt idx="28">
                  <c:v>-1222730000000000</c:v>
                </c:pt>
                <c:pt idx="29">
                  <c:v>-1222730000000000</c:v>
                </c:pt>
                <c:pt idx="30">
                  <c:v>-1222730000000000</c:v>
                </c:pt>
                <c:pt idx="31">
                  <c:v>-1222730000000000</c:v>
                </c:pt>
                <c:pt idx="32">
                  <c:v>-1222730000000000</c:v>
                </c:pt>
                <c:pt idx="33">
                  <c:v>-1222730000000000</c:v>
                </c:pt>
                <c:pt idx="34">
                  <c:v>-1222730000000000</c:v>
                </c:pt>
                <c:pt idx="35">
                  <c:v>-1222730000000000</c:v>
                </c:pt>
                <c:pt idx="36">
                  <c:v>-1222730000000000</c:v>
                </c:pt>
                <c:pt idx="37">
                  <c:v>-1222730000000000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8-4C4C-BFB1-1286BA2AA2C9}"/>
            </c:ext>
          </c:extLst>
        </c:ser>
        <c:ser>
          <c:idx val="1"/>
          <c:order val="1"/>
          <c:tx>
            <c:strRef>
              <c:f>土地利用!$B$3</c:f>
              <c:strCache>
                <c:ptCount val="1"/>
                <c:pt idx="0">
                  <c:v>CNS CO2 impact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7"/>
              <c:layout>
                <c:manualLayout>
                  <c:x val="-8.0555555555555561E-2"/>
                  <c:y val="2.31481481481480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98-4C4C-BFB1-1286BA2AA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土地利用!$C$1:$AN$1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土地利用!$C$3:$AN$3</c:f>
              <c:numCache>
                <c:formatCode>0.00E+00</c:formatCode>
                <c:ptCount val="38"/>
                <c:pt idx="0">
                  <c:v>-1223090000000000</c:v>
                </c:pt>
                <c:pt idx="1">
                  <c:v>-1223920000000000</c:v>
                </c:pt>
                <c:pt idx="2">
                  <c:v>-1225090000000000</c:v>
                </c:pt>
                <c:pt idx="3">
                  <c:v>-1226570000000000</c:v>
                </c:pt>
                <c:pt idx="4">
                  <c:v>-1228380000000000</c:v>
                </c:pt>
                <c:pt idx="5">
                  <c:v>-1230520000000000</c:v>
                </c:pt>
                <c:pt idx="6">
                  <c:v>-1232990000000000</c:v>
                </c:pt>
                <c:pt idx="7">
                  <c:v>-1235780000000000</c:v>
                </c:pt>
                <c:pt idx="8">
                  <c:v>-1237580000000000</c:v>
                </c:pt>
                <c:pt idx="9">
                  <c:v>-1239550000000000</c:v>
                </c:pt>
                <c:pt idx="10">
                  <c:v>-1241710000000000</c:v>
                </c:pt>
                <c:pt idx="11">
                  <c:v>-1244050000000000</c:v>
                </c:pt>
                <c:pt idx="12">
                  <c:v>-1246560000000000</c:v>
                </c:pt>
                <c:pt idx="13">
                  <c:v>-1249260000000000</c:v>
                </c:pt>
                <c:pt idx="14">
                  <c:v>-1252130000000000</c:v>
                </c:pt>
                <c:pt idx="15">
                  <c:v>-1255190000000000</c:v>
                </c:pt>
                <c:pt idx="16">
                  <c:v>-1258420000000000</c:v>
                </c:pt>
                <c:pt idx="17">
                  <c:v>-1261830000000000</c:v>
                </c:pt>
                <c:pt idx="18">
                  <c:v>-1265430000000000</c:v>
                </c:pt>
                <c:pt idx="19">
                  <c:v>-1269200000000000</c:v>
                </c:pt>
                <c:pt idx="20">
                  <c:v>-1273150000000000</c:v>
                </c:pt>
                <c:pt idx="21">
                  <c:v>-1277280000000000</c:v>
                </c:pt>
                <c:pt idx="22">
                  <c:v>-1281590000000000</c:v>
                </c:pt>
                <c:pt idx="23">
                  <c:v>-1286080000000000</c:v>
                </c:pt>
                <c:pt idx="24">
                  <c:v>-1290750000000000</c:v>
                </c:pt>
                <c:pt idx="25">
                  <c:v>-1295600000000000</c:v>
                </c:pt>
                <c:pt idx="26">
                  <c:v>-1300630000000000</c:v>
                </c:pt>
                <c:pt idx="27">
                  <c:v>-1305840000000000</c:v>
                </c:pt>
                <c:pt idx="28">
                  <c:v>-1311230000000000</c:v>
                </c:pt>
                <c:pt idx="29">
                  <c:v>-1316800000000000</c:v>
                </c:pt>
                <c:pt idx="30">
                  <c:v>-1322540000000000</c:v>
                </c:pt>
                <c:pt idx="31">
                  <c:v>-1328470000000000</c:v>
                </c:pt>
                <c:pt idx="32">
                  <c:v>-1334580000000000</c:v>
                </c:pt>
                <c:pt idx="33">
                  <c:v>-1340860000000000</c:v>
                </c:pt>
                <c:pt idx="34">
                  <c:v>-1347330000000000</c:v>
                </c:pt>
                <c:pt idx="35">
                  <c:v>-1353970000000000</c:v>
                </c:pt>
                <c:pt idx="36">
                  <c:v>-1360800000000000</c:v>
                </c:pt>
                <c:pt idx="37" formatCode="0.000E+00">
                  <c:v>-1367800000000000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8-4C4C-BFB1-1286BA2AA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53103"/>
        <c:axId val="356562223"/>
      </c:lineChart>
      <c:catAx>
        <c:axId val="35655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6562223"/>
        <c:crosses val="autoZero"/>
        <c:auto val="1"/>
        <c:lblAlgn val="ctr"/>
        <c:lblOffset val="100"/>
        <c:tickLblSkip val="2"/>
        <c:tickMarkSkip val="5"/>
        <c:noMultiLvlLbl val="0"/>
      </c:catAx>
      <c:valAx>
        <c:axId val="35656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 CO2</a:t>
                </a:r>
              </a:p>
            </c:rich>
          </c:tx>
          <c:layout>
            <c:manualLayout>
              <c:xMode val="edge"/>
              <c:yMode val="edge"/>
              <c:x val="0.13055555555555556"/>
              <c:y val="0.87944407990667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655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土地利用!$B$6</c:f>
              <c:strCache>
                <c:ptCount val="1"/>
                <c:pt idx="0">
                  <c:v>BAU CH4 and N2O impact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6"/>
              <c:layout>
                <c:manualLayout>
                  <c:x val="0"/>
                  <c:y val="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F6-4DF8-90E5-FA37CCB56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土地利用!$C$5:$AN$5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土地利用!$C$6:$AN$6</c:f>
              <c:numCache>
                <c:formatCode>General</c:formatCode>
                <c:ptCount val="38"/>
                <c:pt idx="0">
                  <c:v>859217000000</c:v>
                </c:pt>
                <c:pt idx="1">
                  <c:v>859217000000</c:v>
                </c:pt>
                <c:pt idx="2">
                  <c:v>859217000000</c:v>
                </c:pt>
                <c:pt idx="3">
                  <c:v>859217000000</c:v>
                </c:pt>
                <c:pt idx="4">
                  <c:v>859217000000</c:v>
                </c:pt>
                <c:pt idx="5">
                  <c:v>859217000000</c:v>
                </c:pt>
                <c:pt idx="6">
                  <c:v>859217000000</c:v>
                </c:pt>
                <c:pt idx="7">
                  <c:v>859217000000</c:v>
                </c:pt>
                <c:pt idx="8">
                  <c:v>859217000000</c:v>
                </c:pt>
                <c:pt idx="9">
                  <c:v>859217000000</c:v>
                </c:pt>
                <c:pt idx="10">
                  <c:v>859217000000</c:v>
                </c:pt>
                <c:pt idx="11">
                  <c:v>859217000000</c:v>
                </c:pt>
                <c:pt idx="12">
                  <c:v>859217000000</c:v>
                </c:pt>
                <c:pt idx="13">
                  <c:v>859217000000</c:v>
                </c:pt>
                <c:pt idx="14">
                  <c:v>859217000000</c:v>
                </c:pt>
                <c:pt idx="15">
                  <c:v>859217000000</c:v>
                </c:pt>
                <c:pt idx="16">
                  <c:v>859217000000</c:v>
                </c:pt>
                <c:pt idx="17">
                  <c:v>859217000000</c:v>
                </c:pt>
                <c:pt idx="18">
                  <c:v>859217000000</c:v>
                </c:pt>
                <c:pt idx="19">
                  <c:v>859217000000</c:v>
                </c:pt>
                <c:pt idx="20">
                  <c:v>859217000000</c:v>
                </c:pt>
                <c:pt idx="21">
                  <c:v>859217000000</c:v>
                </c:pt>
                <c:pt idx="22">
                  <c:v>859217000000</c:v>
                </c:pt>
                <c:pt idx="23">
                  <c:v>859217000000</c:v>
                </c:pt>
                <c:pt idx="24">
                  <c:v>859217000000</c:v>
                </c:pt>
                <c:pt idx="25">
                  <c:v>859217000000</c:v>
                </c:pt>
                <c:pt idx="26">
                  <c:v>859217000000</c:v>
                </c:pt>
                <c:pt idx="27">
                  <c:v>859217000000</c:v>
                </c:pt>
                <c:pt idx="28">
                  <c:v>859217000000</c:v>
                </c:pt>
                <c:pt idx="29">
                  <c:v>859217000000</c:v>
                </c:pt>
                <c:pt idx="30">
                  <c:v>859217000000</c:v>
                </c:pt>
                <c:pt idx="31">
                  <c:v>859217000000</c:v>
                </c:pt>
                <c:pt idx="32">
                  <c:v>859217000000</c:v>
                </c:pt>
                <c:pt idx="33">
                  <c:v>859217000000</c:v>
                </c:pt>
                <c:pt idx="34">
                  <c:v>859217000000</c:v>
                </c:pt>
                <c:pt idx="35">
                  <c:v>859217000000</c:v>
                </c:pt>
                <c:pt idx="36">
                  <c:v>859217000000</c:v>
                </c:pt>
                <c:pt idx="37">
                  <c:v>859217000000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6-4DF8-90E5-FA37CCB56118}"/>
            </c:ext>
          </c:extLst>
        </c:ser>
        <c:ser>
          <c:idx val="1"/>
          <c:order val="1"/>
          <c:tx>
            <c:strRef>
              <c:f>土地利用!$B$7</c:f>
              <c:strCache>
                <c:ptCount val="1"/>
                <c:pt idx="0">
                  <c:v>CNS CH4 and N2O impact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F6-4DF8-90E5-FA37CCB56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土地利用!$C$5:$AN$5</c:f>
              <c:numCache>
                <c:formatCode>General</c:formatCode>
                <c:ptCount val="3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</c:numCache>
            </c:numRef>
          </c:cat>
          <c:val>
            <c:numRef>
              <c:f>土地利用!$C$7:$AN$7</c:f>
              <c:numCache>
                <c:formatCode>General</c:formatCode>
                <c:ptCount val="38"/>
                <c:pt idx="0">
                  <c:v>859470900000</c:v>
                </c:pt>
                <c:pt idx="1">
                  <c:v>860056000000</c:v>
                </c:pt>
                <c:pt idx="2">
                  <c:v>860871700000</c:v>
                </c:pt>
                <c:pt idx="3">
                  <c:v>861915900000</c:v>
                </c:pt>
                <c:pt idx="4">
                  <c:v>863188700000</c:v>
                </c:pt>
                <c:pt idx="5">
                  <c:v>864692100000</c:v>
                </c:pt>
                <c:pt idx="6">
                  <c:v>866424000000</c:v>
                </c:pt>
                <c:pt idx="7">
                  <c:v>868384400000</c:v>
                </c:pt>
                <c:pt idx="8">
                  <c:v>869647600000</c:v>
                </c:pt>
                <c:pt idx="9">
                  <c:v>871035700000</c:v>
                </c:pt>
                <c:pt idx="10">
                  <c:v>872550800000</c:v>
                </c:pt>
                <c:pt idx="11">
                  <c:v>874191700000</c:v>
                </c:pt>
                <c:pt idx="12">
                  <c:v>875959500000</c:v>
                </c:pt>
                <c:pt idx="13">
                  <c:v>877852300000</c:v>
                </c:pt>
                <c:pt idx="14">
                  <c:v>879872000000</c:v>
                </c:pt>
                <c:pt idx="15">
                  <c:v>882017600000</c:v>
                </c:pt>
                <c:pt idx="16">
                  <c:v>884289100000</c:v>
                </c:pt>
                <c:pt idx="17">
                  <c:v>886686500000</c:v>
                </c:pt>
                <c:pt idx="18">
                  <c:v>889210800000</c:v>
                </c:pt>
                <c:pt idx="19">
                  <c:v>891861000000</c:v>
                </c:pt>
                <c:pt idx="20">
                  <c:v>894637200000</c:v>
                </c:pt>
                <c:pt idx="21">
                  <c:v>897539200000</c:v>
                </c:pt>
                <c:pt idx="22">
                  <c:v>900567200000</c:v>
                </c:pt>
                <c:pt idx="23">
                  <c:v>903722100000</c:v>
                </c:pt>
                <c:pt idx="24">
                  <c:v>907002900000</c:v>
                </c:pt>
                <c:pt idx="25">
                  <c:v>910409600000</c:v>
                </c:pt>
                <c:pt idx="26">
                  <c:v>913943200000</c:v>
                </c:pt>
                <c:pt idx="27">
                  <c:v>917601700000</c:v>
                </c:pt>
                <c:pt idx="28">
                  <c:v>921387200000</c:v>
                </c:pt>
                <c:pt idx="29">
                  <c:v>925298600000</c:v>
                </c:pt>
                <c:pt idx="30">
                  <c:v>929335800000</c:v>
                </c:pt>
                <c:pt idx="31">
                  <c:v>933500000000</c:v>
                </c:pt>
                <c:pt idx="32">
                  <c:v>937789100000</c:v>
                </c:pt>
                <c:pt idx="33">
                  <c:v>942205100000</c:v>
                </c:pt>
                <c:pt idx="34">
                  <c:v>946747000000</c:v>
                </c:pt>
                <c:pt idx="35">
                  <c:v>951415900000</c:v>
                </c:pt>
                <c:pt idx="36">
                  <c:v>956209600000</c:v>
                </c:pt>
                <c:pt idx="37">
                  <c:v>961130300000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6-4DF8-90E5-FA37CCB56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545455"/>
        <c:axId val="896556975"/>
      </c:lineChart>
      <c:catAx>
        <c:axId val="89654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556975"/>
        <c:crosses val="autoZero"/>
        <c:auto val="1"/>
        <c:lblAlgn val="ctr"/>
        <c:lblOffset val="100"/>
        <c:tickMarkSkip val="5"/>
        <c:noMultiLvlLbl val="0"/>
      </c:catAx>
      <c:valAx>
        <c:axId val="89655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 GHGs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1388888888888889"/>
              <c:y val="0.80200605132691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54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1237297</xdr:colOff>
      <xdr:row>5</xdr:row>
      <xdr:rowOff>36196</xdr:rowOff>
    </xdr:from>
    <xdr:to>
      <xdr:col>3</xdr:col>
      <xdr:colOff>3429000</xdr:colOff>
      <xdr:row>18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4433054-1F87-F09A-BA08-E8229003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1104900</xdr:colOff>
      <xdr:row>5</xdr:row>
      <xdr:rowOff>49531</xdr:rowOff>
    </xdr:from>
    <xdr:to>
      <xdr:col>2</xdr:col>
      <xdr:colOff>1017270</xdr:colOff>
      <xdr:row>18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E335227-9461-D3AF-6A30-D6BD0BD1F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425767</xdr:colOff>
      <xdr:row>8</xdr:row>
      <xdr:rowOff>172402</xdr:rowOff>
    </xdr:from>
    <xdr:to>
      <xdr:col>31</xdr:col>
      <xdr:colOff>44767</xdr:colOff>
      <xdr:row>24</xdr:row>
      <xdr:rowOff>20002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9FD54C-0553-3F08-E6B1-970828A8D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530542</xdr:colOff>
      <xdr:row>8</xdr:row>
      <xdr:rowOff>172402</xdr:rowOff>
    </xdr:from>
    <xdr:to>
      <xdr:col>21</xdr:col>
      <xdr:colOff>149542</xdr:colOff>
      <xdr:row>24</xdr:row>
      <xdr:rowOff>20002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507E7C2-8AA4-7DA6-3A65-8A5910643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22" sqref="C22"/>
    </sheetView>
  </sheetViews>
  <sheetFormatPr defaultColWidth="9" defaultRowHeight="14.4" x14ac:dyDescent="0.25"/>
  <cols>
    <col min="1" max="1" width="32.6640625" customWidth="1"/>
    <col min="2" max="2" width="15" customWidth="1"/>
    <col min="3" max="3" width="19" customWidth="1"/>
    <col min="4" max="4" width="55" customWidth="1"/>
    <col min="5" max="5" width="20.77734375" customWidth="1"/>
    <col min="6" max="6" width="18.33203125" customWidth="1"/>
  </cols>
  <sheetData>
    <row r="1" spans="1:6" x14ac:dyDescent="0.25">
      <c r="A1" s="1"/>
      <c r="B1" s="1" t="s">
        <v>51</v>
      </c>
      <c r="C1" s="1"/>
      <c r="D1" t="s">
        <v>6</v>
      </c>
      <c r="E1" s="1" t="s">
        <v>52</v>
      </c>
      <c r="F1" s="1" t="s">
        <v>53</v>
      </c>
    </row>
    <row r="2" spans="1:6" x14ac:dyDescent="0.25">
      <c r="A2" s="1" t="s">
        <v>0</v>
      </c>
      <c r="B2">
        <v>1</v>
      </c>
      <c r="D2" s="1" t="s">
        <v>7</v>
      </c>
      <c r="E2">
        <v>0</v>
      </c>
      <c r="F2">
        <v>0</v>
      </c>
    </row>
    <row r="3" spans="1:6" x14ac:dyDescent="0.25">
      <c r="A3" s="1" t="s">
        <v>1</v>
      </c>
      <c r="B3">
        <v>1</v>
      </c>
      <c r="D3" t="s">
        <v>8</v>
      </c>
      <c r="E3">
        <v>0</v>
      </c>
      <c r="F3">
        <v>0</v>
      </c>
    </row>
    <row r="4" spans="1:6" x14ac:dyDescent="0.25">
      <c r="A4" s="1" t="s">
        <v>2</v>
      </c>
      <c r="B4">
        <v>0.60005543237250503</v>
      </c>
      <c r="D4" t="s">
        <v>9</v>
      </c>
      <c r="E4">
        <v>0</v>
      </c>
      <c r="F4">
        <v>0</v>
      </c>
    </row>
    <row r="5" spans="1:6" x14ac:dyDescent="0.25">
      <c r="A5" s="1" t="s">
        <v>3</v>
      </c>
      <c r="B5">
        <v>1</v>
      </c>
      <c r="D5" t="s">
        <v>10</v>
      </c>
      <c r="E5">
        <v>0</v>
      </c>
      <c r="F5">
        <v>0</v>
      </c>
    </row>
    <row r="6" spans="1:6" x14ac:dyDescent="0.25">
      <c r="A6" s="1" t="s">
        <v>4</v>
      </c>
      <c r="B6">
        <v>1</v>
      </c>
      <c r="D6" t="s">
        <v>11</v>
      </c>
      <c r="E6">
        <v>0</v>
      </c>
      <c r="F6">
        <v>0</v>
      </c>
    </row>
    <row r="7" spans="1:6" x14ac:dyDescent="0.25">
      <c r="A7" s="1" t="s">
        <v>5</v>
      </c>
      <c r="B7">
        <v>0.60005543237250503</v>
      </c>
      <c r="D7" t="s">
        <v>12</v>
      </c>
      <c r="E7">
        <v>0</v>
      </c>
      <c r="F7">
        <v>0</v>
      </c>
    </row>
    <row r="8" spans="1:6" x14ac:dyDescent="0.25">
      <c r="A8" s="1"/>
      <c r="D8" t="s">
        <v>13</v>
      </c>
      <c r="E8">
        <v>0</v>
      </c>
      <c r="F8">
        <v>0</v>
      </c>
    </row>
    <row r="9" spans="1:6" x14ac:dyDescent="0.25">
      <c r="D9" t="s">
        <v>14</v>
      </c>
      <c r="E9">
        <v>0</v>
      </c>
      <c r="F9">
        <v>0</v>
      </c>
    </row>
    <row r="10" spans="1:6" x14ac:dyDescent="0.25">
      <c r="A10" s="1"/>
      <c r="D10" t="s">
        <v>15</v>
      </c>
      <c r="E10">
        <v>0.10337112624780299</v>
      </c>
      <c r="F10">
        <v>0</v>
      </c>
    </row>
    <row r="11" spans="1:6" x14ac:dyDescent="0.25">
      <c r="D11" t="s">
        <v>16</v>
      </c>
      <c r="E11">
        <v>0.10337112624780299</v>
      </c>
      <c r="F11">
        <v>0.45255937052294198</v>
      </c>
    </row>
    <row r="12" spans="1:6" x14ac:dyDescent="0.25">
      <c r="D12" t="s">
        <v>17</v>
      </c>
      <c r="E12">
        <v>0</v>
      </c>
      <c r="F12">
        <v>0</v>
      </c>
    </row>
    <row r="13" spans="1:6" x14ac:dyDescent="0.25">
      <c r="D13" t="s">
        <v>18</v>
      </c>
      <c r="E13">
        <v>0</v>
      </c>
      <c r="F13">
        <v>0</v>
      </c>
    </row>
    <row r="14" spans="1:6" x14ac:dyDescent="0.25">
      <c r="A14" s="1"/>
      <c r="D14" t="s">
        <v>19</v>
      </c>
      <c r="E14">
        <v>0.175051150981896</v>
      </c>
      <c r="F14">
        <v>0.55287330377074195</v>
      </c>
    </row>
    <row r="15" spans="1:6" x14ac:dyDescent="0.25">
      <c r="D15" t="s">
        <v>20</v>
      </c>
      <c r="E15">
        <v>0.65296803652968005</v>
      </c>
      <c r="F15">
        <v>4.3187773709526901E-2</v>
      </c>
    </row>
    <row r="16" spans="1:6" x14ac:dyDescent="0.25">
      <c r="D16" t="s">
        <v>21</v>
      </c>
      <c r="E16">
        <v>0</v>
      </c>
      <c r="F16">
        <v>0</v>
      </c>
    </row>
    <row r="17" spans="4:6" x14ac:dyDescent="0.25">
      <c r="D17" t="s">
        <v>22</v>
      </c>
      <c r="E17">
        <v>0</v>
      </c>
      <c r="F17">
        <v>0</v>
      </c>
    </row>
    <row r="18" spans="4:6" x14ac:dyDescent="0.25">
      <c r="D18" t="s">
        <v>23</v>
      </c>
      <c r="E18">
        <v>0</v>
      </c>
      <c r="F18">
        <v>0</v>
      </c>
    </row>
    <row r="19" spans="4:6" x14ac:dyDescent="0.25">
      <c r="D19" t="s">
        <v>24</v>
      </c>
      <c r="E19">
        <v>0</v>
      </c>
      <c r="F19">
        <v>0</v>
      </c>
    </row>
    <row r="20" spans="4:6" x14ac:dyDescent="0.25">
      <c r="D20" t="s">
        <v>25</v>
      </c>
      <c r="E20">
        <v>0</v>
      </c>
      <c r="F20">
        <v>0</v>
      </c>
    </row>
    <row r="21" spans="4:6" x14ac:dyDescent="0.25">
      <c r="D21" t="s">
        <v>26</v>
      </c>
      <c r="E21">
        <v>0</v>
      </c>
      <c r="F21">
        <v>0</v>
      </c>
    </row>
    <row r="22" spans="4:6" x14ac:dyDescent="0.25">
      <c r="D22" t="s">
        <v>27</v>
      </c>
      <c r="E22">
        <v>0</v>
      </c>
      <c r="F22">
        <v>0</v>
      </c>
    </row>
    <row r="23" spans="4:6" x14ac:dyDescent="0.25">
      <c r="D23" t="s">
        <v>28</v>
      </c>
      <c r="E23">
        <v>0</v>
      </c>
      <c r="F23">
        <v>0</v>
      </c>
    </row>
    <row r="24" spans="4:6" x14ac:dyDescent="0.25">
      <c r="D24" t="s">
        <v>29</v>
      </c>
      <c r="E24">
        <v>0</v>
      </c>
      <c r="F24">
        <v>0.191474387570779</v>
      </c>
    </row>
    <row r="25" spans="4:6" x14ac:dyDescent="0.25">
      <c r="D25" t="s">
        <v>30</v>
      </c>
      <c r="E25">
        <v>0</v>
      </c>
      <c r="F25">
        <v>0</v>
      </c>
    </row>
    <row r="26" spans="4:6" x14ac:dyDescent="0.25">
      <c r="D26" t="s">
        <v>31</v>
      </c>
      <c r="E26">
        <v>0</v>
      </c>
      <c r="F26">
        <v>0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"/>
  <sheetViews>
    <sheetView topLeftCell="L1" workbookViewId="0">
      <selection activeCell="AG28" sqref="AG28"/>
    </sheetView>
  </sheetViews>
  <sheetFormatPr defaultColWidth="9" defaultRowHeight="14.4" x14ac:dyDescent="0.25"/>
  <cols>
    <col min="2" max="2" width="14.33203125" customWidth="1"/>
    <col min="3" max="3" width="11.6640625" bestFit="1" customWidth="1"/>
    <col min="40" max="40" width="12.21875" customWidth="1"/>
  </cols>
  <sheetData>
    <row r="1" spans="1:40" x14ac:dyDescent="0.25">
      <c r="B1" t="s">
        <v>32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</row>
    <row r="2" spans="1:40" x14ac:dyDescent="0.25">
      <c r="A2" s="1" t="s">
        <v>45</v>
      </c>
      <c r="B2" s="1" t="s">
        <v>47</v>
      </c>
      <c r="C2" s="2">
        <f>'land use'!C2</f>
        <v>-1222730000000000</v>
      </c>
      <c r="D2" s="2">
        <f>'land use'!D2</f>
        <v>-1222730000000000</v>
      </c>
      <c r="E2" s="2">
        <f>'land use'!E2</f>
        <v>-1222730000000000</v>
      </c>
      <c r="F2" s="2">
        <f>'land use'!F2</f>
        <v>-1222730000000000</v>
      </c>
      <c r="G2" s="2">
        <f>'land use'!G2</f>
        <v>-1222730000000000</v>
      </c>
      <c r="H2" s="2">
        <f>'land use'!H2</f>
        <v>-1222730000000000</v>
      </c>
      <c r="I2" s="2">
        <f>'land use'!I2</f>
        <v>-1222730000000000</v>
      </c>
      <c r="J2" s="2">
        <f>'land use'!J2</f>
        <v>-1222730000000000</v>
      </c>
      <c r="K2" s="2">
        <f>'land use'!K2</f>
        <v>-1222730000000000</v>
      </c>
      <c r="L2" s="2">
        <f>'land use'!L2</f>
        <v>-1222730000000000</v>
      </c>
      <c r="M2" s="2">
        <f>'land use'!M2</f>
        <v>-1222730000000000</v>
      </c>
      <c r="N2" s="2">
        <f>'land use'!N2</f>
        <v>-1222730000000000</v>
      </c>
      <c r="O2" s="2">
        <f>'land use'!O2</f>
        <v>-1222730000000000</v>
      </c>
      <c r="P2" s="2">
        <f>'land use'!P2</f>
        <v>-1222730000000000</v>
      </c>
      <c r="Q2" s="2">
        <f>'land use'!Q2</f>
        <v>-1222730000000000</v>
      </c>
      <c r="R2" s="2">
        <f>'land use'!R2</f>
        <v>-1222730000000000</v>
      </c>
      <c r="S2" s="2">
        <f>'land use'!S2</f>
        <v>-1222730000000000</v>
      </c>
      <c r="T2" s="2">
        <f>'land use'!T2</f>
        <v>-1222730000000000</v>
      </c>
      <c r="U2" s="2">
        <f>'land use'!U2</f>
        <v>-1222730000000000</v>
      </c>
      <c r="V2" s="2">
        <f>'land use'!V2</f>
        <v>-1222730000000000</v>
      </c>
      <c r="W2" s="2">
        <f>'land use'!W2</f>
        <v>-1222730000000000</v>
      </c>
      <c r="X2" s="2">
        <f>'land use'!X2</f>
        <v>-1222730000000000</v>
      </c>
      <c r="Y2" s="2">
        <f>'land use'!Y2</f>
        <v>-1222730000000000</v>
      </c>
      <c r="Z2" s="2">
        <f>'land use'!Z2</f>
        <v>-1222730000000000</v>
      </c>
      <c r="AA2" s="2">
        <f>'land use'!AA2</f>
        <v>-1222730000000000</v>
      </c>
      <c r="AB2" s="2">
        <f>'land use'!AB2</f>
        <v>-1222730000000000</v>
      </c>
      <c r="AC2" s="2">
        <f>'land use'!AC2</f>
        <v>-1222730000000000</v>
      </c>
      <c r="AD2" s="2">
        <f>'land use'!AD2</f>
        <v>-1222730000000000</v>
      </c>
      <c r="AE2" s="2">
        <f>'land use'!AE2</f>
        <v>-1222730000000000</v>
      </c>
      <c r="AF2" s="2">
        <f>'land use'!AF2</f>
        <v>-1222730000000000</v>
      </c>
      <c r="AG2" s="2">
        <f>'land use'!AG2</f>
        <v>-1222730000000000</v>
      </c>
      <c r="AH2" s="2">
        <f>'land use'!AH2</f>
        <v>-1222730000000000</v>
      </c>
      <c r="AI2" s="2">
        <f>'land use'!AI2</f>
        <v>-1222730000000000</v>
      </c>
      <c r="AJ2" s="2">
        <f>'land use'!AJ2</f>
        <v>-1222730000000000</v>
      </c>
      <c r="AK2" s="2">
        <f>'land use'!AK2</f>
        <v>-1222730000000000</v>
      </c>
      <c r="AL2" s="2">
        <f>'land use'!AL2</f>
        <v>-1222730000000000</v>
      </c>
      <c r="AM2" s="2">
        <f>'land use'!AM2</f>
        <v>-1222730000000000</v>
      </c>
      <c r="AN2" s="2">
        <f>'land use'!AN2</f>
        <v>-1222730000000000</v>
      </c>
    </row>
    <row r="3" spans="1:40" x14ac:dyDescent="0.25">
      <c r="A3" s="1" t="s">
        <v>46</v>
      </c>
      <c r="B3" s="1" t="s">
        <v>48</v>
      </c>
      <c r="C3" s="2">
        <f>'land use'!C16</f>
        <v>-1223090000000000</v>
      </c>
      <c r="D3" s="2">
        <f>'land use'!D16</f>
        <v>-1223920000000000</v>
      </c>
      <c r="E3" s="2">
        <f>'land use'!E16</f>
        <v>-1225090000000000</v>
      </c>
      <c r="F3" s="2">
        <f>'land use'!F16</f>
        <v>-1226570000000000</v>
      </c>
      <c r="G3" s="2">
        <f>'land use'!G16</f>
        <v>-1228380000000000</v>
      </c>
      <c r="H3" s="2">
        <f>'land use'!H16</f>
        <v>-1230520000000000</v>
      </c>
      <c r="I3" s="2">
        <f>'land use'!I16</f>
        <v>-1232990000000000</v>
      </c>
      <c r="J3" s="2">
        <f>'land use'!J16</f>
        <v>-1235780000000000</v>
      </c>
      <c r="K3" s="2">
        <f>'land use'!K16</f>
        <v>-1237580000000000</v>
      </c>
      <c r="L3" s="2">
        <f>'land use'!L16</f>
        <v>-1239550000000000</v>
      </c>
      <c r="M3" s="2">
        <f>'land use'!M16</f>
        <v>-1241710000000000</v>
      </c>
      <c r="N3" s="2">
        <f>'land use'!N16</f>
        <v>-1244050000000000</v>
      </c>
      <c r="O3" s="2">
        <f>'land use'!O16</f>
        <v>-1246560000000000</v>
      </c>
      <c r="P3" s="2">
        <f>'land use'!P16</f>
        <v>-1249260000000000</v>
      </c>
      <c r="Q3" s="2">
        <f>'land use'!Q16</f>
        <v>-1252130000000000</v>
      </c>
      <c r="R3" s="2">
        <f>'land use'!R16</f>
        <v>-1255190000000000</v>
      </c>
      <c r="S3" s="2">
        <f>'land use'!S16</f>
        <v>-1258420000000000</v>
      </c>
      <c r="T3" s="2">
        <f>'land use'!T16</f>
        <v>-1261830000000000</v>
      </c>
      <c r="U3" s="2">
        <f>'land use'!U16</f>
        <v>-1265430000000000</v>
      </c>
      <c r="V3" s="2">
        <f>'land use'!V16</f>
        <v>-1269200000000000</v>
      </c>
      <c r="W3" s="2">
        <f>'land use'!W16</f>
        <v>-1273150000000000</v>
      </c>
      <c r="X3" s="2">
        <f>'land use'!X16</f>
        <v>-1277280000000000</v>
      </c>
      <c r="Y3" s="2">
        <f>'land use'!Y16</f>
        <v>-1281590000000000</v>
      </c>
      <c r="Z3" s="2">
        <f>'land use'!Z16</f>
        <v>-1286080000000000</v>
      </c>
      <c r="AA3" s="2">
        <f>'land use'!AA16</f>
        <v>-1290750000000000</v>
      </c>
      <c r="AB3" s="2">
        <f>'land use'!AB16</f>
        <v>-1295600000000000</v>
      </c>
      <c r="AC3" s="2">
        <f>'land use'!AC16</f>
        <v>-1300630000000000</v>
      </c>
      <c r="AD3" s="2">
        <f>'land use'!AD16</f>
        <v>-1305840000000000</v>
      </c>
      <c r="AE3" s="2">
        <f>'land use'!AE16</f>
        <v>-1311230000000000</v>
      </c>
      <c r="AF3" s="2">
        <f>'land use'!AF16</f>
        <v>-1316800000000000</v>
      </c>
      <c r="AG3" s="2">
        <f>'land use'!AG16</f>
        <v>-1322540000000000</v>
      </c>
      <c r="AH3" s="2">
        <f>'land use'!AH16</f>
        <v>-1328470000000000</v>
      </c>
      <c r="AI3" s="2">
        <f>'land use'!AI16</f>
        <v>-1334580000000000</v>
      </c>
      <c r="AJ3" s="2">
        <f>'land use'!AJ16</f>
        <v>-1340860000000000</v>
      </c>
      <c r="AK3" s="2">
        <f>'land use'!AK16</f>
        <v>-1347330000000000</v>
      </c>
      <c r="AL3" s="2">
        <f>'land use'!AL16</f>
        <v>-1353970000000000</v>
      </c>
      <c r="AM3" s="2">
        <f>'land use'!AM16</f>
        <v>-1360800000000000</v>
      </c>
      <c r="AN3" s="3">
        <f>'land use'!AN16</f>
        <v>-1367800000000000</v>
      </c>
    </row>
    <row r="5" spans="1:40" x14ac:dyDescent="0.25">
      <c r="B5" t="s">
        <v>32</v>
      </c>
      <c r="C5">
        <v>2023</v>
      </c>
      <c r="D5">
        <v>2024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>
        <v>2051</v>
      </c>
      <c r="AF5">
        <v>2052</v>
      </c>
      <c r="AG5">
        <v>2053</v>
      </c>
      <c r="AH5">
        <v>2054</v>
      </c>
      <c r="AI5">
        <v>2055</v>
      </c>
      <c r="AJ5">
        <v>2056</v>
      </c>
      <c r="AK5">
        <v>2057</v>
      </c>
      <c r="AL5">
        <v>2058</v>
      </c>
      <c r="AM5">
        <v>2059</v>
      </c>
      <c r="AN5">
        <v>2060</v>
      </c>
    </row>
    <row r="6" spans="1:40" x14ac:dyDescent="0.25">
      <c r="A6" s="1" t="s">
        <v>45</v>
      </c>
      <c r="B6" t="str">
        <f>'land use'!B14</f>
        <v>BAU CH4 and N2O impact</v>
      </c>
      <c r="C6">
        <f>'land use'!C14</f>
        <v>859217000000</v>
      </c>
      <c r="D6">
        <f>'land use'!D14</f>
        <v>859217000000</v>
      </c>
      <c r="E6">
        <f>'land use'!E14</f>
        <v>859217000000</v>
      </c>
      <c r="F6">
        <f>'land use'!F14</f>
        <v>859217000000</v>
      </c>
      <c r="G6">
        <f>'land use'!G14</f>
        <v>859217000000</v>
      </c>
      <c r="H6">
        <f>'land use'!H14</f>
        <v>859217000000</v>
      </c>
      <c r="I6">
        <f>'land use'!I14</f>
        <v>859217000000</v>
      </c>
      <c r="J6">
        <f>'land use'!J14</f>
        <v>859217000000</v>
      </c>
      <c r="K6">
        <f>'land use'!K14</f>
        <v>859217000000</v>
      </c>
      <c r="L6">
        <f>'land use'!L14</f>
        <v>859217000000</v>
      </c>
      <c r="M6">
        <f>'land use'!M14</f>
        <v>859217000000</v>
      </c>
      <c r="N6">
        <f>'land use'!N14</f>
        <v>859217000000</v>
      </c>
      <c r="O6">
        <f>'land use'!O14</f>
        <v>859217000000</v>
      </c>
      <c r="P6">
        <f>'land use'!P14</f>
        <v>859217000000</v>
      </c>
      <c r="Q6">
        <f>'land use'!Q14</f>
        <v>859217000000</v>
      </c>
      <c r="R6">
        <f>'land use'!R14</f>
        <v>859217000000</v>
      </c>
      <c r="S6">
        <f>'land use'!S14</f>
        <v>859217000000</v>
      </c>
      <c r="T6">
        <f>'land use'!T14</f>
        <v>859217000000</v>
      </c>
      <c r="U6">
        <f>'land use'!U14</f>
        <v>859217000000</v>
      </c>
      <c r="V6">
        <f>'land use'!V14</f>
        <v>859217000000</v>
      </c>
      <c r="W6">
        <f>'land use'!W14</f>
        <v>859217000000</v>
      </c>
      <c r="X6">
        <f>'land use'!X14</f>
        <v>859217000000</v>
      </c>
      <c r="Y6">
        <f>'land use'!Y14</f>
        <v>859217000000</v>
      </c>
      <c r="Z6">
        <f>'land use'!Z14</f>
        <v>859217000000</v>
      </c>
      <c r="AA6">
        <f>'land use'!AA14</f>
        <v>859217000000</v>
      </c>
      <c r="AB6">
        <f>'land use'!AB14</f>
        <v>859217000000</v>
      </c>
      <c r="AC6">
        <f>'land use'!AC14</f>
        <v>859217000000</v>
      </c>
      <c r="AD6">
        <f>'land use'!AD14</f>
        <v>859217000000</v>
      </c>
      <c r="AE6">
        <f>'land use'!AE14</f>
        <v>859217000000</v>
      </c>
      <c r="AF6">
        <f>'land use'!AF14</f>
        <v>859217000000</v>
      </c>
      <c r="AG6">
        <f>'land use'!AG14</f>
        <v>859217000000</v>
      </c>
      <c r="AH6">
        <f>'land use'!AH14</f>
        <v>859217000000</v>
      </c>
      <c r="AI6">
        <f>'land use'!AI14</f>
        <v>859217000000</v>
      </c>
      <c r="AJ6">
        <f>'land use'!AJ14</f>
        <v>859217000000</v>
      </c>
      <c r="AK6">
        <f>'land use'!AK14</f>
        <v>859217000000</v>
      </c>
      <c r="AL6">
        <f>'land use'!AL14</f>
        <v>859217000000</v>
      </c>
      <c r="AM6">
        <f>'land use'!AM14</f>
        <v>859217000000</v>
      </c>
      <c r="AN6">
        <f>'land use'!AN14</f>
        <v>859217000000</v>
      </c>
    </row>
    <row r="7" spans="1:40" x14ac:dyDescent="0.25">
      <c r="A7" s="1" t="s">
        <v>46</v>
      </c>
      <c r="B7" t="str">
        <f>'land use'!B28</f>
        <v>CNS CH4 and N2O impact</v>
      </c>
      <c r="C7">
        <f>'land use'!C28</f>
        <v>859470900000</v>
      </c>
      <c r="D7">
        <f>'land use'!D28</f>
        <v>860056000000</v>
      </c>
      <c r="E7">
        <f>'land use'!E28</f>
        <v>860871700000</v>
      </c>
      <c r="F7">
        <f>'land use'!F28</f>
        <v>861915900000</v>
      </c>
      <c r="G7">
        <f>'land use'!G28</f>
        <v>863188700000</v>
      </c>
      <c r="H7">
        <f>'land use'!H28</f>
        <v>864692100000</v>
      </c>
      <c r="I7">
        <f>'land use'!I28</f>
        <v>866424000000</v>
      </c>
      <c r="J7">
        <f>'land use'!J28</f>
        <v>868384400000</v>
      </c>
      <c r="K7">
        <f>'land use'!K28</f>
        <v>869647600000</v>
      </c>
      <c r="L7">
        <f>'land use'!L28</f>
        <v>871035700000</v>
      </c>
      <c r="M7">
        <f>'land use'!M28</f>
        <v>872550800000</v>
      </c>
      <c r="N7">
        <f>'land use'!N28</f>
        <v>874191700000</v>
      </c>
      <c r="O7">
        <f>'land use'!O28</f>
        <v>875959500000</v>
      </c>
      <c r="P7">
        <f>'land use'!P28</f>
        <v>877852300000</v>
      </c>
      <c r="Q7">
        <f>'land use'!Q28</f>
        <v>879872000000</v>
      </c>
      <c r="R7">
        <f>'land use'!R28</f>
        <v>882017600000</v>
      </c>
      <c r="S7">
        <f>'land use'!S28</f>
        <v>884289100000</v>
      </c>
      <c r="T7">
        <f>'land use'!T28</f>
        <v>886686500000</v>
      </c>
      <c r="U7">
        <f>'land use'!U28</f>
        <v>889210800000</v>
      </c>
      <c r="V7">
        <f>'land use'!V28</f>
        <v>891861000000</v>
      </c>
      <c r="W7">
        <f>'land use'!W28</f>
        <v>894637200000</v>
      </c>
      <c r="X7">
        <f>'land use'!X28</f>
        <v>897539200000</v>
      </c>
      <c r="Y7">
        <f>'land use'!Y28</f>
        <v>900567200000</v>
      </c>
      <c r="Z7">
        <f>'land use'!Z28</f>
        <v>903722100000</v>
      </c>
      <c r="AA7">
        <f>'land use'!AA28</f>
        <v>907002900000</v>
      </c>
      <c r="AB7">
        <f>'land use'!AB28</f>
        <v>910409600000</v>
      </c>
      <c r="AC7">
        <f>'land use'!AC28</f>
        <v>913943200000</v>
      </c>
      <c r="AD7">
        <f>'land use'!AD28</f>
        <v>917601700000</v>
      </c>
      <c r="AE7">
        <f>'land use'!AE28</f>
        <v>921387200000</v>
      </c>
      <c r="AF7">
        <f>'land use'!AF28</f>
        <v>925298600000</v>
      </c>
      <c r="AG7">
        <f>'land use'!AG28</f>
        <v>929335800000</v>
      </c>
      <c r="AH7">
        <f>'land use'!AH28</f>
        <v>933500000000</v>
      </c>
      <c r="AI7">
        <f>'land use'!AI28</f>
        <v>937789100000</v>
      </c>
      <c r="AJ7">
        <f>'land use'!AJ28</f>
        <v>942205100000</v>
      </c>
      <c r="AK7">
        <f>'land use'!AK28</f>
        <v>946747000000</v>
      </c>
      <c r="AL7">
        <f>'land use'!AL28</f>
        <v>951415900000</v>
      </c>
      <c r="AM7">
        <f>'land use'!AM28</f>
        <v>956209600000</v>
      </c>
      <c r="AN7">
        <f>'land use'!AN28</f>
        <v>961130300000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"/>
  <sheetViews>
    <sheetView workbookViewId="0">
      <selection activeCell="C28" sqref="C28:AN28"/>
    </sheetView>
  </sheetViews>
  <sheetFormatPr defaultColWidth="9" defaultRowHeight="14.4" x14ac:dyDescent="0.25"/>
  <cols>
    <col min="3" max="4" width="11.6640625" bestFit="1" customWidth="1"/>
    <col min="40" max="40" width="13.44140625" customWidth="1"/>
  </cols>
  <sheetData>
    <row r="1" spans="1:40" x14ac:dyDescent="0.25">
      <c r="A1" s="1" t="s">
        <v>45</v>
      </c>
      <c r="B1" t="s">
        <v>32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</row>
    <row r="2" spans="1:40" x14ac:dyDescent="0.25">
      <c r="B2" t="s">
        <v>33</v>
      </c>
      <c r="C2" s="2">
        <v>-1222730000000000</v>
      </c>
      <c r="D2" s="2">
        <v>-1222730000000000</v>
      </c>
      <c r="E2" s="2">
        <v>-1222730000000000</v>
      </c>
      <c r="F2" s="2">
        <v>-1222730000000000</v>
      </c>
      <c r="G2" s="2">
        <v>-1222730000000000</v>
      </c>
      <c r="H2" s="2">
        <v>-1222730000000000</v>
      </c>
      <c r="I2" s="2">
        <v>-1222730000000000</v>
      </c>
      <c r="J2" s="2">
        <v>-1222730000000000</v>
      </c>
      <c r="K2" s="2">
        <v>-1222730000000000</v>
      </c>
      <c r="L2" s="2">
        <v>-1222730000000000</v>
      </c>
      <c r="M2" s="2">
        <v>-1222730000000000</v>
      </c>
      <c r="N2" s="2">
        <v>-1222730000000000</v>
      </c>
      <c r="O2" s="2">
        <v>-1222730000000000</v>
      </c>
      <c r="P2" s="2">
        <v>-1222730000000000</v>
      </c>
      <c r="Q2" s="2">
        <v>-1222730000000000</v>
      </c>
      <c r="R2" s="2">
        <v>-1222730000000000</v>
      </c>
      <c r="S2" s="2">
        <v>-1222730000000000</v>
      </c>
      <c r="T2" s="2">
        <v>-1222730000000000</v>
      </c>
      <c r="U2" s="2">
        <v>-1222730000000000</v>
      </c>
      <c r="V2" s="2">
        <v>-1222730000000000</v>
      </c>
      <c r="W2" s="2">
        <v>-1222730000000000</v>
      </c>
      <c r="X2" s="2">
        <v>-1222730000000000</v>
      </c>
      <c r="Y2" s="2">
        <v>-1222730000000000</v>
      </c>
      <c r="Z2" s="2">
        <v>-1222730000000000</v>
      </c>
      <c r="AA2" s="2">
        <v>-1222730000000000</v>
      </c>
      <c r="AB2" s="2">
        <v>-1222730000000000</v>
      </c>
      <c r="AC2" s="2">
        <v>-1222730000000000</v>
      </c>
      <c r="AD2" s="2">
        <v>-1222730000000000</v>
      </c>
      <c r="AE2" s="2">
        <v>-1222730000000000</v>
      </c>
      <c r="AF2" s="2">
        <v>-1222730000000000</v>
      </c>
      <c r="AG2" s="2">
        <v>-1222730000000000</v>
      </c>
      <c r="AH2" s="2">
        <v>-1222730000000000</v>
      </c>
      <c r="AI2" s="2">
        <v>-1222730000000000</v>
      </c>
      <c r="AJ2" s="2">
        <v>-1222730000000000</v>
      </c>
      <c r="AK2" s="2">
        <v>-1222730000000000</v>
      </c>
      <c r="AL2" s="2">
        <v>-1222730000000000</v>
      </c>
      <c r="AM2" s="2">
        <v>-1222730000000000</v>
      </c>
      <c r="AN2" s="2">
        <v>-1222730000000000</v>
      </c>
    </row>
    <row r="3" spans="1:40" x14ac:dyDescent="0.25">
      <c r="B3" t="s">
        <v>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B4" t="s">
        <v>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B5" t="s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B6" t="s">
        <v>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B7" t="s">
        <v>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B8" t="s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B9" t="s">
        <v>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B11" t="s">
        <v>42</v>
      </c>
      <c r="C11" s="2">
        <v>812106000000</v>
      </c>
      <c r="D11" s="2">
        <v>812106000000</v>
      </c>
      <c r="E11" s="2">
        <v>812106000000</v>
      </c>
      <c r="F11" s="2">
        <v>812106000000</v>
      </c>
      <c r="G11" s="2">
        <v>812106000000</v>
      </c>
      <c r="H11" s="2">
        <v>812106000000</v>
      </c>
      <c r="I11" s="2">
        <v>812106000000</v>
      </c>
      <c r="J11" s="2">
        <v>812106000000</v>
      </c>
      <c r="K11" s="2">
        <v>812106000000</v>
      </c>
      <c r="L11" s="2">
        <v>812106000000</v>
      </c>
      <c r="M11" s="2">
        <v>812106000000</v>
      </c>
      <c r="N11" s="2">
        <v>812106000000</v>
      </c>
      <c r="O11" s="2">
        <v>812106000000</v>
      </c>
      <c r="P11" s="2">
        <v>812106000000</v>
      </c>
      <c r="Q11" s="2">
        <v>812106000000</v>
      </c>
      <c r="R11" s="2">
        <v>812106000000</v>
      </c>
      <c r="S11" s="2">
        <v>812106000000</v>
      </c>
      <c r="T11" s="2">
        <v>812106000000</v>
      </c>
      <c r="U11" s="2">
        <v>812106000000</v>
      </c>
      <c r="V11" s="2">
        <v>812106000000</v>
      </c>
      <c r="W11" s="2">
        <v>812106000000</v>
      </c>
      <c r="X11" s="2">
        <v>812106000000</v>
      </c>
      <c r="Y11" s="2">
        <v>812106000000</v>
      </c>
      <c r="Z11" s="2">
        <v>812106000000</v>
      </c>
      <c r="AA11" s="2">
        <v>812106000000</v>
      </c>
      <c r="AB11" s="2">
        <v>812106000000</v>
      </c>
      <c r="AC11" s="2">
        <v>812106000000</v>
      </c>
      <c r="AD11" s="2">
        <v>812106000000</v>
      </c>
      <c r="AE11" s="2">
        <v>812106000000</v>
      </c>
      <c r="AF11" s="2">
        <v>812106000000</v>
      </c>
      <c r="AG11" s="2">
        <v>812106000000</v>
      </c>
      <c r="AH11" s="2">
        <v>812106000000</v>
      </c>
      <c r="AI11" s="2">
        <v>812106000000</v>
      </c>
      <c r="AJ11" s="2">
        <v>812106000000</v>
      </c>
      <c r="AK11" s="2">
        <v>812106000000</v>
      </c>
      <c r="AL11" s="2">
        <v>812106000000</v>
      </c>
      <c r="AM11" s="2">
        <v>812106000000</v>
      </c>
      <c r="AN11" s="2">
        <v>812106000000</v>
      </c>
    </row>
    <row r="12" spans="1:40" x14ac:dyDescent="0.25">
      <c r="B12" t="s">
        <v>43</v>
      </c>
      <c r="C12" s="2">
        <v>47111000000</v>
      </c>
      <c r="D12" s="2">
        <v>47111000000</v>
      </c>
      <c r="E12" s="2">
        <v>47111000000</v>
      </c>
      <c r="F12" s="2">
        <v>47111000000</v>
      </c>
      <c r="G12" s="2">
        <v>47111000000</v>
      </c>
      <c r="H12" s="2">
        <v>47111000000</v>
      </c>
      <c r="I12" s="2">
        <v>47111000000</v>
      </c>
      <c r="J12" s="2">
        <v>47111000000</v>
      </c>
      <c r="K12" s="2">
        <v>47111000000</v>
      </c>
      <c r="L12" s="2">
        <v>47111000000</v>
      </c>
      <c r="M12" s="2">
        <v>47111000000</v>
      </c>
      <c r="N12" s="2">
        <v>47111000000</v>
      </c>
      <c r="O12" s="2">
        <v>47111000000</v>
      </c>
      <c r="P12" s="2">
        <v>47111000000</v>
      </c>
      <c r="Q12" s="2">
        <v>47111000000</v>
      </c>
      <c r="R12" s="2">
        <v>47111000000</v>
      </c>
      <c r="S12" s="2">
        <v>47111000000</v>
      </c>
      <c r="T12" s="2">
        <v>47111000000</v>
      </c>
      <c r="U12" s="2">
        <v>47111000000</v>
      </c>
      <c r="V12" s="2">
        <v>47111000000</v>
      </c>
      <c r="W12" s="2">
        <v>47111000000</v>
      </c>
      <c r="X12" s="2">
        <v>47111000000</v>
      </c>
      <c r="Y12" s="2">
        <v>47111000000</v>
      </c>
      <c r="Z12" s="2">
        <v>47111000000</v>
      </c>
      <c r="AA12" s="2">
        <v>47111000000</v>
      </c>
      <c r="AB12" s="2">
        <v>47111000000</v>
      </c>
      <c r="AC12" s="2">
        <v>47111000000</v>
      </c>
      <c r="AD12" s="2">
        <v>47111000000</v>
      </c>
      <c r="AE12" s="2">
        <v>47111000000</v>
      </c>
      <c r="AF12" s="2">
        <v>47111000000</v>
      </c>
      <c r="AG12" s="2">
        <v>47111000000</v>
      </c>
      <c r="AH12" s="2">
        <v>47111000000</v>
      </c>
      <c r="AI12" s="2">
        <v>47111000000</v>
      </c>
      <c r="AJ12" s="2">
        <v>47111000000</v>
      </c>
      <c r="AK12" s="2">
        <v>47111000000</v>
      </c>
      <c r="AL12" s="2">
        <v>47111000000</v>
      </c>
      <c r="AM12" s="2">
        <v>47111000000</v>
      </c>
      <c r="AN12" s="2">
        <v>47111000000</v>
      </c>
    </row>
    <row r="13" spans="1:40" x14ac:dyDescent="0.25">
      <c r="B13" t="s">
        <v>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B14" s="1" t="s">
        <v>49</v>
      </c>
      <c r="C14" s="2">
        <f>C11+C12</f>
        <v>859217000000</v>
      </c>
      <c r="D14" s="2">
        <f t="shared" ref="D14:AN14" si="0">D11+D12</f>
        <v>859217000000</v>
      </c>
      <c r="E14" s="2">
        <f t="shared" si="0"/>
        <v>859217000000</v>
      </c>
      <c r="F14" s="2">
        <f t="shared" si="0"/>
        <v>859217000000</v>
      </c>
      <c r="G14" s="2">
        <f t="shared" si="0"/>
        <v>859217000000</v>
      </c>
      <c r="H14" s="2">
        <f t="shared" si="0"/>
        <v>859217000000</v>
      </c>
      <c r="I14" s="2">
        <f t="shared" si="0"/>
        <v>859217000000</v>
      </c>
      <c r="J14" s="2">
        <f t="shared" si="0"/>
        <v>859217000000</v>
      </c>
      <c r="K14" s="2">
        <f t="shared" si="0"/>
        <v>859217000000</v>
      </c>
      <c r="L14" s="2">
        <f t="shared" si="0"/>
        <v>859217000000</v>
      </c>
      <c r="M14" s="2">
        <f t="shared" si="0"/>
        <v>859217000000</v>
      </c>
      <c r="N14" s="2">
        <f t="shared" si="0"/>
        <v>859217000000</v>
      </c>
      <c r="O14" s="2">
        <f t="shared" si="0"/>
        <v>859217000000</v>
      </c>
      <c r="P14" s="2">
        <f t="shared" si="0"/>
        <v>859217000000</v>
      </c>
      <c r="Q14" s="2">
        <f t="shared" si="0"/>
        <v>859217000000</v>
      </c>
      <c r="R14" s="2">
        <f t="shared" si="0"/>
        <v>859217000000</v>
      </c>
      <c r="S14" s="2">
        <f t="shared" si="0"/>
        <v>859217000000</v>
      </c>
      <c r="T14" s="2">
        <f t="shared" si="0"/>
        <v>859217000000</v>
      </c>
      <c r="U14" s="2">
        <f t="shared" si="0"/>
        <v>859217000000</v>
      </c>
      <c r="V14" s="2">
        <f t="shared" si="0"/>
        <v>859217000000</v>
      </c>
      <c r="W14" s="2">
        <f t="shared" si="0"/>
        <v>859217000000</v>
      </c>
      <c r="X14" s="2">
        <f t="shared" si="0"/>
        <v>859217000000</v>
      </c>
      <c r="Y14" s="2">
        <f t="shared" si="0"/>
        <v>859217000000</v>
      </c>
      <c r="Z14" s="2">
        <f t="shared" si="0"/>
        <v>859217000000</v>
      </c>
      <c r="AA14" s="2">
        <f t="shared" si="0"/>
        <v>859217000000</v>
      </c>
      <c r="AB14" s="2">
        <f t="shared" si="0"/>
        <v>859217000000</v>
      </c>
      <c r="AC14" s="2">
        <f t="shared" si="0"/>
        <v>859217000000</v>
      </c>
      <c r="AD14" s="2">
        <f t="shared" si="0"/>
        <v>859217000000</v>
      </c>
      <c r="AE14" s="2">
        <f t="shared" si="0"/>
        <v>859217000000</v>
      </c>
      <c r="AF14" s="2">
        <f t="shared" si="0"/>
        <v>859217000000</v>
      </c>
      <c r="AG14" s="2">
        <f t="shared" si="0"/>
        <v>859217000000</v>
      </c>
      <c r="AH14" s="2">
        <f t="shared" si="0"/>
        <v>859217000000</v>
      </c>
      <c r="AI14" s="2">
        <f t="shared" si="0"/>
        <v>859217000000</v>
      </c>
      <c r="AJ14" s="2">
        <f t="shared" si="0"/>
        <v>859217000000</v>
      </c>
      <c r="AK14" s="2">
        <f t="shared" si="0"/>
        <v>859217000000</v>
      </c>
      <c r="AL14" s="2">
        <f t="shared" si="0"/>
        <v>859217000000</v>
      </c>
      <c r="AM14" s="2">
        <f t="shared" si="0"/>
        <v>859217000000</v>
      </c>
      <c r="AN14" s="2">
        <f t="shared" si="0"/>
        <v>859217000000</v>
      </c>
    </row>
    <row r="15" spans="1:40" x14ac:dyDescent="0.25">
      <c r="A15" s="1" t="s">
        <v>46</v>
      </c>
      <c r="B15" t="s">
        <v>32</v>
      </c>
      <c r="C15">
        <v>2023</v>
      </c>
      <c r="D15">
        <v>2024</v>
      </c>
      <c r="E15">
        <v>2025</v>
      </c>
      <c r="F15">
        <v>2026</v>
      </c>
      <c r="G15">
        <v>2027</v>
      </c>
      <c r="H15">
        <v>2028</v>
      </c>
      <c r="I15">
        <v>2029</v>
      </c>
      <c r="J15">
        <v>2030</v>
      </c>
      <c r="K15">
        <v>2031</v>
      </c>
      <c r="L15">
        <v>2032</v>
      </c>
      <c r="M15">
        <v>2033</v>
      </c>
      <c r="N15">
        <v>2034</v>
      </c>
      <c r="O15">
        <v>2035</v>
      </c>
      <c r="P15">
        <v>2036</v>
      </c>
      <c r="Q15">
        <v>2037</v>
      </c>
      <c r="R15">
        <v>2038</v>
      </c>
      <c r="S15">
        <v>2039</v>
      </c>
      <c r="T15">
        <v>2040</v>
      </c>
      <c r="U15">
        <v>2041</v>
      </c>
      <c r="V15">
        <v>2042</v>
      </c>
      <c r="W15">
        <v>2043</v>
      </c>
      <c r="X15">
        <v>2044</v>
      </c>
      <c r="Y15">
        <v>2045</v>
      </c>
      <c r="Z15">
        <v>2046</v>
      </c>
      <c r="AA15">
        <v>2047</v>
      </c>
      <c r="AB15">
        <v>2048</v>
      </c>
      <c r="AC15">
        <v>2049</v>
      </c>
      <c r="AD15">
        <v>2050</v>
      </c>
      <c r="AE15">
        <v>2051</v>
      </c>
      <c r="AF15">
        <v>2052</v>
      </c>
      <c r="AG15">
        <v>2053</v>
      </c>
      <c r="AH15">
        <v>2054</v>
      </c>
      <c r="AI15">
        <v>2055</v>
      </c>
      <c r="AJ15">
        <v>2056</v>
      </c>
      <c r="AK15">
        <v>2057</v>
      </c>
      <c r="AL15">
        <v>2058</v>
      </c>
      <c r="AM15">
        <v>2059</v>
      </c>
      <c r="AN15">
        <v>2060</v>
      </c>
    </row>
    <row r="16" spans="1:40" x14ac:dyDescent="0.25">
      <c r="B16" t="s">
        <v>33</v>
      </c>
      <c r="C16" s="2">
        <v>-1223090000000000</v>
      </c>
      <c r="D16" s="2">
        <v>-1223920000000000</v>
      </c>
      <c r="E16" s="2">
        <v>-1225090000000000</v>
      </c>
      <c r="F16" s="2">
        <v>-1226570000000000</v>
      </c>
      <c r="G16" s="2">
        <v>-1228380000000000</v>
      </c>
      <c r="H16" s="2">
        <v>-1230520000000000</v>
      </c>
      <c r="I16" s="2">
        <v>-1232990000000000</v>
      </c>
      <c r="J16" s="2">
        <v>-1235780000000000</v>
      </c>
      <c r="K16" s="2">
        <v>-1237580000000000</v>
      </c>
      <c r="L16" s="2">
        <v>-1239550000000000</v>
      </c>
      <c r="M16" s="2">
        <v>-1241710000000000</v>
      </c>
      <c r="N16" s="2">
        <v>-1244050000000000</v>
      </c>
      <c r="O16" s="2">
        <v>-1246560000000000</v>
      </c>
      <c r="P16" s="2">
        <v>-1249260000000000</v>
      </c>
      <c r="Q16" s="2">
        <v>-1252130000000000</v>
      </c>
      <c r="R16" s="2">
        <v>-1255190000000000</v>
      </c>
      <c r="S16" s="2">
        <v>-1258420000000000</v>
      </c>
      <c r="T16" s="2">
        <v>-1261830000000000</v>
      </c>
      <c r="U16" s="2">
        <v>-1265430000000000</v>
      </c>
      <c r="V16" s="2">
        <v>-1269200000000000</v>
      </c>
      <c r="W16" s="2">
        <v>-1273150000000000</v>
      </c>
      <c r="X16" s="2">
        <v>-1277280000000000</v>
      </c>
      <c r="Y16" s="2">
        <v>-1281590000000000</v>
      </c>
      <c r="Z16" s="2">
        <v>-1286080000000000</v>
      </c>
      <c r="AA16" s="2">
        <v>-1290750000000000</v>
      </c>
      <c r="AB16" s="2">
        <v>-1295600000000000</v>
      </c>
      <c r="AC16" s="2">
        <v>-1300630000000000</v>
      </c>
      <c r="AD16" s="2">
        <v>-1305840000000000</v>
      </c>
      <c r="AE16" s="2">
        <v>-1311230000000000</v>
      </c>
      <c r="AF16" s="2">
        <v>-1316800000000000</v>
      </c>
      <c r="AG16" s="2">
        <v>-1322540000000000</v>
      </c>
      <c r="AH16" s="2">
        <v>-1328470000000000</v>
      </c>
      <c r="AI16" s="2">
        <v>-1334580000000000</v>
      </c>
      <c r="AJ16" s="2">
        <v>-1340860000000000</v>
      </c>
      <c r="AK16" s="2">
        <v>-1347330000000000</v>
      </c>
      <c r="AL16" s="2">
        <v>-1353970000000000</v>
      </c>
      <c r="AM16" s="2">
        <v>-1360800000000000</v>
      </c>
      <c r="AN16" s="2">
        <v>-1367800000000000</v>
      </c>
    </row>
    <row r="17" spans="2:40" x14ac:dyDescent="0.25">
      <c r="B17" t="s">
        <v>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2:40" x14ac:dyDescent="0.25">
      <c r="B18" t="s">
        <v>35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2:40" x14ac:dyDescent="0.25">
      <c r="B19" t="s">
        <v>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2:40" x14ac:dyDescent="0.25">
      <c r="B20" t="s">
        <v>37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2:40" x14ac:dyDescent="0.25">
      <c r="B21" t="s">
        <v>38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2:40" x14ac:dyDescent="0.25">
      <c r="B22" t="s">
        <v>39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2:40" x14ac:dyDescent="0.25">
      <c r="B23" t="s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2:40" x14ac:dyDescent="0.25">
      <c r="B24" t="s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2:40" x14ac:dyDescent="0.25">
      <c r="B25" t="s">
        <v>42</v>
      </c>
      <c r="C25" s="2">
        <v>812346000000</v>
      </c>
      <c r="D25" s="2">
        <v>812899000000</v>
      </c>
      <c r="E25" s="2">
        <v>813670000000</v>
      </c>
      <c r="F25" s="2">
        <v>814657000000</v>
      </c>
      <c r="G25" s="2">
        <v>815860000000</v>
      </c>
      <c r="H25" s="2">
        <v>817281000000</v>
      </c>
      <c r="I25" s="2">
        <v>818918000000</v>
      </c>
      <c r="J25" s="2">
        <v>820771000000</v>
      </c>
      <c r="K25" s="2">
        <v>821965000000</v>
      </c>
      <c r="L25" s="2">
        <v>823277000000</v>
      </c>
      <c r="M25" s="2">
        <v>824709000000</v>
      </c>
      <c r="N25" s="2">
        <v>826260000000</v>
      </c>
      <c r="O25" s="2">
        <v>827931000000</v>
      </c>
      <c r="P25" s="2">
        <v>829720000000</v>
      </c>
      <c r="Q25" s="2">
        <v>831629000000</v>
      </c>
      <c r="R25" s="2">
        <v>833657000000</v>
      </c>
      <c r="S25" s="2">
        <v>835804000000</v>
      </c>
      <c r="T25" s="2">
        <v>838070000000</v>
      </c>
      <c r="U25" s="2">
        <v>840456000000</v>
      </c>
      <c r="V25" s="2">
        <v>842961000000</v>
      </c>
      <c r="W25" s="2">
        <v>845585000000</v>
      </c>
      <c r="X25" s="2">
        <v>848328000000</v>
      </c>
      <c r="Y25" s="2">
        <v>851190000000</v>
      </c>
      <c r="Z25" s="2">
        <v>854172000000</v>
      </c>
      <c r="AA25" s="2">
        <v>857273000000</v>
      </c>
      <c r="AB25" s="2">
        <v>860493000000</v>
      </c>
      <c r="AC25" s="2">
        <v>863833000000</v>
      </c>
      <c r="AD25" s="2">
        <v>867291000000</v>
      </c>
      <c r="AE25" s="2">
        <v>870869000000</v>
      </c>
      <c r="AF25" s="2">
        <v>874566000000</v>
      </c>
      <c r="AG25" s="2">
        <v>878382000000</v>
      </c>
      <c r="AH25" s="2">
        <v>882318000000</v>
      </c>
      <c r="AI25" s="2">
        <v>886372000000</v>
      </c>
      <c r="AJ25" s="2">
        <v>890546000000</v>
      </c>
      <c r="AK25" s="2">
        <v>894839000000</v>
      </c>
      <c r="AL25" s="2">
        <v>899252000000</v>
      </c>
      <c r="AM25" s="2">
        <v>903783000000</v>
      </c>
      <c r="AN25" s="2">
        <v>908434000000</v>
      </c>
    </row>
    <row r="26" spans="2:40" x14ac:dyDescent="0.25">
      <c r="B26" t="s">
        <v>43</v>
      </c>
      <c r="C26" s="2">
        <v>47124900000</v>
      </c>
      <c r="D26" s="2">
        <v>47157000000</v>
      </c>
      <c r="E26" s="2">
        <v>47201700000</v>
      </c>
      <c r="F26" s="2">
        <v>47258900000</v>
      </c>
      <c r="G26" s="2">
        <v>47328700000</v>
      </c>
      <c r="H26" s="2">
        <v>47411100000</v>
      </c>
      <c r="I26" s="2">
        <v>47506000000</v>
      </c>
      <c r="J26" s="2">
        <v>47613400000</v>
      </c>
      <c r="K26" s="2">
        <v>47682600000</v>
      </c>
      <c r="L26" s="2">
        <v>47758700000</v>
      </c>
      <c r="M26" s="2">
        <v>47841800000</v>
      </c>
      <c r="N26" s="2">
        <v>47931700000</v>
      </c>
      <c r="O26" s="2">
        <v>48028500000</v>
      </c>
      <c r="P26" s="2">
        <v>48132300000</v>
      </c>
      <c r="Q26" s="2">
        <v>48243000000</v>
      </c>
      <c r="R26" s="2">
        <v>48360600000</v>
      </c>
      <c r="S26" s="2">
        <v>48485100000</v>
      </c>
      <c r="T26" s="2">
        <v>48616500000</v>
      </c>
      <c r="U26" s="2">
        <v>48754800000</v>
      </c>
      <c r="V26" s="2">
        <v>48900000000</v>
      </c>
      <c r="W26" s="2">
        <v>49052200000</v>
      </c>
      <c r="X26" s="2">
        <v>49211200000</v>
      </c>
      <c r="Y26" s="2">
        <v>49377200000</v>
      </c>
      <c r="Z26" s="2">
        <v>49550100000</v>
      </c>
      <c r="AA26" s="2">
        <v>49729900000</v>
      </c>
      <c r="AB26" s="2">
        <v>49916600000</v>
      </c>
      <c r="AC26" s="2">
        <v>50110200000</v>
      </c>
      <c r="AD26" s="2">
        <v>50310700000</v>
      </c>
      <c r="AE26" s="2">
        <v>50518200000</v>
      </c>
      <c r="AF26" s="2">
        <v>50732600000</v>
      </c>
      <c r="AG26" s="2">
        <v>50953800000</v>
      </c>
      <c r="AH26" s="2">
        <v>51182000000</v>
      </c>
      <c r="AI26" s="2">
        <v>51417100000</v>
      </c>
      <c r="AJ26" s="2">
        <v>51659100000</v>
      </c>
      <c r="AK26" s="2">
        <v>51908000000</v>
      </c>
      <c r="AL26" s="2">
        <v>52163900000</v>
      </c>
      <c r="AM26" s="2">
        <v>52426600000</v>
      </c>
      <c r="AN26" s="2">
        <v>52696300000</v>
      </c>
    </row>
    <row r="27" spans="2:40" x14ac:dyDescent="0.25">
      <c r="B27" t="s"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2:40" x14ac:dyDescent="0.25">
      <c r="B28" s="1" t="s">
        <v>50</v>
      </c>
      <c r="C28" s="2">
        <f>C25+C26</f>
        <v>859470900000</v>
      </c>
      <c r="D28" s="2">
        <f t="shared" ref="D28:AN28" si="1">D25+D26</f>
        <v>860056000000</v>
      </c>
      <c r="E28" s="2">
        <f t="shared" si="1"/>
        <v>860871700000</v>
      </c>
      <c r="F28" s="2">
        <f t="shared" si="1"/>
        <v>861915900000</v>
      </c>
      <c r="G28" s="2">
        <f t="shared" si="1"/>
        <v>863188700000</v>
      </c>
      <c r="H28" s="2">
        <f t="shared" si="1"/>
        <v>864692100000</v>
      </c>
      <c r="I28" s="2">
        <f t="shared" si="1"/>
        <v>866424000000</v>
      </c>
      <c r="J28" s="2">
        <f t="shared" si="1"/>
        <v>868384400000</v>
      </c>
      <c r="K28" s="2">
        <f t="shared" si="1"/>
        <v>869647600000</v>
      </c>
      <c r="L28" s="2">
        <f t="shared" si="1"/>
        <v>871035700000</v>
      </c>
      <c r="M28" s="2">
        <f t="shared" si="1"/>
        <v>872550800000</v>
      </c>
      <c r="N28" s="2">
        <f t="shared" si="1"/>
        <v>874191700000</v>
      </c>
      <c r="O28" s="2">
        <f t="shared" si="1"/>
        <v>875959500000</v>
      </c>
      <c r="P28" s="2">
        <f t="shared" si="1"/>
        <v>877852300000</v>
      </c>
      <c r="Q28" s="2">
        <f t="shared" si="1"/>
        <v>879872000000</v>
      </c>
      <c r="R28" s="2">
        <f t="shared" si="1"/>
        <v>882017600000</v>
      </c>
      <c r="S28" s="2">
        <f t="shared" si="1"/>
        <v>884289100000</v>
      </c>
      <c r="T28" s="2">
        <f t="shared" si="1"/>
        <v>886686500000</v>
      </c>
      <c r="U28" s="2">
        <f t="shared" si="1"/>
        <v>889210800000</v>
      </c>
      <c r="V28" s="2">
        <f t="shared" si="1"/>
        <v>891861000000</v>
      </c>
      <c r="W28" s="2">
        <f t="shared" si="1"/>
        <v>894637200000</v>
      </c>
      <c r="X28" s="2">
        <f t="shared" si="1"/>
        <v>897539200000</v>
      </c>
      <c r="Y28" s="2">
        <f t="shared" si="1"/>
        <v>900567200000</v>
      </c>
      <c r="Z28" s="2">
        <f t="shared" si="1"/>
        <v>903722100000</v>
      </c>
      <c r="AA28" s="2">
        <f t="shared" si="1"/>
        <v>907002900000</v>
      </c>
      <c r="AB28" s="2">
        <f t="shared" si="1"/>
        <v>910409600000</v>
      </c>
      <c r="AC28" s="2">
        <f t="shared" si="1"/>
        <v>913943200000</v>
      </c>
      <c r="AD28" s="2">
        <f t="shared" si="1"/>
        <v>917601700000</v>
      </c>
      <c r="AE28" s="2">
        <f t="shared" si="1"/>
        <v>921387200000</v>
      </c>
      <c r="AF28" s="2">
        <f t="shared" si="1"/>
        <v>925298600000</v>
      </c>
      <c r="AG28" s="2">
        <f t="shared" si="1"/>
        <v>929335800000</v>
      </c>
      <c r="AH28" s="2">
        <f t="shared" si="1"/>
        <v>933500000000</v>
      </c>
      <c r="AI28" s="2">
        <f t="shared" si="1"/>
        <v>937789100000</v>
      </c>
      <c r="AJ28" s="2">
        <f t="shared" si="1"/>
        <v>942205100000</v>
      </c>
      <c r="AK28" s="2">
        <f t="shared" si="1"/>
        <v>946747000000</v>
      </c>
      <c r="AL28" s="2">
        <f t="shared" si="1"/>
        <v>951415900000</v>
      </c>
      <c r="AM28" s="2">
        <f t="shared" si="1"/>
        <v>956209600000</v>
      </c>
      <c r="AN28" s="2">
        <f t="shared" si="1"/>
        <v>961130300000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ccs</vt:lpstr>
      <vt:lpstr>土地利用</vt:lpstr>
      <vt:lpstr>land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逸群 何</cp:lastModifiedBy>
  <dcterms:created xsi:type="dcterms:W3CDTF">2023-05-12T11:15:00Z</dcterms:created>
  <dcterms:modified xsi:type="dcterms:W3CDTF">2024-12-06T07:36:22Z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