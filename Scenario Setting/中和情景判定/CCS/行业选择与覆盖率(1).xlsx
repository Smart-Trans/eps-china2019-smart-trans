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CCS\"/>
    </mc:Choice>
  </mc:AlternateContent>
  <xr:revisionPtr revIDLastSave="0" documentId="13_ncr:1_{82A47548-F38B-48EC-BE33-01F34E167D15}" xr6:coauthVersionLast="47" xr6:coauthVersionMax="47" xr10:uidLastSave="{00000000-0000-0000-0000-000000000000}"/>
  <bookViews>
    <workbookView xWindow="28665" yWindow="-135" windowWidth="29070" windowHeight="15750" activeTab="4" xr2:uid="{00000000-000D-0000-FFFF-FFFF00000000}"/>
  </bookViews>
  <sheets>
    <sheet name="草稿" sheetId="1" r:id="rId1"/>
    <sheet name="应用行业" sheetId="8" r:id="rId2"/>
    <sheet name="工业燃料渗透率" sheetId="2" r:id="rId3"/>
    <sheet name="工业过程渗透率" sheetId="3" r:id="rId4"/>
    <sheet name="电力渗透率" sheetId="4" r:id="rId5"/>
    <sheet name="资本成本" sheetId="5" r:id="rId6"/>
    <sheet name="运维成本" sheetId="7" r:id="rId7"/>
    <sheet name="能源消耗" sheetId="6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4" l="1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H47" i="4"/>
  <c r="H53" i="4"/>
  <c r="H56" i="4"/>
  <c r="H57" i="4"/>
  <c r="H61" i="4"/>
  <c r="H46" i="4"/>
  <c r="AP40" i="3"/>
  <c r="AP43" i="3"/>
  <c r="AP44" i="3"/>
  <c r="AP53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B43" i="3"/>
  <c r="B44" i="3"/>
  <c r="B53" i="3"/>
  <c r="B40" i="3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B39" i="2"/>
  <c r="B42" i="2"/>
  <c r="B43" i="2"/>
  <c r="B38" i="2"/>
  <c r="C63" i="6" l="1"/>
  <c r="C59" i="6"/>
  <c r="C58" i="6"/>
  <c r="C57" i="6"/>
  <c r="C53" i="6"/>
  <c r="C52" i="6"/>
  <c r="C51" i="6"/>
  <c r="C50" i="6"/>
  <c r="C49" i="6"/>
  <c r="C48" i="6"/>
  <c r="C47" i="6"/>
  <c r="C44" i="6"/>
  <c r="C43" i="6"/>
  <c r="C42" i="6"/>
  <c r="C41" i="6"/>
  <c r="C40" i="6"/>
  <c r="C35" i="6"/>
  <c r="C34" i="6"/>
  <c r="C33" i="6"/>
  <c r="C32" i="6"/>
  <c r="C31" i="6"/>
  <c r="C26" i="6"/>
  <c r="C24" i="6"/>
  <c r="C23" i="6"/>
  <c r="C22" i="6"/>
  <c r="C21" i="6"/>
  <c r="C15" i="6"/>
  <c r="C11" i="6"/>
  <c r="C9" i="6"/>
  <c r="C5" i="6"/>
  <c r="C4" i="6"/>
  <c r="C3" i="6"/>
  <c r="E2" i="6" a="1"/>
  <c r="E2" i="6"/>
  <c r="C2" i="6"/>
  <c r="C16" i="7"/>
  <c r="C11" i="7"/>
  <c r="C9" i="7"/>
  <c r="F5" i="7"/>
  <c r="C5" i="7"/>
  <c r="C4" i="7"/>
  <c r="F3" i="7"/>
  <c r="C3" i="7"/>
  <c r="F2" i="7"/>
  <c r="E2" i="7" a="1"/>
  <c r="E2" i="7"/>
  <c r="C2" i="7"/>
  <c r="C89" i="5"/>
  <c r="E88" i="5"/>
  <c r="C85" i="5"/>
  <c r="C84" i="5"/>
  <c r="C80" i="5"/>
  <c r="F78" i="5"/>
  <c r="F77" i="5"/>
  <c r="C74" i="5"/>
  <c r="C73" i="5"/>
  <c r="D71" i="5"/>
  <c r="C71" i="5"/>
  <c r="C66" i="5"/>
  <c r="E61" i="5"/>
  <c r="E60" i="5"/>
  <c r="E55" i="5"/>
  <c r="E54" i="5"/>
  <c r="C47" i="5"/>
  <c r="E46" i="5"/>
  <c r="C46" i="5"/>
  <c r="E45" i="5"/>
  <c r="C37" i="5"/>
  <c r="E36" i="5"/>
  <c r="C36" i="5"/>
  <c r="E35" i="5"/>
  <c r="E26" i="5"/>
  <c r="C26" i="5"/>
  <c r="E25" i="5"/>
  <c r="C13" i="5"/>
  <c r="C12" i="5"/>
  <c r="C11" i="5"/>
  <c r="C10" i="5"/>
  <c r="C9" i="5"/>
  <c r="C8" i="5"/>
  <c r="C7" i="5"/>
  <c r="C6" i="5"/>
  <c r="C5" i="5"/>
  <c r="C4" i="5"/>
  <c r="C3" i="5"/>
  <c r="C2" i="5"/>
  <c r="M39" i="4"/>
  <c r="L39" i="4"/>
  <c r="K39" i="4"/>
  <c r="J39" i="4"/>
  <c r="I39" i="4"/>
  <c r="H39" i="4"/>
  <c r="G39" i="4"/>
  <c r="F39" i="4"/>
  <c r="E39" i="4"/>
  <c r="M38" i="4"/>
  <c r="L38" i="4"/>
  <c r="K38" i="4"/>
  <c r="J38" i="4"/>
  <c r="I38" i="4"/>
  <c r="H38" i="4"/>
  <c r="G38" i="4"/>
  <c r="F38" i="4"/>
  <c r="E38" i="4"/>
  <c r="M37" i="4"/>
  <c r="L37" i="4"/>
  <c r="K37" i="4"/>
  <c r="J37" i="4"/>
  <c r="I37" i="4"/>
  <c r="H37" i="4"/>
  <c r="G37" i="4"/>
  <c r="F37" i="4"/>
  <c r="E37" i="4"/>
  <c r="N59" i="1"/>
  <c r="O51" i="1"/>
  <c r="D30" i="1"/>
  <c r="D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<sst xmlns="http://schemas.openxmlformats.org/spreadsheetml/2006/main" count="738" uniqueCount="446">
  <si>
    <t>EPS 行业</t>
  </si>
  <si>
    <t>CGE</t>
  </si>
  <si>
    <t>2017年排放</t>
  </si>
  <si>
    <t>电力</t>
  </si>
  <si>
    <t>电力中分为</t>
  </si>
  <si>
    <t>agriculture and forestry</t>
  </si>
  <si>
    <t>1 Crops</t>
  </si>
  <si>
    <t>hard coal</t>
  </si>
  <si>
    <r>
      <rPr>
        <b/>
        <sz val="11"/>
        <color theme="1"/>
        <rFont val="宋体"/>
        <charset val="134"/>
        <scheme val="minor"/>
      </rPr>
      <t>hard coal</t>
    </r>
    <r>
      <rPr>
        <sz val="11"/>
        <color theme="1"/>
        <rFont val="宋体"/>
        <charset val="134"/>
        <scheme val="minor"/>
      </rPr>
      <t xml:space="preserve"> - 硬煤</t>
    </r>
  </si>
  <si>
    <t>含碳量70%-90%</t>
  </si>
  <si>
    <t>coal mining</t>
  </si>
  <si>
    <t>2 Forestry</t>
  </si>
  <si>
    <t>natural gas nonpeaker</t>
  </si>
  <si>
    <r>
      <rPr>
        <b/>
        <sz val="11"/>
        <color theme="1"/>
        <rFont val="宋体"/>
        <charset val="134"/>
        <scheme val="minor"/>
      </rPr>
      <t>natural gas nonpeaker</t>
    </r>
    <r>
      <rPr>
        <sz val="11"/>
        <color theme="1"/>
        <rFont val="宋体"/>
        <charset val="134"/>
        <scheme val="minor"/>
      </rPr>
      <t xml:space="preserve"> - 非调峰天然气</t>
    </r>
  </si>
  <si>
    <t>oil and gas extraction</t>
  </si>
  <si>
    <t>3 Livestock</t>
  </si>
  <si>
    <t>nuclear (NOT USED)</t>
  </si>
  <si>
    <r>
      <rPr>
        <b/>
        <sz val="11"/>
        <color theme="1"/>
        <rFont val="宋体"/>
        <charset val="134"/>
        <scheme val="minor"/>
      </rPr>
      <t>nuclear (NOT USED)</t>
    </r>
    <r>
      <rPr>
        <sz val="11"/>
        <color theme="1"/>
        <rFont val="宋体"/>
        <charset val="134"/>
        <scheme val="minor"/>
      </rPr>
      <t xml:space="preserve"> - 核能（未使用）</t>
    </r>
  </si>
  <si>
    <t>other mining and quarrying</t>
  </si>
  <si>
    <t>4 Fishing</t>
  </si>
  <si>
    <t>hydro (NOT USED)</t>
  </si>
  <si>
    <r>
      <rPr>
        <b/>
        <sz val="11"/>
        <color theme="1"/>
        <rFont val="宋体"/>
        <charset val="134"/>
        <scheme val="minor"/>
      </rPr>
      <t>hydro (NOT USED)</t>
    </r>
    <r>
      <rPr>
        <sz val="11"/>
        <color theme="1"/>
        <rFont val="宋体"/>
        <charset val="134"/>
        <scheme val="minor"/>
      </rPr>
      <t xml:space="preserve"> - 水力（未使用）</t>
    </r>
  </si>
  <si>
    <t>food, beverage, and tobacco</t>
  </si>
  <si>
    <t>5 AgriSrvces</t>
  </si>
  <si>
    <t>onshore wind (NOT USED)</t>
  </si>
  <si>
    <r>
      <rPr>
        <b/>
        <sz val="11"/>
        <color theme="1"/>
        <rFont val="宋体"/>
        <charset val="134"/>
        <scheme val="minor"/>
      </rPr>
      <t>onshore wind (NOT USED)</t>
    </r>
    <r>
      <rPr>
        <sz val="11"/>
        <color theme="1"/>
        <rFont val="宋体"/>
        <charset val="134"/>
        <scheme val="minor"/>
      </rPr>
      <t xml:space="preserve"> - 陆上风能（未使用）</t>
    </r>
  </si>
  <si>
    <t>textiles, apparel, and leather</t>
  </si>
  <si>
    <t>6 CoalMineProc</t>
  </si>
  <si>
    <t>solar PV (NOT USED)</t>
  </si>
  <si>
    <r>
      <rPr>
        <b/>
        <sz val="11"/>
        <color theme="1"/>
        <rFont val="宋体"/>
        <charset val="134"/>
        <scheme val="minor"/>
      </rPr>
      <t>solar PV (NOT USED)</t>
    </r>
    <r>
      <rPr>
        <sz val="11"/>
        <color theme="1"/>
        <rFont val="宋体"/>
        <charset val="134"/>
        <scheme val="minor"/>
      </rPr>
      <t xml:space="preserve"> - 太阳能光伏（未使用）</t>
    </r>
  </si>
  <si>
    <t>wood products</t>
  </si>
  <si>
    <t>7 CrudeOil</t>
  </si>
  <si>
    <t>solar thermal (NOT USED)</t>
  </si>
  <si>
    <r>
      <rPr>
        <b/>
        <sz val="11"/>
        <color theme="1"/>
        <rFont val="宋体"/>
        <charset val="134"/>
        <scheme val="minor"/>
      </rPr>
      <t>solar thermal (NOT USED)</t>
    </r>
    <r>
      <rPr>
        <sz val="11"/>
        <color theme="1"/>
        <rFont val="宋体"/>
        <charset val="134"/>
        <scheme val="minor"/>
      </rPr>
      <t xml:space="preserve"> - 太阳能热能（未使用）</t>
    </r>
  </si>
  <si>
    <t>pulp, paper, and printing</t>
  </si>
  <si>
    <t>8 Gas_Cnv</t>
  </si>
  <si>
    <t>biomass</t>
  </si>
  <si>
    <r>
      <rPr>
        <b/>
        <sz val="11"/>
        <color theme="1"/>
        <rFont val="宋体"/>
        <charset val="134"/>
        <scheme val="minor"/>
      </rPr>
      <t>biomass</t>
    </r>
    <r>
      <rPr>
        <sz val="11"/>
        <color theme="1"/>
        <rFont val="宋体"/>
        <charset val="134"/>
        <scheme val="minor"/>
      </rPr>
      <t xml:space="preserve"> - 生物质能</t>
    </r>
  </si>
  <si>
    <t>refined petroleum and coke</t>
  </si>
  <si>
    <t>9 Gas_NCnv</t>
  </si>
  <si>
    <t>geothermal (NOT USED)</t>
  </si>
  <si>
    <r>
      <rPr>
        <b/>
        <sz val="11"/>
        <color theme="1"/>
        <rFont val="宋体"/>
        <charset val="134"/>
        <scheme val="minor"/>
      </rPr>
      <t>geothermal (NOT USED)</t>
    </r>
    <r>
      <rPr>
        <sz val="11"/>
        <color theme="1"/>
        <rFont val="宋体"/>
        <charset val="134"/>
        <scheme val="minor"/>
      </rPr>
      <t xml:space="preserve"> - 地热能（未使用）</t>
    </r>
  </si>
  <si>
    <t>chemicals</t>
  </si>
  <si>
    <t>10 FerrOre</t>
  </si>
  <si>
    <t>petroleum</t>
  </si>
  <si>
    <r>
      <rPr>
        <b/>
        <sz val="11"/>
        <color theme="1"/>
        <rFont val="宋体"/>
        <charset val="134"/>
        <scheme val="minor"/>
      </rPr>
      <t>petroleum</t>
    </r>
    <r>
      <rPr>
        <sz val="11"/>
        <color theme="1"/>
        <rFont val="宋体"/>
        <charset val="134"/>
        <scheme val="minor"/>
      </rPr>
      <t xml:space="preserve"> - 石油</t>
    </r>
  </si>
  <si>
    <t>rubber and plastic products</t>
  </si>
  <si>
    <t>11 NFerrOre</t>
  </si>
  <si>
    <t>natural gas peaker</t>
  </si>
  <si>
    <r>
      <rPr>
        <b/>
        <sz val="11"/>
        <color theme="1"/>
        <rFont val="宋体"/>
        <charset val="134"/>
        <scheme val="minor"/>
      </rPr>
      <t>natural gas peaker</t>
    </r>
    <r>
      <rPr>
        <sz val="11"/>
        <color theme="1"/>
        <rFont val="宋体"/>
        <charset val="134"/>
        <scheme val="minor"/>
      </rPr>
      <t xml:space="preserve"> - 调峰天然气</t>
    </r>
  </si>
  <si>
    <t>glass and glass products</t>
  </si>
  <si>
    <t>12 NMtlMine</t>
  </si>
  <si>
    <t>lignite</t>
  </si>
  <si>
    <r>
      <rPr>
        <b/>
        <sz val="11"/>
        <color theme="1"/>
        <rFont val="宋体"/>
        <charset val="134"/>
        <scheme val="minor"/>
      </rPr>
      <t>lignite</t>
    </r>
    <r>
      <rPr>
        <sz val="11"/>
        <color theme="1"/>
        <rFont val="宋体"/>
        <charset val="134"/>
        <scheme val="minor"/>
      </rPr>
      <t xml:space="preserve"> - 褐煤</t>
    </r>
  </si>
  <si>
    <t>含碳量25%-35%</t>
  </si>
  <si>
    <t>cement and other nonmetallic minerals</t>
  </si>
  <si>
    <t>13 MiningSrvces</t>
  </si>
  <si>
    <t>offshore wind (NOT USED)</t>
  </si>
  <si>
    <r>
      <rPr>
        <b/>
        <sz val="11"/>
        <color theme="1"/>
        <rFont val="宋体"/>
        <charset val="134"/>
        <scheme val="minor"/>
      </rPr>
      <t>offshore wind (NOT USED)</t>
    </r>
    <r>
      <rPr>
        <sz val="11"/>
        <color theme="1"/>
        <rFont val="宋体"/>
        <charset val="134"/>
        <scheme val="minor"/>
      </rPr>
      <t xml:space="preserve"> - 海上风能（未使用）</t>
    </r>
  </si>
  <si>
    <t>iron and steel</t>
  </si>
  <si>
    <t>14 GrainMillOil</t>
  </si>
  <si>
    <t>crude oil</t>
  </si>
  <si>
    <r>
      <rPr>
        <b/>
        <sz val="11"/>
        <color theme="1"/>
        <rFont val="宋体"/>
        <charset val="134"/>
        <scheme val="minor"/>
      </rPr>
      <t>crude oil</t>
    </r>
    <r>
      <rPr>
        <sz val="11"/>
        <color theme="1"/>
        <rFont val="宋体"/>
        <charset val="134"/>
        <scheme val="minor"/>
      </rPr>
      <t xml:space="preserve"> - 原油</t>
    </r>
  </si>
  <si>
    <t>other metals</t>
  </si>
  <si>
    <t>15 AnimalFood</t>
  </si>
  <si>
    <t>heavy or residual fuel oil</t>
  </si>
  <si>
    <r>
      <rPr>
        <b/>
        <sz val="11"/>
        <color theme="1"/>
        <rFont val="宋体"/>
        <charset val="134"/>
        <scheme val="minor"/>
      </rPr>
      <t>heavy or residual fuel oil</t>
    </r>
    <r>
      <rPr>
        <sz val="11"/>
        <color theme="1"/>
        <rFont val="宋体"/>
        <charset val="134"/>
        <scheme val="minor"/>
      </rPr>
      <t xml:space="preserve"> - 重油或残余燃料油</t>
    </r>
  </si>
  <si>
    <t>metal products except machinery and vehicles</t>
  </si>
  <si>
    <t>16 VegetOils</t>
  </si>
  <si>
    <t>municipal solid waste</t>
  </si>
  <si>
    <r>
      <rPr>
        <b/>
        <sz val="11"/>
        <color theme="1"/>
        <rFont val="宋体"/>
        <charset val="134"/>
        <scheme val="minor"/>
      </rPr>
      <t>municipal solid waste</t>
    </r>
    <r>
      <rPr>
        <sz val="11"/>
        <color theme="1"/>
        <rFont val="宋体"/>
        <charset val="134"/>
        <scheme val="minor"/>
      </rPr>
      <t xml:space="preserve"> - 城市固体废物</t>
    </r>
  </si>
  <si>
    <t>computers and electronics</t>
  </si>
  <si>
    <t>17 SugarRef</t>
  </si>
  <si>
    <t>appliances and electrical equipment</t>
  </si>
  <si>
    <t>18 MeatProds</t>
  </si>
  <si>
    <t>other machinery</t>
  </si>
  <si>
    <t>19 FishProc</t>
  </si>
  <si>
    <t>road vehicles</t>
  </si>
  <si>
    <t>20 VegFrtNuts</t>
  </si>
  <si>
    <t>燃烧排放选择</t>
  </si>
  <si>
    <t>过程排放选择</t>
  </si>
  <si>
    <t>电力安装CCS选择</t>
  </si>
  <si>
    <t>nonroad vehicles</t>
  </si>
  <si>
    <t>21 ConvenFoods</t>
  </si>
  <si>
    <t>水泥</t>
  </si>
  <si>
    <t>硬煤</t>
  </si>
  <si>
    <t>other manufacturing</t>
  </si>
  <si>
    <t>22 DairyProds</t>
  </si>
  <si>
    <t>钢铁</t>
  </si>
  <si>
    <t>天然气</t>
  </si>
  <si>
    <t>energy pipelines and gas processing</t>
  </si>
  <si>
    <t>23 FlavFermPrds</t>
  </si>
  <si>
    <t>化工</t>
  </si>
  <si>
    <t>油</t>
  </si>
  <si>
    <t>water and waste</t>
  </si>
  <si>
    <t>24 OtherFood</t>
  </si>
  <si>
    <t>能源管道与天然气处理</t>
  </si>
  <si>
    <t>生物质能</t>
  </si>
  <si>
    <t>construction</t>
  </si>
  <si>
    <t>25 AlcoholBev</t>
  </si>
  <si>
    <t>精炼油</t>
  </si>
  <si>
    <t>城市固体废物</t>
  </si>
  <si>
    <t>26 OtherBev</t>
  </si>
  <si>
    <t>27 PurifiedTea</t>
  </si>
  <si>
    <t>过程排放</t>
  </si>
  <si>
    <t>ipcc_code_2006_for_standard_report</t>
  </si>
  <si>
    <t>ipcc_code_2006_for_standard_report_name</t>
  </si>
  <si>
    <t>Y_2020</t>
  </si>
  <si>
    <t>水泥在非金属的燃料排放占比</t>
  </si>
  <si>
    <t>28 Tobacco</t>
  </si>
  <si>
    <t>1.A.1.a</t>
  </si>
  <si>
    <t>Main Activity Electricity and Heat Production</t>
  </si>
  <si>
    <t>水泥在非金属的过程排放占比</t>
  </si>
  <si>
    <t>29 CottonSpin</t>
  </si>
  <si>
    <t>1.A.2</t>
  </si>
  <si>
    <t>Manufacturing Industries and Construction</t>
  </si>
  <si>
    <t>天然气加工的过程排放占比</t>
  </si>
  <si>
    <t>30 WoolSpin</t>
  </si>
  <si>
    <t>1.A.3.b_noRES</t>
  </si>
  <si>
    <t>Road Transportation no resuspension</t>
  </si>
  <si>
    <t>31 HempSpin</t>
  </si>
  <si>
    <t>1.A.4</t>
  </si>
  <si>
    <t>Residential and other sectors</t>
  </si>
  <si>
    <t>32 KnitMill</t>
  </si>
  <si>
    <t>1.B.2</t>
  </si>
  <si>
    <t>Oil and Natural Gas</t>
  </si>
  <si>
    <t>33 TextProc</t>
  </si>
  <si>
    <t>3.C.1</t>
  </si>
  <si>
    <t>Emissions from biomass burning</t>
  </si>
  <si>
    <t>34 Apparel</t>
  </si>
  <si>
    <t>4.C</t>
  </si>
  <si>
    <t>Incineration and Open Burning of Waste</t>
  </si>
  <si>
    <t>35 Leather</t>
  </si>
  <si>
    <t>36 Footwear</t>
  </si>
  <si>
    <t>1.A.1.bc</t>
  </si>
  <si>
    <t>Petroleum Refining - Manufacture of Solid Fuels and Other Energy Industries</t>
  </si>
  <si>
    <t>37 WoodProds</t>
  </si>
  <si>
    <t>38 Furniture</t>
  </si>
  <si>
    <t>1.A.3.a</t>
  </si>
  <si>
    <t>Civil Aviation</t>
  </si>
  <si>
    <t>39 PaperProd</t>
  </si>
  <si>
    <t>40 PrintingRecd</t>
  </si>
  <si>
    <t>1.A.3.c</t>
  </si>
  <si>
    <t>Railways</t>
  </si>
  <si>
    <t>41 ArtsCrafts</t>
  </si>
  <si>
    <t>1.A.3.d</t>
  </si>
  <si>
    <t>Water-borne Navigation</t>
  </si>
  <si>
    <t>42 CultSportGds</t>
  </si>
  <si>
    <t>1.A.3.e</t>
  </si>
  <si>
    <t>Other Transportation</t>
  </si>
  <si>
    <t>43 PetrolRef</t>
  </si>
  <si>
    <t>44 Coking</t>
  </si>
  <si>
    <t>1.A.5</t>
  </si>
  <si>
    <t>Non-Specified</t>
  </si>
  <si>
    <t>45 BasicChem</t>
  </si>
  <si>
    <t>1.B.1</t>
  </si>
  <si>
    <t>Solid Fuels</t>
  </si>
  <si>
    <t>46 Fertlizr</t>
  </si>
  <si>
    <t>47 Pesticide</t>
  </si>
  <si>
    <t>2.A.1</t>
  </si>
  <si>
    <t>Cement production</t>
  </si>
  <si>
    <t>48 PaintsDyes</t>
  </si>
  <si>
    <t>2.A.2</t>
  </si>
  <si>
    <t>Lime production</t>
  </si>
  <si>
    <t>49 SynthtcMatrl</t>
  </si>
  <si>
    <t>2.A.3</t>
  </si>
  <si>
    <t>Glass Production</t>
  </si>
  <si>
    <t>50 SpecChemical</t>
  </si>
  <si>
    <t>2.A.4</t>
  </si>
  <si>
    <t>Other Process Uses of Carbonates</t>
  </si>
  <si>
    <t>51 ChemDly</t>
  </si>
  <si>
    <t>2.B</t>
  </si>
  <si>
    <t>Chemical Industry</t>
  </si>
  <si>
    <t>52 Medicine</t>
  </si>
  <si>
    <t>2.C</t>
  </si>
  <si>
    <t>Metal Industry</t>
  </si>
  <si>
    <t>53 ChemFibre</t>
  </si>
  <si>
    <t>2.D</t>
  </si>
  <si>
    <t>Non-Energy Products from Fuels and Solvent Use</t>
  </si>
  <si>
    <t>54 RubberPrd</t>
  </si>
  <si>
    <t>3.C.2</t>
  </si>
  <si>
    <t>Liming</t>
  </si>
  <si>
    <t>55 PlasticPrd</t>
  </si>
  <si>
    <t>3.C.3</t>
  </si>
  <si>
    <t>Urea application</t>
  </si>
  <si>
    <t>56 CementLime</t>
  </si>
  <si>
    <t>57 CmtLimePrds</t>
  </si>
  <si>
    <t>5.B</t>
  </si>
  <si>
    <t>Fossil fuel fires</t>
  </si>
  <si>
    <t>58 BrickStone</t>
  </si>
  <si>
    <t>59 Glass</t>
  </si>
  <si>
    <t>60 China</t>
  </si>
  <si>
    <t>61 Fireproof</t>
  </si>
  <si>
    <t>62 NMtlMinPr</t>
  </si>
  <si>
    <t>63 IronSmelt</t>
  </si>
  <si>
    <t>64 SteelSmelt</t>
  </si>
  <si>
    <t>65 FerroAlloy</t>
  </si>
  <si>
    <t>66 NFerrSmelt</t>
  </si>
  <si>
    <t>67 NFerrRoll</t>
  </si>
  <si>
    <t>68 ProcMetals</t>
  </si>
  <si>
    <t>69 Boilers</t>
  </si>
  <si>
    <t>70 MtlwrkMch</t>
  </si>
  <si>
    <t>71 Lifters</t>
  </si>
  <si>
    <t>72 PumpValvMach</t>
  </si>
  <si>
    <t>73 CultOffcMach</t>
  </si>
  <si>
    <t>74 OthMachinery</t>
  </si>
  <si>
    <t>75 MinMetConMch</t>
  </si>
  <si>
    <t>76 ChmTimNmtMch</t>
  </si>
  <si>
    <t>77 AgrForFshMch</t>
  </si>
  <si>
    <t>78 OthSpcEqp</t>
  </si>
  <si>
    <t>79 MotorVhc</t>
  </si>
  <si>
    <t>80 MVParts</t>
  </si>
  <si>
    <t>81 RailEqp</t>
  </si>
  <si>
    <t>82 Ships</t>
  </si>
  <si>
    <t>83 OthTransEqp</t>
  </si>
  <si>
    <t>84 Generators</t>
  </si>
  <si>
    <t>85 PwrTrnEqp</t>
  </si>
  <si>
    <t>86 WireCablOptc</t>
  </si>
  <si>
    <t>87 Batteries</t>
  </si>
  <si>
    <t>88 HhldElec</t>
  </si>
  <si>
    <t>89 OthElecEqp</t>
  </si>
  <si>
    <t>90 Computers</t>
  </si>
  <si>
    <t>91 CommunctnEqp</t>
  </si>
  <si>
    <t>92 BrdCstEqpRdr</t>
  </si>
  <si>
    <t>93 AudiovislEqp</t>
  </si>
  <si>
    <t>94 ElctronParts</t>
  </si>
  <si>
    <t>95 OthElctrnEqp</t>
  </si>
  <si>
    <t>96 OthMeasEqp</t>
  </si>
  <si>
    <t>97 OthManufact</t>
  </si>
  <si>
    <t>98 ScrapRecyc</t>
  </si>
  <si>
    <t>99 RepairMachEq</t>
  </si>
  <si>
    <t>100 HydroElec</t>
  </si>
  <si>
    <t>101 CoalElec</t>
  </si>
  <si>
    <t>102 GasElec</t>
  </si>
  <si>
    <t>103 NuclearElec</t>
  </si>
  <si>
    <t>104 Wind_OnSh</t>
  </si>
  <si>
    <t>105 Wind_OffSh</t>
  </si>
  <si>
    <t>106 SolarElec</t>
  </si>
  <si>
    <t>107 BioElec</t>
  </si>
  <si>
    <t>108 ElecDist</t>
  </si>
  <si>
    <t>109 GasSupply</t>
  </si>
  <si>
    <t>110 WaterSupply</t>
  </si>
  <si>
    <t>111 ResConstruct</t>
  </si>
  <si>
    <t>112 CivilEngCons</t>
  </si>
  <si>
    <t>113 InstaltnCons</t>
  </si>
  <si>
    <t>114 DecorCons</t>
  </si>
  <si>
    <t>115 WholesaleTrd</t>
  </si>
  <si>
    <t>116 RetailTrade</t>
  </si>
  <si>
    <t>117 RailPass</t>
  </si>
  <si>
    <t>118 RailFreight</t>
  </si>
  <si>
    <t>119 UrbanTrans</t>
  </si>
  <si>
    <t>120 RoadTrans</t>
  </si>
  <si>
    <t>121 WaterPasTrpt</t>
  </si>
  <si>
    <t>122 WaterCagTrpt</t>
  </si>
  <si>
    <t>123 AirPass</t>
  </si>
  <si>
    <t>124 AirFreight</t>
  </si>
  <si>
    <t>125 PipeTrns</t>
  </si>
  <si>
    <t>126 TransService</t>
  </si>
  <si>
    <t>127 Warehousing</t>
  </si>
  <si>
    <t>128 Post</t>
  </si>
  <si>
    <t>129 Hotels</t>
  </si>
  <si>
    <t>130 Restaurant</t>
  </si>
  <si>
    <t>131 Telecomms</t>
  </si>
  <si>
    <t>132 RTSTrService</t>
  </si>
  <si>
    <t>133 InternetServ</t>
  </si>
  <si>
    <t>134 SftwarServic</t>
  </si>
  <si>
    <t>135 ITService</t>
  </si>
  <si>
    <t>136 MonetServ</t>
  </si>
  <si>
    <t>137 Finance</t>
  </si>
  <si>
    <t>138 Insurance</t>
  </si>
  <si>
    <t>139 RealEstate</t>
  </si>
  <si>
    <t>140 Leasing</t>
  </si>
  <si>
    <t>141 BusinessSrv</t>
  </si>
  <si>
    <t>142 Research</t>
  </si>
  <si>
    <t>143 TechSrvc</t>
  </si>
  <si>
    <t>144 SciTechSvc</t>
  </si>
  <si>
    <t>145 WaterTechSvc</t>
  </si>
  <si>
    <t>146 EcoEnvManage</t>
  </si>
  <si>
    <t>147 PubFacltyMan</t>
  </si>
  <si>
    <t>148 ResidentSrvc</t>
  </si>
  <si>
    <t>149 OthService</t>
  </si>
  <si>
    <t>150 Education</t>
  </si>
  <si>
    <t>151 Health</t>
  </si>
  <si>
    <t>152 SocialWork</t>
  </si>
  <si>
    <t>153 JournlPublsh</t>
  </si>
  <si>
    <t>154 ArtsFilmTV</t>
  </si>
  <si>
    <t>155 CulturalArt</t>
  </si>
  <si>
    <t>156 Sports</t>
  </si>
  <si>
    <t>157 Entertainmnt</t>
  </si>
  <si>
    <t>158 SocWelfare</t>
  </si>
  <si>
    <t>159 PublicAdmin</t>
  </si>
  <si>
    <t>160 Residential</t>
  </si>
  <si>
    <t>Total</t>
  </si>
  <si>
    <t>Unit: dimentionless (fraction of CO2 capturable)</t>
  </si>
  <si>
    <t>energy related emissions</t>
  </si>
  <si>
    <t>process emissions</t>
  </si>
  <si>
    <t>agriculture and forestry 01T03</t>
  </si>
  <si>
    <t>coal mining 05</t>
  </si>
  <si>
    <t>nuclear</t>
  </si>
  <si>
    <t>oil and gas extraction 06</t>
  </si>
  <si>
    <t>hydro</t>
  </si>
  <si>
    <t>other mining and quarrying 07T08</t>
  </si>
  <si>
    <t>onshore wind</t>
  </si>
  <si>
    <t>food beverage and tobacco 10T12</t>
  </si>
  <si>
    <t>solar PV</t>
  </si>
  <si>
    <t>textiles apparel and leather 13T15</t>
  </si>
  <si>
    <t>solar thermal</t>
  </si>
  <si>
    <t>wood products 16</t>
  </si>
  <si>
    <t>pulp paper and printing 17T18</t>
  </si>
  <si>
    <t>geothermal</t>
  </si>
  <si>
    <t>refined petroleum and coke 19</t>
  </si>
  <si>
    <t>chemicals 20</t>
  </si>
  <si>
    <t>rubber and plastic products 22</t>
  </si>
  <si>
    <t>glass and glass products 231</t>
  </si>
  <si>
    <t>offshore wind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</si>
  <si>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</si>
  <si>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</si>
  <si>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</si>
  <si>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</si>
  <si>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</si>
  <si>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</si>
  <si>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</si>
  <si>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</si>
  <si>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</si>
  <si>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</si>
  <si>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</si>
  <si>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</si>
  <si>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</si>
  <si>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 (fraction of potential achieved)</t>
  </si>
  <si>
    <t>Data source</t>
  </si>
  <si>
    <t>https://doi.org/10.1016/j.ccst.2023.100112</t>
  </si>
  <si>
    <t>Obtain the pathway data for achieving 2030 peak emissions.</t>
  </si>
  <si>
    <t>Coal</t>
  </si>
  <si>
    <t>Gas</t>
  </si>
  <si>
    <t>Nuclear</t>
  </si>
  <si>
    <t>Hydro</t>
  </si>
  <si>
    <t>Wind</t>
  </si>
  <si>
    <t>Solar PV</t>
  </si>
  <si>
    <t>Biomass</t>
  </si>
  <si>
    <t>Coal CCS</t>
  </si>
  <si>
    <t>NGCCS</t>
  </si>
  <si>
    <t>BECCS</t>
  </si>
  <si>
    <t>百分比</t>
  </si>
  <si>
    <t>waste adopts same as BECCS</t>
  </si>
  <si>
    <t>https://iopscience.iop.org/article/10.1088/1755-1315/1108/1/012030/meta</t>
  </si>
  <si>
    <t>Capital cost ($/(metric ton CO2e*yr))</t>
  </si>
  <si>
    <t>electricity sector</t>
  </si>
  <si>
    <t>nature gas</t>
  </si>
  <si>
    <t>coal</t>
  </si>
  <si>
    <t>waste</t>
  </si>
  <si>
    <t>industry-fuel</t>
  </si>
  <si>
    <t>industry-process</t>
  </si>
  <si>
    <t>Data Source</t>
  </si>
  <si>
    <t>https://github.com/remindmodel/remind</t>
  </si>
  <si>
    <t>generisdata_emi.prn</t>
  </si>
  <si>
    <t>generisdata_tech.prn</t>
  </si>
  <si>
    <t>https://pubs.acs.org/doi/full/10.1021/acs.est.1c01144</t>
  </si>
  <si>
    <t>Supporting information</t>
  </si>
  <si>
    <t>https://doi.org/10.1016/j.jclepro.2022.131384</t>
  </si>
  <si>
    <t>Table1</t>
  </si>
  <si>
    <t>TableA2</t>
  </si>
  <si>
    <t>TableA3</t>
  </si>
  <si>
    <t>Capacity</t>
  </si>
  <si>
    <t xml:space="preserve"> MW</t>
  </si>
  <si>
    <t>total cost</t>
  </si>
  <si>
    <t>From 2020 $ to 2012</t>
  </si>
  <si>
    <t>Total CO2</t>
  </si>
  <si>
    <t>g/kWh</t>
  </si>
  <si>
    <t>Capture</t>
  </si>
  <si>
    <t xml:space="preserve"> Mt/a</t>
  </si>
  <si>
    <t>https://stats.areppim.com/calc/calc_usdlrxdeflator.php</t>
  </si>
  <si>
    <t>capture rate</t>
  </si>
  <si>
    <t>Initial investment</t>
  </si>
  <si>
    <t>$/kW</t>
  </si>
  <si>
    <t>Initial capture cost</t>
  </si>
  <si>
    <t>Operation hour</t>
  </si>
  <si>
    <t>h</t>
  </si>
  <si>
    <t>unit capture</t>
  </si>
  <si>
    <t>t CO2/MWh</t>
  </si>
  <si>
    <t>https://doi.org/10.1016/j.ijggc.2017.11.007</t>
  </si>
  <si>
    <t>https://doi.org/10.1021/acssuschemeng.7b03283</t>
  </si>
  <si>
    <t>Capital</t>
  </si>
  <si>
    <t>from 2015 $ to 2012</t>
  </si>
  <si>
    <t>post</t>
  </si>
  <si>
    <t>https://doi.org/10.1016/j.jclepro.2019.118953</t>
  </si>
  <si>
    <t>annual capacity</t>
  </si>
  <si>
    <t>MtCO2</t>
  </si>
  <si>
    <t>form 2022 $ to 2012</t>
  </si>
  <si>
    <t>investment</t>
  </si>
  <si>
    <t>million CNY</t>
  </si>
  <si>
    <t>energy input capture</t>
  </si>
  <si>
    <t>54.0-88.0</t>
  </si>
  <si>
    <t>$/tCO2</t>
  </si>
  <si>
    <t>https://doi.org/10.1016/j.ijggc.2017.03.020</t>
  </si>
  <si>
    <t>pre-combustion</t>
  </si>
  <si>
    <t>$/ton</t>
  </si>
  <si>
    <t>from 2010 $ to 2012</t>
  </si>
  <si>
    <t>2013 $</t>
  </si>
  <si>
    <t>2012$</t>
  </si>
  <si>
    <t>http://dx.doi.org/10.1016/j.ijggc.2015.05.018</t>
  </si>
  <si>
    <t>fuel</t>
  </si>
  <si>
    <t>from 2013 $ to 2012</t>
  </si>
  <si>
    <t>process</t>
  </si>
  <si>
    <t>cement</t>
  </si>
  <si>
    <t>https://doi.org/10.1016/j.enconman.2012.04.012</t>
  </si>
  <si>
    <t>annual cement production</t>
  </si>
  <si>
    <t>million t</t>
  </si>
  <si>
    <t>emission CO2-process</t>
  </si>
  <si>
    <t>emission CO2-fuel</t>
  </si>
  <si>
    <t>https://ieaghg.org/publications/deployment-of-ccs-in-the-cement-industry/</t>
  </si>
  <si>
    <t>capture rate-process</t>
  </si>
  <si>
    <t>https://doi.org/10.1021/acs.est.2c05724</t>
  </si>
  <si>
    <t>capture rate-fuel</t>
  </si>
  <si>
    <t>capital cost-process</t>
  </si>
  <si>
    <t>million $</t>
  </si>
  <si>
    <t>capital cost-fuel</t>
  </si>
  <si>
    <t>capital quantity-process</t>
  </si>
  <si>
    <t>capital quantity-fuel</t>
  </si>
  <si>
    <t>GAS PROCESSING</t>
  </si>
  <si>
    <t>https://ieefa.org/sites/default/files/2022-09/The%20Carbon%20Capture%20Crux.pdf</t>
  </si>
  <si>
    <t>annual capture CO2</t>
  </si>
  <si>
    <t>from 2008 $ to 2012</t>
  </si>
  <si>
    <t>Capex cost</t>
  </si>
  <si>
    <t>million $ 2005</t>
  </si>
  <si>
    <t>assume 2010 - 2020 cost decline 40%</t>
  </si>
  <si>
    <t>O&amp;M Cost per Ton ($/metric ton CO2e)</t>
  </si>
  <si>
    <t>industry</t>
  </si>
  <si>
    <t>Energy Use per Ton Sequestered (BTU/metric ton CO2e)</t>
  </si>
  <si>
    <t>https://www.ipcc.ch/site/assets/uploads/2018/03/srccs_spm_ts_cn-1.pdf</t>
  </si>
  <si>
    <t>自用率</t>
  </si>
  <si>
    <t>排放因子</t>
  </si>
  <si>
    <t>g/kwh</t>
  </si>
  <si>
    <t>发电量</t>
  </si>
  <si>
    <t>kwh</t>
  </si>
  <si>
    <t>总排放</t>
  </si>
  <si>
    <t>t</t>
  </si>
  <si>
    <t>电力需求</t>
  </si>
  <si>
    <t>需要能量</t>
  </si>
  <si>
    <t>kwh/t</t>
  </si>
  <si>
    <t>1kwh</t>
  </si>
  <si>
    <t>BTU</t>
  </si>
  <si>
    <t>beccs</t>
  </si>
  <si>
    <t>t/MWh</t>
  </si>
  <si>
    <t>MWh</t>
  </si>
  <si>
    <t>排放</t>
  </si>
  <si>
    <t>iron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</si>
</sst>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1C1E21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1">
      <alignment vertical="center"/>
    </xf>
    <xf numFmtId="10" fontId="0" fillId="0" borderId="0" xfId="0" applyNumberFormat="1">
      <alignment vertical="center"/>
    </xf>
    <xf numFmtId="2" fontId="0" fillId="0" borderId="0" xfId="0" applyNumberFormat="1" applyAlignment="1"/>
    <xf numFmtId="0" fontId="2" fillId="0" borderId="0" xfId="1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0" fillId="2" borderId="0" xfId="0" applyFill="1" applyAlignment="1"/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0" fillId="3" borderId="0" xfId="0" applyFill="1">
      <alignment vertical="center"/>
    </xf>
    <xf numFmtId="0" fontId="0" fillId="3" borderId="0" xfId="0" applyFill="1" applyAlignment="1"/>
    <xf numFmtId="0" fontId="8" fillId="0" borderId="0" xfId="0" applyFont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4" fillId="0" borderId="0" xfId="0" applyFont="1">
      <alignment vertical="center"/>
    </xf>
    <xf numFmtId="0" fontId="9" fillId="0" borderId="4" xfId="0" applyFont="1" applyBorder="1">
      <alignment vertical="center"/>
    </xf>
    <xf numFmtId="49" fontId="0" fillId="0" borderId="0" xfId="0" applyNumberFormat="1" applyAlignment="1"/>
    <xf numFmtId="49" fontId="0" fillId="3" borderId="0" xfId="0" applyNumberFormat="1" applyFill="1" applyAlignment="1"/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29845</xdr:colOff>
      <xdr:row>19</xdr:row>
      <xdr:rowOff>80010</xdr:rowOff>
    </xdr:from>
    <xdr:to>
      <xdr:col>14</xdr:col>
      <xdr:colOff>533400</xdr:colOff>
      <xdr:row>38</xdr:row>
      <xdr:rowOff>121920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0185" y="3554730"/>
          <a:ext cx="6599555" cy="3516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4892;&#19994;&#36873;&#25321;&#19982;&#35206;&#30422;&#29575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草稿"/>
      <sheetName val="应用行业"/>
      <sheetName val="工业燃料渗透率"/>
      <sheetName val="工业过程渗透率"/>
      <sheetName val="电力渗透率"/>
      <sheetName val="资本成本"/>
      <sheetName val="运维成本"/>
      <sheetName val="能源消耗"/>
    </sheetNames>
    <sheetDataSet>
      <sheetData sheetId="0"/>
      <sheetData sheetId="1"/>
      <sheetData sheetId="2"/>
      <sheetData sheetId="3"/>
      <sheetData sheetId="4"/>
      <sheetData sheetId="5">
        <row r="9">
          <cell r="C9">
            <v>71</v>
          </cell>
        </row>
        <row r="30">
          <cell r="E30">
            <v>3711502</v>
          </cell>
        </row>
        <row r="40">
          <cell r="E40">
            <v>1132488</v>
          </cell>
        </row>
        <row r="50">
          <cell r="E50">
            <v>4802578</v>
          </cell>
        </row>
        <row r="57">
          <cell r="C57">
            <v>0.39</v>
          </cell>
          <cell r="G57">
            <v>0.97</v>
          </cell>
        </row>
        <row r="77">
          <cell r="F77">
            <v>84.899813156368793</v>
          </cell>
        </row>
        <row r="82">
          <cell r="C82">
            <v>126.3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iopscience.iop.org/article/10.1088/1755-1315/1108/1/012030/meta" TargetMode="External"/><Relationship Id="rId1" Type="http://schemas.openxmlformats.org/officeDocument/2006/relationships/hyperlink" Target="https://doi.org/10.1016/j.ccst.2023.10011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ijggc.2017.03.020" TargetMode="External"/><Relationship Id="rId13" Type="http://schemas.openxmlformats.org/officeDocument/2006/relationships/hyperlink" Target="https://ieaghg.org/publications/deployment-of-ccs-in-the-cement-industry/" TargetMode="External"/><Relationship Id="rId3" Type="http://schemas.openxmlformats.org/officeDocument/2006/relationships/hyperlink" Target="https://doi.org/10.1016/j.jclepro.2022.131384" TargetMode="External"/><Relationship Id="rId7" Type="http://schemas.openxmlformats.org/officeDocument/2006/relationships/hyperlink" Target="https://doi.org/10.1016/j.jclepro.2019.118953" TargetMode="External"/><Relationship Id="rId12" Type="http://schemas.openxmlformats.org/officeDocument/2006/relationships/hyperlink" Target="https://doi.org/10.1021/acs.est.2c05724" TargetMode="External"/><Relationship Id="rId2" Type="http://schemas.openxmlformats.org/officeDocument/2006/relationships/hyperlink" Target="https://pubs.acs.org/doi/full/10.1021/acs.est.1c01144" TargetMode="External"/><Relationship Id="rId1" Type="http://schemas.openxmlformats.org/officeDocument/2006/relationships/hyperlink" Target="https://github.com/remindmodel/remind" TargetMode="External"/><Relationship Id="rId6" Type="http://schemas.openxmlformats.org/officeDocument/2006/relationships/hyperlink" Target="https://doi.org/10.1021/acssuschemeng.7b03283" TargetMode="External"/><Relationship Id="rId11" Type="http://schemas.openxmlformats.org/officeDocument/2006/relationships/hyperlink" Target="https://doi.org/10.1016/j.enconman.2012.04.012" TargetMode="External"/><Relationship Id="rId5" Type="http://schemas.openxmlformats.org/officeDocument/2006/relationships/hyperlink" Target="https://doi.org/10.1016/j.ijggc.2017.11.007" TargetMode="External"/><Relationship Id="rId10" Type="http://schemas.openxmlformats.org/officeDocument/2006/relationships/hyperlink" Target="http://dx.doi.org/10.1016/j.ijggc.2015.05.018" TargetMode="External"/><Relationship Id="rId4" Type="http://schemas.openxmlformats.org/officeDocument/2006/relationships/hyperlink" Target="https://stats.areppim.com/calc/calc_usdlrxdeflator.php" TargetMode="External"/><Relationship Id="rId9" Type="http://schemas.openxmlformats.org/officeDocument/2006/relationships/hyperlink" Target="https://doi.org/10.1016/j.ijggc.2017.03.02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pcc.ch/site/assets/uploads/2018/03/srccs_spm_ts_cn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"/>
  <sheetViews>
    <sheetView workbookViewId="0">
      <selection activeCell="D31" sqref="D31"/>
    </sheetView>
  </sheetViews>
  <sheetFormatPr defaultColWidth="9" defaultRowHeight="14.4" x14ac:dyDescent="0.25"/>
  <cols>
    <col min="4" max="4" width="12.88671875"/>
    <col min="7" max="7" width="22" customWidth="1"/>
    <col min="13" max="13" width="27.21875" customWidth="1"/>
    <col min="15" max="15" width="12.88671875"/>
  </cols>
  <sheetData>
    <row r="1" spans="1:20" x14ac:dyDescent="0.25">
      <c r="A1" t="s">
        <v>0</v>
      </c>
      <c r="G1" t="s">
        <v>1</v>
      </c>
      <c r="H1" t="s">
        <v>2</v>
      </c>
      <c r="K1" t="s">
        <v>3</v>
      </c>
      <c r="N1" t="s">
        <v>4</v>
      </c>
    </row>
    <row r="2" spans="1:20" ht="15" x14ac:dyDescent="0.25">
      <c r="A2" s="21" t="s">
        <v>5</v>
      </c>
      <c r="G2" t="s">
        <v>6</v>
      </c>
      <c r="H2">
        <v>56.202103999999999</v>
      </c>
      <c r="K2" s="19" t="s">
        <v>7</v>
      </c>
      <c r="N2" s="26" t="s">
        <v>8</v>
      </c>
      <c r="T2" t="s">
        <v>9</v>
      </c>
    </row>
    <row r="3" spans="1:20" ht="15" x14ac:dyDescent="0.25">
      <c r="A3" s="21" t="s">
        <v>10</v>
      </c>
      <c r="G3" t="s">
        <v>11</v>
      </c>
      <c r="H3">
        <v>5.3726539999999998</v>
      </c>
      <c r="K3" s="19" t="s">
        <v>12</v>
      </c>
      <c r="N3" s="26" t="s">
        <v>13</v>
      </c>
    </row>
    <row r="4" spans="1:20" ht="15" x14ac:dyDescent="0.25">
      <c r="A4" s="21" t="s">
        <v>14</v>
      </c>
      <c r="G4" t="s">
        <v>15</v>
      </c>
      <c r="H4">
        <v>18.047048</v>
      </c>
      <c r="K4" t="s">
        <v>16</v>
      </c>
      <c r="N4" s="26" t="s">
        <v>17</v>
      </c>
    </row>
    <row r="5" spans="1:20" ht="15" x14ac:dyDescent="0.25">
      <c r="A5" s="21" t="s">
        <v>18</v>
      </c>
      <c r="G5" t="s">
        <v>19</v>
      </c>
      <c r="H5">
        <v>14.087548999999999</v>
      </c>
      <c r="K5" t="s">
        <v>20</v>
      </c>
      <c r="N5" s="26" t="s">
        <v>21</v>
      </c>
    </row>
    <row r="6" spans="1:20" ht="15" x14ac:dyDescent="0.25">
      <c r="A6" s="21" t="s">
        <v>22</v>
      </c>
      <c r="G6" t="s">
        <v>23</v>
      </c>
      <c r="H6">
        <v>21.008645999999999</v>
      </c>
      <c r="K6" t="s">
        <v>24</v>
      </c>
      <c r="N6" s="26" t="s">
        <v>25</v>
      </c>
    </row>
    <row r="7" spans="1:20" ht="15" x14ac:dyDescent="0.25">
      <c r="A7" s="21" t="s">
        <v>26</v>
      </c>
      <c r="G7" t="s">
        <v>27</v>
      </c>
      <c r="H7">
        <v>71.750786000000005</v>
      </c>
      <c r="K7" t="s">
        <v>28</v>
      </c>
      <c r="N7" s="26" t="s">
        <v>29</v>
      </c>
    </row>
    <row r="8" spans="1:20" ht="15" x14ac:dyDescent="0.25">
      <c r="A8" s="21" t="s">
        <v>30</v>
      </c>
      <c r="G8" t="s">
        <v>31</v>
      </c>
      <c r="H8">
        <v>4.3626139999999998</v>
      </c>
      <c r="K8" t="s">
        <v>32</v>
      </c>
      <c r="N8" s="26" t="s">
        <v>33</v>
      </c>
    </row>
    <row r="9" spans="1:20" ht="15" x14ac:dyDescent="0.25">
      <c r="A9" s="21" t="s">
        <v>34</v>
      </c>
      <c r="G9" t="s">
        <v>35</v>
      </c>
      <c r="H9">
        <v>21.296942999999999</v>
      </c>
      <c r="K9" s="19" t="s">
        <v>36</v>
      </c>
      <c r="N9" s="26" t="s">
        <v>37</v>
      </c>
    </row>
    <row r="10" spans="1:20" ht="15" x14ac:dyDescent="0.25">
      <c r="A10" s="22" t="s">
        <v>38</v>
      </c>
      <c r="G10" t="s">
        <v>39</v>
      </c>
      <c r="H10">
        <v>10.572858</v>
      </c>
      <c r="K10" t="s">
        <v>40</v>
      </c>
      <c r="N10" s="26" t="s">
        <v>41</v>
      </c>
    </row>
    <row r="11" spans="1:20" ht="15" x14ac:dyDescent="0.25">
      <c r="A11" s="22" t="s">
        <v>42</v>
      </c>
      <c r="G11" t="s">
        <v>43</v>
      </c>
      <c r="H11">
        <v>25.915607000000001</v>
      </c>
      <c r="K11" s="19" t="s">
        <v>44</v>
      </c>
      <c r="N11" s="26" t="s">
        <v>45</v>
      </c>
    </row>
    <row r="12" spans="1:20" ht="15" x14ac:dyDescent="0.25">
      <c r="A12" s="21" t="s">
        <v>46</v>
      </c>
      <c r="G12" t="s">
        <v>47</v>
      </c>
      <c r="H12">
        <v>4.0086639999999996</v>
      </c>
      <c r="K12" t="s">
        <v>48</v>
      </c>
      <c r="N12" s="26" t="s">
        <v>49</v>
      </c>
    </row>
    <row r="13" spans="1:20" ht="15" x14ac:dyDescent="0.25">
      <c r="A13" s="21" t="s">
        <v>50</v>
      </c>
      <c r="G13" t="s">
        <v>51</v>
      </c>
      <c r="H13">
        <v>8.6970229999999997</v>
      </c>
      <c r="K13" s="19" t="s">
        <v>52</v>
      </c>
      <c r="N13" s="26" t="s">
        <v>53</v>
      </c>
      <c r="T13" t="s">
        <v>54</v>
      </c>
    </row>
    <row r="14" spans="1:20" ht="15" x14ac:dyDescent="0.25">
      <c r="A14" s="22" t="s">
        <v>55</v>
      </c>
      <c r="G14" t="s">
        <v>56</v>
      </c>
      <c r="H14">
        <v>4.1804839999999999</v>
      </c>
      <c r="K14" t="s">
        <v>57</v>
      </c>
      <c r="N14" s="26" t="s">
        <v>58</v>
      </c>
    </row>
    <row r="15" spans="1:20" ht="15" x14ac:dyDescent="0.25">
      <c r="A15" s="22" t="s">
        <v>59</v>
      </c>
      <c r="G15" t="s">
        <v>60</v>
      </c>
      <c r="H15">
        <v>8.7781129999999994</v>
      </c>
      <c r="K15" s="19" t="s">
        <v>61</v>
      </c>
      <c r="N15" s="26" t="s">
        <v>62</v>
      </c>
    </row>
    <row r="16" spans="1:20" ht="15" x14ac:dyDescent="0.25">
      <c r="A16" s="21" t="s">
        <v>63</v>
      </c>
      <c r="G16" t="s">
        <v>64</v>
      </c>
      <c r="H16">
        <v>4.2497090000000002</v>
      </c>
      <c r="K16" s="19" t="s">
        <v>65</v>
      </c>
      <c r="N16" s="26" t="s">
        <v>66</v>
      </c>
    </row>
    <row r="17" spans="1:16" ht="15" x14ac:dyDescent="0.25">
      <c r="A17" s="21" t="s">
        <v>67</v>
      </c>
      <c r="G17" t="s">
        <v>68</v>
      </c>
      <c r="H17">
        <v>4.6486140000000002</v>
      </c>
      <c r="K17" s="19" t="s">
        <v>69</v>
      </c>
      <c r="N17" s="26" t="s">
        <v>70</v>
      </c>
    </row>
    <row r="18" spans="1:16" ht="15" x14ac:dyDescent="0.25">
      <c r="A18" s="21" t="s">
        <v>71</v>
      </c>
      <c r="G18" t="s">
        <v>72</v>
      </c>
      <c r="H18">
        <v>3.0408900000000001</v>
      </c>
    </row>
    <row r="19" spans="1:16" ht="15" x14ac:dyDescent="0.25">
      <c r="A19" s="21" t="s">
        <v>73</v>
      </c>
      <c r="G19" t="s">
        <v>74</v>
      </c>
      <c r="H19">
        <v>5.6570729999999996</v>
      </c>
    </row>
    <row r="20" spans="1:16" ht="15" x14ac:dyDescent="0.25">
      <c r="A20" s="21" t="s">
        <v>75</v>
      </c>
      <c r="G20" t="s">
        <v>76</v>
      </c>
      <c r="H20">
        <v>2.973913</v>
      </c>
    </row>
    <row r="21" spans="1:16" ht="15" x14ac:dyDescent="0.25">
      <c r="A21" s="21" t="s">
        <v>77</v>
      </c>
      <c r="G21" t="s">
        <v>78</v>
      </c>
      <c r="H21">
        <v>16.238530000000001</v>
      </c>
      <c r="K21" t="s">
        <v>79</v>
      </c>
      <c r="M21" t="s">
        <v>80</v>
      </c>
      <c r="P21" t="s">
        <v>81</v>
      </c>
    </row>
    <row r="22" spans="1:16" ht="15" x14ac:dyDescent="0.25">
      <c r="A22" s="21" t="s">
        <v>82</v>
      </c>
      <c r="G22" t="s">
        <v>83</v>
      </c>
      <c r="H22">
        <v>3.1839529999999998</v>
      </c>
      <c r="K22" t="s">
        <v>3</v>
      </c>
      <c r="M22" t="s">
        <v>84</v>
      </c>
      <c r="P22" t="s">
        <v>85</v>
      </c>
    </row>
    <row r="23" spans="1:16" ht="15" x14ac:dyDescent="0.25">
      <c r="A23" s="21" t="s">
        <v>86</v>
      </c>
      <c r="G23" t="s">
        <v>87</v>
      </c>
      <c r="H23">
        <v>1.7752509999999999</v>
      </c>
      <c r="K23" t="s">
        <v>88</v>
      </c>
      <c r="M23" t="s">
        <v>88</v>
      </c>
      <c r="P23" t="s">
        <v>89</v>
      </c>
    </row>
    <row r="24" spans="1:16" ht="15" x14ac:dyDescent="0.25">
      <c r="A24" s="22" t="s">
        <v>90</v>
      </c>
      <c r="G24" t="s">
        <v>91</v>
      </c>
      <c r="H24">
        <v>7.8296979999999996</v>
      </c>
      <c r="K24" t="s">
        <v>84</v>
      </c>
      <c r="M24" t="s">
        <v>92</v>
      </c>
      <c r="P24" t="s">
        <v>93</v>
      </c>
    </row>
    <row r="25" spans="1:16" ht="15" x14ac:dyDescent="0.25">
      <c r="A25" s="21" t="s">
        <v>94</v>
      </c>
      <c r="G25" t="s">
        <v>95</v>
      </c>
      <c r="H25">
        <v>14.174823999999999</v>
      </c>
      <c r="K25" t="s">
        <v>92</v>
      </c>
      <c r="M25" t="s">
        <v>96</v>
      </c>
      <c r="P25" t="s">
        <v>97</v>
      </c>
    </row>
    <row r="26" spans="1:16" ht="15" x14ac:dyDescent="0.25">
      <c r="A26" s="21" t="s">
        <v>98</v>
      </c>
      <c r="G26" t="s">
        <v>99</v>
      </c>
      <c r="H26">
        <v>11.012689999999999</v>
      </c>
      <c r="K26" t="s">
        <v>100</v>
      </c>
      <c r="P26" t="s">
        <v>101</v>
      </c>
    </row>
    <row r="27" spans="1:16" x14ac:dyDescent="0.25">
      <c r="G27" t="s">
        <v>102</v>
      </c>
      <c r="H27">
        <v>8.3125590000000003</v>
      </c>
    </row>
    <row r="28" spans="1:16" x14ac:dyDescent="0.25">
      <c r="G28" t="s">
        <v>103</v>
      </c>
      <c r="H28">
        <v>1.150088</v>
      </c>
      <c r="K28" t="s">
        <v>104</v>
      </c>
      <c r="L28" s="27" t="s">
        <v>105</v>
      </c>
      <c r="M28" s="27" t="s">
        <v>106</v>
      </c>
      <c r="N28" s="27" t="s">
        <v>107</v>
      </c>
    </row>
    <row r="29" spans="1:16" x14ac:dyDescent="0.25">
      <c r="A29" t="s">
        <v>108</v>
      </c>
      <c r="D29">
        <f>SUM(H57:H58)/SUM(H57:H63)</f>
        <v>0.55079100494256195</v>
      </c>
      <c r="G29" t="s">
        <v>109</v>
      </c>
      <c r="H29">
        <v>0.65122199999999997</v>
      </c>
      <c r="L29" s="28" t="s">
        <v>110</v>
      </c>
      <c r="M29" s="28" t="s">
        <v>111</v>
      </c>
      <c r="N29" s="1">
        <v>158781.00408501</v>
      </c>
    </row>
    <row r="30" spans="1:16" x14ac:dyDescent="0.25">
      <c r="A30" t="s">
        <v>112</v>
      </c>
      <c r="D30">
        <f>O51</f>
        <v>0.965249126509099</v>
      </c>
      <c r="G30" t="s">
        <v>113</v>
      </c>
      <c r="H30">
        <v>15.803229</v>
      </c>
      <c r="L30" s="28" t="s">
        <v>114</v>
      </c>
      <c r="M30" s="28" t="s">
        <v>115</v>
      </c>
      <c r="N30" s="1">
        <v>104044.5952</v>
      </c>
    </row>
    <row r="31" spans="1:16" x14ac:dyDescent="0.25">
      <c r="A31" t="s">
        <v>116</v>
      </c>
      <c r="G31" t="s">
        <v>117</v>
      </c>
      <c r="H31">
        <v>2.2611560000000002</v>
      </c>
      <c r="L31" s="28" t="s">
        <v>118</v>
      </c>
      <c r="M31" s="28" t="s">
        <v>119</v>
      </c>
      <c r="N31" s="1">
        <v>6827.5490417442998</v>
      </c>
    </row>
    <row r="32" spans="1:16" x14ac:dyDescent="0.25">
      <c r="G32" t="s">
        <v>120</v>
      </c>
      <c r="H32">
        <v>3.1554880000000001</v>
      </c>
      <c r="L32" s="28" t="s">
        <v>121</v>
      </c>
      <c r="M32" s="28" t="s">
        <v>122</v>
      </c>
      <c r="N32" s="1">
        <v>314514.52628838998</v>
      </c>
    </row>
    <row r="33" spans="6:14" x14ac:dyDescent="0.25">
      <c r="G33" t="s">
        <v>123</v>
      </c>
      <c r="H33">
        <v>2.916804</v>
      </c>
      <c r="L33" s="28" t="s">
        <v>124</v>
      </c>
      <c r="M33" s="28" t="s">
        <v>125</v>
      </c>
      <c r="N33" s="1">
        <v>11774.624916897999</v>
      </c>
    </row>
    <row r="34" spans="6:14" x14ac:dyDescent="0.25">
      <c r="G34" t="s">
        <v>126</v>
      </c>
      <c r="H34">
        <v>2.7996379999999998</v>
      </c>
      <c r="L34" s="28" t="s">
        <v>127</v>
      </c>
      <c r="M34" s="28" t="s">
        <v>128</v>
      </c>
      <c r="N34" s="1">
        <v>11323.53120069</v>
      </c>
    </row>
    <row r="35" spans="6:14" x14ac:dyDescent="0.25">
      <c r="G35" t="s">
        <v>129</v>
      </c>
      <c r="H35">
        <v>4.2706169999999997</v>
      </c>
      <c r="L35" s="28" t="s">
        <v>130</v>
      </c>
      <c r="M35" s="28" t="s">
        <v>131</v>
      </c>
      <c r="N35" s="1">
        <v>199.67625150000001</v>
      </c>
    </row>
    <row r="36" spans="6:14" x14ac:dyDescent="0.25">
      <c r="G36" t="s">
        <v>132</v>
      </c>
      <c r="H36">
        <v>1.159386</v>
      </c>
      <c r="L36" s="28" t="s">
        <v>110</v>
      </c>
      <c r="M36" s="28" t="s">
        <v>111</v>
      </c>
      <c r="N36" s="1">
        <v>5288987.6733566998</v>
      </c>
    </row>
    <row r="37" spans="6:14" x14ac:dyDescent="0.25">
      <c r="G37" t="s">
        <v>133</v>
      </c>
      <c r="H37">
        <v>1.311105</v>
      </c>
      <c r="L37" s="28" t="s">
        <v>134</v>
      </c>
      <c r="M37" s="28" t="s">
        <v>135</v>
      </c>
      <c r="N37" s="1">
        <v>353073.36782839999</v>
      </c>
    </row>
    <row r="38" spans="6:14" x14ac:dyDescent="0.25">
      <c r="G38" t="s">
        <v>136</v>
      </c>
      <c r="H38">
        <v>6.3062209999999999</v>
      </c>
      <c r="L38" s="28" t="s">
        <v>114</v>
      </c>
      <c r="M38" s="28" t="s">
        <v>115</v>
      </c>
      <c r="N38" s="1">
        <v>2815411.0451658</v>
      </c>
    </row>
    <row r="39" spans="6:14" x14ac:dyDescent="0.25">
      <c r="G39" t="s">
        <v>137</v>
      </c>
      <c r="H39">
        <v>2.5644290000000001</v>
      </c>
      <c r="L39" s="28" t="s">
        <v>138</v>
      </c>
      <c r="M39" s="28" t="s">
        <v>139</v>
      </c>
      <c r="N39" s="1">
        <v>66154.027088449002</v>
      </c>
    </row>
    <row r="40" spans="6:14" x14ac:dyDescent="0.25">
      <c r="G40" t="s">
        <v>140</v>
      </c>
      <c r="H40">
        <v>34.052002000000002</v>
      </c>
      <c r="L40" s="28" t="s">
        <v>118</v>
      </c>
      <c r="M40" s="28" t="s">
        <v>119</v>
      </c>
      <c r="N40" s="1">
        <v>739119.55978144996</v>
      </c>
    </row>
    <row r="41" spans="6:14" x14ac:dyDescent="0.25">
      <c r="G41" t="s">
        <v>141</v>
      </c>
      <c r="H41">
        <v>1.903602</v>
      </c>
      <c r="L41" s="28" t="s">
        <v>142</v>
      </c>
      <c r="M41" s="28" t="s">
        <v>143</v>
      </c>
      <c r="N41" s="1">
        <v>8530.1668353106998</v>
      </c>
    </row>
    <row r="42" spans="6:14" x14ac:dyDescent="0.25">
      <c r="G42" t="s">
        <v>144</v>
      </c>
      <c r="H42">
        <v>1.048772</v>
      </c>
      <c r="L42" s="28" t="s">
        <v>145</v>
      </c>
      <c r="M42" s="28" t="s">
        <v>146</v>
      </c>
      <c r="N42" s="1">
        <v>77411.925369794</v>
      </c>
    </row>
    <row r="43" spans="6:14" x14ac:dyDescent="0.25">
      <c r="G43" t="s">
        <v>147</v>
      </c>
      <c r="H43">
        <v>2.4237129999999998</v>
      </c>
      <c r="L43" s="28" t="s">
        <v>148</v>
      </c>
      <c r="M43" s="28" t="s">
        <v>149</v>
      </c>
      <c r="N43" s="1">
        <v>6764.9867728387999</v>
      </c>
    </row>
    <row r="44" spans="6:14" x14ac:dyDescent="0.25">
      <c r="F44" s="31"/>
      <c r="G44" s="23" t="s">
        <v>150</v>
      </c>
      <c r="H44" s="23">
        <v>153.44348199999999</v>
      </c>
      <c r="L44" s="28" t="s">
        <v>121</v>
      </c>
      <c r="M44" s="28" t="s">
        <v>122</v>
      </c>
      <c r="N44" s="1">
        <v>570129.99419515999</v>
      </c>
    </row>
    <row r="45" spans="6:14" x14ac:dyDescent="0.25">
      <c r="F45" s="31"/>
      <c r="G45" s="23" t="s">
        <v>151</v>
      </c>
      <c r="H45" s="23">
        <v>73.402653999999998</v>
      </c>
      <c r="L45" s="28" t="s">
        <v>152</v>
      </c>
      <c r="M45" s="28" t="s">
        <v>153</v>
      </c>
      <c r="N45" s="1">
        <v>63016.867739239999</v>
      </c>
    </row>
    <row r="46" spans="6:14" x14ac:dyDescent="0.25">
      <c r="G46" t="s">
        <v>154</v>
      </c>
      <c r="H46">
        <v>161.81218899999999</v>
      </c>
      <c r="L46" s="28" t="s">
        <v>155</v>
      </c>
      <c r="M46" s="28" t="s">
        <v>156</v>
      </c>
      <c r="N46" s="1">
        <v>341683.68486197997</v>
      </c>
    </row>
    <row r="47" spans="6:14" x14ac:dyDescent="0.25">
      <c r="G47" t="s">
        <v>157</v>
      </c>
      <c r="H47">
        <v>39.368890999999998</v>
      </c>
      <c r="L47" s="28" t="s">
        <v>124</v>
      </c>
      <c r="M47" s="28" t="s">
        <v>125</v>
      </c>
      <c r="N47" s="1">
        <v>5999.7039833882</v>
      </c>
    </row>
    <row r="48" spans="6:14" x14ac:dyDescent="0.25">
      <c r="G48" t="s">
        <v>158</v>
      </c>
      <c r="H48">
        <v>4.4145310000000002</v>
      </c>
      <c r="L48" s="29" t="s">
        <v>159</v>
      </c>
      <c r="M48" s="28" t="s">
        <v>160</v>
      </c>
      <c r="N48" s="1">
        <v>824354.38519199996</v>
      </c>
    </row>
    <row r="49" spans="6:15" x14ac:dyDescent="0.25">
      <c r="G49" t="s">
        <v>161</v>
      </c>
      <c r="H49">
        <v>6.8784029999999996</v>
      </c>
      <c r="L49" s="29" t="s">
        <v>162</v>
      </c>
      <c r="M49" s="28" t="s">
        <v>163</v>
      </c>
      <c r="N49" s="1">
        <v>232500</v>
      </c>
    </row>
    <row r="50" spans="6:15" x14ac:dyDescent="0.25">
      <c r="G50" t="s">
        <v>164</v>
      </c>
      <c r="H50">
        <v>46.384737999999999</v>
      </c>
      <c r="L50" s="29" t="s">
        <v>165</v>
      </c>
      <c r="M50" s="28" t="s">
        <v>166</v>
      </c>
      <c r="N50" s="1">
        <v>1423.7343780949</v>
      </c>
    </row>
    <row r="51" spans="6:15" x14ac:dyDescent="0.25">
      <c r="G51" t="s">
        <v>167</v>
      </c>
      <c r="H51">
        <v>64.126800000000003</v>
      </c>
      <c r="L51" s="29" t="s">
        <v>168</v>
      </c>
      <c r="M51" s="28" t="s">
        <v>169</v>
      </c>
      <c r="N51" s="1">
        <v>36625.109210021998</v>
      </c>
      <c r="O51">
        <f>SUM(N48:N49)/SUM(N48:N51)</f>
        <v>0.965249126509099</v>
      </c>
    </row>
    <row r="52" spans="6:15" x14ac:dyDescent="0.25">
      <c r="G52" t="s">
        <v>170</v>
      </c>
      <c r="H52">
        <v>0.81111900000000003</v>
      </c>
      <c r="L52" s="29" t="s">
        <v>171</v>
      </c>
      <c r="M52" s="28" t="s">
        <v>172</v>
      </c>
      <c r="N52" s="1">
        <v>202410.97516654001</v>
      </c>
    </row>
    <row r="53" spans="6:15" x14ac:dyDescent="0.25">
      <c r="G53" t="s">
        <v>173</v>
      </c>
      <c r="H53">
        <v>10.83971</v>
      </c>
      <c r="L53" s="29" t="s">
        <v>174</v>
      </c>
      <c r="M53" s="28" t="s">
        <v>175</v>
      </c>
      <c r="N53" s="1">
        <v>240591.96125232999</v>
      </c>
    </row>
    <row r="54" spans="6:15" x14ac:dyDescent="0.25">
      <c r="G54" t="s">
        <v>176</v>
      </c>
      <c r="H54">
        <v>8.8243860000000005</v>
      </c>
      <c r="L54" s="28" t="s">
        <v>177</v>
      </c>
      <c r="M54" s="28" t="s">
        <v>178</v>
      </c>
      <c r="N54" s="1">
        <v>26586.044263406999</v>
      </c>
    </row>
    <row r="55" spans="6:15" x14ac:dyDescent="0.25">
      <c r="G55" t="s">
        <v>179</v>
      </c>
      <c r="H55">
        <v>4.0113729999999999</v>
      </c>
      <c r="L55" s="28" t="s">
        <v>180</v>
      </c>
      <c r="M55" s="28" t="s">
        <v>181</v>
      </c>
      <c r="N55" s="1">
        <v>2209.9442670046001</v>
      </c>
    </row>
    <row r="56" spans="6:15" x14ac:dyDescent="0.25">
      <c r="G56" t="s">
        <v>182</v>
      </c>
      <c r="H56">
        <v>4.67746</v>
      </c>
      <c r="L56" s="28" t="s">
        <v>183</v>
      </c>
      <c r="M56" s="28" t="s">
        <v>184</v>
      </c>
      <c r="N56" s="1">
        <v>13342.054716504999</v>
      </c>
    </row>
    <row r="57" spans="6:15" x14ac:dyDescent="0.25">
      <c r="F57" s="32" t="s">
        <v>55</v>
      </c>
      <c r="G57" s="24" t="s">
        <v>185</v>
      </c>
      <c r="H57" s="24">
        <v>222.667608</v>
      </c>
      <c r="L57" s="28" t="s">
        <v>130</v>
      </c>
      <c r="M57" s="28" t="s">
        <v>131</v>
      </c>
      <c r="N57" s="1">
        <v>3412.3932122236001</v>
      </c>
    </row>
    <row r="58" spans="6:15" x14ac:dyDescent="0.25">
      <c r="F58" s="32"/>
      <c r="G58" s="24" t="s">
        <v>186</v>
      </c>
      <c r="H58" s="24">
        <v>61.447940000000003</v>
      </c>
      <c r="L58" s="28" t="s">
        <v>187</v>
      </c>
      <c r="M58" s="28" t="s">
        <v>188</v>
      </c>
      <c r="N58" s="1">
        <v>28380</v>
      </c>
    </row>
    <row r="59" spans="6:15" x14ac:dyDescent="0.25">
      <c r="F59" s="32"/>
      <c r="G59" s="24" t="s">
        <v>189</v>
      </c>
      <c r="H59" s="24">
        <v>165.46477300000001</v>
      </c>
      <c r="N59" s="1">
        <f>SUM(N29:N58)</f>
        <v>12555585.111620899</v>
      </c>
    </row>
    <row r="60" spans="6:15" x14ac:dyDescent="0.25">
      <c r="F60" s="32"/>
      <c r="G60" s="24" t="s">
        <v>190</v>
      </c>
      <c r="H60" s="24">
        <v>10.735889999999999</v>
      </c>
    </row>
    <row r="61" spans="6:15" x14ac:dyDescent="0.25">
      <c r="F61" s="32"/>
      <c r="G61" s="24" t="s">
        <v>191</v>
      </c>
      <c r="H61" s="24">
        <v>34.381568999999999</v>
      </c>
    </row>
    <row r="62" spans="6:15" x14ac:dyDescent="0.25">
      <c r="F62" s="32"/>
      <c r="G62" s="24" t="s">
        <v>192</v>
      </c>
      <c r="H62" s="24">
        <v>7.4574629999999997</v>
      </c>
    </row>
    <row r="63" spans="6:15" x14ac:dyDescent="0.25">
      <c r="F63" s="32"/>
      <c r="G63" s="24" t="s">
        <v>193</v>
      </c>
      <c r="H63" s="24">
        <v>13.676615999999999</v>
      </c>
    </row>
    <row r="64" spans="6:15" x14ac:dyDescent="0.25">
      <c r="G64" s="25" t="s">
        <v>194</v>
      </c>
      <c r="H64" s="25">
        <v>119.68419</v>
      </c>
    </row>
    <row r="65" spans="7:8" x14ac:dyDescent="0.25">
      <c r="G65" s="25" t="s">
        <v>195</v>
      </c>
      <c r="H65" s="25">
        <v>1251.983342</v>
      </c>
    </row>
    <row r="66" spans="7:8" x14ac:dyDescent="0.25">
      <c r="G66" s="25" t="s">
        <v>196</v>
      </c>
      <c r="H66" s="25">
        <v>74.293453999999997</v>
      </c>
    </row>
    <row r="67" spans="7:8" x14ac:dyDescent="0.25">
      <c r="G67" t="s">
        <v>197</v>
      </c>
      <c r="H67">
        <v>83.688063</v>
      </c>
    </row>
    <row r="68" spans="7:8" x14ac:dyDescent="0.25">
      <c r="G68" t="s">
        <v>198</v>
      </c>
      <c r="H68">
        <v>9.2244469999999996</v>
      </c>
    </row>
    <row r="69" spans="7:8" x14ac:dyDescent="0.25">
      <c r="G69" t="s">
        <v>199</v>
      </c>
      <c r="H69">
        <v>102.39630099999999</v>
      </c>
    </row>
    <row r="70" spans="7:8" x14ac:dyDescent="0.25">
      <c r="G70" t="s">
        <v>200</v>
      </c>
      <c r="H70">
        <v>3.2502499999999999</v>
      </c>
    </row>
    <row r="71" spans="7:8" x14ac:dyDescent="0.25">
      <c r="G71" t="s">
        <v>201</v>
      </c>
      <c r="H71">
        <v>3.909519</v>
      </c>
    </row>
    <row r="72" spans="7:8" x14ac:dyDescent="0.25">
      <c r="G72" t="s">
        <v>202</v>
      </c>
      <c r="H72">
        <v>4.8100990000000001</v>
      </c>
    </row>
    <row r="73" spans="7:8" x14ac:dyDescent="0.25">
      <c r="G73" t="s">
        <v>203</v>
      </c>
      <c r="H73">
        <v>6.1084019999999999</v>
      </c>
    </row>
    <row r="74" spans="7:8" x14ac:dyDescent="0.25">
      <c r="G74" t="s">
        <v>204</v>
      </c>
      <c r="H74">
        <v>0.59208899999999998</v>
      </c>
    </row>
    <row r="75" spans="7:8" x14ac:dyDescent="0.25">
      <c r="G75" t="s">
        <v>205</v>
      </c>
      <c r="H75">
        <v>15.882351</v>
      </c>
    </row>
    <row r="76" spans="7:8" x14ac:dyDescent="0.25">
      <c r="G76" t="s">
        <v>206</v>
      </c>
      <c r="H76">
        <v>4.910253</v>
      </c>
    </row>
    <row r="77" spans="7:8" x14ac:dyDescent="0.25">
      <c r="G77" t="s">
        <v>207</v>
      </c>
      <c r="H77">
        <v>2.9907469999999998</v>
      </c>
    </row>
    <row r="78" spans="7:8" x14ac:dyDescent="0.25">
      <c r="G78" t="s">
        <v>208</v>
      </c>
      <c r="H78">
        <v>1.600741</v>
      </c>
    </row>
    <row r="79" spans="7:8" x14ac:dyDescent="0.25">
      <c r="G79" t="s">
        <v>209</v>
      </c>
      <c r="H79">
        <v>4.3333870000000001</v>
      </c>
    </row>
    <row r="80" spans="7:8" x14ac:dyDescent="0.25">
      <c r="G80" t="s">
        <v>210</v>
      </c>
      <c r="H80">
        <v>5.7708310000000003</v>
      </c>
    </row>
    <row r="81" spans="7:8" x14ac:dyDescent="0.25">
      <c r="G81" t="s">
        <v>211</v>
      </c>
      <c r="H81">
        <v>7.6966409999999996</v>
      </c>
    </row>
    <row r="82" spans="7:8" x14ac:dyDescent="0.25">
      <c r="G82" t="s">
        <v>212</v>
      </c>
      <c r="H82">
        <v>2.7674530000000002</v>
      </c>
    </row>
    <row r="83" spans="7:8" x14ac:dyDescent="0.25">
      <c r="G83" t="s">
        <v>213</v>
      </c>
      <c r="H83">
        <v>3.0662440000000002</v>
      </c>
    </row>
    <row r="84" spans="7:8" x14ac:dyDescent="0.25">
      <c r="G84" t="s">
        <v>214</v>
      </c>
      <c r="H84">
        <v>3.6909329999999998</v>
      </c>
    </row>
    <row r="85" spans="7:8" x14ac:dyDescent="0.25">
      <c r="G85" t="s">
        <v>215</v>
      </c>
      <c r="H85">
        <v>0.68695200000000001</v>
      </c>
    </row>
    <row r="86" spans="7:8" x14ac:dyDescent="0.25">
      <c r="G86" t="s">
        <v>216</v>
      </c>
      <c r="H86">
        <v>2.1687780000000001</v>
      </c>
    </row>
    <row r="87" spans="7:8" x14ac:dyDescent="0.25">
      <c r="G87" t="s">
        <v>217</v>
      </c>
      <c r="H87">
        <v>2.0623239999999998</v>
      </c>
    </row>
    <row r="88" spans="7:8" x14ac:dyDescent="0.25">
      <c r="G88" t="s">
        <v>218</v>
      </c>
      <c r="H88">
        <v>0.42067100000000002</v>
      </c>
    </row>
    <row r="89" spans="7:8" x14ac:dyDescent="0.25">
      <c r="G89" t="s">
        <v>219</v>
      </c>
      <c r="H89">
        <v>0.66084500000000002</v>
      </c>
    </row>
    <row r="90" spans="7:8" x14ac:dyDescent="0.25">
      <c r="G90" t="s">
        <v>220</v>
      </c>
      <c r="H90">
        <v>0.31108200000000003</v>
      </c>
    </row>
    <row r="91" spans="7:8" x14ac:dyDescent="0.25">
      <c r="G91" t="s">
        <v>221</v>
      </c>
      <c r="H91">
        <v>1.606344</v>
      </c>
    </row>
    <row r="92" spans="7:8" x14ac:dyDescent="0.25">
      <c r="G92" t="s">
        <v>222</v>
      </c>
      <c r="H92">
        <v>0.78691299999999997</v>
      </c>
    </row>
    <row r="93" spans="7:8" x14ac:dyDescent="0.25">
      <c r="G93" t="s">
        <v>223</v>
      </c>
      <c r="H93">
        <v>0.527393</v>
      </c>
    </row>
    <row r="94" spans="7:8" x14ac:dyDescent="0.25">
      <c r="G94" t="s">
        <v>224</v>
      </c>
      <c r="H94">
        <v>0.31701400000000002</v>
      </c>
    </row>
    <row r="95" spans="7:8" x14ac:dyDescent="0.25">
      <c r="G95" t="s">
        <v>225</v>
      </c>
      <c r="H95">
        <v>1.8535870000000001</v>
      </c>
    </row>
    <row r="96" spans="7:8" x14ac:dyDescent="0.25">
      <c r="G96" t="s">
        <v>226</v>
      </c>
      <c r="H96">
        <v>0.16622000000000001</v>
      </c>
    </row>
    <row r="97" spans="7:8" x14ac:dyDescent="0.25">
      <c r="G97" t="s">
        <v>227</v>
      </c>
      <c r="H97">
        <v>0.76686100000000001</v>
      </c>
    </row>
    <row r="98" spans="7:8" x14ac:dyDescent="0.25">
      <c r="G98" t="s">
        <v>228</v>
      </c>
      <c r="H98">
        <v>8.6017690000000009</v>
      </c>
    </row>
    <row r="99" spans="7:8" x14ac:dyDescent="0.25">
      <c r="G99" t="s">
        <v>229</v>
      </c>
      <c r="H99">
        <v>9.3987169999999995</v>
      </c>
    </row>
    <row r="100" spans="7:8" x14ac:dyDescent="0.25">
      <c r="G100" t="s">
        <v>230</v>
      </c>
      <c r="H100">
        <v>7.1947729999999996</v>
      </c>
    </row>
    <row r="101" spans="7:8" x14ac:dyDescent="0.25">
      <c r="G101" t="s">
        <v>231</v>
      </c>
      <c r="H101">
        <v>4.3731400000000002</v>
      </c>
    </row>
    <row r="102" spans="7:8" x14ac:dyDescent="0.25">
      <c r="G102" t="s">
        <v>232</v>
      </c>
      <c r="H102">
        <v>4166.6166940000003</v>
      </c>
    </row>
    <row r="103" spans="7:8" x14ac:dyDescent="0.25">
      <c r="G103" t="s">
        <v>233</v>
      </c>
      <c r="H103">
        <v>367.34244000000001</v>
      </c>
    </row>
    <row r="104" spans="7:8" x14ac:dyDescent="0.25">
      <c r="G104" t="s">
        <v>234</v>
      </c>
      <c r="H104">
        <v>1.3669389999999999</v>
      </c>
    </row>
    <row r="105" spans="7:8" x14ac:dyDescent="0.25">
      <c r="G105" t="s">
        <v>235</v>
      </c>
      <c r="H105">
        <v>2.2219069999999999</v>
      </c>
    </row>
    <row r="106" spans="7:8" x14ac:dyDescent="0.25">
      <c r="G106" t="s">
        <v>236</v>
      </c>
      <c r="H106">
        <v>5.2019000000000003E-2</v>
      </c>
    </row>
    <row r="107" spans="7:8" x14ac:dyDescent="0.25">
      <c r="G107" t="s">
        <v>237</v>
      </c>
      <c r="H107">
        <v>1.0788340000000001</v>
      </c>
    </row>
    <row r="108" spans="7:8" x14ac:dyDescent="0.25">
      <c r="G108" t="s">
        <v>238</v>
      </c>
      <c r="H108">
        <v>0.74687899999999996</v>
      </c>
    </row>
    <row r="109" spans="7:8" x14ac:dyDescent="0.25">
      <c r="G109" t="s">
        <v>239</v>
      </c>
      <c r="H109">
        <v>13.816967999999999</v>
      </c>
    </row>
    <row r="110" spans="7:8" x14ac:dyDescent="0.25">
      <c r="G110" s="30" t="s">
        <v>240</v>
      </c>
      <c r="H110" s="30">
        <v>6.1742480000000004</v>
      </c>
    </row>
    <row r="111" spans="7:8" x14ac:dyDescent="0.25">
      <c r="G111" t="s">
        <v>241</v>
      </c>
      <c r="H111">
        <v>0.557778</v>
      </c>
    </row>
    <row r="112" spans="7:8" x14ac:dyDescent="0.25">
      <c r="G112" t="s">
        <v>242</v>
      </c>
      <c r="H112">
        <v>45.466436000000002</v>
      </c>
    </row>
    <row r="113" spans="7:8" x14ac:dyDescent="0.25">
      <c r="G113" t="s">
        <v>243</v>
      </c>
      <c r="H113">
        <v>84.184877</v>
      </c>
    </row>
    <row r="114" spans="7:8" x14ac:dyDescent="0.25">
      <c r="G114" t="s">
        <v>244</v>
      </c>
      <c r="H114">
        <v>5.9415180000000003</v>
      </c>
    </row>
    <row r="115" spans="7:8" x14ac:dyDescent="0.25">
      <c r="G115" t="s">
        <v>245</v>
      </c>
      <c r="H115">
        <v>6.1948480000000004</v>
      </c>
    </row>
    <row r="116" spans="7:8" x14ac:dyDescent="0.25">
      <c r="G116" t="s">
        <v>246</v>
      </c>
      <c r="H116">
        <v>26.496587000000002</v>
      </c>
    </row>
    <row r="117" spans="7:8" x14ac:dyDescent="0.25">
      <c r="G117" t="s">
        <v>247</v>
      </c>
      <c r="H117">
        <v>13.513388000000001</v>
      </c>
    </row>
    <row r="118" spans="7:8" x14ac:dyDescent="0.25">
      <c r="G118" t="s">
        <v>248</v>
      </c>
      <c r="H118">
        <v>3.9195009999999999</v>
      </c>
    </row>
    <row r="119" spans="7:8" x14ac:dyDescent="0.25">
      <c r="G119" t="s">
        <v>249</v>
      </c>
      <c r="H119">
        <v>8.6726939999999999</v>
      </c>
    </row>
    <row r="120" spans="7:8" x14ac:dyDescent="0.25">
      <c r="G120" t="s">
        <v>250</v>
      </c>
      <c r="H120">
        <v>78.460933999999995</v>
      </c>
    </row>
    <row r="121" spans="7:8" x14ac:dyDescent="0.25">
      <c r="G121" t="s">
        <v>251</v>
      </c>
      <c r="H121">
        <v>345.02555699999999</v>
      </c>
    </row>
    <row r="122" spans="7:8" x14ac:dyDescent="0.25">
      <c r="G122" t="s">
        <v>252</v>
      </c>
      <c r="H122">
        <v>4.738524</v>
      </c>
    </row>
    <row r="123" spans="7:8" x14ac:dyDescent="0.25">
      <c r="G123" t="s">
        <v>253</v>
      </c>
      <c r="H123">
        <v>88.355856000000003</v>
      </c>
    </row>
    <row r="124" spans="7:8" x14ac:dyDescent="0.25">
      <c r="G124" t="s">
        <v>254</v>
      </c>
      <c r="H124">
        <v>62.40448</v>
      </c>
    </row>
    <row r="125" spans="7:8" x14ac:dyDescent="0.25">
      <c r="G125" t="s">
        <v>255</v>
      </c>
      <c r="H125">
        <v>31.849536000000001</v>
      </c>
    </row>
    <row r="126" spans="7:8" x14ac:dyDescent="0.25">
      <c r="G126" s="30" t="s">
        <v>256</v>
      </c>
      <c r="H126" s="30">
        <v>2.67258</v>
      </c>
    </row>
    <row r="127" spans="7:8" x14ac:dyDescent="0.25">
      <c r="G127" t="s">
        <v>257</v>
      </c>
      <c r="H127">
        <v>58.377367999999997</v>
      </c>
    </row>
    <row r="128" spans="7:8" x14ac:dyDescent="0.25">
      <c r="G128" t="s">
        <v>258</v>
      </c>
      <c r="H128">
        <v>46.701324</v>
      </c>
    </row>
    <row r="129" spans="7:8" x14ac:dyDescent="0.25">
      <c r="G129" t="s">
        <v>259</v>
      </c>
      <c r="H129">
        <v>13.946070000000001</v>
      </c>
    </row>
    <row r="130" spans="7:8" x14ac:dyDescent="0.25">
      <c r="G130" t="s">
        <v>260</v>
      </c>
      <c r="H130">
        <v>36.573054999999997</v>
      </c>
    </row>
    <row r="131" spans="7:8" x14ac:dyDescent="0.25">
      <c r="G131" t="s">
        <v>261</v>
      </c>
      <c r="H131">
        <v>25.275110000000002</v>
      </c>
    </row>
    <row r="132" spans="7:8" x14ac:dyDescent="0.25">
      <c r="G132" t="s">
        <v>262</v>
      </c>
      <c r="H132">
        <v>1.2908550000000001</v>
      </c>
    </row>
    <row r="133" spans="7:8" x14ac:dyDescent="0.25">
      <c r="G133" t="s">
        <v>263</v>
      </c>
      <c r="H133">
        <v>0.164658</v>
      </c>
    </row>
    <row r="134" spans="7:8" x14ac:dyDescent="0.25">
      <c r="G134" t="s">
        <v>264</v>
      </c>
      <c r="H134">
        <v>0.45904400000000001</v>
      </c>
    </row>
    <row r="135" spans="7:8" x14ac:dyDescent="0.25">
      <c r="G135" t="s">
        <v>265</v>
      </c>
      <c r="H135">
        <v>0.189197</v>
      </c>
    </row>
    <row r="136" spans="7:8" x14ac:dyDescent="0.25">
      <c r="G136" t="s">
        <v>266</v>
      </c>
      <c r="H136">
        <v>9.6511E-2</v>
      </c>
    </row>
    <row r="137" spans="7:8" x14ac:dyDescent="0.25">
      <c r="G137" t="s">
        <v>267</v>
      </c>
      <c r="H137">
        <v>7.7375129999999999</v>
      </c>
    </row>
    <row r="138" spans="7:8" x14ac:dyDescent="0.25">
      <c r="G138" t="s">
        <v>268</v>
      </c>
      <c r="H138">
        <v>0.70159800000000005</v>
      </c>
    </row>
    <row r="139" spans="7:8" x14ac:dyDescent="0.25">
      <c r="G139" t="s">
        <v>269</v>
      </c>
      <c r="H139">
        <v>0.94038999999999995</v>
      </c>
    </row>
    <row r="140" spans="7:8" x14ac:dyDescent="0.25">
      <c r="G140" t="s">
        <v>270</v>
      </c>
      <c r="H140">
        <v>9.9039160000000006</v>
      </c>
    </row>
    <row r="141" spans="7:8" x14ac:dyDescent="0.25">
      <c r="G141" t="s">
        <v>271</v>
      </c>
      <c r="H141">
        <v>9.1882289999999998</v>
      </c>
    </row>
    <row r="142" spans="7:8" x14ac:dyDescent="0.25">
      <c r="G142" t="s">
        <v>272</v>
      </c>
      <c r="H142">
        <v>40.262345000000003</v>
      </c>
    </row>
    <row r="143" spans="7:8" x14ac:dyDescent="0.25">
      <c r="G143" t="s">
        <v>273</v>
      </c>
      <c r="H143">
        <v>7.9451349999999996</v>
      </c>
    </row>
    <row r="144" spans="7:8" x14ac:dyDescent="0.25">
      <c r="G144" t="s">
        <v>274</v>
      </c>
      <c r="H144">
        <v>16.544789000000002</v>
      </c>
    </row>
    <row r="145" spans="7:8" x14ac:dyDescent="0.25">
      <c r="G145" t="s">
        <v>275</v>
      </c>
      <c r="H145">
        <v>8.6432470000000006</v>
      </c>
    </row>
    <row r="146" spans="7:8" x14ac:dyDescent="0.25">
      <c r="G146" t="s">
        <v>276</v>
      </c>
      <c r="H146">
        <v>1.158919</v>
      </c>
    </row>
    <row r="147" spans="7:8" x14ac:dyDescent="0.25">
      <c r="G147" t="s">
        <v>277</v>
      </c>
      <c r="H147">
        <v>0.63377899999999998</v>
      </c>
    </row>
    <row r="148" spans="7:8" x14ac:dyDescent="0.25">
      <c r="G148" t="s">
        <v>278</v>
      </c>
      <c r="H148">
        <v>3.6184810000000001</v>
      </c>
    </row>
    <row r="149" spans="7:8" x14ac:dyDescent="0.25">
      <c r="G149" t="s">
        <v>279</v>
      </c>
      <c r="H149">
        <v>12.995340000000001</v>
      </c>
    </row>
    <row r="150" spans="7:8" x14ac:dyDescent="0.25">
      <c r="G150" t="s">
        <v>280</v>
      </c>
      <c r="H150">
        <v>5.5343939999999998</v>
      </c>
    </row>
    <row r="151" spans="7:8" x14ac:dyDescent="0.25">
      <c r="G151" t="s">
        <v>281</v>
      </c>
      <c r="H151">
        <v>21.807534</v>
      </c>
    </row>
    <row r="152" spans="7:8" x14ac:dyDescent="0.25">
      <c r="G152" t="s">
        <v>282</v>
      </c>
      <c r="H152">
        <v>14.628625</v>
      </c>
    </row>
    <row r="153" spans="7:8" x14ac:dyDescent="0.25">
      <c r="G153" t="s">
        <v>283</v>
      </c>
      <c r="H153">
        <v>0.69148799999999999</v>
      </c>
    </row>
    <row r="154" spans="7:8" x14ac:dyDescent="0.25">
      <c r="G154" t="s">
        <v>284</v>
      </c>
      <c r="H154">
        <v>0.64666599999999996</v>
      </c>
    </row>
    <row r="155" spans="7:8" x14ac:dyDescent="0.25">
      <c r="G155" t="s">
        <v>285</v>
      </c>
      <c r="H155">
        <v>0.48754599999999998</v>
      </c>
    </row>
    <row r="156" spans="7:8" x14ac:dyDescent="0.25">
      <c r="G156" t="s">
        <v>286</v>
      </c>
      <c r="H156">
        <v>0.92417899999999997</v>
      </c>
    </row>
    <row r="157" spans="7:8" x14ac:dyDescent="0.25">
      <c r="G157" t="s">
        <v>287</v>
      </c>
      <c r="H157">
        <v>0.827152</v>
      </c>
    </row>
    <row r="158" spans="7:8" x14ac:dyDescent="0.25">
      <c r="G158" t="s">
        <v>288</v>
      </c>
      <c r="H158">
        <v>0.61637900000000001</v>
      </c>
    </row>
    <row r="159" spans="7:8" x14ac:dyDescent="0.25">
      <c r="G159" t="s">
        <v>289</v>
      </c>
      <c r="H159">
        <v>0.125114</v>
      </c>
    </row>
    <row r="160" spans="7:8" x14ac:dyDescent="0.25">
      <c r="G160" t="s">
        <v>290</v>
      </c>
      <c r="H160">
        <v>20.595711000000001</v>
      </c>
    </row>
    <row r="161" spans="7:8" x14ac:dyDescent="0.25">
      <c r="G161" t="s">
        <v>291</v>
      </c>
      <c r="H161">
        <v>484.54262499999999</v>
      </c>
    </row>
    <row r="162" spans="7:8" x14ac:dyDescent="0.25">
      <c r="G162" t="s">
        <v>292</v>
      </c>
      <c r="H162">
        <v>9513.1832940000004</v>
      </c>
    </row>
  </sheetData>
  <mergeCells count="2">
    <mergeCell ref="F44:F45"/>
    <mergeCell ref="F57:F63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G9" sqref="G9"/>
    </sheetView>
  </sheetViews>
  <sheetFormatPr defaultColWidth="8.88671875" defaultRowHeight="14.4" x14ac:dyDescent="0.25"/>
  <cols>
    <col min="1" max="1" width="31.88671875" customWidth="1"/>
    <col min="5" max="5" width="52.109375" customWidth="1"/>
    <col min="6" max="6" width="26.6640625" customWidth="1"/>
    <col min="7" max="7" width="18.88671875" customWidth="1"/>
  </cols>
  <sheetData>
    <row r="1" spans="1:7" x14ac:dyDescent="0.25">
      <c r="A1" s="7" t="s">
        <v>293</v>
      </c>
      <c r="B1" s="1"/>
      <c r="E1" s="7" t="s">
        <v>293</v>
      </c>
      <c r="F1" s="1" t="s">
        <v>294</v>
      </c>
      <c r="G1" s="1" t="s">
        <v>295</v>
      </c>
    </row>
    <row r="2" spans="1:7" x14ac:dyDescent="0.25">
      <c r="A2" s="1" t="s">
        <v>7</v>
      </c>
      <c r="B2" s="1">
        <v>1</v>
      </c>
      <c r="E2" s="1" t="s">
        <v>296</v>
      </c>
      <c r="F2" s="1">
        <v>0</v>
      </c>
      <c r="G2" s="1">
        <v>0</v>
      </c>
    </row>
    <row r="3" spans="1:7" x14ac:dyDescent="0.25">
      <c r="A3" s="1" t="s">
        <v>12</v>
      </c>
      <c r="B3" s="1">
        <v>1</v>
      </c>
      <c r="E3" s="1" t="s">
        <v>297</v>
      </c>
      <c r="F3" s="1">
        <v>0</v>
      </c>
      <c r="G3" s="1">
        <v>0</v>
      </c>
    </row>
    <row r="4" spans="1:7" x14ac:dyDescent="0.25">
      <c r="A4" s="1" t="s">
        <v>298</v>
      </c>
      <c r="B4" s="1">
        <v>0</v>
      </c>
      <c r="E4" s="1" t="s">
        <v>299</v>
      </c>
      <c r="F4" s="1">
        <v>0</v>
      </c>
      <c r="G4" s="1">
        <v>0</v>
      </c>
    </row>
    <row r="5" spans="1:7" x14ac:dyDescent="0.25">
      <c r="A5" s="1" t="s">
        <v>300</v>
      </c>
      <c r="B5" s="1">
        <v>0</v>
      </c>
      <c r="E5" s="1" t="s">
        <v>301</v>
      </c>
      <c r="F5" s="1">
        <v>0</v>
      </c>
      <c r="G5" s="1">
        <v>0</v>
      </c>
    </row>
    <row r="6" spans="1:7" x14ac:dyDescent="0.25">
      <c r="A6" s="1" t="s">
        <v>302</v>
      </c>
      <c r="B6" s="1">
        <v>0</v>
      </c>
      <c r="E6" s="1" t="s">
        <v>303</v>
      </c>
      <c r="F6" s="1">
        <v>0</v>
      </c>
      <c r="G6" s="1">
        <v>0</v>
      </c>
    </row>
    <row r="7" spans="1:7" x14ac:dyDescent="0.25">
      <c r="A7" s="1" t="s">
        <v>304</v>
      </c>
      <c r="B7" s="1">
        <v>0</v>
      </c>
      <c r="E7" s="1" t="s">
        <v>305</v>
      </c>
      <c r="F7" s="1">
        <v>0</v>
      </c>
      <c r="G7" s="1">
        <v>0</v>
      </c>
    </row>
    <row r="8" spans="1:7" x14ac:dyDescent="0.25">
      <c r="A8" s="1" t="s">
        <v>306</v>
      </c>
      <c r="B8" s="1">
        <v>0</v>
      </c>
      <c r="E8" s="1" t="s">
        <v>307</v>
      </c>
      <c r="F8" s="1">
        <v>0</v>
      </c>
      <c r="G8" s="1">
        <v>0</v>
      </c>
    </row>
    <row r="9" spans="1:7" x14ac:dyDescent="0.25">
      <c r="A9" s="1" t="s">
        <v>36</v>
      </c>
      <c r="B9" s="1">
        <v>1</v>
      </c>
      <c r="E9" s="1" t="s">
        <v>308</v>
      </c>
      <c r="F9" s="1">
        <v>0</v>
      </c>
      <c r="G9" s="1">
        <v>0</v>
      </c>
    </row>
    <row r="10" spans="1:7" x14ac:dyDescent="0.25">
      <c r="A10" s="1" t="s">
        <v>309</v>
      </c>
      <c r="B10" s="1">
        <v>0</v>
      </c>
      <c r="E10" s="1" t="s">
        <v>310</v>
      </c>
      <c r="F10">
        <v>1</v>
      </c>
      <c r="G10" s="1">
        <v>0</v>
      </c>
    </row>
    <row r="11" spans="1:7" x14ac:dyDescent="0.25">
      <c r="A11" s="1" t="s">
        <v>44</v>
      </c>
      <c r="B11" s="1">
        <v>0</v>
      </c>
      <c r="E11" s="1" t="s">
        <v>311</v>
      </c>
      <c r="F11" s="1">
        <v>1</v>
      </c>
      <c r="G11" s="1">
        <v>1</v>
      </c>
    </row>
    <row r="12" spans="1:7" x14ac:dyDescent="0.25">
      <c r="A12" s="1" t="s">
        <v>48</v>
      </c>
      <c r="B12" s="1">
        <v>1</v>
      </c>
      <c r="E12" s="1" t="s">
        <v>312</v>
      </c>
      <c r="F12" s="1">
        <v>0</v>
      </c>
      <c r="G12" s="1">
        <v>0</v>
      </c>
    </row>
    <row r="13" spans="1:7" x14ac:dyDescent="0.25">
      <c r="A13" s="1" t="s">
        <v>52</v>
      </c>
      <c r="B13" s="1">
        <v>1</v>
      </c>
      <c r="E13" s="1" t="s">
        <v>313</v>
      </c>
      <c r="F13" s="1">
        <v>0</v>
      </c>
      <c r="G13" s="1">
        <v>0</v>
      </c>
    </row>
    <row r="14" spans="1:7" x14ac:dyDescent="0.25">
      <c r="A14" s="1" t="s">
        <v>314</v>
      </c>
      <c r="B14" s="1">
        <v>0</v>
      </c>
      <c r="E14" s="1" t="s">
        <v>315</v>
      </c>
      <c r="F14" s="1">
        <v>1</v>
      </c>
      <c r="G14" s="1">
        <v>1</v>
      </c>
    </row>
    <row r="15" spans="1:7" x14ac:dyDescent="0.25">
      <c r="A15" s="1" t="s">
        <v>61</v>
      </c>
      <c r="B15" s="1">
        <v>0</v>
      </c>
      <c r="E15" s="1" t="s">
        <v>316</v>
      </c>
      <c r="F15" s="1">
        <v>1</v>
      </c>
      <c r="G15" s="1">
        <v>1</v>
      </c>
    </row>
    <row r="16" spans="1:7" x14ac:dyDescent="0.25">
      <c r="A16" s="1" t="s">
        <v>65</v>
      </c>
      <c r="B16" s="1">
        <v>0</v>
      </c>
      <c r="E16" s="1" t="s">
        <v>317</v>
      </c>
      <c r="F16" s="1">
        <v>0</v>
      </c>
      <c r="G16" s="1">
        <v>0</v>
      </c>
    </row>
    <row r="17" spans="1:7" x14ac:dyDescent="0.25">
      <c r="A17" s="1" t="s">
        <v>69</v>
      </c>
      <c r="B17" s="1">
        <v>1</v>
      </c>
      <c r="E17" s="1" t="s">
        <v>318</v>
      </c>
      <c r="F17" s="1">
        <v>0</v>
      </c>
      <c r="G17" s="1">
        <v>0</v>
      </c>
    </row>
    <row r="18" spans="1:7" x14ac:dyDescent="0.25">
      <c r="E18" s="1" t="s">
        <v>319</v>
      </c>
      <c r="F18" s="1">
        <v>0</v>
      </c>
      <c r="G18" s="1">
        <v>0</v>
      </c>
    </row>
    <row r="19" spans="1:7" x14ac:dyDescent="0.25">
      <c r="E19" s="1" t="s">
        <v>320</v>
      </c>
      <c r="F19" s="1">
        <v>0</v>
      </c>
      <c r="G19" s="1">
        <v>0</v>
      </c>
    </row>
    <row r="20" spans="1:7" x14ac:dyDescent="0.25">
      <c r="E20" s="1" t="s">
        <v>321</v>
      </c>
      <c r="F20" s="1">
        <v>0</v>
      </c>
      <c r="G20" s="1">
        <v>0</v>
      </c>
    </row>
    <row r="21" spans="1:7" x14ac:dyDescent="0.25">
      <c r="E21" s="1" t="s">
        <v>322</v>
      </c>
      <c r="F21" s="1">
        <v>0</v>
      </c>
      <c r="G21" s="1">
        <v>0</v>
      </c>
    </row>
    <row r="22" spans="1:7" x14ac:dyDescent="0.25">
      <c r="E22" s="1" t="s">
        <v>323</v>
      </c>
      <c r="F22" s="1">
        <v>0</v>
      </c>
      <c r="G22" s="1">
        <v>0</v>
      </c>
    </row>
    <row r="23" spans="1:7" x14ac:dyDescent="0.25">
      <c r="E23" s="1" t="s">
        <v>324</v>
      </c>
      <c r="F23" s="1">
        <v>0</v>
      </c>
      <c r="G23" s="1">
        <v>0</v>
      </c>
    </row>
    <row r="24" spans="1:7" x14ac:dyDescent="0.25">
      <c r="E24" s="1" t="s">
        <v>325</v>
      </c>
      <c r="F24" s="1">
        <v>0</v>
      </c>
      <c r="G24" s="1">
        <v>1</v>
      </c>
    </row>
    <row r="25" spans="1:7" x14ac:dyDescent="0.25">
      <c r="E25" s="1" t="s">
        <v>326</v>
      </c>
      <c r="F25" s="1">
        <v>0</v>
      </c>
      <c r="G25" s="1">
        <v>0</v>
      </c>
    </row>
    <row r="26" spans="1:7" x14ac:dyDescent="0.25">
      <c r="E26" s="1" t="s">
        <v>327</v>
      </c>
      <c r="F26" s="1">
        <v>0</v>
      </c>
      <c r="G26" s="1">
        <v>0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4"/>
  <sheetViews>
    <sheetView topLeftCell="A16" workbookViewId="0">
      <pane xSplit="1" topLeftCell="B1" activePane="topRight" state="frozen"/>
      <selection pane="topRight" activeCell="B38" sqref="B38:AP43"/>
    </sheetView>
  </sheetViews>
  <sheetFormatPr defaultColWidth="9" defaultRowHeight="14.4" x14ac:dyDescent="0.25"/>
  <cols>
    <col min="1" max="1" width="49.109375" customWidth="1"/>
  </cols>
  <sheetData>
    <row r="1" spans="1:42" x14ac:dyDescent="0.25">
      <c r="A1" s="7" t="s">
        <v>328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>
        <v>2051</v>
      </c>
      <c r="AH1" s="8">
        <v>2052</v>
      </c>
      <c r="AI1" s="8">
        <v>2053</v>
      </c>
      <c r="AJ1" s="8">
        <v>2054</v>
      </c>
      <c r="AK1" s="8">
        <v>2055</v>
      </c>
      <c r="AL1" s="8">
        <v>2056</v>
      </c>
      <c r="AM1" s="8">
        <v>2057</v>
      </c>
      <c r="AN1" s="8">
        <v>2058</v>
      </c>
      <c r="AO1" s="8">
        <v>2059</v>
      </c>
      <c r="AP1" s="8">
        <v>2060</v>
      </c>
    </row>
    <row r="2" spans="1:42" x14ac:dyDescent="0.25">
      <c r="A2" s="1" t="s">
        <v>296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2" x14ac:dyDescent="0.25">
      <c r="A3" s="1" t="s">
        <v>297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 x14ac:dyDescent="0.25">
      <c r="A4" s="1" t="s">
        <v>299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2" x14ac:dyDescent="0.25">
      <c r="A5" s="1" t="s">
        <v>301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</row>
    <row r="6" spans="1:42" x14ac:dyDescent="0.25">
      <c r="A6" s="1" t="s">
        <v>303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</row>
    <row r="7" spans="1:42" x14ac:dyDescent="0.25">
      <c r="A7" s="1" t="s">
        <v>305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2" x14ac:dyDescent="0.25">
      <c r="A8" s="1" t="s">
        <v>307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2" x14ac:dyDescent="0.25">
      <c r="A9" s="1" t="s">
        <v>308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2" s="19" customFormat="1" x14ac:dyDescent="0.25">
      <c r="A10" s="20" t="s">
        <v>310</v>
      </c>
      <c r="B10" s="20">
        <v>6.8625200000000004E-3</v>
      </c>
      <c r="C10" s="20">
        <v>8.4585800000000003E-3</v>
      </c>
      <c r="D10" s="20">
        <v>1.041712E-2</v>
      </c>
      <c r="E10" s="20">
        <v>1.17497460503965E-2</v>
      </c>
      <c r="F10" s="20">
        <v>1.4450124183000301E-2</v>
      </c>
      <c r="G10" s="20">
        <v>1.77442543877105E-2</v>
      </c>
      <c r="H10" s="20">
        <v>2.19263158052986E-2</v>
      </c>
      <c r="I10" s="20">
        <v>2.7220963100018699E-2</v>
      </c>
      <c r="J10" s="20">
        <v>3.34196132707546E-2</v>
      </c>
      <c r="K10" s="20">
        <v>4.0878126012436101E-2</v>
      </c>
      <c r="L10" s="20">
        <v>4.9753516774806501E-2</v>
      </c>
      <c r="M10" s="20">
        <v>6.0209991219428098E-2</v>
      </c>
      <c r="N10" s="20">
        <v>7.2364712971222003E-2</v>
      </c>
      <c r="O10" s="20">
        <v>8.6278512605269697E-2</v>
      </c>
      <c r="P10" s="20">
        <v>0.103373275681934</v>
      </c>
      <c r="Q10" s="20">
        <v>0.122544734861602</v>
      </c>
      <c r="R10" s="20">
        <v>0.14352034758399901</v>
      </c>
      <c r="S10" s="20">
        <v>0.16606045437408901</v>
      </c>
      <c r="T10" s="20">
        <v>0.189759750006084</v>
      </c>
      <c r="U10" s="20">
        <v>0.21395777506694999</v>
      </c>
      <c r="V10" s="20">
        <v>0.23818071263382501</v>
      </c>
      <c r="W10" s="20">
        <v>0.261809974416987</v>
      </c>
      <c r="X10" s="20">
        <v>0.28425246542183902</v>
      </c>
      <c r="Y10" s="20">
        <v>0.30525285304230998</v>
      </c>
      <c r="Z10" s="20">
        <v>0.324429650758215</v>
      </c>
      <c r="AA10" s="20">
        <v>0.34183011921460799</v>
      </c>
      <c r="AB10" s="20">
        <v>0.35698073257250101</v>
      </c>
      <c r="AC10" s="20">
        <v>0.37034764644776802</v>
      </c>
      <c r="AD10" s="20">
        <v>0.38215585994561202</v>
      </c>
      <c r="AE10" s="20">
        <v>0.39233733668100801</v>
      </c>
      <c r="AF10" s="20">
        <v>0.40136923650846001</v>
      </c>
      <c r="AG10" s="20">
        <v>0.40919866303203201</v>
      </c>
      <c r="AH10" s="20">
        <v>0.41622293193369297</v>
      </c>
      <c r="AI10" s="20">
        <v>0.422339177474848</v>
      </c>
      <c r="AJ10" s="20">
        <v>0.42796581337069001</v>
      </c>
      <c r="AK10" s="20">
        <v>0.43293647223714399</v>
      </c>
      <c r="AL10" s="20">
        <v>0.437637200978156</v>
      </c>
      <c r="AM10" s="20">
        <v>0.44186858557954001</v>
      </c>
      <c r="AN10" s="20">
        <v>0.445834037903098</v>
      </c>
      <c r="AO10" s="20">
        <v>0.44975367965813901</v>
      </c>
      <c r="AP10" s="20">
        <v>0.45255937052294198</v>
      </c>
    </row>
    <row r="11" spans="1:42" s="19" customFormat="1" x14ac:dyDescent="0.25">
      <c r="A11" s="20" t="s">
        <v>311</v>
      </c>
      <c r="B11" s="20">
        <v>6.8625200000000004E-3</v>
      </c>
      <c r="C11" s="20">
        <v>8.4585800000000003E-3</v>
      </c>
      <c r="D11" s="20">
        <v>1.041712E-2</v>
      </c>
      <c r="E11" s="20">
        <v>1.17497460503965E-2</v>
      </c>
      <c r="F11" s="20">
        <v>1.4450124183000301E-2</v>
      </c>
      <c r="G11" s="20">
        <v>1.77442543877105E-2</v>
      </c>
      <c r="H11" s="20">
        <v>2.19263158052986E-2</v>
      </c>
      <c r="I11" s="20">
        <v>2.7220963100018699E-2</v>
      </c>
      <c r="J11" s="20">
        <v>3.34196132707546E-2</v>
      </c>
      <c r="K11" s="20">
        <v>4.0878126012436101E-2</v>
      </c>
      <c r="L11" s="20">
        <v>4.9753516774806501E-2</v>
      </c>
      <c r="M11" s="20">
        <v>6.0209991219428098E-2</v>
      </c>
      <c r="N11" s="20">
        <v>7.2364712971222003E-2</v>
      </c>
      <c r="O11" s="20">
        <v>8.6278512605269697E-2</v>
      </c>
      <c r="P11" s="20">
        <v>0.103373275681934</v>
      </c>
      <c r="Q11" s="20">
        <v>0.122544734861602</v>
      </c>
      <c r="R11" s="20">
        <v>0.14352034758399901</v>
      </c>
      <c r="S11" s="20">
        <v>0.16606045437408901</v>
      </c>
      <c r="T11" s="20">
        <v>0.189759750006084</v>
      </c>
      <c r="U11" s="20">
        <v>0.21395777506694999</v>
      </c>
      <c r="V11" s="20">
        <v>0.23818071263382501</v>
      </c>
      <c r="W11" s="20">
        <v>0.261809974416987</v>
      </c>
      <c r="X11" s="20">
        <v>0.28425246542183902</v>
      </c>
      <c r="Y11" s="20">
        <v>0.30525285304230998</v>
      </c>
      <c r="Z11" s="20">
        <v>0.324429650758215</v>
      </c>
      <c r="AA11" s="20">
        <v>0.34183011921460799</v>
      </c>
      <c r="AB11" s="20">
        <v>0.35698073257250101</v>
      </c>
      <c r="AC11" s="20">
        <v>0.37034764644776802</v>
      </c>
      <c r="AD11" s="20">
        <v>0.38215585994561202</v>
      </c>
      <c r="AE11" s="20">
        <v>0.39233733668100801</v>
      </c>
      <c r="AF11" s="20">
        <v>0.40136923650846001</v>
      </c>
      <c r="AG11" s="20">
        <v>0.40919866303203201</v>
      </c>
      <c r="AH11" s="20">
        <v>0.41622293193369297</v>
      </c>
      <c r="AI11" s="20">
        <v>0.422339177474848</v>
      </c>
      <c r="AJ11" s="20">
        <v>0.42796581337069001</v>
      </c>
      <c r="AK11" s="20">
        <v>0.43293647223714399</v>
      </c>
      <c r="AL11" s="20">
        <v>0.437637200978156</v>
      </c>
      <c r="AM11" s="20">
        <v>0.44186858557954001</v>
      </c>
      <c r="AN11" s="20">
        <v>0.445834037903098</v>
      </c>
      <c r="AO11" s="20">
        <v>0.44975367965813901</v>
      </c>
      <c r="AP11" s="20">
        <v>0.45255937052294198</v>
      </c>
    </row>
    <row r="12" spans="1:42" x14ac:dyDescent="0.25">
      <c r="A12" s="1" t="s">
        <v>312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</row>
    <row r="13" spans="1:42" x14ac:dyDescent="0.25">
      <c r="A13" s="1" t="s">
        <v>313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2" s="19" customFormat="1" x14ac:dyDescent="0.25">
      <c r="A14" s="20" t="s">
        <v>315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2.1417290883565999E-4</v>
      </c>
      <c r="M14" s="20">
        <v>3.5557197424869601E-3</v>
      </c>
      <c r="N14" s="20">
        <v>7.0365993016112899E-3</v>
      </c>
      <c r="O14" s="20">
        <v>1.0661951578205301E-2</v>
      </c>
      <c r="P14" s="20">
        <v>1.4448874132829401E-2</v>
      </c>
      <c r="Q14" s="20">
        <v>1.83751340700237E-2</v>
      </c>
      <c r="R14" s="20">
        <v>2.2302910387009701E-2</v>
      </c>
      <c r="S14" s="20">
        <v>2.6406292659933401E-2</v>
      </c>
      <c r="T14" s="20">
        <v>3.06497619189262E-2</v>
      </c>
      <c r="U14" s="20">
        <v>3.5045879649995698E-2</v>
      </c>
      <c r="V14" s="20">
        <v>3.9634352116052998E-2</v>
      </c>
      <c r="W14" s="20">
        <v>4.4403511350324901E-2</v>
      </c>
      <c r="X14" s="20">
        <v>4.9406137849628197E-2</v>
      </c>
      <c r="Y14" s="20">
        <v>5.4582542998369003E-2</v>
      </c>
      <c r="Z14" s="20">
        <v>6.0044149922677197E-2</v>
      </c>
      <c r="AA14" s="20">
        <v>6.5692542672365795E-2</v>
      </c>
      <c r="AB14" s="20">
        <v>7.1674059505951404E-2</v>
      </c>
      <c r="AC14" s="20">
        <v>7.7877203037510001E-2</v>
      </c>
      <c r="AD14" s="20">
        <v>8.4385774493768995E-2</v>
      </c>
      <c r="AE14" s="20">
        <v>9.1324024723563796E-2</v>
      </c>
      <c r="AF14" s="20">
        <v>9.8551875035733705E-2</v>
      </c>
      <c r="AG14" s="20">
        <v>0.10543490493353</v>
      </c>
      <c r="AH14" s="20">
        <v>0.112497743374205</v>
      </c>
      <c r="AI14" s="20">
        <v>0.11997835291796401</v>
      </c>
      <c r="AJ14" s="20">
        <v>0.12780033902305901</v>
      </c>
      <c r="AK14" s="20">
        <v>0.13581733190914799</v>
      </c>
      <c r="AL14" s="20">
        <v>0.14318527807069201</v>
      </c>
      <c r="AM14" s="20">
        <v>0.150780596800833</v>
      </c>
      <c r="AN14" s="20">
        <v>0.158613480509701</v>
      </c>
      <c r="AO14" s="20">
        <v>0.166697585708039</v>
      </c>
      <c r="AP14" s="20">
        <v>0.175051150981896</v>
      </c>
    </row>
    <row r="15" spans="1:42" s="19" customFormat="1" x14ac:dyDescent="0.25">
      <c r="A15" s="20" t="s">
        <v>316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2.2610695504993701E-4</v>
      </c>
      <c r="H15" s="20">
        <v>2.5290434326452702E-4</v>
      </c>
      <c r="I15" s="20">
        <v>3.1632188934781099E-4</v>
      </c>
      <c r="J15" s="20">
        <v>4.5167832712789E-4</v>
      </c>
      <c r="K15" s="20">
        <v>6.9059776291158996E-4</v>
      </c>
      <c r="L15" s="20">
        <v>1.0655333451049401E-3</v>
      </c>
      <c r="M15" s="20">
        <v>1.60712276197678E-3</v>
      </c>
      <c r="N15" s="20">
        <v>2.2740038261627299E-3</v>
      </c>
      <c r="O15" s="20">
        <v>2.9857970425729401E-3</v>
      </c>
      <c r="P15" s="20">
        <v>3.7050576838628699E-3</v>
      </c>
      <c r="Q15" s="20">
        <v>4.35667473688796E-3</v>
      </c>
      <c r="R15" s="20">
        <v>4.9411719564007896E-3</v>
      </c>
      <c r="S15" s="20">
        <v>5.4537439627647599E-3</v>
      </c>
      <c r="T15" s="20">
        <v>5.9728675146116404E-3</v>
      </c>
      <c r="U15" s="20">
        <v>6.5007741850508201E-3</v>
      </c>
      <c r="V15" s="20">
        <v>7.1182097363550701E-3</v>
      </c>
      <c r="W15" s="20">
        <v>7.9366488238684901E-3</v>
      </c>
      <c r="X15" s="20">
        <v>8.9168165560839507E-3</v>
      </c>
      <c r="Y15" s="20">
        <v>1.0048540769556399E-2</v>
      </c>
      <c r="Z15" s="20">
        <v>1.1334526104868899E-2</v>
      </c>
      <c r="AA15" s="20">
        <v>1.2758751086162499E-2</v>
      </c>
      <c r="AB15" s="20">
        <v>1.43001316617883E-2</v>
      </c>
      <c r="AC15" s="20">
        <v>1.5863708329979201E-2</v>
      </c>
      <c r="AD15" s="20">
        <v>1.7512150120786801E-2</v>
      </c>
      <c r="AE15" s="20">
        <v>1.9355795795821199E-2</v>
      </c>
      <c r="AF15" s="20">
        <v>2.1184425556199302E-2</v>
      </c>
      <c r="AG15" s="20">
        <v>2.3149825833955699E-2</v>
      </c>
      <c r="AH15" s="20">
        <v>2.5189538842279601E-2</v>
      </c>
      <c r="AI15" s="20">
        <v>2.7298077308811501E-2</v>
      </c>
      <c r="AJ15" s="20">
        <v>2.9517860704509701E-2</v>
      </c>
      <c r="AK15" s="20">
        <v>3.1826656520673097E-2</v>
      </c>
      <c r="AL15" s="20">
        <v>3.3947742696935103E-2</v>
      </c>
      <c r="AM15" s="20">
        <v>3.6111417935663297E-2</v>
      </c>
      <c r="AN15" s="20">
        <v>3.8357544867323699E-2</v>
      </c>
      <c r="AO15" s="20">
        <v>4.07387492850428E-2</v>
      </c>
      <c r="AP15" s="20">
        <v>4.3187773709526901E-2</v>
      </c>
    </row>
    <row r="16" spans="1:42" x14ac:dyDescent="0.25">
      <c r="A16" s="1" t="s">
        <v>317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 x14ac:dyDescent="0.25">
      <c r="A17" s="1" t="s">
        <v>318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 x14ac:dyDescent="0.25">
      <c r="A18" s="1" t="s">
        <v>319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</row>
    <row r="19" spans="1:42" x14ac:dyDescent="0.25">
      <c r="A19" s="1" t="s">
        <v>320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</row>
    <row r="20" spans="1:42" x14ac:dyDescent="0.25">
      <c r="A20" s="1" t="s">
        <v>321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</row>
    <row r="21" spans="1:42" x14ac:dyDescent="0.25">
      <c r="A21" s="1" t="s">
        <v>322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</row>
    <row r="22" spans="1:42" x14ac:dyDescent="0.25">
      <c r="A22" s="1" t="s">
        <v>323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</row>
    <row r="23" spans="1:42" x14ac:dyDescent="0.25">
      <c r="A23" s="1" t="s">
        <v>324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</row>
    <row r="24" spans="1:42" x14ac:dyDescent="0.25">
      <c r="A24" s="1" t="s">
        <v>325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</row>
    <row r="25" spans="1:42" x14ac:dyDescent="0.25">
      <c r="A25" s="1" t="s">
        <v>326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25">
      <c r="A26" s="1" t="s">
        <v>327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</row>
    <row r="28" spans="1:42" x14ac:dyDescent="0.25">
      <c r="A28" s="7" t="s">
        <v>328</v>
      </c>
      <c r="B28" s="8">
        <v>2020</v>
      </c>
      <c r="C28" s="8">
        <v>2021</v>
      </c>
      <c r="D28" s="8">
        <v>2022</v>
      </c>
      <c r="E28" s="8">
        <v>2023</v>
      </c>
      <c r="F28" s="8">
        <v>2024</v>
      </c>
      <c r="G28" s="8">
        <v>2025</v>
      </c>
      <c r="H28" s="8">
        <v>2026</v>
      </c>
      <c r="I28" s="8">
        <v>2027</v>
      </c>
      <c r="J28" s="8">
        <v>2028</v>
      </c>
      <c r="K28" s="8">
        <v>2029</v>
      </c>
      <c r="L28" s="8">
        <v>2030</v>
      </c>
      <c r="M28" s="8">
        <v>2031</v>
      </c>
      <c r="N28" s="8">
        <v>2032</v>
      </c>
      <c r="O28" s="8">
        <v>2033</v>
      </c>
      <c r="P28" s="8">
        <v>2034</v>
      </c>
      <c r="Q28" s="8">
        <v>2035</v>
      </c>
      <c r="R28" s="8">
        <v>2036</v>
      </c>
      <c r="S28" s="8">
        <v>2037</v>
      </c>
      <c r="T28" s="8">
        <v>2038</v>
      </c>
      <c r="U28" s="8">
        <v>2039</v>
      </c>
      <c r="V28" s="8">
        <v>2040</v>
      </c>
      <c r="W28" s="8">
        <v>2041</v>
      </c>
      <c r="X28" s="8">
        <v>2042</v>
      </c>
      <c r="Y28" s="8">
        <v>2043</v>
      </c>
      <c r="Z28" s="8">
        <v>2044</v>
      </c>
      <c r="AA28" s="8">
        <v>2045</v>
      </c>
      <c r="AB28" s="8">
        <v>2046</v>
      </c>
      <c r="AC28" s="8">
        <v>2047</v>
      </c>
      <c r="AD28" s="8">
        <v>2048</v>
      </c>
      <c r="AE28" s="8">
        <v>2049</v>
      </c>
      <c r="AF28" s="8">
        <v>2050</v>
      </c>
      <c r="AG28" s="8">
        <v>2051</v>
      </c>
      <c r="AH28" s="8">
        <v>2052</v>
      </c>
      <c r="AI28" s="8">
        <v>2053</v>
      </c>
      <c r="AJ28" s="8">
        <v>2054</v>
      </c>
      <c r="AK28" s="8">
        <v>2055</v>
      </c>
      <c r="AL28" s="8">
        <v>2056</v>
      </c>
      <c r="AM28" s="8">
        <v>2057</v>
      </c>
      <c r="AN28" s="8">
        <v>2058</v>
      </c>
      <c r="AO28" s="8">
        <v>2059</v>
      </c>
      <c r="AP28" s="8">
        <v>2060</v>
      </c>
    </row>
    <row r="29" spans="1:42" x14ac:dyDescent="0.25">
      <c r="A29" s="7" t="s">
        <v>328</v>
      </c>
    </row>
    <row r="30" spans="1:42" x14ac:dyDescent="0.25">
      <c r="A30" s="1" t="s">
        <v>296</v>
      </c>
    </row>
    <row r="31" spans="1:42" x14ac:dyDescent="0.25">
      <c r="A31" s="1" t="s">
        <v>297</v>
      </c>
    </row>
    <row r="32" spans="1:42" x14ac:dyDescent="0.25">
      <c r="A32" s="1" t="s">
        <v>299</v>
      </c>
    </row>
    <row r="33" spans="1:42" x14ac:dyDescent="0.25">
      <c r="A33" s="1" t="s">
        <v>301</v>
      </c>
    </row>
    <row r="34" spans="1:42" x14ac:dyDescent="0.25">
      <c r="A34" s="1" t="s">
        <v>303</v>
      </c>
    </row>
    <row r="35" spans="1:42" x14ac:dyDescent="0.25">
      <c r="A35" s="1" t="s">
        <v>305</v>
      </c>
    </row>
    <row r="36" spans="1:42" x14ac:dyDescent="0.25">
      <c r="A36" s="1" t="s">
        <v>307</v>
      </c>
    </row>
    <row r="37" spans="1:42" x14ac:dyDescent="0.25">
      <c r="A37" s="1" t="s">
        <v>308</v>
      </c>
    </row>
    <row r="38" spans="1:42" x14ac:dyDescent="0.25">
      <c r="A38" s="20" t="s">
        <v>310</v>
      </c>
      <c r="B38">
        <f>B10/$AP10</f>
        <v>1.5163800480078917E-2</v>
      </c>
      <c r="C38">
        <f t="shared" ref="C38:AP43" si="0">C10/$AP10</f>
        <v>1.8690542171794899E-2</v>
      </c>
      <c r="D38">
        <f t="shared" si="0"/>
        <v>2.3018239547140072E-2</v>
      </c>
      <c r="E38">
        <f t="shared" si="0"/>
        <v>2.5962883139110386E-2</v>
      </c>
      <c r="F38">
        <f t="shared" si="0"/>
        <v>3.1929786728982931E-2</v>
      </c>
      <c r="G38">
        <f t="shared" si="0"/>
        <v>3.9208677454201507E-2</v>
      </c>
      <c r="H38">
        <f t="shared" si="0"/>
        <v>4.8449589674747592E-2</v>
      </c>
      <c r="I38">
        <f t="shared" si="0"/>
        <v>6.0148932655099588E-2</v>
      </c>
      <c r="J38">
        <f t="shared" si="0"/>
        <v>7.3845809958895614E-2</v>
      </c>
      <c r="K38">
        <f t="shared" si="0"/>
        <v>9.0326548680674884E-2</v>
      </c>
      <c r="L38">
        <f t="shared" si="0"/>
        <v>0.10993809876771583</v>
      </c>
      <c r="M38">
        <f t="shared" si="0"/>
        <v>0.13304329805358836</v>
      </c>
      <c r="N38">
        <f t="shared" si="0"/>
        <v>0.15990103770827468</v>
      </c>
      <c r="O38">
        <f t="shared" si="0"/>
        <v>0.19064573230595808</v>
      </c>
      <c r="P38">
        <f t="shared" si="0"/>
        <v>0.22841925814613886</v>
      </c>
      <c r="Q38">
        <f t="shared" si="0"/>
        <v>0.27078156556563826</v>
      </c>
      <c r="R38">
        <f t="shared" si="0"/>
        <v>0.31713042957912502</v>
      </c>
      <c r="S38">
        <f t="shared" si="0"/>
        <v>0.36693628546946805</v>
      </c>
      <c r="T38">
        <f t="shared" si="0"/>
        <v>0.41930354858592933</v>
      </c>
      <c r="U38">
        <f t="shared" si="0"/>
        <v>0.47277283159492917</v>
      </c>
      <c r="V38">
        <f t="shared" si="0"/>
        <v>0.52629716264321769</v>
      </c>
      <c r="W38">
        <f t="shared" si="0"/>
        <v>0.57850967512717721</v>
      </c>
      <c r="X38">
        <f t="shared" si="0"/>
        <v>0.6280998338259558</v>
      </c>
      <c r="Y38">
        <f t="shared" si="0"/>
        <v>0.67450344181269262</v>
      </c>
      <c r="Z38">
        <f t="shared" si="0"/>
        <v>0.71687754555458583</v>
      </c>
      <c r="AA38">
        <f t="shared" si="0"/>
        <v>0.7553265747643586</v>
      </c>
      <c r="AB38">
        <f t="shared" si="0"/>
        <v>0.7888042007836501</v>
      </c>
      <c r="AC38">
        <f t="shared" si="0"/>
        <v>0.8183404666217019</v>
      </c>
      <c r="AD38">
        <f t="shared" si="0"/>
        <v>0.84443254263859968</v>
      </c>
      <c r="AE38">
        <f t="shared" si="0"/>
        <v>0.86693009190739745</v>
      </c>
      <c r="AF38">
        <f t="shared" si="0"/>
        <v>0.88688747300640203</v>
      </c>
      <c r="AG38">
        <f t="shared" si="0"/>
        <v>0.90418780315871983</v>
      </c>
      <c r="AH38">
        <f t="shared" si="0"/>
        <v>0.91970901288098073</v>
      </c>
      <c r="AI38">
        <f t="shared" si="0"/>
        <v>0.93322380439681563</v>
      </c>
      <c r="AJ38">
        <f t="shared" si="0"/>
        <v>0.94565672759392072</v>
      </c>
      <c r="AK38">
        <f t="shared" si="0"/>
        <v>0.95664016797813001</v>
      </c>
      <c r="AL38">
        <f t="shared" si="0"/>
        <v>0.96702715595626032</v>
      </c>
      <c r="AM38">
        <f t="shared" si="0"/>
        <v>0.97637705538822772</v>
      </c>
      <c r="AN38">
        <f t="shared" si="0"/>
        <v>0.9851393362774199</v>
      </c>
      <c r="AO38">
        <f t="shared" si="0"/>
        <v>0.99380039162251588</v>
      </c>
      <c r="AP38">
        <f t="shared" si="0"/>
        <v>1</v>
      </c>
    </row>
    <row r="39" spans="1:42" x14ac:dyDescent="0.25">
      <c r="A39" s="20" t="s">
        <v>311</v>
      </c>
      <c r="B39">
        <f t="shared" ref="B39:Q43" si="1">B11/$AP11</f>
        <v>1.5163800480078917E-2</v>
      </c>
      <c r="C39">
        <f t="shared" si="1"/>
        <v>1.8690542171794899E-2</v>
      </c>
      <c r="D39">
        <f t="shared" si="1"/>
        <v>2.3018239547140072E-2</v>
      </c>
      <c r="E39">
        <f t="shared" si="1"/>
        <v>2.5962883139110386E-2</v>
      </c>
      <c r="F39">
        <f t="shared" si="1"/>
        <v>3.1929786728982931E-2</v>
      </c>
      <c r="G39">
        <f t="shared" si="1"/>
        <v>3.9208677454201507E-2</v>
      </c>
      <c r="H39">
        <f t="shared" si="1"/>
        <v>4.8449589674747592E-2</v>
      </c>
      <c r="I39">
        <f t="shared" si="1"/>
        <v>6.0148932655099588E-2</v>
      </c>
      <c r="J39">
        <f t="shared" si="1"/>
        <v>7.3845809958895614E-2</v>
      </c>
      <c r="K39">
        <f t="shared" si="1"/>
        <v>9.0326548680674884E-2</v>
      </c>
      <c r="L39">
        <f t="shared" si="1"/>
        <v>0.10993809876771583</v>
      </c>
      <c r="M39">
        <f t="shared" si="1"/>
        <v>0.13304329805358836</v>
      </c>
      <c r="N39">
        <f t="shared" si="1"/>
        <v>0.15990103770827468</v>
      </c>
      <c r="O39">
        <f t="shared" si="1"/>
        <v>0.19064573230595808</v>
      </c>
      <c r="P39">
        <f t="shared" si="1"/>
        <v>0.22841925814613886</v>
      </c>
      <c r="Q39">
        <f t="shared" si="1"/>
        <v>0.27078156556563826</v>
      </c>
      <c r="R39">
        <f t="shared" si="0"/>
        <v>0.31713042957912502</v>
      </c>
      <c r="S39">
        <f t="shared" si="0"/>
        <v>0.36693628546946805</v>
      </c>
      <c r="T39">
        <f t="shared" si="0"/>
        <v>0.41930354858592933</v>
      </c>
      <c r="U39">
        <f t="shared" si="0"/>
        <v>0.47277283159492917</v>
      </c>
      <c r="V39">
        <f t="shared" si="0"/>
        <v>0.52629716264321769</v>
      </c>
      <c r="W39">
        <f t="shared" si="0"/>
        <v>0.57850967512717721</v>
      </c>
      <c r="X39">
        <f t="shared" si="0"/>
        <v>0.6280998338259558</v>
      </c>
      <c r="Y39">
        <f t="shared" si="0"/>
        <v>0.67450344181269262</v>
      </c>
      <c r="Z39">
        <f t="shared" si="0"/>
        <v>0.71687754555458583</v>
      </c>
      <c r="AA39">
        <f t="shared" si="0"/>
        <v>0.7553265747643586</v>
      </c>
      <c r="AB39">
        <f t="shared" si="0"/>
        <v>0.7888042007836501</v>
      </c>
      <c r="AC39">
        <f t="shared" si="0"/>
        <v>0.8183404666217019</v>
      </c>
      <c r="AD39">
        <f t="shared" si="0"/>
        <v>0.84443254263859968</v>
      </c>
      <c r="AE39">
        <f t="shared" si="0"/>
        <v>0.86693009190739745</v>
      </c>
      <c r="AF39">
        <f t="shared" si="0"/>
        <v>0.88688747300640203</v>
      </c>
      <c r="AG39">
        <f t="shared" si="0"/>
        <v>0.90418780315871983</v>
      </c>
      <c r="AH39">
        <f t="shared" si="0"/>
        <v>0.91970901288098073</v>
      </c>
      <c r="AI39">
        <f t="shared" si="0"/>
        <v>0.93322380439681563</v>
      </c>
      <c r="AJ39">
        <f t="shared" si="0"/>
        <v>0.94565672759392072</v>
      </c>
      <c r="AK39">
        <f t="shared" si="0"/>
        <v>0.95664016797813001</v>
      </c>
      <c r="AL39">
        <f t="shared" si="0"/>
        <v>0.96702715595626032</v>
      </c>
      <c r="AM39">
        <f t="shared" si="0"/>
        <v>0.97637705538822772</v>
      </c>
      <c r="AN39">
        <f t="shared" si="0"/>
        <v>0.9851393362774199</v>
      </c>
      <c r="AO39">
        <f t="shared" si="0"/>
        <v>0.99380039162251588</v>
      </c>
      <c r="AP39">
        <f t="shared" si="0"/>
        <v>1</v>
      </c>
    </row>
    <row r="40" spans="1:42" x14ac:dyDescent="0.25">
      <c r="A40" s="1" t="s">
        <v>312</v>
      </c>
    </row>
    <row r="41" spans="1:42" x14ac:dyDescent="0.25">
      <c r="A41" s="1" t="s">
        <v>313</v>
      </c>
    </row>
    <row r="42" spans="1:42" x14ac:dyDescent="0.25">
      <c r="A42" s="20" t="s">
        <v>315</v>
      </c>
      <c r="B42">
        <f t="shared" si="1"/>
        <v>0</v>
      </c>
      <c r="C42">
        <f t="shared" si="0"/>
        <v>0</v>
      </c>
      <c r="D42">
        <f t="shared" si="0"/>
        <v>0</v>
      </c>
      <c r="E42">
        <f t="shared" si="0"/>
        <v>0</v>
      </c>
      <c r="F42">
        <f t="shared" si="0"/>
        <v>0</v>
      </c>
      <c r="G42">
        <f t="shared" si="0"/>
        <v>0</v>
      </c>
      <c r="H42">
        <f t="shared" si="0"/>
        <v>0</v>
      </c>
      <c r="I42">
        <f t="shared" si="0"/>
        <v>0</v>
      </c>
      <c r="J42">
        <f t="shared" si="0"/>
        <v>0</v>
      </c>
      <c r="K42">
        <f t="shared" si="0"/>
        <v>0</v>
      </c>
      <c r="L42">
        <f t="shared" si="0"/>
        <v>1.223487578541029E-3</v>
      </c>
      <c r="M42">
        <f t="shared" si="0"/>
        <v>2.0312461372245974E-2</v>
      </c>
      <c r="N42">
        <f t="shared" si="0"/>
        <v>4.0197389518101617E-2</v>
      </c>
      <c r="O42">
        <f t="shared" si="0"/>
        <v>6.090763481645415E-2</v>
      </c>
      <c r="P42">
        <f t="shared" si="0"/>
        <v>8.2540869064743949E-2</v>
      </c>
      <c r="Q42">
        <f t="shared" si="0"/>
        <v>0.10497008426939208</v>
      </c>
      <c r="R42">
        <f t="shared" si="0"/>
        <v>0.12740796196944912</v>
      </c>
      <c r="S42">
        <f t="shared" si="0"/>
        <v>0.15084900905715479</v>
      </c>
      <c r="T42">
        <f t="shared" si="0"/>
        <v>0.17509031929813496</v>
      </c>
      <c r="U42">
        <f t="shared" si="0"/>
        <v>0.20020365163791573</v>
      </c>
      <c r="V42">
        <f t="shared" si="0"/>
        <v>0.22641583270796106</v>
      </c>
      <c r="W42">
        <f t="shared" si="0"/>
        <v>0.25366020789498933</v>
      </c>
      <c r="X42">
        <f t="shared" si="0"/>
        <v>0.28223829190781979</v>
      </c>
      <c r="Y42">
        <f t="shared" si="0"/>
        <v>0.31180910660801081</v>
      </c>
      <c r="Z42">
        <f t="shared" si="0"/>
        <v>0.34300916952489524</v>
      </c>
      <c r="AA42">
        <f t="shared" si="0"/>
        <v>0.37527626813010673</v>
      </c>
      <c r="AB42">
        <f t="shared" si="0"/>
        <v>0.40944637669571232</v>
      </c>
      <c r="AC42">
        <f t="shared" si="0"/>
        <v>0.44488255347469358</v>
      </c>
      <c r="AD42">
        <f t="shared" si="0"/>
        <v>0.48206352269284009</v>
      </c>
      <c r="AE42">
        <f t="shared" si="0"/>
        <v>0.52169908173302237</v>
      </c>
      <c r="AF42">
        <f t="shared" si="0"/>
        <v>0.56298901482759212</v>
      </c>
      <c r="AG42">
        <f t="shared" si="0"/>
        <v>0.60230912131754111</v>
      </c>
      <c r="AH42">
        <f t="shared" si="0"/>
        <v>0.64265640496039722</v>
      </c>
      <c r="AI42">
        <f t="shared" si="0"/>
        <v>0.68539025447694613</v>
      </c>
      <c r="AJ42">
        <f t="shared" si="0"/>
        <v>0.73007425718826768</v>
      </c>
      <c r="AK42">
        <f t="shared" si="0"/>
        <v>0.77587225875021171</v>
      </c>
      <c r="AL42">
        <f t="shared" si="0"/>
        <v>0.8179625056307136</v>
      </c>
      <c r="AM42">
        <f t="shared" si="0"/>
        <v>0.86135164467685743</v>
      </c>
      <c r="AN42">
        <f t="shared" si="0"/>
        <v>0.90609790121348588</v>
      </c>
      <c r="AO42">
        <f t="shared" si="0"/>
        <v>0.952279289641912</v>
      </c>
      <c r="AP42">
        <f t="shared" si="0"/>
        <v>1</v>
      </c>
    </row>
    <row r="43" spans="1:42" x14ac:dyDescent="0.25">
      <c r="A43" s="20" t="s">
        <v>316</v>
      </c>
      <c r="B43">
        <f t="shared" si="1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5.2354390057401711E-3</v>
      </c>
      <c r="H43">
        <f t="shared" si="0"/>
        <v>5.8559245254343412E-3</v>
      </c>
      <c r="I43">
        <f t="shared" si="0"/>
        <v>7.3243388620894056E-3</v>
      </c>
      <c r="J43">
        <f t="shared" si="0"/>
        <v>1.0458476747743381E-2</v>
      </c>
      <c r="K43">
        <f t="shared" si="0"/>
        <v>1.59905849177692E-2</v>
      </c>
      <c r="L43">
        <f t="shared" si="0"/>
        <v>2.4672106329710886E-2</v>
      </c>
      <c r="M43">
        <f t="shared" si="0"/>
        <v>3.7212447503916155E-2</v>
      </c>
      <c r="N43">
        <f t="shared" si="0"/>
        <v>5.2653879346901869E-2</v>
      </c>
      <c r="O43">
        <f t="shared" si="0"/>
        <v>6.9135238659322126E-2</v>
      </c>
      <c r="P43">
        <f t="shared" si="0"/>
        <v>8.5789503964302793E-2</v>
      </c>
      <c r="Q43">
        <f t="shared" si="0"/>
        <v>0.10087750218823875</v>
      </c>
      <c r="R43">
        <f t="shared" si="0"/>
        <v>0.11441136071597977</v>
      </c>
      <c r="S43">
        <f t="shared" si="0"/>
        <v>0.12627981241741351</v>
      </c>
      <c r="T43">
        <f t="shared" si="0"/>
        <v>0.13829996319754889</v>
      </c>
      <c r="U43">
        <f t="shared" si="0"/>
        <v>0.15052348446516006</v>
      </c>
      <c r="V43">
        <f t="shared" si="0"/>
        <v>0.16482002022680892</v>
      </c>
      <c r="W43">
        <f t="shared" si="0"/>
        <v>0.18377073282936379</v>
      </c>
      <c r="X43">
        <f t="shared" si="0"/>
        <v>0.20646622389143823</v>
      </c>
      <c r="Y43">
        <f t="shared" si="0"/>
        <v>0.23267096000690043</v>
      </c>
      <c r="Z43">
        <f t="shared" si="0"/>
        <v>0.26244756632057159</v>
      </c>
      <c r="AA43">
        <f t="shared" si="0"/>
        <v>0.29542507034457333</v>
      </c>
      <c r="AB43">
        <f t="shared" si="0"/>
        <v>0.33111527716080902</v>
      </c>
      <c r="AC43">
        <f t="shared" si="0"/>
        <v>0.3673194278703879</v>
      </c>
      <c r="AD43">
        <f t="shared" si="0"/>
        <v>0.40548860514483409</v>
      </c>
      <c r="AE43">
        <f t="shared" si="0"/>
        <v>0.44817767005089809</v>
      </c>
      <c r="AF43">
        <f t="shared" si="0"/>
        <v>0.49051904593836876</v>
      </c>
      <c r="AG43">
        <f t="shared" si="0"/>
        <v>0.53602730230220275</v>
      </c>
      <c r="AH43">
        <f t="shared" si="0"/>
        <v>0.58325624774501805</v>
      </c>
      <c r="AI43">
        <f t="shared" si="0"/>
        <v>0.63207882611438593</v>
      </c>
      <c r="AJ43">
        <f t="shared" si="0"/>
        <v>0.68347724758959461</v>
      </c>
      <c r="AK43">
        <f t="shared" si="0"/>
        <v>0.73693672507254926</v>
      </c>
      <c r="AL43">
        <f t="shared" si="0"/>
        <v>0.78604984191270044</v>
      </c>
      <c r="AM43">
        <f t="shared" si="0"/>
        <v>0.83614909577284802</v>
      </c>
      <c r="AN43">
        <f t="shared" si="0"/>
        <v>0.88815749395441312</v>
      </c>
      <c r="AO43">
        <f t="shared" si="0"/>
        <v>0.94329357097784683</v>
      </c>
      <c r="AP43">
        <f t="shared" si="0"/>
        <v>1</v>
      </c>
    </row>
    <row r="44" spans="1:42" x14ac:dyDescent="0.25">
      <c r="A44" s="1" t="s">
        <v>317</v>
      </c>
    </row>
    <row r="45" spans="1:42" x14ac:dyDescent="0.25">
      <c r="A45" s="1" t="s">
        <v>318</v>
      </c>
    </row>
    <row r="46" spans="1:42" x14ac:dyDescent="0.25">
      <c r="A46" s="1" t="s">
        <v>319</v>
      </c>
    </row>
    <row r="47" spans="1:42" x14ac:dyDescent="0.25">
      <c r="A47" s="1" t="s">
        <v>320</v>
      </c>
    </row>
    <row r="48" spans="1:42" x14ac:dyDescent="0.25">
      <c r="A48" s="1" t="s">
        <v>321</v>
      </c>
    </row>
    <row r="49" spans="1:1" x14ac:dyDescent="0.25">
      <c r="A49" s="1" t="s">
        <v>322</v>
      </c>
    </row>
    <row r="50" spans="1:1" x14ac:dyDescent="0.25">
      <c r="A50" s="1" t="s">
        <v>323</v>
      </c>
    </row>
    <row r="51" spans="1:1" x14ac:dyDescent="0.25">
      <c r="A51" s="1" t="s">
        <v>324</v>
      </c>
    </row>
    <row r="52" spans="1:1" x14ac:dyDescent="0.25">
      <c r="A52" s="1" t="s">
        <v>325</v>
      </c>
    </row>
    <row r="53" spans="1:1" x14ac:dyDescent="0.25">
      <c r="A53" s="1" t="s">
        <v>326</v>
      </c>
    </row>
    <row r="54" spans="1:1" x14ac:dyDescent="0.25">
      <c r="A54" s="1" t="s">
        <v>327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5"/>
  <sheetViews>
    <sheetView topLeftCell="A26" workbookViewId="0">
      <pane xSplit="1" topLeftCell="B1" activePane="topRight" state="frozen"/>
      <selection pane="topRight" activeCell="B40" sqref="B40:AP53"/>
    </sheetView>
  </sheetViews>
  <sheetFormatPr defaultColWidth="9" defaultRowHeight="14.4" x14ac:dyDescent="0.25"/>
  <cols>
    <col min="1" max="1" width="33.77734375" customWidth="1"/>
  </cols>
  <sheetData>
    <row r="1" spans="1:42" x14ac:dyDescent="0.25">
      <c r="A1" s="7" t="s">
        <v>328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>
        <v>2051</v>
      </c>
      <c r="AH1" s="8">
        <v>2052</v>
      </c>
      <c r="AI1" s="8">
        <v>2053</v>
      </c>
      <c r="AJ1" s="8">
        <v>2054</v>
      </c>
      <c r="AK1" s="8">
        <v>2055</v>
      </c>
      <c r="AL1" s="8">
        <v>2056</v>
      </c>
      <c r="AM1" s="8">
        <v>2057</v>
      </c>
      <c r="AN1" s="8">
        <v>2058</v>
      </c>
      <c r="AO1" s="8">
        <v>2059</v>
      </c>
      <c r="AP1" s="8">
        <v>2060</v>
      </c>
    </row>
    <row r="2" spans="1:42" x14ac:dyDescent="0.25">
      <c r="A2" s="1" t="s">
        <v>296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2" x14ac:dyDescent="0.25">
      <c r="A3" s="1" t="s">
        <v>297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 x14ac:dyDescent="0.25">
      <c r="A4" s="1" t="s">
        <v>299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2" x14ac:dyDescent="0.25">
      <c r="A5" s="1" t="s">
        <v>301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</row>
    <row r="6" spans="1:42" x14ac:dyDescent="0.25">
      <c r="A6" s="1" t="s">
        <v>303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</row>
    <row r="7" spans="1:42" x14ac:dyDescent="0.25">
      <c r="A7" s="1" t="s">
        <v>305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2" x14ac:dyDescent="0.25">
      <c r="A8" s="1" t="s">
        <v>307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2" x14ac:dyDescent="0.25">
      <c r="A9" s="1" t="s">
        <v>308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2" x14ac:dyDescent="0.25">
      <c r="A10" s="1" t="s">
        <v>310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</row>
    <row r="11" spans="1:42" s="19" customFormat="1" x14ac:dyDescent="0.25">
      <c r="A11" s="20" t="s">
        <v>311</v>
      </c>
      <c r="B11" s="20">
        <v>1.4961E-3</v>
      </c>
      <c r="C11" s="20">
        <v>1.8492700000000001E-3</v>
      </c>
      <c r="D11" s="20">
        <v>2.28393E-3</v>
      </c>
      <c r="E11" s="20">
        <v>1.6080355317814399E-3</v>
      </c>
      <c r="F11" s="20">
        <v>2.3071430093616098E-3</v>
      </c>
      <c r="G11" s="20">
        <v>3.1382469125211601E-3</v>
      </c>
      <c r="H11" s="20">
        <v>4.17357865741651E-3</v>
      </c>
      <c r="I11" s="20">
        <v>5.4665607937138799E-3</v>
      </c>
      <c r="J11" s="20">
        <v>6.9779432151037104E-3</v>
      </c>
      <c r="K11" s="20">
        <v>8.78443962294502E-3</v>
      </c>
      <c r="L11" s="20">
        <v>1.09131413371474E-2</v>
      </c>
      <c r="M11" s="20">
        <v>1.3466051552168699E-2</v>
      </c>
      <c r="N11" s="20">
        <v>1.6444247665448001E-2</v>
      </c>
      <c r="O11" s="20">
        <v>1.9835550632873199E-2</v>
      </c>
      <c r="P11" s="20">
        <v>2.3779099337980999E-2</v>
      </c>
      <c r="Q11" s="20">
        <v>2.8153388583803399E-2</v>
      </c>
      <c r="R11" s="20">
        <v>3.30314258776176E-2</v>
      </c>
      <c r="S11" s="20">
        <v>3.8226710083372001E-2</v>
      </c>
      <c r="T11" s="20">
        <v>4.3652069000226397E-2</v>
      </c>
      <c r="U11" s="20">
        <v>4.9129562660276897E-2</v>
      </c>
      <c r="V11" s="20">
        <v>5.4572690384685901E-2</v>
      </c>
      <c r="W11" s="20">
        <v>5.9927937196226001E-2</v>
      </c>
      <c r="X11" s="20">
        <v>6.50698122846812E-2</v>
      </c>
      <c r="Y11" s="20">
        <v>6.97906018388601E-2</v>
      </c>
      <c r="Z11" s="20">
        <v>7.4087044270692695E-2</v>
      </c>
      <c r="AA11" s="20">
        <v>7.7937554798705802E-2</v>
      </c>
      <c r="AB11" s="20">
        <v>8.1420399665244697E-2</v>
      </c>
      <c r="AC11" s="20">
        <v>8.4548173698805004E-2</v>
      </c>
      <c r="AD11" s="20">
        <v>8.7177353927752804E-2</v>
      </c>
      <c r="AE11" s="20">
        <v>8.9505654661939701E-2</v>
      </c>
      <c r="AF11" s="20">
        <v>9.1610341679790902E-2</v>
      </c>
      <c r="AG11" s="20">
        <v>9.3405314286708604E-2</v>
      </c>
      <c r="AH11" s="20">
        <v>9.5046713822831405E-2</v>
      </c>
      <c r="AI11" s="20">
        <v>9.6433214546990803E-2</v>
      </c>
      <c r="AJ11" s="20">
        <v>9.7749793309195004E-2</v>
      </c>
      <c r="AK11" s="20">
        <v>9.8883536879880898E-2</v>
      </c>
      <c r="AL11" s="20">
        <v>9.9929639897191794E-2</v>
      </c>
      <c r="AM11" s="20">
        <v>0.100942501519022</v>
      </c>
      <c r="AN11" s="20">
        <v>0.10182605663689701</v>
      </c>
      <c r="AO11" s="20">
        <v>0.102748422610625</v>
      </c>
      <c r="AP11" s="20">
        <v>0.10337112624780299</v>
      </c>
    </row>
    <row r="12" spans="1:42" x14ac:dyDescent="0.25">
      <c r="A12" s="1" t="s">
        <v>312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</row>
    <row r="13" spans="1:42" x14ac:dyDescent="0.25">
      <c r="A13" s="1" t="s">
        <v>313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2" s="19" customFormat="1" x14ac:dyDescent="0.25">
      <c r="A14" s="20" t="s">
        <v>315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6.6257382815619798E-4</v>
      </c>
      <c r="M14" s="20">
        <v>1.10411282093831E-2</v>
      </c>
      <c r="N14" s="20">
        <v>2.1927106522401599E-2</v>
      </c>
      <c r="O14" s="20">
        <v>3.3346556259380399E-2</v>
      </c>
      <c r="P14" s="20">
        <v>4.5324654522009102E-2</v>
      </c>
      <c r="Q14" s="20">
        <v>5.7855598617618999E-2</v>
      </c>
      <c r="R14" s="20">
        <v>7.0501855488248596E-2</v>
      </c>
      <c r="S14" s="20">
        <v>8.3672417290743095E-2</v>
      </c>
      <c r="T14" s="20">
        <v>9.7370285931042702E-2</v>
      </c>
      <c r="U14" s="20">
        <v>0.111627853469434</v>
      </c>
      <c r="V14" s="20">
        <v>0.12647494402183601</v>
      </c>
      <c r="W14" s="20">
        <v>0.141987432906265</v>
      </c>
      <c r="X14" s="20">
        <v>0.15819931764558801</v>
      </c>
      <c r="Y14" s="20">
        <v>0.17518580941433801</v>
      </c>
      <c r="Z14" s="20">
        <v>0.192987169608904</v>
      </c>
      <c r="AA14" s="20">
        <v>0.21166192310446499</v>
      </c>
      <c r="AB14" s="20">
        <v>0.22963708715307601</v>
      </c>
      <c r="AC14" s="20">
        <v>0.248311627821135</v>
      </c>
      <c r="AD14" s="20">
        <v>0.26771640188244</v>
      </c>
      <c r="AE14" s="20">
        <v>0.28787531032723801</v>
      </c>
      <c r="AF14" s="20">
        <v>0.30889709003941701</v>
      </c>
      <c r="AG14" s="20">
        <v>0.33070261043163401</v>
      </c>
      <c r="AH14" s="20">
        <v>0.35355868320443201</v>
      </c>
      <c r="AI14" s="20">
        <v>0.377416393199144</v>
      </c>
      <c r="AJ14" s="20">
        <v>0.40242634623594697</v>
      </c>
      <c r="AK14" s="20">
        <v>0.42860699588055201</v>
      </c>
      <c r="AL14" s="20">
        <v>0.45195556610739501</v>
      </c>
      <c r="AM14" s="20">
        <v>0.47602562510483498</v>
      </c>
      <c r="AN14" s="20">
        <v>0.50070728404143805</v>
      </c>
      <c r="AO14" s="20">
        <v>0.52635852097761704</v>
      </c>
      <c r="AP14" s="20">
        <v>0.55287330377074195</v>
      </c>
    </row>
    <row r="15" spans="1:42" s="19" customFormat="1" x14ac:dyDescent="0.25">
      <c r="A15" s="20" t="s">
        <v>316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3.22740814299901E-3</v>
      </c>
      <c r="H15" s="20">
        <v>3.71196948051948E-3</v>
      </c>
      <c r="I15" s="20">
        <v>4.7362558513309901E-3</v>
      </c>
      <c r="J15" s="20">
        <v>6.8533227892875201E-3</v>
      </c>
      <c r="K15" s="20">
        <v>1.0623815124555199E-2</v>
      </c>
      <c r="L15" s="20">
        <v>1.66240409207161E-2</v>
      </c>
      <c r="M15" s="20">
        <v>2.53856805497925E-2</v>
      </c>
      <c r="N15" s="20">
        <v>3.6201570147290897E-2</v>
      </c>
      <c r="O15" s="20">
        <v>4.8170304805125498E-2</v>
      </c>
      <c r="P15" s="20">
        <v>6.0266080633802802E-2</v>
      </c>
      <c r="Q15" s="20">
        <v>7.1467839472237504E-2</v>
      </c>
      <c r="R15" s="20">
        <v>8.1908728781038401E-2</v>
      </c>
      <c r="S15" s="20">
        <v>9.1395580202898494E-2</v>
      </c>
      <c r="T15" s="20">
        <v>0.100775536710369</v>
      </c>
      <c r="U15" s="20">
        <v>0.110993388258737</v>
      </c>
      <c r="V15" s="20">
        <v>0.123106060606061</v>
      </c>
      <c r="W15" s="20">
        <v>0.13701255794060699</v>
      </c>
      <c r="X15" s="20">
        <v>0.15364083830911501</v>
      </c>
      <c r="Y15" s="20">
        <v>0.17299709979702299</v>
      </c>
      <c r="Z15" s="20">
        <v>0.19474378828828801</v>
      </c>
      <c r="AA15" s="20">
        <v>0.21884895703125001</v>
      </c>
      <c r="AB15" s="20">
        <v>0.245165498324836</v>
      </c>
      <c r="AC15" s="20">
        <v>0.27353091397608398</v>
      </c>
      <c r="AD15" s="20">
        <v>0.30399855192012298</v>
      </c>
      <c r="AE15" s="20">
        <v>0.33593359613259699</v>
      </c>
      <c r="AF15" s="20">
        <v>0.36931818181818199</v>
      </c>
      <c r="AG15" s="20">
        <v>0.398979226031353</v>
      </c>
      <c r="AH15" s="20">
        <v>0.42859709262363799</v>
      </c>
      <c r="AI15" s="20">
        <v>0.45895179219948801</v>
      </c>
      <c r="AJ15" s="20">
        <v>0.48938917543327598</v>
      </c>
      <c r="AK15" s="20">
        <v>0.52082912085537902</v>
      </c>
      <c r="AL15" s="20">
        <v>0.54710099436056803</v>
      </c>
      <c r="AM15" s="20">
        <v>0.57291467605004498</v>
      </c>
      <c r="AN15" s="20">
        <v>0.59934973348334797</v>
      </c>
      <c r="AO15" s="20">
        <v>0.62600520285584804</v>
      </c>
      <c r="AP15" s="20">
        <v>0.65296803652968005</v>
      </c>
    </row>
    <row r="16" spans="1:42" x14ac:dyDescent="0.25">
      <c r="A16" s="1" t="s">
        <v>317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 x14ac:dyDescent="0.25">
      <c r="A17" s="1" t="s">
        <v>318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 x14ac:dyDescent="0.25">
      <c r="A18" s="1" t="s">
        <v>319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</row>
    <row r="19" spans="1:42" x14ac:dyDescent="0.25">
      <c r="A19" s="1" t="s">
        <v>320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</row>
    <row r="20" spans="1:42" x14ac:dyDescent="0.25">
      <c r="A20" s="1" t="s">
        <v>321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</row>
    <row r="21" spans="1:42" x14ac:dyDescent="0.25">
      <c r="A21" s="1" t="s">
        <v>322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</row>
    <row r="22" spans="1:42" x14ac:dyDescent="0.25">
      <c r="A22" s="1" t="s">
        <v>323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</row>
    <row r="23" spans="1:42" x14ac:dyDescent="0.25">
      <c r="A23" s="1" t="s">
        <v>324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</row>
    <row r="24" spans="1:42" s="19" customFormat="1" x14ac:dyDescent="0.25">
      <c r="A24" s="20" t="s">
        <v>325</v>
      </c>
      <c r="B24" s="20">
        <v>7.2282666651740596E-3</v>
      </c>
      <c r="C24" s="20">
        <v>7.9941520643495492E-3</v>
      </c>
      <c r="D24" s="20">
        <v>8.8389646157915006E-3</v>
      </c>
      <c r="E24" s="20">
        <v>9.7703452440908098E-3</v>
      </c>
      <c r="F24" s="20">
        <v>1.07965659828036E-2</v>
      </c>
      <c r="G24" s="20">
        <v>1.1926557896852799E-2</v>
      </c>
      <c r="H24" s="20">
        <v>1.31699343572059E-2</v>
      </c>
      <c r="I24" s="20">
        <v>1.45370079225834E-2</v>
      </c>
      <c r="J24" s="20">
        <v>1.6038798765507799E-2</v>
      </c>
      <c r="K24" s="20">
        <v>1.7687032241384799E-2</v>
      </c>
      <c r="L24" s="20">
        <v>1.9494122849825601E-2</v>
      </c>
      <c r="M24" s="20">
        <v>2.1473141492590699E-2</v>
      </c>
      <c r="N24" s="20">
        <v>2.3637762614216299E-2</v>
      </c>
      <c r="O24" s="20">
        <v>2.6002187548954E-2</v>
      </c>
      <c r="P24" s="20">
        <v>2.85810402288229E-2</v>
      </c>
      <c r="Q24" s="20">
        <v>3.1389231378918997E-2</v>
      </c>
      <c r="R24" s="20">
        <v>3.4441787492668401E-2</v>
      </c>
      <c r="S24" s="20">
        <v>3.77536413034655E-2</v>
      </c>
      <c r="T24" s="20">
        <v>4.1339381215919999E-2</v>
      </c>
      <c r="U24" s="20">
        <v>4.5212958294201001E-2</v>
      </c>
      <c r="V24" s="20">
        <v>4.93873509821115E-2</v>
      </c>
      <c r="W24" s="20">
        <v>5.38741897857377E-2</v>
      </c>
      <c r="X24" s="20">
        <v>5.8683346689179398E-2</v>
      </c>
      <c r="Y24" s="20">
        <v>6.38224970555889E-2</v>
      </c>
      <c r="Z24" s="20">
        <v>6.9296665088381004E-2</v>
      </c>
      <c r="AA24" s="20">
        <v>7.5107767418702204E-2</v>
      </c>
      <c r="AB24" s="20">
        <v>8.1254172795789906E-2</v>
      </c>
      <c r="AC24" s="20">
        <v>8.7730298864036105E-2</v>
      </c>
      <c r="AD24" s="20">
        <v>9.4526269234664298E-2</v>
      </c>
      <c r="AE24" s="20">
        <v>0.10162765509558901</v>
      </c>
      <c r="AF24" s="20">
        <v>0.109015325066081</v>
      </c>
      <c r="AG24" s="20">
        <v>0.116665424589218</v>
      </c>
      <c r="AH24" s="20">
        <v>0.12454950170474199</v>
      </c>
      <c r="AI24" s="20">
        <v>0.13263478960053299</v>
      </c>
      <c r="AJ24" s="20">
        <v>0.140884648187526</v>
      </c>
      <c r="AK24" s="20">
        <v>0.149259157616735</v>
      </c>
      <c r="AL24" s="20">
        <v>0.15771584691372401</v>
      </c>
      <c r="AM24" s="20">
        <v>0.166210531645958</v>
      </c>
      <c r="AN24" s="20">
        <v>0.17469822669799301</v>
      </c>
      <c r="AO24" s="20">
        <v>0.18313409465104899</v>
      </c>
      <c r="AP24" s="20">
        <v>0.191474387570779</v>
      </c>
    </row>
    <row r="25" spans="1:42" x14ac:dyDescent="0.25">
      <c r="A25" s="1" t="s">
        <v>326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25">
      <c r="A26" s="1" t="s">
        <v>327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</row>
    <row r="30" spans="1:42" x14ac:dyDescent="0.25">
      <c r="A30" s="7" t="s">
        <v>328</v>
      </c>
      <c r="B30" s="8">
        <v>2020</v>
      </c>
      <c r="C30" s="8">
        <v>2021</v>
      </c>
      <c r="D30" s="8">
        <v>2022</v>
      </c>
      <c r="E30" s="8">
        <v>2023</v>
      </c>
      <c r="F30" s="8">
        <v>2024</v>
      </c>
      <c r="G30" s="8">
        <v>2025</v>
      </c>
      <c r="H30" s="8">
        <v>2026</v>
      </c>
      <c r="I30" s="8">
        <v>2027</v>
      </c>
      <c r="J30" s="8">
        <v>2028</v>
      </c>
      <c r="K30" s="8">
        <v>2029</v>
      </c>
      <c r="L30" s="8">
        <v>2030</v>
      </c>
      <c r="M30" s="8">
        <v>2031</v>
      </c>
      <c r="N30" s="8">
        <v>2032</v>
      </c>
      <c r="O30" s="8">
        <v>2033</v>
      </c>
      <c r="P30" s="8">
        <v>2034</v>
      </c>
      <c r="Q30" s="8">
        <v>2035</v>
      </c>
      <c r="R30" s="8">
        <v>2036</v>
      </c>
      <c r="S30" s="8">
        <v>2037</v>
      </c>
      <c r="T30" s="8">
        <v>2038</v>
      </c>
      <c r="U30" s="8">
        <v>2039</v>
      </c>
      <c r="V30" s="8">
        <v>2040</v>
      </c>
      <c r="W30" s="8">
        <v>2041</v>
      </c>
      <c r="X30" s="8">
        <v>2042</v>
      </c>
      <c r="Y30" s="8">
        <v>2043</v>
      </c>
      <c r="Z30" s="8">
        <v>2044</v>
      </c>
      <c r="AA30" s="8">
        <v>2045</v>
      </c>
      <c r="AB30" s="8">
        <v>2046</v>
      </c>
      <c r="AC30" s="8">
        <v>2047</v>
      </c>
      <c r="AD30" s="8">
        <v>2048</v>
      </c>
      <c r="AE30" s="8">
        <v>2049</v>
      </c>
      <c r="AF30" s="8">
        <v>2050</v>
      </c>
      <c r="AG30" s="8">
        <v>2051</v>
      </c>
      <c r="AH30" s="8">
        <v>2052</v>
      </c>
      <c r="AI30" s="8">
        <v>2053</v>
      </c>
      <c r="AJ30" s="8">
        <v>2054</v>
      </c>
      <c r="AK30" s="8">
        <v>2055</v>
      </c>
      <c r="AL30" s="8">
        <v>2056</v>
      </c>
      <c r="AM30" s="8">
        <v>2057</v>
      </c>
      <c r="AN30" s="8">
        <v>2058</v>
      </c>
      <c r="AO30" s="8">
        <v>2059</v>
      </c>
      <c r="AP30" s="8">
        <v>2060</v>
      </c>
    </row>
    <row r="31" spans="1:42" x14ac:dyDescent="0.25">
      <c r="A31" s="1" t="s">
        <v>296</v>
      </c>
    </row>
    <row r="32" spans="1:42" x14ac:dyDescent="0.25">
      <c r="A32" s="1" t="s">
        <v>297</v>
      </c>
    </row>
    <row r="33" spans="1:42" x14ac:dyDescent="0.25">
      <c r="A33" s="1" t="s">
        <v>299</v>
      </c>
    </row>
    <row r="34" spans="1:42" x14ac:dyDescent="0.25">
      <c r="A34" s="1" t="s">
        <v>301</v>
      </c>
    </row>
    <row r="35" spans="1:42" x14ac:dyDescent="0.25">
      <c r="A35" s="1" t="s">
        <v>303</v>
      </c>
    </row>
    <row r="36" spans="1:42" x14ac:dyDescent="0.25">
      <c r="A36" s="1" t="s">
        <v>305</v>
      </c>
    </row>
    <row r="37" spans="1:42" x14ac:dyDescent="0.25">
      <c r="A37" s="1" t="s">
        <v>307</v>
      </c>
    </row>
    <row r="38" spans="1:42" x14ac:dyDescent="0.25">
      <c r="A38" s="1" t="s">
        <v>308</v>
      </c>
    </row>
    <row r="39" spans="1:42" x14ac:dyDescent="0.25">
      <c r="A39" s="1" t="s">
        <v>310</v>
      </c>
    </row>
    <row r="40" spans="1:42" x14ac:dyDescent="0.25">
      <c r="A40" s="20" t="s">
        <v>311</v>
      </c>
      <c r="B40">
        <f>B11/$AP11</f>
        <v>1.4473093738124939E-2</v>
      </c>
      <c r="C40">
        <f t="shared" ref="C40:AO40" si="0">C11/$AP11</f>
        <v>1.7889618379187424E-2</v>
      </c>
      <c r="D40">
        <f t="shared" si="0"/>
        <v>2.2094467603312407E-2</v>
      </c>
      <c r="E40">
        <f t="shared" si="0"/>
        <v>1.5555944780234185E-2</v>
      </c>
      <c r="F40">
        <f t="shared" si="0"/>
        <v>2.2319027499331758E-2</v>
      </c>
      <c r="G40">
        <f t="shared" si="0"/>
        <v>3.0359027964908712E-2</v>
      </c>
      <c r="H40">
        <f t="shared" si="0"/>
        <v>4.0374704319381581E-2</v>
      </c>
      <c r="I40">
        <f t="shared" si="0"/>
        <v>5.2882859964293594E-2</v>
      </c>
      <c r="J40">
        <f t="shared" si="0"/>
        <v>6.7503794032156214E-2</v>
      </c>
      <c r="K40">
        <f t="shared" si="0"/>
        <v>8.4979625760164546E-2</v>
      </c>
      <c r="L40">
        <f t="shared" si="0"/>
        <v>0.10557243336002971</v>
      </c>
      <c r="M40">
        <f t="shared" si="0"/>
        <v>0.13026898362205763</v>
      </c>
      <c r="N40">
        <f t="shared" si="0"/>
        <v>0.15907969916113301</v>
      </c>
      <c r="O40">
        <f t="shared" si="0"/>
        <v>0.19188676135077687</v>
      </c>
      <c r="P40">
        <f t="shared" si="0"/>
        <v>0.23003618322758082</v>
      </c>
      <c r="Q40">
        <f t="shared" si="0"/>
        <v>0.27235253794481862</v>
      </c>
      <c r="R40">
        <f t="shared" si="0"/>
        <v>0.31954209145824836</v>
      </c>
      <c r="S40">
        <f t="shared" si="0"/>
        <v>0.36980065392471678</v>
      </c>
      <c r="T40">
        <f t="shared" si="0"/>
        <v>0.4222849318249946</v>
      </c>
      <c r="U40">
        <f t="shared" si="0"/>
        <v>0.47527355503995078</v>
      </c>
      <c r="V40">
        <f t="shared" si="0"/>
        <v>0.52792972627446599</v>
      </c>
      <c r="W40">
        <f t="shared" si="0"/>
        <v>0.57973574799374583</v>
      </c>
      <c r="X40">
        <f t="shared" si="0"/>
        <v>0.62947763700179449</v>
      </c>
      <c r="Y40">
        <f t="shared" si="0"/>
        <v>0.67514599455516133</v>
      </c>
      <c r="Z40">
        <f t="shared" si="0"/>
        <v>0.71670926843817095</v>
      </c>
      <c r="AA40">
        <f t="shared" si="0"/>
        <v>0.75395865003804441</v>
      </c>
      <c r="AB40">
        <f t="shared" si="0"/>
        <v>0.78765127768911358</v>
      </c>
      <c r="AC40">
        <f t="shared" si="0"/>
        <v>0.8179089922666094</v>
      </c>
      <c r="AD40">
        <f t="shared" si="0"/>
        <v>0.84334336958629819</v>
      </c>
      <c r="AE40">
        <f t="shared" si="0"/>
        <v>0.86586707440310995</v>
      </c>
      <c r="AF40">
        <f t="shared" si="0"/>
        <v>0.88622756668221891</v>
      </c>
      <c r="AG40">
        <f t="shared" si="0"/>
        <v>0.9035919185285437</v>
      </c>
      <c r="AH40">
        <f t="shared" si="0"/>
        <v>0.91947062272480062</v>
      </c>
      <c r="AI40">
        <f t="shared" si="0"/>
        <v>0.93288346608335759</v>
      </c>
      <c r="AJ40">
        <f t="shared" si="0"/>
        <v>0.94561989268519298</v>
      </c>
      <c r="AK40">
        <f t="shared" si="0"/>
        <v>0.95658759335595922</v>
      </c>
      <c r="AL40">
        <f t="shared" si="0"/>
        <v>0.96670746972069155</v>
      </c>
      <c r="AM40">
        <f t="shared" si="0"/>
        <v>0.97650577277295925</v>
      </c>
      <c r="AN40">
        <f t="shared" si="0"/>
        <v>0.98505318006111187</v>
      </c>
      <c r="AO40">
        <f t="shared" si="0"/>
        <v>0.99397603895999709</v>
      </c>
      <c r="AP40">
        <f>AP11/$AP11</f>
        <v>1</v>
      </c>
    </row>
    <row r="41" spans="1:42" x14ac:dyDescent="0.25">
      <c r="A41" s="1" t="s">
        <v>312</v>
      </c>
    </row>
    <row r="42" spans="1:42" x14ac:dyDescent="0.25">
      <c r="A42" s="1" t="s">
        <v>313</v>
      </c>
    </row>
    <row r="43" spans="1:42" x14ac:dyDescent="0.25">
      <c r="A43" s="20" t="s">
        <v>315</v>
      </c>
      <c r="B43">
        <f t="shared" ref="B41:Q53" si="1">B14/$AP14</f>
        <v>0</v>
      </c>
      <c r="C43">
        <f t="shared" si="1"/>
        <v>0</v>
      </c>
      <c r="D43">
        <f t="shared" si="1"/>
        <v>0</v>
      </c>
      <c r="E43">
        <f t="shared" si="1"/>
        <v>0</v>
      </c>
      <c r="F43">
        <f t="shared" si="1"/>
        <v>0</v>
      </c>
      <c r="G43">
        <f t="shared" si="1"/>
        <v>0</v>
      </c>
      <c r="H43">
        <f t="shared" si="1"/>
        <v>0</v>
      </c>
      <c r="I43">
        <f t="shared" si="1"/>
        <v>0</v>
      </c>
      <c r="J43">
        <f t="shared" si="1"/>
        <v>0</v>
      </c>
      <c r="K43">
        <f t="shared" si="1"/>
        <v>0</v>
      </c>
      <c r="L43">
        <f t="shared" si="1"/>
        <v>1.1984189210028219E-3</v>
      </c>
      <c r="M43">
        <f t="shared" si="1"/>
        <v>1.9970449168154242E-2</v>
      </c>
      <c r="N43">
        <f t="shared" si="1"/>
        <v>3.9660273651943294E-2</v>
      </c>
      <c r="O43">
        <f t="shared" si="1"/>
        <v>6.0315005322101968E-2</v>
      </c>
      <c r="P43">
        <f t="shared" si="1"/>
        <v>8.1980182824677894E-2</v>
      </c>
      <c r="Q43">
        <f t="shared" si="1"/>
        <v>0.10464531063993963</v>
      </c>
      <c r="R43">
        <f t="shared" ref="C43:AO53" si="2">R14/$AP14</f>
        <v>0.12751900843720854</v>
      </c>
      <c r="S43">
        <f t="shared" si="2"/>
        <v>0.15134103368723922</v>
      </c>
      <c r="T43">
        <f t="shared" si="2"/>
        <v>0.17611681603534052</v>
      </c>
      <c r="U43">
        <f t="shared" si="2"/>
        <v>0.20190494405879714</v>
      </c>
      <c r="V43">
        <f t="shared" si="2"/>
        <v>0.22875936161005331</v>
      </c>
      <c r="W43">
        <f t="shared" si="2"/>
        <v>0.25681730685470472</v>
      </c>
      <c r="X43">
        <f t="shared" si="2"/>
        <v>0.28614027222263561</v>
      </c>
      <c r="Y43">
        <f t="shared" si="2"/>
        <v>0.31686429462143412</v>
      </c>
      <c r="Z43">
        <f t="shared" si="2"/>
        <v>0.34906219615358625</v>
      </c>
      <c r="AA43">
        <f t="shared" si="2"/>
        <v>0.38283983267210547</v>
      </c>
      <c r="AB43">
        <f t="shared" si="2"/>
        <v>0.41535209891107133</v>
      </c>
      <c r="AC43">
        <f t="shared" si="2"/>
        <v>0.44912935048153729</v>
      </c>
      <c r="AD43">
        <f t="shared" si="2"/>
        <v>0.48422739903797746</v>
      </c>
      <c r="AE43">
        <f t="shared" si="2"/>
        <v>0.5206894750819987</v>
      </c>
      <c r="AF43">
        <f t="shared" si="2"/>
        <v>0.5587122545665657</v>
      </c>
      <c r="AG43">
        <f t="shared" si="2"/>
        <v>0.59815261141414289</v>
      </c>
      <c r="AH43">
        <f t="shared" si="2"/>
        <v>0.63949313666091023</v>
      </c>
      <c r="AI43">
        <f t="shared" si="2"/>
        <v>0.68264535586193886</v>
      </c>
      <c r="AJ43">
        <f t="shared" si="2"/>
        <v>0.72788167468259546</v>
      </c>
      <c r="AK43">
        <f t="shared" si="2"/>
        <v>0.77523547068982912</v>
      </c>
      <c r="AL43">
        <f t="shared" si="2"/>
        <v>0.81746679216547202</v>
      </c>
      <c r="AM43">
        <f t="shared" si="2"/>
        <v>0.86100309394252628</v>
      </c>
      <c r="AN43">
        <f t="shared" si="2"/>
        <v>0.90564561650288078</v>
      </c>
      <c r="AO43">
        <f t="shared" si="2"/>
        <v>0.95204184645507917</v>
      </c>
      <c r="AP43">
        <f t="shared" ref="AP43" si="3">AP14/$AP14</f>
        <v>1</v>
      </c>
    </row>
    <row r="44" spans="1:42" x14ac:dyDescent="0.25">
      <c r="A44" s="20" t="s">
        <v>316</v>
      </c>
      <c r="B44">
        <f t="shared" si="1"/>
        <v>0</v>
      </c>
      <c r="C44">
        <f t="shared" si="2"/>
        <v>0</v>
      </c>
      <c r="D44">
        <f t="shared" si="2"/>
        <v>0</v>
      </c>
      <c r="E44">
        <f t="shared" si="2"/>
        <v>0</v>
      </c>
      <c r="F44">
        <f t="shared" si="2"/>
        <v>0</v>
      </c>
      <c r="G44">
        <f t="shared" si="2"/>
        <v>4.9426740092082767E-3</v>
      </c>
      <c r="H44">
        <f t="shared" si="2"/>
        <v>5.684764449187178E-3</v>
      </c>
      <c r="I44">
        <f t="shared" si="2"/>
        <v>7.2534267932971141E-3</v>
      </c>
      <c r="J44">
        <f t="shared" si="2"/>
        <v>1.0495648187789983E-2</v>
      </c>
      <c r="K44">
        <f t="shared" si="2"/>
        <v>1.6270038547395733E-2</v>
      </c>
      <c r="L44">
        <f t="shared" si="2"/>
        <v>2.5459195535921873E-2</v>
      </c>
      <c r="M44">
        <f t="shared" si="2"/>
        <v>3.8877370911919999E-2</v>
      </c>
      <c r="N44">
        <f t="shared" si="2"/>
        <v>5.5441565470326644E-2</v>
      </c>
      <c r="O44">
        <f t="shared" si="2"/>
        <v>7.3771305960297129E-2</v>
      </c>
      <c r="P44">
        <f t="shared" si="2"/>
        <v>9.2295606005614123E-2</v>
      </c>
      <c r="Q44">
        <f t="shared" si="2"/>
        <v>0.10945074716377637</v>
      </c>
      <c r="R44">
        <f t="shared" si="2"/>
        <v>0.12544064058075119</v>
      </c>
      <c r="S44">
        <f t="shared" si="2"/>
        <v>0.1399694549960474</v>
      </c>
      <c r="T44">
        <f t="shared" si="2"/>
        <v>0.15433456321378197</v>
      </c>
      <c r="U44">
        <f t="shared" si="2"/>
        <v>0.16998288131932457</v>
      </c>
      <c r="V44">
        <f t="shared" si="2"/>
        <v>0.18853305785124036</v>
      </c>
      <c r="W44">
        <f t="shared" si="2"/>
        <v>0.20983042090204856</v>
      </c>
      <c r="X44">
        <f t="shared" si="2"/>
        <v>0.23529610901885456</v>
      </c>
      <c r="Y44">
        <f t="shared" si="2"/>
        <v>0.2649396143744619</v>
      </c>
      <c r="Z44">
        <f t="shared" si="2"/>
        <v>0.29824398346248315</v>
      </c>
      <c r="AA44">
        <f t="shared" si="2"/>
        <v>0.33516029083806836</v>
      </c>
      <c r="AB44">
        <f t="shared" si="2"/>
        <v>0.37546324568628747</v>
      </c>
      <c r="AC44">
        <f t="shared" si="2"/>
        <v>0.41890398713819876</v>
      </c>
      <c r="AD44">
        <f t="shared" si="2"/>
        <v>0.46556421587767111</v>
      </c>
      <c r="AE44">
        <f t="shared" si="2"/>
        <v>0.51447173114013134</v>
      </c>
      <c r="AF44">
        <f t="shared" si="2"/>
        <v>0.56559917355371958</v>
      </c>
      <c r="AG44">
        <f t="shared" si="2"/>
        <v>0.61102412937668771</v>
      </c>
      <c r="AH44">
        <f t="shared" si="2"/>
        <v>0.65638296003200536</v>
      </c>
      <c r="AI44">
        <f t="shared" si="2"/>
        <v>0.70287022721460091</v>
      </c>
      <c r="AJ44">
        <f t="shared" si="2"/>
        <v>0.74948412181739499</v>
      </c>
      <c r="AK44">
        <f t="shared" si="2"/>
        <v>0.79763340886243395</v>
      </c>
      <c r="AL44">
        <f t="shared" si="2"/>
        <v>0.83786795639835288</v>
      </c>
      <c r="AM44">
        <f t="shared" si="2"/>
        <v>0.8774007975871323</v>
      </c>
      <c r="AN44">
        <f t="shared" si="2"/>
        <v>0.91788525617379912</v>
      </c>
      <c r="AO44">
        <f t="shared" si="2"/>
        <v>0.95870726870930623</v>
      </c>
      <c r="AP44">
        <f t="shared" ref="AP44" si="4">AP15/$AP15</f>
        <v>1</v>
      </c>
    </row>
    <row r="45" spans="1:42" x14ac:dyDescent="0.25">
      <c r="A45" s="1" t="s">
        <v>317</v>
      </c>
    </row>
    <row r="46" spans="1:42" x14ac:dyDescent="0.25">
      <c r="A46" s="1" t="s">
        <v>318</v>
      </c>
    </row>
    <row r="47" spans="1:42" x14ac:dyDescent="0.25">
      <c r="A47" s="1" t="s">
        <v>319</v>
      </c>
    </row>
    <row r="48" spans="1:42" x14ac:dyDescent="0.25">
      <c r="A48" s="1" t="s">
        <v>320</v>
      </c>
    </row>
    <row r="49" spans="1:42" x14ac:dyDescent="0.25">
      <c r="A49" s="1" t="s">
        <v>321</v>
      </c>
    </row>
    <row r="50" spans="1:42" x14ac:dyDescent="0.25">
      <c r="A50" s="1" t="s">
        <v>322</v>
      </c>
    </row>
    <row r="51" spans="1:42" x14ac:dyDescent="0.25">
      <c r="A51" s="1" t="s">
        <v>323</v>
      </c>
    </row>
    <row r="52" spans="1:42" x14ac:dyDescent="0.25">
      <c r="A52" s="1" t="s">
        <v>324</v>
      </c>
    </row>
    <row r="53" spans="1:42" x14ac:dyDescent="0.25">
      <c r="A53" s="20" t="s">
        <v>325</v>
      </c>
      <c r="B53">
        <f t="shared" si="1"/>
        <v>3.7750566834961738E-2</v>
      </c>
      <c r="C53">
        <f t="shared" si="2"/>
        <v>4.1750503374214945E-2</v>
      </c>
      <c r="D53">
        <f t="shared" si="2"/>
        <v>4.6162647275861661E-2</v>
      </c>
      <c r="E53">
        <f t="shared" si="2"/>
        <v>5.1026904266656431E-2</v>
      </c>
      <c r="F53">
        <f t="shared" si="2"/>
        <v>5.638647612236191E-2</v>
      </c>
      <c r="G53">
        <f t="shared" si="2"/>
        <v>6.2288006496138373E-2</v>
      </c>
      <c r="H53">
        <f t="shared" si="2"/>
        <v>6.878170247358853E-2</v>
      </c>
      <c r="I53">
        <f t="shared" si="2"/>
        <v>7.5921422739684996E-2</v>
      </c>
      <c r="J53">
        <f t="shared" si="2"/>
        <v>8.37647215849118E-2</v>
      </c>
      <c r="K53">
        <f t="shared" si="2"/>
        <v>9.2372836209473411E-2</v>
      </c>
      <c r="L53">
        <f t="shared" si="2"/>
        <v>0.10181060295920544</v>
      </c>
      <c r="M53">
        <f t="shared" si="2"/>
        <v>0.11214628632590924</v>
      </c>
      <c r="N53">
        <f t="shared" si="2"/>
        <v>0.12345130288236873</v>
      </c>
      <c r="O53">
        <f t="shared" si="2"/>
        <v>0.13579982095173029</v>
      </c>
      <c r="P53">
        <f t="shared" si="2"/>
        <v>0.14926821592918188</v>
      </c>
      <c r="Q53">
        <f t="shared" si="2"/>
        <v>0.16393436102421732</v>
      </c>
      <c r="R53">
        <f t="shared" si="2"/>
        <v>0.17987673406155644</v>
      </c>
      <c r="S53">
        <f t="shared" si="2"/>
        <v>0.19717332319190611</v>
      </c>
      <c r="T53">
        <f t="shared" si="2"/>
        <v>0.21590031826391815</v>
      </c>
      <c r="U53">
        <f t="shared" si="2"/>
        <v>0.23613058053254204</v>
      </c>
      <c r="V53">
        <f t="shared" si="2"/>
        <v>0.25793189161581903</v>
      </c>
      <c r="W53">
        <f t="shared" si="2"/>
        <v>0.28136499335099302</v>
      </c>
      <c r="X53">
        <f t="shared" si="2"/>
        <v>0.30648144346453099</v>
      </c>
      <c r="Y53">
        <f t="shared" si="2"/>
        <v>0.33332132754307281</v>
      </c>
      <c r="Z53">
        <f t="shared" si="2"/>
        <v>0.36191088514522762</v>
      </c>
      <c r="AA53">
        <f t="shared" si="2"/>
        <v>0.39226012612751365</v>
      </c>
      <c r="AB53">
        <f t="shared" si="2"/>
        <v>0.4243605310697447</v>
      </c>
      <c r="AC53">
        <f t="shared" si="2"/>
        <v>0.45818294539057541</v>
      </c>
      <c r="AD53">
        <f t="shared" si="2"/>
        <v>0.49367578835953929</v>
      </c>
      <c r="AE53">
        <f t="shared" si="2"/>
        <v>0.53076370362078884</v>
      </c>
      <c r="AF53">
        <f t="shared" si="2"/>
        <v>0.56934677503947206</v>
      </c>
      <c r="AG53">
        <f t="shared" si="2"/>
        <v>0.60930041907611443</v>
      </c>
      <c r="AH53">
        <f t="shared" si="2"/>
        <v>0.65047604165179507</v>
      </c>
      <c r="AI53">
        <f t="shared" si="2"/>
        <v>0.69270251381012615</v>
      </c>
      <c r="AJ53">
        <f t="shared" si="2"/>
        <v>0.73578847789993651</v>
      </c>
      <c r="AK53">
        <f t="shared" si="2"/>
        <v>0.77952544729545603</v>
      </c>
      <c r="AL53">
        <f t="shared" si="2"/>
        <v>0.82369161178501715</v>
      </c>
      <c r="AM53">
        <f t="shared" si="2"/>
        <v>0.86805621239821362</v>
      </c>
      <c r="AN53">
        <f t="shared" si="2"/>
        <v>0.91238430849355956</v>
      </c>
      <c r="AO53">
        <f t="shared" si="2"/>
        <v>0.95644173079468919</v>
      </c>
      <c r="AP53">
        <f t="shared" ref="AP53" si="5">AP24/$AP24</f>
        <v>1</v>
      </c>
    </row>
    <row r="54" spans="1:42" x14ac:dyDescent="0.25">
      <c r="A54" s="1" t="s">
        <v>326</v>
      </c>
    </row>
    <row r="55" spans="1:42" x14ac:dyDescent="0.25">
      <c r="A55" s="1" t="s">
        <v>327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61"/>
  <sheetViews>
    <sheetView tabSelected="1" topLeftCell="F29" workbookViewId="0">
      <selection activeCell="Q56" sqref="Q56"/>
    </sheetView>
  </sheetViews>
  <sheetFormatPr defaultColWidth="8.88671875" defaultRowHeight="14.4" x14ac:dyDescent="0.25"/>
  <cols>
    <col min="1" max="1" width="14.21875" customWidth="1"/>
    <col min="7" max="11" width="12.88671875"/>
    <col min="13" max="13" width="12.88671875"/>
  </cols>
  <sheetData>
    <row r="1" spans="1:43" x14ac:dyDescent="0.25">
      <c r="A1" s="7" t="s">
        <v>328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>
        <v>2051</v>
      </c>
      <c r="AH1" s="8">
        <v>2052</v>
      </c>
      <c r="AI1" s="8">
        <v>2053</v>
      </c>
      <c r="AJ1" s="8">
        <v>2054</v>
      </c>
      <c r="AK1" s="8">
        <v>2055</v>
      </c>
      <c r="AL1" s="8">
        <v>2056</v>
      </c>
      <c r="AM1" s="8">
        <v>2057</v>
      </c>
      <c r="AN1" s="8">
        <v>2058</v>
      </c>
      <c r="AO1" s="8">
        <v>2059</v>
      </c>
      <c r="AP1" s="8">
        <v>2060</v>
      </c>
    </row>
    <row r="2" spans="1:43" x14ac:dyDescent="0.25">
      <c r="A2" s="1" t="s">
        <v>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3.9536236921570399E-3</v>
      </c>
      <c r="I2" s="1">
        <v>8.9321927829223591E-3</v>
      </c>
      <c r="J2" s="1">
        <v>1.7822071792461602E-2</v>
      </c>
      <c r="K2" s="1">
        <v>2.45768020196807E-2</v>
      </c>
      <c r="L2" s="1">
        <v>3.3521495281425999E-2</v>
      </c>
      <c r="M2" s="1">
        <v>4.5303045442860998E-2</v>
      </c>
      <c r="N2" s="1">
        <v>6.0712440838398503E-2</v>
      </c>
      <c r="O2" s="1">
        <v>8.0682479047524694E-2</v>
      </c>
      <c r="P2" s="1">
        <v>0.106257056191851</v>
      </c>
      <c r="Q2" s="1">
        <v>0.13851495495364299</v>
      </c>
      <c r="R2" s="1">
        <v>0.17843149419065599</v>
      </c>
      <c r="S2" s="1">
        <v>0.22667166985702</v>
      </c>
      <c r="T2" s="1">
        <v>0.28333402711699401</v>
      </c>
      <c r="U2" s="1">
        <v>0.347704414277409</v>
      </c>
      <c r="V2" s="1">
        <v>0.41811670382650401</v>
      </c>
      <c r="W2" s="1">
        <v>0.49202123099208001</v>
      </c>
      <c r="X2" s="1">
        <v>0.56630314617284405</v>
      </c>
      <c r="Y2" s="1">
        <v>0.63778414647401305</v>
      </c>
      <c r="Z2" s="1">
        <v>0.70374582868935798</v>
      </c>
      <c r="AA2" s="1">
        <v>0.76230100752447205</v>
      </c>
      <c r="AB2" s="1">
        <v>0.81252008061443504</v>
      </c>
      <c r="AC2" s="1">
        <v>0.85433216600066897</v>
      </c>
      <c r="AD2" s="1">
        <v>0.88829413595194395</v>
      </c>
      <c r="AE2" s="1">
        <v>0.91532988911136204</v>
      </c>
      <c r="AF2" s="1">
        <v>0.93650901037872802</v>
      </c>
      <c r="AG2" s="1">
        <v>0.95289237118405101</v>
      </c>
      <c r="AH2" s="1">
        <v>0.96544276150979902</v>
      </c>
      <c r="AI2" s="1">
        <v>0.97498519421568597</v>
      </c>
      <c r="AJ2" s="1">
        <v>0.98219935627485</v>
      </c>
      <c r="AK2" s="1">
        <v>0.98762986101150196</v>
      </c>
      <c r="AL2" s="1">
        <v>0.99170445391032003</v>
      </c>
      <c r="AM2" s="1">
        <v>0.99475424204490703</v>
      </c>
      <c r="AN2" s="1">
        <v>0.99703281290021495</v>
      </c>
      <c r="AO2" s="1">
        <v>0.99873286845787002</v>
      </c>
      <c r="AP2" s="1">
        <v>1</v>
      </c>
    </row>
    <row r="3" spans="1:43" x14ac:dyDescent="0.25">
      <c r="A3" s="1" t="s">
        <v>12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7.0209845007671696E-4</v>
      </c>
      <c r="N3" s="1">
        <v>1.2043304297681299E-2</v>
      </c>
      <c r="O3" s="1">
        <v>2.64307892455759E-2</v>
      </c>
      <c r="P3" s="1">
        <v>4.45505318827372E-2</v>
      </c>
      <c r="Q3" s="1">
        <v>6.7162848164241506E-2</v>
      </c>
      <c r="R3" s="1">
        <v>9.5061564910077806E-2</v>
      </c>
      <c r="S3" s="1">
        <v>0.12900216573652401</v>
      </c>
      <c r="T3" s="1">
        <v>0.16959415048430199</v>
      </c>
      <c r="U3" s="1">
        <v>0.217161416485152</v>
      </c>
      <c r="V3" s="1">
        <v>0.27158911583495898</v>
      </c>
      <c r="W3" s="1">
        <v>0.33219324235761</v>
      </c>
      <c r="X3" s="1">
        <v>0.39766176898067102</v>
      </c>
      <c r="Y3" s="1">
        <v>0.46611162226115899</v>
      </c>
      <c r="Z3" s="1">
        <v>0.53527668254555205</v>
      </c>
      <c r="AA3" s="1">
        <v>0.60279521815703097</v>
      </c>
      <c r="AB3" s="1">
        <v>0.666523456057593</v>
      </c>
      <c r="AC3" s="1">
        <v>0.72479032252460196</v>
      </c>
      <c r="AD3" s="1">
        <v>0.77653425913338303</v>
      </c>
      <c r="AE3" s="1">
        <v>0.82131007545036605</v>
      </c>
      <c r="AF3" s="1">
        <v>0.859195521888097</v>
      </c>
      <c r="AG3" s="1">
        <v>0.89064642684572504</v>
      </c>
      <c r="AH3" s="1">
        <v>0.91634558834264601</v>
      </c>
      <c r="AI3" s="1">
        <v>0.93707461998720498</v>
      </c>
      <c r="AJ3" s="1">
        <v>0.95362072057723302</v>
      </c>
      <c r="AK3" s="1">
        <v>0.96671802405815999</v>
      </c>
      <c r="AL3" s="1">
        <v>0.97701694951082396</v>
      </c>
      <c r="AM3" s="1">
        <v>0.98507330582158603</v>
      </c>
      <c r="AN3" s="1">
        <v>0.991349754228803</v>
      </c>
      <c r="AO3" s="1">
        <v>0.99622401272106997</v>
      </c>
      <c r="AP3" s="1">
        <v>1</v>
      </c>
    </row>
    <row r="4" spans="1:43" x14ac:dyDescent="0.25">
      <c r="A4" s="9" t="s">
        <v>16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</row>
    <row r="5" spans="1:43" x14ac:dyDescent="0.25">
      <c r="A5" s="9" t="s">
        <v>20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</row>
    <row r="6" spans="1:43" x14ac:dyDescent="0.25">
      <c r="A6" s="9" t="s">
        <v>24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</row>
    <row r="7" spans="1:43" x14ac:dyDescent="0.25">
      <c r="A7" s="9" t="s">
        <v>28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</row>
    <row r="8" spans="1:43" x14ac:dyDescent="0.25">
      <c r="A8" s="9" t="s">
        <v>32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</row>
    <row r="9" spans="1:43" x14ac:dyDescent="0.25">
      <c r="A9" s="1" t="s">
        <v>36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1.03920744763869E-2</v>
      </c>
      <c r="I9" s="1">
        <v>2.6436401661458501E-2</v>
      </c>
      <c r="J9" s="1">
        <v>4.3467413683122902E-2</v>
      </c>
      <c r="K9" s="1">
        <v>6.1399987887674798E-2</v>
      </c>
      <c r="L9" s="1">
        <v>8.0149001621426005E-2</v>
      </c>
      <c r="M9" s="1">
        <v>9.9629332230670303E-2</v>
      </c>
      <c r="N9" s="1">
        <v>0.11975585706172</v>
      </c>
      <c r="O9" s="1">
        <v>0.14044345346086901</v>
      </c>
      <c r="P9" s="1">
        <v>0.16160699877442999</v>
      </c>
      <c r="Q9" s="1">
        <v>0.18316137034869601</v>
      </c>
      <c r="R9" s="1">
        <v>0.20502144552998</v>
      </c>
      <c r="S9" s="1">
        <v>0.22710210166457401</v>
      </c>
      <c r="T9" s="1">
        <v>0.24931821609879401</v>
      </c>
      <c r="U9" s="1">
        <v>0.27158466617892901</v>
      </c>
      <c r="V9" s="1">
        <v>0.29381632925129603</v>
      </c>
      <c r="W9" s="1">
        <v>0.31592808266218497</v>
      </c>
      <c r="X9" s="1">
        <v>0.33783480375790997</v>
      </c>
      <c r="Y9" s="1">
        <v>0.359451369884765</v>
      </c>
      <c r="Z9" s="1">
        <v>0.38069265838906102</v>
      </c>
      <c r="AA9" s="1">
        <v>0.401473546617093</v>
      </c>
      <c r="AB9" s="1">
        <v>0.42170891191517401</v>
      </c>
      <c r="AC9" s="1">
        <v>0.44131363162959503</v>
      </c>
      <c r="AD9" s="1">
        <v>0.460202583106671</v>
      </c>
      <c r="AE9" s="1">
        <v>0.47829064369269902</v>
      </c>
      <c r="AF9" s="1">
        <v>0.495492690733978</v>
      </c>
      <c r="AG9" s="1">
        <v>0.51172360157681995</v>
      </c>
      <c r="AH9" s="1">
        <v>0.52689825356751896</v>
      </c>
      <c r="AI9" s="1">
        <v>0.54093152405238698</v>
      </c>
      <c r="AJ9" s="1">
        <v>0.55373829037771805</v>
      </c>
      <c r="AK9" s="1">
        <v>0.56523342988982295</v>
      </c>
      <c r="AL9" s="1">
        <v>0.57533181993499904</v>
      </c>
      <c r="AM9" s="1">
        <v>0.58394833785955402</v>
      </c>
      <c r="AN9" s="1">
        <v>0.59099786100978702</v>
      </c>
      <c r="AO9" s="1">
        <v>0.59639526673200405</v>
      </c>
      <c r="AP9" s="1">
        <v>0.60005543237250503</v>
      </c>
    </row>
    <row r="10" spans="1:43" x14ac:dyDescent="0.25">
      <c r="A10" s="9" t="s">
        <v>40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</row>
    <row r="11" spans="1:43" x14ac:dyDescent="0.25">
      <c r="A11" s="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</row>
    <row r="12" spans="1:43" x14ac:dyDescent="0.25">
      <c r="A12" s="1" t="s">
        <v>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7.0209845007671696E-4</v>
      </c>
      <c r="N12" s="1">
        <v>1.2043304297681299E-2</v>
      </c>
      <c r="O12" s="1">
        <v>2.64307892455759E-2</v>
      </c>
      <c r="P12" s="1">
        <v>4.45505318827372E-2</v>
      </c>
      <c r="Q12" s="1">
        <v>6.7162848164241506E-2</v>
      </c>
      <c r="R12" s="1">
        <v>9.5061564910077806E-2</v>
      </c>
      <c r="S12" s="1">
        <v>0.12900216573652401</v>
      </c>
      <c r="T12" s="1">
        <v>0.16959415048430199</v>
      </c>
      <c r="U12" s="1">
        <v>0.217161416485152</v>
      </c>
      <c r="V12" s="1">
        <v>0.27158911583495898</v>
      </c>
      <c r="W12" s="1">
        <v>0.33219324235761</v>
      </c>
      <c r="X12" s="1">
        <v>0.39766176898067102</v>
      </c>
      <c r="Y12" s="1">
        <v>0.46611162226115899</v>
      </c>
      <c r="Z12" s="1">
        <v>0.53527668254555205</v>
      </c>
      <c r="AA12" s="1">
        <v>0.60279521815703097</v>
      </c>
      <c r="AB12" s="1">
        <v>0.666523456057593</v>
      </c>
      <c r="AC12" s="1">
        <v>0.72479032252460196</v>
      </c>
      <c r="AD12" s="1">
        <v>0.77653425913338303</v>
      </c>
      <c r="AE12" s="1">
        <v>0.82131007545036605</v>
      </c>
      <c r="AF12" s="1">
        <v>0.859195521888097</v>
      </c>
      <c r="AG12" s="1">
        <v>0.89064642684572504</v>
      </c>
      <c r="AH12" s="1">
        <v>0.91634558834264601</v>
      </c>
      <c r="AI12" s="1">
        <v>0.93707461998720498</v>
      </c>
      <c r="AJ12" s="1">
        <v>0.95362072057723302</v>
      </c>
      <c r="AK12" s="1">
        <v>0.96671802405815999</v>
      </c>
      <c r="AL12" s="1">
        <v>0.97701694951082396</v>
      </c>
      <c r="AM12" s="1">
        <v>0.98507330582158603</v>
      </c>
      <c r="AN12" s="1">
        <v>0.991349754228803</v>
      </c>
      <c r="AO12" s="1">
        <v>0.99622401272106997</v>
      </c>
      <c r="AP12" s="1">
        <v>1</v>
      </c>
      <c r="AQ12" s="1"/>
    </row>
    <row r="13" spans="1:43" x14ac:dyDescent="0.25">
      <c r="A13" s="1" t="s">
        <v>52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3.9536236921570399E-3</v>
      </c>
      <c r="I13" s="1">
        <v>8.9321927829223591E-3</v>
      </c>
      <c r="J13" s="1">
        <v>1.7822071792461602E-2</v>
      </c>
      <c r="K13" s="1">
        <v>2.45768020196807E-2</v>
      </c>
      <c r="L13" s="1">
        <v>3.3521495281425999E-2</v>
      </c>
      <c r="M13" s="1">
        <v>4.5303045442860998E-2</v>
      </c>
      <c r="N13" s="1">
        <v>6.0712440838398503E-2</v>
      </c>
      <c r="O13" s="1">
        <v>8.0682479047524694E-2</v>
      </c>
      <c r="P13" s="1">
        <v>0.106257056191851</v>
      </c>
      <c r="Q13" s="1">
        <v>0.13851495495364299</v>
      </c>
      <c r="R13" s="1">
        <v>0.17843149419065599</v>
      </c>
      <c r="S13" s="1">
        <v>0.22667166985702</v>
      </c>
      <c r="T13" s="1">
        <v>0.28333402711699401</v>
      </c>
      <c r="U13" s="1">
        <v>0.347704414277409</v>
      </c>
      <c r="V13" s="1">
        <v>0.41811670382650401</v>
      </c>
      <c r="W13" s="1">
        <v>0.49202123099208001</v>
      </c>
      <c r="X13" s="1">
        <v>0.56630314617284405</v>
      </c>
      <c r="Y13" s="1">
        <v>0.63778414647401305</v>
      </c>
      <c r="Z13" s="1">
        <v>0.70374582868935798</v>
      </c>
      <c r="AA13" s="1">
        <v>0.76230100752447205</v>
      </c>
      <c r="AB13" s="1">
        <v>0.81252008061443504</v>
      </c>
      <c r="AC13" s="1">
        <v>0.85433216600066897</v>
      </c>
      <c r="AD13" s="1">
        <v>0.88829413595194395</v>
      </c>
      <c r="AE13" s="1">
        <v>0.91532988911136204</v>
      </c>
      <c r="AF13" s="1">
        <v>0.93650901037872802</v>
      </c>
      <c r="AG13" s="1">
        <v>0.95289237118405101</v>
      </c>
      <c r="AH13" s="1">
        <v>0.96544276150979902</v>
      </c>
      <c r="AI13" s="1">
        <v>0.97498519421568597</v>
      </c>
      <c r="AJ13" s="1">
        <v>0.98219935627485</v>
      </c>
      <c r="AK13" s="1">
        <v>0.98762986101150196</v>
      </c>
      <c r="AL13" s="1">
        <v>0.99170445391032003</v>
      </c>
      <c r="AM13" s="1">
        <v>0.99475424204490703</v>
      </c>
      <c r="AN13" s="1">
        <v>0.99703281290021495</v>
      </c>
      <c r="AO13" s="1">
        <v>0.99873286845787002</v>
      </c>
      <c r="AP13" s="1">
        <v>1</v>
      </c>
    </row>
    <row r="14" spans="1:43" x14ac:dyDescent="0.25">
      <c r="A14" s="9" t="s">
        <v>57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</row>
    <row r="15" spans="1:43" x14ac:dyDescent="0.25">
      <c r="A15" s="1" t="s">
        <v>61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3" x14ac:dyDescent="0.25">
      <c r="A16" s="1" t="s">
        <v>65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 x14ac:dyDescent="0.25">
      <c r="A17" s="1" t="s">
        <v>69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1.03920744763869E-2</v>
      </c>
      <c r="I17" s="1">
        <v>2.6436401661458501E-2</v>
      </c>
      <c r="J17" s="1">
        <v>4.3467413683122902E-2</v>
      </c>
      <c r="K17" s="1">
        <v>6.1399987887674798E-2</v>
      </c>
      <c r="L17" s="1">
        <v>8.0149001621426005E-2</v>
      </c>
      <c r="M17" s="1">
        <v>9.9629332230670303E-2</v>
      </c>
      <c r="N17" s="1">
        <v>0.11975585706172</v>
      </c>
      <c r="O17" s="1">
        <v>0.14044345346086901</v>
      </c>
      <c r="P17" s="1">
        <v>0.16160699877442999</v>
      </c>
      <c r="Q17" s="1">
        <v>0.18316137034869601</v>
      </c>
      <c r="R17" s="1">
        <v>0.20502144552998</v>
      </c>
      <c r="S17" s="1">
        <v>0.22710210166457401</v>
      </c>
      <c r="T17" s="1">
        <v>0.24931821609879401</v>
      </c>
      <c r="U17" s="1">
        <v>0.27158466617892901</v>
      </c>
      <c r="V17" s="1">
        <v>0.29381632925129603</v>
      </c>
      <c r="W17" s="1">
        <v>0.31592808266218497</v>
      </c>
      <c r="X17" s="1">
        <v>0.33783480375790997</v>
      </c>
      <c r="Y17" s="1">
        <v>0.359451369884765</v>
      </c>
      <c r="Z17" s="1">
        <v>0.38069265838906102</v>
      </c>
      <c r="AA17" s="1">
        <v>0.401473546617093</v>
      </c>
      <c r="AB17" s="1">
        <v>0.42170891191517401</v>
      </c>
      <c r="AC17" s="1">
        <v>0.44131363162959503</v>
      </c>
      <c r="AD17" s="1">
        <v>0.460202583106671</v>
      </c>
      <c r="AE17" s="1">
        <v>0.47829064369269902</v>
      </c>
      <c r="AF17" s="1">
        <v>0.495492690733978</v>
      </c>
      <c r="AG17" s="1">
        <v>0.51172360157681995</v>
      </c>
      <c r="AH17" s="1">
        <v>0.52689825356751896</v>
      </c>
      <c r="AI17" s="1">
        <v>0.54093152405238698</v>
      </c>
      <c r="AJ17" s="1">
        <v>0.55373829037771805</v>
      </c>
      <c r="AK17" s="1">
        <v>0.56523342988982295</v>
      </c>
      <c r="AL17" s="1">
        <v>0.57533181993499904</v>
      </c>
      <c r="AM17" s="1">
        <v>0.58394833785955402</v>
      </c>
      <c r="AN17" s="1">
        <v>0.59099786100978702</v>
      </c>
      <c r="AO17" s="1">
        <v>0.59639526673200405</v>
      </c>
      <c r="AP17" s="1">
        <v>0.60005543237250503</v>
      </c>
    </row>
    <row r="21" spans="1:42" x14ac:dyDescent="0.25">
      <c r="A21" t="s">
        <v>329</v>
      </c>
      <c r="E21" s="3" t="s">
        <v>330</v>
      </c>
      <c r="K21" t="s">
        <v>331</v>
      </c>
    </row>
    <row r="23" spans="1:42" x14ac:dyDescent="0.25">
      <c r="D23" s="10"/>
      <c r="E23" s="10">
        <v>2020</v>
      </c>
      <c r="F23" s="10">
        <v>2025</v>
      </c>
      <c r="G23" s="10">
        <v>2030</v>
      </c>
      <c r="H23" s="10">
        <v>2035</v>
      </c>
      <c r="I23" s="10">
        <v>2040</v>
      </c>
      <c r="J23" s="10">
        <v>2045</v>
      </c>
      <c r="K23" s="10">
        <v>2050</v>
      </c>
      <c r="L23" s="10">
        <v>2055</v>
      </c>
      <c r="M23" s="10">
        <v>2060</v>
      </c>
    </row>
    <row r="24" spans="1:42" x14ac:dyDescent="0.25">
      <c r="D24" s="11" t="s">
        <v>332</v>
      </c>
      <c r="E24" s="12">
        <v>1079.0999999999999</v>
      </c>
      <c r="F24" s="12">
        <v>1215.7</v>
      </c>
      <c r="G24" s="12">
        <v>1227</v>
      </c>
      <c r="H24" s="12">
        <v>1036.0999999999999</v>
      </c>
      <c r="I24" s="12">
        <v>699.3</v>
      </c>
      <c r="J24" s="12">
        <v>198.1</v>
      </c>
      <c r="K24" s="12">
        <v>0</v>
      </c>
      <c r="L24" s="12">
        <v>0</v>
      </c>
      <c r="M24" s="12">
        <v>0</v>
      </c>
    </row>
    <row r="25" spans="1:42" x14ac:dyDescent="0.25">
      <c r="D25" s="13" t="s">
        <v>333</v>
      </c>
      <c r="E25" s="14">
        <v>99.7</v>
      </c>
      <c r="F25" s="14">
        <v>139.4</v>
      </c>
      <c r="G25" s="14">
        <v>188.8</v>
      </c>
      <c r="H25" s="14">
        <v>220.3</v>
      </c>
      <c r="I25" s="14">
        <v>231.5</v>
      </c>
      <c r="J25" s="14">
        <v>161.1</v>
      </c>
      <c r="K25" s="14">
        <v>48.1</v>
      </c>
      <c r="L25" s="14">
        <v>0</v>
      </c>
      <c r="M25" s="14">
        <v>0</v>
      </c>
    </row>
    <row r="26" spans="1:42" x14ac:dyDescent="0.25">
      <c r="D26" s="13" t="s">
        <v>334</v>
      </c>
      <c r="E26" s="14">
        <v>49.8</v>
      </c>
      <c r="F26" s="14">
        <v>72.5</v>
      </c>
      <c r="G26" s="14">
        <v>92.7</v>
      </c>
      <c r="H26" s="14">
        <v>122.4</v>
      </c>
      <c r="I26" s="14">
        <v>151.19999999999999</v>
      </c>
      <c r="J26" s="14">
        <v>182.6</v>
      </c>
      <c r="K26" s="14">
        <v>216.6</v>
      </c>
      <c r="L26" s="14">
        <v>253.2</v>
      </c>
      <c r="M26" s="14">
        <v>288.7</v>
      </c>
    </row>
    <row r="27" spans="1:42" x14ac:dyDescent="0.25">
      <c r="D27" s="13" t="s">
        <v>335</v>
      </c>
      <c r="E27" s="14">
        <v>370.2</v>
      </c>
      <c r="F27" s="14">
        <v>418.2</v>
      </c>
      <c r="G27" s="14">
        <v>480.7</v>
      </c>
      <c r="H27" s="14">
        <v>571.20000000000005</v>
      </c>
      <c r="I27" s="14">
        <v>638</v>
      </c>
      <c r="J27" s="14">
        <v>698.4</v>
      </c>
      <c r="K27" s="14">
        <v>752.3</v>
      </c>
      <c r="L27" s="14">
        <v>799.7</v>
      </c>
      <c r="M27" s="14">
        <v>794</v>
      </c>
    </row>
    <row r="28" spans="1:42" x14ac:dyDescent="0.25">
      <c r="D28" s="13" t="s">
        <v>336</v>
      </c>
      <c r="E28" s="14">
        <v>281.60000000000002</v>
      </c>
      <c r="F28" s="14">
        <v>404.3</v>
      </c>
      <c r="G28" s="14">
        <v>583.70000000000005</v>
      </c>
      <c r="H28" s="14">
        <v>816</v>
      </c>
      <c r="I28" s="14">
        <v>1086.9000000000001</v>
      </c>
      <c r="J28" s="14">
        <v>1396.8</v>
      </c>
      <c r="K28" s="14">
        <v>1745.3</v>
      </c>
      <c r="L28" s="14">
        <v>2066</v>
      </c>
      <c r="M28" s="14">
        <v>2310</v>
      </c>
    </row>
    <row r="29" spans="1:42" x14ac:dyDescent="0.25">
      <c r="D29" s="13" t="s">
        <v>337</v>
      </c>
      <c r="E29" s="14">
        <v>253.5</v>
      </c>
      <c r="F29" s="14">
        <v>432.2</v>
      </c>
      <c r="G29" s="14">
        <v>618.1</v>
      </c>
      <c r="H29" s="14">
        <v>897.6</v>
      </c>
      <c r="I29" s="14">
        <v>1181.5</v>
      </c>
      <c r="J29" s="14">
        <v>1504.2</v>
      </c>
      <c r="K29" s="14">
        <v>1805.5</v>
      </c>
      <c r="L29" s="14">
        <v>2132.6999999999998</v>
      </c>
      <c r="M29" s="14">
        <v>2526.6</v>
      </c>
    </row>
    <row r="30" spans="1:42" x14ac:dyDescent="0.25">
      <c r="D30" s="15" t="s">
        <v>338</v>
      </c>
      <c r="E30" s="16">
        <v>26.9</v>
      </c>
      <c r="F30" s="16">
        <v>83.6</v>
      </c>
      <c r="G30" s="16">
        <v>95.8</v>
      </c>
      <c r="H30" s="16">
        <v>104.4</v>
      </c>
      <c r="I30" s="16">
        <v>109.1</v>
      </c>
      <c r="J30" s="16">
        <v>109.5</v>
      </c>
      <c r="K30" s="16">
        <v>105.3</v>
      </c>
      <c r="L30" s="16">
        <v>98.6</v>
      </c>
      <c r="M30" s="16">
        <v>144.30000000000001</v>
      </c>
    </row>
    <row r="31" spans="1:42" x14ac:dyDescent="0.25">
      <c r="D31" s="15" t="s">
        <v>339</v>
      </c>
      <c r="E31" s="16">
        <v>0</v>
      </c>
      <c r="F31" s="16">
        <v>0</v>
      </c>
      <c r="G31" s="16">
        <v>136.30000000000001</v>
      </c>
      <c r="H31" s="16">
        <v>259</v>
      </c>
      <c r="I31" s="16">
        <v>466.2</v>
      </c>
      <c r="J31" s="16">
        <v>792.6</v>
      </c>
      <c r="K31" s="16">
        <v>792.6</v>
      </c>
      <c r="L31" s="16">
        <v>594.4</v>
      </c>
      <c r="M31" s="16">
        <v>416.1</v>
      </c>
    </row>
    <row r="32" spans="1:42" x14ac:dyDescent="0.25">
      <c r="D32" s="15" t="s">
        <v>340</v>
      </c>
      <c r="E32" s="16">
        <v>0</v>
      </c>
      <c r="F32" s="16">
        <v>0</v>
      </c>
      <c r="G32" s="16">
        <v>0</v>
      </c>
      <c r="H32" s="16">
        <v>24.4</v>
      </c>
      <c r="I32" s="16">
        <v>99.2</v>
      </c>
      <c r="J32" s="16">
        <v>241.7</v>
      </c>
      <c r="K32" s="16">
        <v>433.3</v>
      </c>
      <c r="L32" s="16">
        <v>546.5</v>
      </c>
      <c r="M32" s="16">
        <v>454.7</v>
      </c>
    </row>
    <row r="33" spans="1:42" x14ac:dyDescent="0.25">
      <c r="D33" s="17" t="s">
        <v>341</v>
      </c>
      <c r="E33" s="18">
        <v>0</v>
      </c>
      <c r="F33" s="18">
        <v>0</v>
      </c>
      <c r="G33" s="18">
        <v>10.6</v>
      </c>
      <c r="H33" s="18">
        <v>26.1</v>
      </c>
      <c r="I33" s="18">
        <v>46.7</v>
      </c>
      <c r="J33" s="18">
        <v>73</v>
      </c>
      <c r="K33" s="18">
        <v>105.3</v>
      </c>
      <c r="L33" s="18">
        <v>147.9</v>
      </c>
      <c r="M33" s="18">
        <v>216.5</v>
      </c>
    </row>
    <row r="35" spans="1:42" x14ac:dyDescent="0.25">
      <c r="D35" t="s">
        <v>342</v>
      </c>
    </row>
    <row r="36" spans="1:42" x14ac:dyDescent="0.25">
      <c r="D36" s="10"/>
      <c r="E36" s="10">
        <v>2020</v>
      </c>
      <c r="F36" s="10">
        <v>2025</v>
      </c>
      <c r="G36" s="10">
        <v>2030</v>
      </c>
      <c r="H36" s="10">
        <v>2035</v>
      </c>
      <c r="I36" s="10">
        <v>2040</v>
      </c>
      <c r="J36" s="10">
        <v>2045</v>
      </c>
      <c r="K36" s="10">
        <v>2050</v>
      </c>
      <c r="L36" s="10">
        <v>2055</v>
      </c>
      <c r="M36" s="10">
        <v>2060</v>
      </c>
    </row>
    <row r="37" spans="1:42" x14ac:dyDescent="0.25">
      <c r="D37" s="15" t="s">
        <v>339</v>
      </c>
      <c r="E37" s="16">
        <f>E31/SUM(E24+E31)</f>
        <v>0</v>
      </c>
      <c r="F37" s="16">
        <f t="shared" ref="F37:M37" si="0">F31/SUM(F24+F31)</f>
        <v>0</v>
      </c>
      <c r="G37" s="16">
        <f t="shared" si="0"/>
        <v>9.9977994571994397E-2</v>
      </c>
      <c r="H37" s="16">
        <f t="shared" si="0"/>
        <v>0.19998455717705199</v>
      </c>
      <c r="I37" s="16">
        <f t="shared" si="0"/>
        <v>0.4</v>
      </c>
      <c r="J37" s="16">
        <f t="shared" si="0"/>
        <v>0.80004037549207596</v>
      </c>
      <c r="K37" s="16">
        <f t="shared" si="0"/>
        <v>1</v>
      </c>
      <c r="L37" s="16">
        <f t="shared" si="0"/>
        <v>1</v>
      </c>
      <c r="M37" s="16">
        <f t="shared" si="0"/>
        <v>1</v>
      </c>
    </row>
    <row r="38" spans="1:42" x14ac:dyDescent="0.25">
      <c r="D38" s="15" t="s">
        <v>340</v>
      </c>
      <c r="E38" s="16">
        <f>E32/SUM(E25+E32)</f>
        <v>0</v>
      </c>
      <c r="F38" s="16">
        <f t="shared" ref="F38:M38" si="1">F32/SUM(F25+F32)</f>
        <v>0</v>
      </c>
      <c r="G38" s="16">
        <f t="shared" si="1"/>
        <v>0</v>
      </c>
      <c r="H38" s="16">
        <f t="shared" si="1"/>
        <v>9.9713935431140197E-2</v>
      </c>
      <c r="I38" s="16">
        <f t="shared" si="1"/>
        <v>0.299969761112791</v>
      </c>
      <c r="J38" s="16">
        <f t="shared" si="1"/>
        <v>0.60004965243296904</v>
      </c>
      <c r="K38" s="16">
        <f t="shared" si="1"/>
        <v>0.90008309098462802</v>
      </c>
      <c r="L38" s="16">
        <f t="shared" si="1"/>
        <v>1</v>
      </c>
      <c r="M38" s="16">
        <f t="shared" si="1"/>
        <v>1</v>
      </c>
    </row>
    <row r="39" spans="1:42" x14ac:dyDescent="0.25">
      <c r="D39" s="17" t="s">
        <v>341</v>
      </c>
      <c r="E39" s="18">
        <f>E33/SUM(E30,E33)</f>
        <v>0</v>
      </c>
      <c r="F39" s="18">
        <f t="shared" ref="F39:M39" si="2">F33/SUM(F30,F33)</f>
        <v>0</v>
      </c>
      <c r="G39" s="18">
        <f t="shared" si="2"/>
        <v>9.9624060150375907E-2</v>
      </c>
      <c r="H39" s="18">
        <f t="shared" si="2"/>
        <v>0.2</v>
      </c>
      <c r="I39" s="18">
        <f t="shared" si="2"/>
        <v>0.29974326059050099</v>
      </c>
      <c r="J39" s="18">
        <f t="shared" si="2"/>
        <v>0.4</v>
      </c>
      <c r="K39" s="18">
        <f t="shared" si="2"/>
        <v>0.5</v>
      </c>
      <c r="L39" s="18">
        <f t="shared" si="2"/>
        <v>0.6</v>
      </c>
      <c r="M39" s="18">
        <f t="shared" si="2"/>
        <v>0.60005543237250503</v>
      </c>
    </row>
    <row r="41" spans="1:42" x14ac:dyDescent="0.25">
      <c r="D41" t="s">
        <v>343</v>
      </c>
      <c r="H41" s="3" t="s">
        <v>344</v>
      </c>
    </row>
    <row r="45" spans="1:42" x14ac:dyDescent="0.25">
      <c r="A45" s="7" t="s">
        <v>328</v>
      </c>
      <c r="B45" s="8">
        <v>2020</v>
      </c>
      <c r="C45" s="8">
        <v>2021</v>
      </c>
      <c r="D45" s="8">
        <v>2022</v>
      </c>
      <c r="E45" s="8">
        <v>2023</v>
      </c>
      <c r="F45" s="8">
        <v>2024</v>
      </c>
      <c r="G45" s="8">
        <v>2025</v>
      </c>
      <c r="H45" s="8">
        <v>2026</v>
      </c>
      <c r="I45" s="8">
        <v>2027</v>
      </c>
      <c r="J45" s="8">
        <v>2028</v>
      </c>
      <c r="K45" s="8">
        <v>2029</v>
      </c>
      <c r="L45" s="8">
        <v>2030</v>
      </c>
      <c r="M45" s="8">
        <v>2031</v>
      </c>
      <c r="N45" s="8">
        <v>2032</v>
      </c>
      <c r="O45" s="8">
        <v>2033</v>
      </c>
      <c r="P45" s="8">
        <v>2034</v>
      </c>
      <c r="Q45" s="8">
        <v>2035</v>
      </c>
      <c r="R45" s="8">
        <v>2036</v>
      </c>
      <c r="S45" s="8">
        <v>2037</v>
      </c>
      <c r="T45" s="8">
        <v>2038</v>
      </c>
      <c r="U45" s="8">
        <v>2039</v>
      </c>
      <c r="V45" s="8">
        <v>2040</v>
      </c>
      <c r="W45" s="8">
        <v>2041</v>
      </c>
      <c r="X45" s="8">
        <v>2042</v>
      </c>
      <c r="Y45" s="8">
        <v>2043</v>
      </c>
      <c r="Z45" s="8">
        <v>2044</v>
      </c>
      <c r="AA45" s="8">
        <v>2045</v>
      </c>
      <c r="AB45" s="8">
        <v>2046</v>
      </c>
      <c r="AC45" s="8">
        <v>2047</v>
      </c>
      <c r="AD45" s="8">
        <v>2048</v>
      </c>
      <c r="AE45" s="8">
        <v>2049</v>
      </c>
      <c r="AF45" s="8">
        <v>2050</v>
      </c>
      <c r="AG45" s="8">
        <v>2051</v>
      </c>
      <c r="AH45" s="8">
        <v>2052</v>
      </c>
      <c r="AI45" s="8">
        <v>2053</v>
      </c>
      <c r="AJ45" s="8">
        <v>2054</v>
      </c>
      <c r="AK45" s="8">
        <v>2055</v>
      </c>
      <c r="AL45" s="8">
        <v>2056</v>
      </c>
      <c r="AM45" s="8">
        <v>2057</v>
      </c>
      <c r="AN45" s="8">
        <v>2058</v>
      </c>
      <c r="AO45" s="8">
        <v>2059</v>
      </c>
      <c r="AP45" s="8">
        <v>2060</v>
      </c>
    </row>
    <row r="46" spans="1:42" x14ac:dyDescent="0.25">
      <c r="A46" s="1" t="s">
        <v>7</v>
      </c>
      <c r="H46">
        <f>H2/$AP2</f>
        <v>3.9536236921570399E-3</v>
      </c>
      <c r="I46">
        <f t="shared" ref="I46:AP61" si="3">I2/$AP2</f>
        <v>8.9321927829223591E-3</v>
      </c>
      <c r="J46">
        <f t="shared" si="3"/>
        <v>1.7822071792461602E-2</v>
      </c>
      <c r="K46">
        <f t="shared" si="3"/>
        <v>2.45768020196807E-2</v>
      </c>
      <c r="L46">
        <f t="shared" si="3"/>
        <v>3.3521495281425999E-2</v>
      </c>
      <c r="M46">
        <f t="shared" si="3"/>
        <v>4.5303045442860998E-2</v>
      </c>
      <c r="N46">
        <f t="shared" si="3"/>
        <v>6.0712440838398503E-2</v>
      </c>
      <c r="O46">
        <f t="shared" si="3"/>
        <v>8.0682479047524694E-2</v>
      </c>
      <c r="P46">
        <f t="shared" si="3"/>
        <v>0.106257056191851</v>
      </c>
      <c r="Q46">
        <f t="shared" si="3"/>
        <v>0.13851495495364299</v>
      </c>
      <c r="R46">
        <f t="shared" si="3"/>
        <v>0.17843149419065599</v>
      </c>
      <c r="S46">
        <f t="shared" si="3"/>
        <v>0.22667166985702</v>
      </c>
      <c r="T46">
        <f t="shared" si="3"/>
        <v>0.28333402711699401</v>
      </c>
      <c r="U46">
        <f t="shared" si="3"/>
        <v>0.347704414277409</v>
      </c>
      <c r="V46">
        <f t="shared" si="3"/>
        <v>0.41811670382650401</v>
      </c>
      <c r="W46">
        <f t="shared" si="3"/>
        <v>0.49202123099208001</v>
      </c>
      <c r="X46">
        <f t="shared" si="3"/>
        <v>0.56630314617284405</v>
      </c>
      <c r="Y46">
        <f t="shared" si="3"/>
        <v>0.63778414647401305</v>
      </c>
      <c r="Z46">
        <f t="shared" si="3"/>
        <v>0.70374582868935798</v>
      </c>
      <c r="AA46">
        <f t="shared" si="3"/>
        <v>0.76230100752447205</v>
      </c>
      <c r="AB46">
        <f t="shared" si="3"/>
        <v>0.81252008061443504</v>
      </c>
      <c r="AC46">
        <f t="shared" si="3"/>
        <v>0.85433216600066897</v>
      </c>
      <c r="AD46">
        <f t="shared" si="3"/>
        <v>0.88829413595194395</v>
      </c>
      <c r="AE46">
        <f t="shared" si="3"/>
        <v>0.91532988911136204</v>
      </c>
      <c r="AF46">
        <f t="shared" si="3"/>
        <v>0.93650901037872802</v>
      </c>
      <c r="AG46">
        <f t="shared" si="3"/>
        <v>0.95289237118405101</v>
      </c>
      <c r="AH46">
        <f t="shared" si="3"/>
        <v>0.96544276150979902</v>
      </c>
      <c r="AI46">
        <f t="shared" si="3"/>
        <v>0.97498519421568597</v>
      </c>
      <c r="AJ46">
        <f t="shared" si="3"/>
        <v>0.98219935627485</v>
      </c>
      <c r="AK46">
        <f t="shared" si="3"/>
        <v>0.98762986101150196</v>
      </c>
      <c r="AL46">
        <f t="shared" si="3"/>
        <v>0.99170445391032003</v>
      </c>
      <c r="AM46">
        <f t="shared" si="3"/>
        <v>0.99475424204490703</v>
      </c>
      <c r="AN46">
        <f t="shared" si="3"/>
        <v>0.99703281290021495</v>
      </c>
      <c r="AO46">
        <f t="shared" si="3"/>
        <v>0.99873286845787002</v>
      </c>
      <c r="AP46">
        <f t="shared" si="3"/>
        <v>1</v>
      </c>
    </row>
    <row r="47" spans="1:42" x14ac:dyDescent="0.25">
      <c r="A47" s="1" t="s">
        <v>12</v>
      </c>
      <c r="H47">
        <f t="shared" ref="H47:W61" si="4">H3/$AP3</f>
        <v>0</v>
      </c>
      <c r="I47">
        <f t="shared" si="4"/>
        <v>0</v>
      </c>
      <c r="J47">
        <f t="shared" si="4"/>
        <v>0</v>
      </c>
      <c r="K47">
        <f t="shared" si="4"/>
        <v>0</v>
      </c>
      <c r="L47">
        <f t="shared" si="4"/>
        <v>0</v>
      </c>
      <c r="M47">
        <f t="shared" si="4"/>
        <v>7.0209845007671696E-4</v>
      </c>
      <c r="N47">
        <f t="shared" si="4"/>
        <v>1.2043304297681299E-2</v>
      </c>
      <c r="O47">
        <f t="shared" si="4"/>
        <v>2.64307892455759E-2</v>
      </c>
      <c r="P47">
        <f t="shared" si="4"/>
        <v>4.45505318827372E-2</v>
      </c>
      <c r="Q47">
        <f t="shared" si="4"/>
        <v>6.7162848164241506E-2</v>
      </c>
      <c r="R47">
        <f t="shared" si="4"/>
        <v>9.5061564910077806E-2</v>
      </c>
      <c r="S47">
        <f t="shared" si="4"/>
        <v>0.12900216573652401</v>
      </c>
      <c r="T47">
        <f t="shared" si="4"/>
        <v>0.16959415048430199</v>
      </c>
      <c r="U47">
        <f t="shared" si="4"/>
        <v>0.217161416485152</v>
      </c>
      <c r="V47">
        <f t="shared" si="4"/>
        <v>0.27158911583495898</v>
      </c>
      <c r="W47">
        <f t="shared" si="4"/>
        <v>0.33219324235761</v>
      </c>
      <c r="X47">
        <f t="shared" si="3"/>
        <v>0.39766176898067102</v>
      </c>
      <c r="Y47">
        <f t="shared" si="3"/>
        <v>0.46611162226115899</v>
      </c>
      <c r="Z47">
        <f t="shared" si="3"/>
        <v>0.53527668254555205</v>
      </c>
      <c r="AA47">
        <f t="shared" si="3"/>
        <v>0.60279521815703097</v>
      </c>
      <c r="AB47">
        <f t="shared" si="3"/>
        <v>0.666523456057593</v>
      </c>
      <c r="AC47">
        <f t="shared" si="3"/>
        <v>0.72479032252460196</v>
      </c>
      <c r="AD47">
        <f t="shared" si="3"/>
        <v>0.77653425913338303</v>
      </c>
      <c r="AE47">
        <f t="shared" si="3"/>
        <v>0.82131007545036605</v>
      </c>
      <c r="AF47">
        <f t="shared" si="3"/>
        <v>0.859195521888097</v>
      </c>
      <c r="AG47">
        <f t="shared" si="3"/>
        <v>0.89064642684572504</v>
      </c>
      <c r="AH47">
        <f t="shared" si="3"/>
        <v>0.91634558834264601</v>
      </c>
      <c r="AI47">
        <f t="shared" si="3"/>
        <v>0.93707461998720498</v>
      </c>
      <c r="AJ47">
        <f t="shared" si="3"/>
        <v>0.95362072057723302</v>
      </c>
      <c r="AK47">
        <f t="shared" si="3"/>
        <v>0.96671802405815999</v>
      </c>
      <c r="AL47">
        <f t="shared" si="3"/>
        <v>0.97701694951082396</v>
      </c>
      <c r="AM47">
        <f t="shared" si="3"/>
        <v>0.98507330582158603</v>
      </c>
      <c r="AN47">
        <f t="shared" si="3"/>
        <v>0.991349754228803</v>
      </c>
      <c r="AO47">
        <f t="shared" si="3"/>
        <v>0.99622401272106997</v>
      </c>
      <c r="AP47">
        <f t="shared" si="3"/>
        <v>1</v>
      </c>
    </row>
    <row r="48" spans="1:42" x14ac:dyDescent="0.25">
      <c r="A48" s="9" t="s">
        <v>16</v>
      </c>
    </row>
    <row r="49" spans="1:42" x14ac:dyDescent="0.25">
      <c r="A49" s="9" t="s">
        <v>20</v>
      </c>
    </row>
    <row r="50" spans="1:42" x14ac:dyDescent="0.25">
      <c r="A50" s="9" t="s">
        <v>24</v>
      </c>
    </row>
    <row r="51" spans="1:42" x14ac:dyDescent="0.25">
      <c r="A51" s="9" t="s">
        <v>28</v>
      </c>
    </row>
    <row r="52" spans="1:42" x14ac:dyDescent="0.25">
      <c r="A52" s="9" t="s">
        <v>32</v>
      </c>
    </row>
    <row r="53" spans="1:42" x14ac:dyDescent="0.25">
      <c r="A53" s="1" t="s">
        <v>36</v>
      </c>
      <c r="H53">
        <f t="shared" si="4"/>
        <v>1.7318524115844787E-2</v>
      </c>
      <c r="I53">
        <f t="shared" si="3"/>
        <v>4.4056599166070368E-2</v>
      </c>
      <c r="J53">
        <f t="shared" si="3"/>
        <v>7.2438997029426133E-2</v>
      </c>
      <c r="K53">
        <f t="shared" si="3"/>
        <v>0.10232385972227753</v>
      </c>
      <c r="L53">
        <f t="shared" si="3"/>
        <v>0.13356932926101861</v>
      </c>
      <c r="M53">
        <f t="shared" si="3"/>
        <v>0.16603354766201328</v>
      </c>
      <c r="N53">
        <f t="shared" si="3"/>
        <v>0.19957465694165641</v>
      </c>
      <c r="O53">
        <f t="shared" si="3"/>
        <v>0.23405079911631216</v>
      </c>
      <c r="P53">
        <f t="shared" si="3"/>
        <v>0.26932011620237595</v>
      </c>
      <c r="Q53">
        <f t="shared" si="3"/>
        <v>0.3052407502162105</v>
      </c>
      <c r="R53">
        <f t="shared" si="3"/>
        <v>0.34167084317421176</v>
      </c>
      <c r="S53">
        <f t="shared" si="3"/>
        <v>0.37846853709274075</v>
      </c>
      <c r="T53">
        <f t="shared" si="3"/>
        <v>0.41549197398819843</v>
      </c>
      <c r="U53">
        <f t="shared" si="3"/>
        <v>0.45259929587694075</v>
      </c>
      <c r="V53">
        <f t="shared" si="3"/>
        <v>0.4896486447753704</v>
      </c>
      <c r="W53">
        <f t="shared" si="3"/>
        <v>0.52649816269984495</v>
      </c>
      <c r="X53">
        <f t="shared" si="3"/>
        <v>0.56300599166676224</v>
      </c>
      <c r="Y53">
        <f t="shared" si="3"/>
        <v>0.59903027369248651</v>
      </c>
      <c r="Z53">
        <f t="shared" si="3"/>
        <v>0.63442915079341033</v>
      </c>
      <c r="AA53">
        <f t="shared" si="3"/>
        <v>0.66906076498589973</v>
      </c>
      <c r="AB53">
        <f t="shared" si="3"/>
        <v>0.70278325828635069</v>
      </c>
      <c r="AC53">
        <f t="shared" si="3"/>
        <v>0.73545477271112247</v>
      </c>
      <c r="AD53">
        <f t="shared" si="3"/>
        <v>0.76693345027661453</v>
      </c>
      <c r="AE53">
        <f t="shared" si="3"/>
        <v>0.79707743299919609</v>
      </c>
      <c r="AF53">
        <f t="shared" si="3"/>
        <v>0.82574486289523985</v>
      </c>
      <c r="AG53">
        <f t="shared" si="3"/>
        <v>0.85279388198113992</v>
      </c>
      <c r="AH53">
        <f t="shared" si="3"/>
        <v>0.878082632273261</v>
      </c>
      <c r="AI53">
        <f t="shared" si="3"/>
        <v>0.90146925578799719</v>
      </c>
      <c r="AJ53">
        <f t="shared" si="3"/>
        <v>0.92281189454171286</v>
      </c>
      <c r="AK53">
        <f t="shared" si="3"/>
        <v>0.94196869055080046</v>
      </c>
      <c r="AL53">
        <f t="shared" si="3"/>
        <v>0.95879778583162967</v>
      </c>
      <c r="AM53">
        <f t="shared" si="3"/>
        <v>0.97315732240058783</v>
      </c>
      <c r="AN53">
        <f t="shared" si="3"/>
        <v>0.98490544227404775</v>
      </c>
      <c r="AO53">
        <f t="shared" si="3"/>
        <v>0.99390028746839376</v>
      </c>
      <c r="AP53">
        <f t="shared" si="3"/>
        <v>1</v>
      </c>
    </row>
    <row r="54" spans="1:42" x14ac:dyDescent="0.25">
      <c r="A54" s="9" t="s">
        <v>40</v>
      </c>
    </row>
    <row r="55" spans="1:42" x14ac:dyDescent="0.25">
      <c r="A55" s="1" t="s">
        <v>44</v>
      </c>
    </row>
    <row r="56" spans="1:42" x14ac:dyDescent="0.25">
      <c r="A56" s="1" t="s">
        <v>48</v>
      </c>
      <c r="H56">
        <f t="shared" si="4"/>
        <v>0</v>
      </c>
      <c r="I56">
        <f t="shared" si="3"/>
        <v>0</v>
      </c>
      <c r="J56">
        <f t="shared" si="3"/>
        <v>0</v>
      </c>
      <c r="K56">
        <f t="shared" si="3"/>
        <v>0</v>
      </c>
      <c r="L56">
        <f t="shared" si="3"/>
        <v>0</v>
      </c>
      <c r="M56">
        <f t="shared" si="3"/>
        <v>7.0209845007671696E-4</v>
      </c>
      <c r="N56">
        <f t="shared" si="3"/>
        <v>1.2043304297681299E-2</v>
      </c>
      <c r="O56">
        <f t="shared" si="3"/>
        <v>2.64307892455759E-2</v>
      </c>
      <c r="P56">
        <f t="shared" si="3"/>
        <v>4.45505318827372E-2</v>
      </c>
      <c r="Q56">
        <f t="shared" si="3"/>
        <v>6.7162848164241506E-2</v>
      </c>
      <c r="R56">
        <f t="shared" si="3"/>
        <v>9.5061564910077806E-2</v>
      </c>
      <c r="S56">
        <f t="shared" si="3"/>
        <v>0.12900216573652401</v>
      </c>
      <c r="T56">
        <f t="shared" si="3"/>
        <v>0.16959415048430199</v>
      </c>
      <c r="U56">
        <f t="shared" si="3"/>
        <v>0.217161416485152</v>
      </c>
      <c r="V56">
        <f t="shared" si="3"/>
        <v>0.27158911583495898</v>
      </c>
      <c r="W56">
        <f t="shared" si="3"/>
        <v>0.33219324235761</v>
      </c>
      <c r="X56">
        <f t="shared" si="3"/>
        <v>0.39766176898067102</v>
      </c>
      <c r="Y56">
        <f t="shared" si="3"/>
        <v>0.46611162226115899</v>
      </c>
      <c r="Z56">
        <f t="shared" si="3"/>
        <v>0.53527668254555205</v>
      </c>
      <c r="AA56">
        <f t="shared" si="3"/>
        <v>0.60279521815703097</v>
      </c>
      <c r="AB56">
        <f t="shared" si="3"/>
        <v>0.666523456057593</v>
      </c>
      <c r="AC56">
        <f t="shared" si="3"/>
        <v>0.72479032252460196</v>
      </c>
      <c r="AD56">
        <f t="shared" si="3"/>
        <v>0.77653425913338303</v>
      </c>
      <c r="AE56">
        <f t="shared" si="3"/>
        <v>0.82131007545036605</v>
      </c>
      <c r="AF56">
        <f t="shared" si="3"/>
        <v>0.859195521888097</v>
      </c>
      <c r="AG56">
        <f t="shared" si="3"/>
        <v>0.89064642684572504</v>
      </c>
      <c r="AH56">
        <f t="shared" si="3"/>
        <v>0.91634558834264601</v>
      </c>
      <c r="AI56">
        <f t="shared" si="3"/>
        <v>0.93707461998720498</v>
      </c>
      <c r="AJ56">
        <f t="shared" si="3"/>
        <v>0.95362072057723302</v>
      </c>
      <c r="AK56">
        <f t="shared" si="3"/>
        <v>0.96671802405815999</v>
      </c>
      <c r="AL56">
        <f t="shared" si="3"/>
        <v>0.97701694951082396</v>
      </c>
      <c r="AM56">
        <f t="shared" si="3"/>
        <v>0.98507330582158603</v>
      </c>
      <c r="AN56">
        <f t="shared" si="3"/>
        <v>0.991349754228803</v>
      </c>
      <c r="AO56">
        <f t="shared" si="3"/>
        <v>0.99622401272106997</v>
      </c>
      <c r="AP56">
        <f t="shared" si="3"/>
        <v>1</v>
      </c>
    </row>
    <row r="57" spans="1:42" x14ac:dyDescent="0.25">
      <c r="A57" s="1" t="s">
        <v>52</v>
      </c>
      <c r="H57">
        <f t="shared" si="4"/>
        <v>3.9536236921570399E-3</v>
      </c>
      <c r="I57">
        <f t="shared" si="3"/>
        <v>8.9321927829223591E-3</v>
      </c>
      <c r="J57">
        <f t="shared" si="3"/>
        <v>1.7822071792461602E-2</v>
      </c>
      <c r="K57">
        <f t="shared" si="3"/>
        <v>2.45768020196807E-2</v>
      </c>
      <c r="L57">
        <f t="shared" si="3"/>
        <v>3.3521495281425999E-2</v>
      </c>
      <c r="M57">
        <f t="shared" si="3"/>
        <v>4.5303045442860998E-2</v>
      </c>
      <c r="N57">
        <f t="shared" si="3"/>
        <v>6.0712440838398503E-2</v>
      </c>
      <c r="O57">
        <f t="shared" si="3"/>
        <v>8.0682479047524694E-2</v>
      </c>
      <c r="P57">
        <f t="shared" si="3"/>
        <v>0.106257056191851</v>
      </c>
      <c r="Q57">
        <f t="shared" si="3"/>
        <v>0.13851495495364299</v>
      </c>
      <c r="R57">
        <f t="shared" si="3"/>
        <v>0.17843149419065599</v>
      </c>
      <c r="S57">
        <f t="shared" si="3"/>
        <v>0.22667166985702</v>
      </c>
      <c r="T57">
        <f t="shared" si="3"/>
        <v>0.28333402711699401</v>
      </c>
      <c r="U57">
        <f t="shared" si="3"/>
        <v>0.347704414277409</v>
      </c>
      <c r="V57">
        <f t="shared" si="3"/>
        <v>0.41811670382650401</v>
      </c>
      <c r="W57">
        <f t="shared" si="3"/>
        <v>0.49202123099208001</v>
      </c>
      <c r="X57">
        <f t="shared" si="3"/>
        <v>0.56630314617284405</v>
      </c>
      <c r="Y57">
        <f t="shared" si="3"/>
        <v>0.63778414647401305</v>
      </c>
      <c r="Z57">
        <f t="shared" si="3"/>
        <v>0.70374582868935798</v>
      </c>
      <c r="AA57">
        <f t="shared" si="3"/>
        <v>0.76230100752447205</v>
      </c>
      <c r="AB57">
        <f t="shared" si="3"/>
        <v>0.81252008061443504</v>
      </c>
      <c r="AC57">
        <f t="shared" si="3"/>
        <v>0.85433216600066897</v>
      </c>
      <c r="AD57">
        <f t="shared" si="3"/>
        <v>0.88829413595194395</v>
      </c>
      <c r="AE57">
        <f t="shared" si="3"/>
        <v>0.91532988911136204</v>
      </c>
      <c r="AF57">
        <f t="shared" si="3"/>
        <v>0.93650901037872802</v>
      </c>
      <c r="AG57">
        <f t="shared" si="3"/>
        <v>0.95289237118405101</v>
      </c>
      <c r="AH57">
        <f t="shared" si="3"/>
        <v>0.96544276150979902</v>
      </c>
      <c r="AI57">
        <f t="shared" si="3"/>
        <v>0.97498519421568597</v>
      </c>
      <c r="AJ57">
        <f t="shared" si="3"/>
        <v>0.98219935627485</v>
      </c>
      <c r="AK57">
        <f t="shared" si="3"/>
        <v>0.98762986101150196</v>
      </c>
      <c r="AL57">
        <f t="shared" si="3"/>
        <v>0.99170445391032003</v>
      </c>
      <c r="AM57">
        <f t="shared" si="3"/>
        <v>0.99475424204490703</v>
      </c>
      <c r="AN57">
        <f t="shared" si="3"/>
        <v>0.99703281290021495</v>
      </c>
      <c r="AO57">
        <f t="shared" si="3"/>
        <v>0.99873286845787002</v>
      </c>
      <c r="AP57">
        <f t="shared" si="3"/>
        <v>1</v>
      </c>
    </row>
    <row r="58" spans="1:42" x14ac:dyDescent="0.25">
      <c r="A58" s="9" t="s">
        <v>57</v>
      </c>
    </row>
    <row r="59" spans="1:42" x14ac:dyDescent="0.25">
      <c r="A59" s="1" t="s">
        <v>61</v>
      </c>
    </row>
    <row r="60" spans="1:42" x14ac:dyDescent="0.25">
      <c r="A60" s="1" t="s">
        <v>65</v>
      </c>
    </row>
    <row r="61" spans="1:42" x14ac:dyDescent="0.25">
      <c r="A61" s="1" t="s">
        <v>69</v>
      </c>
      <c r="H61">
        <f t="shared" si="4"/>
        <v>1.7318524115844787E-2</v>
      </c>
      <c r="I61">
        <f t="shared" si="3"/>
        <v>4.4056599166070368E-2</v>
      </c>
      <c r="J61">
        <f t="shared" si="3"/>
        <v>7.2438997029426133E-2</v>
      </c>
      <c r="K61">
        <f t="shared" si="3"/>
        <v>0.10232385972227753</v>
      </c>
      <c r="L61">
        <f t="shared" si="3"/>
        <v>0.13356932926101861</v>
      </c>
      <c r="M61">
        <f t="shared" si="3"/>
        <v>0.16603354766201328</v>
      </c>
      <c r="N61">
        <f t="shared" si="3"/>
        <v>0.19957465694165641</v>
      </c>
      <c r="O61">
        <f t="shared" si="3"/>
        <v>0.23405079911631216</v>
      </c>
      <c r="P61">
        <f t="shared" si="3"/>
        <v>0.26932011620237595</v>
      </c>
      <c r="Q61">
        <f t="shared" si="3"/>
        <v>0.3052407502162105</v>
      </c>
      <c r="R61">
        <f t="shared" si="3"/>
        <v>0.34167084317421176</v>
      </c>
      <c r="S61">
        <f t="shared" si="3"/>
        <v>0.37846853709274075</v>
      </c>
      <c r="T61">
        <f t="shared" si="3"/>
        <v>0.41549197398819843</v>
      </c>
      <c r="U61">
        <f t="shared" si="3"/>
        <v>0.45259929587694075</v>
      </c>
      <c r="V61">
        <f t="shared" si="3"/>
        <v>0.4896486447753704</v>
      </c>
      <c r="W61">
        <f t="shared" si="3"/>
        <v>0.52649816269984495</v>
      </c>
      <c r="X61">
        <f t="shared" si="3"/>
        <v>0.56300599166676224</v>
      </c>
      <c r="Y61">
        <f t="shared" si="3"/>
        <v>0.59903027369248651</v>
      </c>
      <c r="Z61">
        <f t="shared" si="3"/>
        <v>0.63442915079341033</v>
      </c>
      <c r="AA61">
        <f t="shared" si="3"/>
        <v>0.66906076498589973</v>
      </c>
      <c r="AB61">
        <f t="shared" si="3"/>
        <v>0.70278325828635069</v>
      </c>
      <c r="AC61">
        <f t="shared" si="3"/>
        <v>0.73545477271112247</v>
      </c>
      <c r="AD61">
        <f t="shared" si="3"/>
        <v>0.76693345027661453</v>
      </c>
      <c r="AE61">
        <f t="shared" si="3"/>
        <v>0.79707743299919609</v>
      </c>
      <c r="AF61">
        <f t="shared" si="3"/>
        <v>0.82574486289523985</v>
      </c>
      <c r="AG61">
        <f t="shared" si="3"/>
        <v>0.85279388198113992</v>
      </c>
      <c r="AH61">
        <f t="shared" si="3"/>
        <v>0.878082632273261</v>
      </c>
      <c r="AI61">
        <f t="shared" si="3"/>
        <v>0.90146925578799719</v>
      </c>
      <c r="AJ61">
        <f t="shared" si="3"/>
        <v>0.92281189454171286</v>
      </c>
      <c r="AK61">
        <f t="shared" si="3"/>
        <v>0.94196869055080046</v>
      </c>
      <c r="AL61">
        <f t="shared" si="3"/>
        <v>0.95879778583162967</v>
      </c>
      <c r="AM61">
        <f t="shared" si="3"/>
        <v>0.97315732240058783</v>
      </c>
      <c r="AN61">
        <f t="shared" si="3"/>
        <v>0.98490544227404775</v>
      </c>
      <c r="AO61">
        <f t="shared" si="3"/>
        <v>0.99390028746839376</v>
      </c>
      <c r="AP61">
        <f t="shared" si="3"/>
        <v>1</v>
      </c>
    </row>
  </sheetData>
  <phoneticPr fontId="10" type="noConversion"/>
  <hyperlinks>
    <hyperlink ref="E21" r:id="rId1" xr:uid="{00000000-0004-0000-0400-000000000000}"/>
    <hyperlink ref="H41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0"/>
  <sheetViews>
    <sheetView workbookViewId="0">
      <selection activeCell="C7" sqref="C7"/>
    </sheetView>
  </sheetViews>
  <sheetFormatPr defaultColWidth="8.88671875" defaultRowHeight="14.4" x14ac:dyDescent="0.25"/>
  <cols>
    <col min="1" max="1" width="21.6640625" customWidth="1"/>
    <col min="2" max="3" width="38.21875" customWidth="1"/>
    <col min="4" max="4" width="12.5546875" customWidth="1"/>
    <col min="5" max="6" width="12.88671875"/>
    <col min="7" max="7" width="10.6640625"/>
  </cols>
  <sheetData>
    <row r="1" spans="1:3" x14ac:dyDescent="0.25">
      <c r="A1" s="1"/>
      <c r="B1" s="2"/>
      <c r="C1" s="2" t="s">
        <v>345</v>
      </c>
    </row>
    <row r="2" spans="1:3" x14ac:dyDescent="0.25">
      <c r="A2" s="31" t="s">
        <v>346</v>
      </c>
      <c r="B2" t="s">
        <v>347</v>
      </c>
      <c r="C2" s="5">
        <f>E36</f>
        <v>819.50481940033205</v>
      </c>
    </row>
    <row r="3" spans="1:3" x14ac:dyDescent="0.25">
      <c r="A3" s="31"/>
      <c r="B3" t="s">
        <v>348</v>
      </c>
      <c r="C3" s="5">
        <f>E26</f>
        <v>228.48347889584599</v>
      </c>
    </row>
    <row r="4" spans="1:3" x14ac:dyDescent="0.25">
      <c r="A4" s="31"/>
      <c r="B4" t="s">
        <v>349</v>
      </c>
      <c r="C4">
        <f>E55</f>
        <v>808.33333333333303</v>
      </c>
    </row>
    <row r="5" spans="1:3" x14ac:dyDescent="0.25">
      <c r="A5" s="31"/>
      <c r="B5" t="s">
        <v>36</v>
      </c>
      <c r="C5">
        <f>E46</f>
        <v>410.12006468192698</v>
      </c>
    </row>
    <row r="6" spans="1:3" x14ac:dyDescent="0.25">
      <c r="A6" s="31" t="s">
        <v>350</v>
      </c>
      <c r="B6" t="s">
        <v>38</v>
      </c>
      <c r="C6">
        <f>C66*J67</f>
        <v>78</v>
      </c>
    </row>
    <row r="7" spans="1:3" x14ac:dyDescent="0.25">
      <c r="A7" s="31"/>
      <c r="B7" t="s">
        <v>42</v>
      </c>
      <c r="C7">
        <f>C10/2</f>
        <v>29.842005295268802</v>
      </c>
    </row>
    <row r="8" spans="1:3" x14ac:dyDescent="0.25">
      <c r="A8" s="31"/>
      <c r="B8" t="s">
        <v>55</v>
      </c>
      <c r="C8">
        <f>F78</f>
        <v>107.27969348659001</v>
      </c>
    </row>
    <row r="9" spans="1:3" x14ac:dyDescent="0.25">
      <c r="A9" s="31"/>
      <c r="B9" t="s">
        <v>59</v>
      </c>
      <c r="C9">
        <f>71</f>
        <v>71</v>
      </c>
    </row>
    <row r="10" spans="1:3" x14ac:dyDescent="0.25">
      <c r="A10" s="31" t="s">
        <v>351</v>
      </c>
      <c r="B10" s="1" t="s">
        <v>42</v>
      </c>
      <c r="C10">
        <f>D71</f>
        <v>59.684010590537603</v>
      </c>
    </row>
    <row r="11" spans="1:3" x14ac:dyDescent="0.25">
      <c r="A11" s="31"/>
      <c r="B11" s="1" t="s">
        <v>55</v>
      </c>
      <c r="C11">
        <f>F77</f>
        <v>84.899813156368793</v>
      </c>
    </row>
    <row r="12" spans="1:3" x14ac:dyDescent="0.25">
      <c r="A12" s="31"/>
      <c r="B12" s="1" t="s">
        <v>59</v>
      </c>
      <c r="C12">
        <f>E61</f>
        <v>95.598216939078696</v>
      </c>
    </row>
    <row r="13" spans="1:3" x14ac:dyDescent="0.25">
      <c r="A13" s="31"/>
      <c r="B13" s="1" t="s">
        <v>90</v>
      </c>
      <c r="C13">
        <f>E88</f>
        <v>26.963999999999999</v>
      </c>
    </row>
    <row r="14" spans="1:3" x14ac:dyDescent="0.25">
      <c r="B14" s="1"/>
    </row>
    <row r="18" spans="1:9" x14ac:dyDescent="0.25">
      <c r="A18" t="s">
        <v>352</v>
      </c>
      <c r="B18" s="3"/>
      <c r="C18" s="3" t="s">
        <v>353</v>
      </c>
      <c r="D18" t="s">
        <v>354</v>
      </c>
      <c r="G18" t="s">
        <v>355</v>
      </c>
    </row>
    <row r="19" spans="1:9" x14ac:dyDescent="0.25">
      <c r="C19" s="3" t="s">
        <v>356</v>
      </c>
      <c r="G19" t="s">
        <v>357</v>
      </c>
    </row>
    <row r="20" spans="1:9" x14ac:dyDescent="0.25">
      <c r="C20" s="6" t="s">
        <v>358</v>
      </c>
      <c r="G20" t="s">
        <v>359</v>
      </c>
      <c r="H20" t="s">
        <v>360</v>
      </c>
      <c r="I20" t="s">
        <v>361</v>
      </c>
    </row>
    <row r="23" spans="1:9" x14ac:dyDescent="0.25">
      <c r="B23" t="s">
        <v>348</v>
      </c>
    </row>
    <row r="24" spans="1:9" x14ac:dyDescent="0.25">
      <c r="B24" t="s">
        <v>362</v>
      </c>
      <c r="C24">
        <v>1000</v>
      </c>
      <c r="D24" t="s">
        <v>363</v>
      </c>
      <c r="E24" t="s">
        <v>364</v>
      </c>
      <c r="G24" t="s">
        <v>365</v>
      </c>
    </row>
    <row r="25" spans="1:9" x14ac:dyDescent="0.25">
      <c r="B25" t="s">
        <v>366</v>
      </c>
      <c r="C25">
        <v>838</v>
      </c>
      <c r="D25" t="s">
        <v>367</v>
      </c>
      <c r="E25">
        <f>C24*10^3*(C29+C28)*0.88</f>
        <v>763215200</v>
      </c>
      <c r="G25">
        <v>0.88</v>
      </c>
    </row>
    <row r="26" spans="1:9" x14ac:dyDescent="0.25">
      <c r="B26" t="s">
        <v>368</v>
      </c>
      <c r="C26">
        <f>C24*1000*C30*C25*C27/10^6/10^6</f>
        <v>3.3403518000000001</v>
      </c>
      <c r="D26" t="s">
        <v>369</v>
      </c>
      <c r="E26">
        <f>E25/C26/10^6</f>
        <v>228.48347889584599</v>
      </c>
      <c r="G26" s="6" t="s">
        <v>370</v>
      </c>
    </row>
    <row r="27" spans="1:9" x14ac:dyDescent="0.25">
      <c r="B27" t="s">
        <v>371</v>
      </c>
      <c r="C27">
        <v>0.9</v>
      </c>
    </row>
    <row r="28" spans="1:9" x14ac:dyDescent="0.25">
      <c r="B28" t="s">
        <v>372</v>
      </c>
      <c r="C28">
        <v>496.02</v>
      </c>
      <c r="D28" t="s">
        <v>373</v>
      </c>
    </row>
    <row r="29" spans="1:9" x14ac:dyDescent="0.25">
      <c r="B29" t="s">
        <v>374</v>
      </c>
      <c r="C29">
        <v>371.27</v>
      </c>
      <c r="D29" t="s">
        <v>373</v>
      </c>
    </row>
    <row r="30" spans="1:9" x14ac:dyDescent="0.25">
      <c r="B30" t="s">
        <v>375</v>
      </c>
      <c r="C30">
        <v>4429</v>
      </c>
      <c r="D30" t="s">
        <v>376</v>
      </c>
    </row>
    <row r="33" spans="2:5" x14ac:dyDescent="0.25">
      <c r="B33" t="s">
        <v>347</v>
      </c>
    </row>
    <row r="34" spans="2:5" x14ac:dyDescent="0.25">
      <c r="B34" t="s">
        <v>362</v>
      </c>
      <c r="C34">
        <v>1000</v>
      </c>
      <c r="D34" t="s">
        <v>363</v>
      </c>
      <c r="E34" t="s">
        <v>364</v>
      </c>
    </row>
    <row r="35" spans="2:5" x14ac:dyDescent="0.25">
      <c r="B35" t="s">
        <v>366</v>
      </c>
      <c r="C35">
        <v>428</v>
      </c>
      <c r="D35" t="s">
        <v>367</v>
      </c>
      <c r="E35">
        <f>C34*10^3*(C39+C38)*0.88</f>
        <v>837091200</v>
      </c>
    </row>
    <row r="36" spans="2:5" x14ac:dyDescent="0.25">
      <c r="B36" t="s">
        <v>368</v>
      </c>
      <c r="C36">
        <f>C34*1000*C40*C35*C37/10^6/10^6</f>
        <v>1.0214597647058801</v>
      </c>
      <c r="D36" t="s">
        <v>369</v>
      </c>
      <c r="E36">
        <f>E35/C36/10^6</f>
        <v>819.50481940033205</v>
      </c>
    </row>
    <row r="37" spans="2:5" x14ac:dyDescent="0.25">
      <c r="B37" t="s">
        <v>371</v>
      </c>
      <c r="C37">
        <f>13.8/15.3</f>
        <v>0.90196078431372595</v>
      </c>
    </row>
    <row r="38" spans="2:5" x14ac:dyDescent="0.25">
      <c r="B38" t="s">
        <v>372</v>
      </c>
      <c r="C38">
        <v>387.98</v>
      </c>
      <c r="D38" t="s">
        <v>373</v>
      </c>
    </row>
    <row r="39" spans="2:5" x14ac:dyDescent="0.25">
      <c r="B39" t="s">
        <v>374</v>
      </c>
      <c r="C39">
        <v>563.26</v>
      </c>
      <c r="D39" t="s">
        <v>373</v>
      </c>
    </row>
    <row r="40" spans="2:5" x14ac:dyDescent="0.25">
      <c r="B40" t="s">
        <v>375</v>
      </c>
      <c r="C40">
        <v>2646</v>
      </c>
      <c r="D40" t="s">
        <v>376</v>
      </c>
    </row>
    <row r="43" spans="2:5" x14ac:dyDescent="0.25">
      <c r="B43" t="s">
        <v>36</v>
      </c>
    </row>
    <row r="44" spans="2:5" x14ac:dyDescent="0.25">
      <c r="B44" t="s">
        <v>362</v>
      </c>
      <c r="C44">
        <v>1000</v>
      </c>
      <c r="D44" t="s">
        <v>363</v>
      </c>
      <c r="E44" t="s">
        <v>364</v>
      </c>
    </row>
    <row r="45" spans="2:5" x14ac:dyDescent="0.25">
      <c r="B45" t="s">
        <v>366</v>
      </c>
      <c r="C45">
        <v>838</v>
      </c>
      <c r="D45" t="s">
        <v>367</v>
      </c>
      <c r="E45">
        <f>C44*10^3*(C49+C48)*0.88</f>
        <v>1969633600</v>
      </c>
    </row>
    <row r="46" spans="2:5" x14ac:dyDescent="0.25">
      <c r="B46" t="s">
        <v>368</v>
      </c>
      <c r="C46">
        <f>C44*1000*C50*C45*C47/10^6/10^6</f>
        <v>4.8025779999999996</v>
      </c>
      <c r="D46" t="s">
        <v>369</v>
      </c>
      <c r="E46">
        <f>E45/C46/10^6</f>
        <v>410.12006468192698</v>
      </c>
    </row>
    <row r="47" spans="2:5" x14ac:dyDescent="0.25">
      <c r="B47" t="s">
        <v>371</v>
      </c>
      <c r="C47">
        <f>1</f>
        <v>1</v>
      </c>
    </row>
    <row r="48" spans="2:5" x14ac:dyDescent="0.25">
      <c r="B48" t="s">
        <v>372</v>
      </c>
      <c r="C48">
        <v>1674.96</v>
      </c>
      <c r="D48" t="s">
        <v>373</v>
      </c>
    </row>
    <row r="49" spans="2:7" x14ac:dyDescent="0.25">
      <c r="B49" t="s">
        <v>374</v>
      </c>
      <c r="C49">
        <v>563.26</v>
      </c>
      <c r="D49" t="s">
        <v>373</v>
      </c>
    </row>
    <row r="50" spans="2:7" x14ac:dyDescent="0.25">
      <c r="B50" t="s">
        <v>375</v>
      </c>
      <c r="C50">
        <v>5731</v>
      </c>
      <c r="D50" t="s">
        <v>376</v>
      </c>
    </row>
    <row r="52" spans="2:7" x14ac:dyDescent="0.25">
      <c r="B52" t="s">
        <v>349</v>
      </c>
    </row>
    <row r="53" spans="2:7" x14ac:dyDescent="0.25">
      <c r="B53" t="s">
        <v>377</v>
      </c>
      <c r="C53">
        <v>0.9</v>
      </c>
      <c r="D53" t="s">
        <v>378</v>
      </c>
      <c r="E53" t="s">
        <v>364</v>
      </c>
      <c r="G53" s="6" t="s">
        <v>379</v>
      </c>
    </row>
    <row r="54" spans="2:7" x14ac:dyDescent="0.25">
      <c r="B54" t="s">
        <v>362</v>
      </c>
      <c r="C54">
        <v>10</v>
      </c>
      <c r="D54" t="s">
        <v>363</v>
      </c>
      <c r="E54">
        <f>C54*10^3*C56*G57</f>
        <v>58200000</v>
      </c>
      <c r="G54" s="6" t="s">
        <v>380</v>
      </c>
    </row>
    <row r="55" spans="2:7" x14ac:dyDescent="0.25">
      <c r="B55" t="s">
        <v>375</v>
      </c>
      <c r="C55">
        <v>8000</v>
      </c>
      <c r="D55" t="s">
        <v>376</v>
      </c>
      <c r="E55">
        <f>E54/(C53*C54*C55)</f>
        <v>808.33333333333303</v>
      </c>
    </row>
    <row r="56" spans="2:7" x14ac:dyDescent="0.25">
      <c r="B56" t="s">
        <v>381</v>
      </c>
      <c r="C56">
        <v>6000</v>
      </c>
      <c r="D56" t="s">
        <v>373</v>
      </c>
      <c r="G56" t="s">
        <v>382</v>
      </c>
    </row>
    <row r="57" spans="2:7" x14ac:dyDescent="0.25">
      <c r="G57">
        <v>0.97</v>
      </c>
    </row>
    <row r="59" spans="2:7" x14ac:dyDescent="0.25">
      <c r="B59" t="s">
        <v>59</v>
      </c>
      <c r="E59" t="s">
        <v>383</v>
      </c>
      <c r="G59" s="6" t="s">
        <v>384</v>
      </c>
    </row>
    <row r="60" spans="2:7" x14ac:dyDescent="0.25">
      <c r="B60" t="s">
        <v>385</v>
      </c>
      <c r="C60">
        <v>0.5</v>
      </c>
      <c r="D60" t="s">
        <v>386</v>
      </c>
      <c r="E60">
        <f>C61/C60</f>
        <v>814.4</v>
      </c>
      <c r="G60" t="s">
        <v>387</v>
      </c>
    </row>
    <row r="61" spans="2:7" x14ac:dyDescent="0.25">
      <c r="B61" t="s">
        <v>388</v>
      </c>
      <c r="C61">
        <v>407.2</v>
      </c>
      <c r="D61" t="s">
        <v>389</v>
      </c>
      <c r="E61">
        <f>E60/6.73*G61</f>
        <v>95.598216939078696</v>
      </c>
      <c r="G61">
        <v>0.79</v>
      </c>
    </row>
    <row r="62" spans="2:7" x14ac:dyDescent="0.25">
      <c r="B62" t="s">
        <v>390</v>
      </c>
      <c r="C62" t="s">
        <v>391</v>
      </c>
      <c r="D62" t="s">
        <v>392</v>
      </c>
      <c r="G62" s="3" t="s">
        <v>393</v>
      </c>
    </row>
    <row r="65" spans="2:10" x14ac:dyDescent="0.25">
      <c r="B65" t="s">
        <v>44</v>
      </c>
    </row>
    <row r="66" spans="2:10" x14ac:dyDescent="0.25">
      <c r="B66" t="s">
        <v>394</v>
      </c>
      <c r="C66">
        <f>75</f>
        <v>75</v>
      </c>
      <c r="D66" t="s">
        <v>395</v>
      </c>
      <c r="G66" s="6" t="s">
        <v>393</v>
      </c>
    </row>
    <row r="67" spans="2:10" x14ac:dyDescent="0.25">
      <c r="G67" t="s">
        <v>396</v>
      </c>
      <c r="J67">
        <v>1.04</v>
      </c>
    </row>
    <row r="69" spans="2:10" x14ac:dyDescent="0.25">
      <c r="B69" t="s">
        <v>42</v>
      </c>
      <c r="C69" t="s">
        <v>397</v>
      </c>
      <c r="D69" t="s">
        <v>398</v>
      </c>
      <c r="G69" s="6" t="s">
        <v>399</v>
      </c>
    </row>
    <row r="70" spans="2:10" x14ac:dyDescent="0.25">
      <c r="B70" t="s">
        <v>400</v>
      </c>
      <c r="C70">
        <v>45</v>
      </c>
      <c r="G70" t="s">
        <v>401</v>
      </c>
    </row>
    <row r="71" spans="2:10" x14ac:dyDescent="0.25">
      <c r="B71" t="s">
        <v>402</v>
      </c>
      <c r="C71">
        <f>C74/1.7/10^6</f>
        <v>60.9970588235294</v>
      </c>
      <c r="D71">
        <f>C71/G71</f>
        <v>59.684010590537603</v>
      </c>
      <c r="G71">
        <v>1.022</v>
      </c>
    </row>
    <row r="73" spans="2:10" x14ac:dyDescent="0.25">
      <c r="C73">
        <f>1247-578</f>
        <v>669</v>
      </c>
    </row>
    <row r="74" spans="2:10" x14ac:dyDescent="0.25">
      <c r="C74">
        <f>C73*155*10^3</f>
        <v>103695000</v>
      </c>
    </row>
    <row r="76" spans="2:10" x14ac:dyDescent="0.25">
      <c r="B76" t="s">
        <v>403</v>
      </c>
      <c r="F76" t="s">
        <v>364</v>
      </c>
      <c r="G76" s="6" t="s">
        <v>404</v>
      </c>
    </row>
    <row r="77" spans="2:10" x14ac:dyDescent="0.25">
      <c r="B77" t="s">
        <v>405</v>
      </c>
      <c r="C77">
        <v>1.998</v>
      </c>
      <c r="D77" t="s">
        <v>406</v>
      </c>
      <c r="E77" t="s">
        <v>402</v>
      </c>
      <c r="F77">
        <f>C82/C84</f>
        <v>84.899813156368793</v>
      </c>
    </row>
    <row r="78" spans="2:10" x14ac:dyDescent="0.25">
      <c r="B78" t="s">
        <v>407</v>
      </c>
      <c r="C78">
        <v>1.66</v>
      </c>
      <c r="D78" t="s">
        <v>406</v>
      </c>
      <c r="E78" t="s">
        <v>400</v>
      </c>
      <c r="F78">
        <f>C83/C85</f>
        <v>107.27969348659001</v>
      </c>
    </row>
    <row r="79" spans="2:10" x14ac:dyDescent="0.25">
      <c r="B79" t="s">
        <v>408</v>
      </c>
      <c r="C79">
        <v>0.87</v>
      </c>
      <c r="D79" t="s">
        <v>406</v>
      </c>
      <c r="G79" s="3" t="s">
        <v>409</v>
      </c>
    </row>
    <row r="80" spans="2:10" x14ac:dyDescent="0.25">
      <c r="B80" t="s">
        <v>410</v>
      </c>
      <c r="C80">
        <f>(626-65)/626</f>
        <v>0.896166134185304</v>
      </c>
      <c r="G80" s="6" t="s">
        <v>411</v>
      </c>
    </row>
    <row r="81" spans="2:10" x14ac:dyDescent="0.25">
      <c r="B81" t="s">
        <v>412</v>
      </c>
      <c r="C81">
        <v>0.9</v>
      </c>
      <c r="H81" s="3"/>
    </row>
    <row r="82" spans="2:10" x14ac:dyDescent="0.25">
      <c r="B82" t="s">
        <v>413</v>
      </c>
      <c r="C82">
        <v>126.3</v>
      </c>
      <c r="D82" t="s">
        <v>414</v>
      </c>
      <c r="H82" s="3"/>
    </row>
    <row r="83" spans="2:10" x14ac:dyDescent="0.25">
      <c r="B83" t="s">
        <v>415</v>
      </c>
      <c r="C83">
        <v>84</v>
      </c>
      <c r="D83" t="s">
        <v>414</v>
      </c>
    </row>
    <row r="84" spans="2:10" x14ac:dyDescent="0.25">
      <c r="B84" t="s">
        <v>416</v>
      </c>
      <c r="C84">
        <f>C78*C80</f>
        <v>1.4876357827476001</v>
      </c>
      <c r="D84" t="s">
        <v>406</v>
      </c>
    </row>
    <row r="85" spans="2:10" x14ac:dyDescent="0.25">
      <c r="B85" t="s">
        <v>417</v>
      </c>
      <c r="C85">
        <f>C79*C81</f>
        <v>0.78300000000000003</v>
      </c>
      <c r="D85" t="s">
        <v>406</v>
      </c>
    </row>
    <row r="87" spans="2:10" x14ac:dyDescent="0.25">
      <c r="B87" t="s">
        <v>418</v>
      </c>
      <c r="E87" t="s">
        <v>364</v>
      </c>
      <c r="G87" t="s">
        <v>419</v>
      </c>
    </row>
    <row r="88" spans="2:10" x14ac:dyDescent="0.25">
      <c r="B88" t="s">
        <v>420</v>
      </c>
      <c r="C88">
        <v>6</v>
      </c>
      <c r="D88" t="s">
        <v>406</v>
      </c>
      <c r="E88">
        <f>C89/C88*0.6</f>
        <v>26.963999999999999</v>
      </c>
      <c r="G88" t="s">
        <v>421</v>
      </c>
      <c r="J88" t="s">
        <v>396</v>
      </c>
    </row>
    <row r="89" spans="2:10" x14ac:dyDescent="0.25">
      <c r="B89" t="s">
        <v>422</v>
      </c>
      <c r="C89">
        <f>170*G89+86*J89</f>
        <v>269.64</v>
      </c>
      <c r="D89" t="s">
        <v>423</v>
      </c>
      <c r="G89">
        <v>1.06</v>
      </c>
      <c r="J89">
        <v>1.04</v>
      </c>
    </row>
    <row r="90" spans="2:10" x14ac:dyDescent="0.25">
      <c r="G90" t="s">
        <v>424</v>
      </c>
    </row>
  </sheetData>
  <mergeCells count="3">
    <mergeCell ref="A2:A5"/>
    <mergeCell ref="A6:A9"/>
    <mergeCell ref="A10:A13"/>
  </mergeCells>
  <phoneticPr fontId="10" type="noConversion"/>
  <hyperlinks>
    <hyperlink ref="C18" r:id="rId1" xr:uid="{00000000-0004-0000-0500-000000000000}"/>
    <hyperlink ref="C19" r:id="rId2" xr:uid="{00000000-0004-0000-0500-000001000000}"/>
    <hyperlink ref="C20" r:id="rId3" xr:uid="{00000000-0004-0000-0500-000002000000}"/>
    <hyperlink ref="G26" r:id="rId4" xr:uid="{00000000-0004-0000-0500-000003000000}"/>
    <hyperlink ref="G53" r:id="rId5" xr:uid="{00000000-0004-0000-0500-000004000000}"/>
    <hyperlink ref="G54" r:id="rId6" xr:uid="{00000000-0004-0000-0500-000005000000}"/>
    <hyperlink ref="G59" r:id="rId7" xr:uid="{00000000-0004-0000-0500-000006000000}"/>
    <hyperlink ref="G66" r:id="rId8" xr:uid="{00000000-0004-0000-0500-000007000000}"/>
    <hyperlink ref="G62" r:id="rId9" xr:uid="{00000000-0004-0000-0500-000008000000}"/>
    <hyperlink ref="G69" r:id="rId10" xr:uid="{00000000-0004-0000-0500-000009000000}"/>
    <hyperlink ref="G76" r:id="rId11" xr:uid="{00000000-0004-0000-0500-00000A000000}"/>
    <hyperlink ref="G80" r:id="rId12" xr:uid="{00000000-0004-0000-0500-00000B000000}"/>
    <hyperlink ref="G79" r:id="rId13" xr:uid="{00000000-0004-0000-0500-00000C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D10" sqref="D10"/>
    </sheetView>
  </sheetViews>
  <sheetFormatPr defaultColWidth="8.88671875" defaultRowHeight="14.4" x14ac:dyDescent="0.25"/>
  <cols>
    <col min="1" max="1" width="22.21875" customWidth="1"/>
    <col min="2" max="2" width="39.6640625" customWidth="1"/>
    <col min="3" max="3" width="47.44140625" customWidth="1"/>
  </cols>
  <sheetData>
    <row r="1" spans="1:6" x14ac:dyDescent="0.25">
      <c r="A1" s="1"/>
      <c r="C1" t="s">
        <v>425</v>
      </c>
      <c r="D1" s="2"/>
    </row>
    <row r="2" spans="1:6" x14ac:dyDescent="0.25">
      <c r="A2" s="31" t="s">
        <v>346</v>
      </c>
      <c r="B2" t="s">
        <v>347</v>
      </c>
      <c r="C2">
        <f>F2/[1]资本成本!E40*0.88</f>
        <v>21.244551818650599</v>
      </c>
      <c r="D2">
        <v>0.05</v>
      </c>
      <c r="E2" cm="1">
        <f t="array" ref="E2">SUMPRODUCT(C2:C5,D2:D5)</f>
        <v>9.5909925970195395</v>
      </c>
      <c r="F2">
        <f>(16.43+10.91)*10^6</f>
        <v>27340000</v>
      </c>
    </row>
    <row r="3" spans="1:6" x14ac:dyDescent="0.25">
      <c r="A3" s="31"/>
      <c r="B3" t="s">
        <v>348</v>
      </c>
      <c r="C3">
        <f>F3/[1]资本成本!E30*0.88</f>
        <v>8.9481832422560998</v>
      </c>
      <c r="D3">
        <v>0.94</v>
      </c>
      <c r="F3">
        <f>(20.62+17.12)*10^6</f>
        <v>37740000</v>
      </c>
    </row>
    <row r="4" spans="1:6" x14ac:dyDescent="0.25">
      <c r="A4" s="31"/>
      <c r="B4" t="s">
        <v>349</v>
      </c>
      <c r="C4">
        <f>29*[1]资本成本!G57*[1]资本成本!C57</f>
        <v>10.970700000000001</v>
      </c>
      <c r="D4">
        <v>2E-3</v>
      </c>
    </row>
    <row r="5" spans="1:6" x14ac:dyDescent="0.25">
      <c r="A5" s="31"/>
      <c r="B5" t="s">
        <v>36</v>
      </c>
      <c r="C5">
        <f>F5/[1]资本成本!E50*0.88</f>
        <v>11.9414197957847</v>
      </c>
      <c r="D5">
        <v>8.0000000000000002E-3</v>
      </c>
      <c r="F5">
        <f>(54.26+10.91)*10^6</f>
        <v>65170000</v>
      </c>
    </row>
    <row r="6" spans="1:6" x14ac:dyDescent="0.25">
      <c r="A6" s="31" t="s">
        <v>350</v>
      </c>
      <c r="B6" t="s">
        <v>38</v>
      </c>
    </row>
    <row r="7" spans="1:6" x14ac:dyDescent="0.25">
      <c r="A7" s="31"/>
      <c r="B7" t="s">
        <v>42</v>
      </c>
    </row>
    <row r="8" spans="1:6" x14ac:dyDescent="0.25">
      <c r="A8" s="31"/>
      <c r="B8" t="s">
        <v>55</v>
      </c>
    </row>
    <row r="9" spans="1:6" x14ac:dyDescent="0.25">
      <c r="A9" s="31"/>
      <c r="B9" t="s">
        <v>59</v>
      </c>
      <c r="C9">
        <f>(14+58.63)/360*[1]资本成本!C9</f>
        <v>14.324249999999999</v>
      </c>
    </row>
    <row r="10" spans="1:6" x14ac:dyDescent="0.25">
      <c r="A10" s="31" t="s">
        <v>351</v>
      </c>
      <c r="B10" s="1" t="s">
        <v>42</v>
      </c>
    </row>
    <row r="11" spans="1:6" x14ac:dyDescent="0.25">
      <c r="A11" s="31"/>
      <c r="B11" s="1" t="s">
        <v>55</v>
      </c>
      <c r="C11">
        <f>8.9/[1]资本成本!C82*[1]资本成本!F77</f>
        <v>5.9826471662049299</v>
      </c>
    </row>
    <row r="12" spans="1:6" x14ac:dyDescent="0.25">
      <c r="A12" s="31"/>
      <c r="B12" s="1" t="s">
        <v>59</v>
      </c>
    </row>
    <row r="13" spans="1:6" x14ac:dyDescent="0.25">
      <c r="A13" s="31"/>
      <c r="B13" s="1" t="s">
        <v>90</v>
      </c>
    </row>
    <row r="16" spans="1:6" x14ac:dyDescent="0.25">
      <c r="A16" t="s">
        <v>426</v>
      </c>
      <c r="C16">
        <f>C9*1/3+C11*2/3</f>
        <v>8.7631814441366203</v>
      </c>
    </row>
  </sheetData>
  <mergeCells count="3">
    <mergeCell ref="A2:A5"/>
    <mergeCell ref="A6:A9"/>
    <mergeCell ref="A10:A13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>
      <selection activeCell="B11" sqref="B11"/>
    </sheetView>
  </sheetViews>
  <sheetFormatPr defaultColWidth="8.88671875" defaultRowHeight="14.4" x14ac:dyDescent="0.25"/>
  <cols>
    <col min="1" max="1" width="24.109375" customWidth="1"/>
    <col min="2" max="2" width="60.5546875" customWidth="1"/>
    <col min="3" max="3" width="57.21875" customWidth="1"/>
  </cols>
  <sheetData>
    <row r="1" spans="1:5" x14ac:dyDescent="0.25">
      <c r="A1" s="1"/>
      <c r="B1" s="2"/>
      <c r="C1" s="2" t="s">
        <v>427</v>
      </c>
    </row>
    <row r="2" spans="1:5" x14ac:dyDescent="0.25">
      <c r="A2" s="31" t="s">
        <v>346</v>
      </c>
      <c r="B2" t="s">
        <v>347</v>
      </c>
      <c r="C2" s="1">
        <f>C35</f>
        <v>228804.849065421</v>
      </c>
      <c r="D2">
        <v>0.05</v>
      </c>
      <c r="E2" cm="1">
        <f t="array" ref="E2">SUMPRODUCT(C2:C5,D2:D5)</f>
        <v>246048.59406542699</v>
      </c>
    </row>
    <row r="3" spans="1:5" x14ac:dyDescent="0.25">
      <c r="A3" s="31"/>
      <c r="B3" t="s">
        <v>348</v>
      </c>
      <c r="C3" s="1">
        <f>C26</f>
        <v>244713.28663484499</v>
      </c>
      <c r="D3">
        <v>0.94</v>
      </c>
    </row>
    <row r="4" spans="1:5" x14ac:dyDescent="0.25">
      <c r="A4" s="31"/>
      <c r="B4" t="s">
        <v>349</v>
      </c>
      <c r="C4">
        <f>C53</f>
        <v>432204.65333333297</v>
      </c>
      <c r="D4">
        <v>2E-3</v>
      </c>
    </row>
    <row r="5" spans="1:5" x14ac:dyDescent="0.25">
      <c r="A5" s="31"/>
      <c r="B5" t="s">
        <v>36</v>
      </c>
      <c r="C5">
        <f>C44</f>
        <v>464181.60859188501</v>
      </c>
      <c r="D5">
        <v>8.0000000000000002E-3</v>
      </c>
    </row>
    <row r="6" spans="1:5" x14ac:dyDescent="0.25">
      <c r="A6" s="31" t="s">
        <v>350</v>
      </c>
      <c r="B6" t="s">
        <v>38</v>
      </c>
    </row>
    <row r="7" spans="1:5" x14ac:dyDescent="0.25">
      <c r="A7" s="31"/>
      <c r="B7" t="s">
        <v>42</v>
      </c>
    </row>
    <row r="8" spans="1:5" x14ac:dyDescent="0.25">
      <c r="A8" s="31"/>
      <c r="B8" t="s">
        <v>55</v>
      </c>
    </row>
    <row r="9" spans="1:5" x14ac:dyDescent="0.25">
      <c r="A9" s="31"/>
      <c r="B9" t="s">
        <v>59</v>
      </c>
      <c r="C9">
        <f>C63</f>
        <v>484524.16399999999</v>
      </c>
    </row>
    <row r="10" spans="1:5" x14ac:dyDescent="0.25">
      <c r="A10" s="31" t="s">
        <v>351</v>
      </c>
      <c r="B10" s="1" t="s">
        <v>42</v>
      </c>
    </row>
    <row r="11" spans="1:5" x14ac:dyDescent="0.25">
      <c r="A11" s="31"/>
      <c r="B11" s="1" t="s">
        <v>55</v>
      </c>
      <c r="C11">
        <f>C59</f>
        <v>924978.25301204796</v>
      </c>
    </row>
    <row r="12" spans="1:5" x14ac:dyDescent="0.25">
      <c r="A12" s="31"/>
      <c r="B12" s="1" t="s">
        <v>59</v>
      </c>
    </row>
    <row r="13" spans="1:5" x14ac:dyDescent="0.25">
      <c r="A13" s="31"/>
      <c r="B13" s="1" t="s">
        <v>90</v>
      </c>
    </row>
    <row r="15" spans="1:5" x14ac:dyDescent="0.25">
      <c r="C15">
        <f>C9*1/3+C11*2/3</f>
        <v>778160.223341365</v>
      </c>
    </row>
    <row r="18" spans="2:5" x14ac:dyDescent="0.25">
      <c r="B18" t="s">
        <v>348</v>
      </c>
      <c r="E18" s="3" t="s">
        <v>428</v>
      </c>
    </row>
    <row r="19" spans="2:5" x14ac:dyDescent="0.25">
      <c r="B19" t="s">
        <v>429</v>
      </c>
      <c r="C19" s="4">
        <v>6.0100000000000001E-2</v>
      </c>
    </row>
    <row r="20" spans="2:5" x14ac:dyDescent="0.25">
      <c r="B20" t="s">
        <v>430</v>
      </c>
      <c r="C20">
        <v>838</v>
      </c>
      <c r="D20" t="s">
        <v>431</v>
      </c>
    </row>
    <row r="21" spans="2:5" x14ac:dyDescent="0.25">
      <c r="B21" t="s">
        <v>432</v>
      </c>
      <c r="C21">
        <f>资本成本!C24*资本成本!C30*10^3</f>
        <v>4429000000</v>
      </c>
      <c r="D21" t="s">
        <v>433</v>
      </c>
    </row>
    <row r="22" spans="2:5" x14ac:dyDescent="0.25">
      <c r="B22" t="s">
        <v>434</v>
      </c>
      <c r="C22">
        <f>C20*C21/10^6</f>
        <v>3711502</v>
      </c>
      <c r="D22" t="s">
        <v>435</v>
      </c>
    </row>
    <row r="23" spans="2:5" x14ac:dyDescent="0.25">
      <c r="B23" t="s">
        <v>436</v>
      </c>
      <c r="C23">
        <f>C21*C19</f>
        <v>266182900</v>
      </c>
      <c r="D23" t="s">
        <v>433</v>
      </c>
    </row>
    <row r="24" spans="2:5" x14ac:dyDescent="0.25">
      <c r="B24" t="s">
        <v>437</v>
      </c>
      <c r="C24">
        <f>C23/C22</f>
        <v>71.718377088305502</v>
      </c>
      <c r="D24" t="s">
        <v>438</v>
      </c>
    </row>
    <row r="25" spans="2:5" x14ac:dyDescent="0.25">
      <c r="B25" t="s">
        <v>439</v>
      </c>
      <c r="C25">
        <v>3412.1419999999998</v>
      </c>
      <c r="D25" t="s">
        <v>440</v>
      </c>
    </row>
    <row r="26" spans="2:5" x14ac:dyDescent="0.25">
      <c r="C26">
        <f>C25*C24</f>
        <v>244713.28663484499</v>
      </c>
    </row>
    <row r="28" spans="2:5" x14ac:dyDescent="0.25">
      <c r="B28" t="s">
        <v>347</v>
      </c>
    </row>
    <row r="29" spans="2:5" x14ac:dyDescent="0.25">
      <c r="B29" t="s">
        <v>429</v>
      </c>
      <c r="C29" s="4">
        <v>2.87E-2</v>
      </c>
    </row>
    <row r="30" spans="2:5" x14ac:dyDescent="0.25">
      <c r="B30" t="s">
        <v>430</v>
      </c>
      <c r="C30">
        <v>428</v>
      </c>
    </row>
    <row r="31" spans="2:5" x14ac:dyDescent="0.25">
      <c r="B31" t="s">
        <v>432</v>
      </c>
      <c r="C31">
        <f>资本成本!C34*资本成本!C40*10^3</f>
        <v>2646000000</v>
      </c>
    </row>
    <row r="32" spans="2:5" x14ac:dyDescent="0.25">
      <c r="B32" t="s">
        <v>434</v>
      </c>
      <c r="C32">
        <f>C31*资本成本!C35/10^6</f>
        <v>1132488</v>
      </c>
    </row>
    <row r="33" spans="2:4" x14ac:dyDescent="0.25">
      <c r="B33" t="s">
        <v>436</v>
      </c>
      <c r="C33">
        <f>C31*C29</f>
        <v>75940200</v>
      </c>
    </row>
    <row r="34" spans="2:4" x14ac:dyDescent="0.25">
      <c r="B34" t="s">
        <v>437</v>
      </c>
      <c r="C34">
        <f>C33/C32</f>
        <v>67.056074766355096</v>
      </c>
    </row>
    <row r="35" spans="2:4" x14ac:dyDescent="0.25">
      <c r="C35">
        <f>C34*C25</f>
        <v>228804.849065421</v>
      </c>
    </row>
    <row r="37" spans="2:4" x14ac:dyDescent="0.25">
      <c r="B37" t="s">
        <v>441</v>
      </c>
    </row>
    <row r="38" spans="2:4" x14ac:dyDescent="0.25">
      <c r="B38" t="s">
        <v>429</v>
      </c>
      <c r="C38">
        <v>11.4</v>
      </c>
    </row>
    <row r="39" spans="2:4" x14ac:dyDescent="0.25">
      <c r="B39" t="s">
        <v>430</v>
      </c>
      <c r="C39">
        <v>838</v>
      </c>
    </row>
    <row r="40" spans="2:4" x14ac:dyDescent="0.25">
      <c r="B40" t="s">
        <v>432</v>
      </c>
      <c r="C40">
        <f>资本成本!C44*资本成本!C50*1000</f>
        <v>5731000000</v>
      </c>
    </row>
    <row r="41" spans="2:4" x14ac:dyDescent="0.25">
      <c r="B41" t="s">
        <v>434</v>
      </c>
      <c r="C41">
        <f>C40*C39/10^6</f>
        <v>4802578</v>
      </c>
    </row>
    <row r="42" spans="2:4" x14ac:dyDescent="0.25">
      <c r="B42" t="s">
        <v>436</v>
      </c>
      <c r="C42">
        <f>C40*C38/100</f>
        <v>653334000</v>
      </c>
    </row>
    <row r="43" spans="2:4" x14ac:dyDescent="0.25">
      <c r="B43" t="s">
        <v>437</v>
      </c>
      <c r="C43">
        <f>C42/C41</f>
        <v>136.038186157518</v>
      </c>
    </row>
    <row r="44" spans="2:4" x14ac:dyDescent="0.25">
      <c r="C44">
        <f>C43*C25</f>
        <v>464181.60859188501</v>
      </c>
    </row>
    <row r="46" spans="2:4" x14ac:dyDescent="0.25">
      <c r="B46" t="s">
        <v>349</v>
      </c>
    </row>
    <row r="47" spans="2:4" x14ac:dyDescent="0.25">
      <c r="B47" t="s">
        <v>429</v>
      </c>
      <c r="C47">
        <f>C38</f>
        <v>11.4</v>
      </c>
    </row>
    <row r="48" spans="2:4" x14ac:dyDescent="0.25">
      <c r="B48" t="s">
        <v>430</v>
      </c>
      <c r="C48">
        <f>资本成本!C53</f>
        <v>0.9</v>
      </c>
      <c r="D48" t="s">
        <v>442</v>
      </c>
    </row>
    <row r="49" spans="2:4" x14ac:dyDescent="0.25">
      <c r="B49" t="s">
        <v>432</v>
      </c>
      <c r="C49">
        <f>资本成本!C54*资本成本!C55</f>
        <v>80000</v>
      </c>
      <c r="D49" t="s">
        <v>443</v>
      </c>
    </row>
    <row r="50" spans="2:4" x14ac:dyDescent="0.25">
      <c r="B50" t="s">
        <v>434</v>
      </c>
      <c r="C50">
        <f>C48*C49</f>
        <v>72000</v>
      </c>
      <c r="D50" t="s">
        <v>435</v>
      </c>
    </row>
    <row r="51" spans="2:4" x14ac:dyDescent="0.25">
      <c r="B51" t="s">
        <v>436</v>
      </c>
      <c r="C51">
        <f>C49*C47/100</f>
        <v>9120</v>
      </c>
      <c r="D51" t="s">
        <v>443</v>
      </c>
    </row>
    <row r="52" spans="2:4" x14ac:dyDescent="0.25">
      <c r="B52" t="s">
        <v>437</v>
      </c>
      <c r="C52">
        <f>C51*1000/C50</f>
        <v>126.666666666667</v>
      </c>
    </row>
    <row r="53" spans="2:4" x14ac:dyDescent="0.25">
      <c r="C53">
        <f>C52*C25</f>
        <v>432204.65333333297</v>
      </c>
    </row>
    <row r="55" spans="2:4" x14ac:dyDescent="0.25">
      <c r="B55" t="s">
        <v>403</v>
      </c>
    </row>
    <row r="56" spans="2:4" x14ac:dyDescent="0.25">
      <c r="B56" t="s">
        <v>436</v>
      </c>
      <c r="C56">
        <v>450000</v>
      </c>
      <c r="D56" t="s">
        <v>443</v>
      </c>
    </row>
    <row r="57" spans="2:4" x14ac:dyDescent="0.25">
      <c r="B57" t="s">
        <v>444</v>
      </c>
      <c r="C57">
        <f>资本成本!C78</f>
        <v>1.66</v>
      </c>
      <c r="D57" t="s">
        <v>406</v>
      </c>
    </row>
    <row r="58" spans="2:4" x14ac:dyDescent="0.25">
      <c r="B58" t="s">
        <v>437</v>
      </c>
      <c r="C58">
        <f>C56*10^3/C57/10^6</f>
        <v>271.08433734939803</v>
      </c>
    </row>
    <row r="59" spans="2:4" x14ac:dyDescent="0.25">
      <c r="C59">
        <f>C58*C25</f>
        <v>924978.25301204796</v>
      </c>
    </row>
    <row r="61" spans="2:4" x14ac:dyDescent="0.25">
      <c r="B61" t="s">
        <v>445</v>
      </c>
    </row>
    <row r="62" spans="2:4" x14ac:dyDescent="0.25">
      <c r="B62" t="s">
        <v>436</v>
      </c>
      <c r="C62">
        <v>142</v>
      </c>
      <c r="D62" t="s">
        <v>438</v>
      </c>
    </row>
    <row r="63" spans="2:4" x14ac:dyDescent="0.25">
      <c r="C63">
        <f>C62*C25</f>
        <v>484524.16399999999</v>
      </c>
    </row>
  </sheetData>
  <mergeCells count="3">
    <mergeCell ref="A2:A5"/>
    <mergeCell ref="A6:A9"/>
    <mergeCell ref="A10:A13"/>
  </mergeCells>
  <phoneticPr fontId="10" type="noConversion"/>
  <hyperlinks>
    <hyperlink ref="E18" r:id="rId1" xr:uid="{00000000-0004-0000-0700-000000000000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草稿</vt:lpstr>
      <vt:lpstr>应用行业</vt:lpstr>
      <vt:lpstr>工业燃料渗透率</vt:lpstr>
      <vt:lpstr>工业过程渗透率</vt:lpstr>
      <vt:lpstr>电力渗透率</vt:lpstr>
      <vt:lpstr>资本成本</vt:lpstr>
      <vt:lpstr>运维成本</vt:lpstr>
      <vt:lpstr>能源消耗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Nenggao Zhu</dc:creator>
  <cp:lastModifiedBy>逸群 何</cp:lastModifiedBy>
  <dcterms:created xsi:type="dcterms:W3CDTF">2023-05-12T11:15:00Z</dcterms:created>
  <dcterms:modified xsi:type="dcterms:W3CDTF">2024-09-12T07:16:12Z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0CB65CAB6B5743F1B696610E517FFBAA_12</vt:lpwstr>
  </property>
</Properties>
</file>