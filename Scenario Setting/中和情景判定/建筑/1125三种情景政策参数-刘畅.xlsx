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defaultThemeVersion="124226"/>
  <xr:revisionPtr revIDLastSave="0" documentId="13_ncr:1_{A25055E9-C721-4F37-A2EA-9BCCBEB6E3A8}" xr6:coauthVersionLast="47" xr6:coauthVersionMax="47" xr10:uidLastSave="{00000000-0000-0000-0000-000000000000}"/>
  <bookViews>
    <workbookView xWindow="-108" yWindow="-108" windowWidth="23256" windowHeight="12456" xr2:uid="{7C03BFB5-E57F-4089-992C-5593894FD894}"/>
  </bookViews>
  <sheets>
    <sheet name="偏重基础设施（建筑本体）" sheetId="104" r:id="rId1"/>
    <sheet name="建筑政策参数(过程)" sheetId="99" state="hidden" r:id="rId2"/>
    <sheet name="建筑能效标准" sheetId="102" state="hidden" r:id="rId3"/>
    <sheet name="情景介绍 (2)" sheetId="66" state="hidden" r:id="rId4"/>
    <sheet name="情景介绍" sheetId="65" state="hidden" r:id="rId5"/>
    <sheet name="About中文" sheetId="57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104" l="1"/>
  <c r="N10" i="104"/>
  <c r="N9" i="104"/>
  <c r="J11" i="104"/>
  <c r="J10" i="104"/>
  <c r="J9" i="104"/>
  <c r="F11" i="104" l="1"/>
  <c r="F10" i="104"/>
  <c r="F9" i="104"/>
  <c r="D55" i="99" l="1"/>
  <c r="D56" i="99"/>
  <c r="D57" i="99"/>
  <c r="D58" i="99"/>
  <c r="D59" i="99"/>
  <c r="D54" i="99"/>
  <c r="C55" i="99"/>
  <c r="C56" i="99"/>
  <c r="C57" i="99"/>
  <c r="C58" i="99"/>
  <c r="C59" i="99"/>
  <c r="C54" i="99"/>
  <c r="B55" i="99"/>
  <c r="B56" i="99"/>
  <c r="B57" i="99"/>
  <c r="B58" i="99"/>
  <c r="B59" i="99"/>
  <c r="B54" i="99"/>
  <c r="D47" i="99"/>
  <c r="D48" i="99"/>
  <c r="D49" i="99"/>
  <c r="D50" i="99"/>
  <c r="D51" i="99"/>
  <c r="D46" i="99"/>
  <c r="C47" i="99"/>
  <c r="C48" i="99"/>
  <c r="C49" i="99"/>
  <c r="C50" i="99"/>
  <c r="C51" i="99"/>
  <c r="C46" i="99"/>
  <c r="B47" i="99"/>
  <c r="B48" i="99"/>
  <c r="B49" i="99"/>
  <c r="B50" i="99"/>
  <c r="B51" i="99"/>
  <c r="B46" i="99"/>
  <c r="B70" i="99"/>
  <c r="D55" i="66" l="1"/>
  <c r="D54" i="66"/>
  <c r="D53" i="66"/>
</calcChain>
</file>

<file path=xl/sharedStrings.xml><?xml version="1.0" encoding="utf-8"?>
<sst xmlns="http://schemas.openxmlformats.org/spreadsheetml/2006/main" count="553" uniqueCount="232">
  <si>
    <t>-</t>
    <phoneticPr fontId="3" type="noConversion"/>
  </si>
  <si>
    <t>source:</t>
    <phoneticPr fontId="7" type="noConversion"/>
  </si>
  <si>
    <t>Chongqing University &amp; Energy Statistics Committee of China Building Energy Conservation Association</t>
    <phoneticPr fontId="7" type="noConversion"/>
  </si>
  <si>
    <t xml:space="preserve">2018 Annual Report  on China Building Energy Consumption </t>
    <phoneticPr fontId="7" type="noConversion"/>
  </si>
  <si>
    <t>https://kns.cnki.net/kcms2/article/abstract?v=3uoqIhG8C44YLTlOAiTRKibYlV5Vjs7iLik5jEcCI09uHa3oBxtWoLXBqMuT2L2CQ_SDgkvzeuyHBRpPejPl_DToiZ2ygw3-&amp;uniplatform=NZKPT</t>
    <phoneticPr fontId="7" type="noConversion"/>
  </si>
  <si>
    <t>note:</t>
    <phoneticPr fontId="7" type="noConversion"/>
  </si>
  <si>
    <t>人口计算</t>
    <phoneticPr fontId="7" type="noConversion"/>
  </si>
  <si>
    <t>Leslie人口模型</t>
    <phoneticPr fontId="3" type="noConversion"/>
  </si>
  <si>
    <t>建筑面积计算</t>
    <phoneticPr fontId="7" type="noConversion"/>
  </si>
  <si>
    <t>3.用人口乘以人均建面可获取未来城市住宅、农村住宅、公共建筑面积的变化趋势。建筑面积的变化量由新建量和拆除量构成，建筑的拆除量按住宅每年拆除1/70,公建每年拆除1/50考虑，然后用前后两年的总变化量加上上年拆除量即为上年新建量。由此可将每年的建筑面积分为起始年份留存面积和新建面积</t>
    <phoneticPr fontId="3" type="noConversion"/>
  </si>
  <si>
    <t>5.用既存建筑面积和新建建筑面积分别乘以各自对应的能耗强度，即可得到各类建筑未来的能耗变化趋势</t>
    <phoneticPr fontId="3" type="noConversion"/>
  </si>
  <si>
    <t>6.将建筑能耗按SYCEU的比例拆分</t>
    <phoneticPr fontId="3" type="noConversion"/>
  </si>
  <si>
    <t>BCEU BAU Components Energy Use</t>
    <phoneticPr fontId="3" type="noConversion"/>
  </si>
  <si>
    <t>1.根据Leslie人口模型的数据，预测中国城市人口，农村人口，采暖人口的变化</t>
    <phoneticPr fontId="3" type="noConversion"/>
  </si>
  <si>
    <t>2.从&lt;2018 Annual Report  on China Building Energy Consumption &gt;中获取起始年份中国的人均城市住宅面积、人均农村住宅面积、人均公建面积。咨询专家得知，未来中国人均建面年增长率为0.3%，据此预测未来中国人均建筑面积的变化</t>
    <phoneticPr fontId="3" type="noConversion"/>
  </si>
  <si>
    <t>4.从SYCEU中获取起始年份留存建筑的总能耗，除以建面即得留存建筑的能耗强度。 从&lt;2018 Annual Report  on China Building Energy Consumption &gt;获取各类建筑的基线能耗强度，从&lt;建筑节能与可再生能源利用通用规范&gt;中获取未来新建建筑的节能率，据此计算未来新建建筑的能耗强度</t>
    <phoneticPr fontId="3" type="noConversion"/>
  </si>
  <si>
    <t>改造后能效</t>
    <phoneticPr fontId="3" type="noConversion"/>
  </si>
  <si>
    <t>22年新规</t>
  </si>
  <si>
    <t>22年新规</t>
    <phoneticPr fontId="3" type="noConversion"/>
  </si>
  <si>
    <t>绿建三星</t>
  </si>
  <si>
    <t>绿建三星</t>
    <phoneticPr fontId="3" type="noConversion"/>
  </si>
  <si>
    <t>超低能耗</t>
  </si>
  <si>
    <t>超低能耗</t>
    <phoneticPr fontId="3" type="noConversion"/>
  </si>
  <si>
    <t>近零能耗</t>
  </si>
  <si>
    <t>近零能耗</t>
    <phoneticPr fontId="3" type="noConversion"/>
  </si>
  <si>
    <t>零能耗</t>
    <phoneticPr fontId="3" type="noConversion"/>
  </si>
  <si>
    <t>住宅</t>
  </si>
  <si>
    <t>公建</t>
  </si>
  <si>
    <t>零碳建筑</t>
  </si>
  <si>
    <t>公建</t>
    <phoneticPr fontId="3" type="noConversion"/>
  </si>
  <si>
    <t>新建建筑能效</t>
    <phoneticPr fontId="3" type="noConversion"/>
  </si>
  <si>
    <t>既存建筑改造</t>
    <phoneticPr fontId="3" type="noConversion"/>
  </si>
  <si>
    <t>分布式光伏</t>
    <phoneticPr fontId="3" type="noConversion"/>
  </si>
  <si>
    <t>集中供暖电气化</t>
    <phoneticPr fontId="3" type="noConversion"/>
  </si>
  <si>
    <t>家用设施电气化</t>
    <phoneticPr fontId="3" type="noConversion"/>
  </si>
  <si>
    <t>BAU情景</t>
    <phoneticPr fontId="3" type="noConversion"/>
  </si>
  <si>
    <t>附表1：新建建筑能效分布</t>
    <phoneticPr fontId="3" type="noConversion"/>
  </si>
  <si>
    <t>16年规定能耗建筑</t>
  </si>
  <si>
    <t>22年新规能耗建筑</t>
  </si>
  <si>
    <t>超低能耗建筑</t>
  </si>
  <si>
    <t>近零能耗建筑</t>
  </si>
  <si>
    <t>新建建筑能效逐步提升，到2060年新建建筑100%为零碳建筑。具体能效分布见附表1</t>
    <phoneticPr fontId="3" type="noConversion"/>
  </si>
  <si>
    <t>仅改造2020年之前建成的建筑，这部分建筑每年改造1%，改造后的能效从2022标准节能逐步提升至近零能耗，详见附表2。2020年后新建的建筑不改造</t>
    <phoneticPr fontId="3" type="noConversion"/>
  </si>
  <si>
    <t>不进行建筑节能改造。2020年之前建成的建筑，其能效水平一直保持不变。</t>
    <phoneticPr fontId="3" type="noConversion"/>
  </si>
  <si>
    <t>光伏装机量一直保持在2020年水平，不再增加</t>
    <phoneticPr fontId="3" type="noConversion"/>
  </si>
  <si>
    <t>集中供暖电气化率一直保持在2020年水平，不再增加</t>
    <phoneticPr fontId="3" type="noConversion"/>
  </si>
  <si>
    <t>家用设施电气化率一直保持在2020年水平，不再增加</t>
    <phoneticPr fontId="3" type="noConversion"/>
  </si>
  <si>
    <t>电力系统一直保持在2020年水平，不进行改造</t>
    <phoneticPr fontId="3" type="noConversion"/>
  </si>
  <si>
    <t>电力系统优化</t>
    <phoneticPr fontId="3" type="noConversion"/>
  </si>
  <si>
    <t>减排情景</t>
    <phoneticPr fontId="3" type="noConversion"/>
  </si>
  <si>
    <t>2020年后新建建筑全部进行电力系统优化，既存建筑的节能改造也全部进行电力系统优化</t>
    <phoneticPr fontId="3" type="noConversion"/>
  </si>
  <si>
    <t>集中供暖电气化率随时间线性增加，到2050年集中供暖全部电气化</t>
    <phoneticPr fontId="3" type="noConversion"/>
  </si>
  <si>
    <t>家用设施电气化率随时间线性增加，到2030年，公建设施100%电气化，住宅设施80%电气化</t>
    <phoneticPr fontId="3" type="noConversion"/>
  </si>
  <si>
    <t>屋顶光伏装机量随时间线性增加，到2050年，农村屋顶光伏装机20亿kW,城镇屋顶光伏装机8亿kW。</t>
    <phoneticPr fontId="3" type="noConversion"/>
  </si>
  <si>
    <t>2020-2029</t>
    <phoneticPr fontId="3" type="noConversion"/>
  </si>
  <si>
    <t>2030-2039</t>
    <phoneticPr fontId="3" type="noConversion"/>
  </si>
  <si>
    <t>2040-2049</t>
    <phoneticPr fontId="3" type="noConversion"/>
  </si>
  <si>
    <t>2050-2060</t>
    <phoneticPr fontId="3" type="noConversion"/>
  </si>
  <si>
    <t>新建建筑能效始终保持在2016标准节能水平</t>
    <phoneticPr fontId="3" type="noConversion"/>
  </si>
  <si>
    <t>附表2：既存建筑改造后能效水平分布</t>
    <phoneticPr fontId="3" type="noConversion"/>
  </si>
  <si>
    <t>附表3：各能效水平建筑相较于基线能效建筑的节能率</t>
    <phoneticPr fontId="3" type="noConversion"/>
  </si>
  <si>
    <t>注：附表3仅考虑围护结构热工性能提升带来的节能率，分布式光伏和电力系统优化的节能另行计算</t>
    <phoneticPr fontId="3" type="noConversion"/>
  </si>
  <si>
    <t>2020年建筑运行碳排放21,8亿吨co2</t>
    <phoneticPr fontId="3" type="noConversion"/>
  </si>
  <si>
    <t>另一个口径是21.6亿</t>
    <phoneticPr fontId="3" type="noConversion"/>
  </si>
  <si>
    <t>新建占比过大，不科学</t>
    <phoneticPr fontId="3" type="noConversion"/>
  </si>
  <si>
    <t>既改很激进，但减碳量低</t>
    <phoneticPr fontId="3" type="noConversion"/>
  </si>
  <si>
    <t>集中供暖有多少是换热源、有多少是转电，这个比例解释清楚</t>
    <phoneticPr fontId="3" type="noConversion"/>
  </si>
  <si>
    <t>吴博士说是20%的热泵</t>
    <phoneticPr fontId="3" type="noConversion"/>
  </si>
  <si>
    <t>电气化就只是本地化石能源电气化，不含别的</t>
    <phoneticPr fontId="3" type="noConversion"/>
  </si>
  <si>
    <t>家用设施稍小点，农村化石能源建筑排放应该是6亿吨co2，参考</t>
    <phoneticPr fontId="3" type="noConversion"/>
  </si>
  <si>
    <t>2040年住宅也要完全电气化，情景保守了</t>
    <phoneticPr fontId="3" type="noConversion"/>
  </si>
  <si>
    <t>电碳因子单独分出来</t>
    <phoneticPr fontId="3" type="noConversion"/>
  </si>
  <si>
    <t>电碳因子目前接近BAU,政策情景电碳因子用赵言冰发的，最终结果电碳因子加上</t>
    <phoneticPr fontId="3" type="noConversion"/>
  </si>
  <si>
    <t>写零碳政策情景</t>
    <phoneticPr fontId="3" type="noConversion"/>
  </si>
  <si>
    <t>建筑用电调峰，言冰老师认为直接说节能量不合适，建议不放了</t>
    <phoneticPr fontId="3" type="noConversion"/>
  </si>
  <si>
    <t>光伏有效日照小时数全国应为1200小时，现在可能偏低，需要核实</t>
    <phoneticPr fontId="3" type="noConversion"/>
  </si>
  <si>
    <t>2030年建筑碳排放峰值约为26亿吨</t>
    <phoneticPr fontId="3" type="noConversion"/>
  </si>
  <si>
    <t>确认下2060年为什么碳排放还有剩余？正常肯定没了</t>
    <phoneticPr fontId="3" type="noConversion"/>
  </si>
  <si>
    <t>2020-2060年新建总392亿㎡</t>
    <phoneticPr fontId="3" type="noConversion"/>
  </si>
  <si>
    <t>电力系统优化（柔性），去掉，不考虑了</t>
    <phoneticPr fontId="3" type="noConversion"/>
  </si>
  <si>
    <t>新建、既改一个柱子两个颜色</t>
    <phoneticPr fontId="3" type="noConversion"/>
  </si>
  <si>
    <t>建面到2060年调到2050年 2060年750亿，参考750亿情景</t>
    <phoneticPr fontId="3" type="noConversion"/>
  </si>
  <si>
    <t>绿建去掉</t>
    <phoneticPr fontId="3" type="noConversion"/>
  </si>
  <si>
    <t>住宅超低83% 公建78%</t>
    <phoneticPr fontId="3" type="noConversion"/>
  </si>
  <si>
    <t>2040年全部达到近零及以上</t>
    <phoneticPr fontId="3" type="noConversion"/>
  </si>
  <si>
    <t>2030年全部达到超低及以上</t>
    <phoneticPr fontId="3" type="noConversion"/>
  </si>
  <si>
    <t>最高近零能耗</t>
    <phoneticPr fontId="3" type="noConversion"/>
  </si>
  <si>
    <t>建筑2040年新建建筑全部电气化</t>
    <phoneticPr fontId="3" type="noConversion"/>
  </si>
  <si>
    <t xml:space="preserve">2040年住宅既存电气化80% </t>
    <phoneticPr fontId="3" type="noConversion"/>
  </si>
  <si>
    <t>按江亿的</t>
    <phoneticPr fontId="3" type="noConversion"/>
  </si>
  <si>
    <t>20-60年拆除量不能超过改造面积的20%，即起始年份的8%</t>
    <phoneticPr fontId="3" type="noConversion"/>
  </si>
  <si>
    <t>既存建筑有40%是不节能的（能效低于16年标准），只改造这一部分，改之前基线，改之后节能率65%</t>
    <phoneticPr fontId="3" type="noConversion"/>
  </si>
  <si>
    <t>-</t>
    <phoneticPr fontId="3" type="noConversion"/>
  </si>
  <si>
    <t>16年新规是</t>
    <phoneticPr fontId="3" type="noConversion"/>
  </si>
  <si>
    <t>严寒寒冷75% 其他65%</t>
    <phoneticPr fontId="3" type="noConversion"/>
  </si>
  <si>
    <t>2040以后</t>
    <phoneticPr fontId="3" type="noConversion"/>
  </si>
  <si>
    <t>严寒寒冷83% 其他75%</t>
    <phoneticPr fontId="3" type="noConversion"/>
  </si>
  <si>
    <t>建筑改造，改造到节能率75%</t>
    <phoneticPr fontId="3" type="noConversion"/>
  </si>
  <si>
    <t>2030年，燃煤锅炉全部取消</t>
    <phoneticPr fontId="3" type="noConversion"/>
  </si>
  <si>
    <t>2020集中供暖面积 156亿㎡</t>
    <phoneticPr fontId="3" type="noConversion"/>
  </si>
  <si>
    <t>2050年 集中供暖54亿GJ</t>
    <phoneticPr fontId="3" type="noConversion"/>
  </si>
  <si>
    <t>2050集中供暖面积 218亿㎡</t>
    <phoneticPr fontId="3" type="noConversion"/>
  </si>
  <si>
    <t>2020年建筑运行碳排放21.8亿吨co2</t>
    <phoneticPr fontId="3" type="noConversion"/>
  </si>
  <si>
    <t>改SYCEU</t>
    <phoneticPr fontId="3" type="noConversion"/>
  </si>
  <si>
    <t>2016年节能</t>
    <phoneticPr fontId="3" type="noConversion"/>
  </si>
  <si>
    <t>2022年新规</t>
    <phoneticPr fontId="3" type="noConversion"/>
  </si>
  <si>
    <t>按南北方加权：</t>
    <phoneticPr fontId="3" type="noConversion"/>
  </si>
  <si>
    <t>政策情景</t>
    <phoneticPr fontId="3" type="noConversion"/>
  </si>
  <si>
    <t>年改造率</t>
    <phoneticPr fontId="3" type="noConversion"/>
  </si>
  <si>
    <t>改造前能效水平</t>
    <phoneticPr fontId="3" type="noConversion"/>
  </si>
  <si>
    <t>基线</t>
    <phoneticPr fontId="3" type="noConversion"/>
  </si>
  <si>
    <t>电力供暖占比</t>
    <phoneticPr fontId="3" type="noConversion"/>
  </si>
  <si>
    <t>传统供暖占比</t>
    <phoneticPr fontId="3" type="noConversion"/>
  </si>
  <si>
    <t>到2030</t>
    <phoneticPr fontId="3" type="noConversion"/>
  </si>
  <si>
    <t>到2060</t>
    <phoneticPr fontId="3" type="noConversion"/>
  </si>
  <si>
    <t>住宅</t>
    <phoneticPr fontId="3" type="noConversion"/>
  </si>
  <si>
    <t>城市</t>
    <phoneticPr fontId="3" type="noConversion"/>
  </si>
  <si>
    <t>农村</t>
    <phoneticPr fontId="3" type="noConversion"/>
  </si>
  <si>
    <t>到2035</t>
    <phoneticPr fontId="3" type="noConversion"/>
  </si>
  <si>
    <t>到2040</t>
    <phoneticPr fontId="3" type="noConversion"/>
  </si>
  <si>
    <t>到2050</t>
    <phoneticPr fontId="3" type="noConversion"/>
  </si>
  <si>
    <t>各能效水平下建筑节能率</t>
    <phoneticPr fontId="3" type="noConversion"/>
  </si>
  <si>
    <t>新建建筑能效分布</t>
    <phoneticPr fontId="3" type="noConversion"/>
  </si>
  <si>
    <t>即存建筑改造率</t>
    <phoneticPr fontId="3" type="noConversion"/>
  </si>
  <si>
    <t>2022年标准节能</t>
    <phoneticPr fontId="3" type="noConversion"/>
  </si>
  <si>
    <t>政策情景</t>
  </si>
  <si>
    <t>减碳作用路径：影响BCEU中建筑能耗，影响BRESAC中改造的节能率</t>
    <phoneticPr fontId="3" type="noConversion"/>
  </si>
  <si>
    <t>政策文件</t>
    <phoneticPr fontId="3" type="noConversion"/>
  </si>
  <si>
    <t>具体条文</t>
    <phoneticPr fontId="3" type="noConversion"/>
  </si>
  <si>
    <t>城乡建设领域碳达峰实施方案</t>
    <phoneticPr fontId="3" type="noConversion"/>
  </si>
  <si>
    <t>2030年新建居住建筑、公共建筑能效水平达到超低能耗建筑</t>
    <phoneticPr fontId="3" type="noConversion"/>
  </si>
  <si>
    <t>城市住宅装机容量</t>
    <phoneticPr fontId="3" type="noConversion"/>
  </si>
  <si>
    <t>城市公建装机容量</t>
    <phoneticPr fontId="3" type="noConversion"/>
  </si>
  <si>
    <t>农村住宅装机容量</t>
    <phoneticPr fontId="3" type="noConversion"/>
  </si>
  <si>
    <t>0.1亿kW</t>
    <phoneticPr fontId="3" type="noConversion"/>
  </si>
  <si>
    <t>0.3亿kW</t>
    <phoneticPr fontId="3" type="noConversion"/>
  </si>
  <si>
    <t>3亿kW</t>
    <phoneticPr fontId="3" type="noConversion"/>
  </si>
  <si>
    <t>2亿kW</t>
    <phoneticPr fontId="3" type="noConversion"/>
  </si>
  <si>
    <t>6亿kW</t>
    <phoneticPr fontId="3" type="noConversion"/>
  </si>
  <si>
    <t>20亿kW</t>
    <phoneticPr fontId="3" type="noConversion"/>
  </si>
  <si>
    <t>2.6亿kW</t>
    <phoneticPr fontId="3" type="noConversion"/>
  </si>
  <si>
    <t>1.2亿kW</t>
    <phoneticPr fontId="3" type="noConversion"/>
  </si>
  <si>
    <t>3.3亿kW</t>
    <phoneticPr fontId="3" type="noConversion"/>
  </si>
  <si>
    <t>2.4亿kW</t>
    <phoneticPr fontId="3" type="noConversion"/>
  </si>
  <si>
    <t>2022-2060</t>
    <phoneticPr fontId="3" type="noConversion"/>
  </si>
  <si>
    <t>1.1亿kW</t>
    <phoneticPr fontId="3" type="noConversion"/>
  </si>
  <si>
    <t>0.4亿kW</t>
    <phoneticPr fontId="3" type="noConversion"/>
  </si>
  <si>
    <t>数据来源</t>
    <phoneticPr fontId="3" type="noConversion"/>
  </si>
  <si>
    <t>起始年数据来源国家能源局官网</t>
    <phoneticPr fontId="3" type="noConversion"/>
  </si>
  <si>
    <t>BAU数据由历史数据外推得到</t>
    <phoneticPr fontId="3" type="noConversion"/>
  </si>
  <si>
    <t>政策情景数据由江亿情景参数得到</t>
    <phoneticPr fontId="3" type="noConversion"/>
  </si>
  <si>
    <t>江亿老师估计中国老旧建筑约占40%，按2060年刚好完全改造计算</t>
    <phoneticPr fontId="3" type="noConversion"/>
  </si>
  <si>
    <t>试试激进一些</t>
    <phoneticPr fontId="3" type="noConversion"/>
  </si>
  <si>
    <t>热水器 烘干机 洗衣机 炊事</t>
    <phoneticPr fontId="3" type="noConversion"/>
  </si>
  <si>
    <t>heating</t>
  </si>
  <si>
    <t>cooling and ventilation</t>
  </si>
  <si>
    <t>envelope</t>
  </si>
  <si>
    <t>lighting</t>
  </si>
  <si>
    <t>appliances</t>
  </si>
  <si>
    <t>other</t>
  </si>
  <si>
    <t>包含</t>
    <phoneticPr fontId="3" type="noConversion"/>
  </si>
  <si>
    <t>集中供暖 家用设施供暖</t>
    <phoneticPr fontId="3" type="noConversion"/>
  </si>
  <si>
    <t>备注</t>
    <phoneticPr fontId="3" type="noConversion"/>
  </si>
  <si>
    <t>热源是heat的是集中供暖 其他是分布式供暖</t>
    <phoneticPr fontId="3" type="noConversion"/>
  </si>
  <si>
    <t>cooling and ventilation</t>
    <phoneticPr fontId="3" type="noConversion"/>
  </si>
  <si>
    <t>空调</t>
    <phoneticPr fontId="3" type="noConversion"/>
  </si>
  <si>
    <t>建筑维护结构</t>
    <phoneticPr fontId="3" type="noConversion"/>
  </si>
  <si>
    <t>只受建筑能效水平影响</t>
    <phoneticPr fontId="3" type="noConversion"/>
  </si>
  <si>
    <t>灯具</t>
    <phoneticPr fontId="3" type="noConversion"/>
  </si>
  <si>
    <t>电视 电脑等生产相关的电器</t>
    <phoneticPr fontId="3" type="noConversion"/>
  </si>
  <si>
    <t>因GDP增加导致的三产用电增加，以及因人均收入提高导致的居民用电增加都加在这一部分</t>
    <phoneticPr fontId="3" type="noConversion"/>
  </si>
  <si>
    <t>围护结构，只影响envelop的节能</t>
    <phoneticPr fontId="3" type="noConversion"/>
  </si>
  <si>
    <t>Urban Residential</t>
  </si>
  <si>
    <t>Rural Residential</t>
  </si>
  <si>
    <t>Commercial</t>
  </si>
  <si>
    <t>拍数</t>
    <phoneticPr fontId="3" type="noConversion"/>
  </si>
  <si>
    <t>范围：appliance</t>
    <phoneticPr fontId="3" type="noConversion"/>
  </si>
  <si>
    <t>来源：BCEU2022年数据（根据中国家庭能源研究报告能流图拆分）</t>
    <phoneticPr fontId="3" type="noConversion"/>
  </si>
  <si>
    <t>各类设施基线节能率</t>
    <phoneticPr fontId="3" type="noConversion"/>
  </si>
  <si>
    <t>各类设施目标节能率</t>
    <phoneticPr fontId="3" type="noConversion"/>
  </si>
  <si>
    <t>来源：调研</t>
    <phoneticPr fontId="3" type="noConversion"/>
  </si>
  <si>
    <t>来源：拍数</t>
    <phoneticPr fontId="3" type="noConversion"/>
  </si>
  <si>
    <t>一直基线不改</t>
    <phoneticPr fontId="3" type="noConversion"/>
  </si>
  <si>
    <t>零碳情景</t>
    <phoneticPr fontId="3" type="noConversion"/>
  </si>
  <si>
    <t>线性改造，到2060年改完</t>
    <phoneticPr fontId="3" type="noConversion"/>
  </si>
  <si>
    <t>建筑设备节能改造</t>
    <phoneticPr fontId="3" type="noConversion"/>
  </si>
  <si>
    <t>以3级能效为0折算，COP=3</t>
    <phoneticPr fontId="3" type="noConversion"/>
  </si>
  <si>
    <t>不考虑</t>
    <phoneticPr fontId="3" type="noConversion"/>
  </si>
  <si>
    <t>以2级能效为0折算</t>
    <phoneticPr fontId="3" type="noConversion"/>
  </si>
  <si>
    <t>以日光灯为0折算，光效率=56</t>
    <phoneticPr fontId="3" type="noConversion"/>
  </si>
  <si>
    <t>BAU给一个表，全调成1级</t>
    <phoneticPr fontId="3" type="noConversion"/>
  </si>
  <si>
    <t>模型未解决分布式</t>
    <phoneticPr fontId="3" type="noConversion"/>
  </si>
  <si>
    <t>江亿p151 COP=6</t>
    <phoneticPr fontId="3" type="noConversion"/>
  </si>
  <si>
    <t>BAU各类设施目标节能率</t>
    <phoneticPr fontId="3" type="noConversion"/>
  </si>
  <si>
    <t>2022-2030</t>
    <phoneticPr fontId="3" type="noConversion"/>
  </si>
  <si>
    <t>2030-2040</t>
    <phoneticPr fontId="3" type="noConversion"/>
  </si>
  <si>
    <t>改造后能效提升</t>
    <phoneticPr fontId="3" type="noConversion"/>
  </si>
  <si>
    <t>2016年标准节能</t>
    <phoneticPr fontId="3" type="noConversion"/>
  </si>
  <si>
    <r>
      <rPr>
        <b/>
        <sz val="11"/>
        <color theme="1"/>
        <rFont val="宋体"/>
        <family val="3"/>
        <charset val="134"/>
      </rPr>
      <t>部门</t>
    </r>
    <phoneticPr fontId="7" type="noConversion"/>
  </si>
  <si>
    <r>
      <rPr>
        <b/>
        <sz val="11"/>
        <color theme="1"/>
        <rFont val="宋体"/>
        <family val="3"/>
        <charset val="134"/>
      </rPr>
      <t>低碳路径</t>
    </r>
    <phoneticPr fontId="7" type="noConversion"/>
  </si>
  <si>
    <r>
      <rPr>
        <b/>
        <sz val="11"/>
        <color theme="1"/>
        <rFont val="宋体"/>
        <family val="3"/>
        <charset val="134"/>
      </rPr>
      <t>细分领域</t>
    </r>
    <phoneticPr fontId="7" type="noConversion"/>
  </si>
  <si>
    <t>设置依据</t>
    <phoneticPr fontId="7" type="noConversion"/>
  </si>
  <si>
    <t>建筑</t>
    <phoneticPr fontId="3" type="noConversion"/>
  </si>
  <si>
    <t>建筑被动式节能</t>
    <phoneticPr fontId="3" type="noConversion"/>
  </si>
  <si>
    <t>新建建筑能效提升</t>
    <phoneticPr fontId="3" type="noConversion"/>
  </si>
  <si>
    <t>既存建筑节能改造</t>
    <phoneticPr fontId="3" type="noConversion"/>
  </si>
  <si>
    <t>建筑设备节能</t>
    <phoneticPr fontId="3" type="noConversion"/>
  </si>
  <si>
    <t>家用设施能效提升</t>
    <phoneticPr fontId="3" type="noConversion"/>
  </si>
  <si>
    <t>零碳情景各类设施目标节能率</t>
  </si>
  <si>
    <t>到2030</t>
  </si>
  <si>
    <t>到2035</t>
  </si>
  <si>
    <t>到2040</t>
  </si>
  <si>
    <t>到2050</t>
  </si>
  <si>
    <t>城市住宅</t>
    <phoneticPr fontId="3" type="noConversion"/>
  </si>
  <si>
    <t>农村住宅</t>
    <phoneticPr fontId="3" type="noConversion"/>
  </si>
  <si>
    <t>可再生能源</t>
    <phoneticPr fontId="3" type="noConversion"/>
  </si>
  <si>
    <t>供暖</t>
    <phoneticPr fontId="3" type="noConversion"/>
  </si>
  <si>
    <t>appliance(热水器 烘干机 洗衣机 炊事)电气化率</t>
    <phoneticPr fontId="3" type="noConversion"/>
  </si>
  <si>
    <t>分布式供暖电气化</t>
    <phoneticPr fontId="3" type="noConversion"/>
  </si>
  <si>
    <t>heating(分布式供暖)电气化率</t>
    <phoneticPr fontId="3" type="noConversion"/>
  </si>
  <si>
    <t>备注：农村没有集中供暖，即热源无heat,所以其分母要小很多，所以电气化率高；公建案例集均为集中供暖</t>
    <phoneticPr fontId="3" type="noConversion"/>
  </si>
  <si>
    <t>到2060</t>
  </si>
  <si>
    <t>中立</t>
    <phoneticPr fontId="7" type="noConversion"/>
  </si>
  <si>
    <t>&lt;城乡建设领域碳达峰实施方案&gt;规定2030年全超低，对建筑本体已经非常激进，没有上升空间，故三版一样</t>
    <phoneticPr fontId="3" type="noConversion"/>
  </si>
  <si>
    <t>江亿《建筑运行用能低碳转型导论》、国家家电能效标准
三版一样</t>
    <phoneticPr fontId="3" type="noConversion"/>
  </si>
  <si>
    <t>偏重基础设施（建筑本体） 传统制造业 钢铁 水泥</t>
    <phoneticPr fontId="7" type="noConversion"/>
  </si>
  <si>
    <t>偏重能源系统和用能设施 高技术制造业</t>
    <phoneticPr fontId="7" type="noConversion"/>
  </si>
  <si>
    <t>请教专家
都是到2060年刚好改完40% 区别在于改造后的能效水平
超低能耗所使用的节能组件，比如高性能保温材料，高效能门窗等，也属于高技术制造业，故激进情景下改造后均为超低能耗</t>
    <phoneticPr fontId="3" type="noConversion"/>
  </si>
  <si>
    <t>江亿《建筑运行用能低碳转型导论》
中立情景2030年新建100%电气化，已经没有更激进的空间，故三版一样</t>
    <phoneticPr fontId="3" type="noConversion"/>
  </si>
  <si>
    <t>中立情景：江亿《建筑运行用能低碳转型导论》
已经没有更激进的空间，故三版一样</t>
    <phoneticPr fontId="3" type="noConversion"/>
  </si>
  <si>
    <t>请教专家
 中立情景2060年完全电气化
因为电气化供暖设备和组件也属于高技术制造，所以激进情景提升至2040年完全电气化</t>
    <phoneticPr fontId="3" type="noConversion"/>
  </si>
  <si>
    <t>中立情景2030年新建建筑100%电气化，已没有更激进空间，故三版一样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</si>
</sst>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16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5" tint="-0.249977111117893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/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3" borderId="0" xfId="0" applyFont="1" applyFill="1" applyAlignment="1"/>
    <xf numFmtId="0" fontId="0" fillId="0" borderId="0" xfId="0" applyAlignment="1"/>
    <xf numFmtId="0" fontId="0" fillId="0" borderId="0" xfId="0" applyAlignment="1">
      <alignment horizontal="left"/>
    </xf>
    <xf numFmtId="0" fontId="6" fillId="0" borderId="0" xfId="5" applyAlignment="1"/>
    <xf numFmtId="0" fontId="5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7" fontId="0" fillId="0" borderId="0" xfId="0" applyNumberFormat="1">
      <alignment vertical="center"/>
    </xf>
    <xf numFmtId="0" fontId="0" fillId="4" borderId="0" xfId="0" applyFill="1" applyAlignment="1">
      <alignment horizontal="center" vertical="center"/>
    </xf>
    <xf numFmtId="9" fontId="0" fillId="0" borderId="0" xfId="3" applyFont="1" applyBorder="1" applyAlignment="1">
      <alignment horizontal="center" vertical="center"/>
    </xf>
    <xf numFmtId="0" fontId="10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9" fontId="11" fillId="0" borderId="1" xfId="3" applyFont="1" applyBorder="1" applyAlignment="1">
      <alignment horizontal="center" vertical="center"/>
    </xf>
    <xf numFmtId="0" fontId="11" fillId="0" borderId="0" xfId="0" applyFont="1">
      <alignment vertical="center"/>
    </xf>
    <xf numFmtId="9" fontId="0" fillId="0" borderId="2" xfId="3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0" fontId="0" fillId="0" borderId="0" xfId="3" applyNumberFormat="1" applyFont="1" applyBorder="1" applyAlignment="1">
      <alignment horizontal="center" vertical="center"/>
    </xf>
    <xf numFmtId="9" fontId="0" fillId="0" borderId="0" xfId="3" applyFont="1" applyFill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0" fontId="9" fillId="0" borderId="0" xfId="0" applyFont="1" applyAlignment="1"/>
    <xf numFmtId="0" fontId="12" fillId="0" borderId="0" xfId="0" applyFont="1">
      <alignment vertical="center"/>
    </xf>
    <xf numFmtId="176" fontId="0" fillId="0" borderId="1" xfId="0" applyNumberFormat="1" applyBorder="1" applyAlignment="1">
      <alignment horizontal="right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/>
    <xf numFmtId="0" fontId="9" fillId="2" borderId="1" xfId="0" applyFont="1" applyFill="1" applyBorder="1" applyAlignment="1">
      <alignment horizontal="right"/>
    </xf>
    <xf numFmtId="177" fontId="0" fillId="0" borderId="1" xfId="3" applyNumberFormat="1" applyFont="1" applyBorder="1" applyAlignment="1">
      <alignment horizontal="center" vertical="center"/>
    </xf>
    <xf numFmtId="177" fontId="0" fillId="0" borderId="0" xfId="3" applyNumberFormat="1" applyFont="1" applyBorder="1" applyAlignment="1">
      <alignment horizontal="center" vertical="center"/>
    </xf>
    <xf numFmtId="176" fontId="0" fillId="0" borderId="0" xfId="0" applyNumberFormat="1" applyAlignment="1">
      <alignment horizontal="right"/>
    </xf>
    <xf numFmtId="176" fontId="12" fillId="0" borderId="0" xfId="0" applyNumberFormat="1" applyFont="1" applyAlignment="1">
      <alignment horizontal="right"/>
    </xf>
    <xf numFmtId="176" fontId="13" fillId="0" borderId="0" xfId="0" applyNumberFormat="1" applyFont="1" applyAlignment="1">
      <alignment horizontal="right"/>
    </xf>
    <xf numFmtId="0" fontId="9" fillId="2" borderId="4" xfId="0" applyFont="1" applyFill="1" applyBorder="1" applyAlignment="1">
      <alignment horizontal="right"/>
    </xf>
    <xf numFmtId="9" fontId="0" fillId="0" borderId="4" xfId="3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2" fontId="0" fillId="0" borderId="2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2" borderId="8" xfId="0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9" fontId="13" fillId="0" borderId="1" xfId="3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6">
    <cellStyle name="百分比" xfId="3" builtinId="5"/>
    <cellStyle name="常规" xfId="0" builtinId="0"/>
    <cellStyle name="常规 2" xfId="1" xr:uid="{DE9BD5D4-8A88-493A-B67C-90CB6C9A7165}"/>
    <cellStyle name="常规 2 2" xfId="4" xr:uid="{047662B0-6227-4D58-9AEE-D2C5B9D07055}"/>
    <cellStyle name="常规 4" xfId="2" xr:uid="{8E83BB6A-5CE1-4E90-9208-E2006A5EC919}"/>
    <cellStyle name="超链接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kns.cnki.net/kcms2/article/abstract?v=3uoqIhG8C44YLTlOAiTRKibYlV5Vjs7iLik5jEcCI09uHa3oBxtWoLXBqMuT2L2CQ_SDgkvzeuyHBRpPejPl_DToiZ2ygw3-&amp;uniplatform=NZK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BBC0-57BE-435E-90B8-7D19B051C1E3}">
  <dimension ref="A1:P43"/>
  <sheetViews>
    <sheetView tabSelected="1" workbookViewId="0">
      <selection activeCell="F11" sqref="F11"/>
    </sheetView>
  </sheetViews>
  <sheetFormatPr defaultRowHeight="13.5" x14ac:dyDescent="0.15"/>
  <cols>
    <col min="1" max="1" width="19.625" customWidth="1"/>
    <col min="2" max="2" width="18.625" customWidth="1"/>
    <col min="3" max="3" width="20.125" customWidth="1"/>
    <col min="4" max="4" width="27.875" customWidth="1"/>
    <col min="5" max="5" width="29.5" customWidth="1"/>
    <col min="6" max="7" width="17.25" customWidth="1"/>
    <col min="8" max="8" width="16.5" style="48" customWidth="1"/>
    <col min="9" max="9" width="29.5" style="48" customWidth="1"/>
    <col min="10" max="11" width="17.25" style="48" customWidth="1"/>
    <col min="12" max="12" width="16.5" style="48" customWidth="1"/>
    <col min="13" max="13" width="29.5" style="48" customWidth="1"/>
    <col min="14" max="15" width="17.25" style="48" customWidth="1"/>
    <col min="16" max="16" width="16.5" style="48" customWidth="1"/>
  </cols>
  <sheetData>
    <row r="1" spans="1:16" ht="14.25" x14ac:dyDescent="0.15">
      <c r="A1" s="46" t="s">
        <v>198</v>
      </c>
      <c r="B1" s="46" t="s">
        <v>199</v>
      </c>
      <c r="C1" s="46" t="s">
        <v>200</v>
      </c>
      <c r="D1" s="47" t="s">
        <v>201</v>
      </c>
      <c r="E1" s="77" t="s">
        <v>225</v>
      </c>
      <c r="F1" s="78"/>
      <c r="G1" s="78"/>
      <c r="H1" s="78"/>
      <c r="I1" s="75" t="s">
        <v>226</v>
      </c>
      <c r="J1" s="75"/>
      <c r="K1" s="75"/>
      <c r="L1" s="75"/>
      <c r="M1" s="75" t="s">
        <v>222</v>
      </c>
      <c r="N1" s="75"/>
      <c r="O1" s="75"/>
      <c r="P1" s="75"/>
    </row>
    <row r="2" spans="1:16" x14ac:dyDescent="0.15">
      <c r="A2" s="74" t="s">
        <v>202</v>
      </c>
      <c r="B2" s="74" t="s">
        <v>203</v>
      </c>
      <c r="C2" s="74" t="s">
        <v>204</v>
      </c>
      <c r="D2" s="76" t="s">
        <v>223</v>
      </c>
      <c r="E2" s="12"/>
      <c r="F2" s="11" t="s">
        <v>37</v>
      </c>
      <c r="G2" s="22" t="s">
        <v>38</v>
      </c>
      <c r="H2" s="11" t="s">
        <v>39</v>
      </c>
      <c r="I2" s="11"/>
      <c r="J2" s="11" t="s">
        <v>37</v>
      </c>
      <c r="K2" s="11" t="s">
        <v>38</v>
      </c>
      <c r="L2" s="11" t="s">
        <v>39</v>
      </c>
      <c r="M2" s="11"/>
      <c r="N2" s="11" t="s">
        <v>37</v>
      </c>
      <c r="O2" s="11" t="s">
        <v>38</v>
      </c>
      <c r="P2" s="11" t="s">
        <v>39</v>
      </c>
    </row>
    <row r="3" spans="1:16" x14ac:dyDescent="0.15">
      <c r="A3" s="74"/>
      <c r="B3" s="74"/>
      <c r="C3" s="74"/>
      <c r="D3" s="76"/>
      <c r="E3" s="45">
        <v>2022</v>
      </c>
      <c r="F3" s="14">
        <v>0</v>
      </c>
      <c r="G3" s="25">
        <v>1</v>
      </c>
      <c r="H3" s="14">
        <v>0</v>
      </c>
      <c r="I3" s="11">
        <v>2022</v>
      </c>
      <c r="J3" s="14">
        <v>0</v>
      </c>
      <c r="K3" s="14">
        <v>1</v>
      </c>
      <c r="L3" s="14">
        <v>0</v>
      </c>
      <c r="M3" s="11">
        <v>2022</v>
      </c>
      <c r="N3" s="14">
        <v>0</v>
      </c>
      <c r="O3" s="14">
        <v>1</v>
      </c>
      <c r="P3" s="14">
        <v>0</v>
      </c>
    </row>
    <row r="4" spans="1:16" x14ac:dyDescent="0.15">
      <c r="A4" s="74"/>
      <c r="B4" s="74"/>
      <c r="C4" s="74"/>
      <c r="D4" s="76"/>
      <c r="E4" s="45">
        <v>2025</v>
      </c>
      <c r="F4" s="14">
        <v>0</v>
      </c>
      <c r="G4" s="25">
        <v>0.6</v>
      </c>
      <c r="H4" s="14">
        <v>0.4</v>
      </c>
      <c r="I4" s="11">
        <v>2025</v>
      </c>
      <c r="J4" s="14">
        <v>0</v>
      </c>
      <c r="K4" s="14">
        <v>0.6</v>
      </c>
      <c r="L4" s="14">
        <v>0.4</v>
      </c>
      <c r="M4" s="11">
        <v>2025</v>
      </c>
      <c r="N4" s="14">
        <v>0</v>
      </c>
      <c r="O4" s="14">
        <v>0.6</v>
      </c>
      <c r="P4" s="14">
        <v>0.4</v>
      </c>
    </row>
    <row r="5" spans="1:16" x14ac:dyDescent="0.15">
      <c r="A5" s="74"/>
      <c r="B5" s="74"/>
      <c r="C5" s="74"/>
      <c r="D5" s="76"/>
      <c r="E5" s="45">
        <v>2030</v>
      </c>
      <c r="F5" s="14">
        <v>0</v>
      </c>
      <c r="G5" s="25">
        <v>0</v>
      </c>
      <c r="H5" s="14">
        <v>1</v>
      </c>
      <c r="I5" s="11">
        <v>2030</v>
      </c>
      <c r="J5" s="14">
        <v>0</v>
      </c>
      <c r="K5" s="14">
        <v>0</v>
      </c>
      <c r="L5" s="14">
        <v>1</v>
      </c>
      <c r="M5" s="11">
        <v>2030</v>
      </c>
      <c r="N5" s="14">
        <v>0</v>
      </c>
      <c r="O5" s="14">
        <v>0</v>
      </c>
      <c r="P5" s="14">
        <v>1</v>
      </c>
    </row>
    <row r="6" spans="1:16" x14ac:dyDescent="0.15">
      <c r="A6" s="74"/>
      <c r="B6" s="74"/>
      <c r="C6" s="74"/>
      <c r="D6" s="76"/>
      <c r="E6" s="45">
        <v>2035</v>
      </c>
      <c r="F6" s="14">
        <v>0</v>
      </c>
      <c r="G6" s="25">
        <v>0</v>
      </c>
      <c r="H6" s="14">
        <v>1</v>
      </c>
      <c r="I6" s="11">
        <v>2035</v>
      </c>
      <c r="J6" s="14">
        <v>0</v>
      </c>
      <c r="K6" s="14">
        <v>0</v>
      </c>
      <c r="L6" s="14">
        <v>1</v>
      </c>
      <c r="M6" s="11">
        <v>2035</v>
      </c>
      <c r="N6" s="14">
        <v>0</v>
      </c>
      <c r="O6" s="14">
        <v>0</v>
      </c>
      <c r="P6" s="14">
        <v>1</v>
      </c>
    </row>
    <row r="7" spans="1:16" x14ac:dyDescent="0.15">
      <c r="A7" s="74"/>
      <c r="B7" s="74"/>
      <c r="C7" s="74"/>
      <c r="D7" s="76"/>
      <c r="E7" s="45" t="s">
        <v>95</v>
      </c>
      <c r="F7" s="14">
        <v>0</v>
      </c>
      <c r="G7" s="25">
        <v>0</v>
      </c>
      <c r="H7" s="14">
        <v>1</v>
      </c>
      <c r="I7" s="11" t="s">
        <v>95</v>
      </c>
      <c r="J7" s="14">
        <v>0</v>
      </c>
      <c r="K7" s="14">
        <v>0</v>
      </c>
      <c r="L7" s="14">
        <v>1</v>
      </c>
      <c r="M7" s="11" t="s">
        <v>95</v>
      </c>
      <c r="N7" s="14">
        <v>0</v>
      </c>
      <c r="O7" s="14">
        <v>0</v>
      </c>
      <c r="P7" s="14">
        <v>1</v>
      </c>
    </row>
    <row r="8" spans="1:16" x14ac:dyDescent="0.15">
      <c r="A8" s="74"/>
      <c r="B8" s="74"/>
      <c r="C8" s="74" t="s">
        <v>205</v>
      </c>
      <c r="D8" s="79" t="s">
        <v>227</v>
      </c>
      <c r="E8" s="12"/>
      <c r="F8" s="11" t="s">
        <v>108</v>
      </c>
      <c r="G8" s="22" t="s">
        <v>16</v>
      </c>
      <c r="H8" s="11" t="s">
        <v>196</v>
      </c>
      <c r="I8" s="11"/>
      <c r="J8" s="11" t="s">
        <v>108</v>
      </c>
      <c r="K8" s="11" t="s">
        <v>16</v>
      </c>
      <c r="L8" s="11" t="s">
        <v>196</v>
      </c>
      <c r="M8" s="11"/>
      <c r="N8" s="11" t="s">
        <v>108</v>
      </c>
      <c r="O8" s="11" t="s">
        <v>16</v>
      </c>
      <c r="P8" s="11" t="s">
        <v>196</v>
      </c>
    </row>
    <row r="9" spans="1:16" x14ac:dyDescent="0.15">
      <c r="A9" s="74"/>
      <c r="B9" s="74"/>
      <c r="C9" s="74"/>
      <c r="D9" s="80"/>
      <c r="E9" s="45" t="s">
        <v>194</v>
      </c>
      <c r="F9" s="31">
        <f>0.4/38</f>
        <v>1.0526315789473684E-2</v>
      </c>
      <c r="G9" s="25" t="s">
        <v>197</v>
      </c>
      <c r="H9" s="14">
        <v>0.65</v>
      </c>
      <c r="I9" s="11" t="s">
        <v>194</v>
      </c>
      <c r="J9" s="31">
        <f>0.4/38</f>
        <v>1.0526315789473684E-2</v>
      </c>
      <c r="K9" s="25" t="s">
        <v>22</v>
      </c>
      <c r="L9" s="14">
        <v>0.65</v>
      </c>
      <c r="M9" s="11" t="s">
        <v>194</v>
      </c>
      <c r="N9" s="31">
        <f>0.4/38</f>
        <v>1.0526315789473684E-2</v>
      </c>
      <c r="O9" s="25" t="s">
        <v>197</v>
      </c>
      <c r="P9" s="14">
        <v>0.65</v>
      </c>
    </row>
    <row r="10" spans="1:16" x14ac:dyDescent="0.15">
      <c r="A10" s="74"/>
      <c r="B10" s="74"/>
      <c r="C10" s="74"/>
      <c r="D10" s="80"/>
      <c r="E10" s="45" t="s">
        <v>195</v>
      </c>
      <c r="F10" s="31">
        <f>0.4/38</f>
        <v>1.0526315789473684E-2</v>
      </c>
      <c r="G10" s="25" t="s">
        <v>124</v>
      </c>
      <c r="H10" s="14">
        <v>0.69</v>
      </c>
      <c r="I10" s="11" t="s">
        <v>195</v>
      </c>
      <c r="J10" s="31">
        <f>0.4/38</f>
        <v>1.0526315789473684E-2</v>
      </c>
      <c r="K10" s="25" t="s">
        <v>22</v>
      </c>
      <c r="L10" s="14">
        <v>0.69</v>
      </c>
      <c r="M10" s="11" t="s">
        <v>195</v>
      </c>
      <c r="N10" s="31">
        <f>0.4/38</f>
        <v>1.0526315789473684E-2</v>
      </c>
      <c r="O10" s="25" t="s">
        <v>124</v>
      </c>
      <c r="P10" s="14">
        <v>0.69</v>
      </c>
    </row>
    <row r="11" spans="1:16" ht="91.5" customHeight="1" x14ac:dyDescent="0.15">
      <c r="A11" s="74"/>
      <c r="B11" s="74"/>
      <c r="C11" s="74"/>
      <c r="D11" s="80"/>
      <c r="E11" s="45" t="s">
        <v>95</v>
      </c>
      <c r="F11" s="31">
        <f>0.4/38</f>
        <v>1.0526315789473684E-2</v>
      </c>
      <c r="G11" s="25" t="s">
        <v>22</v>
      </c>
      <c r="H11" s="14">
        <v>0.78</v>
      </c>
      <c r="I11" s="11" t="s">
        <v>95</v>
      </c>
      <c r="J11" s="31">
        <f>0.4/38</f>
        <v>1.0526315789473684E-2</v>
      </c>
      <c r="K11" s="25" t="s">
        <v>22</v>
      </c>
      <c r="L11" s="14">
        <v>0.78</v>
      </c>
      <c r="M11" s="11" t="s">
        <v>95</v>
      </c>
      <c r="N11" s="31">
        <f>0.4/38</f>
        <v>1.0526315789473684E-2</v>
      </c>
      <c r="O11" s="25" t="s">
        <v>22</v>
      </c>
      <c r="P11" s="14">
        <v>0.78</v>
      </c>
    </row>
    <row r="12" spans="1:16" x14ac:dyDescent="0.15">
      <c r="A12" s="74"/>
      <c r="B12" s="68" t="s">
        <v>206</v>
      </c>
      <c r="C12" s="74" t="s">
        <v>207</v>
      </c>
      <c r="D12" s="79" t="s">
        <v>224</v>
      </c>
      <c r="E12" s="45" t="s">
        <v>208</v>
      </c>
      <c r="F12" s="11" t="s">
        <v>172</v>
      </c>
      <c r="G12" s="22" t="s">
        <v>173</v>
      </c>
      <c r="H12" s="11" t="s">
        <v>174</v>
      </c>
      <c r="I12" s="11" t="s">
        <v>208</v>
      </c>
      <c r="J12" s="11" t="s">
        <v>172</v>
      </c>
      <c r="K12" s="11" t="s">
        <v>173</v>
      </c>
      <c r="L12" s="11" t="s">
        <v>174</v>
      </c>
      <c r="M12" s="11" t="s">
        <v>208</v>
      </c>
      <c r="N12" s="11" t="s">
        <v>172</v>
      </c>
      <c r="O12" s="11" t="s">
        <v>173</v>
      </c>
      <c r="P12" s="11" t="s">
        <v>174</v>
      </c>
    </row>
    <row r="13" spans="1:16" x14ac:dyDescent="0.15">
      <c r="A13" s="74"/>
      <c r="B13" s="69"/>
      <c r="C13" s="74"/>
      <c r="D13" s="79"/>
      <c r="E13" s="45" t="s">
        <v>154</v>
      </c>
      <c r="F13" s="4">
        <v>0.41299885974914474</v>
      </c>
      <c r="G13" s="49">
        <v>0.41299885974914474</v>
      </c>
      <c r="H13" s="4">
        <v>0.41299885974914474</v>
      </c>
      <c r="I13" s="11" t="s">
        <v>154</v>
      </c>
      <c r="J13" s="4">
        <v>0.41299885974914474</v>
      </c>
      <c r="K13" s="4">
        <v>0.41299885974914474</v>
      </c>
      <c r="L13" s="4">
        <v>0.41299885974914474</v>
      </c>
      <c r="M13" s="11" t="s">
        <v>154</v>
      </c>
      <c r="N13" s="4">
        <v>0.41299885974914474</v>
      </c>
      <c r="O13" s="4">
        <v>0.41299885974914474</v>
      </c>
      <c r="P13" s="4">
        <v>0.41299885974914474</v>
      </c>
    </row>
    <row r="14" spans="1:16" x14ac:dyDescent="0.15">
      <c r="A14" s="74"/>
      <c r="B14" s="69"/>
      <c r="C14" s="74"/>
      <c r="D14" s="79"/>
      <c r="E14" s="45" t="s">
        <v>155</v>
      </c>
      <c r="F14" s="4">
        <v>0.4628990509059534</v>
      </c>
      <c r="G14" s="49">
        <v>0.4628990509059534</v>
      </c>
      <c r="H14" s="4">
        <v>0.4628990509059534</v>
      </c>
      <c r="I14" s="11" t="s">
        <v>155</v>
      </c>
      <c r="J14" s="4">
        <v>0.4628990509059534</v>
      </c>
      <c r="K14" s="4">
        <v>0.4628990509059534</v>
      </c>
      <c r="L14" s="4">
        <v>0.4628990509059534</v>
      </c>
      <c r="M14" s="11" t="s">
        <v>155</v>
      </c>
      <c r="N14" s="4">
        <v>0.4628990509059534</v>
      </c>
      <c r="O14" s="4">
        <v>0.4628990509059534</v>
      </c>
      <c r="P14" s="4">
        <v>0.4628990509059534</v>
      </c>
    </row>
    <row r="15" spans="1:16" x14ac:dyDescent="0.15">
      <c r="A15" s="74"/>
      <c r="B15" s="69"/>
      <c r="C15" s="74"/>
      <c r="D15" s="79"/>
      <c r="E15" s="45" t="s">
        <v>156</v>
      </c>
      <c r="F15" s="4">
        <v>0.37921828369270927</v>
      </c>
      <c r="G15" s="49">
        <v>0.37921828369270927</v>
      </c>
      <c r="H15" s="4">
        <v>0.2857142857142857</v>
      </c>
      <c r="I15" s="11" t="s">
        <v>156</v>
      </c>
      <c r="J15" s="4">
        <v>0.37921828369270927</v>
      </c>
      <c r="K15" s="4">
        <v>0.37921828369270927</v>
      </c>
      <c r="L15" s="4">
        <v>0.2857142857142857</v>
      </c>
      <c r="M15" s="11" t="s">
        <v>156</v>
      </c>
      <c r="N15" s="4">
        <v>0.37921828369270927</v>
      </c>
      <c r="O15" s="4">
        <v>0.37921828369270927</v>
      </c>
      <c r="P15" s="4">
        <v>0.2857142857142857</v>
      </c>
    </row>
    <row r="16" spans="1:16" x14ac:dyDescent="0.15">
      <c r="A16" s="74"/>
      <c r="B16" s="69"/>
      <c r="C16" s="74"/>
      <c r="D16" s="79"/>
      <c r="E16" s="45" t="s">
        <v>157</v>
      </c>
      <c r="F16" s="4">
        <v>0.49090909090909096</v>
      </c>
      <c r="G16" s="49">
        <v>0.49090909090909096</v>
      </c>
      <c r="H16" s="4">
        <v>0.49090909090909096</v>
      </c>
      <c r="I16" s="11" t="s">
        <v>157</v>
      </c>
      <c r="J16" s="4">
        <v>0.49090909090909096</v>
      </c>
      <c r="K16" s="4">
        <v>0.49090909090909096</v>
      </c>
      <c r="L16" s="4">
        <v>0.49090909090909096</v>
      </c>
      <c r="M16" s="11" t="s">
        <v>157</v>
      </c>
      <c r="N16" s="4">
        <v>0.49090909090909096</v>
      </c>
      <c r="O16" s="4">
        <v>0.49090909090909096</v>
      </c>
      <c r="P16" s="4">
        <v>0.49090909090909096</v>
      </c>
    </row>
    <row r="17" spans="1:16" x14ac:dyDescent="0.15">
      <c r="A17" s="74"/>
      <c r="B17" s="69"/>
      <c r="C17" s="74"/>
      <c r="D17" s="79"/>
      <c r="E17" s="45" t="s">
        <v>158</v>
      </c>
      <c r="F17" s="4">
        <v>0.12808623533067232</v>
      </c>
      <c r="G17" s="49">
        <v>0.12808623533067232</v>
      </c>
      <c r="H17" s="4">
        <v>0.12808623533067232</v>
      </c>
      <c r="I17" s="11" t="s">
        <v>158</v>
      </c>
      <c r="J17" s="4">
        <v>0.12808623533067232</v>
      </c>
      <c r="K17" s="4">
        <v>0.12808623533067232</v>
      </c>
      <c r="L17" s="4">
        <v>0.12808623533067232</v>
      </c>
      <c r="M17" s="11" t="s">
        <v>158</v>
      </c>
      <c r="N17" s="4">
        <v>0.12808623533067232</v>
      </c>
      <c r="O17" s="4">
        <v>0.12808623533067232</v>
      </c>
      <c r="P17" s="4">
        <v>0.12808623533067232</v>
      </c>
    </row>
    <row r="18" spans="1:16" x14ac:dyDescent="0.15">
      <c r="A18" s="74"/>
      <c r="B18" s="69"/>
      <c r="C18" s="74"/>
      <c r="D18" s="79"/>
      <c r="E18" s="45" t="s">
        <v>159</v>
      </c>
      <c r="F18" s="4">
        <v>0</v>
      </c>
      <c r="G18" s="49">
        <v>0</v>
      </c>
      <c r="H18" s="4">
        <v>0</v>
      </c>
      <c r="I18" s="11" t="s">
        <v>159</v>
      </c>
      <c r="J18" s="4">
        <v>0</v>
      </c>
      <c r="K18" s="4">
        <v>0</v>
      </c>
      <c r="L18" s="4">
        <v>0</v>
      </c>
      <c r="M18" s="11" t="s">
        <v>159</v>
      </c>
      <c r="N18" s="4">
        <v>0</v>
      </c>
      <c r="O18" s="4">
        <v>0</v>
      </c>
      <c r="P18" s="4">
        <v>0</v>
      </c>
    </row>
    <row r="19" spans="1:16" ht="27" x14ac:dyDescent="0.15">
      <c r="A19" s="74"/>
      <c r="B19" s="69"/>
      <c r="C19" s="65" t="s">
        <v>34</v>
      </c>
      <c r="D19" s="71" t="s">
        <v>228</v>
      </c>
      <c r="E19" s="53" t="s">
        <v>217</v>
      </c>
      <c r="F19" s="54" t="s">
        <v>27</v>
      </c>
      <c r="G19" s="55" t="s">
        <v>213</v>
      </c>
      <c r="H19" s="54" t="s">
        <v>214</v>
      </c>
      <c r="I19" s="56" t="s">
        <v>217</v>
      </c>
      <c r="J19" s="54" t="s">
        <v>27</v>
      </c>
      <c r="K19" s="54" t="s">
        <v>213</v>
      </c>
      <c r="L19" s="54" t="s">
        <v>214</v>
      </c>
      <c r="M19" s="56" t="s">
        <v>217</v>
      </c>
      <c r="N19" s="54" t="s">
        <v>27</v>
      </c>
      <c r="O19" s="54" t="s">
        <v>213</v>
      </c>
      <c r="P19" s="54" t="s">
        <v>214</v>
      </c>
    </row>
    <row r="20" spans="1:16" x14ac:dyDescent="0.15">
      <c r="A20" s="74"/>
      <c r="B20" s="69"/>
      <c r="C20" s="66"/>
      <c r="D20" s="72"/>
      <c r="E20" s="57">
        <v>2022</v>
      </c>
      <c r="F20" s="58">
        <v>0.67400000000000004</v>
      </c>
      <c r="G20" s="59">
        <v>0.54800000000000004</v>
      </c>
      <c r="H20" s="58">
        <v>0.50900000000000001</v>
      </c>
      <c r="I20" s="54">
        <v>2022</v>
      </c>
      <c r="J20" s="58">
        <v>0.67400000000000004</v>
      </c>
      <c r="K20" s="58">
        <v>0.54800000000000004</v>
      </c>
      <c r="L20" s="58">
        <v>0.50900000000000001</v>
      </c>
      <c r="M20" s="54">
        <v>2022</v>
      </c>
      <c r="N20" s="58">
        <v>0.67400000000000004</v>
      </c>
      <c r="O20" s="58">
        <v>0.54800000000000004</v>
      </c>
      <c r="P20" s="58">
        <v>0.50900000000000001</v>
      </c>
    </row>
    <row r="21" spans="1:16" x14ac:dyDescent="0.15">
      <c r="A21" s="74"/>
      <c r="B21" s="69"/>
      <c r="C21" s="66"/>
      <c r="D21" s="72"/>
      <c r="E21" s="57" t="s">
        <v>209</v>
      </c>
      <c r="F21" s="58">
        <v>1</v>
      </c>
      <c r="G21" s="58">
        <v>1</v>
      </c>
      <c r="H21" s="58">
        <v>1</v>
      </c>
      <c r="I21" s="54" t="s">
        <v>209</v>
      </c>
      <c r="J21" s="58">
        <v>1</v>
      </c>
      <c r="K21" s="58">
        <v>1</v>
      </c>
      <c r="L21" s="58">
        <v>1</v>
      </c>
      <c r="M21" s="54" t="s">
        <v>209</v>
      </c>
      <c r="N21" s="58">
        <v>1</v>
      </c>
      <c r="O21" s="58">
        <v>1</v>
      </c>
      <c r="P21" s="58">
        <v>1</v>
      </c>
    </row>
    <row r="22" spans="1:16" x14ac:dyDescent="0.15">
      <c r="A22" s="74"/>
      <c r="B22" s="69"/>
      <c r="C22" s="66"/>
      <c r="D22" s="72"/>
      <c r="E22" s="57" t="s">
        <v>210</v>
      </c>
      <c r="F22" s="58">
        <v>1</v>
      </c>
      <c r="G22" s="58">
        <v>1</v>
      </c>
      <c r="H22" s="58">
        <v>1</v>
      </c>
      <c r="I22" s="54" t="s">
        <v>210</v>
      </c>
      <c r="J22" s="58">
        <v>1</v>
      </c>
      <c r="K22" s="58">
        <v>1</v>
      </c>
      <c r="L22" s="58">
        <v>1</v>
      </c>
      <c r="M22" s="54" t="s">
        <v>210</v>
      </c>
      <c r="N22" s="58">
        <v>1</v>
      </c>
      <c r="O22" s="58">
        <v>1</v>
      </c>
      <c r="P22" s="58">
        <v>1</v>
      </c>
    </row>
    <row r="23" spans="1:16" x14ac:dyDescent="0.15">
      <c r="A23" s="74"/>
      <c r="B23" s="69"/>
      <c r="C23" s="66"/>
      <c r="D23" s="72"/>
      <c r="E23" s="57" t="s">
        <v>211</v>
      </c>
      <c r="F23" s="58">
        <v>1</v>
      </c>
      <c r="G23" s="58">
        <v>1</v>
      </c>
      <c r="H23" s="58">
        <v>1</v>
      </c>
      <c r="I23" s="54" t="s">
        <v>211</v>
      </c>
      <c r="J23" s="58">
        <v>1</v>
      </c>
      <c r="K23" s="58">
        <v>1</v>
      </c>
      <c r="L23" s="58">
        <v>1</v>
      </c>
      <c r="M23" s="54" t="s">
        <v>211</v>
      </c>
      <c r="N23" s="58">
        <v>1</v>
      </c>
      <c r="O23" s="58">
        <v>1</v>
      </c>
      <c r="P23" s="58">
        <v>1</v>
      </c>
    </row>
    <row r="24" spans="1:16" x14ac:dyDescent="0.15">
      <c r="A24" s="74"/>
      <c r="B24" s="69"/>
      <c r="C24" s="66"/>
      <c r="D24" s="72"/>
      <c r="E24" s="57" t="s">
        <v>212</v>
      </c>
      <c r="F24" s="58">
        <v>1</v>
      </c>
      <c r="G24" s="58">
        <v>1</v>
      </c>
      <c r="H24" s="58">
        <v>1</v>
      </c>
      <c r="I24" s="54" t="s">
        <v>212</v>
      </c>
      <c r="J24" s="58">
        <v>1</v>
      </c>
      <c r="K24" s="58">
        <v>1</v>
      </c>
      <c r="L24" s="58">
        <v>1</v>
      </c>
      <c r="M24" s="54" t="s">
        <v>212</v>
      </c>
      <c r="N24" s="58">
        <v>1</v>
      </c>
      <c r="O24" s="58">
        <v>1</v>
      </c>
      <c r="P24" s="58">
        <v>1</v>
      </c>
    </row>
    <row r="25" spans="1:16" x14ac:dyDescent="0.15">
      <c r="A25" s="74"/>
      <c r="B25" s="70"/>
      <c r="C25" s="67"/>
      <c r="D25" s="73"/>
      <c r="E25" s="57" t="s">
        <v>221</v>
      </c>
      <c r="F25" s="58">
        <v>1</v>
      </c>
      <c r="G25" s="58">
        <v>1</v>
      </c>
      <c r="H25" s="58">
        <v>1</v>
      </c>
      <c r="I25" s="54" t="s">
        <v>221</v>
      </c>
      <c r="J25" s="58">
        <v>1</v>
      </c>
      <c r="K25" s="58">
        <v>1</v>
      </c>
      <c r="L25" s="58">
        <v>1</v>
      </c>
      <c r="M25" s="54" t="s">
        <v>221</v>
      </c>
      <c r="N25" s="58">
        <v>1</v>
      </c>
      <c r="O25" s="58">
        <v>1</v>
      </c>
      <c r="P25" s="58">
        <v>1</v>
      </c>
    </row>
    <row r="26" spans="1:16" x14ac:dyDescent="0.15">
      <c r="A26" s="74"/>
      <c r="B26" s="74" t="s">
        <v>215</v>
      </c>
      <c r="C26" s="74" t="s">
        <v>32</v>
      </c>
      <c r="D26" s="79" t="s">
        <v>229</v>
      </c>
      <c r="E26" s="12"/>
      <c r="F26" s="11" t="s">
        <v>131</v>
      </c>
      <c r="G26" s="22" t="s">
        <v>132</v>
      </c>
      <c r="H26" s="11" t="s">
        <v>133</v>
      </c>
      <c r="I26" s="11"/>
      <c r="J26" s="11" t="s">
        <v>131</v>
      </c>
      <c r="K26" s="11" t="s">
        <v>132</v>
      </c>
      <c r="L26" s="11" t="s">
        <v>133</v>
      </c>
      <c r="M26" s="11"/>
      <c r="N26" s="11" t="s">
        <v>131</v>
      </c>
      <c r="O26" s="11" t="s">
        <v>132</v>
      </c>
      <c r="P26" s="11" t="s">
        <v>133</v>
      </c>
    </row>
    <row r="27" spans="1:16" x14ac:dyDescent="0.15">
      <c r="A27" s="74"/>
      <c r="B27" s="74"/>
      <c r="C27" s="74"/>
      <c r="D27" s="79"/>
      <c r="E27" s="45">
        <v>2022</v>
      </c>
      <c r="F27" s="14" t="s">
        <v>134</v>
      </c>
      <c r="G27" s="14" t="s">
        <v>145</v>
      </c>
      <c r="H27" s="14" t="s">
        <v>146</v>
      </c>
      <c r="I27" s="11">
        <v>2022</v>
      </c>
      <c r="J27" s="14" t="s">
        <v>134</v>
      </c>
      <c r="K27" s="14" t="s">
        <v>145</v>
      </c>
      <c r="L27" s="14" t="s">
        <v>146</v>
      </c>
      <c r="M27" s="11">
        <v>2022</v>
      </c>
      <c r="N27" s="14" t="s">
        <v>134</v>
      </c>
      <c r="O27" s="14" t="s">
        <v>145</v>
      </c>
      <c r="P27" s="14" t="s">
        <v>146</v>
      </c>
    </row>
    <row r="28" spans="1:16" x14ac:dyDescent="0.15">
      <c r="A28" s="74"/>
      <c r="B28" s="74"/>
      <c r="C28" s="74"/>
      <c r="D28" s="79"/>
      <c r="E28" s="45">
        <v>2030</v>
      </c>
      <c r="F28" s="28" t="s">
        <v>135</v>
      </c>
      <c r="G28" s="28" t="s">
        <v>136</v>
      </c>
      <c r="H28" s="28" t="s">
        <v>136</v>
      </c>
      <c r="I28" s="11">
        <v>2030</v>
      </c>
      <c r="J28" s="28" t="s">
        <v>135</v>
      </c>
      <c r="K28" s="28" t="s">
        <v>136</v>
      </c>
      <c r="L28" s="28" t="s">
        <v>136</v>
      </c>
      <c r="M28" s="11">
        <v>2030</v>
      </c>
      <c r="N28" s="28" t="s">
        <v>135</v>
      </c>
      <c r="O28" s="28" t="s">
        <v>136</v>
      </c>
      <c r="P28" s="28" t="s">
        <v>136</v>
      </c>
    </row>
    <row r="29" spans="1:16" x14ac:dyDescent="0.15">
      <c r="A29" s="74"/>
      <c r="B29" s="74"/>
      <c r="C29" s="74"/>
      <c r="D29" s="79"/>
      <c r="E29" s="45">
        <v>2060</v>
      </c>
      <c r="F29" s="14" t="s">
        <v>137</v>
      </c>
      <c r="G29" s="14" t="s">
        <v>138</v>
      </c>
      <c r="H29" s="14" t="s">
        <v>139</v>
      </c>
      <c r="I29" s="11">
        <v>2060</v>
      </c>
      <c r="J29" s="14" t="s">
        <v>137</v>
      </c>
      <c r="K29" s="14" t="s">
        <v>138</v>
      </c>
      <c r="L29" s="14" t="s">
        <v>139</v>
      </c>
      <c r="M29" s="11">
        <v>2060</v>
      </c>
      <c r="N29" s="14" t="s">
        <v>137</v>
      </c>
      <c r="O29" s="14" t="s">
        <v>138</v>
      </c>
      <c r="P29" s="14" t="s">
        <v>139</v>
      </c>
    </row>
    <row r="30" spans="1:16" x14ac:dyDescent="0.15">
      <c r="A30" s="74" t="s">
        <v>216</v>
      </c>
      <c r="B30" s="74" t="s">
        <v>215</v>
      </c>
      <c r="C30" s="64" t="s">
        <v>33</v>
      </c>
      <c r="D30" s="62" t="s">
        <v>230</v>
      </c>
      <c r="E30" s="54" t="s">
        <v>107</v>
      </c>
      <c r="F30" s="54" t="s">
        <v>111</v>
      </c>
      <c r="G30" s="54" t="s">
        <v>112</v>
      </c>
      <c r="H30" s="60"/>
      <c r="I30" s="54" t="s">
        <v>107</v>
      </c>
      <c r="J30" s="54" t="s">
        <v>111</v>
      </c>
      <c r="K30" s="54" t="s">
        <v>112</v>
      </c>
      <c r="L30" s="60"/>
      <c r="M30" s="54" t="s">
        <v>107</v>
      </c>
      <c r="N30" s="54" t="s">
        <v>111</v>
      </c>
      <c r="O30" s="54" t="s">
        <v>112</v>
      </c>
      <c r="P30" s="60"/>
    </row>
    <row r="31" spans="1:16" x14ac:dyDescent="0.15">
      <c r="A31" s="74"/>
      <c r="B31" s="74"/>
      <c r="C31" s="64"/>
      <c r="D31" s="63"/>
      <c r="E31" s="54">
        <v>2020</v>
      </c>
      <c r="F31" s="61">
        <v>0.13</v>
      </c>
      <c r="G31" s="61">
        <v>0.87</v>
      </c>
      <c r="H31" s="60"/>
      <c r="I31" s="54">
        <v>2020</v>
      </c>
      <c r="J31" s="61">
        <v>0.13</v>
      </c>
      <c r="K31" s="61">
        <v>0.87</v>
      </c>
      <c r="L31" s="60"/>
      <c r="M31" s="54">
        <v>2020</v>
      </c>
      <c r="N31" s="61">
        <v>0.13</v>
      </c>
      <c r="O31" s="61">
        <v>0.87</v>
      </c>
      <c r="P31" s="60"/>
    </row>
    <row r="32" spans="1:16" x14ac:dyDescent="0.15">
      <c r="A32" s="74"/>
      <c r="B32" s="74"/>
      <c r="C32" s="64"/>
      <c r="D32" s="63"/>
      <c r="E32" s="54" t="s">
        <v>113</v>
      </c>
      <c r="F32" s="61">
        <v>0.28000000000000003</v>
      </c>
      <c r="G32" s="61">
        <v>0.72</v>
      </c>
      <c r="H32" s="60"/>
      <c r="I32" s="54" t="s">
        <v>113</v>
      </c>
      <c r="J32" s="61">
        <v>0.5</v>
      </c>
      <c r="K32" s="61">
        <v>0.5</v>
      </c>
      <c r="L32" s="60"/>
      <c r="M32" s="54" t="s">
        <v>113</v>
      </c>
      <c r="N32" s="61">
        <v>0.28000000000000003</v>
      </c>
      <c r="O32" s="61">
        <v>0.72</v>
      </c>
      <c r="P32" s="60"/>
    </row>
    <row r="33" spans="1:16" x14ac:dyDescent="0.15">
      <c r="A33" s="74"/>
      <c r="B33" s="74"/>
      <c r="C33" s="64"/>
      <c r="D33" s="63"/>
      <c r="E33" s="54" t="s">
        <v>119</v>
      </c>
      <c r="F33" s="61">
        <v>0.5</v>
      </c>
      <c r="G33" s="61">
        <v>0.5</v>
      </c>
      <c r="H33" s="60"/>
      <c r="I33" s="54" t="s">
        <v>119</v>
      </c>
      <c r="J33" s="61">
        <v>1</v>
      </c>
      <c r="K33" s="61">
        <v>0</v>
      </c>
      <c r="L33" s="60"/>
      <c r="M33" s="54" t="s">
        <v>119</v>
      </c>
      <c r="N33" s="61">
        <v>0.5</v>
      </c>
      <c r="O33" s="61">
        <v>0.5</v>
      </c>
      <c r="P33" s="60"/>
    </row>
    <row r="34" spans="1:16" x14ac:dyDescent="0.15">
      <c r="A34" s="74"/>
      <c r="B34" s="74"/>
      <c r="C34" s="64"/>
      <c r="D34" s="63"/>
      <c r="E34" s="54" t="s">
        <v>120</v>
      </c>
      <c r="F34" s="61">
        <v>0.8</v>
      </c>
      <c r="G34" s="61">
        <v>0.2</v>
      </c>
      <c r="H34" s="60"/>
      <c r="I34" s="54" t="s">
        <v>120</v>
      </c>
      <c r="J34" s="61">
        <v>1</v>
      </c>
      <c r="K34" s="61">
        <v>0</v>
      </c>
      <c r="L34" s="60"/>
      <c r="M34" s="54" t="s">
        <v>120</v>
      </c>
      <c r="N34" s="61">
        <v>0.8</v>
      </c>
      <c r="O34" s="61">
        <v>0.2</v>
      </c>
      <c r="P34" s="60"/>
    </row>
    <row r="35" spans="1:16" x14ac:dyDescent="0.15">
      <c r="A35" s="74"/>
      <c r="B35" s="74"/>
      <c r="C35" s="64"/>
      <c r="D35" s="63"/>
      <c r="E35" s="54" t="s">
        <v>114</v>
      </c>
      <c r="F35" s="61">
        <v>1</v>
      </c>
      <c r="G35" s="61">
        <v>0</v>
      </c>
      <c r="H35" s="60"/>
      <c r="I35" s="54" t="s">
        <v>114</v>
      </c>
      <c r="J35" s="61">
        <v>1</v>
      </c>
      <c r="K35" s="61">
        <v>0</v>
      </c>
      <c r="L35" s="60"/>
      <c r="M35" s="54" t="s">
        <v>114</v>
      </c>
      <c r="N35" s="61">
        <v>1</v>
      </c>
      <c r="O35" s="61">
        <v>0</v>
      </c>
      <c r="P35" s="60"/>
    </row>
    <row r="36" spans="1:16" x14ac:dyDescent="0.15">
      <c r="A36" s="74"/>
      <c r="B36" s="74"/>
      <c r="C36" s="74" t="s">
        <v>218</v>
      </c>
      <c r="D36" s="76" t="s">
        <v>231</v>
      </c>
      <c r="E36" s="16" t="s">
        <v>219</v>
      </c>
      <c r="F36" s="11" t="s">
        <v>27</v>
      </c>
      <c r="G36" s="11" t="s">
        <v>213</v>
      </c>
      <c r="H36" s="11" t="s">
        <v>214</v>
      </c>
      <c r="I36" s="16" t="s">
        <v>219</v>
      </c>
      <c r="J36" s="11" t="s">
        <v>27</v>
      </c>
      <c r="K36" s="11" t="s">
        <v>213</v>
      </c>
      <c r="L36" s="11" t="s">
        <v>214</v>
      </c>
      <c r="M36" s="16" t="s">
        <v>219</v>
      </c>
      <c r="N36" s="11" t="s">
        <v>27</v>
      </c>
      <c r="O36" s="11" t="s">
        <v>213</v>
      </c>
      <c r="P36" s="11" t="s">
        <v>214</v>
      </c>
    </row>
    <row r="37" spans="1:16" x14ac:dyDescent="0.15">
      <c r="A37" s="74"/>
      <c r="B37" s="74"/>
      <c r="C37" s="74"/>
      <c r="D37" s="76"/>
      <c r="E37" s="11">
        <v>2022</v>
      </c>
      <c r="F37" s="38">
        <v>0</v>
      </c>
      <c r="G37" s="38">
        <v>9.6000000000000002E-2</v>
      </c>
      <c r="H37" s="38">
        <v>0.34</v>
      </c>
      <c r="I37" s="11">
        <v>2022</v>
      </c>
      <c r="J37" s="38">
        <v>0</v>
      </c>
      <c r="K37" s="38">
        <v>9.6000000000000002E-2</v>
      </c>
      <c r="L37" s="38">
        <v>0.34</v>
      </c>
      <c r="M37" s="11">
        <v>2022</v>
      </c>
      <c r="N37" s="38">
        <v>0</v>
      </c>
      <c r="O37" s="38">
        <v>9.6000000000000002E-2</v>
      </c>
      <c r="P37" s="38">
        <v>0.34</v>
      </c>
    </row>
    <row r="38" spans="1:16" x14ac:dyDescent="0.15">
      <c r="A38" s="74"/>
      <c r="B38" s="74"/>
      <c r="C38" s="74"/>
      <c r="D38" s="76"/>
      <c r="E38" s="11" t="s">
        <v>209</v>
      </c>
      <c r="F38" s="38">
        <v>1</v>
      </c>
      <c r="G38" s="38">
        <v>1</v>
      </c>
      <c r="H38" s="38">
        <v>1</v>
      </c>
      <c r="I38" s="11" t="s">
        <v>209</v>
      </c>
      <c r="J38" s="38">
        <v>1</v>
      </c>
      <c r="K38" s="38">
        <v>1</v>
      </c>
      <c r="L38" s="38">
        <v>1</v>
      </c>
      <c r="M38" s="11" t="s">
        <v>209</v>
      </c>
      <c r="N38" s="38">
        <v>1</v>
      </c>
      <c r="O38" s="38">
        <v>1</v>
      </c>
      <c r="P38" s="38">
        <v>1</v>
      </c>
    </row>
    <row r="39" spans="1:16" x14ac:dyDescent="0.15">
      <c r="A39" s="74"/>
      <c r="B39" s="74"/>
      <c r="C39" s="74"/>
      <c r="D39" s="76"/>
      <c r="E39" s="11" t="s">
        <v>210</v>
      </c>
      <c r="F39" s="38">
        <v>1</v>
      </c>
      <c r="G39" s="38">
        <v>1</v>
      </c>
      <c r="H39" s="38">
        <v>1</v>
      </c>
      <c r="I39" s="11" t="s">
        <v>210</v>
      </c>
      <c r="J39" s="38">
        <v>1</v>
      </c>
      <c r="K39" s="38">
        <v>1</v>
      </c>
      <c r="L39" s="38">
        <v>1</v>
      </c>
      <c r="M39" s="11" t="s">
        <v>210</v>
      </c>
      <c r="N39" s="38">
        <v>1</v>
      </c>
      <c r="O39" s="38">
        <v>1</v>
      </c>
      <c r="P39" s="38">
        <v>1</v>
      </c>
    </row>
    <row r="40" spans="1:16" x14ac:dyDescent="0.15">
      <c r="A40" s="74"/>
      <c r="B40" s="74"/>
      <c r="C40" s="74"/>
      <c r="D40" s="76"/>
      <c r="E40" s="11" t="s">
        <v>211</v>
      </c>
      <c r="F40" s="38">
        <v>1</v>
      </c>
      <c r="G40" s="38">
        <v>1</v>
      </c>
      <c r="H40" s="38">
        <v>1</v>
      </c>
      <c r="I40" s="11" t="s">
        <v>211</v>
      </c>
      <c r="J40" s="38">
        <v>1</v>
      </c>
      <c r="K40" s="38">
        <v>1</v>
      </c>
      <c r="L40" s="38">
        <v>1</v>
      </c>
      <c r="M40" s="11" t="s">
        <v>211</v>
      </c>
      <c r="N40" s="38">
        <v>1</v>
      </c>
      <c r="O40" s="38">
        <v>1</v>
      </c>
      <c r="P40" s="38">
        <v>1</v>
      </c>
    </row>
    <row r="41" spans="1:16" x14ac:dyDescent="0.15">
      <c r="A41" s="74"/>
      <c r="B41" s="74"/>
      <c r="C41" s="74"/>
      <c r="D41" s="76"/>
      <c r="E41" s="11" t="s">
        <v>212</v>
      </c>
      <c r="F41" s="38">
        <v>1</v>
      </c>
      <c r="G41" s="38">
        <v>1</v>
      </c>
      <c r="H41" s="38">
        <v>1</v>
      </c>
      <c r="I41" s="11" t="s">
        <v>212</v>
      </c>
      <c r="J41" s="38">
        <v>1</v>
      </c>
      <c r="K41" s="38">
        <v>1</v>
      </c>
      <c r="L41" s="38">
        <v>1</v>
      </c>
      <c r="M41" s="11" t="s">
        <v>212</v>
      </c>
      <c r="N41" s="38">
        <v>1</v>
      </c>
      <c r="O41" s="38">
        <v>1</v>
      </c>
      <c r="P41" s="38">
        <v>1</v>
      </c>
    </row>
    <row r="42" spans="1:16" x14ac:dyDescent="0.15">
      <c r="A42" s="74"/>
      <c r="B42" s="74"/>
      <c r="C42" s="74"/>
      <c r="D42" s="76"/>
      <c r="E42" s="11" t="s">
        <v>114</v>
      </c>
      <c r="F42" s="38">
        <v>1</v>
      </c>
      <c r="G42" s="38">
        <v>1</v>
      </c>
      <c r="H42" s="38">
        <v>1</v>
      </c>
      <c r="I42" s="11" t="s">
        <v>114</v>
      </c>
      <c r="J42" s="38">
        <v>1</v>
      </c>
      <c r="K42" s="38">
        <v>1</v>
      </c>
      <c r="L42" s="38">
        <v>1</v>
      </c>
      <c r="M42" s="11" t="s">
        <v>114</v>
      </c>
      <c r="N42" s="38">
        <v>1</v>
      </c>
      <c r="O42" s="38">
        <v>1</v>
      </c>
      <c r="P42" s="38">
        <v>1</v>
      </c>
    </row>
    <row r="43" spans="1:16" ht="54" x14ac:dyDescent="0.15">
      <c r="E43" s="50" t="s">
        <v>220</v>
      </c>
      <c r="H43" s="51"/>
      <c r="I43" s="52" t="s">
        <v>220</v>
      </c>
      <c r="J43" s="51"/>
      <c r="K43" s="51"/>
      <c r="L43" s="51"/>
      <c r="M43" s="52" t="s">
        <v>220</v>
      </c>
      <c r="N43" s="51"/>
      <c r="O43" s="51"/>
      <c r="P43" s="51"/>
    </row>
  </sheetData>
  <mergeCells count="23">
    <mergeCell ref="B2:B11"/>
    <mergeCell ref="B26:B29"/>
    <mergeCell ref="A30:A42"/>
    <mergeCell ref="I1:L1"/>
    <mergeCell ref="M1:P1"/>
    <mergeCell ref="D36:D42"/>
    <mergeCell ref="C36:C42"/>
    <mergeCell ref="B30:B42"/>
    <mergeCell ref="E1:H1"/>
    <mergeCell ref="A2:A29"/>
    <mergeCell ref="D2:D7"/>
    <mergeCell ref="D8:D11"/>
    <mergeCell ref="D12:D18"/>
    <mergeCell ref="D26:D29"/>
    <mergeCell ref="C2:C7"/>
    <mergeCell ref="C8:C11"/>
    <mergeCell ref="D30:D35"/>
    <mergeCell ref="C30:C35"/>
    <mergeCell ref="C19:C25"/>
    <mergeCell ref="B12:B25"/>
    <mergeCell ref="D19:D25"/>
    <mergeCell ref="C12:C18"/>
    <mergeCell ref="C26:C2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1F0A-10B1-6440-A0D5-E77E03B3064A}">
  <dimension ref="A1:E103"/>
  <sheetViews>
    <sheetView workbookViewId="0"/>
  </sheetViews>
  <sheetFormatPr defaultColWidth="8.75" defaultRowHeight="13.5" x14ac:dyDescent="0.15"/>
  <cols>
    <col min="1" max="1" width="29.5" customWidth="1"/>
    <col min="2" max="2" width="30.125" customWidth="1"/>
    <col min="3" max="3" width="19.75" customWidth="1"/>
    <col min="4" max="4" width="20.625" customWidth="1"/>
    <col min="5" max="5" width="29.875" customWidth="1"/>
    <col min="6" max="6" width="13.125" customWidth="1"/>
    <col min="7" max="7" width="23.375" customWidth="1"/>
    <col min="8" max="8" width="20.625" customWidth="1"/>
    <col min="9" max="10" width="18.5" customWidth="1"/>
  </cols>
  <sheetData>
    <row r="1" spans="1:4" x14ac:dyDescent="0.15">
      <c r="A1" s="26"/>
    </row>
    <row r="2" spans="1:4" x14ac:dyDescent="0.15">
      <c r="A2" s="19" t="s">
        <v>122</v>
      </c>
      <c r="B2" s="33" t="s">
        <v>171</v>
      </c>
    </row>
    <row r="3" spans="1:4" x14ac:dyDescent="0.15">
      <c r="A3" s="12" t="s">
        <v>35</v>
      </c>
      <c r="B3" s="11" t="s">
        <v>37</v>
      </c>
      <c r="C3" s="11" t="s">
        <v>38</v>
      </c>
      <c r="D3" s="11" t="s">
        <v>39</v>
      </c>
    </row>
    <row r="4" spans="1:4" x14ac:dyDescent="0.15">
      <c r="A4" s="11">
        <v>2022</v>
      </c>
      <c r="B4" s="14">
        <v>1</v>
      </c>
      <c r="C4" s="14">
        <v>0</v>
      </c>
      <c r="D4" s="14">
        <v>0</v>
      </c>
    </row>
    <row r="5" spans="1:4" x14ac:dyDescent="0.15">
      <c r="A5" s="11">
        <v>2025</v>
      </c>
      <c r="B5" s="14">
        <v>1</v>
      </c>
      <c r="C5" s="14">
        <v>0</v>
      </c>
      <c r="D5" s="14">
        <v>0</v>
      </c>
    </row>
    <row r="6" spans="1:4" x14ac:dyDescent="0.15">
      <c r="A6" s="11">
        <v>2030</v>
      </c>
      <c r="B6" s="14">
        <v>1</v>
      </c>
      <c r="C6" s="14">
        <v>0</v>
      </c>
      <c r="D6" s="14">
        <v>0</v>
      </c>
    </row>
    <row r="7" spans="1:4" x14ac:dyDescent="0.15">
      <c r="A7" s="11">
        <v>2035</v>
      </c>
      <c r="B7" s="14">
        <v>1</v>
      </c>
      <c r="C7" s="14">
        <v>0</v>
      </c>
      <c r="D7" s="14">
        <v>0</v>
      </c>
    </row>
    <row r="8" spans="1:4" x14ac:dyDescent="0.15">
      <c r="A8" s="11" t="s">
        <v>95</v>
      </c>
      <c r="B8" s="14">
        <v>1</v>
      </c>
      <c r="C8" s="14">
        <v>0</v>
      </c>
      <c r="D8" s="14">
        <v>0</v>
      </c>
    </row>
    <row r="10" spans="1:4" x14ac:dyDescent="0.15">
      <c r="A10" s="12" t="s">
        <v>125</v>
      </c>
      <c r="B10" s="11" t="s">
        <v>37</v>
      </c>
      <c r="C10" s="11" t="s">
        <v>38</v>
      </c>
      <c r="D10" s="11" t="s">
        <v>39</v>
      </c>
    </row>
    <row r="11" spans="1:4" x14ac:dyDescent="0.15">
      <c r="A11" s="11">
        <v>2022</v>
      </c>
      <c r="B11" s="14">
        <v>0</v>
      </c>
      <c r="C11" s="14">
        <v>1</v>
      </c>
      <c r="D11" s="14">
        <v>0</v>
      </c>
    </row>
    <row r="12" spans="1:4" x14ac:dyDescent="0.15">
      <c r="A12" s="11">
        <v>2025</v>
      </c>
      <c r="B12" s="14">
        <v>0</v>
      </c>
      <c r="C12" s="14">
        <v>0.6</v>
      </c>
      <c r="D12" s="14">
        <v>0.4</v>
      </c>
    </row>
    <row r="13" spans="1:4" x14ac:dyDescent="0.15">
      <c r="A13" s="11">
        <v>2030</v>
      </c>
      <c r="B13" s="14">
        <v>0</v>
      </c>
      <c r="C13" s="14">
        <v>0</v>
      </c>
      <c r="D13" s="14">
        <v>1</v>
      </c>
    </row>
    <row r="14" spans="1:4" x14ac:dyDescent="0.15">
      <c r="A14" s="11">
        <v>2035</v>
      </c>
      <c r="B14" s="14">
        <v>0</v>
      </c>
      <c r="C14" s="14">
        <v>0</v>
      </c>
      <c r="D14" s="14">
        <v>1</v>
      </c>
    </row>
    <row r="15" spans="1:4" x14ac:dyDescent="0.15">
      <c r="A15" s="11" t="s">
        <v>95</v>
      </c>
      <c r="B15" s="14">
        <v>0</v>
      </c>
      <c r="C15" s="14">
        <v>0</v>
      </c>
      <c r="D15" s="14">
        <v>1</v>
      </c>
    </row>
    <row r="16" spans="1:4" x14ac:dyDescent="0.15">
      <c r="A16" s="26" t="s">
        <v>127</v>
      </c>
      <c r="B16" t="s">
        <v>129</v>
      </c>
    </row>
    <row r="17" spans="1:5" x14ac:dyDescent="0.15">
      <c r="A17" s="26" t="s">
        <v>128</v>
      </c>
      <c r="B17" t="s">
        <v>130</v>
      </c>
    </row>
    <row r="18" spans="1:5" x14ac:dyDescent="0.15">
      <c r="A18" s="26"/>
    </row>
    <row r="19" spans="1:5" x14ac:dyDescent="0.15">
      <c r="A19" s="19" t="s">
        <v>185</v>
      </c>
    </row>
    <row r="20" spans="1:5" x14ac:dyDescent="0.15">
      <c r="A20" s="35" t="s">
        <v>178</v>
      </c>
      <c r="B20" s="37" t="s">
        <v>172</v>
      </c>
      <c r="C20" s="37" t="s">
        <v>173</v>
      </c>
      <c r="D20" s="37" t="s">
        <v>174</v>
      </c>
      <c r="E20" s="43" t="s">
        <v>162</v>
      </c>
    </row>
    <row r="21" spans="1:5" x14ac:dyDescent="0.15">
      <c r="A21" s="36" t="s">
        <v>154</v>
      </c>
      <c r="B21" s="34">
        <v>0.14821289821289824</v>
      </c>
      <c r="C21" s="34">
        <v>0.14821289821289824</v>
      </c>
      <c r="D21" s="34">
        <v>0.14821289821289824</v>
      </c>
      <c r="E21" t="s">
        <v>188</v>
      </c>
    </row>
    <row r="22" spans="1:5" x14ac:dyDescent="0.15">
      <c r="A22" s="36" t="s">
        <v>155</v>
      </c>
      <c r="B22" s="34">
        <v>6.9076305220883524E-2</v>
      </c>
      <c r="C22" s="34">
        <v>6.9076305220883524E-2</v>
      </c>
      <c r="D22" s="34">
        <v>6.9076305220883524E-2</v>
      </c>
      <c r="E22" t="s">
        <v>186</v>
      </c>
    </row>
    <row r="23" spans="1:5" x14ac:dyDescent="0.15">
      <c r="A23" s="36" t="s">
        <v>156</v>
      </c>
      <c r="B23" s="34">
        <v>0</v>
      </c>
      <c r="C23" s="34">
        <v>0</v>
      </c>
      <c r="D23" s="34">
        <v>0</v>
      </c>
      <c r="E23" t="s">
        <v>187</v>
      </c>
    </row>
    <row r="24" spans="1:5" x14ac:dyDescent="0.15">
      <c r="A24" s="36" t="s">
        <v>157</v>
      </c>
      <c r="B24" s="34">
        <v>0.5089285714285714</v>
      </c>
      <c r="C24" s="34">
        <v>0.5089285714285714</v>
      </c>
      <c r="D24" s="34">
        <v>0.5089285714285714</v>
      </c>
      <c r="E24" t="s">
        <v>189</v>
      </c>
    </row>
    <row r="25" spans="1:5" x14ac:dyDescent="0.15">
      <c r="A25" s="36" t="s">
        <v>158</v>
      </c>
      <c r="B25" s="34">
        <v>8.2478070175438581E-2</v>
      </c>
      <c r="C25" s="34">
        <v>8.2478070175438581E-2</v>
      </c>
      <c r="D25" s="34">
        <v>8.2478070175438581E-2</v>
      </c>
      <c r="E25" t="s">
        <v>186</v>
      </c>
    </row>
    <row r="26" spans="1:5" x14ac:dyDescent="0.15">
      <c r="A26" s="36" t="s">
        <v>159</v>
      </c>
      <c r="B26" s="34">
        <v>0</v>
      </c>
      <c r="C26" s="34">
        <v>0</v>
      </c>
      <c r="D26" s="34">
        <v>0</v>
      </c>
      <c r="E26" t="s">
        <v>187</v>
      </c>
    </row>
    <row r="27" spans="1:5" x14ac:dyDescent="0.15">
      <c r="A27" s="40" t="s">
        <v>180</v>
      </c>
      <c r="B27" s="40"/>
      <c r="C27" s="40"/>
      <c r="D27" s="40"/>
    </row>
    <row r="28" spans="1:5" x14ac:dyDescent="0.15">
      <c r="A28" s="21"/>
    </row>
    <row r="29" spans="1:5" x14ac:dyDescent="0.15">
      <c r="A29" s="35" t="s">
        <v>179</v>
      </c>
      <c r="B29" s="37" t="s">
        <v>172</v>
      </c>
      <c r="C29" s="37" t="s">
        <v>173</v>
      </c>
      <c r="D29" s="37" t="s">
        <v>174</v>
      </c>
      <c r="E29" s="43" t="s">
        <v>190</v>
      </c>
    </row>
    <row r="30" spans="1:5" x14ac:dyDescent="0.15">
      <c r="A30" s="36" t="s">
        <v>154</v>
      </c>
      <c r="B30" s="34">
        <v>0.16700000000000001</v>
      </c>
      <c r="C30" s="34">
        <v>0.16700000000000001</v>
      </c>
      <c r="D30" s="34">
        <v>0.16700000000000001</v>
      </c>
    </row>
    <row r="31" spans="1:5" x14ac:dyDescent="0.15">
      <c r="A31" s="36" t="s">
        <v>155</v>
      </c>
      <c r="B31" s="34">
        <v>0.13300000000000001</v>
      </c>
      <c r="C31" s="34">
        <v>0.13300000000000001</v>
      </c>
      <c r="D31" s="34">
        <v>0.13300000000000001</v>
      </c>
    </row>
    <row r="32" spans="1:5" x14ac:dyDescent="0.15">
      <c r="A32" s="36" t="s">
        <v>156</v>
      </c>
      <c r="B32" s="34">
        <v>0</v>
      </c>
      <c r="C32" s="34">
        <v>0</v>
      </c>
      <c r="D32" s="34">
        <v>0</v>
      </c>
    </row>
    <row r="33" spans="1:5" x14ac:dyDescent="0.15">
      <c r="A33" s="36" t="s">
        <v>157</v>
      </c>
      <c r="B33" s="34">
        <v>0.75</v>
      </c>
      <c r="C33" s="34">
        <v>0.75</v>
      </c>
      <c r="D33" s="34">
        <v>0.75</v>
      </c>
    </row>
    <row r="34" spans="1:5" x14ac:dyDescent="0.15">
      <c r="A34" s="36" t="s">
        <v>158</v>
      </c>
      <c r="B34" s="34">
        <v>0.13300000000000001</v>
      </c>
      <c r="C34" s="34">
        <v>0.13300000000000001</v>
      </c>
      <c r="D34" s="34">
        <v>0.13300000000000001</v>
      </c>
    </row>
    <row r="35" spans="1:5" x14ac:dyDescent="0.15">
      <c r="A35" s="36" t="s">
        <v>159</v>
      </c>
      <c r="B35" s="34">
        <v>0</v>
      </c>
      <c r="C35" s="34">
        <v>0</v>
      </c>
      <c r="D35" s="34">
        <v>0</v>
      </c>
    </row>
    <row r="36" spans="1:5" x14ac:dyDescent="0.15">
      <c r="A36" s="40"/>
      <c r="B36" s="40"/>
      <c r="C36" s="40"/>
      <c r="D36" s="40"/>
    </row>
    <row r="37" spans="1:5" x14ac:dyDescent="0.15">
      <c r="A37" s="35" t="s">
        <v>179</v>
      </c>
      <c r="B37" s="37" t="s">
        <v>172</v>
      </c>
      <c r="C37" s="37" t="s">
        <v>173</v>
      </c>
      <c r="D37" s="37" t="s">
        <v>174</v>
      </c>
    </row>
    <row r="38" spans="1:5" x14ac:dyDescent="0.15">
      <c r="A38" s="36" t="s">
        <v>154</v>
      </c>
      <c r="B38" s="34">
        <v>0.5</v>
      </c>
      <c r="C38" s="34">
        <v>0.5</v>
      </c>
      <c r="D38" s="34">
        <v>0.5</v>
      </c>
      <c r="E38" t="s">
        <v>192</v>
      </c>
    </row>
    <row r="39" spans="1:5" x14ac:dyDescent="0.15">
      <c r="A39" s="36" t="s">
        <v>155</v>
      </c>
      <c r="B39" s="34">
        <v>0.5</v>
      </c>
      <c r="C39" s="34">
        <v>0.5</v>
      </c>
      <c r="D39" s="34">
        <v>0.5</v>
      </c>
      <c r="E39" t="s">
        <v>192</v>
      </c>
    </row>
    <row r="40" spans="1:5" x14ac:dyDescent="0.15">
      <c r="A40" s="36" t="s">
        <v>156</v>
      </c>
      <c r="B40" s="34">
        <v>0</v>
      </c>
      <c r="C40" s="34">
        <v>0</v>
      </c>
      <c r="D40" s="34">
        <v>0</v>
      </c>
    </row>
    <row r="41" spans="1:5" x14ac:dyDescent="0.15">
      <c r="A41" s="36" t="s">
        <v>157</v>
      </c>
      <c r="B41" s="34">
        <v>0.75</v>
      </c>
      <c r="C41" s="34">
        <v>0.75</v>
      </c>
      <c r="D41" s="34">
        <v>0.75</v>
      </c>
    </row>
    <row r="42" spans="1:5" x14ac:dyDescent="0.15">
      <c r="A42" s="36" t="s">
        <v>158</v>
      </c>
      <c r="B42" s="34">
        <v>0.2</v>
      </c>
      <c r="C42" s="34">
        <v>0.2</v>
      </c>
      <c r="D42" s="34">
        <v>0.2</v>
      </c>
      <c r="E42" t="s">
        <v>175</v>
      </c>
    </row>
    <row r="43" spans="1:5" x14ac:dyDescent="0.15">
      <c r="A43" s="36" t="s">
        <v>159</v>
      </c>
      <c r="B43" s="34">
        <v>0</v>
      </c>
      <c r="C43" s="34">
        <v>0</v>
      </c>
      <c r="D43" s="34">
        <v>0</v>
      </c>
    </row>
    <row r="44" spans="1:5" x14ac:dyDescent="0.15">
      <c r="A44" s="40"/>
      <c r="B44" s="40"/>
      <c r="C44" s="40"/>
      <c r="D44" s="40"/>
    </row>
    <row r="45" spans="1:5" x14ac:dyDescent="0.15">
      <c r="A45" s="35" t="s">
        <v>193</v>
      </c>
      <c r="B45" s="37" t="s">
        <v>172</v>
      </c>
      <c r="C45" s="37" t="s">
        <v>173</v>
      </c>
      <c r="D45" s="37" t="s">
        <v>174</v>
      </c>
    </row>
    <row r="46" spans="1:5" x14ac:dyDescent="0.15">
      <c r="A46" s="36" t="s">
        <v>154</v>
      </c>
      <c r="B46" s="34">
        <f>1-(1-B30)/(1-B21)</f>
        <v>2.2056100342075169E-2</v>
      </c>
      <c r="C46" s="34">
        <f>B46</f>
        <v>2.2056100342075169E-2</v>
      </c>
      <c r="D46" s="34">
        <f>B46</f>
        <v>2.2056100342075169E-2</v>
      </c>
    </row>
    <row r="47" spans="1:5" x14ac:dyDescent="0.15">
      <c r="A47" s="36" t="s">
        <v>155</v>
      </c>
      <c r="B47" s="34">
        <f t="shared" ref="B47:B51" si="0">1-(1-B31)/(1-B22)</f>
        <v>6.8666954270923286E-2</v>
      </c>
      <c r="C47" s="34">
        <f t="shared" ref="C47:C51" si="1">B47</f>
        <v>6.8666954270923286E-2</v>
      </c>
      <c r="D47" s="34">
        <f t="shared" ref="D47:D51" si="2">B47</f>
        <v>6.8666954270923286E-2</v>
      </c>
    </row>
    <row r="48" spans="1:5" x14ac:dyDescent="0.15">
      <c r="A48" s="36" t="s">
        <v>156</v>
      </c>
      <c r="B48" s="34">
        <f t="shared" si="0"/>
        <v>0</v>
      </c>
      <c r="C48" s="34">
        <f t="shared" si="1"/>
        <v>0</v>
      </c>
      <c r="D48" s="34">
        <f t="shared" si="2"/>
        <v>0</v>
      </c>
    </row>
    <row r="49" spans="1:4" x14ac:dyDescent="0.15">
      <c r="A49" s="36" t="s">
        <v>157</v>
      </c>
      <c r="B49" s="34">
        <f t="shared" si="0"/>
        <v>0.49090909090909096</v>
      </c>
      <c r="C49" s="34">
        <f t="shared" si="1"/>
        <v>0.49090909090909096</v>
      </c>
      <c r="D49" s="34">
        <f t="shared" si="2"/>
        <v>0.49090909090909096</v>
      </c>
    </row>
    <row r="50" spans="1:4" x14ac:dyDescent="0.15">
      <c r="A50" s="36" t="s">
        <v>158</v>
      </c>
      <c r="B50" s="34">
        <f t="shared" si="0"/>
        <v>5.5063457539616167E-2</v>
      </c>
      <c r="C50" s="34">
        <f t="shared" si="1"/>
        <v>5.5063457539616167E-2</v>
      </c>
      <c r="D50" s="34">
        <f t="shared" si="2"/>
        <v>5.5063457539616167E-2</v>
      </c>
    </row>
    <row r="51" spans="1:4" x14ac:dyDescent="0.15">
      <c r="A51" s="36" t="s">
        <v>159</v>
      </c>
      <c r="B51" s="34">
        <f t="shared" si="0"/>
        <v>0</v>
      </c>
      <c r="C51" s="34">
        <f t="shared" si="1"/>
        <v>0</v>
      </c>
      <c r="D51" s="34">
        <f t="shared" si="2"/>
        <v>0</v>
      </c>
    </row>
    <row r="52" spans="1:4" x14ac:dyDescent="0.15">
      <c r="A52" s="40"/>
      <c r="B52" s="40"/>
      <c r="C52" s="40"/>
      <c r="D52" s="40"/>
    </row>
    <row r="53" spans="1:4" x14ac:dyDescent="0.15">
      <c r="A53" s="35" t="s">
        <v>193</v>
      </c>
      <c r="B53" s="37" t="s">
        <v>172</v>
      </c>
      <c r="C53" s="37" t="s">
        <v>173</v>
      </c>
      <c r="D53" s="37" t="s">
        <v>174</v>
      </c>
    </row>
    <row r="54" spans="1:4" x14ac:dyDescent="0.15">
      <c r="A54" s="36" t="s">
        <v>154</v>
      </c>
      <c r="B54" s="34">
        <f>1-(1-B38)/(1-B21)</f>
        <v>0.41299885974914474</v>
      </c>
      <c r="C54" s="34">
        <f>B54</f>
        <v>0.41299885974914474</v>
      </c>
      <c r="D54" s="34">
        <f>B54</f>
        <v>0.41299885974914474</v>
      </c>
    </row>
    <row r="55" spans="1:4" x14ac:dyDescent="0.15">
      <c r="A55" s="36" t="s">
        <v>155</v>
      </c>
      <c r="B55" s="34">
        <f t="shared" ref="B55:B59" si="3">1-(1-B39)/(1-B22)</f>
        <v>0.4628990509059534</v>
      </c>
      <c r="C55" s="34">
        <f t="shared" ref="C55:C59" si="4">B55</f>
        <v>0.4628990509059534</v>
      </c>
      <c r="D55" s="34">
        <f t="shared" ref="D55:D59" si="5">B55</f>
        <v>0.4628990509059534</v>
      </c>
    </row>
    <row r="56" spans="1:4" x14ac:dyDescent="0.15">
      <c r="A56" s="36" t="s">
        <v>156</v>
      </c>
      <c r="B56" s="34">
        <f t="shared" si="3"/>
        <v>0</v>
      </c>
      <c r="C56" s="34">
        <f t="shared" si="4"/>
        <v>0</v>
      </c>
      <c r="D56" s="34">
        <f t="shared" si="5"/>
        <v>0</v>
      </c>
    </row>
    <row r="57" spans="1:4" x14ac:dyDescent="0.15">
      <c r="A57" s="36" t="s">
        <v>157</v>
      </c>
      <c r="B57" s="34">
        <f t="shared" si="3"/>
        <v>0.49090909090909096</v>
      </c>
      <c r="C57" s="34">
        <f t="shared" si="4"/>
        <v>0.49090909090909096</v>
      </c>
      <c r="D57" s="34">
        <f t="shared" si="5"/>
        <v>0.49090909090909096</v>
      </c>
    </row>
    <row r="58" spans="1:4" x14ac:dyDescent="0.15">
      <c r="A58" s="36" t="s">
        <v>158</v>
      </c>
      <c r="B58" s="34">
        <f t="shared" si="3"/>
        <v>0.12808623533067232</v>
      </c>
      <c r="C58" s="34">
        <f t="shared" si="4"/>
        <v>0.12808623533067232</v>
      </c>
      <c r="D58" s="34">
        <f t="shared" si="5"/>
        <v>0.12808623533067232</v>
      </c>
    </row>
    <row r="59" spans="1:4" x14ac:dyDescent="0.15">
      <c r="A59" s="36" t="s">
        <v>159</v>
      </c>
      <c r="B59" s="34">
        <f t="shared" si="3"/>
        <v>0</v>
      </c>
      <c r="C59" s="34">
        <f t="shared" si="4"/>
        <v>0</v>
      </c>
      <c r="D59" s="34">
        <f t="shared" si="5"/>
        <v>0</v>
      </c>
    </row>
    <row r="60" spans="1:4" x14ac:dyDescent="0.15">
      <c r="A60" s="40"/>
      <c r="B60" s="40"/>
      <c r="C60" s="40"/>
      <c r="D60" s="40"/>
    </row>
    <row r="61" spans="1:4" x14ac:dyDescent="0.15">
      <c r="A61" s="40" t="s">
        <v>181</v>
      </c>
      <c r="B61" s="40"/>
      <c r="C61" s="40"/>
      <c r="D61" s="40"/>
    </row>
    <row r="62" spans="1:4" x14ac:dyDescent="0.15">
      <c r="A62" s="41" t="s">
        <v>35</v>
      </c>
      <c r="B62" s="42" t="s">
        <v>182</v>
      </c>
      <c r="C62" s="40"/>
      <c r="D62" s="40"/>
    </row>
    <row r="63" spans="1:4" x14ac:dyDescent="0.15">
      <c r="A63" s="42" t="s">
        <v>183</v>
      </c>
      <c r="B63" s="42" t="s">
        <v>184</v>
      </c>
      <c r="C63" s="40"/>
      <c r="D63" s="40"/>
    </row>
    <row r="65" spans="1:5" x14ac:dyDescent="0.15">
      <c r="A65" s="19" t="s">
        <v>123</v>
      </c>
    </row>
    <row r="66" spans="1:5" x14ac:dyDescent="0.15">
      <c r="A66" s="12" t="s">
        <v>35</v>
      </c>
      <c r="B66" s="11" t="s">
        <v>108</v>
      </c>
    </row>
    <row r="67" spans="1:5" x14ac:dyDescent="0.15">
      <c r="A67" s="11" t="s">
        <v>144</v>
      </c>
      <c r="B67" s="14">
        <v>0</v>
      </c>
    </row>
    <row r="68" spans="1:5" x14ac:dyDescent="0.15">
      <c r="C68" s="24"/>
    </row>
    <row r="69" spans="1:5" x14ac:dyDescent="0.15">
      <c r="A69" s="12" t="s">
        <v>107</v>
      </c>
      <c r="B69" s="11" t="s">
        <v>108</v>
      </c>
      <c r="C69" s="11" t="s">
        <v>109</v>
      </c>
      <c r="D69" s="22" t="s">
        <v>16</v>
      </c>
    </row>
    <row r="70" spans="1:5" x14ac:dyDescent="0.15">
      <c r="A70" s="11" t="s">
        <v>144</v>
      </c>
      <c r="B70" s="31">
        <f>0.4/38</f>
        <v>1.0526315789473684E-2</v>
      </c>
      <c r="C70" s="23" t="s">
        <v>110</v>
      </c>
      <c r="D70" s="25" t="s">
        <v>124</v>
      </c>
      <c r="E70" t="s">
        <v>152</v>
      </c>
    </row>
    <row r="71" spans="1:5" x14ac:dyDescent="0.15">
      <c r="A71" s="26" t="s">
        <v>147</v>
      </c>
      <c r="B71" t="s">
        <v>151</v>
      </c>
    </row>
    <row r="72" spans="1:5" x14ac:dyDescent="0.15">
      <c r="A72" s="26"/>
    </row>
    <row r="75" spans="1:5" x14ac:dyDescent="0.15">
      <c r="A75" s="19" t="s">
        <v>34</v>
      </c>
      <c r="B75" s="24" t="s">
        <v>176</v>
      </c>
      <c r="C75" s="24" t="s">
        <v>153</v>
      </c>
    </row>
    <row r="76" spans="1:5" x14ac:dyDescent="0.15">
      <c r="A76" s="12" t="s">
        <v>35</v>
      </c>
      <c r="B76" s="22" t="s">
        <v>29</v>
      </c>
      <c r="C76" s="81" t="s">
        <v>115</v>
      </c>
      <c r="D76" s="82"/>
    </row>
    <row r="77" spans="1:5" x14ac:dyDescent="0.15">
      <c r="A77" s="12"/>
      <c r="B77" s="11"/>
      <c r="C77" s="11" t="s">
        <v>116</v>
      </c>
      <c r="D77" s="16" t="s">
        <v>117</v>
      </c>
    </row>
    <row r="78" spans="1:5" x14ac:dyDescent="0.15">
      <c r="A78" s="11" t="s">
        <v>144</v>
      </c>
      <c r="B78" s="38">
        <v>0.36299999999999999</v>
      </c>
      <c r="C78" s="38">
        <v>0.33100000000000002</v>
      </c>
      <c r="D78" s="38">
        <v>0.26600000000000001</v>
      </c>
    </row>
    <row r="79" spans="1:5" x14ac:dyDescent="0.15">
      <c r="A79" s="39" t="s">
        <v>177</v>
      </c>
      <c r="B79" s="39"/>
      <c r="C79" s="39"/>
      <c r="D79" s="39"/>
    </row>
    <row r="81" spans="1:5" x14ac:dyDescent="0.15">
      <c r="A81" s="12" t="s">
        <v>107</v>
      </c>
      <c r="B81" s="22" t="s">
        <v>29</v>
      </c>
      <c r="C81" s="81" t="s">
        <v>115</v>
      </c>
      <c r="D81" s="82"/>
    </row>
    <row r="82" spans="1:5" x14ac:dyDescent="0.15">
      <c r="A82" s="12"/>
      <c r="B82" s="11"/>
      <c r="C82" s="11" t="s">
        <v>116</v>
      </c>
      <c r="D82" s="16" t="s">
        <v>117</v>
      </c>
    </row>
    <row r="83" spans="1:5" x14ac:dyDescent="0.15">
      <c r="A83" s="11">
        <v>2022</v>
      </c>
      <c r="B83" s="38">
        <v>0.36299999999999999</v>
      </c>
      <c r="C83" s="38">
        <v>0.33100000000000002</v>
      </c>
      <c r="D83" s="38">
        <v>0.26600000000000001</v>
      </c>
    </row>
    <row r="84" spans="1:5" x14ac:dyDescent="0.15">
      <c r="A84" s="11" t="s">
        <v>113</v>
      </c>
      <c r="B84" s="14">
        <v>0.5</v>
      </c>
      <c r="C84" s="14">
        <v>0.4</v>
      </c>
      <c r="D84" s="14">
        <v>0.3</v>
      </c>
    </row>
    <row r="85" spans="1:5" x14ac:dyDescent="0.15">
      <c r="A85" s="11" t="s">
        <v>118</v>
      </c>
      <c r="B85" s="14">
        <v>0.8</v>
      </c>
      <c r="C85" s="14">
        <v>0.7</v>
      </c>
      <c r="D85" s="14">
        <v>0.5</v>
      </c>
    </row>
    <row r="86" spans="1:5" x14ac:dyDescent="0.15">
      <c r="A86" s="11" t="s">
        <v>119</v>
      </c>
      <c r="B86" s="14">
        <v>0.98</v>
      </c>
      <c r="C86" s="14">
        <v>0.98</v>
      </c>
      <c r="D86" s="14">
        <v>0.8</v>
      </c>
    </row>
    <row r="87" spans="1:5" x14ac:dyDescent="0.15">
      <c r="A87" s="11" t="s">
        <v>120</v>
      </c>
      <c r="B87" s="14">
        <v>0.99</v>
      </c>
      <c r="C87" s="14">
        <v>0.99</v>
      </c>
      <c r="D87" s="14">
        <v>0.99</v>
      </c>
    </row>
    <row r="88" spans="1:5" x14ac:dyDescent="0.15">
      <c r="A88" s="26" t="s">
        <v>147</v>
      </c>
      <c r="B88" t="s">
        <v>175</v>
      </c>
      <c r="C88" s="20"/>
      <c r="D88" s="20"/>
      <c r="E88" s="20"/>
    </row>
    <row r="89" spans="1:5" x14ac:dyDescent="0.15">
      <c r="A89" s="26"/>
    </row>
    <row r="91" spans="1:5" x14ac:dyDescent="0.15">
      <c r="A91" s="19" t="s">
        <v>32</v>
      </c>
    </row>
    <row r="92" spans="1:5" x14ac:dyDescent="0.15">
      <c r="A92" s="12" t="s">
        <v>35</v>
      </c>
      <c r="B92" s="11" t="s">
        <v>131</v>
      </c>
      <c r="C92" s="11" t="s">
        <v>132</v>
      </c>
      <c r="D92" s="11" t="s">
        <v>133</v>
      </c>
    </row>
    <row r="93" spans="1:5" x14ac:dyDescent="0.15">
      <c r="A93" s="11">
        <v>2022</v>
      </c>
      <c r="B93" s="14" t="s">
        <v>134</v>
      </c>
      <c r="C93" s="14" t="s">
        <v>145</v>
      </c>
      <c r="D93" s="14" t="s">
        <v>146</v>
      </c>
    </row>
    <row r="94" spans="1:5" x14ac:dyDescent="0.15">
      <c r="A94" s="11">
        <v>2030</v>
      </c>
      <c r="B94" s="29" t="s">
        <v>135</v>
      </c>
      <c r="C94" s="29" t="s">
        <v>143</v>
      </c>
      <c r="D94" s="29" t="s">
        <v>141</v>
      </c>
    </row>
    <row r="95" spans="1:5" x14ac:dyDescent="0.15">
      <c r="A95" s="11">
        <v>2060</v>
      </c>
      <c r="B95" s="14" t="s">
        <v>141</v>
      </c>
      <c r="C95" s="14" t="s">
        <v>142</v>
      </c>
      <c r="D95" s="14" t="s">
        <v>140</v>
      </c>
    </row>
    <row r="97" spans="1:5" x14ac:dyDescent="0.15">
      <c r="A97" s="12" t="s">
        <v>107</v>
      </c>
      <c r="B97" s="11" t="s">
        <v>131</v>
      </c>
      <c r="C97" s="11" t="s">
        <v>132</v>
      </c>
      <c r="D97" s="11" t="s">
        <v>133</v>
      </c>
    </row>
    <row r="98" spans="1:5" x14ac:dyDescent="0.15">
      <c r="A98" s="11">
        <v>2022</v>
      </c>
      <c r="B98" s="14" t="s">
        <v>134</v>
      </c>
      <c r="C98" s="14" t="s">
        <v>145</v>
      </c>
      <c r="D98" s="14" t="s">
        <v>146</v>
      </c>
    </row>
    <row r="99" spans="1:5" x14ac:dyDescent="0.15">
      <c r="A99" s="11">
        <v>2030</v>
      </c>
      <c r="B99" s="28" t="s">
        <v>135</v>
      </c>
      <c r="C99" s="28" t="s">
        <v>136</v>
      </c>
      <c r="D99" s="28" t="s">
        <v>136</v>
      </c>
    </row>
    <row r="100" spans="1:5" x14ac:dyDescent="0.15">
      <c r="A100" s="11">
        <v>2060</v>
      </c>
      <c r="B100" s="14" t="s">
        <v>137</v>
      </c>
      <c r="C100" s="14" t="s">
        <v>138</v>
      </c>
      <c r="D100" s="14" t="s">
        <v>139</v>
      </c>
      <c r="E100" s="44" t="s">
        <v>191</v>
      </c>
    </row>
    <row r="101" spans="1:5" x14ac:dyDescent="0.15">
      <c r="A101" s="26" t="s">
        <v>147</v>
      </c>
      <c r="B101" s="30" t="s">
        <v>148</v>
      </c>
    </row>
    <row r="102" spans="1:5" x14ac:dyDescent="0.15">
      <c r="B102" s="30" t="s">
        <v>149</v>
      </c>
    </row>
    <row r="103" spans="1:5" x14ac:dyDescent="0.15">
      <c r="B103" s="30" t="s">
        <v>150</v>
      </c>
    </row>
  </sheetData>
  <mergeCells count="2">
    <mergeCell ref="C76:D76"/>
    <mergeCell ref="C81:D8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23F2-131A-45F9-812B-F6C861F90960}">
  <dimension ref="A1:C24"/>
  <sheetViews>
    <sheetView workbookViewId="0"/>
  </sheetViews>
  <sheetFormatPr defaultRowHeight="13.5" x14ac:dyDescent="0.15"/>
  <cols>
    <col min="1" max="1" width="39.75" customWidth="1"/>
    <col min="2" max="2" width="29.5" customWidth="1"/>
    <col min="3" max="3" width="28.125" customWidth="1"/>
  </cols>
  <sheetData>
    <row r="1" spans="1:3" x14ac:dyDescent="0.15">
      <c r="A1" s="19" t="s">
        <v>121</v>
      </c>
    </row>
    <row r="2" spans="1:3" x14ac:dyDescent="0.15">
      <c r="A2" s="16"/>
      <c r="B2" s="11" t="s">
        <v>26</v>
      </c>
      <c r="C2" s="11" t="s">
        <v>27</v>
      </c>
    </row>
    <row r="3" spans="1:3" x14ac:dyDescent="0.15">
      <c r="A3" s="16" t="s">
        <v>104</v>
      </c>
      <c r="B3" s="3">
        <v>0.65</v>
      </c>
      <c r="C3" s="3">
        <v>0.65</v>
      </c>
    </row>
    <row r="4" spans="1:3" x14ac:dyDescent="0.15">
      <c r="A4" s="11" t="s">
        <v>105</v>
      </c>
      <c r="B4" s="3" t="s">
        <v>94</v>
      </c>
      <c r="C4" s="3">
        <v>0.72</v>
      </c>
    </row>
    <row r="5" spans="1:3" x14ac:dyDescent="0.15">
      <c r="A5" s="11" t="s">
        <v>21</v>
      </c>
      <c r="B5" s="3" t="s">
        <v>96</v>
      </c>
      <c r="C5" s="3">
        <v>0.75</v>
      </c>
    </row>
    <row r="6" spans="1:3" x14ac:dyDescent="0.15">
      <c r="A6" s="11" t="s">
        <v>23</v>
      </c>
      <c r="B6" s="3">
        <v>0.82</v>
      </c>
      <c r="C6" s="3">
        <v>0.82</v>
      </c>
    </row>
    <row r="7" spans="1:3" x14ac:dyDescent="0.15">
      <c r="A7" s="11" t="s">
        <v>28</v>
      </c>
      <c r="B7" s="3">
        <v>0.82</v>
      </c>
      <c r="C7" s="3">
        <v>0.82</v>
      </c>
    </row>
    <row r="9" spans="1:3" x14ac:dyDescent="0.15">
      <c r="A9" s="12" t="s">
        <v>106</v>
      </c>
      <c r="B9" s="11" t="s">
        <v>26</v>
      </c>
      <c r="C9" s="11" t="s">
        <v>27</v>
      </c>
    </row>
    <row r="10" spans="1:3" x14ac:dyDescent="0.15">
      <c r="A10" s="16" t="s">
        <v>104</v>
      </c>
      <c r="B10" s="3">
        <v>0.65</v>
      </c>
      <c r="C10" s="3">
        <v>0.65</v>
      </c>
    </row>
    <row r="11" spans="1:3" x14ac:dyDescent="0.15">
      <c r="A11" s="11" t="s">
        <v>105</v>
      </c>
      <c r="B11" s="4">
        <v>0.69090799911556022</v>
      </c>
      <c r="C11" s="3">
        <v>0.72</v>
      </c>
    </row>
    <row r="12" spans="1:3" x14ac:dyDescent="0.15">
      <c r="A12" s="11" t="s">
        <v>21</v>
      </c>
      <c r="B12" s="4">
        <v>0.78272639929244825</v>
      </c>
      <c r="C12" s="3">
        <v>0.75</v>
      </c>
    </row>
    <row r="13" spans="1:3" x14ac:dyDescent="0.15">
      <c r="A13" s="11" t="s">
        <v>23</v>
      </c>
      <c r="B13" s="3">
        <v>0.82</v>
      </c>
      <c r="C13" s="3">
        <v>0.82</v>
      </c>
    </row>
    <row r="14" spans="1:3" x14ac:dyDescent="0.15">
      <c r="A14" s="11" t="s">
        <v>28</v>
      </c>
      <c r="B14" s="3">
        <v>0.82</v>
      </c>
      <c r="C14" s="3">
        <v>0.82</v>
      </c>
    </row>
    <row r="15" spans="1:3" x14ac:dyDescent="0.15">
      <c r="A15" s="27" t="s">
        <v>126</v>
      </c>
      <c r="B15" s="26"/>
      <c r="C15" s="26"/>
    </row>
    <row r="18" spans="1:3" x14ac:dyDescent="0.15">
      <c r="B18" t="s">
        <v>160</v>
      </c>
      <c r="C18" t="s">
        <v>162</v>
      </c>
    </row>
    <row r="19" spans="1:3" x14ac:dyDescent="0.15">
      <c r="A19" s="32" t="s">
        <v>154</v>
      </c>
      <c r="B19" t="s">
        <v>161</v>
      </c>
      <c r="C19" t="s">
        <v>163</v>
      </c>
    </row>
    <row r="20" spans="1:3" x14ac:dyDescent="0.15">
      <c r="A20" s="32" t="s">
        <v>164</v>
      </c>
      <c r="B20" t="s">
        <v>165</v>
      </c>
    </row>
    <row r="21" spans="1:3" x14ac:dyDescent="0.15">
      <c r="A21" s="32" t="s">
        <v>156</v>
      </c>
      <c r="B21" t="s">
        <v>166</v>
      </c>
      <c r="C21" t="s">
        <v>167</v>
      </c>
    </row>
    <row r="22" spans="1:3" x14ac:dyDescent="0.15">
      <c r="A22" s="32" t="s">
        <v>157</v>
      </c>
      <c r="B22" t="s">
        <v>168</v>
      </c>
    </row>
    <row r="23" spans="1:3" x14ac:dyDescent="0.15">
      <c r="A23" s="32" t="s">
        <v>158</v>
      </c>
      <c r="B23" t="s">
        <v>153</v>
      </c>
    </row>
    <row r="24" spans="1:3" x14ac:dyDescent="0.15">
      <c r="A24" s="32" t="s">
        <v>159</v>
      </c>
      <c r="B24" t="s">
        <v>169</v>
      </c>
      <c r="C24" t="s">
        <v>170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48FD-B569-4250-BDC0-C74A98C15391}">
  <dimension ref="A1:F55"/>
  <sheetViews>
    <sheetView workbookViewId="0"/>
  </sheetViews>
  <sheetFormatPr defaultColWidth="8.75" defaultRowHeight="13.5" x14ac:dyDescent="0.15"/>
  <cols>
    <col min="1" max="1" width="24" customWidth="1"/>
    <col min="2" max="2" width="24.375" customWidth="1"/>
    <col min="3" max="3" width="30.75" customWidth="1"/>
    <col min="4" max="4" width="27.125" customWidth="1"/>
    <col min="5" max="6" width="19.125" customWidth="1"/>
    <col min="7" max="7" width="14.75" customWidth="1"/>
  </cols>
  <sheetData>
    <row r="1" spans="1:6" x14ac:dyDescent="0.15">
      <c r="A1" s="11"/>
      <c r="B1" s="11" t="s">
        <v>35</v>
      </c>
      <c r="C1" s="11" t="s">
        <v>49</v>
      </c>
    </row>
    <row r="2" spans="1:6" ht="40.5" x14ac:dyDescent="0.15">
      <c r="A2" s="11" t="s">
        <v>30</v>
      </c>
      <c r="B2" s="5" t="s">
        <v>58</v>
      </c>
      <c r="C2" s="5" t="s">
        <v>41</v>
      </c>
      <c r="D2" t="s">
        <v>102</v>
      </c>
      <c r="E2" t="s">
        <v>63</v>
      </c>
      <c r="F2" t="s">
        <v>103</v>
      </c>
    </row>
    <row r="3" spans="1:6" ht="67.5" x14ac:dyDescent="0.15">
      <c r="A3" s="11" t="s">
        <v>31</v>
      </c>
      <c r="B3" s="5" t="s">
        <v>43</v>
      </c>
      <c r="C3" s="5" t="s">
        <v>42</v>
      </c>
    </row>
    <row r="4" spans="1:6" ht="40.5" x14ac:dyDescent="0.15">
      <c r="A4" s="11" t="s">
        <v>32</v>
      </c>
      <c r="B4" s="5" t="s">
        <v>44</v>
      </c>
      <c r="C4" s="5" t="s">
        <v>53</v>
      </c>
    </row>
    <row r="5" spans="1:6" ht="27" x14ac:dyDescent="0.15">
      <c r="A5" s="11" t="s">
        <v>33</v>
      </c>
      <c r="B5" s="5" t="s">
        <v>45</v>
      </c>
      <c r="C5" s="5" t="s">
        <v>51</v>
      </c>
    </row>
    <row r="6" spans="1:6" ht="40.5" x14ac:dyDescent="0.15">
      <c r="A6" s="11" t="s">
        <v>34</v>
      </c>
      <c r="B6" s="5" t="s">
        <v>46</v>
      </c>
      <c r="C6" s="5" t="s">
        <v>52</v>
      </c>
      <c r="D6" t="s">
        <v>69</v>
      </c>
      <c r="E6" t="s">
        <v>70</v>
      </c>
    </row>
    <row r="7" spans="1:6" ht="40.5" x14ac:dyDescent="0.15">
      <c r="A7" s="11" t="s">
        <v>48</v>
      </c>
      <c r="B7" s="5" t="s">
        <v>47</v>
      </c>
      <c r="C7" s="5" t="s">
        <v>50</v>
      </c>
    </row>
    <row r="9" spans="1:6" x14ac:dyDescent="0.15">
      <c r="D9" s="18"/>
    </row>
    <row r="10" spans="1:6" x14ac:dyDescent="0.15">
      <c r="A10" t="s">
        <v>93</v>
      </c>
      <c r="B10">
        <v>0.65</v>
      </c>
      <c r="C10">
        <v>0.65</v>
      </c>
    </row>
    <row r="11" spans="1:6" ht="27" x14ac:dyDescent="0.15">
      <c r="A11" s="16" t="s">
        <v>60</v>
      </c>
      <c r="B11" s="11" t="s">
        <v>26</v>
      </c>
      <c r="C11" s="11" t="s">
        <v>27</v>
      </c>
    </row>
    <row r="12" spans="1:6" x14ac:dyDescent="0.15">
      <c r="A12" s="11" t="s">
        <v>17</v>
      </c>
      <c r="B12" s="3" t="s">
        <v>94</v>
      </c>
      <c r="C12" s="3">
        <v>0.72</v>
      </c>
    </row>
    <row r="13" spans="1:6" x14ac:dyDescent="0.15">
      <c r="A13" s="11" t="s">
        <v>19</v>
      </c>
      <c r="B13" s="3" t="s">
        <v>0</v>
      </c>
      <c r="C13" s="3" t="s">
        <v>0</v>
      </c>
    </row>
    <row r="14" spans="1:6" x14ac:dyDescent="0.15">
      <c r="A14" s="11" t="s">
        <v>21</v>
      </c>
      <c r="B14" s="3" t="s">
        <v>96</v>
      </c>
      <c r="C14" s="3">
        <v>0.75</v>
      </c>
    </row>
    <row r="15" spans="1:6" x14ac:dyDescent="0.15">
      <c r="A15" s="11" t="s">
        <v>23</v>
      </c>
      <c r="B15" s="3">
        <v>0.82</v>
      </c>
      <c r="C15" s="3">
        <v>0.82</v>
      </c>
    </row>
    <row r="16" spans="1:6" x14ac:dyDescent="0.15">
      <c r="A16" s="11" t="s">
        <v>28</v>
      </c>
      <c r="B16" s="3">
        <v>0.82</v>
      </c>
      <c r="C16" s="3">
        <v>0.82</v>
      </c>
      <c r="D16" t="s">
        <v>80</v>
      </c>
    </row>
    <row r="17" spans="1:5" ht="54" x14ac:dyDescent="0.15">
      <c r="A17" s="17" t="s">
        <v>61</v>
      </c>
    </row>
    <row r="26" spans="1:5" x14ac:dyDescent="0.15">
      <c r="A26" s="12" t="s">
        <v>36</v>
      </c>
      <c r="B26" s="11" t="s">
        <v>37</v>
      </c>
      <c r="C26" s="11" t="s">
        <v>38</v>
      </c>
      <c r="D26" s="11" t="s">
        <v>39</v>
      </c>
      <c r="E26" s="11" t="s">
        <v>40</v>
      </c>
    </row>
    <row r="27" spans="1:5" x14ac:dyDescent="0.15">
      <c r="A27" s="11">
        <v>2020</v>
      </c>
      <c r="B27" s="14">
        <v>1</v>
      </c>
      <c r="C27" s="14">
        <v>0</v>
      </c>
      <c r="D27" s="14">
        <v>0</v>
      </c>
      <c r="E27" s="14">
        <v>0</v>
      </c>
    </row>
    <row r="28" spans="1:5" x14ac:dyDescent="0.15">
      <c r="A28" s="11">
        <v>2022</v>
      </c>
      <c r="B28" s="14">
        <v>0</v>
      </c>
      <c r="C28" s="14">
        <v>1</v>
      </c>
      <c r="D28" s="14">
        <v>0</v>
      </c>
      <c r="E28" s="14">
        <v>0</v>
      </c>
    </row>
    <row r="29" spans="1:5" x14ac:dyDescent="0.15">
      <c r="A29" s="11">
        <v>2025</v>
      </c>
      <c r="B29" s="14">
        <v>0</v>
      </c>
      <c r="C29" s="14">
        <v>0.6</v>
      </c>
      <c r="D29" s="14">
        <v>0.4</v>
      </c>
      <c r="E29" s="14">
        <v>0</v>
      </c>
    </row>
    <row r="30" spans="1:5" x14ac:dyDescent="0.15">
      <c r="A30" s="11">
        <v>2030</v>
      </c>
      <c r="B30" s="14">
        <v>0</v>
      </c>
      <c r="C30" s="14">
        <v>0</v>
      </c>
      <c r="D30" s="14">
        <v>1</v>
      </c>
      <c r="E30" s="14">
        <v>0</v>
      </c>
    </row>
    <row r="31" spans="1:5" x14ac:dyDescent="0.15">
      <c r="A31" s="11">
        <v>2035</v>
      </c>
      <c r="B31" s="14">
        <v>0</v>
      </c>
      <c r="C31" s="14">
        <v>0</v>
      </c>
      <c r="D31" s="14">
        <v>0.6</v>
      </c>
      <c r="E31" s="14">
        <v>0.4</v>
      </c>
    </row>
    <row r="32" spans="1:5" x14ac:dyDescent="0.15">
      <c r="A32" s="11" t="s">
        <v>95</v>
      </c>
      <c r="B32" s="14">
        <v>0</v>
      </c>
      <c r="C32" s="14">
        <v>0</v>
      </c>
      <c r="D32" s="14">
        <v>0</v>
      </c>
      <c r="E32" s="14">
        <v>1</v>
      </c>
    </row>
    <row r="35" spans="1:6" ht="27" x14ac:dyDescent="0.15">
      <c r="A35" s="15" t="s">
        <v>59</v>
      </c>
      <c r="B35" s="11" t="s">
        <v>18</v>
      </c>
      <c r="C35" s="11" t="s">
        <v>20</v>
      </c>
      <c r="D35" s="11" t="s">
        <v>22</v>
      </c>
      <c r="E35" s="11" t="s">
        <v>24</v>
      </c>
      <c r="F35" s="11" t="s">
        <v>25</v>
      </c>
    </row>
    <row r="36" spans="1:6" x14ac:dyDescent="0.15">
      <c r="A36" s="11" t="s">
        <v>54</v>
      </c>
      <c r="B36" s="13">
        <v>1</v>
      </c>
      <c r="C36" s="3">
        <v>0</v>
      </c>
      <c r="D36" s="3">
        <v>0</v>
      </c>
      <c r="E36" s="3">
        <v>0</v>
      </c>
      <c r="F36" s="3">
        <v>0</v>
      </c>
    </row>
    <row r="37" spans="1:6" x14ac:dyDescent="0.15">
      <c r="A37" s="11" t="s">
        <v>55</v>
      </c>
      <c r="B37" s="3">
        <v>0</v>
      </c>
      <c r="C37" s="13">
        <v>1</v>
      </c>
      <c r="D37" s="3">
        <v>0</v>
      </c>
      <c r="E37" s="3">
        <v>0</v>
      </c>
      <c r="F37" s="3">
        <v>0</v>
      </c>
    </row>
    <row r="38" spans="1:6" x14ac:dyDescent="0.15">
      <c r="A38" s="11" t="s">
        <v>56</v>
      </c>
      <c r="B38" s="3">
        <v>0</v>
      </c>
      <c r="C38" s="3">
        <v>0</v>
      </c>
      <c r="D38" s="13">
        <v>1</v>
      </c>
      <c r="E38" s="3">
        <v>0</v>
      </c>
      <c r="F38" s="3">
        <v>0</v>
      </c>
    </row>
    <row r="39" spans="1:6" x14ac:dyDescent="0.15">
      <c r="A39" s="11" t="s">
        <v>57</v>
      </c>
      <c r="B39" s="3">
        <v>0</v>
      </c>
      <c r="C39" s="3">
        <v>0</v>
      </c>
      <c r="D39" s="3">
        <v>0</v>
      </c>
      <c r="E39" s="13">
        <v>1</v>
      </c>
      <c r="F39" s="3">
        <v>0</v>
      </c>
    </row>
    <row r="53" spans="4:4" x14ac:dyDescent="0.15">
      <c r="D53">
        <f>5.4*10^18/1055</f>
        <v>5118483412322275</v>
      </c>
    </row>
    <row r="54" spans="4:4" x14ac:dyDescent="0.15">
      <c r="D54">
        <f>6.89*10^15</f>
        <v>6890000000000000</v>
      </c>
    </row>
    <row r="55" spans="4:4" x14ac:dyDescent="0.15">
      <c r="D55">
        <f>D54/D53</f>
        <v>1.3461018518518517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52B0-7958-4F9F-B66D-708521A91A4F}">
  <dimension ref="A1:F50"/>
  <sheetViews>
    <sheetView workbookViewId="0"/>
  </sheetViews>
  <sheetFormatPr defaultColWidth="8.75" defaultRowHeight="13.5" x14ac:dyDescent="0.15"/>
  <cols>
    <col min="1" max="1" width="24" customWidth="1"/>
    <col min="2" max="2" width="24.375" customWidth="1"/>
    <col min="3" max="3" width="30.75" customWidth="1"/>
    <col min="4" max="4" width="27.125" customWidth="1"/>
    <col min="5" max="6" width="19.125" customWidth="1"/>
    <col min="7" max="7" width="14.75" customWidth="1"/>
  </cols>
  <sheetData>
    <row r="1" spans="1:6" x14ac:dyDescent="0.15">
      <c r="A1" s="11"/>
      <c r="B1" s="11" t="s">
        <v>35</v>
      </c>
      <c r="C1" s="11" t="s">
        <v>49</v>
      </c>
    </row>
    <row r="2" spans="1:6" ht="40.5" x14ac:dyDescent="0.15">
      <c r="A2" s="11" t="s">
        <v>30</v>
      </c>
      <c r="B2" s="5" t="s">
        <v>58</v>
      </c>
      <c r="C2" s="5" t="s">
        <v>41</v>
      </c>
      <c r="D2" t="s">
        <v>62</v>
      </c>
      <c r="E2" t="s">
        <v>63</v>
      </c>
    </row>
    <row r="3" spans="1:6" ht="67.5" x14ac:dyDescent="0.15">
      <c r="A3" s="11" t="s">
        <v>31</v>
      </c>
      <c r="B3" s="5" t="s">
        <v>43</v>
      </c>
      <c r="C3" s="5" t="s">
        <v>42</v>
      </c>
      <c r="D3" t="s">
        <v>64</v>
      </c>
    </row>
    <row r="4" spans="1:6" ht="40.5" x14ac:dyDescent="0.15">
      <c r="A4" s="11" t="s">
        <v>32</v>
      </c>
      <c r="B4" s="5" t="s">
        <v>44</v>
      </c>
      <c r="C4" s="5" t="s">
        <v>53</v>
      </c>
      <c r="D4" t="s">
        <v>65</v>
      </c>
    </row>
    <row r="5" spans="1:6" ht="27" x14ac:dyDescent="0.15">
      <c r="A5" s="11" t="s">
        <v>33</v>
      </c>
      <c r="B5" s="5" t="s">
        <v>45</v>
      </c>
      <c r="C5" s="5" t="s">
        <v>51</v>
      </c>
      <c r="D5" t="s">
        <v>66</v>
      </c>
      <c r="E5" t="s">
        <v>67</v>
      </c>
      <c r="F5" t="s">
        <v>68</v>
      </c>
    </row>
    <row r="6" spans="1:6" ht="40.5" x14ac:dyDescent="0.15">
      <c r="A6" s="11" t="s">
        <v>34</v>
      </c>
      <c r="B6" s="5" t="s">
        <v>46</v>
      </c>
      <c r="C6" s="5" t="s">
        <v>52</v>
      </c>
      <c r="D6" t="s">
        <v>69</v>
      </c>
      <c r="E6" t="s">
        <v>70</v>
      </c>
    </row>
    <row r="7" spans="1:6" ht="40.5" x14ac:dyDescent="0.15">
      <c r="A7" s="11" t="s">
        <v>48</v>
      </c>
      <c r="B7" s="5" t="s">
        <v>47</v>
      </c>
      <c r="C7" s="5" t="s">
        <v>50</v>
      </c>
      <c r="D7" t="s">
        <v>72</v>
      </c>
    </row>
    <row r="8" spans="1:6" x14ac:dyDescent="0.15">
      <c r="D8" t="s">
        <v>71</v>
      </c>
    </row>
    <row r="9" spans="1:6" x14ac:dyDescent="0.15">
      <c r="D9" s="18" t="s">
        <v>73</v>
      </c>
    </row>
    <row r="10" spans="1:6" x14ac:dyDescent="0.15">
      <c r="A10" t="s">
        <v>93</v>
      </c>
      <c r="B10">
        <v>0.65</v>
      </c>
      <c r="C10">
        <v>0.65</v>
      </c>
      <c r="D10" t="s">
        <v>74</v>
      </c>
    </row>
    <row r="11" spans="1:6" ht="27" x14ac:dyDescent="0.15">
      <c r="A11" s="16" t="s">
        <v>60</v>
      </c>
      <c r="B11" s="11" t="s">
        <v>26</v>
      </c>
      <c r="C11" s="11" t="s">
        <v>27</v>
      </c>
      <c r="D11" t="s">
        <v>75</v>
      </c>
    </row>
    <row r="12" spans="1:6" x14ac:dyDescent="0.15">
      <c r="A12" s="11" t="s">
        <v>17</v>
      </c>
      <c r="B12" s="3" t="s">
        <v>94</v>
      </c>
      <c r="C12" s="3">
        <v>0.72</v>
      </c>
      <c r="D12" t="s">
        <v>76</v>
      </c>
    </row>
    <row r="13" spans="1:6" x14ac:dyDescent="0.15">
      <c r="A13" s="11" t="s">
        <v>19</v>
      </c>
      <c r="B13" s="3" t="s">
        <v>92</v>
      </c>
      <c r="C13" s="3" t="s">
        <v>92</v>
      </c>
      <c r="D13" t="s">
        <v>77</v>
      </c>
    </row>
    <row r="14" spans="1:6" x14ac:dyDescent="0.15">
      <c r="A14" s="11" t="s">
        <v>21</v>
      </c>
      <c r="B14" s="3" t="s">
        <v>96</v>
      </c>
      <c r="C14" s="3">
        <v>0.75</v>
      </c>
      <c r="D14" t="s">
        <v>78</v>
      </c>
    </row>
    <row r="15" spans="1:6" x14ac:dyDescent="0.15">
      <c r="A15" s="11" t="s">
        <v>23</v>
      </c>
      <c r="B15" s="3">
        <v>0.82</v>
      </c>
      <c r="C15" s="3">
        <v>0.82</v>
      </c>
      <c r="D15" t="s">
        <v>79</v>
      </c>
    </row>
    <row r="16" spans="1:6" x14ac:dyDescent="0.15">
      <c r="A16" s="11" t="s">
        <v>28</v>
      </c>
      <c r="B16" s="3">
        <v>0.82</v>
      </c>
      <c r="C16" s="3">
        <v>0.82</v>
      </c>
      <c r="D16" t="s">
        <v>80</v>
      </c>
    </row>
    <row r="17" spans="1:5" ht="54" x14ac:dyDescent="0.15">
      <c r="A17" s="17" t="s">
        <v>61</v>
      </c>
      <c r="D17" t="s">
        <v>81</v>
      </c>
    </row>
    <row r="18" spans="1:5" x14ac:dyDescent="0.15">
      <c r="D18" t="s">
        <v>82</v>
      </c>
    </row>
    <row r="19" spans="1:5" x14ac:dyDescent="0.15">
      <c r="D19" t="s">
        <v>85</v>
      </c>
      <c r="E19" t="s">
        <v>83</v>
      </c>
    </row>
    <row r="20" spans="1:5" x14ac:dyDescent="0.15">
      <c r="D20" t="s">
        <v>84</v>
      </c>
    </row>
    <row r="21" spans="1:5" x14ac:dyDescent="0.15">
      <c r="D21" t="s">
        <v>86</v>
      </c>
    </row>
    <row r="22" spans="1:5" x14ac:dyDescent="0.15">
      <c r="D22" t="s">
        <v>87</v>
      </c>
    </row>
    <row r="23" spans="1:5" x14ac:dyDescent="0.15">
      <c r="D23" t="s">
        <v>88</v>
      </c>
      <c r="E23" t="s">
        <v>89</v>
      </c>
    </row>
    <row r="26" spans="1:5" x14ac:dyDescent="0.15">
      <c r="A26" s="12" t="s">
        <v>36</v>
      </c>
      <c r="B26" s="11" t="s">
        <v>37</v>
      </c>
      <c r="C26" s="11" t="s">
        <v>38</v>
      </c>
      <c r="D26" s="11" t="s">
        <v>39</v>
      </c>
      <c r="E26" s="11" t="s">
        <v>40</v>
      </c>
    </row>
    <row r="27" spans="1:5" x14ac:dyDescent="0.15">
      <c r="A27" s="11">
        <v>2020</v>
      </c>
      <c r="B27" s="14">
        <v>1</v>
      </c>
      <c r="C27" s="14">
        <v>0</v>
      </c>
      <c r="D27" s="14">
        <v>0</v>
      </c>
      <c r="E27" s="14">
        <v>0</v>
      </c>
    </row>
    <row r="28" spans="1:5" x14ac:dyDescent="0.15">
      <c r="A28" s="11">
        <v>2022</v>
      </c>
      <c r="B28" s="14">
        <v>0</v>
      </c>
      <c r="C28" s="14">
        <v>1</v>
      </c>
      <c r="D28" s="14">
        <v>0</v>
      </c>
      <c r="E28" s="14">
        <v>0</v>
      </c>
    </row>
    <row r="29" spans="1:5" x14ac:dyDescent="0.15">
      <c r="A29" s="11">
        <v>2025</v>
      </c>
      <c r="B29" s="14">
        <v>0</v>
      </c>
      <c r="C29" s="14">
        <v>0.6</v>
      </c>
      <c r="D29" s="14">
        <v>0.4</v>
      </c>
      <c r="E29" s="14">
        <v>0</v>
      </c>
    </row>
    <row r="30" spans="1:5" x14ac:dyDescent="0.15">
      <c r="A30" s="11">
        <v>2030</v>
      </c>
      <c r="B30" s="14">
        <v>0</v>
      </c>
      <c r="C30" s="14">
        <v>0</v>
      </c>
      <c r="D30" s="14">
        <v>1</v>
      </c>
      <c r="E30" s="14">
        <v>0</v>
      </c>
    </row>
    <row r="31" spans="1:5" x14ac:dyDescent="0.15">
      <c r="A31" s="11">
        <v>2035</v>
      </c>
      <c r="B31" s="14">
        <v>0</v>
      </c>
      <c r="C31" s="14">
        <v>0</v>
      </c>
      <c r="D31" s="14">
        <v>0.6</v>
      </c>
      <c r="E31" s="14">
        <v>0.4</v>
      </c>
    </row>
    <row r="32" spans="1:5" x14ac:dyDescent="0.15">
      <c r="A32" s="11" t="s">
        <v>95</v>
      </c>
      <c r="B32" s="14">
        <v>0</v>
      </c>
      <c r="C32" s="14">
        <v>0</v>
      </c>
      <c r="D32" s="14">
        <v>0</v>
      </c>
      <c r="E32" s="14">
        <v>1</v>
      </c>
    </row>
    <row r="35" spans="1:6" ht="27" x14ac:dyDescent="0.15">
      <c r="A35" s="15" t="s">
        <v>59</v>
      </c>
      <c r="B35" s="11" t="s">
        <v>18</v>
      </c>
      <c r="C35" s="11" t="s">
        <v>20</v>
      </c>
      <c r="D35" s="11" t="s">
        <v>22</v>
      </c>
      <c r="E35" s="11" t="s">
        <v>24</v>
      </c>
      <c r="F35" s="11" t="s">
        <v>25</v>
      </c>
    </row>
    <row r="36" spans="1:6" x14ac:dyDescent="0.15">
      <c r="A36" s="11" t="s">
        <v>54</v>
      </c>
      <c r="B36" s="13">
        <v>1</v>
      </c>
      <c r="C36" s="3">
        <v>0</v>
      </c>
      <c r="D36" s="3">
        <v>0</v>
      </c>
      <c r="E36" s="3">
        <v>0</v>
      </c>
      <c r="F36" s="3">
        <v>0</v>
      </c>
    </row>
    <row r="37" spans="1:6" x14ac:dyDescent="0.15">
      <c r="A37" s="11" t="s">
        <v>55</v>
      </c>
      <c r="B37" s="3">
        <v>0</v>
      </c>
      <c r="C37" s="13">
        <v>1</v>
      </c>
      <c r="D37" s="3">
        <v>0</v>
      </c>
      <c r="E37" s="3">
        <v>0</v>
      </c>
      <c r="F37" s="3">
        <v>0</v>
      </c>
    </row>
    <row r="38" spans="1:6" x14ac:dyDescent="0.15">
      <c r="A38" s="11" t="s">
        <v>56</v>
      </c>
      <c r="B38" s="3">
        <v>0</v>
      </c>
      <c r="C38" s="3">
        <v>0</v>
      </c>
      <c r="D38" s="13">
        <v>1</v>
      </c>
      <c r="E38" s="3">
        <v>0</v>
      </c>
      <c r="F38" s="3">
        <v>0</v>
      </c>
    </row>
    <row r="39" spans="1:6" x14ac:dyDescent="0.15">
      <c r="A39" s="11" t="s">
        <v>57</v>
      </c>
      <c r="B39" s="3">
        <v>0</v>
      </c>
      <c r="C39" s="3">
        <v>0</v>
      </c>
      <c r="D39" s="3">
        <v>0</v>
      </c>
      <c r="E39" s="13">
        <v>1</v>
      </c>
      <c r="F39" s="3">
        <v>0</v>
      </c>
    </row>
    <row r="41" spans="1:6" x14ac:dyDescent="0.15">
      <c r="D41" t="s">
        <v>97</v>
      </c>
    </row>
    <row r="42" spans="1:6" x14ac:dyDescent="0.15">
      <c r="D42" t="s">
        <v>91</v>
      </c>
    </row>
    <row r="43" spans="1:6" x14ac:dyDescent="0.15">
      <c r="D43" t="s">
        <v>90</v>
      </c>
    </row>
    <row r="46" spans="1:6" x14ac:dyDescent="0.15">
      <c r="D46" t="s">
        <v>99</v>
      </c>
    </row>
    <row r="48" spans="1:6" x14ac:dyDescent="0.15">
      <c r="D48" t="s">
        <v>98</v>
      </c>
    </row>
    <row r="49" spans="4:4" x14ac:dyDescent="0.15">
      <c r="D49" t="s">
        <v>100</v>
      </c>
    </row>
    <row r="50" spans="4:4" x14ac:dyDescent="0.15">
      <c r="D50" t="s">
        <v>101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DB56-C28D-49EB-8C67-207D263B81DC}">
  <dimension ref="A1:B23"/>
  <sheetViews>
    <sheetView workbookViewId="0"/>
  </sheetViews>
  <sheetFormatPr defaultColWidth="8.75" defaultRowHeight="13.5" x14ac:dyDescent="0.15"/>
  <cols>
    <col min="1" max="1" width="10.625" customWidth="1"/>
    <col min="2" max="2" width="102.125" customWidth="1"/>
  </cols>
  <sheetData>
    <row r="1" spans="1:2" x14ac:dyDescent="0.15">
      <c r="A1" s="2" t="s">
        <v>12</v>
      </c>
    </row>
    <row r="3" spans="1:2" x14ac:dyDescent="0.15">
      <c r="A3" s="2" t="s">
        <v>1</v>
      </c>
      <c r="B3" s="6" t="s">
        <v>6</v>
      </c>
    </row>
    <row r="4" spans="1:2" x14ac:dyDescent="0.15">
      <c r="B4" s="7" t="s">
        <v>7</v>
      </c>
    </row>
    <row r="6" spans="1:2" x14ac:dyDescent="0.15">
      <c r="B6" s="6" t="s">
        <v>8</v>
      </c>
    </row>
    <row r="7" spans="1:2" x14ac:dyDescent="0.15">
      <c r="B7" s="7" t="s">
        <v>2</v>
      </c>
    </row>
    <row r="8" spans="1:2" x14ac:dyDescent="0.15">
      <c r="B8" s="8">
        <v>2018</v>
      </c>
    </row>
    <row r="9" spans="1:2" x14ac:dyDescent="0.15">
      <c r="B9" s="7" t="s">
        <v>3</v>
      </c>
    </row>
    <row r="10" spans="1:2" x14ac:dyDescent="0.15">
      <c r="B10" s="9" t="s">
        <v>4</v>
      </c>
    </row>
    <row r="12" spans="1:2" x14ac:dyDescent="0.15">
      <c r="B12" s="7"/>
    </row>
    <row r="13" spans="1:2" x14ac:dyDescent="0.15">
      <c r="B13" s="8"/>
    </row>
    <row r="14" spans="1:2" x14ac:dyDescent="0.15">
      <c r="B14" s="7"/>
    </row>
    <row r="15" spans="1:2" x14ac:dyDescent="0.15">
      <c r="B15" s="9"/>
    </row>
    <row r="18" spans="1:2" x14ac:dyDescent="0.15">
      <c r="A18" s="2" t="s">
        <v>5</v>
      </c>
      <c r="B18" s="1" t="s">
        <v>13</v>
      </c>
    </row>
    <row r="19" spans="1:2" ht="40.5" x14ac:dyDescent="0.15">
      <c r="A19" s="10"/>
      <c r="B19" s="1" t="s">
        <v>14</v>
      </c>
    </row>
    <row r="20" spans="1:2" ht="40.5" x14ac:dyDescent="0.15">
      <c r="B20" s="1" t="s">
        <v>9</v>
      </c>
    </row>
    <row r="21" spans="1:2" ht="40.5" x14ac:dyDescent="0.15">
      <c r="B21" s="1" t="s">
        <v>15</v>
      </c>
    </row>
    <row r="22" spans="1:2" x14ac:dyDescent="0.15">
      <c r="B22" s="1" t="s">
        <v>10</v>
      </c>
    </row>
    <row r="23" spans="1:2" x14ac:dyDescent="0.15">
      <c r="B23" s="1" t="s">
        <v>11</v>
      </c>
    </row>
  </sheetData>
  <phoneticPr fontId="3" type="noConversion"/>
  <hyperlinks>
    <hyperlink ref="B10" r:id="rId1" xr:uid="{7C43C6CB-0268-44F3-9A83-615B366B12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偏重基础设施（建筑本体）</vt:lpstr>
      <vt:lpstr>建筑政策参数(过程)</vt:lpstr>
      <vt:lpstr>建筑能效标准</vt:lpstr>
      <vt:lpstr>情景介绍 (2)</vt:lpstr>
      <vt:lpstr>情景介绍</vt:lpstr>
      <vt:lpstr>About中文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2022-03-01T02:46:31Z</dcterms:created>
  <dcterms:modified xsi:type="dcterms:W3CDTF">2024-12-02T07:55:13Z</dcterms:modified>
</cp:coreProperties>
</file>