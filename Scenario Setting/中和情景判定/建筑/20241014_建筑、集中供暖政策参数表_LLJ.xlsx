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EPS in github\Github China\eps-china2022-smart-trans\Scenario Setting\中和情景判定\建筑\"/>
    </mc:Choice>
  </mc:AlternateContent>
  <xr:revisionPtr revIDLastSave="0" documentId="13_ncr:1_{74947FC7-7890-45BF-AEFB-0E46ECDB5C68}" xr6:coauthVersionLast="47" xr6:coauthVersionMax="47" xr10:uidLastSave="{00000000-0000-0000-0000-000000000000}"/>
  <bookViews>
    <workbookView xWindow="-23148" yWindow="-108" windowWidth="23256" windowHeight="12456" activeTab="5" xr2:uid="{00000000-000D-0000-FFFF-FFFF00000000}"/>
  </bookViews>
  <sheets>
    <sheet name="汇总" sheetId="1" r:id="rId1"/>
    <sheet name="新建建筑能效提升" sheetId="2" r:id="rId2"/>
    <sheet name="既存建筑节能改造" sheetId="6" r:id="rId3"/>
    <sheet name="家用设施电气化" sheetId="4" r:id="rId4"/>
    <sheet name="分布式光伏" sheetId="7" r:id="rId5"/>
    <sheet name="集中供暖电气化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6" l="1"/>
  <c r="B13" i="6"/>
  <c r="N77" i="4"/>
  <c r="O77" i="4"/>
  <c r="P77" i="4"/>
  <c r="N78" i="4"/>
  <c r="O78" i="4"/>
  <c r="P78" i="4"/>
  <c r="N79" i="4"/>
  <c r="O79" i="4"/>
  <c r="P79" i="4"/>
  <c r="P76" i="4"/>
  <c r="O76" i="4"/>
  <c r="N76" i="4"/>
  <c r="I77" i="4"/>
  <c r="J77" i="4"/>
  <c r="K77" i="4"/>
  <c r="I78" i="4"/>
  <c r="J78" i="4"/>
  <c r="K78" i="4"/>
  <c r="I79" i="4"/>
  <c r="J79" i="4"/>
  <c r="K79" i="4"/>
  <c r="K76" i="4"/>
  <c r="J76" i="4"/>
  <c r="I76" i="4"/>
  <c r="P72" i="4"/>
  <c r="O72" i="4"/>
  <c r="N72" i="4"/>
  <c r="K72" i="4"/>
  <c r="J72" i="4"/>
  <c r="I72" i="4"/>
  <c r="P50" i="4"/>
  <c r="P57" i="4" s="1"/>
  <c r="O50" i="4"/>
  <c r="O57" i="4" s="1"/>
  <c r="N50" i="4"/>
  <c r="N57" i="4" s="1"/>
  <c r="K50" i="4"/>
  <c r="K57" i="4" s="1"/>
  <c r="J50" i="4"/>
  <c r="J57" i="4" s="1"/>
  <c r="I50" i="4"/>
  <c r="I57" i="4" s="1"/>
  <c r="P49" i="4"/>
  <c r="P56" i="4" s="1"/>
  <c r="O49" i="4"/>
  <c r="O56" i="4" s="1"/>
  <c r="N49" i="4"/>
  <c r="N56" i="4" s="1"/>
  <c r="K49" i="4"/>
  <c r="K56" i="4" s="1"/>
  <c r="J49" i="4"/>
  <c r="J56" i="4" s="1"/>
  <c r="I49" i="4"/>
  <c r="I56" i="4" s="1"/>
  <c r="P48" i="4"/>
  <c r="P55" i="4" s="1"/>
  <c r="O48" i="4"/>
  <c r="O55" i="4" s="1"/>
  <c r="N48" i="4"/>
  <c r="N55" i="4" s="1"/>
  <c r="K48" i="4"/>
  <c r="K55" i="4" s="1"/>
  <c r="J48" i="4"/>
  <c r="J55" i="4" s="1"/>
  <c r="I48" i="4"/>
  <c r="I55" i="4" s="1"/>
  <c r="P47" i="4"/>
  <c r="P54" i="4" s="1"/>
  <c r="O47" i="4"/>
  <c r="O54" i="4" s="1"/>
  <c r="N47" i="4"/>
  <c r="N54" i="4" s="1"/>
  <c r="K47" i="4"/>
  <c r="K54" i="4" s="1"/>
  <c r="J47" i="4"/>
  <c r="J54" i="4" s="1"/>
  <c r="I47" i="4"/>
  <c r="I54" i="4" s="1"/>
  <c r="L81" i="2"/>
  <c r="J81" i="2"/>
  <c r="K81" i="2"/>
  <c r="J82" i="2"/>
  <c r="K82" i="2"/>
  <c r="L82" i="2"/>
  <c r="J83" i="2"/>
  <c r="K83" i="2"/>
  <c r="L83" i="2"/>
  <c r="J84" i="2"/>
  <c r="K84" i="2"/>
  <c r="L84" i="2"/>
  <c r="K80" i="2"/>
  <c r="L80" i="2"/>
  <c r="J80" i="2"/>
  <c r="E73" i="2"/>
  <c r="E74" i="2"/>
  <c r="E75" i="2"/>
  <c r="E76" i="2"/>
  <c r="E77" i="2"/>
  <c r="E78" i="2"/>
  <c r="E79" i="2"/>
  <c r="E72" i="2"/>
  <c r="E67" i="2"/>
  <c r="D67" i="2"/>
  <c r="E66" i="2"/>
  <c r="D66" i="2"/>
  <c r="E65" i="2"/>
  <c r="D65" i="2"/>
  <c r="E64" i="2"/>
  <c r="D64" i="2"/>
  <c r="E63" i="2"/>
  <c r="D63" i="2"/>
  <c r="G37" i="8"/>
  <c r="I7" i="8"/>
  <c r="H7" i="8"/>
  <c r="G7" i="8"/>
  <c r="I22" i="8"/>
  <c r="H22" i="8"/>
  <c r="G22" i="8"/>
  <c r="P26" i="4"/>
  <c r="P33" i="4" s="1"/>
  <c r="P27" i="4"/>
  <c r="P34" i="4" s="1"/>
  <c r="P28" i="4"/>
  <c r="P35" i="4" s="1"/>
  <c r="P25" i="4"/>
  <c r="O26" i="4"/>
  <c r="O27" i="4"/>
  <c r="O28" i="4"/>
  <c r="O25" i="4"/>
  <c r="N26" i="4"/>
  <c r="N27" i="4"/>
  <c r="N34" i="4" s="1"/>
  <c r="N28" i="4"/>
  <c r="N25" i="4"/>
  <c r="N32" i="4" l="1"/>
  <c r="O32" i="4"/>
  <c r="N33" i="4"/>
  <c r="N35" i="4"/>
  <c r="O34" i="4"/>
  <c r="O35" i="4"/>
  <c r="P32" i="4"/>
  <c r="O33" i="4"/>
  <c r="I28" i="4" l="1"/>
  <c r="I35" i="4" s="1"/>
  <c r="I25" i="4"/>
  <c r="J28" i="4"/>
  <c r="J35" i="4" s="1"/>
  <c r="J26" i="4"/>
  <c r="J27" i="4"/>
  <c r="J25" i="4"/>
  <c r="J32" i="4" s="1"/>
  <c r="K26" i="4"/>
  <c r="K27" i="4"/>
  <c r="K28" i="4"/>
  <c r="K35" i="4" s="1"/>
  <c r="K25" i="4"/>
  <c r="I26" i="4"/>
  <c r="I27" i="4"/>
  <c r="E12" i="2"/>
  <c r="D12" i="2"/>
  <c r="E13" i="2"/>
  <c r="D13" i="2"/>
  <c r="J33" i="4" l="1"/>
  <c r="K33" i="4"/>
  <c r="I34" i="4"/>
  <c r="I33" i="4"/>
  <c r="I32" i="4"/>
  <c r="G64" i="2"/>
  <c r="G66" i="2"/>
  <c r="G67" i="2"/>
  <c r="G65" i="2"/>
  <c r="F66" i="2"/>
  <c r="F64" i="2"/>
  <c r="F65" i="2"/>
  <c r="F67" i="2"/>
  <c r="J34" i="4"/>
  <c r="K34" i="4"/>
  <c r="K32" i="4"/>
  <c r="L71" i="2" l="1"/>
  <c r="L75" i="2"/>
  <c r="L74" i="2"/>
  <c r="L72" i="2"/>
  <c r="L73" i="2"/>
  <c r="K75" i="2"/>
  <c r="J71" i="2"/>
  <c r="J75" i="2"/>
  <c r="K74" i="2"/>
  <c r="J74" i="2"/>
  <c r="K73" i="2"/>
  <c r="K71" i="2"/>
  <c r="J73" i="2"/>
  <c r="K72" i="2"/>
  <c r="J72" i="2"/>
  <c r="B5" i="6"/>
  <c r="A91" i="4" l="1"/>
  <c r="B91" i="4"/>
  <c r="C91" i="4"/>
  <c r="A92" i="4"/>
  <c r="B92" i="4"/>
  <c r="C92" i="4"/>
  <c r="A93" i="4"/>
  <c r="B93" i="4"/>
  <c r="C93" i="4"/>
  <c r="A94" i="4"/>
  <c r="B94" i="4"/>
  <c r="C94" i="4"/>
  <c r="A95" i="4"/>
  <c r="B95" i="4"/>
  <c r="C95" i="4"/>
  <c r="A96" i="4"/>
  <c r="B96" i="4"/>
  <c r="C96" i="4"/>
  <c r="A97" i="4"/>
  <c r="B97" i="4"/>
  <c r="C97" i="4"/>
  <c r="A98" i="4"/>
  <c r="B98" i="4"/>
  <c r="C98" i="4"/>
  <c r="A99" i="4"/>
  <c r="B99" i="4"/>
  <c r="C99" i="4"/>
  <c r="A100" i="4"/>
  <c r="B100" i="4"/>
  <c r="C100" i="4"/>
  <c r="A101" i="4"/>
  <c r="B101" i="4"/>
  <c r="C101" i="4"/>
  <c r="A102" i="4"/>
  <c r="B102" i="4"/>
  <c r="C102" i="4"/>
  <c r="A103" i="4"/>
  <c r="B103" i="4"/>
  <c r="C103" i="4"/>
  <c r="A104" i="4"/>
  <c r="B104" i="4"/>
  <c r="C104" i="4"/>
  <c r="A105" i="4"/>
  <c r="B105" i="4"/>
  <c r="C105" i="4"/>
  <c r="A106" i="4"/>
  <c r="B106" i="4"/>
  <c r="C106" i="4"/>
  <c r="A107" i="4"/>
  <c r="B107" i="4"/>
  <c r="C107" i="4"/>
  <c r="A108" i="4"/>
  <c r="B108" i="4"/>
  <c r="C108" i="4"/>
  <c r="A109" i="4"/>
  <c r="B109" i="4"/>
  <c r="C109" i="4"/>
  <c r="A110" i="4"/>
  <c r="B110" i="4"/>
  <c r="C110" i="4"/>
  <c r="A111" i="4"/>
  <c r="B111" i="4"/>
  <c r="C111" i="4"/>
  <c r="A112" i="4"/>
  <c r="B112" i="4"/>
  <c r="C112" i="4"/>
  <c r="A113" i="4"/>
  <c r="B113" i="4"/>
  <c r="C113" i="4"/>
  <c r="A114" i="4"/>
  <c r="B114" i="4"/>
  <c r="C114" i="4"/>
  <c r="A115" i="4"/>
  <c r="B115" i="4"/>
  <c r="C115" i="4"/>
  <c r="A116" i="4"/>
  <c r="B116" i="4"/>
  <c r="C116" i="4"/>
  <c r="A117" i="4"/>
  <c r="B117" i="4"/>
  <c r="C117" i="4"/>
  <c r="A118" i="4"/>
  <c r="B118" i="4"/>
  <c r="C118" i="4"/>
  <c r="A119" i="4"/>
  <c r="B119" i="4"/>
  <c r="C119" i="4"/>
  <c r="A120" i="4"/>
  <c r="B120" i="4"/>
  <c r="C120" i="4"/>
  <c r="A121" i="4"/>
  <c r="B121" i="4"/>
  <c r="C121" i="4"/>
  <c r="A122" i="4"/>
  <c r="B122" i="4"/>
  <c r="C122" i="4"/>
  <c r="A123" i="4"/>
  <c r="B123" i="4"/>
  <c r="C123" i="4"/>
  <c r="A124" i="4"/>
  <c r="B124" i="4"/>
  <c r="C124" i="4"/>
  <c r="A125" i="4"/>
  <c r="B125" i="4"/>
  <c r="C125" i="4"/>
  <c r="A126" i="4"/>
  <c r="B126" i="4"/>
  <c r="C126" i="4"/>
  <c r="A127" i="4"/>
  <c r="B127" i="4"/>
  <c r="C127" i="4"/>
  <c r="A128" i="4"/>
  <c r="B128" i="4"/>
  <c r="C128" i="4"/>
  <c r="A129" i="4"/>
  <c r="B129" i="4"/>
  <c r="C129" i="4"/>
  <c r="A130" i="4"/>
  <c r="B130" i="4"/>
  <c r="C130" i="4"/>
  <c r="A131" i="4"/>
  <c r="B131" i="4"/>
  <c r="C131" i="4"/>
  <c r="A132" i="4"/>
  <c r="B132" i="4"/>
  <c r="C132" i="4"/>
  <c r="A133" i="4"/>
  <c r="B133" i="4"/>
  <c r="C133" i="4"/>
  <c r="A134" i="4"/>
  <c r="B134" i="4"/>
  <c r="C134" i="4"/>
  <c r="A135" i="4"/>
  <c r="B135" i="4"/>
  <c r="C135" i="4"/>
  <c r="A136" i="4"/>
  <c r="B136" i="4"/>
  <c r="C136" i="4"/>
  <c r="A137" i="4"/>
  <c r="B137" i="4"/>
  <c r="C137" i="4"/>
  <c r="A138" i="4"/>
  <c r="B138" i="4"/>
  <c r="C138" i="4"/>
  <c r="A139" i="4"/>
  <c r="B139" i="4"/>
  <c r="C139" i="4"/>
  <c r="A140" i="4"/>
  <c r="B140" i="4"/>
  <c r="C140" i="4"/>
  <c r="A141" i="4"/>
  <c r="B141" i="4"/>
  <c r="C141" i="4"/>
  <c r="A142" i="4"/>
  <c r="B142" i="4"/>
  <c r="C142" i="4"/>
  <c r="A143" i="4"/>
  <c r="B143" i="4"/>
  <c r="C143" i="4"/>
  <c r="A144" i="4"/>
  <c r="B144" i="4"/>
  <c r="C144" i="4"/>
  <c r="A145" i="4"/>
  <c r="B145" i="4"/>
  <c r="C145" i="4"/>
  <c r="A146" i="4"/>
  <c r="B146" i="4"/>
  <c r="C146" i="4"/>
  <c r="A147" i="4"/>
  <c r="B147" i="4"/>
  <c r="C147" i="4"/>
  <c r="A148" i="4"/>
  <c r="B148" i="4"/>
  <c r="C148" i="4"/>
  <c r="A149" i="4"/>
  <c r="B149" i="4"/>
  <c r="C149" i="4"/>
  <c r="A150" i="4"/>
  <c r="B150" i="4"/>
  <c r="C150" i="4"/>
  <c r="A151" i="4"/>
  <c r="B151" i="4"/>
  <c r="C151" i="4"/>
  <c r="A152" i="4"/>
  <c r="B152" i="4"/>
  <c r="C152" i="4"/>
  <c r="A153" i="4"/>
  <c r="B153" i="4"/>
  <c r="C153" i="4"/>
  <c r="A154" i="4"/>
  <c r="B154" i="4"/>
  <c r="C154" i="4"/>
  <c r="A155" i="4"/>
  <c r="B155" i="4"/>
  <c r="C155" i="4"/>
  <c r="A156" i="4"/>
  <c r="B156" i="4"/>
  <c r="C156" i="4"/>
  <c r="A157" i="4"/>
  <c r="B157" i="4"/>
  <c r="C157" i="4"/>
  <c r="A158" i="4"/>
  <c r="B158" i="4"/>
  <c r="C158" i="4"/>
  <c r="A159" i="4"/>
  <c r="B159" i="4"/>
  <c r="C159" i="4"/>
  <c r="A160" i="4"/>
  <c r="B160" i="4"/>
  <c r="C160" i="4"/>
  <c r="A161" i="4"/>
  <c r="B161" i="4"/>
  <c r="C161" i="4"/>
  <c r="A162" i="4"/>
  <c r="B162" i="4"/>
  <c r="C162" i="4"/>
  <c r="A163" i="4"/>
  <c r="B163" i="4"/>
  <c r="C163" i="4"/>
  <c r="A164" i="4"/>
  <c r="B164" i="4"/>
  <c r="C164" i="4"/>
  <c r="A165" i="4"/>
  <c r="B165" i="4"/>
  <c r="C165" i="4"/>
  <c r="A166" i="4"/>
  <c r="B166" i="4"/>
  <c r="C166" i="4"/>
  <c r="A167" i="4"/>
  <c r="B167" i="4"/>
  <c r="C167" i="4"/>
  <c r="A168" i="4"/>
  <c r="B168" i="4"/>
  <c r="C168" i="4"/>
  <c r="A169" i="4"/>
  <c r="B169" i="4"/>
  <c r="C169" i="4"/>
  <c r="A170" i="4"/>
  <c r="B170" i="4"/>
  <c r="C170" i="4"/>
  <c r="A171" i="4"/>
  <c r="B171" i="4"/>
  <c r="C171" i="4"/>
  <c r="A172" i="4"/>
  <c r="B172" i="4"/>
  <c r="C172" i="4"/>
  <c r="A173" i="4"/>
  <c r="B173" i="4"/>
  <c r="C173" i="4"/>
  <c r="A174" i="4"/>
  <c r="B174" i="4"/>
  <c r="C174" i="4"/>
  <c r="A175" i="4"/>
  <c r="B175" i="4"/>
  <c r="C175" i="4"/>
  <c r="A176" i="4"/>
  <c r="B176" i="4"/>
  <c r="C176" i="4"/>
  <c r="A177" i="4"/>
  <c r="B177" i="4"/>
  <c r="C177" i="4"/>
  <c r="A178" i="4"/>
  <c r="B178" i="4"/>
  <c r="C178" i="4"/>
  <c r="A179" i="4"/>
  <c r="B179" i="4"/>
  <c r="C179" i="4"/>
  <c r="A180" i="4"/>
  <c r="B180" i="4"/>
  <c r="C180" i="4"/>
  <c r="A181" i="4"/>
  <c r="B181" i="4"/>
  <c r="C181" i="4"/>
  <c r="A182" i="4"/>
  <c r="B182" i="4"/>
  <c r="C182" i="4"/>
  <c r="A183" i="4"/>
  <c r="B183" i="4"/>
  <c r="C183" i="4"/>
  <c r="A184" i="4"/>
  <c r="B184" i="4"/>
  <c r="C184" i="4"/>
  <c r="A185" i="4"/>
  <c r="B185" i="4"/>
  <c r="C185" i="4"/>
  <c r="A186" i="4"/>
  <c r="B186" i="4"/>
  <c r="C186" i="4"/>
  <c r="A187" i="4"/>
  <c r="B187" i="4"/>
  <c r="C187" i="4"/>
  <c r="A188" i="4"/>
  <c r="B188" i="4"/>
  <c r="C188" i="4"/>
  <c r="A189" i="4"/>
  <c r="B189" i="4"/>
  <c r="C189" i="4"/>
  <c r="A190" i="4"/>
  <c r="B190" i="4"/>
  <c r="C190" i="4"/>
  <c r="A191" i="4"/>
  <c r="B191" i="4"/>
  <c r="C191" i="4"/>
  <c r="A192" i="4"/>
  <c r="B192" i="4"/>
  <c r="C192" i="4"/>
  <c r="A193" i="4"/>
  <c r="B193" i="4"/>
  <c r="C193" i="4"/>
  <c r="A194" i="4"/>
  <c r="B194" i="4"/>
  <c r="C194" i="4"/>
  <c r="A195" i="4"/>
  <c r="B195" i="4"/>
  <c r="C195" i="4"/>
  <c r="A196" i="4"/>
  <c r="B196" i="4"/>
  <c r="C196" i="4"/>
  <c r="A197" i="4"/>
  <c r="B197" i="4"/>
  <c r="C197" i="4"/>
  <c r="A198" i="4"/>
  <c r="B198" i="4"/>
  <c r="C198" i="4"/>
  <c r="A199" i="4"/>
  <c r="B199" i="4"/>
  <c r="C199" i="4"/>
  <c r="A200" i="4"/>
  <c r="B200" i="4"/>
  <c r="C200" i="4"/>
  <c r="A201" i="4"/>
  <c r="B201" i="4"/>
  <c r="C201" i="4"/>
  <c r="A202" i="4"/>
  <c r="B202" i="4"/>
  <c r="C202" i="4"/>
  <c r="A203" i="4"/>
  <c r="B203" i="4"/>
  <c r="C203" i="4"/>
  <c r="A204" i="4"/>
  <c r="B204" i="4"/>
  <c r="C204" i="4"/>
  <c r="A205" i="4"/>
  <c r="B205" i="4"/>
  <c r="C205" i="4"/>
  <c r="A206" i="4"/>
  <c r="B206" i="4"/>
  <c r="C206" i="4"/>
  <c r="A207" i="4"/>
  <c r="B207" i="4"/>
  <c r="C207" i="4"/>
  <c r="A208" i="4"/>
  <c r="B208" i="4"/>
  <c r="C208" i="4"/>
  <c r="A209" i="4"/>
  <c r="B209" i="4"/>
  <c r="C209" i="4"/>
  <c r="A210" i="4"/>
  <c r="B210" i="4"/>
  <c r="C210" i="4"/>
  <c r="A211" i="4"/>
  <c r="B211" i="4"/>
  <c r="C211" i="4"/>
  <c r="A212" i="4"/>
  <c r="B212" i="4"/>
  <c r="C212" i="4"/>
  <c r="A213" i="4"/>
  <c r="B213" i="4"/>
  <c r="C213" i="4"/>
  <c r="A214" i="4"/>
  <c r="B214" i="4"/>
  <c r="C214" i="4"/>
  <c r="A215" i="4"/>
  <c r="B215" i="4"/>
  <c r="C215" i="4"/>
  <c r="A216" i="4"/>
  <c r="B216" i="4"/>
  <c r="C216" i="4"/>
  <c r="A217" i="4"/>
  <c r="B217" i="4"/>
  <c r="C217" i="4"/>
  <c r="A218" i="4"/>
  <c r="B218" i="4"/>
  <c r="C218" i="4"/>
  <c r="A219" i="4"/>
  <c r="B219" i="4"/>
  <c r="C219" i="4"/>
  <c r="A220" i="4"/>
  <c r="B220" i="4"/>
  <c r="C220" i="4"/>
  <c r="A221" i="4"/>
  <c r="B221" i="4"/>
  <c r="C221" i="4"/>
  <c r="A222" i="4"/>
  <c r="B222" i="4"/>
  <c r="C222" i="4"/>
  <c r="A223" i="4"/>
  <c r="B223" i="4"/>
  <c r="C223" i="4"/>
  <c r="A224" i="4"/>
  <c r="B224" i="4"/>
  <c r="C224" i="4"/>
  <c r="A225" i="4"/>
  <c r="B225" i="4"/>
  <c r="C225" i="4"/>
  <c r="A226" i="4"/>
  <c r="B226" i="4"/>
  <c r="C226" i="4"/>
  <c r="A227" i="4"/>
  <c r="B227" i="4"/>
  <c r="C227" i="4"/>
  <c r="A228" i="4"/>
  <c r="B228" i="4"/>
  <c r="C228" i="4"/>
  <c r="A229" i="4"/>
  <c r="B229" i="4"/>
  <c r="C229" i="4"/>
  <c r="A230" i="4"/>
  <c r="B230" i="4"/>
  <c r="C230" i="4"/>
  <c r="A231" i="4"/>
  <c r="B231" i="4"/>
  <c r="C231" i="4"/>
  <c r="A232" i="4"/>
  <c r="B232" i="4"/>
  <c r="C232" i="4"/>
  <c r="A233" i="4"/>
  <c r="B233" i="4"/>
  <c r="C233" i="4"/>
  <c r="A234" i="4"/>
  <c r="B234" i="4"/>
  <c r="C234" i="4"/>
  <c r="A235" i="4"/>
  <c r="B235" i="4"/>
  <c r="C235" i="4"/>
  <c r="A236" i="4"/>
  <c r="B236" i="4"/>
  <c r="C236" i="4"/>
  <c r="A237" i="4"/>
  <c r="B237" i="4"/>
  <c r="C237" i="4"/>
  <c r="A238" i="4"/>
  <c r="B238" i="4"/>
  <c r="C238" i="4"/>
  <c r="A239" i="4"/>
  <c r="B239" i="4"/>
  <c r="C239" i="4"/>
  <c r="A240" i="4"/>
  <c r="B240" i="4"/>
  <c r="C240" i="4"/>
  <c r="A241" i="4"/>
  <c r="B241" i="4"/>
  <c r="C241" i="4"/>
  <c r="A242" i="4"/>
  <c r="B242" i="4"/>
  <c r="C242" i="4"/>
  <c r="A243" i="4"/>
  <c r="B243" i="4"/>
  <c r="C243" i="4"/>
  <c r="A244" i="4"/>
  <c r="B244" i="4"/>
  <c r="C244" i="4"/>
  <c r="A245" i="4"/>
  <c r="B245" i="4"/>
  <c r="C245" i="4"/>
  <c r="A246" i="4"/>
  <c r="B246" i="4"/>
  <c r="C246" i="4"/>
  <c r="A247" i="4"/>
  <c r="B247" i="4"/>
  <c r="C247" i="4"/>
  <c r="A248" i="4"/>
  <c r="B248" i="4"/>
  <c r="C248" i="4"/>
  <c r="A249" i="4"/>
  <c r="B249" i="4"/>
  <c r="C249" i="4"/>
  <c r="A250" i="4"/>
  <c r="B250" i="4"/>
  <c r="C250" i="4"/>
  <c r="A251" i="4"/>
  <c r="B251" i="4"/>
  <c r="C251" i="4"/>
  <c r="A252" i="4"/>
  <c r="B252" i="4"/>
  <c r="C252" i="4"/>
  <c r="A253" i="4"/>
  <c r="B253" i="4"/>
  <c r="C253" i="4"/>
  <c r="A254" i="4"/>
  <c r="B254" i="4"/>
  <c r="C254" i="4"/>
  <c r="A255" i="4"/>
  <c r="B255" i="4"/>
  <c r="C255" i="4"/>
  <c r="A256" i="4"/>
  <c r="B256" i="4"/>
  <c r="C256" i="4"/>
  <c r="A257" i="4"/>
  <c r="B257" i="4"/>
  <c r="C257" i="4"/>
  <c r="A258" i="4"/>
  <c r="B258" i="4"/>
  <c r="C258" i="4"/>
  <c r="A259" i="4"/>
  <c r="B259" i="4"/>
  <c r="C259" i="4"/>
  <c r="A260" i="4"/>
  <c r="B260" i="4"/>
  <c r="C260" i="4"/>
  <c r="A261" i="4"/>
  <c r="B261" i="4"/>
  <c r="C261" i="4"/>
  <c r="A262" i="4"/>
  <c r="B262" i="4"/>
  <c r="C262" i="4"/>
  <c r="A263" i="4"/>
  <c r="B263" i="4"/>
  <c r="C263" i="4"/>
  <c r="A264" i="4"/>
  <c r="B264" i="4"/>
  <c r="C264" i="4"/>
  <c r="A265" i="4"/>
  <c r="B265" i="4"/>
  <c r="C265" i="4"/>
  <c r="A266" i="4"/>
  <c r="B266" i="4"/>
  <c r="C266" i="4"/>
  <c r="A267" i="4"/>
  <c r="B267" i="4"/>
  <c r="C267" i="4"/>
  <c r="A268" i="4"/>
  <c r="B268" i="4"/>
  <c r="C268" i="4"/>
  <c r="A269" i="4"/>
  <c r="B269" i="4"/>
  <c r="C269" i="4"/>
  <c r="A90" i="4"/>
  <c r="B90" i="4"/>
  <c r="C90" i="4"/>
  <c r="AA19" i="4" l="1"/>
  <c r="AF19" i="4"/>
  <c r="T19" i="4"/>
  <c r="AB19" i="4"/>
  <c r="AL19" i="4"/>
  <c r="U19" i="4"/>
  <c r="AC19" i="4"/>
  <c r="AK19" i="4"/>
  <c r="AD19" i="4"/>
  <c r="AN19" i="4"/>
  <c r="V19" i="4"/>
  <c r="W19" i="4"/>
  <c r="AE19" i="4"/>
  <c r="AM19" i="4"/>
  <c r="X19" i="4"/>
  <c r="Y19" i="4"/>
  <c r="AG19" i="4"/>
  <c r="S19" i="4"/>
  <c r="D274" i="4"/>
  <c r="AJ19" i="4"/>
  <c r="Z19" i="4"/>
  <c r="AH19" i="4"/>
  <c r="AI19" i="4"/>
  <c r="S277" i="4"/>
  <c r="O19" i="4"/>
  <c r="AD15" i="4"/>
  <c r="AG8" i="4"/>
  <c r="AN13" i="4"/>
  <c r="M12" i="4"/>
  <c r="W10" i="4"/>
  <c r="F7" i="4"/>
  <c r="L5" i="4"/>
  <c r="W16" i="4"/>
  <c r="F286" i="4"/>
  <c r="C17" i="4"/>
  <c r="G19" i="4"/>
  <c r="V15" i="4"/>
  <c r="AF13" i="4"/>
  <c r="E12" i="4"/>
  <c r="O10" i="4"/>
  <c r="Y8" i="4"/>
  <c r="AI6" i="4"/>
  <c r="R18" i="4"/>
  <c r="D285" i="4"/>
  <c r="K285" i="4"/>
  <c r="C16" i="4"/>
  <c r="M18" i="4"/>
  <c r="N15" i="4"/>
  <c r="X13" i="4"/>
  <c r="AH11" i="4"/>
  <c r="G10" i="4"/>
  <c r="Q8" i="4"/>
  <c r="AA6" i="4"/>
  <c r="AG18" i="4"/>
  <c r="D275" i="4"/>
  <c r="P284" i="4"/>
  <c r="E18" i="4"/>
  <c r="F15" i="4"/>
  <c r="P13" i="4"/>
  <c r="Z11" i="4"/>
  <c r="AJ9" i="4"/>
  <c r="I8" i="4"/>
  <c r="S6" i="4"/>
  <c r="X18" i="4"/>
  <c r="AE288" i="4"/>
  <c r="Z282" i="4"/>
  <c r="K17" i="4"/>
  <c r="AI14" i="4"/>
  <c r="H13" i="4"/>
  <c r="R11" i="4"/>
  <c r="AB9" i="4"/>
  <c r="AL7" i="4"/>
  <c r="K6" i="4"/>
  <c r="AK17" i="4"/>
  <c r="P288" i="4"/>
  <c r="AJ280" i="4"/>
  <c r="Q16" i="4"/>
  <c r="AA14" i="4"/>
  <c r="AK12" i="4"/>
  <c r="J11" i="4"/>
  <c r="T9" i="4"/>
  <c r="AD7" i="4"/>
  <c r="AN5" i="4"/>
  <c r="AA17" i="4"/>
  <c r="AK287" i="4"/>
  <c r="I279" i="4"/>
  <c r="I16" i="4"/>
  <c r="S14" i="4"/>
  <c r="AC12" i="4"/>
  <c r="AM10" i="4"/>
  <c r="L9" i="4"/>
  <c r="V7" i="4"/>
  <c r="AD5" i="4"/>
  <c r="R16" i="4"/>
  <c r="U287" i="4"/>
  <c r="C6" i="4"/>
  <c r="E274" i="4"/>
  <c r="M274" i="4"/>
  <c r="U274" i="4"/>
  <c r="AC274" i="4"/>
  <c r="AK274" i="4"/>
  <c r="H275" i="4"/>
  <c r="P275" i="4"/>
  <c r="X275" i="4"/>
  <c r="AF275" i="4"/>
  <c r="AN275" i="4"/>
  <c r="K276" i="4"/>
  <c r="S276" i="4"/>
  <c r="AA276" i="4"/>
  <c r="AI276" i="4"/>
  <c r="F277" i="4"/>
  <c r="N277" i="4"/>
  <c r="V277" i="4"/>
  <c r="AD277" i="4"/>
  <c r="AL277" i="4"/>
  <c r="I278" i="4"/>
  <c r="Q278" i="4"/>
  <c r="Y278" i="4"/>
  <c r="AG278" i="4"/>
  <c r="AO278" i="4"/>
  <c r="L279" i="4"/>
  <c r="T279" i="4"/>
  <c r="AB279" i="4"/>
  <c r="AJ279" i="4"/>
  <c r="G280" i="4"/>
  <c r="O280" i="4"/>
  <c r="W280" i="4"/>
  <c r="AE280" i="4"/>
  <c r="AM280" i="4"/>
  <c r="J281" i="4"/>
  <c r="R281" i="4"/>
  <c r="Z281" i="4"/>
  <c r="AH281" i="4"/>
  <c r="E282" i="4"/>
  <c r="M282" i="4"/>
  <c r="U282" i="4"/>
  <c r="AC282" i="4"/>
  <c r="AK282" i="4"/>
  <c r="H283" i="4"/>
  <c r="P283" i="4"/>
  <c r="X283" i="4"/>
  <c r="AF283" i="4"/>
  <c r="AN283" i="4"/>
  <c r="K284" i="4"/>
  <c r="S284" i="4"/>
  <c r="AA284" i="4"/>
  <c r="AI284" i="4"/>
  <c r="F285" i="4"/>
  <c r="N285" i="4"/>
  <c r="V285" i="4"/>
  <c r="AD285" i="4"/>
  <c r="AL285" i="4"/>
  <c r="I286" i="4"/>
  <c r="Q286" i="4"/>
  <c r="Y286" i="4"/>
  <c r="AG286" i="4"/>
  <c r="AO286" i="4"/>
  <c r="L287" i="4"/>
  <c r="T287" i="4"/>
  <c r="AB287" i="4"/>
  <c r="AJ287" i="4"/>
  <c r="G288" i="4"/>
  <c r="O288" i="4"/>
  <c r="W288" i="4"/>
  <c r="F274" i="4"/>
  <c r="N274" i="4"/>
  <c r="V274" i="4"/>
  <c r="AD274" i="4"/>
  <c r="AL274" i="4"/>
  <c r="I275" i="4"/>
  <c r="Q275" i="4"/>
  <c r="Y275" i="4"/>
  <c r="AG275" i="4"/>
  <c r="AO275" i="4"/>
  <c r="L276" i="4"/>
  <c r="T276" i="4"/>
  <c r="AB276" i="4"/>
  <c r="AJ276" i="4"/>
  <c r="G277" i="4"/>
  <c r="O277" i="4"/>
  <c r="W277" i="4"/>
  <c r="AE277" i="4"/>
  <c r="AM277" i="4"/>
  <c r="J278" i="4"/>
  <c r="R278" i="4"/>
  <c r="Z278" i="4"/>
  <c r="AH278" i="4"/>
  <c r="E279" i="4"/>
  <c r="M279" i="4"/>
  <c r="U279" i="4"/>
  <c r="AC279" i="4"/>
  <c r="AK279" i="4"/>
  <c r="H280" i="4"/>
  <c r="P280" i="4"/>
  <c r="X280" i="4"/>
  <c r="AF280" i="4"/>
  <c r="AN280" i="4"/>
  <c r="K281" i="4"/>
  <c r="S281" i="4"/>
  <c r="AA281" i="4"/>
  <c r="AI281" i="4"/>
  <c r="F282" i="4"/>
  <c r="N282" i="4"/>
  <c r="V282" i="4"/>
  <c r="AD282" i="4"/>
  <c r="AL282" i="4"/>
  <c r="I283" i="4"/>
  <c r="Q283" i="4"/>
  <c r="Y283" i="4"/>
  <c r="AG283" i="4"/>
  <c r="AO283" i="4"/>
  <c r="L284" i="4"/>
  <c r="T284" i="4"/>
  <c r="AB284" i="4"/>
  <c r="AJ284" i="4"/>
  <c r="G285" i="4"/>
  <c r="O285" i="4"/>
  <c r="W285" i="4"/>
  <c r="AE285" i="4"/>
  <c r="AM285" i="4"/>
  <c r="J286" i="4"/>
  <c r="R286" i="4"/>
  <c r="Z286" i="4"/>
  <c r="AH286" i="4"/>
  <c r="G274" i="4"/>
  <c r="O274" i="4"/>
  <c r="W274" i="4"/>
  <c r="AE274" i="4"/>
  <c r="AM274" i="4"/>
  <c r="J275" i="4"/>
  <c r="R275" i="4"/>
  <c r="Z275" i="4"/>
  <c r="AH275" i="4"/>
  <c r="E276" i="4"/>
  <c r="M276" i="4"/>
  <c r="U276" i="4"/>
  <c r="AC276" i="4"/>
  <c r="AK276" i="4"/>
  <c r="H277" i="4"/>
  <c r="P277" i="4"/>
  <c r="X277" i="4"/>
  <c r="AF277" i="4"/>
  <c r="AN277" i="4"/>
  <c r="K278" i="4"/>
  <c r="S278" i="4"/>
  <c r="AA278" i="4"/>
  <c r="AI278" i="4"/>
  <c r="F279" i="4"/>
  <c r="N279" i="4"/>
  <c r="V279" i="4"/>
  <c r="AD279" i="4"/>
  <c r="AL279" i="4"/>
  <c r="I280" i="4"/>
  <c r="Q280" i="4"/>
  <c r="Y280" i="4"/>
  <c r="AG280" i="4"/>
  <c r="AO280" i="4"/>
  <c r="L281" i="4"/>
  <c r="T281" i="4"/>
  <c r="AB281" i="4"/>
  <c r="AJ281" i="4"/>
  <c r="G282" i="4"/>
  <c r="O282" i="4"/>
  <c r="W282" i="4"/>
  <c r="AE282" i="4"/>
  <c r="AM282" i="4"/>
  <c r="J283" i="4"/>
  <c r="R283" i="4"/>
  <c r="Z283" i="4"/>
  <c r="AH283" i="4"/>
  <c r="E284" i="4"/>
  <c r="M284" i="4"/>
  <c r="U284" i="4"/>
  <c r="AC284" i="4"/>
  <c r="AK284" i="4"/>
  <c r="H285" i="4"/>
  <c r="P285" i="4"/>
  <c r="X285" i="4"/>
  <c r="AF285" i="4"/>
  <c r="AN285" i="4"/>
  <c r="K286" i="4"/>
  <c r="S286" i="4"/>
  <c r="AA286" i="4"/>
  <c r="AI286" i="4"/>
  <c r="F287" i="4"/>
  <c r="N287" i="4"/>
  <c r="V287" i="4"/>
  <c r="AD287" i="4"/>
  <c r="AL287" i="4"/>
  <c r="I288" i="4"/>
  <c r="Q288" i="4"/>
  <c r="Y288" i="4"/>
  <c r="AG288" i="4"/>
  <c r="AO288" i="4"/>
  <c r="D282" i="4"/>
  <c r="S16" i="4"/>
  <c r="AA16" i="4"/>
  <c r="AI16" i="4"/>
  <c r="T17" i="4"/>
  <c r="AB17" i="4"/>
  <c r="AJ17" i="4"/>
  <c r="V18" i="4"/>
  <c r="AD18" i="4"/>
  <c r="AL18" i="4"/>
  <c r="G5" i="4"/>
  <c r="O5" i="4"/>
  <c r="W5" i="4"/>
  <c r="AE5" i="4"/>
  <c r="AM5" i="4"/>
  <c r="H274" i="4"/>
  <c r="P274" i="4"/>
  <c r="X274" i="4"/>
  <c r="AF274" i="4"/>
  <c r="AN274" i="4"/>
  <c r="K275" i="4"/>
  <c r="S275" i="4"/>
  <c r="AA275" i="4"/>
  <c r="AI275" i="4"/>
  <c r="F276" i="4"/>
  <c r="N276" i="4"/>
  <c r="V276" i="4"/>
  <c r="AD276" i="4"/>
  <c r="AL276" i="4"/>
  <c r="I277" i="4"/>
  <c r="Q277" i="4"/>
  <c r="Y277" i="4"/>
  <c r="AG277" i="4"/>
  <c r="AO277" i="4"/>
  <c r="L278" i="4"/>
  <c r="T278" i="4"/>
  <c r="AB278" i="4"/>
  <c r="AJ278" i="4"/>
  <c r="G279" i="4"/>
  <c r="O279" i="4"/>
  <c r="W279" i="4"/>
  <c r="AE279" i="4"/>
  <c r="AM279" i="4"/>
  <c r="J280" i="4"/>
  <c r="R280" i="4"/>
  <c r="Z280" i="4"/>
  <c r="AH280" i="4"/>
  <c r="E281" i="4"/>
  <c r="M281" i="4"/>
  <c r="U281" i="4"/>
  <c r="AC281" i="4"/>
  <c r="AK281" i="4"/>
  <c r="H282" i="4"/>
  <c r="P282" i="4"/>
  <c r="X282" i="4"/>
  <c r="AF282" i="4"/>
  <c r="AN282" i="4"/>
  <c r="K283" i="4"/>
  <c r="S283" i="4"/>
  <c r="AA283" i="4"/>
  <c r="AI283" i="4"/>
  <c r="F284" i="4"/>
  <c r="N284" i="4"/>
  <c r="V284" i="4"/>
  <c r="AD284" i="4"/>
  <c r="AL284" i="4"/>
  <c r="I285" i="4"/>
  <c r="Q285" i="4"/>
  <c r="Y285" i="4"/>
  <c r="AG285" i="4"/>
  <c r="AO285" i="4"/>
  <c r="L286" i="4"/>
  <c r="T286" i="4"/>
  <c r="AB286" i="4"/>
  <c r="AJ286" i="4"/>
  <c r="G287" i="4"/>
  <c r="O287" i="4"/>
  <c r="W287" i="4"/>
  <c r="AE287" i="4"/>
  <c r="AM287" i="4"/>
  <c r="J288" i="4"/>
  <c r="R288" i="4"/>
  <c r="Z288" i="4"/>
  <c r="I274" i="4"/>
  <c r="Q274" i="4"/>
  <c r="Y274" i="4"/>
  <c r="AG274" i="4"/>
  <c r="AO274" i="4"/>
  <c r="L275" i="4"/>
  <c r="T275" i="4"/>
  <c r="AB275" i="4"/>
  <c r="AJ275" i="4"/>
  <c r="G276" i="4"/>
  <c r="O276" i="4"/>
  <c r="W276" i="4"/>
  <c r="AE276" i="4"/>
  <c r="AM276" i="4"/>
  <c r="J277" i="4"/>
  <c r="R277" i="4"/>
  <c r="Z277" i="4"/>
  <c r="AH277" i="4"/>
  <c r="E278" i="4"/>
  <c r="M278" i="4"/>
  <c r="U278" i="4"/>
  <c r="AC278" i="4"/>
  <c r="AK278" i="4"/>
  <c r="H279" i="4"/>
  <c r="P279" i="4"/>
  <c r="X279" i="4"/>
  <c r="AF279" i="4"/>
  <c r="AN279" i="4"/>
  <c r="K280" i="4"/>
  <c r="S280" i="4"/>
  <c r="AA280" i="4"/>
  <c r="AI280" i="4"/>
  <c r="F281" i="4"/>
  <c r="N281" i="4"/>
  <c r="V281" i="4"/>
  <c r="AD281" i="4"/>
  <c r="AL281" i="4"/>
  <c r="I282" i="4"/>
  <c r="Q282" i="4"/>
  <c r="Y282" i="4"/>
  <c r="AG282" i="4"/>
  <c r="AO282" i="4"/>
  <c r="L283" i="4"/>
  <c r="T283" i="4"/>
  <c r="AB283" i="4"/>
  <c r="AJ283" i="4"/>
  <c r="G284" i="4"/>
  <c r="O284" i="4"/>
  <c r="K274" i="4"/>
  <c r="S274" i="4"/>
  <c r="AA274" i="4"/>
  <c r="AI274" i="4"/>
  <c r="F275" i="4"/>
  <c r="N275" i="4"/>
  <c r="V275" i="4"/>
  <c r="AD275" i="4"/>
  <c r="AL275" i="4"/>
  <c r="I276" i="4"/>
  <c r="Q276" i="4"/>
  <c r="Y276" i="4"/>
  <c r="AG276" i="4"/>
  <c r="AO276" i="4"/>
  <c r="L277" i="4"/>
  <c r="T277" i="4"/>
  <c r="AB277" i="4"/>
  <c r="AJ277" i="4"/>
  <c r="G278" i="4"/>
  <c r="O278" i="4"/>
  <c r="W278" i="4"/>
  <c r="AE278" i="4"/>
  <c r="AM278" i="4"/>
  <c r="J279" i="4"/>
  <c r="R279" i="4"/>
  <c r="Z279" i="4"/>
  <c r="AH279" i="4"/>
  <c r="E280" i="4"/>
  <c r="M280" i="4"/>
  <c r="U280" i="4"/>
  <c r="AC280" i="4"/>
  <c r="AK280" i="4"/>
  <c r="H281" i="4"/>
  <c r="P281" i="4"/>
  <c r="X281" i="4"/>
  <c r="AF281" i="4"/>
  <c r="AN281" i="4"/>
  <c r="K282" i="4"/>
  <c r="S282" i="4"/>
  <c r="AA282" i="4"/>
  <c r="AI282" i="4"/>
  <c r="F283" i="4"/>
  <c r="N283" i="4"/>
  <c r="V283" i="4"/>
  <c r="AD283" i="4"/>
  <c r="AL283" i="4"/>
  <c r="I284" i="4"/>
  <c r="Q284" i="4"/>
  <c r="Y284" i="4"/>
  <c r="AG284" i="4"/>
  <c r="AO284" i="4"/>
  <c r="L285" i="4"/>
  <c r="T285" i="4"/>
  <c r="AB285" i="4"/>
  <c r="AJ285" i="4"/>
  <c r="G286" i="4"/>
  <c r="O286" i="4"/>
  <c r="W286" i="4"/>
  <c r="AE286" i="4"/>
  <c r="AM286" i="4"/>
  <c r="J287" i="4"/>
  <c r="L274" i="4"/>
  <c r="T274" i="4"/>
  <c r="AB274" i="4"/>
  <c r="AJ274" i="4"/>
  <c r="G275" i="4"/>
  <c r="O275" i="4"/>
  <c r="W275" i="4"/>
  <c r="AE275" i="4"/>
  <c r="AM275" i="4"/>
  <c r="J276" i="4"/>
  <c r="R276" i="4"/>
  <c r="Z276" i="4"/>
  <c r="AH276" i="4"/>
  <c r="E277" i="4"/>
  <c r="M277" i="4"/>
  <c r="U277" i="4"/>
  <c r="AC277" i="4"/>
  <c r="AK277" i="4"/>
  <c r="H278" i="4"/>
  <c r="P278" i="4"/>
  <c r="X278" i="4"/>
  <c r="AF278" i="4"/>
  <c r="AN278" i="4"/>
  <c r="K279" i="4"/>
  <c r="S279" i="4"/>
  <c r="AA279" i="4"/>
  <c r="AI279" i="4"/>
  <c r="F280" i="4"/>
  <c r="N280" i="4"/>
  <c r="V280" i="4"/>
  <c r="AD280" i="4"/>
  <c r="AL280" i="4"/>
  <c r="I281" i="4"/>
  <c r="Q281" i="4"/>
  <c r="Y281" i="4"/>
  <c r="AG281" i="4"/>
  <c r="AO281" i="4"/>
  <c r="L282" i="4"/>
  <c r="T282" i="4"/>
  <c r="AB282" i="4"/>
  <c r="AJ282" i="4"/>
  <c r="G283" i="4"/>
  <c r="O283" i="4"/>
  <c r="W283" i="4"/>
  <c r="AE283" i="4"/>
  <c r="AM283" i="4"/>
  <c r="J284" i="4"/>
  <c r="R284" i="4"/>
  <c r="Z284" i="4"/>
  <c r="AH284" i="4"/>
  <c r="E285" i="4"/>
  <c r="M285" i="4"/>
  <c r="U285" i="4"/>
  <c r="AC285" i="4"/>
  <c r="AK285" i="4"/>
  <c r="H286" i="4"/>
  <c r="P286" i="4"/>
  <c r="X286" i="4"/>
  <c r="AF286" i="4"/>
  <c r="AN286" i="4"/>
  <c r="K287" i="4"/>
  <c r="S287" i="4"/>
  <c r="AA287" i="4"/>
  <c r="AI287" i="4"/>
  <c r="F288" i="4"/>
  <c r="N288" i="4"/>
  <c r="V288" i="4"/>
  <c r="AD288" i="4"/>
  <c r="AL288" i="4"/>
  <c r="D279" i="4"/>
  <c r="J274" i="4"/>
  <c r="AK275" i="4"/>
  <c r="AA277" i="4"/>
  <c r="Q279" i="4"/>
  <c r="G281" i="4"/>
  <c r="AH282" i="4"/>
  <c r="W284" i="4"/>
  <c r="R285" i="4"/>
  <c r="M286" i="4"/>
  <c r="E287" i="4"/>
  <c r="X287" i="4"/>
  <c r="AN287" i="4"/>
  <c r="S288" i="4"/>
  <c r="AF288" i="4"/>
  <c r="D276" i="4"/>
  <c r="D286" i="4"/>
  <c r="X16" i="4"/>
  <c r="AG16" i="4"/>
  <c r="S17" i="4"/>
  <c r="AC17" i="4"/>
  <c r="AL17" i="4"/>
  <c r="Y18" i="4"/>
  <c r="AH18" i="4"/>
  <c r="D5" i="4"/>
  <c r="M5" i="4"/>
  <c r="V5" i="4"/>
  <c r="AF5" i="4"/>
  <c r="D6" i="4"/>
  <c r="L6" i="4"/>
  <c r="T6" i="4"/>
  <c r="AB6" i="4"/>
  <c r="AJ6" i="4"/>
  <c r="G7" i="4"/>
  <c r="O7" i="4"/>
  <c r="W7" i="4"/>
  <c r="AE7" i="4"/>
  <c r="AM7" i="4"/>
  <c r="J8" i="4"/>
  <c r="R8" i="4"/>
  <c r="Z8" i="4"/>
  <c r="AH8" i="4"/>
  <c r="E9" i="4"/>
  <c r="M9" i="4"/>
  <c r="U9" i="4"/>
  <c r="AC9" i="4"/>
  <c r="AK9" i="4"/>
  <c r="H10" i="4"/>
  <c r="P10" i="4"/>
  <c r="X10" i="4"/>
  <c r="AF10" i="4"/>
  <c r="AN10" i="4"/>
  <c r="K11" i="4"/>
  <c r="S11" i="4"/>
  <c r="AA11" i="4"/>
  <c r="AI11" i="4"/>
  <c r="F12" i="4"/>
  <c r="N12" i="4"/>
  <c r="V12" i="4"/>
  <c r="AD12" i="4"/>
  <c r="AL12" i="4"/>
  <c r="I13" i="4"/>
  <c r="Q13" i="4"/>
  <c r="Y13" i="4"/>
  <c r="AG13" i="4"/>
  <c r="D14" i="4"/>
  <c r="L14" i="4"/>
  <c r="T14" i="4"/>
  <c r="AB14" i="4"/>
  <c r="AJ14" i="4"/>
  <c r="G15" i="4"/>
  <c r="O15" i="4"/>
  <c r="W15" i="4"/>
  <c r="AE15" i="4"/>
  <c r="AM15" i="4"/>
  <c r="J16" i="4"/>
  <c r="D17" i="4"/>
  <c r="L17" i="4"/>
  <c r="F18" i="4"/>
  <c r="N18" i="4"/>
  <c r="H19" i="4"/>
  <c r="P19" i="4"/>
  <c r="R274" i="4"/>
  <c r="H276" i="4"/>
  <c r="AI277" i="4"/>
  <c r="Y279" i="4"/>
  <c r="O281" i="4"/>
  <c r="E283" i="4"/>
  <c r="X284" i="4"/>
  <c r="S285" i="4"/>
  <c r="N286" i="4"/>
  <c r="H287" i="4"/>
  <c r="Y287" i="4"/>
  <c r="AO287" i="4"/>
  <c r="T288" i="4"/>
  <c r="AH288" i="4"/>
  <c r="D277" i="4"/>
  <c r="D287" i="4"/>
  <c r="Y16" i="4"/>
  <c r="AH16" i="4"/>
  <c r="U17" i="4"/>
  <c r="AD17" i="4"/>
  <c r="AM17" i="4"/>
  <c r="Z18" i="4"/>
  <c r="AI18" i="4"/>
  <c r="E5" i="4"/>
  <c r="N5" i="4"/>
  <c r="X5" i="4"/>
  <c r="AG5" i="4"/>
  <c r="E6" i="4"/>
  <c r="M6" i="4"/>
  <c r="U6" i="4"/>
  <c r="AC6" i="4"/>
  <c r="AK6" i="4"/>
  <c r="H7" i="4"/>
  <c r="P7" i="4"/>
  <c r="X7" i="4"/>
  <c r="AF7" i="4"/>
  <c r="AN7" i="4"/>
  <c r="K8" i="4"/>
  <c r="S8" i="4"/>
  <c r="AA8" i="4"/>
  <c r="AI8" i="4"/>
  <c r="F9" i="4"/>
  <c r="N9" i="4"/>
  <c r="V9" i="4"/>
  <c r="AD9" i="4"/>
  <c r="AL9" i="4"/>
  <c r="I10" i="4"/>
  <c r="Q10" i="4"/>
  <c r="Y10" i="4"/>
  <c r="AG10" i="4"/>
  <c r="D11" i="4"/>
  <c r="L11" i="4"/>
  <c r="T11" i="4"/>
  <c r="AB11" i="4"/>
  <c r="AJ11" i="4"/>
  <c r="G12" i="4"/>
  <c r="O12" i="4"/>
  <c r="W12" i="4"/>
  <c r="AE12" i="4"/>
  <c r="AM12" i="4"/>
  <c r="J13" i="4"/>
  <c r="R13" i="4"/>
  <c r="Z13" i="4"/>
  <c r="AH13" i="4"/>
  <c r="E14" i="4"/>
  <c r="M14" i="4"/>
  <c r="U14" i="4"/>
  <c r="AC14" i="4"/>
  <c r="AK14" i="4"/>
  <c r="H15" i="4"/>
  <c r="P15" i="4"/>
  <c r="X15" i="4"/>
  <c r="AF15" i="4"/>
  <c r="AN15" i="4"/>
  <c r="K16" i="4"/>
  <c r="E17" i="4"/>
  <c r="M17" i="4"/>
  <c r="G18" i="4"/>
  <c r="O18" i="4"/>
  <c r="I19" i="4"/>
  <c r="Q19" i="4"/>
  <c r="C10" i="4"/>
  <c r="C18" i="4"/>
  <c r="Z274" i="4"/>
  <c r="P276" i="4"/>
  <c r="F278" i="4"/>
  <c r="AG279" i="4"/>
  <c r="W281" i="4"/>
  <c r="M283" i="4"/>
  <c r="AE284" i="4"/>
  <c r="Z285" i="4"/>
  <c r="U286" i="4"/>
  <c r="I287" i="4"/>
  <c r="Z287" i="4"/>
  <c r="E288" i="4"/>
  <c r="U288" i="4"/>
  <c r="AI288" i="4"/>
  <c r="D278" i="4"/>
  <c r="D288" i="4"/>
  <c r="Z16" i="4"/>
  <c r="AJ16" i="4"/>
  <c r="V17" i="4"/>
  <c r="AE17" i="4"/>
  <c r="AN17" i="4"/>
  <c r="AA18" i="4"/>
  <c r="AJ18" i="4"/>
  <c r="F5" i="4"/>
  <c r="P5" i="4"/>
  <c r="Y5" i="4"/>
  <c r="AH5" i="4"/>
  <c r="F6" i="4"/>
  <c r="N6" i="4"/>
  <c r="V6" i="4"/>
  <c r="AD6" i="4"/>
  <c r="AL6" i="4"/>
  <c r="I7" i="4"/>
  <c r="Q7" i="4"/>
  <c r="Y7" i="4"/>
  <c r="AG7" i="4"/>
  <c r="D8" i="4"/>
  <c r="L8" i="4"/>
  <c r="T8" i="4"/>
  <c r="AB8" i="4"/>
  <c r="AJ8" i="4"/>
  <c r="G9" i="4"/>
  <c r="O9" i="4"/>
  <c r="W9" i="4"/>
  <c r="AE9" i="4"/>
  <c r="AM9" i="4"/>
  <c r="J10" i="4"/>
  <c r="R10" i="4"/>
  <c r="Z10" i="4"/>
  <c r="AH10" i="4"/>
  <c r="E11" i="4"/>
  <c r="M11" i="4"/>
  <c r="U11" i="4"/>
  <c r="AC11" i="4"/>
  <c r="AK11" i="4"/>
  <c r="H12" i="4"/>
  <c r="P12" i="4"/>
  <c r="X12" i="4"/>
  <c r="AF12" i="4"/>
  <c r="AN12" i="4"/>
  <c r="K13" i="4"/>
  <c r="S13" i="4"/>
  <c r="AA13" i="4"/>
  <c r="AI13" i="4"/>
  <c r="F14" i="4"/>
  <c r="N14" i="4"/>
  <c r="V14" i="4"/>
  <c r="AD14" i="4"/>
  <c r="AL14" i="4"/>
  <c r="I15" i="4"/>
  <c r="Q15" i="4"/>
  <c r="Y15" i="4"/>
  <c r="AG15" i="4"/>
  <c r="D16" i="4"/>
  <c r="L16" i="4"/>
  <c r="F17" i="4"/>
  <c r="N17" i="4"/>
  <c r="H18" i="4"/>
  <c r="P18" i="4"/>
  <c r="J19" i="4"/>
  <c r="R19" i="4"/>
  <c r="C11" i="4"/>
  <c r="C19" i="4"/>
  <c r="E16" i="4"/>
  <c r="O17" i="4"/>
  <c r="I18" i="4"/>
  <c r="K19" i="4"/>
  <c r="AH274" i="4"/>
  <c r="X276" i="4"/>
  <c r="N278" i="4"/>
  <c r="AO279" i="4"/>
  <c r="AE281" i="4"/>
  <c r="U283" i="4"/>
  <c r="AF284" i="4"/>
  <c r="AA285" i="4"/>
  <c r="V286" i="4"/>
  <c r="M287" i="4"/>
  <c r="AC287" i="4"/>
  <c r="H288" i="4"/>
  <c r="X288" i="4"/>
  <c r="AJ288" i="4"/>
  <c r="D280" i="4"/>
  <c r="AB16" i="4"/>
  <c r="AK16" i="4"/>
  <c r="W17" i="4"/>
  <c r="AF17" i="4"/>
  <c r="S18" i="4"/>
  <c r="AB18" i="4"/>
  <c r="AK18" i="4"/>
  <c r="H5" i="4"/>
  <c r="Q5" i="4"/>
  <c r="Z5" i="4"/>
  <c r="AI5" i="4"/>
  <c r="G6" i="4"/>
  <c r="O6" i="4"/>
  <c r="W6" i="4"/>
  <c r="AE6" i="4"/>
  <c r="AM6" i="4"/>
  <c r="J7" i="4"/>
  <c r="R7" i="4"/>
  <c r="Z7" i="4"/>
  <c r="AH7" i="4"/>
  <c r="E8" i="4"/>
  <c r="M8" i="4"/>
  <c r="U8" i="4"/>
  <c r="AC8" i="4"/>
  <c r="AK8" i="4"/>
  <c r="H9" i="4"/>
  <c r="P9" i="4"/>
  <c r="X9" i="4"/>
  <c r="AF9" i="4"/>
  <c r="AN9" i="4"/>
  <c r="K10" i="4"/>
  <c r="S10" i="4"/>
  <c r="AA10" i="4"/>
  <c r="AI10" i="4"/>
  <c r="F11" i="4"/>
  <c r="N11" i="4"/>
  <c r="V11" i="4"/>
  <c r="AD11" i="4"/>
  <c r="AL11" i="4"/>
  <c r="I12" i="4"/>
  <c r="Q12" i="4"/>
  <c r="Y12" i="4"/>
  <c r="AG12" i="4"/>
  <c r="D13" i="4"/>
  <c r="L13" i="4"/>
  <c r="T13" i="4"/>
  <c r="AB13" i="4"/>
  <c r="AJ13" i="4"/>
  <c r="G14" i="4"/>
  <c r="O14" i="4"/>
  <c r="W14" i="4"/>
  <c r="AE14" i="4"/>
  <c r="AM14" i="4"/>
  <c r="J15" i="4"/>
  <c r="R15" i="4"/>
  <c r="Z15" i="4"/>
  <c r="AH15" i="4"/>
  <c r="M16" i="4"/>
  <c r="G17" i="4"/>
  <c r="Q18" i="4"/>
  <c r="C12" i="4"/>
  <c r="E275" i="4"/>
  <c r="AF276" i="4"/>
  <c r="V278" i="4"/>
  <c r="L280" i="4"/>
  <c r="AM281" i="4"/>
  <c r="AC283" i="4"/>
  <c r="AM284" i="4"/>
  <c r="AH285" i="4"/>
  <c r="AC286" i="4"/>
  <c r="P287" i="4"/>
  <c r="AF287" i="4"/>
  <c r="K288" i="4"/>
  <c r="AA288" i="4"/>
  <c r="AK288" i="4"/>
  <c r="D281" i="4"/>
  <c r="T16" i="4"/>
  <c r="AC16" i="4"/>
  <c r="AL16" i="4"/>
  <c r="X17" i="4"/>
  <c r="AG17" i="4"/>
  <c r="T18" i="4"/>
  <c r="AC18" i="4"/>
  <c r="AM18" i="4"/>
  <c r="I5" i="4"/>
  <c r="R5" i="4"/>
  <c r="AA5" i="4"/>
  <c r="AJ5" i="4"/>
  <c r="H6" i="4"/>
  <c r="P6" i="4"/>
  <c r="X6" i="4"/>
  <c r="AF6" i="4"/>
  <c r="AN6" i="4"/>
  <c r="K7" i="4"/>
  <c r="S7" i="4"/>
  <c r="AA7" i="4"/>
  <c r="AI7" i="4"/>
  <c r="F8" i="4"/>
  <c r="N8" i="4"/>
  <c r="V8" i="4"/>
  <c r="AD8" i="4"/>
  <c r="AL8" i="4"/>
  <c r="I9" i="4"/>
  <c r="Q9" i="4"/>
  <c r="Y9" i="4"/>
  <c r="AG9" i="4"/>
  <c r="D10" i="4"/>
  <c r="L10" i="4"/>
  <c r="T10" i="4"/>
  <c r="AB10" i="4"/>
  <c r="AJ10" i="4"/>
  <c r="G11" i="4"/>
  <c r="O11" i="4"/>
  <c r="W11" i="4"/>
  <c r="AE11" i="4"/>
  <c r="AM11" i="4"/>
  <c r="J12" i="4"/>
  <c r="R12" i="4"/>
  <c r="Z12" i="4"/>
  <c r="AH12" i="4"/>
  <c r="E13" i="4"/>
  <c r="M13" i="4"/>
  <c r="U13" i="4"/>
  <c r="AC13" i="4"/>
  <c r="AK13" i="4"/>
  <c r="H14" i="4"/>
  <c r="P14" i="4"/>
  <c r="X14" i="4"/>
  <c r="AF14" i="4"/>
  <c r="AN14" i="4"/>
  <c r="K15" i="4"/>
  <c r="S15" i="4"/>
  <c r="AA15" i="4"/>
  <c r="AI15" i="4"/>
  <c r="F16" i="4"/>
  <c r="N16" i="4"/>
  <c r="H17" i="4"/>
  <c r="P17" i="4"/>
  <c r="J18" i="4"/>
  <c r="D19" i="4"/>
  <c r="L19" i="4"/>
  <c r="C13" i="4"/>
  <c r="M275" i="4"/>
  <c r="AN276" i="4"/>
  <c r="AD278" i="4"/>
  <c r="T280" i="4"/>
  <c r="J282" i="4"/>
  <c r="AK283" i="4"/>
  <c r="AN284" i="4"/>
  <c r="AI285" i="4"/>
  <c r="AD286" i="4"/>
  <c r="Q287" i="4"/>
  <c r="AG287" i="4"/>
  <c r="L288" i="4"/>
  <c r="AB288" i="4"/>
  <c r="AM288" i="4"/>
  <c r="D283" i="4"/>
  <c r="U16" i="4"/>
  <c r="AD16" i="4"/>
  <c r="AM16" i="4"/>
  <c r="Y17" i="4"/>
  <c r="AH17" i="4"/>
  <c r="U18" i="4"/>
  <c r="AE18" i="4"/>
  <c r="AN18" i="4"/>
  <c r="J5" i="4"/>
  <c r="S5" i="4"/>
  <c r="AB5" i="4"/>
  <c r="AK5" i="4"/>
  <c r="I6" i="4"/>
  <c r="Q6" i="4"/>
  <c r="Y6" i="4"/>
  <c r="AG6" i="4"/>
  <c r="D7" i="4"/>
  <c r="L7" i="4"/>
  <c r="T7" i="4"/>
  <c r="AB7" i="4"/>
  <c r="AJ7" i="4"/>
  <c r="G8" i="4"/>
  <c r="O8" i="4"/>
  <c r="W8" i="4"/>
  <c r="AE8" i="4"/>
  <c r="AM8" i="4"/>
  <c r="J9" i="4"/>
  <c r="R9" i="4"/>
  <c r="Z9" i="4"/>
  <c r="AH9" i="4"/>
  <c r="E10" i="4"/>
  <c r="M10" i="4"/>
  <c r="U10" i="4"/>
  <c r="AC10" i="4"/>
  <c r="AK10" i="4"/>
  <c r="H11" i="4"/>
  <c r="P11" i="4"/>
  <c r="X11" i="4"/>
  <c r="AF11" i="4"/>
  <c r="AN11" i="4"/>
  <c r="K12" i="4"/>
  <c r="S12" i="4"/>
  <c r="AA12" i="4"/>
  <c r="AI12" i="4"/>
  <c r="F13" i="4"/>
  <c r="N13" i="4"/>
  <c r="V13" i="4"/>
  <c r="AD13" i="4"/>
  <c r="AL13" i="4"/>
  <c r="I14" i="4"/>
  <c r="Q14" i="4"/>
  <c r="Y14" i="4"/>
  <c r="AG14" i="4"/>
  <c r="D15" i="4"/>
  <c r="L15" i="4"/>
  <c r="T15" i="4"/>
  <c r="AB15" i="4"/>
  <c r="AJ15" i="4"/>
  <c r="G16" i="4"/>
  <c r="O16" i="4"/>
  <c r="I17" i="4"/>
  <c r="Q17" i="4"/>
  <c r="K18" i="4"/>
  <c r="E19" i="4"/>
  <c r="M19" i="4"/>
  <c r="C14" i="4"/>
  <c r="U275" i="4"/>
  <c r="K277" i="4"/>
  <c r="AL278" i="4"/>
  <c r="AB280" i="4"/>
  <c r="R282" i="4"/>
  <c r="H284" i="4"/>
  <c r="J285" i="4"/>
  <c r="E286" i="4"/>
  <c r="AK286" i="4"/>
  <c r="R287" i="4"/>
  <c r="AH287" i="4"/>
  <c r="M288" i="4"/>
  <c r="AC288" i="4"/>
  <c r="AN288" i="4"/>
  <c r="D284" i="4"/>
  <c r="V16" i="4"/>
  <c r="AE16" i="4"/>
  <c r="AN16" i="4"/>
  <c r="Z17" i="4"/>
  <c r="AI17" i="4"/>
  <c r="W18" i="4"/>
  <c r="AF18" i="4"/>
  <c r="R17" i="4"/>
  <c r="K5" i="4"/>
  <c r="T5" i="4"/>
  <c r="AC5" i="4"/>
  <c r="AL5" i="4"/>
  <c r="J6" i="4"/>
  <c r="R6" i="4"/>
  <c r="Z6" i="4"/>
  <c r="AH6" i="4"/>
  <c r="E7" i="4"/>
  <c r="M7" i="4"/>
  <c r="U7" i="4"/>
  <c r="AC7" i="4"/>
  <c r="AK7" i="4"/>
  <c r="H8" i="4"/>
  <c r="P8" i="4"/>
  <c r="X8" i="4"/>
  <c r="AF8" i="4"/>
  <c r="AN8" i="4"/>
  <c r="K9" i="4"/>
  <c r="S9" i="4"/>
  <c r="AA9" i="4"/>
  <c r="AI9" i="4"/>
  <c r="F10" i="4"/>
  <c r="N10" i="4"/>
  <c r="V10" i="4"/>
  <c r="AD10" i="4"/>
  <c r="AL10" i="4"/>
  <c r="I11" i="4"/>
  <c r="Q11" i="4"/>
  <c r="Y11" i="4"/>
  <c r="AG11" i="4"/>
  <c r="D12" i="4"/>
  <c r="L12" i="4"/>
  <c r="T12" i="4"/>
  <c r="AB12" i="4"/>
  <c r="AJ12" i="4"/>
  <c r="G13" i="4"/>
  <c r="O13" i="4"/>
  <c r="W13" i="4"/>
  <c r="AE13" i="4"/>
  <c r="AM13" i="4"/>
  <c r="J14" i="4"/>
  <c r="R14" i="4"/>
  <c r="Z14" i="4"/>
  <c r="AH14" i="4"/>
  <c r="E15" i="4"/>
  <c r="M15" i="4"/>
  <c r="U15" i="4"/>
  <c r="AC15" i="4"/>
  <c r="AK15" i="4"/>
  <c r="H16" i="4"/>
  <c r="P16" i="4"/>
  <c r="J17" i="4"/>
  <c r="D18" i="4"/>
  <c r="L18" i="4"/>
  <c r="F19" i="4"/>
  <c r="N19" i="4"/>
  <c r="C15" i="4"/>
  <c r="AL15" i="4"/>
  <c r="K14" i="4"/>
  <c r="U12" i="4"/>
  <c r="AE10" i="4"/>
  <c r="D9" i="4"/>
  <c r="N7" i="4"/>
  <c r="U5" i="4"/>
  <c r="AF16" i="4"/>
  <c r="AL286" i="4"/>
  <c r="AC275" i="4"/>
  <c r="C5" i="4"/>
  <c r="C9" i="4"/>
  <c r="C8" i="4"/>
  <c r="C7" i="4"/>
  <c r="C46" i="2" l="1"/>
  <c r="D46" i="2"/>
  <c r="B46" i="2"/>
  <c r="J36" i="2" l="1"/>
  <c r="K36" i="2"/>
  <c r="L36" i="2"/>
  <c r="J37" i="2"/>
  <c r="K37" i="2"/>
  <c r="L37" i="2"/>
  <c r="J38" i="2"/>
  <c r="K38" i="2"/>
  <c r="L38" i="2"/>
  <c r="J39" i="2"/>
  <c r="K39" i="2"/>
  <c r="L39" i="2"/>
  <c r="K35" i="2"/>
  <c r="L35" i="2"/>
  <c r="J35" i="2"/>
  <c r="F13" i="2"/>
  <c r="G13" i="2"/>
  <c r="D14" i="2"/>
  <c r="F14" i="2" s="1"/>
  <c r="J20" i="2" s="1"/>
  <c r="J21" i="2" l="1"/>
  <c r="J25" i="2" s="1"/>
  <c r="K21" i="2"/>
  <c r="K20" i="2"/>
  <c r="J26" i="2" s="1"/>
  <c r="E14" i="2"/>
  <c r="G14" i="2" s="1"/>
  <c r="L20" i="2" s="1"/>
  <c r="E15" i="2"/>
  <c r="G15" i="2" s="1"/>
  <c r="E16" i="2"/>
  <c r="G16" i="2" s="1"/>
  <c r="D15" i="2"/>
  <c r="F15" i="2" s="1"/>
  <c r="D16" i="2"/>
  <c r="F16" i="2" s="1"/>
  <c r="L21" i="2" l="1"/>
  <c r="J27" i="2" s="1"/>
</calcChain>
</file>

<file path=xl/sharedStrings.xml><?xml version="1.0" encoding="utf-8"?>
<sst xmlns="http://schemas.openxmlformats.org/spreadsheetml/2006/main" count="651" uniqueCount="330">
  <si>
    <t>2018-2022</t>
    <phoneticPr fontId="1" type="noConversion"/>
  </si>
  <si>
    <t>2023-2060</t>
    <phoneticPr fontId="1" type="noConversion"/>
  </si>
  <si>
    <r>
      <rPr>
        <b/>
        <sz val="11"/>
        <color theme="1"/>
        <rFont val="宋体"/>
        <family val="3"/>
        <charset val="134"/>
      </rPr>
      <t>建筑类型</t>
    </r>
    <phoneticPr fontId="7" type="noConversion"/>
  </si>
  <si>
    <r>
      <rPr>
        <sz val="11"/>
        <color theme="1"/>
        <rFont val="宋体"/>
        <family val="3"/>
        <charset val="134"/>
      </rPr>
      <t>住宅</t>
    </r>
    <phoneticPr fontId="7" type="noConversion"/>
  </si>
  <si>
    <r>
      <rPr>
        <sz val="11"/>
        <color theme="1"/>
        <rFont val="宋体"/>
        <family val="3"/>
        <charset val="134"/>
      </rPr>
      <t>公建</t>
    </r>
    <phoneticPr fontId="7" type="noConversion"/>
  </si>
  <si>
    <r>
      <t>22</t>
    </r>
    <r>
      <rPr>
        <sz val="11"/>
        <color theme="1"/>
        <rFont val="宋体"/>
        <family val="3"/>
        <charset val="134"/>
      </rPr>
      <t>年新规</t>
    </r>
    <phoneticPr fontId="7" type="noConversion"/>
  </si>
  <si>
    <r>
      <rPr>
        <sz val="11"/>
        <color theme="1"/>
        <rFont val="宋体"/>
        <family val="3"/>
        <charset val="134"/>
      </rPr>
      <t>绿建三星</t>
    </r>
    <phoneticPr fontId="7" type="noConversion"/>
  </si>
  <si>
    <r>
      <rPr>
        <sz val="11"/>
        <color theme="1"/>
        <rFont val="宋体"/>
        <family val="3"/>
        <charset val="134"/>
      </rPr>
      <t>超低能耗</t>
    </r>
  </si>
  <si>
    <r>
      <rPr>
        <sz val="11"/>
        <color theme="1"/>
        <rFont val="宋体"/>
        <family val="3"/>
        <charset val="134"/>
      </rPr>
      <t>近零能耗</t>
    </r>
    <phoneticPr fontId="7" type="noConversion"/>
  </si>
  <si>
    <r>
      <rPr>
        <sz val="11"/>
        <color theme="1"/>
        <rFont val="宋体"/>
        <family val="3"/>
        <charset val="134"/>
      </rPr>
      <t>零碳建筑</t>
    </r>
    <phoneticPr fontId="7" type="noConversion"/>
  </si>
  <si>
    <r>
      <rPr>
        <sz val="11"/>
        <color theme="1"/>
        <rFont val="宋体"/>
        <family val="3"/>
        <charset val="134"/>
      </rPr>
      <t>住宅</t>
    </r>
    <phoneticPr fontId="1" type="noConversion"/>
  </si>
  <si>
    <r>
      <rPr>
        <sz val="11"/>
        <color theme="1"/>
        <rFont val="宋体"/>
        <family val="3"/>
        <charset val="134"/>
      </rPr>
      <t>公建</t>
    </r>
    <phoneticPr fontId="1" type="noConversion"/>
  </si>
  <si>
    <r>
      <rPr>
        <sz val="11"/>
        <color theme="1"/>
        <rFont val="宋体"/>
        <family val="3"/>
        <charset val="134"/>
      </rPr>
      <t>年份</t>
    </r>
    <phoneticPr fontId="7" type="noConversion"/>
  </si>
  <si>
    <r>
      <t>16</t>
    </r>
    <r>
      <rPr>
        <sz val="11"/>
        <color theme="1"/>
        <rFont val="宋体"/>
        <family val="3"/>
        <charset val="134"/>
      </rPr>
      <t>年规定</t>
    </r>
    <phoneticPr fontId="7" type="noConversion"/>
  </si>
  <si>
    <r>
      <rPr>
        <sz val="11"/>
        <color theme="1"/>
        <rFont val="宋体"/>
        <family val="3"/>
        <charset val="134"/>
      </rPr>
      <t>超低能耗</t>
    </r>
    <phoneticPr fontId="7" type="noConversion"/>
  </si>
  <si>
    <r>
      <rPr>
        <sz val="11"/>
        <color theme="1"/>
        <rFont val="宋体"/>
        <family val="3"/>
        <charset val="134"/>
      </rPr>
      <t>表</t>
    </r>
    <r>
      <rPr>
        <sz val="11"/>
        <color theme="1"/>
        <rFont val="Times New Roman"/>
        <family val="1"/>
      </rPr>
      <t>1-3</t>
    </r>
    <r>
      <rPr>
        <sz val="11"/>
        <color theme="1"/>
        <rFont val="宋体"/>
        <family val="3"/>
        <charset val="134"/>
      </rPr>
      <t>：政策情境下新建建筑类型占比</t>
    </r>
    <phoneticPr fontId="1" type="noConversion"/>
  </si>
  <si>
    <t>Urban Residential</t>
  </si>
  <si>
    <t>Rural Residential</t>
  </si>
  <si>
    <t>Commercial</t>
  </si>
  <si>
    <t>envelope</t>
    <phoneticPr fontId="7" type="noConversion"/>
  </si>
  <si>
    <r>
      <rPr>
        <sz val="11"/>
        <color theme="1"/>
        <rFont val="宋体"/>
        <family val="1"/>
        <charset val="134"/>
      </rPr>
      <t>表</t>
    </r>
    <r>
      <rPr>
        <sz val="11"/>
        <color theme="1"/>
        <rFont val="Times New Roman"/>
        <family val="1"/>
      </rPr>
      <t>1-4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envelope</t>
    </r>
    <r>
      <rPr>
        <sz val="11"/>
        <color theme="1"/>
        <rFont val="宋体"/>
        <family val="1"/>
        <charset val="134"/>
      </rPr>
      <t>节能率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1"/>
        <charset val="134"/>
      </rPr>
      <t>政策输入</t>
    </r>
    <r>
      <rPr>
        <sz val="11"/>
        <color theme="1"/>
        <rFont val="Times New Roman"/>
        <family val="1"/>
      </rPr>
      <t>]</t>
    </r>
    <phoneticPr fontId="1" type="noConversion"/>
  </si>
  <si>
    <t>lighting</t>
  </si>
  <si>
    <t>lighting</t>
    <phoneticPr fontId="1" type="noConversion"/>
  </si>
  <si>
    <t>cooling</t>
    <phoneticPr fontId="1" type="noConversion"/>
  </si>
  <si>
    <t>other</t>
  </si>
  <si>
    <t>Policy levers</t>
    <phoneticPr fontId="1" type="noConversion"/>
  </si>
  <si>
    <t>Reduction in E Use Allowed by Component Eff Std</t>
  </si>
  <si>
    <t>Reduction in E Use Allowed by Component Eff Std-envelope</t>
    <phoneticPr fontId="1" type="noConversion"/>
  </si>
  <si>
    <t>FoPITY</t>
    <phoneticPr fontId="1" type="noConversion"/>
  </si>
  <si>
    <t>envelop</t>
    <phoneticPr fontId="1" type="noConversion"/>
  </si>
  <si>
    <r>
      <rPr>
        <b/>
        <sz val="11"/>
        <color theme="1"/>
        <rFont val="宋体"/>
        <family val="3"/>
        <charset val="134"/>
      </rPr>
      <t>新建建筑能效提升</t>
    </r>
    <phoneticPr fontId="1" type="noConversion"/>
  </si>
  <si>
    <r>
      <rPr>
        <b/>
        <sz val="11"/>
        <color theme="1"/>
        <rFont val="宋体"/>
        <family val="3"/>
        <charset val="134"/>
      </rPr>
      <t>适用于建筑围护结构</t>
    </r>
    <phoneticPr fontId="1" type="noConversion"/>
  </si>
  <si>
    <r>
      <rPr>
        <b/>
        <sz val="11"/>
        <color theme="1"/>
        <rFont val="宋体"/>
        <family val="1"/>
        <charset val="134"/>
      </rPr>
      <t>政策来源：城乡建设领域碳达峰实施方案</t>
    </r>
    <phoneticPr fontId="1" type="noConversion"/>
  </si>
  <si>
    <r>
      <rPr>
        <b/>
        <sz val="11"/>
        <color theme="1"/>
        <rFont val="宋体"/>
        <family val="3"/>
        <charset val="134"/>
      </rPr>
      <t>适用于家用设施</t>
    </r>
    <phoneticPr fontId="1" type="noConversion"/>
  </si>
  <si>
    <t>政策来源：江亿《建筑运行用能低碳转型导论》、国家家电能效标准</t>
    <phoneticPr fontId="1" type="noConversion"/>
  </si>
  <si>
    <t>heating</t>
  </si>
  <si>
    <t>heating</t>
    <phoneticPr fontId="1" type="noConversion"/>
  </si>
  <si>
    <t>appliances</t>
  </si>
  <si>
    <t>appliances</t>
    <phoneticPr fontId="1" type="noConversion"/>
  </si>
  <si>
    <t>cooling and ventilation</t>
  </si>
  <si>
    <r>
      <rPr>
        <b/>
        <sz val="11"/>
        <color theme="1"/>
        <rFont val="宋体"/>
        <family val="3"/>
        <charset val="134"/>
      </rPr>
      <t>备注</t>
    </r>
    <phoneticPr fontId="7" type="noConversion"/>
  </si>
  <si>
    <r>
      <rPr>
        <sz val="11"/>
        <color theme="1"/>
        <rFont val="宋体"/>
        <family val="3"/>
        <charset val="134"/>
      </rPr>
      <t>以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级能效为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family val="3"/>
        <charset val="134"/>
      </rPr>
      <t>折算</t>
    </r>
    <phoneticPr fontId="7" type="noConversion"/>
  </si>
  <si>
    <r>
      <rPr>
        <sz val="11"/>
        <color theme="1"/>
        <rFont val="宋体"/>
        <family val="3"/>
        <charset val="134"/>
      </rPr>
      <t>以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级能效为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family val="3"/>
        <charset val="134"/>
      </rPr>
      <t>折算，</t>
    </r>
    <r>
      <rPr>
        <sz val="11"/>
        <color theme="1"/>
        <rFont val="Times New Roman"/>
        <family val="1"/>
      </rPr>
      <t>COP=3</t>
    </r>
    <phoneticPr fontId="7" type="noConversion"/>
  </si>
  <si>
    <r>
      <rPr>
        <sz val="11"/>
        <color theme="1"/>
        <rFont val="宋体"/>
        <family val="3"/>
        <charset val="134"/>
      </rPr>
      <t>不考虑</t>
    </r>
    <phoneticPr fontId="7" type="noConversion"/>
  </si>
  <si>
    <t>表1-4：家用设施BAU节能率</t>
    <phoneticPr fontId="1" type="noConversion"/>
  </si>
  <si>
    <r>
      <rPr>
        <sz val="11"/>
        <color theme="1"/>
        <rFont val="宋体"/>
        <family val="3"/>
        <charset val="134"/>
      </rPr>
      <t>相较于</t>
    </r>
    <r>
      <rPr>
        <sz val="11"/>
        <color theme="1"/>
        <rFont val="Times New Roman"/>
        <family val="1"/>
      </rPr>
      <t>16</t>
    </r>
    <r>
      <rPr>
        <sz val="11"/>
        <color theme="1"/>
        <rFont val="宋体"/>
        <family val="1"/>
        <charset val="134"/>
      </rPr>
      <t>年规定</t>
    </r>
    <r>
      <rPr>
        <sz val="11"/>
        <color theme="1"/>
        <rFont val="宋体"/>
        <family val="3"/>
        <charset val="134"/>
      </rPr>
      <t>节能率</t>
    </r>
    <phoneticPr fontId="7" type="noConversion"/>
  </si>
  <si>
    <r>
      <rPr>
        <sz val="11"/>
        <color theme="1"/>
        <rFont val="宋体"/>
        <family val="3"/>
        <charset val="134"/>
      </rPr>
      <t>表</t>
    </r>
    <r>
      <rPr>
        <sz val="11"/>
        <color theme="1"/>
        <rFont val="Times New Roman"/>
        <family val="1"/>
      </rPr>
      <t>1-1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16</t>
    </r>
    <r>
      <rPr>
        <sz val="11"/>
        <color theme="1"/>
        <rFont val="宋体"/>
        <family val="1"/>
        <charset val="134"/>
      </rPr>
      <t>年规定</t>
    </r>
    <r>
      <rPr>
        <sz val="11"/>
        <color theme="1"/>
        <rFont val="宋体"/>
        <family val="3"/>
        <charset val="134"/>
      </rPr>
      <t>节能率提升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3"/>
        <charset val="134"/>
      </rPr>
      <t>相对老旧建筑</t>
    </r>
    <r>
      <rPr>
        <sz val="11"/>
        <color theme="1"/>
        <rFont val="Times New Roman"/>
        <family val="1"/>
      </rPr>
      <t>)</t>
    </r>
    <phoneticPr fontId="1" type="noConversion"/>
  </si>
  <si>
    <r>
      <t>22</t>
    </r>
    <r>
      <rPr>
        <sz val="11"/>
        <color theme="1"/>
        <rFont val="宋体"/>
        <family val="3"/>
        <charset val="134"/>
      </rPr>
      <t>年新规</t>
    </r>
    <r>
      <rPr>
        <sz val="11"/>
        <color theme="1"/>
        <rFont val="Times New Roman"/>
        <family val="1"/>
      </rPr>
      <t>[BAU]</t>
    </r>
    <phoneticPr fontId="7" type="noConversion"/>
  </si>
  <si>
    <t>相较于老旧建筑节能率</t>
    <phoneticPr fontId="7" type="noConversion"/>
  </si>
  <si>
    <r>
      <rPr>
        <sz val="11"/>
        <color theme="1"/>
        <rFont val="宋体"/>
        <family val="3"/>
        <charset val="134"/>
      </rPr>
      <t>相较于</t>
    </r>
    <r>
      <rPr>
        <sz val="11"/>
        <color theme="1"/>
        <rFont val="Times New Roman"/>
        <family val="1"/>
      </rPr>
      <t>22</t>
    </r>
    <r>
      <rPr>
        <sz val="11"/>
        <color theme="1"/>
        <rFont val="宋体"/>
        <family val="3"/>
        <charset val="134"/>
      </rPr>
      <t>年新规</t>
    </r>
    <r>
      <rPr>
        <sz val="11"/>
        <color theme="1"/>
        <rFont val="Times New Roman"/>
        <family val="1"/>
      </rPr>
      <t>(BAU)</t>
    </r>
    <r>
      <rPr>
        <sz val="11"/>
        <color theme="1"/>
        <rFont val="宋体"/>
        <family val="3"/>
        <charset val="134"/>
      </rPr>
      <t>节能率</t>
    </r>
    <phoneticPr fontId="7" type="noConversion"/>
  </si>
  <si>
    <r>
      <rPr>
        <sz val="11"/>
        <color theme="1"/>
        <rFont val="宋体"/>
        <family val="3"/>
        <charset val="134"/>
      </rPr>
      <t>表</t>
    </r>
    <r>
      <rPr>
        <sz val="11"/>
        <color theme="1"/>
        <rFont val="Times New Roman"/>
        <family val="1"/>
      </rPr>
      <t>1-2</t>
    </r>
    <r>
      <rPr>
        <sz val="11"/>
        <color theme="1"/>
        <rFont val="宋体"/>
        <family val="3"/>
        <charset val="134"/>
      </rPr>
      <t>：分建筑类型节能率提升</t>
    </r>
    <phoneticPr fontId="1" type="noConversion"/>
  </si>
  <si>
    <r>
      <rPr>
        <sz val="11"/>
        <color theme="1"/>
        <rFont val="宋体"/>
        <family val="1"/>
        <charset val="134"/>
      </rPr>
      <t>备注：</t>
    </r>
    <r>
      <rPr>
        <sz val="11"/>
        <color theme="1"/>
        <rFont val="Times New Roman"/>
        <family val="1"/>
      </rPr>
      <t>BAU</t>
    </r>
    <r>
      <rPr>
        <sz val="11"/>
        <color theme="1"/>
        <rFont val="宋体"/>
        <family val="1"/>
        <charset val="134"/>
      </rPr>
      <t>情境下100%建筑为22年新规能效标准，且为冰冻情景</t>
    </r>
    <phoneticPr fontId="1" type="noConversion"/>
  </si>
  <si>
    <r>
      <rPr>
        <b/>
        <sz val="11"/>
        <color theme="1"/>
        <rFont val="宋体"/>
        <family val="3"/>
        <charset val="134"/>
      </rPr>
      <t>家用设施</t>
    </r>
    <r>
      <rPr>
        <b/>
        <sz val="11"/>
        <color theme="1"/>
        <rFont val="Times New Roman"/>
        <family val="3"/>
      </rPr>
      <t>BAU</t>
    </r>
    <r>
      <rPr>
        <b/>
        <sz val="11"/>
        <color theme="1"/>
        <rFont val="宋体"/>
        <family val="3"/>
        <charset val="134"/>
      </rPr>
      <t>节能率</t>
    </r>
    <phoneticPr fontId="7" type="noConversion"/>
  </si>
  <si>
    <r>
      <rPr>
        <sz val="11"/>
        <color theme="1"/>
        <rFont val="宋体"/>
        <family val="1"/>
        <charset val="134"/>
      </rPr>
      <t>备注：家用设施</t>
    </r>
    <r>
      <rPr>
        <sz val="11"/>
        <color theme="1"/>
        <rFont val="Times New Roman"/>
        <family val="1"/>
      </rPr>
      <t>BAU</t>
    </r>
    <r>
      <rPr>
        <sz val="11"/>
        <color theme="1"/>
        <rFont val="宋体"/>
        <family val="1"/>
        <charset val="134"/>
      </rPr>
      <t>节能率根据</t>
    </r>
    <r>
      <rPr>
        <sz val="11"/>
        <color theme="1"/>
        <rFont val="Times New Roman"/>
        <family val="1"/>
      </rPr>
      <t>BCEU</t>
    </r>
    <r>
      <rPr>
        <sz val="11"/>
        <color theme="1"/>
        <rFont val="宋体"/>
        <family val="1"/>
        <charset val="134"/>
      </rPr>
      <t>中</t>
    </r>
    <r>
      <rPr>
        <sz val="11"/>
        <color theme="1"/>
        <rFont val="Times New Roman"/>
        <family val="1"/>
      </rPr>
      <t>0.65</t>
    </r>
    <r>
      <rPr>
        <sz val="11"/>
        <color theme="1"/>
        <rFont val="宋体"/>
        <family val="1"/>
        <charset val="134"/>
      </rPr>
      <t>的节能率推算，且为冰冻情景。</t>
    </r>
    <phoneticPr fontId="1" type="noConversion"/>
  </si>
  <si>
    <t>家用设施政策节能率</t>
    <phoneticPr fontId="7" type="noConversion"/>
  </si>
  <si>
    <r>
      <rPr>
        <b/>
        <sz val="11"/>
        <color theme="1"/>
        <rFont val="宋体"/>
        <family val="1"/>
        <charset val="134"/>
      </rPr>
      <t>备注</t>
    </r>
    <phoneticPr fontId="1" type="noConversion"/>
  </si>
  <si>
    <r>
      <rPr>
        <sz val="11"/>
        <color theme="1"/>
        <rFont val="宋体"/>
        <family val="3"/>
        <charset val="134"/>
      </rPr>
      <t>江亿</t>
    </r>
    <r>
      <rPr>
        <sz val="11"/>
        <color theme="1"/>
        <rFont val="Times New Roman"/>
        <family val="1"/>
      </rPr>
      <t>p151 COP=6</t>
    </r>
    <phoneticPr fontId="7" type="noConversion"/>
  </si>
  <si>
    <r>
      <rPr>
        <sz val="11"/>
        <color theme="1"/>
        <rFont val="宋体"/>
        <family val="3"/>
        <charset val="134"/>
      </rPr>
      <t>不考虑</t>
    </r>
    <phoneticPr fontId="1" type="noConversion"/>
  </si>
  <si>
    <r>
      <rPr>
        <sz val="11"/>
        <color theme="1"/>
        <rFont val="宋体"/>
        <family val="1"/>
        <charset val="134"/>
      </rPr>
      <t>比现行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1"/>
        <charset val="134"/>
      </rPr>
      <t>级能效再节能</t>
    </r>
    <r>
      <rPr>
        <sz val="11"/>
        <color theme="1"/>
        <rFont val="Times New Roman"/>
        <family val="1"/>
      </rPr>
      <t>20%</t>
    </r>
    <phoneticPr fontId="1" type="noConversion"/>
  </si>
  <si>
    <t>表1-5：家用设施政策情景节能率</t>
    <phoneticPr fontId="1" type="noConversion"/>
  </si>
  <si>
    <r>
      <rPr>
        <sz val="11"/>
        <color theme="1"/>
        <rFont val="宋体"/>
        <family val="1"/>
        <charset val="134"/>
      </rPr>
      <t>表</t>
    </r>
    <r>
      <rPr>
        <sz val="11"/>
        <color theme="1"/>
        <rFont val="Times New Roman"/>
        <family val="1"/>
      </rPr>
      <t>1-6</t>
    </r>
    <r>
      <rPr>
        <sz val="11"/>
        <color theme="1"/>
        <rFont val="宋体"/>
        <family val="1"/>
        <charset val="134"/>
      </rPr>
      <t>：家用设备节能率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1"/>
        <charset val="134"/>
      </rPr>
      <t>政策输入</t>
    </r>
    <r>
      <rPr>
        <sz val="11"/>
        <color theme="1"/>
        <rFont val="Times New Roman"/>
        <family val="1"/>
      </rPr>
      <t>]</t>
    </r>
    <phoneticPr fontId="1" type="noConversion"/>
  </si>
  <si>
    <r>
      <t>2060</t>
    </r>
    <r>
      <rPr>
        <b/>
        <sz val="11"/>
        <color theme="1"/>
        <rFont val="宋体"/>
        <family val="1"/>
        <charset val="134"/>
      </rPr>
      <t>年</t>
    </r>
    <phoneticPr fontId="1" type="noConversion"/>
  </si>
  <si>
    <t>既存建筑节能改造</t>
    <phoneticPr fontId="1" type="noConversion"/>
  </si>
  <si>
    <r>
      <rPr>
        <sz val="11"/>
        <color theme="1"/>
        <rFont val="宋体"/>
        <family val="3"/>
        <charset val="134"/>
      </rPr>
      <t>年改造率</t>
    </r>
    <phoneticPr fontId="7" type="noConversion"/>
  </si>
  <si>
    <r>
      <rPr>
        <sz val="11"/>
        <color theme="1"/>
        <rFont val="宋体"/>
        <family val="3"/>
        <charset val="134"/>
      </rPr>
      <t>改造后能效</t>
    </r>
    <phoneticPr fontId="7" type="noConversion"/>
  </si>
  <si>
    <t>表2-1：既存建筑节能改造能效提升</t>
    <phoneticPr fontId="1" type="noConversion"/>
  </si>
  <si>
    <r>
      <t>100%</t>
    </r>
    <r>
      <rPr>
        <sz val="11"/>
        <color theme="1"/>
        <rFont val="宋体"/>
        <family val="3"/>
        <charset val="134"/>
      </rPr>
      <t>使用</t>
    </r>
    <r>
      <rPr>
        <sz val="11"/>
        <color theme="1"/>
        <rFont val="Times New Roman"/>
        <family val="1"/>
      </rPr>
      <t>LED</t>
    </r>
    <r>
      <rPr>
        <sz val="11"/>
        <color theme="1"/>
        <rFont val="宋体"/>
        <family val="3"/>
        <charset val="134"/>
      </rPr>
      <t>节能灯</t>
    </r>
    <phoneticPr fontId="7" type="noConversion"/>
  </si>
  <si>
    <r>
      <rPr>
        <sz val="11"/>
        <color theme="1"/>
        <rFont val="宋体"/>
        <family val="1"/>
        <charset val="134"/>
      </rPr>
      <t>与</t>
    </r>
    <r>
      <rPr>
        <sz val="11"/>
        <color theme="1"/>
        <rFont val="Times New Roman"/>
        <family val="1"/>
      </rPr>
      <t>BAU</t>
    </r>
    <r>
      <rPr>
        <sz val="11"/>
        <color theme="1"/>
        <rFont val="宋体"/>
        <family val="1"/>
        <charset val="134"/>
      </rPr>
      <t>相同</t>
    </r>
    <phoneticPr fontId="1" type="noConversion"/>
  </si>
  <si>
    <t>Share of Preexisting Buildings Subject to Retrofitting</t>
  </si>
  <si>
    <t>Policy Lever</t>
    <phoneticPr fontId="1" type="noConversion"/>
  </si>
  <si>
    <t>Policy Value</t>
    <phoneticPr fontId="1" type="noConversion"/>
  </si>
  <si>
    <r>
      <rPr>
        <sz val="11"/>
        <color theme="1"/>
        <rFont val="宋体"/>
        <family val="1"/>
        <charset val="134"/>
      </rPr>
      <t>备注：改造后的节能率提升在</t>
    </r>
    <r>
      <rPr>
        <sz val="11"/>
        <color theme="1"/>
        <rFont val="Times New Roman"/>
        <family val="1"/>
      </rPr>
      <t>BRESaC</t>
    </r>
    <r>
      <rPr>
        <sz val="11"/>
        <color theme="1"/>
        <rFont val="宋体"/>
        <family val="1"/>
        <charset val="134"/>
      </rPr>
      <t>中进行设置</t>
    </r>
    <phoneticPr fontId="1" type="noConversion"/>
  </si>
  <si>
    <t>数据来源</t>
    <phoneticPr fontId="7" type="noConversion"/>
  </si>
  <si>
    <r>
      <t>BAU</t>
    </r>
    <r>
      <rPr>
        <sz val="11"/>
        <color theme="1"/>
        <rFont val="宋体"/>
        <family val="3"/>
        <charset val="134"/>
      </rPr>
      <t>情景</t>
    </r>
    <phoneticPr fontId="7" type="noConversion"/>
  </si>
  <si>
    <r>
      <rPr>
        <sz val="11"/>
        <color theme="1"/>
        <rFont val="宋体"/>
        <family val="3"/>
        <charset val="134"/>
      </rPr>
      <t>数据来源：</t>
    </r>
    <r>
      <rPr>
        <sz val="11"/>
        <color theme="1"/>
        <rFont val="Times New Roman"/>
        <family val="1"/>
      </rPr>
      <t>BCEU2022</t>
    </r>
    <r>
      <rPr>
        <sz val="11"/>
        <color theme="1"/>
        <rFont val="宋体"/>
        <family val="3"/>
        <charset val="134"/>
      </rPr>
      <t>年数据（根据中国家庭能源研究报告能流图拆分）</t>
    </r>
    <phoneticPr fontId="7" type="noConversion"/>
  </si>
  <si>
    <r>
      <rPr>
        <b/>
        <sz val="11"/>
        <color theme="1"/>
        <rFont val="宋体"/>
        <family val="1"/>
        <charset val="134"/>
      </rPr>
      <t>作用范围：</t>
    </r>
    <r>
      <rPr>
        <b/>
        <sz val="11"/>
        <color theme="1"/>
        <rFont val="Times New Roman"/>
        <family val="1"/>
      </rPr>
      <t>heating &amp; appliances(</t>
    </r>
    <r>
      <rPr>
        <b/>
        <sz val="11"/>
        <color theme="1"/>
        <rFont val="宋体"/>
        <family val="1"/>
        <charset val="134"/>
      </rPr>
      <t>包含热水器、烘干机、洗衣机和炊事）</t>
    </r>
    <phoneticPr fontId="1" type="noConversion"/>
  </si>
  <si>
    <t>Time (Year)</t>
  </si>
  <si>
    <t>BCEU BAU Components Energy Use[urban residential,electricity bf,heating] : MostRecentRun</t>
  </si>
  <si>
    <t>BCEU BAU Components Energy Use[urban residential,electricity bf,envelope] : MostRecentRun</t>
  </si>
  <si>
    <t>BCEU BAU Components Energy Use[urban residential,electricity bf,lighting] : MostRecentRun</t>
  </si>
  <si>
    <t>BCEU BAU Components Energy Use[urban residential,electricity bf,appliances] : MostRecentRun</t>
  </si>
  <si>
    <t>BCEU BAU Components Energy Use[urban residential,electricity bf,other component] : MostRecentRun</t>
  </si>
  <si>
    <t>BCEU BAU Components Energy Use[urban residential,hard coal bf,heating] : MostRecentRun</t>
  </si>
  <si>
    <t>BCEU BAU Components Energy Use[urban residential,hard coal bf,cooling and ventilation] : MostRecentRun</t>
  </si>
  <si>
    <t>BCEU BAU Components Energy Use[urban residential,hard coal bf,envelope] : MostRecentRun</t>
  </si>
  <si>
    <t>BCEU BAU Components Energy Use[urban residential,hard coal bf,lighting] : MostRecentRun</t>
  </si>
  <si>
    <t>BCEU BAU Components Energy Use[urban residential,hard coal bf,appliances] : MostRecentRun</t>
  </si>
  <si>
    <t>BCEU BAU Components Energy Use[urban residential,hard coal bf,other component] : MostRecentRun</t>
  </si>
  <si>
    <t>BCEU BAU Components Energy Use[urban residential,natural gas bf,heating] : MostRecentRun</t>
  </si>
  <si>
    <t>BCEU BAU Components Energy Use[urban residential,natural gas bf,cooling and ventilation] : MostRecentRun</t>
  </si>
  <si>
    <t>BCEU BAU Components Energy Use[urban residential,natural gas bf,envelope] : MostRecentRun</t>
  </si>
  <si>
    <t>BCEU BAU Components Energy Use[urban residential,natural gas bf,lighting] : MostRecentRun</t>
  </si>
  <si>
    <t>BCEU BAU Components Energy Use[urban residential,natural gas bf,appliances] : MostRecentRun</t>
  </si>
  <si>
    <t>BCEU BAU Components Energy Use[urban residential,natural gas bf,other component] : MostRecentRun</t>
  </si>
  <si>
    <t>BCEU BAU Components Energy Use[urban residential,petroleum diesel bf,heating] : MostRecentRun</t>
  </si>
  <si>
    <t>BCEU BAU Components Energy Use[urban residential,petroleum diesel bf,cooling and ventilation] : MostRecentRun</t>
  </si>
  <si>
    <t>BCEU BAU Components Energy Use[urban residential,petroleum diesel bf,envelope] : MostRecentRun</t>
  </si>
  <si>
    <t>BCEU BAU Components Energy Use[urban residential,petroleum diesel bf,lighting] : MostRecentRun</t>
  </si>
  <si>
    <t>BCEU BAU Components Energy Use[urban residential,petroleum diesel bf,appliances] : MostRecentRun</t>
  </si>
  <si>
    <t>BCEU BAU Components Energy Use[urban residential,petroleum diesel bf,other component] : MostRecentRun</t>
  </si>
  <si>
    <t>BCEU BAU Components Energy Use[urban residential,heat bf,heating] : MostRecentRun</t>
  </si>
  <si>
    <t>BCEU BAU Components Energy Use[urban residential,heat bf,cooling and ventilation] : MostRecentRun</t>
  </si>
  <si>
    <t>BCEU BAU Components Energy Use[urban residential,heat bf,envelope] : MostRecentRun</t>
  </si>
  <si>
    <t>BCEU BAU Components Energy Use[urban residential,heat bf,lighting] : MostRecentRun</t>
  </si>
  <si>
    <t>BCEU BAU Components Energy Use[urban residential,heat bf,appliances] : MostRecentRun</t>
  </si>
  <si>
    <t>BCEU BAU Components Energy Use[urban residential,heat bf,other component] : MostRecentRun</t>
  </si>
  <si>
    <t>BCEU BAU Components Energy Use[urban residential,biomass bf,heating] : MostRecentRun</t>
  </si>
  <si>
    <t>BCEU BAU Components Energy Use[urban residential,biomass bf,cooling and ventilation] : MostRecentRun</t>
  </si>
  <si>
    <t>BCEU BAU Components Energy Use[urban residential,biomass bf,envelope] : MostRecentRun</t>
  </si>
  <si>
    <t>BCEU BAU Components Energy Use[urban residential,biomass bf,lighting] : MostRecentRun</t>
  </si>
  <si>
    <t>BCEU BAU Components Energy Use[urban residential,biomass bf,appliances] : MostRecentRun</t>
  </si>
  <si>
    <t>BCEU BAU Components Energy Use[urban residential,biomass bf,other component] : MostRecentRun</t>
  </si>
  <si>
    <t>BCEU BAU Components Energy Use[urban residential,kerosene bf,heating] : MostRecentRun</t>
  </si>
  <si>
    <t>BCEU BAU Components Energy Use[urban residential,kerosene bf,cooling and ventilation] : MostRecentRun</t>
  </si>
  <si>
    <t>BCEU BAU Components Energy Use[urban residential,kerosene bf,envelope] : MostRecentRun</t>
  </si>
  <si>
    <t>BCEU BAU Components Energy Use[urban residential,kerosene bf,lighting] : MostRecentRun</t>
  </si>
  <si>
    <t>BCEU BAU Components Energy Use[urban residential,kerosene bf,appliances] : MostRecentRun</t>
  </si>
  <si>
    <t>BCEU BAU Components Energy Use[urban residential,kerosene bf,other component] : MostRecentRun</t>
  </si>
  <si>
    <t>BCEU BAU Components Energy Use[urban residential,heavy or residual fuel oil bf,heating] : MostRecentRun</t>
  </si>
  <si>
    <t>BCEU BAU Components Energy Use[urban residential,heavy or residual fuel oil bf,cooling and ventilation] : MostRecentRun</t>
  </si>
  <si>
    <t>BCEU BAU Components Energy Use[urban residential,heavy or residual fuel oil bf,envelope] : MostRecentRun</t>
  </si>
  <si>
    <t>BCEU BAU Components Energy Use[urban residential,heavy or residual fuel oil bf,lighting] : MostRecentRun</t>
  </si>
  <si>
    <t>BCEU BAU Components Energy Use[urban residential,heavy or residual fuel oil bf,appliances] : MostRecentRun</t>
  </si>
  <si>
    <t>BCEU BAU Components Energy Use[urban residential,heavy or residual fuel oil bf,other component] : MostRecentRun</t>
  </si>
  <si>
    <t>BCEU BAU Components Energy Use[urban residential,LPG propane or butane bf,heating] : MostRecentRun</t>
  </si>
  <si>
    <t>BCEU BAU Components Energy Use[urban residential,LPG propane or butane bf,cooling and ventilation] : MostRecentRun</t>
  </si>
  <si>
    <t>BCEU BAU Components Energy Use[urban residential,LPG propane or butane bf,envelope] : MostRecentRun</t>
  </si>
  <si>
    <t>BCEU BAU Components Energy Use[urban residential,LPG propane or butane bf,lighting] : MostRecentRun</t>
  </si>
  <si>
    <t>BCEU BAU Components Energy Use[urban residential,LPG propane or butane bf,appliances] : MostRecentRun</t>
  </si>
  <si>
    <t>BCEU BAU Components Energy Use[urban residential,LPG propane or butane bf,other component] : MostRecentRun</t>
  </si>
  <si>
    <t>BCEU BAU Components Energy Use[urban residential,hydrogen bf,heating] : MostRecentRun</t>
  </si>
  <si>
    <t>BCEU BAU Components Energy Use[urban residential,hydrogen bf,cooling and ventilation] : MostRecentRun</t>
  </si>
  <si>
    <t>BCEU BAU Components Energy Use[urban residential,hydrogen bf,envelope] : MostRecentRun</t>
  </si>
  <si>
    <t>BCEU BAU Components Energy Use[urban residential,hydrogen bf,lighting] : MostRecentRun</t>
  </si>
  <si>
    <t>BCEU BAU Components Energy Use[urban residential,hydrogen bf,appliances] : MostRecentRun</t>
  </si>
  <si>
    <t>BCEU BAU Components Energy Use[urban residential,hydrogen bf,other component] : MostRecentRun</t>
  </si>
  <si>
    <t>BCEU BAU Components Energy Use[rural residential,electricity bf,heating] : MostRecentRun</t>
  </si>
  <si>
    <t>BCEU BAU Components Energy Use[rural residential,electricity bf,cooling and ventilation] : MostRecentRun</t>
  </si>
  <si>
    <t>BCEU BAU Components Energy Use[rural residential,electricity bf,envelope] : MostRecentRun</t>
  </si>
  <si>
    <t>BCEU BAU Components Energy Use[rural residential,electricity bf,lighting] : MostRecentRun</t>
  </si>
  <si>
    <t>BCEU BAU Components Energy Use[rural residential,electricity bf,appliances] : MostRecentRun</t>
  </si>
  <si>
    <t>BCEU BAU Components Energy Use[rural residential,electricity bf,other component] : MostRecentRun</t>
  </si>
  <si>
    <t>BCEU BAU Components Energy Use[rural residential,hard coal bf,heating] : MostRecentRun</t>
  </si>
  <si>
    <t>BCEU BAU Components Energy Use[rural residential,hard coal bf,cooling and ventilation] : MostRecentRun</t>
  </si>
  <si>
    <t>BCEU BAU Components Energy Use[rural residential,hard coal bf,envelope] : MostRecentRun</t>
  </si>
  <si>
    <t>BCEU BAU Components Energy Use[rural residential,hard coal bf,lighting] : MostRecentRun</t>
  </si>
  <si>
    <t>BCEU BAU Components Energy Use[rural residential,hard coal bf,appliances] : MostRecentRun</t>
  </si>
  <si>
    <t>BCEU BAU Components Energy Use[rural residential,hard coal bf,other component] : MostRecentRun</t>
  </si>
  <si>
    <t>BCEU BAU Components Energy Use[rural residential,natural gas bf,heating] : MostRecentRun</t>
  </si>
  <si>
    <t>BCEU BAU Components Energy Use[rural residential,natural gas bf,cooling and ventilation] : MostRecentRun</t>
  </si>
  <si>
    <t>BCEU BAU Components Energy Use[rural residential,natural gas bf,envelope] : MostRecentRun</t>
  </si>
  <si>
    <t>BCEU BAU Components Energy Use[rural residential,natural gas bf,lighting] : MostRecentRun</t>
  </si>
  <si>
    <t>BCEU BAU Components Energy Use[rural residential,natural gas bf,appliances] : MostRecentRun</t>
  </si>
  <si>
    <t>BCEU BAU Components Energy Use[rural residential,natural gas bf,other component] : MostRecentRun</t>
  </si>
  <si>
    <t>BCEU BAU Components Energy Use[rural residential,petroleum diesel bf,heating] : MostRecentRun</t>
  </si>
  <si>
    <t>BCEU BAU Components Energy Use[rural residential,petroleum diesel bf,cooling and ventilation] : MostRecentRun</t>
  </si>
  <si>
    <t>BCEU BAU Components Energy Use[rural residential,petroleum diesel bf,envelope] : MostRecentRun</t>
  </si>
  <si>
    <t>BCEU BAU Components Energy Use[rural residential,petroleum diesel bf,lighting] : MostRecentRun</t>
  </si>
  <si>
    <t>BCEU BAU Components Energy Use[rural residential,petroleum diesel bf,appliances] : MostRecentRun</t>
  </si>
  <si>
    <t>BCEU BAU Components Energy Use[rural residential,petroleum diesel bf,other component] : MostRecentRun</t>
  </si>
  <si>
    <t>BCEU BAU Components Energy Use[rural residential,heat bf,heating] : MostRecentRun</t>
  </si>
  <si>
    <t>BCEU BAU Components Energy Use[rural residential,heat bf,cooling and ventilation] : MostRecentRun</t>
  </si>
  <si>
    <t>BCEU BAU Components Energy Use[rural residential,heat bf,envelope] : MostRecentRun</t>
  </si>
  <si>
    <t>BCEU BAU Components Energy Use[rural residential,heat bf,lighting] : MostRecentRun</t>
  </si>
  <si>
    <t>BCEU BAU Components Energy Use[rural residential,heat bf,appliances] : MostRecentRun</t>
  </si>
  <si>
    <t>BCEU BAU Components Energy Use[rural residential,heat bf,other component] : MostRecentRun</t>
  </si>
  <si>
    <t>BCEU BAU Components Energy Use[rural residential,biomass bf,heating] : MostRecentRun</t>
  </si>
  <si>
    <t>BCEU BAU Components Energy Use[rural residential,biomass bf,cooling and ventilation] : MostRecentRun</t>
  </si>
  <si>
    <t>BCEU BAU Components Energy Use[rural residential,biomass bf,envelope] : MostRecentRun</t>
  </si>
  <si>
    <t>BCEU BAU Components Energy Use[rural residential,biomass bf,lighting] : MostRecentRun</t>
  </si>
  <si>
    <t>BCEU BAU Components Energy Use[rural residential,biomass bf,appliances] : MostRecentRun</t>
  </si>
  <si>
    <t>BCEU BAU Components Energy Use[rural residential,biomass bf,other component] : MostRecentRun</t>
  </si>
  <si>
    <t>BCEU BAU Components Energy Use[rural residential,kerosene bf,heating] : MostRecentRun</t>
  </si>
  <si>
    <t>BCEU BAU Components Energy Use[rural residential,kerosene bf,cooling and ventilation] : MostRecentRun</t>
  </si>
  <si>
    <t>BCEU BAU Components Energy Use[rural residential,kerosene bf,envelope] : MostRecentRun</t>
  </si>
  <si>
    <t>BCEU BAU Components Energy Use[rural residential,kerosene bf,lighting] : MostRecentRun</t>
  </si>
  <si>
    <t>BCEU BAU Components Energy Use[rural residential,kerosene bf,appliances] : MostRecentRun</t>
  </si>
  <si>
    <t>BCEU BAU Components Energy Use[rural residential,kerosene bf,other component] : MostRecentRun</t>
  </si>
  <si>
    <t>BCEU BAU Components Energy Use[rural residential,heavy or residual fuel oil bf,heating] : MostRecentRun</t>
  </si>
  <si>
    <t>BCEU BAU Components Energy Use[rural residential,heavy or residual fuel oil bf,cooling and ventilation] : MostRecentRun</t>
  </si>
  <si>
    <t>BCEU BAU Components Energy Use[rural residential,heavy or residual fuel oil bf,envelope] : MostRecentRun</t>
  </si>
  <si>
    <t>BCEU BAU Components Energy Use[rural residential,heavy or residual fuel oil bf,lighting] : MostRecentRun</t>
  </si>
  <si>
    <t>BCEU BAU Components Energy Use[rural residential,heavy or residual fuel oil bf,appliances] : MostRecentRun</t>
  </si>
  <si>
    <t>BCEU BAU Components Energy Use[rural residential,heavy or residual fuel oil bf,other component] : MostRecentRun</t>
  </si>
  <si>
    <t>BCEU BAU Components Energy Use[rural residential,LPG propane or butane bf,heating] : MostRecentRun</t>
  </si>
  <si>
    <t>BCEU BAU Components Energy Use[rural residential,LPG propane or butane bf,cooling and ventilation] : MostRecentRun</t>
  </si>
  <si>
    <t>BCEU BAU Components Energy Use[rural residential,LPG propane or butane bf,envelope] : MostRecentRun</t>
  </si>
  <si>
    <t>BCEU BAU Components Energy Use[rural residential,LPG propane or butane bf,lighting] : MostRecentRun</t>
  </si>
  <si>
    <t>BCEU BAU Components Energy Use[rural residential,LPG propane or butane bf,appliances] : MostRecentRun</t>
  </si>
  <si>
    <t>BCEU BAU Components Energy Use[rural residential,LPG propane or butane bf,other component] : MostRecentRun</t>
  </si>
  <si>
    <t>BCEU BAU Components Energy Use[rural residential,hydrogen bf,heating] : MostRecentRun</t>
  </si>
  <si>
    <t>BCEU BAU Components Energy Use[rural residential,hydrogen bf,cooling and ventilation] : MostRecentRun</t>
  </si>
  <si>
    <t>BCEU BAU Components Energy Use[rural residential,hydrogen bf,envelope] : MostRecentRun</t>
  </si>
  <si>
    <t>BCEU BAU Components Energy Use[rural residential,hydrogen bf,lighting] : MostRecentRun</t>
  </si>
  <si>
    <t>BCEU BAU Components Energy Use[rural residential,hydrogen bf,appliances] : MostRecentRun</t>
  </si>
  <si>
    <t>BCEU BAU Components Energy Use[rural residential,hydrogen bf,other component] : MostRecentRun</t>
  </si>
  <si>
    <t>BCEU BAU Components Energy Use[commercial,electricity bf,heating] : MostRecentRun</t>
  </si>
  <si>
    <t>BCEU BAU Components Energy Use[commercial,electricity bf,cooling and ventilation] : MostRecentRun</t>
  </si>
  <si>
    <t>BCEU BAU Components Energy Use[commercial,electricity bf,envelope] : MostRecentRun</t>
  </si>
  <si>
    <t>BCEU BAU Components Energy Use[commercial,electricity bf,lighting] : MostRecentRun</t>
  </si>
  <si>
    <t>BCEU BAU Components Energy Use[commercial,electricity bf,appliances] : MostRecentRun</t>
  </si>
  <si>
    <t>BCEU BAU Components Energy Use[commercial,electricity bf,other component] : MostRecentRun</t>
  </si>
  <si>
    <t>BCEU BAU Components Energy Use[commercial,hard coal bf,heating] : MostRecentRun</t>
  </si>
  <si>
    <t>BCEU BAU Components Energy Use[commercial,hard coal bf,cooling and ventilation] : MostRecentRun</t>
  </si>
  <si>
    <t>BCEU BAU Components Energy Use[commercial,hard coal bf,envelope] : MostRecentRun</t>
  </si>
  <si>
    <t>BCEU BAU Components Energy Use[commercial,hard coal bf,lighting] : MostRecentRun</t>
  </si>
  <si>
    <t>BCEU BAU Components Energy Use[commercial,hard coal bf,appliances] : MostRecentRun</t>
  </si>
  <si>
    <t>BCEU BAU Components Energy Use[commercial,hard coal bf,other component] : MostRecentRun</t>
  </si>
  <si>
    <t>BCEU BAU Components Energy Use[commercial,natural gas bf,heating] : MostRecentRun</t>
  </si>
  <si>
    <t>BCEU BAU Components Energy Use[commercial,natural gas bf,cooling and ventilation] : MostRecentRun</t>
  </si>
  <si>
    <t>BCEU BAU Components Energy Use[commercial,natural gas bf,envelope] : MostRecentRun</t>
  </si>
  <si>
    <t>BCEU BAU Components Energy Use[commercial,natural gas bf,lighting] : MostRecentRun</t>
  </si>
  <si>
    <t>BCEU BAU Components Energy Use[commercial,natural gas bf,appliances] : MostRecentRun</t>
  </si>
  <si>
    <t>BCEU BAU Components Energy Use[commercial,natural gas bf,other component] : MostRecentRun</t>
  </si>
  <si>
    <t>BCEU BAU Components Energy Use[commercial,petroleum diesel bf,heating] : MostRecentRun</t>
  </si>
  <si>
    <t>BCEU BAU Components Energy Use[commercial,petroleum diesel bf,cooling and ventilation] : MostRecentRun</t>
  </si>
  <si>
    <t>BCEU BAU Components Energy Use[commercial,petroleum diesel bf,envelope] : MostRecentRun</t>
  </si>
  <si>
    <t>BCEU BAU Components Energy Use[commercial,petroleum diesel bf,lighting] : MostRecentRun</t>
  </si>
  <si>
    <t>BCEU BAU Components Energy Use[commercial,petroleum diesel bf,appliances] : MostRecentRun</t>
  </si>
  <si>
    <t>BCEU BAU Components Energy Use[commercial,petroleum diesel bf,other component] : MostRecentRun</t>
  </si>
  <si>
    <t>BCEU BAU Components Energy Use[commercial,heat bf,heating] : MostRecentRun</t>
  </si>
  <si>
    <t>BCEU BAU Components Energy Use[commercial,heat bf,cooling and ventilation] : MostRecentRun</t>
  </si>
  <si>
    <t>BCEU BAU Components Energy Use[commercial,heat bf,envelope] : MostRecentRun</t>
  </si>
  <si>
    <t>BCEU BAU Components Energy Use[commercial,heat bf,lighting] : MostRecentRun</t>
  </si>
  <si>
    <t>BCEU BAU Components Energy Use[commercial,heat bf,appliances] : MostRecentRun</t>
  </si>
  <si>
    <t>BCEU BAU Components Energy Use[commercial,heat bf,other component] : MostRecentRun</t>
  </si>
  <si>
    <t>BCEU BAU Components Energy Use[commercial,biomass bf,heating] : MostRecentRun</t>
  </si>
  <si>
    <t>BCEU BAU Components Energy Use[commercial,biomass bf,cooling and ventilation] : MostRecentRun</t>
  </si>
  <si>
    <t>BCEU BAU Components Energy Use[commercial,biomass bf,envelope] : MostRecentRun</t>
  </si>
  <si>
    <t>BCEU BAU Components Energy Use[commercial,biomass bf,lighting] : MostRecentRun</t>
  </si>
  <si>
    <t>BCEU BAU Components Energy Use[commercial,biomass bf,appliances] : MostRecentRun</t>
  </si>
  <si>
    <t>BCEU BAU Components Energy Use[commercial,biomass bf,other component] : MostRecentRun</t>
  </si>
  <si>
    <t>BCEU BAU Components Energy Use[commercial,kerosene bf,heating] : MostRecentRun</t>
  </si>
  <si>
    <t>BCEU BAU Components Energy Use[commercial,kerosene bf,cooling and ventilation] : MostRecentRun</t>
  </si>
  <si>
    <t>BCEU BAU Components Energy Use[commercial,kerosene bf,envelope] : MostRecentRun</t>
  </si>
  <si>
    <t>BCEU BAU Components Energy Use[commercial,kerosene bf,lighting] : MostRecentRun</t>
  </si>
  <si>
    <t>BCEU BAU Components Energy Use[commercial,kerosene bf,appliances] : MostRecentRun</t>
  </si>
  <si>
    <t>BCEU BAU Components Energy Use[commercial,kerosene bf,other component] : MostRecentRun</t>
  </si>
  <si>
    <t>BCEU BAU Components Energy Use[commercial,heavy or residual fuel oil bf,heating] : MostRecentRun</t>
  </si>
  <si>
    <t>BCEU BAU Components Energy Use[commercial,heavy or residual fuel oil bf,cooling and ventilation] : MostRecentRun</t>
  </si>
  <si>
    <t>BCEU BAU Components Energy Use[commercial,heavy or residual fuel oil bf,envelope] : MostRecentRun</t>
  </si>
  <si>
    <t>BCEU BAU Components Energy Use[commercial,heavy or residual fuel oil bf,lighting] : MostRecentRun</t>
  </si>
  <si>
    <t>BCEU BAU Components Energy Use[commercial,heavy or residual fuel oil bf,appliances] : MostRecentRun</t>
  </si>
  <si>
    <t>BCEU BAU Components Energy Use[commercial,heavy or residual fuel oil bf,other component] : MostRecentRun</t>
  </si>
  <si>
    <t>BCEU BAU Components Energy Use[commercial,LPG propane or butane bf,heating] : MostRecentRun</t>
  </si>
  <si>
    <t>BCEU BAU Components Energy Use[commercial,LPG propane or butane bf,cooling and ventilation] : MostRecentRun</t>
  </si>
  <si>
    <t>BCEU BAU Components Energy Use[commercial,LPG propane or butane bf,envelope] : MostRecentRun</t>
  </si>
  <si>
    <t>BCEU BAU Components Energy Use[commercial,LPG propane or butane bf,lighting] : MostRecentRun</t>
  </si>
  <si>
    <t>BCEU BAU Components Energy Use[commercial,LPG propane or butane bf,appliances] : MostRecentRun</t>
  </si>
  <si>
    <t>BCEU BAU Components Energy Use[commercial,LPG propane or butane bf,other component] : MostRecentRun</t>
  </si>
  <si>
    <t>BCEU BAU Components Energy Use[commercial,hydrogen bf,heating] : MostRecentRun</t>
  </si>
  <si>
    <t>BCEU BAU Components Energy Use[commercial,hydrogen bf,cooling and ventilation] : MostRecentRun</t>
  </si>
  <si>
    <t>BCEU BAU Components Energy Use[commercial,hydrogen bf,envelope] : MostRecentRun</t>
  </si>
  <si>
    <t>BCEU BAU Components Energy Use[commercial,hydrogen bf,lighting] : MostRecentRun</t>
  </si>
  <si>
    <t>BCEU BAU Components Energy Use[commercial,hydrogen bf,appliances] : MostRecentRun</t>
  </si>
  <si>
    <t>BCEU BAU Components Energy Use[commercial,hydrogen bf,other component] : MostRecentRun</t>
  </si>
  <si>
    <t>heating</t>
    <phoneticPr fontId="7" type="noConversion"/>
  </si>
  <si>
    <t>commercial</t>
    <phoneticPr fontId="1" type="noConversion"/>
  </si>
  <si>
    <t>other component</t>
    <phoneticPr fontId="1" type="noConversion"/>
  </si>
  <si>
    <t>electricity</t>
    <phoneticPr fontId="1" type="noConversion"/>
  </si>
  <si>
    <r>
      <rPr>
        <b/>
        <sz val="11"/>
        <color theme="1"/>
        <rFont val="宋体"/>
        <family val="3"/>
        <charset val="134"/>
      </rPr>
      <t>家用设施电气化</t>
    </r>
    <phoneticPr fontId="1" type="noConversion"/>
  </si>
  <si>
    <r>
      <rPr>
        <sz val="11"/>
        <color theme="1"/>
        <rFont val="宋体"/>
        <family val="3"/>
        <charset val="134"/>
      </rPr>
      <t>表</t>
    </r>
    <r>
      <rPr>
        <sz val="11"/>
        <color theme="1"/>
        <rFont val="Times New Roman"/>
        <family val="1"/>
      </rPr>
      <t>3-1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BAU</t>
    </r>
    <r>
      <rPr>
        <sz val="11"/>
        <color theme="1"/>
        <rFont val="宋体"/>
        <family val="3"/>
        <charset val="134"/>
      </rPr>
      <t>情景下家用设施电气化率</t>
    </r>
    <phoneticPr fontId="1" type="noConversion"/>
  </si>
  <si>
    <t>urban residential</t>
    <phoneticPr fontId="1" type="noConversion"/>
  </si>
  <si>
    <t>rural residential</t>
    <phoneticPr fontId="1" type="noConversion"/>
  </si>
  <si>
    <r>
      <rPr>
        <sz val="11"/>
        <color theme="1"/>
        <rFont val="宋体"/>
        <family val="3"/>
        <charset val="134"/>
      </rPr>
      <t>公建</t>
    </r>
  </si>
  <si>
    <r>
      <rPr>
        <sz val="11"/>
        <color theme="1"/>
        <rFont val="宋体"/>
        <family val="3"/>
        <charset val="134"/>
      </rPr>
      <t>城市住宅</t>
    </r>
    <phoneticPr fontId="7" type="noConversion"/>
  </si>
  <si>
    <r>
      <rPr>
        <sz val="11"/>
        <color theme="1"/>
        <rFont val="宋体"/>
        <family val="3"/>
        <charset val="134"/>
      </rPr>
      <t>农村住宅</t>
    </r>
    <phoneticPr fontId="7" type="noConversion"/>
  </si>
  <si>
    <r>
      <rPr>
        <sz val="11"/>
        <color theme="1"/>
        <rFont val="宋体"/>
        <family val="3"/>
        <charset val="134"/>
      </rPr>
      <t>江亿《建筑运行用能低碳转型导论》</t>
    </r>
    <phoneticPr fontId="7" type="noConversion"/>
  </si>
  <si>
    <r>
      <rPr>
        <sz val="11"/>
        <color theme="1"/>
        <rFont val="宋体"/>
        <family val="3"/>
        <charset val="134"/>
      </rPr>
      <t>到</t>
    </r>
    <r>
      <rPr>
        <sz val="11"/>
        <color theme="1"/>
        <rFont val="Times New Roman"/>
        <family val="1"/>
      </rPr>
      <t>2030</t>
    </r>
  </si>
  <si>
    <r>
      <rPr>
        <sz val="11"/>
        <color theme="1"/>
        <rFont val="宋体"/>
        <family val="3"/>
        <charset val="134"/>
      </rPr>
      <t>到</t>
    </r>
    <r>
      <rPr>
        <sz val="11"/>
        <color theme="1"/>
        <rFont val="Times New Roman"/>
        <family val="1"/>
      </rPr>
      <t>2035</t>
    </r>
  </si>
  <si>
    <r>
      <rPr>
        <sz val="11"/>
        <color theme="1"/>
        <rFont val="宋体"/>
        <family val="3"/>
        <charset val="134"/>
      </rPr>
      <t>到</t>
    </r>
    <r>
      <rPr>
        <sz val="11"/>
        <color theme="1"/>
        <rFont val="Times New Roman"/>
        <family val="1"/>
      </rPr>
      <t>2040</t>
    </r>
  </si>
  <si>
    <r>
      <rPr>
        <sz val="11"/>
        <color theme="1"/>
        <rFont val="宋体"/>
        <family val="3"/>
        <charset val="134"/>
      </rPr>
      <t>到</t>
    </r>
    <r>
      <rPr>
        <sz val="11"/>
        <color theme="1"/>
        <rFont val="Times New Roman"/>
        <family val="1"/>
      </rPr>
      <t>2050</t>
    </r>
  </si>
  <si>
    <r>
      <rPr>
        <sz val="11"/>
        <color theme="1"/>
        <rFont val="宋体"/>
        <family val="3"/>
        <charset val="134"/>
      </rPr>
      <t>政策情景</t>
    </r>
    <phoneticPr fontId="7" type="noConversion"/>
  </si>
  <si>
    <r>
      <rPr>
        <sz val="11"/>
        <color theme="1"/>
        <rFont val="宋体"/>
        <family val="3"/>
        <charset val="134"/>
      </rPr>
      <t>改造前能效水平</t>
    </r>
    <phoneticPr fontId="7" type="noConversion"/>
  </si>
  <si>
    <r>
      <rPr>
        <sz val="11"/>
        <color theme="1"/>
        <rFont val="宋体"/>
        <family val="3"/>
        <charset val="134"/>
      </rPr>
      <t>改造后能效提升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住宅</t>
    </r>
    <phoneticPr fontId="7" type="noConversion"/>
  </si>
  <si>
    <r>
      <rPr>
        <sz val="11"/>
        <color theme="1"/>
        <rFont val="宋体"/>
        <family val="3"/>
        <charset val="134"/>
      </rPr>
      <t>改造后能效提升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公建</t>
    </r>
    <phoneticPr fontId="7" type="noConversion"/>
  </si>
  <si>
    <r>
      <rPr>
        <sz val="11"/>
        <color theme="5" tint="-0.249977111117893"/>
        <rFont val="宋体"/>
        <family val="3"/>
        <charset val="134"/>
      </rPr>
      <t>基线</t>
    </r>
    <phoneticPr fontId="7" type="noConversion"/>
  </si>
  <si>
    <t>政策4</t>
    <phoneticPr fontId="1" type="noConversion"/>
  </si>
  <si>
    <t>分布式光伏</t>
    <phoneticPr fontId="1" type="noConversion"/>
  </si>
  <si>
    <r>
      <rPr>
        <sz val="11"/>
        <color theme="1"/>
        <rFont val="宋体"/>
        <family val="3"/>
        <charset val="134"/>
      </rPr>
      <t>表</t>
    </r>
    <r>
      <rPr>
        <sz val="11"/>
        <color theme="1"/>
        <rFont val="Times New Roman"/>
        <family val="1"/>
      </rPr>
      <t>4-1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BAU</t>
    </r>
    <r>
      <rPr>
        <sz val="11"/>
        <color theme="1"/>
        <rFont val="宋体"/>
        <family val="1"/>
        <charset val="134"/>
      </rPr>
      <t>分布式光伏</t>
    </r>
    <phoneticPr fontId="1" type="noConversion"/>
  </si>
  <si>
    <t>城镇居民</t>
    <phoneticPr fontId="1" type="noConversion"/>
  </si>
  <si>
    <t>农村居民</t>
    <phoneticPr fontId="1" type="noConversion"/>
  </si>
  <si>
    <t>公共建筑</t>
    <phoneticPr fontId="1" type="noConversion"/>
  </si>
  <si>
    <r>
      <rPr>
        <sz val="11"/>
        <color theme="1"/>
        <rFont val="宋体"/>
        <family val="1"/>
        <charset val="134"/>
      </rPr>
      <t>亿</t>
    </r>
    <r>
      <rPr>
        <sz val="11"/>
        <color theme="1"/>
        <rFont val="Times New Roman"/>
        <family val="1"/>
      </rPr>
      <t>KW</t>
    </r>
    <phoneticPr fontId="1" type="noConversion"/>
  </si>
  <si>
    <r>
      <rPr>
        <sz val="11"/>
        <color theme="1"/>
        <rFont val="宋体"/>
        <family val="3"/>
        <charset val="134"/>
      </rPr>
      <t>表</t>
    </r>
    <r>
      <rPr>
        <sz val="11"/>
        <color theme="1"/>
        <rFont val="Times New Roman"/>
        <family val="1"/>
      </rPr>
      <t>4-2</t>
    </r>
    <r>
      <rPr>
        <sz val="11"/>
        <color theme="1"/>
        <rFont val="宋体"/>
        <family val="3"/>
        <charset val="134"/>
      </rPr>
      <t>：政策情境下的分布式光伏</t>
    </r>
    <phoneticPr fontId="1" type="noConversion"/>
  </si>
  <si>
    <t>1000h</t>
    <phoneticPr fontId="7" type="noConversion"/>
  </si>
  <si>
    <r>
      <rPr>
        <sz val="11"/>
        <color theme="1"/>
        <rFont val="宋体"/>
        <family val="3"/>
        <charset val="134"/>
      </rPr>
      <t>全国年有效日照小时数</t>
    </r>
    <phoneticPr fontId="7" type="noConversion"/>
  </si>
  <si>
    <t>2020-2060</t>
    <phoneticPr fontId="7" type="noConversion"/>
  </si>
  <si>
    <r>
      <rPr>
        <sz val="11"/>
        <color theme="1"/>
        <rFont val="宋体"/>
        <family val="3"/>
        <charset val="134"/>
      </rPr>
      <t>电力供暖占比</t>
    </r>
    <phoneticPr fontId="7" type="noConversion"/>
  </si>
  <si>
    <r>
      <rPr>
        <sz val="11"/>
        <color theme="1"/>
        <rFont val="宋体"/>
        <family val="3"/>
        <charset val="134"/>
      </rPr>
      <t>传统供暖占比</t>
    </r>
    <phoneticPr fontId="7" type="noConversion"/>
  </si>
  <si>
    <r>
      <rPr>
        <sz val="11"/>
        <color theme="1"/>
        <rFont val="宋体"/>
        <family val="3"/>
        <charset val="134"/>
      </rPr>
      <t>到</t>
    </r>
    <r>
      <rPr>
        <sz val="11"/>
        <color theme="1"/>
        <rFont val="Times New Roman"/>
        <family val="1"/>
      </rPr>
      <t>2030</t>
    </r>
    <phoneticPr fontId="7" type="noConversion"/>
  </si>
  <si>
    <r>
      <rPr>
        <sz val="11"/>
        <color theme="1"/>
        <rFont val="宋体"/>
        <family val="3"/>
        <charset val="134"/>
      </rPr>
      <t>数据来源：江亿情景</t>
    </r>
    <phoneticPr fontId="7" type="noConversion"/>
  </si>
  <si>
    <r>
      <rPr>
        <b/>
        <sz val="11"/>
        <color theme="1"/>
        <rFont val="宋体"/>
        <family val="3"/>
        <charset val="134"/>
      </rPr>
      <t>集中供暖电气化</t>
    </r>
    <phoneticPr fontId="1" type="noConversion"/>
  </si>
  <si>
    <t>Fraction of District Heat Fuel Use Shifted to Other Fuels</t>
  </si>
  <si>
    <r>
      <rPr>
        <sz val="11"/>
        <color theme="1"/>
        <rFont val="宋体"/>
        <family val="3"/>
        <charset val="134"/>
      </rPr>
      <t>表</t>
    </r>
    <r>
      <rPr>
        <sz val="11"/>
        <color theme="1"/>
        <rFont val="Times New Roman"/>
        <family val="1"/>
      </rPr>
      <t>5-1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BAU</t>
    </r>
    <r>
      <rPr>
        <sz val="11"/>
        <color theme="1"/>
        <rFont val="宋体"/>
        <family val="3"/>
        <charset val="134"/>
      </rPr>
      <t>情境下集中供暖能源使用比例</t>
    </r>
    <phoneticPr fontId="7" type="noConversion"/>
  </si>
  <si>
    <t>BCEU BAU Components Energy Use[urban residential,electricity bf,cooling and ventilation] : MostRecentRun</t>
  </si>
  <si>
    <r>
      <t>appliance(</t>
    </r>
    <r>
      <rPr>
        <sz val="11"/>
        <color theme="1"/>
        <rFont val="宋体"/>
        <family val="3"/>
        <charset val="134"/>
      </rPr>
      <t>热水器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烘干机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洗衣机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炊事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电气化率</t>
    </r>
    <phoneticPr fontId="7" type="noConversion"/>
  </si>
  <si>
    <t>2022-2060</t>
    <phoneticPr fontId="7" type="noConversion"/>
  </si>
  <si>
    <r>
      <rPr>
        <sz val="11"/>
        <color theme="1"/>
        <rFont val="宋体"/>
        <family val="3"/>
        <charset val="134"/>
      </rPr>
      <t>表</t>
    </r>
    <r>
      <rPr>
        <sz val="11"/>
        <color theme="1"/>
        <rFont val="Times New Roman"/>
        <family val="1"/>
      </rPr>
      <t>3-2</t>
    </r>
    <r>
      <rPr>
        <sz val="11"/>
        <color theme="1"/>
        <rFont val="宋体"/>
        <family val="3"/>
        <charset val="134"/>
      </rPr>
      <t>：政策情境下电气化率</t>
    </r>
    <r>
      <rPr>
        <sz val="11"/>
        <color theme="1"/>
        <rFont val="Times New Roman"/>
        <family val="3"/>
      </rPr>
      <t>[</t>
    </r>
    <r>
      <rPr>
        <sz val="11"/>
        <color theme="1"/>
        <rFont val="宋体"/>
        <family val="3"/>
        <charset val="134"/>
      </rPr>
      <t>作用于和</t>
    </r>
    <r>
      <rPr>
        <sz val="11"/>
        <color theme="1"/>
        <rFont val="Times New Roman"/>
        <family val="3"/>
      </rPr>
      <t>appliances]</t>
    </r>
    <phoneticPr fontId="1" type="noConversion"/>
  </si>
  <si>
    <t>Fraction of New Bldg Components Shifted to Other Fuels</t>
  </si>
  <si>
    <t>appliances</t>
    <phoneticPr fontId="7" type="noConversion"/>
  </si>
  <si>
    <t>appliances</t>
    <phoneticPr fontId="1" type="noConversion"/>
  </si>
  <si>
    <r>
      <rPr>
        <sz val="11"/>
        <color theme="1"/>
        <rFont val="宋体"/>
        <family val="1"/>
        <charset val="134"/>
      </rPr>
      <t>表</t>
    </r>
    <r>
      <rPr>
        <sz val="11"/>
        <color theme="1"/>
        <rFont val="Times New Roman"/>
        <family val="1"/>
      </rPr>
      <t>3-3</t>
    </r>
    <r>
      <rPr>
        <sz val="11"/>
        <color theme="1"/>
        <rFont val="宋体"/>
        <family val="1"/>
        <charset val="134"/>
      </rPr>
      <t>：</t>
    </r>
    <r>
      <rPr>
        <b/>
        <sz val="11"/>
        <color theme="1"/>
        <rFont val="Times New Roman"/>
        <family val="1"/>
      </rPr>
      <t>appliances</t>
    </r>
    <r>
      <rPr>
        <sz val="11"/>
        <color theme="1"/>
        <rFont val="宋体"/>
        <family val="1"/>
        <charset val="134"/>
      </rPr>
      <t>电气化率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1"/>
        <charset val="134"/>
      </rPr>
      <t>政策输入</t>
    </r>
    <r>
      <rPr>
        <sz val="11"/>
        <color theme="1"/>
        <rFont val="Times New Roman"/>
        <family val="1"/>
      </rPr>
      <t>]</t>
    </r>
    <phoneticPr fontId="1" type="noConversion"/>
  </si>
  <si>
    <r>
      <t>heating(</t>
    </r>
    <r>
      <rPr>
        <sz val="11"/>
        <color theme="1"/>
        <rFont val="宋体"/>
        <family val="3"/>
        <charset val="134"/>
      </rPr>
      <t>分布式供暖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电气化率</t>
    </r>
    <phoneticPr fontId="7" type="noConversion"/>
  </si>
  <si>
    <r>
      <rPr>
        <sz val="11"/>
        <color theme="1"/>
        <rFont val="宋体"/>
        <family val="3"/>
        <charset val="134"/>
      </rPr>
      <t>拍数</t>
    </r>
    <phoneticPr fontId="7" type="noConversion"/>
  </si>
  <si>
    <r>
      <rPr>
        <sz val="11"/>
        <color theme="1"/>
        <rFont val="宋体"/>
        <family val="3"/>
        <charset val="134"/>
      </rPr>
      <t>备注：农村没有集中供暖，即热源无</t>
    </r>
    <r>
      <rPr>
        <sz val="11"/>
        <color theme="1"/>
        <rFont val="Times New Roman"/>
        <family val="1"/>
      </rPr>
      <t>heat,</t>
    </r>
    <r>
      <rPr>
        <sz val="11"/>
        <color theme="1"/>
        <rFont val="宋体"/>
        <family val="3"/>
        <charset val="134"/>
      </rPr>
      <t>所以其分母要小很多，所以电气化率高；公建案例集均为集中供暖</t>
    </r>
    <phoneticPr fontId="7" type="noConversion"/>
  </si>
  <si>
    <r>
      <rPr>
        <b/>
        <sz val="11"/>
        <color theme="1"/>
        <rFont val="宋体"/>
        <family val="1"/>
        <charset val="134"/>
      </rPr>
      <t>备注：该政策只作用于</t>
    </r>
    <r>
      <rPr>
        <b/>
        <sz val="11"/>
        <color theme="1"/>
        <rFont val="Times New Roman"/>
        <family val="1"/>
      </rPr>
      <t>appliances</t>
    </r>
    <r>
      <rPr>
        <b/>
        <sz val="11"/>
        <color theme="1"/>
        <rFont val="宋体"/>
        <family val="1"/>
        <charset val="134"/>
      </rPr>
      <t>和</t>
    </r>
    <r>
      <rPr>
        <b/>
        <sz val="11"/>
        <color theme="1"/>
        <rFont val="Times New Roman"/>
        <family val="1"/>
        <charset val="134"/>
      </rPr>
      <t>heating</t>
    </r>
    <phoneticPr fontId="1" type="noConversion"/>
  </si>
  <si>
    <r>
      <rPr>
        <sz val="11"/>
        <color theme="1"/>
        <rFont val="宋体"/>
        <family val="1"/>
        <charset val="134"/>
      </rPr>
      <t>表</t>
    </r>
    <r>
      <rPr>
        <sz val="11"/>
        <color theme="1"/>
        <rFont val="Times New Roman"/>
        <family val="1"/>
      </rPr>
      <t>3-4</t>
    </r>
    <r>
      <rPr>
        <sz val="11"/>
        <color theme="1"/>
        <rFont val="宋体"/>
        <family val="1"/>
        <charset val="134"/>
      </rPr>
      <t>：</t>
    </r>
    <r>
      <rPr>
        <b/>
        <sz val="11"/>
        <color theme="1"/>
        <rFont val="Times New Roman"/>
        <family val="1"/>
      </rPr>
      <t>heating</t>
    </r>
    <r>
      <rPr>
        <sz val="11"/>
        <color theme="1"/>
        <rFont val="宋体"/>
        <family val="1"/>
        <charset val="134"/>
      </rPr>
      <t>电气化率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1"/>
        <charset val="134"/>
      </rPr>
      <t>政策输入</t>
    </r>
    <r>
      <rPr>
        <sz val="11"/>
        <color theme="1"/>
        <rFont val="Times New Roman"/>
        <family val="1"/>
      </rPr>
      <t>]</t>
    </r>
    <phoneticPr fontId="1" type="noConversion"/>
  </si>
  <si>
    <t>中间情景</t>
    <phoneticPr fontId="1" type="noConversion"/>
  </si>
  <si>
    <r>
      <rPr>
        <sz val="11"/>
        <color theme="1"/>
        <rFont val="宋体"/>
        <family val="3"/>
        <charset val="134"/>
      </rPr>
      <t>到</t>
    </r>
    <r>
      <rPr>
        <sz val="11"/>
        <color theme="1"/>
        <rFont val="Times New Roman"/>
        <family val="1"/>
      </rPr>
      <t>2040</t>
    </r>
    <phoneticPr fontId="7" type="noConversion"/>
  </si>
  <si>
    <t>高排放情景</t>
    <phoneticPr fontId="1" type="noConversion"/>
  </si>
  <si>
    <t>低排放情景</t>
    <phoneticPr fontId="1" type="noConversion"/>
  </si>
  <si>
    <r>
      <rPr>
        <sz val="11"/>
        <color rgb="FFFF0000"/>
        <rFont val="宋体"/>
        <family val="3"/>
        <charset val="134"/>
      </rPr>
      <t>政策情景</t>
    </r>
    <phoneticPr fontId="7" type="noConversion"/>
  </si>
  <si>
    <r>
      <rPr>
        <sz val="11"/>
        <color rgb="FFFF0000"/>
        <rFont val="宋体"/>
        <family val="3"/>
        <charset val="134"/>
      </rPr>
      <t>电力供暖占比</t>
    </r>
    <phoneticPr fontId="7" type="noConversion"/>
  </si>
  <si>
    <r>
      <rPr>
        <sz val="11"/>
        <color rgb="FFFF0000"/>
        <rFont val="宋体"/>
        <family val="3"/>
        <charset val="134"/>
      </rPr>
      <t>传统供暖占比</t>
    </r>
    <phoneticPr fontId="7" type="noConversion"/>
  </si>
  <si>
    <r>
      <rPr>
        <sz val="11"/>
        <color rgb="FFFF0000"/>
        <rFont val="宋体"/>
        <family val="3"/>
        <charset val="134"/>
      </rPr>
      <t>到</t>
    </r>
    <r>
      <rPr>
        <sz val="11"/>
        <color rgb="FFFF0000"/>
        <rFont val="Times New Roman"/>
        <family val="1"/>
      </rPr>
      <t>2030</t>
    </r>
    <phoneticPr fontId="7" type="noConversion"/>
  </si>
  <si>
    <r>
      <rPr>
        <sz val="11"/>
        <color rgb="FFFF0000"/>
        <rFont val="宋体"/>
        <family val="3"/>
        <charset val="134"/>
      </rPr>
      <t>到</t>
    </r>
    <r>
      <rPr>
        <sz val="11"/>
        <color rgb="FFFF0000"/>
        <rFont val="Times New Roman"/>
        <family val="1"/>
      </rPr>
      <t>2040</t>
    </r>
    <phoneticPr fontId="7" type="noConversion"/>
  </si>
  <si>
    <r>
      <rPr>
        <sz val="11"/>
        <color rgb="FFFF0000"/>
        <rFont val="宋体"/>
        <family val="3"/>
        <charset val="134"/>
      </rPr>
      <t>到</t>
    </r>
    <r>
      <rPr>
        <sz val="11"/>
        <color rgb="FFFF0000"/>
        <rFont val="Times New Roman"/>
        <family val="1"/>
      </rPr>
      <t>2050</t>
    </r>
    <phoneticPr fontId="7" type="noConversion"/>
  </si>
  <si>
    <r>
      <rPr>
        <sz val="11"/>
        <color rgb="FFFF0000"/>
        <rFont val="宋体"/>
        <family val="3"/>
        <charset val="134"/>
      </rPr>
      <t>到</t>
    </r>
    <r>
      <rPr>
        <sz val="11"/>
        <color rgb="FFFF0000"/>
        <rFont val="Times New Roman"/>
        <family val="1"/>
      </rPr>
      <t>2060</t>
    </r>
    <phoneticPr fontId="7" type="noConversion"/>
  </si>
  <si>
    <t>Fraction of District Heat Fuel Use Shifted to Other Fuels</t>
    <phoneticPr fontId="1" type="noConversion"/>
  </si>
  <si>
    <r>
      <rPr>
        <b/>
        <sz val="11"/>
        <color theme="1"/>
        <rFont val="宋体"/>
        <family val="1"/>
        <charset val="134"/>
      </rPr>
      <t>中情景&amp;低情景-政策</t>
    </r>
    <r>
      <rPr>
        <b/>
        <sz val="11"/>
        <color theme="1"/>
        <rFont val="Times New Roman"/>
        <family val="1"/>
      </rPr>
      <t>1</t>
    </r>
    <phoneticPr fontId="1" type="noConversion"/>
  </si>
  <si>
    <r>
      <rPr>
        <b/>
        <sz val="11"/>
        <color theme="1"/>
        <rFont val="宋体"/>
        <family val="1"/>
        <charset val="134"/>
      </rPr>
      <t>高情景-政策</t>
    </r>
    <r>
      <rPr>
        <b/>
        <sz val="11"/>
        <color theme="1"/>
        <rFont val="Times New Roman"/>
        <family val="1"/>
      </rPr>
      <t>1</t>
    </r>
    <phoneticPr fontId="1" type="noConversion"/>
  </si>
  <si>
    <r>
      <rPr>
        <b/>
        <sz val="11"/>
        <color theme="1"/>
        <rFont val="宋体"/>
        <family val="1"/>
        <charset val="134"/>
      </rPr>
      <t>政策</t>
    </r>
    <r>
      <rPr>
        <b/>
        <sz val="11"/>
        <color theme="1"/>
        <rFont val="Times New Roman"/>
        <family val="1"/>
      </rPr>
      <t>3-</t>
    </r>
    <r>
      <rPr>
        <b/>
        <sz val="11"/>
        <color theme="1"/>
        <rFont val="宋体"/>
        <family val="1"/>
        <charset val="134"/>
      </rPr>
      <t>低情景</t>
    </r>
    <phoneticPr fontId="1" type="noConversion"/>
  </si>
  <si>
    <r>
      <rPr>
        <b/>
        <sz val="11"/>
        <color theme="1"/>
        <rFont val="宋体"/>
        <family val="1"/>
        <charset val="134"/>
      </rPr>
      <t>政策</t>
    </r>
    <r>
      <rPr>
        <b/>
        <sz val="11"/>
        <color theme="1"/>
        <rFont val="Times New Roman"/>
        <family val="1"/>
      </rPr>
      <t>3-</t>
    </r>
    <r>
      <rPr>
        <b/>
        <sz val="11"/>
        <color theme="1"/>
        <rFont val="宋体"/>
        <family val="1"/>
        <charset val="134"/>
      </rPr>
      <t>中情景</t>
    </r>
    <phoneticPr fontId="1" type="noConversion"/>
  </si>
  <si>
    <r>
      <rPr>
        <b/>
        <sz val="11"/>
        <color theme="1"/>
        <rFont val="宋体"/>
        <family val="1"/>
        <charset val="134"/>
      </rPr>
      <t>政策</t>
    </r>
    <r>
      <rPr>
        <b/>
        <sz val="11"/>
        <color theme="1"/>
        <rFont val="Times New Roman"/>
        <family val="1"/>
      </rPr>
      <t>3-</t>
    </r>
    <r>
      <rPr>
        <b/>
        <sz val="11"/>
        <color theme="1"/>
        <rFont val="宋体"/>
        <family val="1"/>
        <charset val="134"/>
      </rPr>
      <t>高情景</t>
    </r>
    <phoneticPr fontId="1" type="noConversion"/>
  </si>
  <si>
    <t>政策2-低，中情景</t>
    <phoneticPr fontId="1" type="noConversion"/>
  </si>
  <si>
    <t>政策2-高情景</t>
    <phoneticPr fontId="1" type="noConversion"/>
  </si>
  <si>
    <t>Share of Preexisting Buildings Subject to Retrofitting</t>
    <phoneticPr fontId="1" type="noConversion"/>
  </si>
  <si>
    <t>Fraction of New Bldg Components Shifted to Other Fuels</t>
    <phoneticPr fontId="1" type="noConversion"/>
  </si>
  <si>
    <t>Min Fraction of Total Elec Demand to be Met by Distributed Solar PV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</si>
</sst>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"/>
    <numFmt numFmtId="177" formatCode="0.0%"/>
    <numFmt numFmtId="178" formatCode="0.0"/>
    <numFmt numFmtId="179" formatCode="0.00_);[Red]\(0.00\)"/>
    <numFmt numFmtId="180" formatCode="0.000_);[Red]\(0.000\)"/>
  </numFmts>
  <fonts count="2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1"/>
      <charset val="134"/>
    </font>
    <font>
      <b/>
      <sz val="11"/>
      <color theme="1"/>
      <name val="宋体"/>
      <family val="3"/>
      <charset val="134"/>
    </font>
    <font>
      <b/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11"/>
      <name val="Times New Roman"/>
      <family val="1"/>
    </font>
    <font>
      <sz val="11"/>
      <color theme="1"/>
      <name val="Times New Roman"/>
      <family val="3"/>
      <charset val="134"/>
    </font>
    <font>
      <sz val="11"/>
      <color theme="1"/>
      <name val="等线"/>
      <family val="2"/>
      <scheme val="minor"/>
    </font>
    <font>
      <b/>
      <sz val="11"/>
      <color theme="1"/>
      <name val="宋体"/>
      <family val="1"/>
      <charset val="134"/>
    </font>
    <font>
      <b/>
      <sz val="10"/>
      <color theme="1"/>
      <name val="宋体"/>
      <family val="1"/>
      <charset val="134"/>
    </font>
    <font>
      <b/>
      <sz val="10"/>
      <color theme="1"/>
      <name val="Times New Roman"/>
      <family val="1"/>
    </font>
    <font>
      <sz val="11"/>
      <color theme="1"/>
      <name val="Times New Roman"/>
      <family val="1"/>
      <charset val="134"/>
    </font>
    <font>
      <b/>
      <sz val="11"/>
      <color theme="1"/>
      <name val="Times New Roman"/>
      <family val="3"/>
    </font>
    <font>
      <b/>
      <sz val="11"/>
      <color theme="1"/>
      <name val="Times New Roman"/>
      <family val="3"/>
      <charset val="134"/>
    </font>
    <font>
      <sz val="11"/>
      <color rgb="FFFF0000"/>
      <name val="Times New Roman"/>
      <family val="1"/>
      <charset val="134"/>
    </font>
    <font>
      <sz val="11"/>
      <color theme="1"/>
      <name val="Times New Roman"/>
      <family val="3"/>
    </font>
    <font>
      <sz val="10"/>
      <name val="Times New Roman"/>
      <family val="1"/>
    </font>
    <font>
      <sz val="11"/>
      <color theme="5" tint="-0.249977111117893"/>
      <name val="宋体"/>
      <family val="3"/>
      <charset val="134"/>
    </font>
    <font>
      <sz val="11"/>
      <color theme="5" tint="-0.249977111117893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  <charset val="134"/>
    </font>
    <font>
      <sz val="11"/>
      <color rgb="FFFF0000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0" fillId="0" borderId="0" applyFont="0" applyFill="0" applyBorder="0" applyAlignment="0" applyProtection="0">
      <alignment vertical="center"/>
    </xf>
  </cellStyleXfs>
  <cellXfs count="117">
    <xf numFmtId="0" fontId="0" fillId="0" borderId="0" xfId="0"/>
    <xf numFmtId="0" fontId="3" fillId="0" borderId="0" xfId="0" applyFont="1"/>
    <xf numFmtId="0" fontId="3" fillId="0" borderId="1" xfId="0" applyFont="1" applyBorder="1"/>
    <xf numFmtId="0" fontId="6" fillId="2" borderId="0" xfId="0" applyFont="1" applyFill="1"/>
    <xf numFmtId="11" fontId="3" fillId="0" borderId="1" xfId="0" applyNumberFormat="1" applyFont="1" applyBorder="1" applyAlignment="1">
      <alignment vertical="center"/>
    </xf>
    <xf numFmtId="0" fontId="3" fillId="5" borderId="1" xfId="0" applyFont="1" applyFill="1" applyBorder="1"/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9" fontId="3" fillId="5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horizontal="right"/>
    </xf>
    <xf numFmtId="176" fontId="3" fillId="0" borderId="1" xfId="0" applyNumberFormat="1" applyFont="1" applyBorder="1" applyAlignment="1">
      <alignment horizontal="right"/>
    </xf>
    <xf numFmtId="0" fontId="6" fillId="3" borderId="1" xfId="0" applyFont="1" applyFill="1" applyBorder="1" applyAlignment="1">
      <alignment horizontal="left"/>
    </xf>
    <xf numFmtId="0" fontId="6" fillId="0" borderId="0" xfId="0" applyFont="1"/>
    <xf numFmtId="0" fontId="6" fillId="7" borderId="0" xfId="0" applyFont="1" applyFill="1"/>
    <xf numFmtId="0" fontId="12" fillId="7" borderId="0" xfId="0" applyFont="1" applyFill="1"/>
    <xf numFmtId="0" fontId="13" fillId="7" borderId="0" xfId="0" applyFont="1" applyFill="1"/>
    <xf numFmtId="0" fontId="6" fillId="3" borderId="1" xfId="0" applyFont="1" applyFill="1" applyBorder="1"/>
    <xf numFmtId="0" fontId="9" fillId="5" borderId="1" xfId="0" applyFont="1" applyFill="1" applyBorder="1"/>
    <xf numFmtId="0" fontId="3" fillId="0" borderId="1" xfId="0" applyFont="1" applyBorder="1" applyAlignment="1">
      <alignment horizontal="center" vertical="center"/>
    </xf>
    <xf numFmtId="9" fontId="8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9" fontId="8" fillId="3" borderId="1" xfId="0" applyNumberFormat="1" applyFont="1" applyFill="1" applyBorder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6" fillId="3" borderId="1" xfId="0" applyFont="1" applyFill="1" applyBorder="1" applyAlignment="1">
      <alignment wrapText="1"/>
    </xf>
    <xf numFmtId="0" fontId="11" fillId="7" borderId="0" xfId="0" applyFont="1" applyFill="1"/>
    <xf numFmtId="0" fontId="5" fillId="3" borderId="1" xfId="0" applyFont="1" applyFill="1" applyBorder="1" applyAlignment="1">
      <alignment wrapText="1"/>
    </xf>
    <xf numFmtId="0" fontId="17" fillId="0" borderId="0" xfId="0" applyFont="1"/>
    <xf numFmtId="0" fontId="3" fillId="3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10" fontId="3" fillId="0" borderId="1" xfId="1" applyNumberFormat="1" applyFont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  <xf numFmtId="0" fontId="8" fillId="6" borderId="1" xfId="0" applyFont="1" applyFill="1" applyBorder="1"/>
    <xf numFmtId="0" fontId="14" fillId="0" borderId="0" xfId="0" applyFont="1"/>
    <xf numFmtId="0" fontId="3" fillId="2" borderId="0" xfId="0" applyFont="1" applyFill="1"/>
    <xf numFmtId="177" fontId="3" fillId="0" borderId="1" xfId="1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11" fontId="3" fillId="0" borderId="0" xfId="0" applyNumberFormat="1" applyFont="1"/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/>
    <xf numFmtId="0" fontId="19" fillId="0" borderId="0" xfId="0" applyFont="1"/>
    <xf numFmtId="177" fontId="3" fillId="5" borderId="1" xfId="1" applyNumberFormat="1" applyFont="1" applyFill="1" applyBorder="1" applyAlignment="1">
      <alignment horizontal="center" vertical="center"/>
    </xf>
    <xf numFmtId="11" fontId="3" fillId="0" borderId="1" xfId="1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9" fontId="21" fillId="0" borderId="1" xfId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3" fillId="6" borderId="6" xfId="0" applyFont="1" applyFill="1" applyBorder="1"/>
    <xf numFmtId="9" fontId="0" fillId="0" borderId="0" xfId="1" applyFont="1" applyFill="1" applyBorder="1" applyAlignment="1">
      <alignment horizontal="center" vertical="center"/>
    </xf>
    <xf numFmtId="0" fontId="3" fillId="5" borderId="0" xfId="0" applyFont="1" applyFill="1"/>
    <xf numFmtId="0" fontId="4" fillId="0" borderId="0" xfId="0" applyFont="1"/>
    <xf numFmtId="0" fontId="11" fillId="2" borderId="0" xfId="0" applyFont="1" applyFill="1"/>
    <xf numFmtId="0" fontId="5" fillId="2" borderId="0" xfId="0" applyFont="1" applyFill="1"/>
    <xf numFmtId="0" fontId="4" fillId="0" borderId="1" xfId="0" applyFont="1" applyBorder="1"/>
    <xf numFmtId="0" fontId="2" fillId="0" borderId="1" xfId="0" applyFont="1" applyBorder="1"/>
    <xf numFmtId="0" fontId="14" fillId="0" borderId="1" xfId="0" applyFont="1" applyBorder="1"/>
    <xf numFmtId="1" fontId="3" fillId="0" borderId="1" xfId="0" applyNumberFormat="1" applyFont="1" applyBorder="1"/>
    <xf numFmtId="178" fontId="3" fillId="0" borderId="1" xfId="0" applyNumberFormat="1" applyFont="1" applyBorder="1"/>
    <xf numFmtId="9" fontId="22" fillId="8" borderId="1" xfId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176" fontId="3" fillId="10" borderId="1" xfId="0" applyNumberFormat="1" applyFont="1" applyFill="1" applyBorder="1" applyAlignment="1">
      <alignment horizontal="right"/>
    </xf>
    <xf numFmtId="179" fontId="3" fillId="0" borderId="1" xfId="1" applyNumberFormat="1" applyFont="1" applyBorder="1" applyAlignment="1"/>
    <xf numFmtId="0" fontId="4" fillId="10" borderId="0" xfId="0" applyFont="1" applyFill="1"/>
    <xf numFmtId="180" fontId="3" fillId="0" borderId="1" xfId="1" applyNumberFormat="1" applyFont="1" applyBorder="1" applyAlignment="1"/>
    <xf numFmtId="0" fontId="6" fillId="0" borderId="1" xfId="0" applyFont="1" applyBorder="1"/>
    <xf numFmtId="0" fontId="23" fillId="10" borderId="0" xfId="0" applyFont="1" applyFill="1"/>
    <xf numFmtId="0" fontId="3" fillId="10" borderId="0" xfId="0" applyFont="1" applyFill="1"/>
    <xf numFmtId="10" fontId="3" fillId="0" borderId="1" xfId="1" applyNumberFormat="1" applyFont="1" applyBorder="1" applyAlignment="1"/>
    <xf numFmtId="0" fontId="3" fillId="3" borderId="13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9" fontId="22" fillId="0" borderId="1" xfId="1" applyFont="1" applyBorder="1" applyAlignment="1">
      <alignment horizontal="center" vertical="center"/>
    </xf>
    <xf numFmtId="10" fontId="3" fillId="0" borderId="1" xfId="0" applyNumberFormat="1" applyFont="1" applyBorder="1"/>
    <xf numFmtId="0" fontId="23" fillId="2" borderId="0" xfId="0" applyFont="1" applyFill="1"/>
    <xf numFmtId="0" fontId="6" fillId="3" borderId="1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left"/>
    </xf>
    <xf numFmtId="0" fontId="3" fillId="5" borderId="0" xfId="0" applyFont="1" applyFill="1" applyAlignment="1">
      <alignment horizontal="left"/>
    </xf>
    <xf numFmtId="11" fontId="6" fillId="0" borderId="2" xfId="0" applyNumberFormat="1" applyFont="1" applyBorder="1" applyAlignment="1">
      <alignment horizontal="center" vertical="center"/>
    </xf>
    <xf numFmtId="11" fontId="6" fillId="0" borderId="3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6" borderId="4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left"/>
    </xf>
    <xf numFmtId="0" fontId="6" fillId="3" borderId="6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11" fillId="5" borderId="8" xfId="0" applyFont="1" applyFill="1" applyBorder="1" applyAlignment="1">
      <alignment horizontal="left"/>
    </xf>
    <xf numFmtId="0" fontId="6" fillId="5" borderId="8" xfId="0" applyFont="1" applyFill="1" applyBorder="1" applyAlignment="1">
      <alignment horizontal="left"/>
    </xf>
    <xf numFmtId="0" fontId="14" fillId="6" borderId="4" xfId="0" applyFont="1" applyFill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177" fontId="3" fillId="0" borderId="0" xfId="1" applyNumberFormat="1" applyFont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3" fillId="6" borderId="11" xfId="0" applyFont="1" applyFill="1" applyBorder="1" applyAlignment="1">
      <alignment horizontal="left"/>
    </xf>
    <xf numFmtId="0" fontId="3" fillId="6" borderId="12" xfId="0" applyFont="1" applyFill="1" applyBorder="1" applyAlignment="1">
      <alignment horizontal="left"/>
    </xf>
    <xf numFmtId="0" fontId="3" fillId="9" borderId="0" xfId="0" applyFont="1" applyFill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7" workbookViewId="0">
      <selection activeCell="D37" sqref="D37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C58A4-0069-4EDC-A14D-E7A1121DE3F8}">
  <dimension ref="A1:L84"/>
  <sheetViews>
    <sheetView topLeftCell="A61" workbookViewId="0">
      <selection activeCell="F58" sqref="F58"/>
    </sheetView>
  </sheetViews>
  <sheetFormatPr defaultColWidth="9" defaultRowHeight="15" x14ac:dyDescent="0.25"/>
  <cols>
    <col min="1" max="1" width="22.5" style="1" customWidth="1"/>
    <col min="2" max="7" width="17.25" style="1" customWidth="1"/>
    <col min="8" max="8" width="12.875" style="1" customWidth="1"/>
    <col min="9" max="9" width="19.75" style="1" customWidth="1"/>
    <col min="10" max="12" width="19.125" style="1" customWidth="1"/>
    <col min="13" max="16384" width="9" style="1"/>
  </cols>
  <sheetData>
    <row r="1" spans="1:12" x14ac:dyDescent="0.25">
      <c r="A1" s="78" t="s">
        <v>320</v>
      </c>
      <c r="B1" s="3" t="s">
        <v>30</v>
      </c>
      <c r="C1" s="3"/>
      <c r="D1" s="3"/>
      <c r="E1" s="3"/>
      <c r="F1" s="3"/>
      <c r="G1" s="3"/>
      <c r="H1" s="3"/>
      <c r="I1" s="3" t="s">
        <v>26</v>
      </c>
      <c r="J1" s="3"/>
      <c r="K1" s="3"/>
      <c r="L1" s="3"/>
    </row>
    <row r="2" spans="1:12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x14ac:dyDescent="0.25">
      <c r="A3" s="15" t="s">
        <v>31</v>
      </c>
      <c r="B3" s="15"/>
      <c r="C3" s="15"/>
      <c r="D3" s="15" t="s">
        <v>32</v>
      </c>
      <c r="E3" s="15"/>
      <c r="F3" s="15"/>
      <c r="G3" s="15"/>
      <c r="H3" s="15"/>
      <c r="I3" s="15" t="s">
        <v>29</v>
      </c>
      <c r="J3" s="15"/>
      <c r="K3" s="15"/>
      <c r="L3" s="15"/>
    </row>
    <row r="4" spans="1:12" x14ac:dyDescent="0.25">
      <c r="A4" s="19" t="s">
        <v>46</v>
      </c>
      <c r="B4" s="5"/>
      <c r="C4" s="5"/>
    </row>
    <row r="5" spans="1:12" x14ac:dyDescent="0.25">
      <c r="A5" s="2"/>
      <c r="B5" s="2" t="s">
        <v>10</v>
      </c>
      <c r="C5" s="2" t="s">
        <v>11</v>
      </c>
    </row>
    <row r="6" spans="1:12" x14ac:dyDescent="0.25">
      <c r="A6" s="2" t="s">
        <v>0</v>
      </c>
      <c r="B6" s="2">
        <v>0.5</v>
      </c>
      <c r="C6" s="2">
        <v>0.5</v>
      </c>
    </row>
    <row r="7" spans="1:12" x14ac:dyDescent="0.25">
      <c r="A7" s="2" t="s">
        <v>1</v>
      </c>
      <c r="B7" s="2">
        <v>0.5</v>
      </c>
      <c r="C7" s="2">
        <v>0.5</v>
      </c>
    </row>
    <row r="9" spans="1:12" x14ac:dyDescent="0.25">
      <c r="A9" s="84" t="s">
        <v>50</v>
      </c>
      <c r="B9" s="85"/>
      <c r="C9" s="85"/>
      <c r="D9" s="85"/>
      <c r="E9" s="85"/>
      <c r="F9" s="85"/>
      <c r="G9" s="85"/>
    </row>
    <row r="10" spans="1:12" x14ac:dyDescent="0.25">
      <c r="A10" s="86" t="s">
        <v>2</v>
      </c>
      <c r="B10" s="88" t="s">
        <v>45</v>
      </c>
      <c r="C10" s="89"/>
      <c r="D10" s="90" t="s">
        <v>48</v>
      </c>
      <c r="E10" s="89"/>
      <c r="F10" s="91" t="s">
        <v>49</v>
      </c>
      <c r="G10" s="91"/>
    </row>
    <row r="11" spans="1:12" x14ac:dyDescent="0.25">
      <c r="A11" s="87"/>
      <c r="B11" s="20" t="s">
        <v>3</v>
      </c>
      <c r="C11" s="20" t="s">
        <v>4</v>
      </c>
      <c r="D11" s="20" t="s">
        <v>3</v>
      </c>
      <c r="E11" s="20" t="s">
        <v>4</v>
      </c>
      <c r="F11" s="22" t="s">
        <v>3</v>
      </c>
      <c r="G11" s="22" t="s">
        <v>4</v>
      </c>
    </row>
    <row r="12" spans="1:12" x14ac:dyDescent="0.25">
      <c r="A12" s="4" t="s">
        <v>47</v>
      </c>
      <c r="B12" s="21">
        <v>0.3</v>
      </c>
      <c r="C12" s="21">
        <v>0.2</v>
      </c>
      <c r="D12" s="21">
        <f>1-(1-B$6)*(1-B12)</f>
        <v>0.65</v>
      </c>
      <c r="E12" s="21">
        <f>1-(1-C$6)*(1-C12)</f>
        <v>0.6</v>
      </c>
      <c r="F12" s="23">
        <v>0</v>
      </c>
      <c r="G12" s="23">
        <v>0</v>
      </c>
    </row>
    <row r="13" spans="1:12" x14ac:dyDescent="0.25">
      <c r="A13" s="4" t="s">
        <v>6</v>
      </c>
      <c r="B13" s="21">
        <v>0.5</v>
      </c>
      <c r="C13" s="21">
        <v>0.5</v>
      </c>
      <c r="D13" s="21">
        <f>1-(1-B$6)*(1-B13)</f>
        <v>0.75</v>
      </c>
      <c r="E13" s="21">
        <f>1-(1-C$6)*(1-C13)</f>
        <v>0.75</v>
      </c>
      <c r="F13" s="23">
        <f>1-(1-D13)/(1-D$12)</f>
        <v>0.2857142857142857</v>
      </c>
      <c r="G13" s="23">
        <f>1-(1-E13)/(1-E$12)</f>
        <v>0.375</v>
      </c>
    </row>
    <row r="14" spans="1:12" x14ac:dyDescent="0.25">
      <c r="A14" s="4" t="s">
        <v>7</v>
      </c>
      <c r="B14" s="21">
        <v>0.65</v>
      </c>
      <c r="C14" s="21">
        <v>0.65</v>
      </c>
      <c r="D14" s="21">
        <f>1-(1-B$6)*(1-B14)</f>
        <v>0.82499999999999996</v>
      </c>
      <c r="E14" s="21">
        <f t="shared" ref="E14:E16" si="0">1-(1-C$6)*(1-C14)</f>
        <v>0.82499999999999996</v>
      </c>
      <c r="F14" s="23">
        <f t="shared" ref="F14:F16" si="1">1-(1-D14)/(1-D$12)</f>
        <v>0.49999999999999989</v>
      </c>
      <c r="G14" s="23">
        <f t="shared" ref="G14:G16" si="2">1-(1-E14)/(1-E$12)</f>
        <v>0.56249999999999989</v>
      </c>
    </row>
    <row r="15" spans="1:12" x14ac:dyDescent="0.25">
      <c r="A15" s="4" t="s">
        <v>8</v>
      </c>
      <c r="B15" s="21">
        <v>0.75</v>
      </c>
      <c r="C15" s="21">
        <v>0.75</v>
      </c>
      <c r="D15" s="21">
        <f t="shared" ref="D15:D16" si="3">1-(1-B$6)*(1-B15)</f>
        <v>0.875</v>
      </c>
      <c r="E15" s="21">
        <f t="shared" si="0"/>
        <v>0.875</v>
      </c>
      <c r="F15" s="23">
        <f t="shared" si="1"/>
        <v>0.64285714285714279</v>
      </c>
      <c r="G15" s="23">
        <f t="shared" si="2"/>
        <v>0.6875</v>
      </c>
    </row>
    <row r="16" spans="1:12" x14ac:dyDescent="0.25">
      <c r="A16" s="4" t="s">
        <v>9</v>
      </c>
      <c r="B16" s="21">
        <v>0.85</v>
      </c>
      <c r="C16" s="21">
        <v>0.85</v>
      </c>
      <c r="D16" s="21">
        <f t="shared" si="3"/>
        <v>0.92500000000000004</v>
      </c>
      <c r="E16" s="21">
        <f t="shared" si="0"/>
        <v>0.92500000000000004</v>
      </c>
      <c r="F16" s="23">
        <f t="shared" si="1"/>
        <v>0.78571428571428581</v>
      </c>
      <c r="G16" s="23">
        <f t="shared" si="2"/>
        <v>0.81250000000000011</v>
      </c>
    </row>
    <row r="17" spans="1:12" x14ac:dyDescent="0.25">
      <c r="I17" s="1" t="s">
        <v>25</v>
      </c>
      <c r="J17" s="1" t="s">
        <v>27</v>
      </c>
    </row>
    <row r="18" spans="1:12" x14ac:dyDescent="0.25">
      <c r="A18" s="80" t="s">
        <v>15</v>
      </c>
      <c r="B18" s="80"/>
      <c r="C18" s="80"/>
      <c r="D18" s="80"/>
      <c r="E18" s="80"/>
      <c r="F18" s="80"/>
      <c r="G18" s="80"/>
      <c r="I18" s="81" t="s">
        <v>20</v>
      </c>
      <c r="J18" s="82"/>
      <c r="K18" s="82"/>
      <c r="L18" s="83"/>
    </row>
    <row r="19" spans="1:12" ht="15" customHeight="1" x14ac:dyDescent="0.25">
      <c r="A19" s="6" t="s">
        <v>12</v>
      </c>
      <c r="B19" s="7" t="s">
        <v>13</v>
      </c>
      <c r="C19" s="7" t="s">
        <v>5</v>
      </c>
      <c r="D19" s="7" t="s">
        <v>6</v>
      </c>
      <c r="E19" s="7" t="s">
        <v>14</v>
      </c>
      <c r="F19" s="7" t="s">
        <v>8</v>
      </c>
      <c r="G19" s="7" t="s">
        <v>9</v>
      </c>
      <c r="I19" s="10" t="s">
        <v>19</v>
      </c>
      <c r="J19" s="11" t="s">
        <v>16</v>
      </c>
      <c r="K19" s="11" t="s">
        <v>17</v>
      </c>
      <c r="L19" s="11" t="s">
        <v>18</v>
      </c>
    </row>
    <row r="20" spans="1:12" x14ac:dyDescent="0.25">
      <c r="A20" s="8">
        <v>2022</v>
      </c>
      <c r="B20" s="9">
        <v>0</v>
      </c>
      <c r="C20" s="9">
        <v>1</v>
      </c>
      <c r="D20" s="9">
        <v>0</v>
      </c>
      <c r="E20" s="9">
        <v>0</v>
      </c>
      <c r="F20" s="9">
        <v>0</v>
      </c>
      <c r="G20" s="9">
        <v>0</v>
      </c>
      <c r="I20" s="13">
        <v>2025</v>
      </c>
      <c r="J20" s="12">
        <f>F12*C21+F14*E21</f>
        <v>0.19999999999999996</v>
      </c>
      <c r="K20" s="12">
        <f>F12*C21+F14*E21</f>
        <v>0.19999999999999996</v>
      </c>
      <c r="L20" s="12">
        <f>G12*C21+G14*E21</f>
        <v>0.22499999999999998</v>
      </c>
    </row>
    <row r="21" spans="1:12" x14ac:dyDescent="0.25">
      <c r="A21" s="8">
        <v>2025</v>
      </c>
      <c r="B21" s="9">
        <v>0</v>
      </c>
      <c r="C21" s="9">
        <v>0.6</v>
      </c>
      <c r="D21" s="9">
        <v>0</v>
      </c>
      <c r="E21" s="9">
        <v>0.4</v>
      </c>
      <c r="F21" s="9">
        <v>0</v>
      </c>
      <c r="G21" s="9">
        <v>0</v>
      </c>
      <c r="I21" s="13">
        <v>2030</v>
      </c>
      <c r="J21" s="65">
        <f>F14*E22</f>
        <v>0.49999999999999989</v>
      </c>
      <c r="K21" s="65">
        <f>F14*E22</f>
        <v>0.49999999999999989</v>
      </c>
      <c r="L21" s="65">
        <f>G14*E22</f>
        <v>0.56249999999999989</v>
      </c>
    </row>
    <row r="22" spans="1:12" x14ac:dyDescent="0.25">
      <c r="A22" s="8">
        <v>2030</v>
      </c>
      <c r="B22" s="9">
        <v>0</v>
      </c>
      <c r="C22" s="9">
        <v>0</v>
      </c>
      <c r="D22" s="9">
        <v>0</v>
      </c>
      <c r="E22" s="9">
        <v>1</v>
      </c>
      <c r="F22" s="9">
        <v>0</v>
      </c>
      <c r="G22" s="9">
        <v>0</v>
      </c>
    </row>
    <row r="23" spans="1:12" x14ac:dyDescent="0.25">
      <c r="A23" s="8">
        <v>2035</v>
      </c>
      <c r="B23" s="9">
        <v>0</v>
      </c>
      <c r="C23" s="9">
        <v>0</v>
      </c>
      <c r="D23" s="9">
        <v>0</v>
      </c>
      <c r="E23" s="9">
        <v>1</v>
      </c>
      <c r="F23" s="9">
        <v>0</v>
      </c>
      <c r="G23" s="9">
        <v>0</v>
      </c>
      <c r="I23" s="1" t="s">
        <v>28</v>
      </c>
    </row>
    <row r="24" spans="1:12" x14ac:dyDescent="0.25">
      <c r="A24" s="8">
        <v>2040</v>
      </c>
      <c r="B24" s="9">
        <v>0</v>
      </c>
      <c r="C24" s="9">
        <v>0</v>
      </c>
      <c r="D24" s="9">
        <v>0</v>
      </c>
      <c r="E24" s="9">
        <v>1</v>
      </c>
      <c r="F24" s="9">
        <v>0</v>
      </c>
      <c r="G24" s="9">
        <v>0</v>
      </c>
      <c r="I24" s="2"/>
      <c r="J24" s="2">
        <v>2025</v>
      </c>
      <c r="K24" s="2">
        <v>2030</v>
      </c>
      <c r="L24" s="2">
        <v>2060</v>
      </c>
    </row>
    <row r="25" spans="1:12" x14ac:dyDescent="0.25">
      <c r="A25" s="8">
        <v>2045</v>
      </c>
      <c r="B25" s="9">
        <v>0</v>
      </c>
      <c r="C25" s="9">
        <v>0</v>
      </c>
      <c r="D25" s="9">
        <v>0</v>
      </c>
      <c r="E25" s="9">
        <v>1</v>
      </c>
      <c r="F25" s="9">
        <v>0</v>
      </c>
      <c r="G25" s="9">
        <v>0</v>
      </c>
      <c r="I25" s="13" t="s">
        <v>16</v>
      </c>
      <c r="J25" s="66">
        <f>J20/J21</f>
        <v>0.4</v>
      </c>
      <c r="K25" s="2">
        <v>1</v>
      </c>
      <c r="L25" s="2">
        <v>1</v>
      </c>
    </row>
    <row r="26" spans="1:12" x14ac:dyDescent="0.25">
      <c r="A26" s="8">
        <v>2050</v>
      </c>
      <c r="B26" s="9">
        <v>0</v>
      </c>
      <c r="C26" s="9">
        <v>0</v>
      </c>
      <c r="D26" s="9">
        <v>0</v>
      </c>
      <c r="E26" s="9">
        <v>1</v>
      </c>
      <c r="F26" s="9">
        <v>0</v>
      </c>
      <c r="G26" s="9">
        <v>0</v>
      </c>
      <c r="I26" s="13" t="s">
        <v>17</v>
      </c>
      <c r="J26" s="66">
        <f>K20/K21</f>
        <v>0.4</v>
      </c>
      <c r="K26" s="2">
        <v>1</v>
      </c>
      <c r="L26" s="2">
        <v>1</v>
      </c>
    </row>
    <row r="27" spans="1:12" x14ac:dyDescent="0.25">
      <c r="A27" s="8">
        <v>2055</v>
      </c>
      <c r="B27" s="9">
        <v>0</v>
      </c>
      <c r="C27" s="9">
        <v>0</v>
      </c>
      <c r="D27" s="9">
        <v>0</v>
      </c>
      <c r="E27" s="9">
        <v>1</v>
      </c>
      <c r="F27" s="9">
        <v>0</v>
      </c>
      <c r="G27" s="9">
        <v>0</v>
      </c>
      <c r="I27" s="13" t="s">
        <v>18</v>
      </c>
      <c r="J27" s="66">
        <f>L20/L21</f>
        <v>0.4</v>
      </c>
      <c r="K27" s="2">
        <v>1</v>
      </c>
      <c r="L27" s="2">
        <v>1</v>
      </c>
    </row>
    <row r="28" spans="1:12" x14ac:dyDescent="0.25">
      <c r="A28" s="8">
        <v>2060</v>
      </c>
      <c r="B28" s="9">
        <v>0</v>
      </c>
      <c r="C28" s="9">
        <v>0</v>
      </c>
      <c r="D28" s="9">
        <v>0</v>
      </c>
      <c r="E28" s="9">
        <v>1</v>
      </c>
      <c r="F28" s="9">
        <v>0</v>
      </c>
      <c r="G28" s="9">
        <v>0</v>
      </c>
    </row>
    <row r="29" spans="1:12" x14ac:dyDescent="0.25">
      <c r="A29" s="25" t="s">
        <v>51</v>
      </c>
      <c r="B29" s="24"/>
      <c r="C29" s="24"/>
      <c r="D29" s="24"/>
      <c r="E29" s="24"/>
      <c r="F29" s="24"/>
      <c r="G29" s="24"/>
    </row>
    <row r="32" spans="1:12" x14ac:dyDescent="0.25">
      <c r="A32" s="15" t="s">
        <v>33</v>
      </c>
      <c r="B32" s="15"/>
      <c r="C32" s="27" t="s">
        <v>34</v>
      </c>
      <c r="D32" s="16"/>
      <c r="E32" s="17"/>
      <c r="F32" s="17"/>
      <c r="G32" s="17"/>
      <c r="H32" s="17"/>
      <c r="I32" s="15" t="s">
        <v>36</v>
      </c>
      <c r="J32" s="15" t="s">
        <v>23</v>
      </c>
      <c r="K32" s="15" t="s">
        <v>22</v>
      </c>
      <c r="L32" s="15" t="s">
        <v>38</v>
      </c>
    </row>
    <row r="33" spans="1:12" x14ac:dyDescent="0.25">
      <c r="A33" s="96" t="s">
        <v>44</v>
      </c>
      <c r="B33" s="96"/>
      <c r="C33" s="96"/>
      <c r="D33" s="96"/>
      <c r="E33" s="96"/>
      <c r="F33" s="96"/>
      <c r="I33" s="95" t="s">
        <v>60</v>
      </c>
      <c r="J33" s="82"/>
      <c r="K33" s="82"/>
      <c r="L33" s="83"/>
    </row>
    <row r="34" spans="1:12" x14ac:dyDescent="0.25">
      <c r="A34" s="26" t="s">
        <v>52</v>
      </c>
      <c r="B34" s="11" t="s">
        <v>16</v>
      </c>
      <c r="C34" s="11" t="s">
        <v>17</v>
      </c>
      <c r="D34" s="11" t="s">
        <v>18</v>
      </c>
      <c r="E34" s="99" t="s">
        <v>40</v>
      </c>
      <c r="F34" s="99"/>
      <c r="I34" s="10" t="s">
        <v>61</v>
      </c>
      <c r="J34" s="11" t="s">
        <v>16</v>
      </c>
      <c r="K34" s="11" t="s">
        <v>17</v>
      </c>
      <c r="L34" s="11" t="s">
        <v>18</v>
      </c>
    </row>
    <row r="35" spans="1:12" x14ac:dyDescent="0.25">
      <c r="A35" s="18" t="s">
        <v>35</v>
      </c>
      <c r="B35" s="12">
        <v>0.14821289821289824</v>
      </c>
      <c r="C35" s="12">
        <v>0.14821289821289824</v>
      </c>
      <c r="D35" s="12">
        <v>0.14821289821289824</v>
      </c>
      <c r="E35" s="92" t="s">
        <v>41</v>
      </c>
      <c r="F35" s="92"/>
      <c r="I35" s="18" t="s">
        <v>35</v>
      </c>
      <c r="J35" s="12">
        <f>1-(1-B44)/(1-B35)</f>
        <v>0.41299885974914474</v>
      </c>
      <c r="K35" s="12">
        <f t="shared" ref="K35:L35" si="4">1-(1-C44)/(1-C35)</f>
        <v>0.41299885974914474</v>
      </c>
      <c r="L35" s="12">
        <f t="shared" si="4"/>
        <v>0.41299885974914474</v>
      </c>
    </row>
    <row r="36" spans="1:12" x14ac:dyDescent="0.25">
      <c r="A36" s="18" t="s">
        <v>39</v>
      </c>
      <c r="B36" s="12">
        <v>6.9076305220883524E-2</v>
      </c>
      <c r="C36" s="12">
        <v>6.9076305220883524E-2</v>
      </c>
      <c r="D36" s="12">
        <v>6.9076305220883524E-2</v>
      </c>
      <c r="E36" s="92" t="s">
        <v>42</v>
      </c>
      <c r="F36" s="92"/>
      <c r="I36" s="18" t="s">
        <v>39</v>
      </c>
      <c r="J36" s="12">
        <f t="shared" ref="J36:J39" si="5">1-(1-B45)/(1-B36)</f>
        <v>0.4628990509059534</v>
      </c>
      <c r="K36" s="12">
        <f t="shared" ref="K36:K39" si="6">1-(1-C45)/(1-C36)</f>
        <v>0.4628990509059534</v>
      </c>
      <c r="L36" s="12">
        <f t="shared" ref="L36:L39" si="7">1-(1-D45)/(1-D36)</f>
        <v>0.4628990509059534</v>
      </c>
    </row>
    <row r="37" spans="1:12" x14ac:dyDescent="0.25">
      <c r="A37" s="18" t="s">
        <v>21</v>
      </c>
      <c r="B37" s="12">
        <v>0.5089285714285714</v>
      </c>
      <c r="C37" s="12">
        <v>0.5089285714285714</v>
      </c>
      <c r="D37" s="12">
        <v>0.5089285714285714</v>
      </c>
      <c r="E37" s="92" t="s">
        <v>66</v>
      </c>
      <c r="F37" s="92"/>
      <c r="I37" s="18" t="s">
        <v>21</v>
      </c>
      <c r="J37" s="12">
        <f t="shared" si="5"/>
        <v>0</v>
      </c>
      <c r="K37" s="12">
        <f t="shared" si="6"/>
        <v>0</v>
      </c>
      <c r="L37" s="12">
        <f t="shared" si="7"/>
        <v>0</v>
      </c>
    </row>
    <row r="38" spans="1:12" x14ac:dyDescent="0.25">
      <c r="A38" s="18" t="s">
        <v>37</v>
      </c>
      <c r="B38" s="12">
        <v>8.2478070175438581E-2</v>
      </c>
      <c r="C38" s="12">
        <v>8.2478070175438581E-2</v>
      </c>
      <c r="D38" s="12">
        <v>8.2478070175438581E-2</v>
      </c>
      <c r="E38" s="92" t="s">
        <v>42</v>
      </c>
      <c r="F38" s="92"/>
      <c r="I38" s="18" t="s">
        <v>37</v>
      </c>
      <c r="J38" s="12">
        <f t="shared" si="5"/>
        <v>0.12808623533067232</v>
      </c>
      <c r="K38" s="12">
        <f t="shared" si="6"/>
        <v>0.12808623533067232</v>
      </c>
      <c r="L38" s="12">
        <f t="shared" si="7"/>
        <v>0.12808623533067232</v>
      </c>
    </row>
    <row r="39" spans="1:12" x14ac:dyDescent="0.25">
      <c r="A39" s="18" t="s">
        <v>24</v>
      </c>
      <c r="B39" s="12">
        <v>0</v>
      </c>
      <c r="C39" s="12">
        <v>0</v>
      </c>
      <c r="D39" s="12">
        <v>0</v>
      </c>
      <c r="E39" s="92" t="s">
        <v>43</v>
      </c>
      <c r="F39" s="92"/>
      <c r="I39" s="18" t="s">
        <v>24</v>
      </c>
      <c r="J39" s="12">
        <f t="shared" si="5"/>
        <v>0</v>
      </c>
      <c r="K39" s="12">
        <f t="shared" si="6"/>
        <v>0</v>
      </c>
      <c r="L39" s="12">
        <f t="shared" si="7"/>
        <v>0</v>
      </c>
    </row>
    <row r="40" spans="1:12" x14ac:dyDescent="0.25">
      <c r="A40" s="1" t="s">
        <v>53</v>
      </c>
    </row>
    <row r="41" spans="1:12" x14ac:dyDescent="0.25">
      <c r="I41" s="2" t="s">
        <v>28</v>
      </c>
      <c r="J41" s="2">
        <v>2022</v>
      </c>
      <c r="K41" s="2">
        <v>2060</v>
      </c>
    </row>
    <row r="42" spans="1:12" x14ac:dyDescent="0.25">
      <c r="A42" s="96" t="s">
        <v>59</v>
      </c>
      <c r="B42" s="96"/>
      <c r="C42" s="96"/>
      <c r="D42" s="96"/>
      <c r="E42" s="96"/>
      <c r="F42" s="96"/>
      <c r="I42" s="2"/>
      <c r="J42" s="2">
        <v>0</v>
      </c>
      <c r="K42" s="2">
        <v>1</v>
      </c>
    </row>
    <row r="43" spans="1:12" x14ac:dyDescent="0.25">
      <c r="A43" s="28" t="s">
        <v>54</v>
      </c>
      <c r="B43" s="11" t="s">
        <v>16</v>
      </c>
      <c r="C43" s="11" t="s">
        <v>17</v>
      </c>
      <c r="D43" s="11" t="s">
        <v>18</v>
      </c>
      <c r="E43" s="97" t="s">
        <v>55</v>
      </c>
      <c r="F43" s="98"/>
    </row>
    <row r="44" spans="1:12" x14ac:dyDescent="0.25">
      <c r="A44" s="18" t="s">
        <v>35</v>
      </c>
      <c r="B44" s="12">
        <v>0.5</v>
      </c>
      <c r="C44" s="12">
        <v>0.5</v>
      </c>
      <c r="D44" s="12">
        <v>0.5</v>
      </c>
      <c r="E44" s="92" t="s">
        <v>56</v>
      </c>
      <c r="F44" s="92"/>
    </row>
    <row r="45" spans="1:12" x14ac:dyDescent="0.25">
      <c r="A45" s="18" t="s">
        <v>39</v>
      </c>
      <c r="B45" s="12">
        <v>0.5</v>
      </c>
      <c r="C45" s="12">
        <v>0.5</v>
      </c>
      <c r="D45" s="12">
        <v>0.5</v>
      </c>
      <c r="E45" s="92" t="s">
        <v>56</v>
      </c>
      <c r="F45" s="92"/>
    </row>
    <row r="46" spans="1:12" x14ac:dyDescent="0.25">
      <c r="A46" s="18" t="s">
        <v>21</v>
      </c>
      <c r="B46" s="12">
        <f>B37</f>
        <v>0.5089285714285714</v>
      </c>
      <c r="C46" s="12">
        <f t="shared" ref="C46:D46" si="8">C37</f>
        <v>0.5089285714285714</v>
      </c>
      <c r="D46" s="12">
        <f t="shared" si="8"/>
        <v>0.5089285714285714</v>
      </c>
      <c r="E46" s="94" t="s">
        <v>67</v>
      </c>
      <c r="F46" s="93"/>
    </row>
    <row r="47" spans="1:12" x14ac:dyDescent="0.25">
      <c r="A47" s="18" t="s">
        <v>37</v>
      </c>
      <c r="B47" s="12">
        <v>0.2</v>
      </c>
      <c r="C47" s="12">
        <v>0.2</v>
      </c>
      <c r="D47" s="12">
        <v>0.2</v>
      </c>
      <c r="E47" s="93" t="s">
        <v>58</v>
      </c>
      <c r="F47" s="93"/>
    </row>
    <row r="48" spans="1:12" x14ac:dyDescent="0.25">
      <c r="A48" s="18" t="s">
        <v>24</v>
      </c>
      <c r="B48" s="12">
        <v>0</v>
      </c>
      <c r="C48" s="12">
        <v>0</v>
      </c>
      <c r="D48" s="12">
        <v>0</v>
      </c>
      <c r="E48" s="93" t="s">
        <v>57</v>
      </c>
      <c r="F48" s="93"/>
    </row>
    <row r="50" spans="1:12" x14ac:dyDescent="0.25">
      <c r="A50" s="29"/>
    </row>
    <row r="52" spans="1:12" x14ac:dyDescent="0.25">
      <c r="A52" s="78" t="s">
        <v>321</v>
      </c>
      <c r="B52" s="3" t="s">
        <v>30</v>
      </c>
      <c r="C52" s="3"/>
      <c r="D52" s="3"/>
      <c r="E52" s="3"/>
      <c r="F52" s="3"/>
      <c r="G52" s="3"/>
      <c r="H52" s="3"/>
      <c r="I52" s="3" t="s">
        <v>26</v>
      </c>
      <c r="J52" s="3"/>
      <c r="K52" s="3"/>
      <c r="L52" s="3"/>
    </row>
    <row r="53" spans="1:12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</row>
    <row r="54" spans="1:12" x14ac:dyDescent="0.25">
      <c r="A54" s="15" t="s">
        <v>31</v>
      </c>
      <c r="B54" s="15"/>
      <c r="C54" s="15"/>
      <c r="D54" s="15" t="s">
        <v>32</v>
      </c>
      <c r="E54" s="15"/>
      <c r="F54" s="15"/>
      <c r="G54" s="15"/>
      <c r="H54" s="15"/>
      <c r="I54" s="15" t="s">
        <v>29</v>
      </c>
      <c r="J54" s="15"/>
      <c r="K54" s="15"/>
      <c r="L54" s="15"/>
    </row>
    <row r="55" spans="1:12" x14ac:dyDescent="0.25">
      <c r="A55" s="19" t="s">
        <v>46</v>
      </c>
      <c r="B55" s="5"/>
      <c r="C55" s="5"/>
    </row>
    <row r="56" spans="1:12" x14ac:dyDescent="0.25">
      <c r="A56" s="2"/>
      <c r="B56" s="2" t="s">
        <v>10</v>
      </c>
      <c r="C56" s="2" t="s">
        <v>11</v>
      </c>
    </row>
    <row r="57" spans="1:12" x14ac:dyDescent="0.25">
      <c r="A57" s="2" t="s">
        <v>0</v>
      </c>
      <c r="B57" s="2">
        <v>0.5</v>
      </c>
      <c r="C57" s="2">
        <v>0.5</v>
      </c>
    </row>
    <row r="58" spans="1:12" x14ac:dyDescent="0.25">
      <c r="A58" s="2" t="s">
        <v>1</v>
      </c>
      <c r="B58" s="2">
        <v>0.5</v>
      </c>
      <c r="C58" s="2">
        <v>0.5</v>
      </c>
    </row>
    <row r="60" spans="1:12" x14ac:dyDescent="0.25">
      <c r="A60" s="84" t="s">
        <v>50</v>
      </c>
      <c r="B60" s="85"/>
      <c r="C60" s="85"/>
      <c r="D60" s="85"/>
      <c r="E60" s="85"/>
      <c r="F60" s="85"/>
      <c r="G60" s="85"/>
    </row>
    <row r="61" spans="1:12" x14ac:dyDescent="0.25">
      <c r="A61" s="86" t="s">
        <v>2</v>
      </c>
      <c r="B61" s="88" t="s">
        <v>45</v>
      </c>
      <c r="C61" s="89"/>
      <c r="D61" s="90" t="s">
        <v>48</v>
      </c>
      <c r="E61" s="89"/>
      <c r="F61" s="91" t="s">
        <v>49</v>
      </c>
      <c r="G61" s="91"/>
    </row>
    <row r="62" spans="1:12" x14ac:dyDescent="0.25">
      <c r="A62" s="87"/>
      <c r="B62" s="20" t="s">
        <v>3</v>
      </c>
      <c r="C62" s="20" t="s">
        <v>4</v>
      </c>
      <c r="D62" s="20" t="s">
        <v>3</v>
      </c>
      <c r="E62" s="20" t="s">
        <v>4</v>
      </c>
      <c r="F62" s="22" t="s">
        <v>3</v>
      </c>
      <c r="G62" s="22" t="s">
        <v>4</v>
      </c>
    </row>
    <row r="63" spans="1:12" x14ac:dyDescent="0.25">
      <c r="A63" s="4" t="s">
        <v>47</v>
      </c>
      <c r="B63" s="21">
        <v>0.3</v>
      </c>
      <c r="C63" s="21">
        <v>0.2</v>
      </c>
      <c r="D63" s="21">
        <f>1-(1-B$6)*(1-B63)</f>
        <v>0.65</v>
      </c>
      <c r="E63" s="21">
        <f>1-(1-C$6)*(1-C63)</f>
        <v>0.6</v>
      </c>
      <c r="F63" s="23">
        <v>0</v>
      </c>
      <c r="G63" s="23">
        <v>0</v>
      </c>
    </row>
    <row r="64" spans="1:12" x14ac:dyDescent="0.25">
      <c r="A64" s="4" t="s">
        <v>6</v>
      </c>
      <c r="B64" s="21">
        <v>0.5</v>
      </c>
      <c r="C64" s="21">
        <v>0.5</v>
      </c>
      <c r="D64" s="21">
        <f>1-(1-B$6)*(1-B64)</f>
        <v>0.75</v>
      </c>
      <c r="E64" s="21">
        <f>1-(1-C$6)*(1-C64)</f>
        <v>0.75</v>
      </c>
      <c r="F64" s="23">
        <f>1-(1-D64)/(1-D$12)</f>
        <v>0.2857142857142857</v>
      </c>
      <c r="G64" s="23">
        <f>1-(1-E64)/(1-E$12)</f>
        <v>0.375</v>
      </c>
    </row>
    <row r="65" spans="1:12" x14ac:dyDescent="0.25">
      <c r="A65" s="4" t="s">
        <v>7</v>
      </c>
      <c r="B65" s="21">
        <v>0.65</v>
      </c>
      <c r="C65" s="21">
        <v>0.65</v>
      </c>
      <c r="D65" s="21">
        <f>1-(1-B$6)*(1-B65)</f>
        <v>0.82499999999999996</v>
      </c>
      <c r="E65" s="21">
        <f t="shared" ref="E65:E67" si="9">1-(1-C$6)*(1-C65)</f>
        <v>0.82499999999999996</v>
      </c>
      <c r="F65" s="23">
        <f t="shared" ref="F65:F67" si="10">1-(1-D65)/(1-D$12)</f>
        <v>0.49999999999999989</v>
      </c>
      <c r="G65" s="23">
        <f t="shared" ref="G65:G67" si="11">1-(1-E65)/(1-E$12)</f>
        <v>0.56249999999999989</v>
      </c>
    </row>
    <row r="66" spans="1:12" x14ac:dyDescent="0.25">
      <c r="A66" s="4" t="s">
        <v>8</v>
      </c>
      <c r="B66" s="21">
        <v>0.75</v>
      </c>
      <c r="C66" s="21">
        <v>0.75</v>
      </c>
      <c r="D66" s="21">
        <f t="shared" ref="D66:D67" si="12">1-(1-B$6)*(1-B66)</f>
        <v>0.875</v>
      </c>
      <c r="E66" s="21">
        <f t="shared" si="9"/>
        <v>0.875</v>
      </c>
      <c r="F66" s="23">
        <f t="shared" si="10"/>
        <v>0.64285714285714279</v>
      </c>
      <c r="G66" s="23">
        <f t="shared" si="11"/>
        <v>0.6875</v>
      </c>
    </row>
    <row r="67" spans="1:12" x14ac:dyDescent="0.25">
      <c r="A67" s="4" t="s">
        <v>9</v>
      </c>
      <c r="B67" s="21">
        <v>0.85</v>
      </c>
      <c r="C67" s="21">
        <v>0.85</v>
      </c>
      <c r="D67" s="21">
        <f t="shared" si="12"/>
        <v>0.92500000000000004</v>
      </c>
      <c r="E67" s="21">
        <f t="shared" si="9"/>
        <v>0.92500000000000004</v>
      </c>
      <c r="F67" s="23">
        <f t="shared" si="10"/>
        <v>0.78571428571428581</v>
      </c>
      <c r="G67" s="23">
        <f t="shared" si="11"/>
        <v>0.81250000000000011</v>
      </c>
    </row>
    <row r="68" spans="1:12" x14ac:dyDescent="0.25">
      <c r="I68" s="1" t="s">
        <v>25</v>
      </c>
      <c r="J68" s="1" t="s">
        <v>27</v>
      </c>
    </row>
    <row r="69" spans="1:12" x14ac:dyDescent="0.25">
      <c r="A69" s="80" t="s">
        <v>15</v>
      </c>
      <c r="B69" s="80"/>
      <c r="C69" s="80"/>
      <c r="D69" s="80"/>
      <c r="E69" s="80"/>
      <c r="F69" s="80"/>
      <c r="G69" s="80"/>
      <c r="I69" s="81" t="s">
        <v>20</v>
      </c>
      <c r="J69" s="82"/>
      <c r="K69" s="82"/>
      <c r="L69" s="83"/>
    </row>
    <row r="70" spans="1:12" x14ac:dyDescent="0.25">
      <c r="A70" s="6" t="s">
        <v>12</v>
      </c>
      <c r="B70" s="7" t="s">
        <v>13</v>
      </c>
      <c r="C70" s="7" t="s">
        <v>5</v>
      </c>
      <c r="D70" s="7" t="s">
        <v>6</v>
      </c>
      <c r="E70" s="7" t="s">
        <v>14</v>
      </c>
      <c r="F70" s="7" t="s">
        <v>8</v>
      </c>
      <c r="G70" s="7" t="s">
        <v>9</v>
      </c>
      <c r="I70" s="10" t="s">
        <v>19</v>
      </c>
      <c r="J70" s="11" t="s">
        <v>16</v>
      </c>
      <c r="K70" s="11" t="s">
        <v>17</v>
      </c>
      <c r="L70" s="11" t="s">
        <v>18</v>
      </c>
    </row>
    <row r="71" spans="1:12" x14ac:dyDescent="0.25">
      <c r="A71" s="8">
        <v>2022</v>
      </c>
      <c r="B71" s="9">
        <v>0</v>
      </c>
      <c r="C71" s="9">
        <v>1</v>
      </c>
      <c r="D71" s="9">
        <v>0</v>
      </c>
      <c r="E71" s="9">
        <v>0</v>
      </c>
      <c r="F71" s="9">
        <v>0</v>
      </c>
      <c r="G71" s="9">
        <v>0</v>
      </c>
      <c r="I71" s="13">
        <v>2030</v>
      </c>
      <c r="J71" s="12">
        <f>F65*E73+C73*F63</f>
        <v>4.9999999999999975E-2</v>
      </c>
      <c r="K71" s="12">
        <f>F65*E73</f>
        <v>4.9999999999999975E-2</v>
      </c>
      <c r="L71" s="12">
        <f>G65*E73</f>
        <v>5.6249999999999974E-2</v>
      </c>
    </row>
    <row r="72" spans="1:12" x14ac:dyDescent="0.25">
      <c r="A72" s="8">
        <v>2025</v>
      </c>
      <c r="B72" s="9">
        <v>0</v>
      </c>
      <c r="C72" s="9">
        <v>1</v>
      </c>
      <c r="D72" s="9">
        <v>0</v>
      </c>
      <c r="E72" s="9">
        <f>1-C72</f>
        <v>0</v>
      </c>
      <c r="F72" s="9">
        <v>0</v>
      </c>
      <c r="G72" s="9">
        <v>0</v>
      </c>
      <c r="I72" s="13">
        <v>2035</v>
      </c>
      <c r="J72" s="12">
        <f>E74*F65</f>
        <v>0.15</v>
      </c>
      <c r="K72" s="12">
        <f>E74*F65</f>
        <v>0.15</v>
      </c>
      <c r="L72" s="12">
        <f>E74*G65</f>
        <v>0.16874999999999998</v>
      </c>
    </row>
    <row r="73" spans="1:12" x14ac:dyDescent="0.25">
      <c r="A73" s="8">
        <v>2030</v>
      </c>
      <c r="B73" s="9">
        <v>0</v>
      </c>
      <c r="C73" s="9">
        <v>0.9</v>
      </c>
      <c r="D73" s="9">
        <v>0</v>
      </c>
      <c r="E73" s="9">
        <f t="shared" ref="E73:E79" si="13">1-C73</f>
        <v>9.9999999999999978E-2</v>
      </c>
      <c r="F73" s="9">
        <v>0</v>
      </c>
      <c r="G73" s="9">
        <v>0</v>
      </c>
      <c r="I73" s="13">
        <v>2040</v>
      </c>
      <c r="J73" s="12">
        <f>E75*F65</f>
        <v>0.24999999999999994</v>
      </c>
      <c r="K73" s="12">
        <f>E75*F65</f>
        <v>0.24999999999999994</v>
      </c>
      <c r="L73" s="12">
        <f>E75*G65</f>
        <v>0.28124999999999994</v>
      </c>
    </row>
    <row r="74" spans="1:12" x14ac:dyDescent="0.25">
      <c r="A74" s="8">
        <v>2035</v>
      </c>
      <c r="B74" s="9">
        <v>0</v>
      </c>
      <c r="C74" s="9">
        <v>0.7</v>
      </c>
      <c r="D74" s="9">
        <v>0</v>
      </c>
      <c r="E74" s="9">
        <f t="shared" si="13"/>
        <v>0.30000000000000004</v>
      </c>
      <c r="F74" s="9">
        <v>0</v>
      </c>
      <c r="G74" s="9">
        <v>0</v>
      </c>
      <c r="I74" s="13">
        <v>2045</v>
      </c>
      <c r="J74" s="12">
        <f>E76*F65</f>
        <v>0.39999999999999991</v>
      </c>
      <c r="K74" s="12">
        <f>E76*F65</f>
        <v>0.39999999999999991</v>
      </c>
      <c r="L74" s="12">
        <f>E76*G65</f>
        <v>0.44999999999999996</v>
      </c>
    </row>
    <row r="75" spans="1:12" x14ac:dyDescent="0.25">
      <c r="A75" s="8">
        <v>2040</v>
      </c>
      <c r="B75" s="9">
        <v>0</v>
      </c>
      <c r="C75" s="9">
        <v>0.5</v>
      </c>
      <c r="D75" s="9">
        <v>0</v>
      </c>
      <c r="E75" s="9">
        <f t="shared" si="13"/>
        <v>0.5</v>
      </c>
      <c r="F75" s="9">
        <v>0</v>
      </c>
      <c r="G75" s="9">
        <v>0</v>
      </c>
      <c r="I75" s="13">
        <v>2050</v>
      </c>
      <c r="J75" s="65">
        <f>E77*F65</f>
        <v>0.49999999999999989</v>
      </c>
      <c r="K75" s="65">
        <f>E77*F65</f>
        <v>0.49999999999999989</v>
      </c>
      <c r="L75" s="65">
        <f>E77*G65</f>
        <v>0.56249999999999989</v>
      </c>
    </row>
    <row r="76" spans="1:12" x14ac:dyDescent="0.25">
      <c r="A76" s="8">
        <v>2045</v>
      </c>
      <c r="B76" s="9">
        <v>0</v>
      </c>
      <c r="C76" s="9">
        <v>0.2</v>
      </c>
      <c r="D76" s="9">
        <v>0</v>
      </c>
      <c r="E76" s="9">
        <f t="shared" si="13"/>
        <v>0.8</v>
      </c>
      <c r="F76" s="9">
        <v>0</v>
      </c>
      <c r="G76" s="9">
        <v>0</v>
      </c>
    </row>
    <row r="77" spans="1:12" x14ac:dyDescent="0.25">
      <c r="A77" s="8">
        <v>2050</v>
      </c>
      <c r="B77" s="9">
        <v>0</v>
      </c>
      <c r="C77" s="9">
        <v>0</v>
      </c>
      <c r="D77" s="9">
        <v>0</v>
      </c>
      <c r="E77" s="9">
        <f t="shared" si="13"/>
        <v>1</v>
      </c>
      <c r="F77" s="9">
        <v>0</v>
      </c>
      <c r="G77" s="9">
        <v>0</v>
      </c>
      <c r="I77" s="1" t="s">
        <v>28</v>
      </c>
    </row>
    <row r="78" spans="1:12" x14ac:dyDescent="0.25">
      <c r="A78" s="8">
        <v>2055</v>
      </c>
      <c r="B78" s="9">
        <v>0</v>
      </c>
      <c r="C78" s="9">
        <v>0</v>
      </c>
      <c r="D78" s="9">
        <v>0</v>
      </c>
      <c r="E78" s="9">
        <f t="shared" si="13"/>
        <v>1</v>
      </c>
      <c r="F78" s="9">
        <v>0</v>
      </c>
      <c r="G78" s="9">
        <v>0</v>
      </c>
      <c r="I78" s="10" t="s">
        <v>19</v>
      </c>
      <c r="J78" s="11" t="s">
        <v>16</v>
      </c>
      <c r="K78" s="11" t="s">
        <v>17</v>
      </c>
      <c r="L78" s="11" t="s">
        <v>18</v>
      </c>
    </row>
    <row r="79" spans="1:12" x14ac:dyDescent="0.25">
      <c r="A79" s="8">
        <v>2060</v>
      </c>
      <c r="B79" s="9">
        <v>0</v>
      </c>
      <c r="C79" s="9">
        <v>0</v>
      </c>
      <c r="D79" s="9">
        <v>0</v>
      </c>
      <c r="E79" s="9">
        <f t="shared" si="13"/>
        <v>1</v>
      </c>
      <c r="F79" s="9">
        <v>0</v>
      </c>
      <c r="G79" s="9">
        <v>0</v>
      </c>
      <c r="I79" s="79">
        <v>2025</v>
      </c>
      <c r="J79" s="11">
        <v>0</v>
      </c>
      <c r="K79" s="11">
        <v>0</v>
      </c>
      <c r="L79" s="11">
        <v>0</v>
      </c>
    </row>
    <row r="80" spans="1:12" x14ac:dyDescent="0.25">
      <c r="A80" s="25" t="s">
        <v>51</v>
      </c>
      <c r="B80" s="24"/>
      <c r="C80" s="24"/>
      <c r="D80" s="24"/>
      <c r="E80" s="24"/>
      <c r="F80" s="24"/>
      <c r="G80" s="24"/>
      <c r="I80" s="13">
        <v>2030</v>
      </c>
      <c r="J80" s="12">
        <f>J71/J$75</f>
        <v>9.9999999999999978E-2</v>
      </c>
      <c r="K80" s="12">
        <f t="shared" ref="K80:L80" si="14">K71/K$75</f>
        <v>9.9999999999999978E-2</v>
      </c>
      <c r="L80" s="12">
        <f t="shared" si="14"/>
        <v>9.9999999999999978E-2</v>
      </c>
    </row>
    <row r="81" spans="9:12" x14ac:dyDescent="0.25">
      <c r="I81" s="13">
        <v>2035</v>
      </c>
      <c r="J81" s="12">
        <f t="shared" ref="J81:K81" si="15">J72/J$75</f>
        <v>0.30000000000000004</v>
      </c>
      <c r="K81" s="12">
        <f t="shared" si="15"/>
        <v>0.30000000000000004</v>
      </c>
      <c r="L81" s="12">
        <f>L72/L$75</f>
        <v>0.30000000000000004</v>
      </c>
    </row>
    <row r="82" spans="9:12" x14ac:dyDescent="0.25">
      <c r="I82" s="13">
        <v>2040</v>
      </c>
      <c r="J82" s="12">
        <f t="shared" ref="J82:L82" si="16">J73/J$75</f>
        <v>0.5</v>
      </c>
      <c r="K82" s="12">
        <f t="shared" si="16"/>
        <v>0.5</v>
      </c>
      <c r="L82" s="12">
        <f t="shared" si="16"/>
        <v>0.5</v>
      </c>
    </row>
    <row r="83" spans="9:12" x14ac:dyDescent="0.25">
      <c r="I83" s="13">
        <v>2045</v>
      </c>
      <c r="J83" s="12">
        <f t="shared" ref="J83:L83" si="17">J74/J$75</f>
        <v>0.8</v>
      </c>
      <c r="K83" s="12">
        <f t="shared" si="17"/>
        <v>0.8</v>
      </c>
      <c r="L83" s="12">
        <f t="shared" si="17"/>
        <v>0.8</v>
      </c>
    </row>
    <row r="84" spans="9:12" x14ac:dyDescent="0.25">
      <c r="I84" s="13">
        <v>2050</v>
      </c>
      <c r="J84" s="65">
        <f t="shared" ref="J84:L84" si="18">J75/J$75</f>
        <v>1</v>
      </c>
      <c r="K84" s="65">
        <f t="shared" si="18"/>
        <v>1</v>
      </c>
      <c r="L84" s="65">
        <f t="shared" si="18"/>
        <v>1</v>
      </c>
    </row>
  </sheetData>
  <mergeCells count="29">
    <mergeCell ref="E45:F45"/>
    <mergeCell ref="E48:F48"/>
    <mergeCell ref="E46:F46"/>
    <mergeCell ref="E47:F47"/>
    <mergeCell ref="I33:L33"/>
    <mergeCell ref="E39:F39"/>
    <mergeCell ref="A33:F33"/>
    <mergeCell ref="A42:F42"/>
    <mergeCell ref="E43:F43"/>
    <mergeCell ref="E44:F44"/>
    <mergeCell ref="E34:F34"/>
    <mergeCell ref="E35:F35"/>
    <mergeCell ref="E36:F36"/>
    <mergeCell ref="E37:F37"/>
    <mergeCell ref="E38:F38"/>
    <mergeCell ref="A9:G9"/>
    <mergeCell ref="F10:G10"/>
    <mergeCell ref="A18:G18"/>
    <mergeCell ref="I18:L18"/>
    <mergeCell ref="A10:A11"/>
    <mergeCell ref="B10:C10"/>
    <mergeCell ref="D10:E10"/>
    <mergeCell ref="A69:G69"/>
    <mergeCell ref="I69:L69"/>
    <mergeCell ref="A60:G60"/>
    <mergeCell ref="A61:A62"/>
    <mergeCell ref="B61:C61"/>
    <mergeCell ref="D61:E61"/>
    <mergeCell ref="F61:G61"/>
  </mergeCells>
  <phoneticPr fontId="1" type="noConversion"/>
  <conditionalFormatting sqref="B20:B29 C23:D2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{415448BB-8CFB-4DC3-AC9E-C5EB344F9AD8}</x14:id>
        </ext>
      </extLst>
    </cfRule>
  </conditionalFormatting>
  <conditionalFormatting sqref="B71:B80 C74:D8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{89B57496-CE0C-43F0-BA29-EFA1D00C7C1D}</x14:id>
        </ext>
      </extLst>
    </cfRule>
  </conditionalFormatting>
  <conditionalFormatting sqref="C20:G22 E23:G29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{B0D41A78-AA25-4224-897A-5472EFD05A32}</x14:id>
        </ext>
      </extLst>
    </cfRule>
  </conditionalFormatting>
  <conditionalFormatting sqref="C71:G72 C73:D73 E73:G8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{EC54C0C7-B314-4179-8325-8086673380E4}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15448BB-8CFB-4DC3-AC9E-C5EB344F9A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B20:B29 C23:D29</xm:sqref>
        </x14:conditionalFormatting>
        <x14:conditionalFormatting xmlns:xm="http://schemas.microsoft.com/office/excel/2006/main">
          <x14:cfRule type="dataBar" id="{89B57496-CE0C-43F0-BA29-EFA1D00C7C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B71:B80 C74:D80</xm:sqref>
        </x14:conditionalFormatting>
        <x14:conditionalFormatting xmlns:xm="http://schemas.microsoft.com/office/excel/2006/main">
          <x14:cfRule type="dataBar" id="{B0D41A78-AA25-4224-897A-5472EFD05A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C20:G22 E23:G29</xm:sqref>
        </x14:conditionalFormatting>
        <x14:conditionalFormatting xmlns:xm="http://schemas.microsoft.com/office/excel/2006/main">
          <x14:cfRule type="dataBar" id="{EC54C0C7-B314-4179-8325-8086673380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C71:G72 C73:D73 E73:G80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EC729-F9F5-4802-B3FE-11E58FBD3493}">
  <dimension ref="A1:K14"/>
  <sheetViews>
    <sheetView topLeftCell="C1" workbookViewId="0">
      <selection activeCell="K7" sqref="K7"/>
    </sheetView>
  </sheetViews>
  <sheetFormatPr defaultColWidth="8.875" defaultRowHeight="15" x14ac:dyDescent="0.25"/>
  <cols>
    <col min="1" max="1" width="15.5" style="1" customWidth="1"/>
    <col min="2" max="3" width="15.125" style="1" customWidth="1"/>
    <col min="4" max="6" width="21.625" style="1" customWidth="1"/>
    <col min="7" max="7" width="8.875" style="1"/>
    <col min="8" max="8" width="16.125" style="1" customWidth="1"/>
    <col min="9" max="10" width="25.25" style="1" customWidth="1"/>
    <col min="11" max="11" width="21.625" style="1" customWidth="1"/>
    <col min="12" max="16384" width="8.875" style="1"/>
  </cols>
  <sheetData>
    <row r="1" spans="1:11" x14ac:dyDescent="0.25">
      <c r="A1" s="67" t="s">
        <v>325</v>
      </c>
      <c r="B1" s="67" t="s">
        <v>62</v>
      </c>
      <c r="C1" s="36"/>
      <c r="D1" s="36"/>
      <c r="E1" s="36"/>
      <c r="F1" s="36"/>
      <c r="G1" s="36"/>
      <c r="H1" s="3" t="s">
        <v>69</v>
      </c>
      <c r="I1" s="3" t="s">
        <v>327</v>
      </c>
      <c r="J1" s="36"/>
    </row>
    <row r="3" spans="1:11" x14ac:dyDescent="0.25">
      <c r="A3" s="100" t="s">
        <v>65</v>
      </c>
      <c r="B3" s="101"/>
      <c r="C3" s="101"/>
      <c r="D3" s="101"/>
      <c r="E3" s="101"/>
      <c r="F3" s="52"/>
      <c r="H3" s="34" t="s">
        <v>70</v>
      </c>
      <c r="I3" s="2">
        <v>0.4</v>
      </c>
      <c r="J3" s="2"/>
    </row>
    <row r="4" spans="1:11" x14ac:dyDescent="0.25">
      <c r="A4" s="22" t="s">
        <v>272</v>
      </c>
      <c r="B4" s="22" t="s">
        <v>63</v>
      </c>
      <c r="C4" s="22" t="s">
        <v>273</v>
      </c>
      <c r="D4" s="22" t="s">
        <v>64</v>
      </c>
      <c r="E4" s="22" t="s">
        <v>274</v>
      </c>
      <c r="F4" s="22" t="s">
        <v>275</v>
      </c>
      <c r="G4" s="48"/>
    </row>
    <row r="5" spans="1:11" x14ac:dyDescent="0.25">
      <c r="A5" s="22" t="s">
        <v>297</v>
      </c>
      <c r="B5" s="32">
        <f>0.4/38</f>
        <v>1.0526315789473684E-2</v>
      </c>
      <c r="C5" s="46" t="s">
        <v>276</v>
      </c>
      <c r="D5" s="33" t="s">
        <v>14</v>
      </c>
      <c r="E5" s="33">
        <v>0.78</v>
      </c>
      <c r="F5" s="47">
        <v>0.75</v>
      </c>
      <c r="G5" s="51"/>
      <c r="H5" s="50" t="s">
        <v>28</v>
      </c>
      <c r="I5" s="2">
        <v>2022</v>
      </c>
      <c r="J5" s="2">
        <v>2060</v>
      </c>
    </row>
    <row r="6" spans="1:11" x14ac:dyDescent="0.25">
      <c r="A6" s="35" t="s">
        <v>71</v>
      </c>
      <c r="G6" s="51"/>
      <c r="H6" s="50"/>
      <c r="I6" s="2">
        <v>0</v>
      </c>
      <c r="J6" s="2">
        <v>1</v>
      </c>
      <c r="K6" s="1">
        <f>1/(2060-2022)*8</f>
        <v>0.21052631578947367</v>
      </c>
    </row>
    <row r="7" spans="1:11" x14ac:dyDescent="0.25">
      <c r="G7" s="49"/>
    </row>
    <row r="9" spans="1:11" x14ac:dyDescent="0.25">
      <c r="A9" s="67" t="s">
        <v>326</v>
      </c>
      <c r="B9" s="67" t="s">
        <v>62</v>
      </c>
      <c r="C9" s="36"/>
      <c r="D9" s="36"/>
      <c r="E9" s="36"/>
      <c r="F9" s="36"/>
      <c r="G9" s="36"/>
      <c r="H9" s="3" t="s">
        <v>69</v>
      </c>
      <c r="I9" s="3" t="s">
        <v>68</v>
      </c>
      <c r="J9" s="36"/>
    </row>
    <row r="11" spans="1:11" x14ac:dyDescent="0.25">
      <c r="A11" s="100" t="s">
        <v>65</v>
      </c>
      <c r="B11" s="101"/>
      <c r="C11" s="101"/>
      <c r="D11" s="101"/>
      <c r="E11" s="101"/>
      <c r="F11" s="52"/>
      <c r="H11" s="34" t="s">
        <v>70</v>
      </c>
      <c r="I11" s="2">
        <v>0.4</v>
      </c>
      <c r="J11" s="2"/>
    </row>
    <row r="12" spans="1:11" x14ac:dyDescent="0.25">
      <c r="A12" s="22" t="s">
        <v>272</v>
      </c>
      <c r="B12" s="22" t="s">
        <v>63</v>
      </c>
      <c r="C12" s="22" t="s">
        <v>273</v>
      </c>
      <c r="D12" s="22" t="s">
        <v>64</v>
      </c>
      <c r="E12" s="22" t="s">
        <v>274</v>
      </c>
      <c r="F12" s="22" t="s">
        <v>275</v>
      </c>
      <c r="G12" s="48"/>
    </row>
    <row r="13" spans="1:11" x14ac:dyDescent="0.25">
      <c r="A13" s="22" t="s">
        <v>297</v>
      </c>
      <c r="B13" s="32">
        <f>0.4/38</f>
        <v>1.0526315789473684E-2</v>
      </c>
      <c r="C13" s="46" t="s">
        <v>276</v>
      </c>
      <c r="D13" s="33" t="s">
        <v>14</v>
      </c>
      <c r="E13" s="33">
        <v>0.78</v>
      </c>
      <c r="F13" s="47">
        <v>0.75</v>
      </c>
      <c r="G13" s="51"/>
      <c r="H13" s="50" t="s">
        <v>28</v>
      </c>
      <c r="I13" s="2">
        <v>2022</v>
      </c>
      <c r="J13" s="2">
        <v>2030</v>
      </c>
      <c r="K13" s="2">
        <v>2060</v>
      </c>
    </row>
    <row r="14" spans="1:11" x14ac:dyDescent="0.25">
      <c r="A14" s="35" t="s">
        <v>71</v>
      </c>
      <c r="G14" s="51"/>
      <c r="H14" s="50"/>
      <c r="I14" s="2">
        <v>0</v>
      </c>
      <c r="J14" s="2">
        <v>0.1</v>
      </c>
      <c r="K14" s="2">
        <v>1</v>
      </c>
    </row>
  </sheetData>
  <mergeCells count="2">
    <mergeCell ref="A3:E3"/>
    <mergeCell ref="A11:E1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2053D-9BC8-4FB1-A031-AE8048C271E6}">
  <dimension ref="A1:AQ288"/>
  <sheetViews>
    <sheetView topLeftCell="A57" zoomScale="80" zoomScaleNormal="80" workbookViewId="0">
      <selection activeCell="F73" sqref="F73"/>
    </sheetView>
  </sheetViews>
  <sheetFormatPr defaultColWidth="9" defaultRowHeight="15" x14ac:dyDescent="0.25"/>
  <cols>
    <col min="1" max="1" width="18" style="1" customWidth="1"/>
    <col min="2" max="2" width="19.125" style="1" customWidth="1"/>
    <col min="3" max="3" width="17.25" style="1" customWidth="1"/>
    <col min="4" max="12" width="16" style="1" customWidth="1"/>
    <col min="13" max="16" width="16.125" style="1" customWidth="1"/>
    <col min="17" max="42" width="9.5" style="1" bestFit="1" customWidth="1"/>
    <col min="43" max="16384" width="9" style="1"/>
  </cols>
  <sheetData>
    <row r="1" spans="1:40" x14ac:dyDescent="0.25">
      <c r="A1" s="78" t="s">
        <v>322</v>
      </c>
      <c r="B1" s="3" t="s">
        <v>260</v>
      </c>
      <c r="C1" s="36"/>
      <c r="D1" s="3" t="s">
        <v>75</v>
      </c>
      <c r="E1" s="3"/>
      <c r="F1" s="3"/>
      <c r="G1" s="3"/>
      <c r="H1" s="3"/>
      <c r="I1" s="3" t="s">
        <v>299</v>
      </c>
      <c r="J1" s="3"/>
      <c r="K1" s="3"/>
      <c r="L1" s="3"/>
    </row>
    <row r="2" spans="1:40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40" x14ac:dyDescent="0.25">
      <c r="A3" s="108" t="s">
        <v>261</v>
      </c>
      <c r="B3" s="108"/>
      <c r="C3" s="108"/>
      <c r="D3" s="108"/>
      <c r="E3" s="5" t="s">
        <v>259</v>
      </c>
    </row>
    <row r="4" spans="1:40" x14ac:dyDescent="0.25">
      <c r="A4" s="109" t="s">
        <v>73</v>
      </c>
      <c r="B4" s="110"/>
      <c r="C4" s="22">
        <v>2023</v>
      </c>
      <c r="D4" s="22">
        <v>2024</v>
      </c>
      <c r="E4" s="30">
        <v>2025</v>
      </c>
      <c r="F4" s="22">
        <v>2026</v>
      </c>
      <c r="G4" s="22">
        <v>2027</v>
      </c>
      <c r="H4" s="30">
        <v>2028</v>
      </c>
      <c r="I4" s="22">
        <v>2029</v>
      </c>
      <c r="J4" s="22">
        <v>2030</v>
      </c>
      <c r="K4" s="30">
        <v>2031</v>
      </c>
      <c r="L4" s="22">
        <v>2032</v>
      </c>
      <c r="M4" s="22">
        <v>2033</v>
      </c>
      <c r="N4" s="30">
        <v>2034</v>
      </c>
      <c r="O4" s="22">
        <v>2035</v>
      </c>
      <c r="P4" s="22">
        <v>2036</v>
      </c>
      <c r="Q4" s="30">
        <v>2037</v>
      </c>
      <c r="R4" s="22">
        <v>2038</v>
      </c>
      <c r="S4" s="22">
        <v>2039</v>
      </c>
      <c r="T4" s="30">
        <v>2040</v>
      </c>
      <c r="U4" s="22">
        <v>2041</v>
      </c>
      <c r="V4" s="22">
        <v>2042</v>
      </c>
      <c r="W4" s="30">
        <v>2043</v>
      </c>
      <c r="X4" s="22">
        <v>2044</v>
      </c>
      <c r="Y4" s="22">
        <v>2045</v>
      </c>
      <c r="Z4" s="30">
        <v>2046</v>
      </c>
      <c r="AA4" s="22">
        <v>2047</v>
      </c>
      <c r="AB4" s="22">
        <v>2048</v>
      </c>
      <c r="AC4" s="30">
        <v>2049</v>
      </c>
      <c r="AD4" s="22">
        <v>2050</v>
      </c>
      <c r="AE4" s="22">
        <v>2051</v>
      </c>
      <c r="AF4" s="30">
        <v>2052</v>
      </c>
      <c r="AG4" s="22">
        <v>2053</v>
      </c>
      <c r="AH4" s="22">
        <v>2054</v>
      </c>
      <c r="AI4" s="30">
        <v>2055</v>
      </c>
      <c r="AJ4" s="22">
        <v>2056</v>
      </c>
      <c r="AK4" s="22">
        <v>2057</v>
      </c>
      <c r="AL4" s="30">
        <v>2058</v>
      </c>
      <c r="AM4" s="22">
        <v>2059</v>
      </c>
      <c r="AN4" s="22">
        <v>2060</v>
      </c>
    </row>
    <row r="5" spans="1:40" x14ac:dyDescent="0.25">
      <c r="A5" s="41" t="s">
        <v>257</v>
      </c>
      <c r="B5" s="40" t="s">
        <v>256</v>
      </c>
      <c r="C5" s="37">
        <f t="shared" ref="C5:C15" si="0">SUMIFS(E$90:E$269,$B$90:$B$269,$A5,$C$90:$C$269,$B5,$A$90:$A$269,$E$3)/SUMIFS(E$90:E$269,$B$90:$B$269,$A5,$C$90:$C$269,$B5)</f>
        <v>0</v>
      </c>
      <c r="D5" s="37">
        <f t="shared" ref="D5:D15" si="1">SUMIFS(F$90:F$269,$B$90:$B$269,$A5,$C$90:$C$269,$B5,$A$90:$A$269,$E$3)/SUMIFS(F$90:F$269,$B$90:$B$269,$A5,$C$90:$C$269,$B5)</f>
        <v>0</v>
      </c>
      <c r="E5" s="37">
        <f t="shared" ref="E5:E15" si="2">SUMIFS(G$90:G$269,$B$90:$B$269,$A5,$C$90:$C$269,$B5,$A$90:$A$269,$E$3)/SUMIFS(G$90:G$269,$B$90:$B$269,$A5,$C$90:$C$269,$B5)</f>
        <v>0</v>
      </c>
      <c r="F5" s="37">
        <f t="shared" ref="F5:F15" si="3">SUMIFS(H$90:H$269,$B$90:$B$269,$A5,$C$90:$C$269,$B5,$A$90:$A$269,$E$3)/SUMIFS(H$90:H$269,$B$90:$B$269,$A5,$C$90:$C$269,$B5)</f>
        <v>0</v>
      </c>
      <c r="G5" s="37">
        <f t="shared" ref="G5:G15" si="4">SUMIFS(I$90:I$269,$B$90:$B$269,$A5,$C$90:$C$269,$B5,$A$90:$A$269,$E$3)/SUMIFS(I$90:I$269,$B$90:$B$269,$A5,$C$90:$C$269,$B5)</f>
        <v>0</v>
      </c>
      <c r="H5" s="37">
        <f t="shared" ref="H5:H15" si="5">SUMIFS(J$90:J$269,$B$90:$B$269,$A5,$C$90:$C$269,$B5,$A$90:$A$269,$E$3)/SUMIFS(J$90:J$269,$B$90:$B$269,$A5,$C$90:$C$269,$B5)</f>
        <v>0</v>
      </c>
      <c r="I5" s="37">
        <f t="shared" ref="I5:I15" si="6">SUMIFS(K$90:K$269,$B$90:$B$269,$A5,$C$90:$C$269,$B5,$A$90:$A$269,$E$3)/SUMIFS(K$90:K$269,$B$90:$B$269,$A5,$C$90:$C$269,$B5)</f>
        <v>0</v>
      </c>
      <c r="J5" s="37">
        <f t="shared" ref="J5:J15" si="7">SUMIFS(L$90:L$269,$B$90:$B$269,$A5,$C$90:$C$269,$B5,$A$90:$A$269,$E$3)/SUMIFS(L$90:L$269,$B$90:$B$269,$A5,$C$90:$C$269,$B5)</f>
        <v>0</v>
      </c>
      <c r="K5" s="37">
        <f t="shared" ref="K5:K15" si="8">SUMIFS(M$90:M$269,$B$90:$B$269,$A5,$C$90:$C$269,$B5,$A$90:$A$269,$E$3)/SUMIFS(M$90:M$269,$B$90:$B$269,$A5,$C$90:$C$269,$B5)</f>
        <v>0</v>
      </c>
      <c r="L5" s="37">
        <f t="shared" ref="L5:L15" si="9">SUMIFS(N$90:N$269,$B$90:$B$269,$A5,$C$90:$C$269,$B5,$A$90:$A$269,$E$3)/SUMIFS(N$90:N$269,$B$90:$B$269,$A5,$C$90:$C$269,$B5)</f>
        <v>0</v>
      </c>
      <c r="M5" s="37">
        <f t="shared" ref="M5:M15" si="10">SUMIFS(O$90:O$269,$B$90:$B$269,$A5,$C$90:$C$269,$B5,$A$90:$A$269,$E$3)/SUMIFS(O$90:O$269,$B$90:$B$269,$A5,$C$90:$C$269,$B5)</f>
        <v>0</v>
      </c>
      <c r="N5" s="37">
        <f t="shared" ref="N5:N15" si="11">SUMIFS(P$90:P$269,$B$90:$B$269,$A5,$C$90:$C$269,$B5,$A$90:$A$269,$E$3)/SUMIFS(P$90:P$269,$B$90:$B$269,$A5,$C$90:$C$269,$B5)</f>
        <v>0</v>
      </c>
      <c r="O5" s="37">
        <f t="shared" ref="O5:O15" si="12">SUMIFS(Q$90:Q$269,$B$90:$B$269,$A5,$C$90:$C$269,$B5,$A$90:$A$269,$E$3)/SUMIFS(Q$90:Q$269,$B$90:$B$269,$A5,$C$90:$C$269,$B5)</f>
        <v>0</v>
      </c>
      <c r="P5" s="37">
        <f t="shared" ref="P5:P15" si="13">SUMIFS(R$90:R$269,$B$90:$B$269,$A5,$C$90:$C$269,$B5,$A$90:$A$269,$E$3)/SUMIFS(R$90:R$269,$B$90:$B$269,$A5,$C$90:$C$269,$B5)</f>
        <v>0</v>
      </c>
      <c r="Q5" s="37">
        <f t="shared" ref="Q5:Q15" si="14">SUMIFS(S$90:S$269,$B$90:$B$269,$A5,$C$90:$C$269,$B5,$A$90:$A$269,$E$3)/SUMIFS(S$90:S$269,$B$90:$B$269,$A5,$C$90:$C$269,$B5)</f>
        <v>0</v>
      </c>
      <c r="R5" s="37">
        <f t="shared" ref="R5:R15" si="15">SUMIFS(T$90:T$269,$B$90:$B$269,$A5,$C$90:$C$269,$B5,$A$90:$A$269,$E$3)/SUMIFS(T$90:T$269,$B$90:$B$269,$A5,$C$90:$C$269,$B5)</f>
        <v>0</v>
      </c>
      <c r="S5" s="37">
        <f t="shared" ref="S5:S15" si="16">SUMIFS(U$90:U$269,$B$90:$B$269,$A5,$C$90:$C$269,$B5,$A$90:$A$269,$E$3)/SUMIFS(U$90:U$269,$B$90:$B$269,$A5,$C$90:$C$269,$B5)</f>
        <v>0</v>
      </c>
      <c r="T5" s="37">
        <f t="shared" ref="T5:T15" si="17">SUMIFS(V$90:V$269,$B$90:$B$269,$A5,$C$90:$C$269,$B5,$A$90:$A$269,$E$3)/SUMIFS(V$90:V$269,$B$90:$B$269,$A5,$C$90:$C$269,$B5)</f>
        <v>0</v>
      </c>
      <c r="U5" s="37">
        <f t="shared" ref="U5:U15" si="18">SUMIFS(W$90:W$269,$B$90:$B$269,$A5,$C$90:$C$269,$B5,$A$90:$A$269,$E$3)/SUMIFS(W$90:W$269,$B$90:$B$269,$A5,$C$90:$C$269,$B5)</f>
        <v>0</v>
      </c>
      <c r="V5" s="37">
        <f t="shared" ref="V5:V15" si="19">SUMIFS(X$90:X$269,$B$90:$B$269,$A5,$C$90:$C$269,$B5,$A$90:$A$269,$E$3)/SUMIFS(X$90:X$269,$B$90:$B$269,$A5,$C$90:$C$269,$B5)</f>
        <v>0</v>
      </c>
      <c r="W5" s="37">
        <f t="shared" ref="W5:W15" si="20">SUMIFS(Y$90:Y$269,$B$90:$B$269,$A5,$C$90:$C$269,$B5,$A$90:$A$269,$E$3)/SUMIFS(Y$90:Y$269,$B$90:$B$269,$A5,$C$90:$C$269,$B5)</f>
        <v>0</v>
      </c>
      <c r="X5" s="37">
        <f t="shared" ref="X5:X15" si="21">SUMIFS(Z$90:Z$269,$B$90:$B$269,$A5,$C$90:$C$269,$B5,$A$90:$A$269,$E$3)/SUMIFS(Z$90:Z$269,$B$90:$B$269,$A5,$C$90:$C$269,$B5)</f>
        <v>0</v>
      </c>
      <c r="Y5" s="37">
        <f t="shared" ref="Y5:Y15" si="22">SUMIFS(AA$90:AA$269,$B$90:$B$269,$A5,$C$90:$C$269,$B5,$A$90:$A$269,$E$3)/SUMIFS(AA$90:AA$269,$B$90:$B$269,$A5,$C$90:$C$269,$B5)</f>
        <v>0</v>
      </c>
      <c r="Z5" s="37">
        <f t="shared" ref="Z5:Z15" si="23">SUMIFS(AB$90:AB$269,$B$90:$B$269,$A5,$C$90:$C$269,$B5,$A$90:$A$269,$E$3)/SUMIFS(AB$90:AB$269,$B$90:$B$269,$A5,$C$90:$C$269,$B5)</f>
        <v>0</v>
      </c>
      <c r="AA5" s="37">
        <f t="shared" ref="AA5:AA15" si="24">SUMIFS(AC$90:AC$269,$B$90:$B$269,$A5,$C$90:$C$269,$B5,$A$90:$A$269,$E$3)/SUMIFS(AC$90:AC$269,$B$90:$B$269,$A5,$C$90:$C$269,$B5)</f>
        <v>0</v>
      </c>
      <c r="AB5" s="37">
        <f t="shared" ref="AB5:AB15" si="25">SUMIFS(AD$90:AD$269,$B$90:$B$269,$A5,$C$90:$C$269,$B5,$A$90:$A$269,$E$3)/SUMIFS(AD$90:AD$269,$B$90:$B$269,$A5,$C$90:$C$269,$B5)</f>
        <v>0</v>
      </c>
      <c r="AC5" s="37">
        <f t="shared" ref="AC5:AC15" si="26">SUMIFS(AE$90:AE$269,$B$90:$B$269,$A5,$C$90:$C$269,$B5,$A$90:$A$269,$E$3)/SUMIFS(AE$90:AE$269,$B$90:$B$269,$A5,$C$90:$C$269,$B5)</f>
        <v>0</v>
      </c>
      <c r="AD5" s="37">
        <f t="shared" ref="AD5:AD15" si="27">SUMIFS(AF$90:AF$269,$B$90:$B$269,$A5,$C$90:$C$269,$B5,$A$90:$A$269,$E$3)/SUMIFS(AF$90:AF$269,$B$90:$B$269,$A5,$C$90:$C$269,$B5)</f>
        <v>0</v>
      </c>
      <c r="AE5" s="37">
        <f t="shared" ref="AE5:AE15" si="28">SUMIFS(AG$90:AG$269,$B$90:$B$269,$A5,$C$90:$C$269,$B5,$A$90:$A$269,$E$3)/SUMIFS(AG$90:AG$269,$B$90:$B$269,$A5,$C$90:$C$269,$B5)</f>
        <v>0</v>
      </c>
      <c r="AF5" s="37">
        <f t="shared" ref="AF5:AF15" si="29">SUMIFS(AH$90:AH$269,$B$90:$B$269,$A5,$C$90:$C$269,$B5,$A$90:$A$269,$E$3)/SUMIFS(AH$90:AH$269,$B$90:$B$269,$A5,$C$90:$C$269,$B5)</f>
        <v>0</v>
      </c>
      <c r="AG5" s="37">
        <f t="shared" ref="AG5:AG15" si="30">SUMIFS(AI$90:AI$269,$B$90:$B$269,$A5,$C$90:$C$269,$B5,$A$90:$A$269,$E$3)/SUMIFS(AI$90:AI$269,$B$90:$B$269,$A5,$C$90:$C$269,$B5)</f>
        <v>0</v>
      </c>
      <c r="AH5" s="37">
        <f t="shared" ref="AH5:AH15" si="31">SUMIFS(AJ$90:AJ$269,$B$90:$B$269,$A5,$C$90:$C$269,$B5,$A$90:$A$269,$E$3)/SUMIFS(AJ$90:AJ$269,$B$90:$B$269,$A5,$C$90:$C$269,$B5)</f>
        <v>0</v>
      </c>
      <c r="AI5" s="37">
        <f t="shared" ref="AI5:AI15" si="32">SUMIFS(AK$90:AK$269,$B$90:$B$269,$A5,$C$90:$C$269,$B5,$A$90:$A$269,$E$3)/SUMIFS(AK$90:AK$269,$B$90:$B$269,$A5,$C$90:$C$269,$B5)</f>
        <v>0</v>
      </c>
      <c r="AJ5" s="37">
        <f t="shared" ref="AJ5:AJ15" si="33">SUMIFS(AL$90:AL$269,$B$90:$B$269,$A5,$C$90:$C$269,$B5,$A$90:$A$269,$E$3)/SUMIFS(AL$90:AL$269,$B$90:$B$269,$A5,$C$90:$C$269,$B5)</f>
        <v>0</v>
      </c>
      <c r="AK5" s="37">
        <f t="shared" ref="AK5:AK15" si="34">SUMIFS(AM$90:AM$269,$B$90:$B$269,$A5,$C$90:$C$269,$B5,$A$90:$A$269,$E$3)/SUMIFS(AM$90:AM$269,$B$90:$B$269,$A5,$C$90:$C$269,$B5)</f>
        <v>0</v>
      </c>
      <c r="AL5" s="37">
        <f t="shared" ref="AL5:AL15" si="35">SUMIFS(AN$90:AN$269,$B$90:$B$269,$A5,$C$90:$C$269,$B5,$A$90:$A$269,$E$3)/SUMIFS(AN$90:AN$269,$B$90:$B$269,$A5,$C$90:$C$269,$B5)</f>
        <v>0</v>
      </c>
      <c r="AM5" s="37">
        <f t="shared" ref="AM5:AM15" si="36">SUMIFS(AO$90:AO$269,$B$90:$B$269,$A5,$C$90:$C$269,$B5,$A$90:$A$269,$E$3)/SUMIFS(AO$90:AO$269,$B$90:$B$269,$A5,$C$90:$C$269,$B5)</f>
        <v>0</v>
      </c>
      <c r="AN5" s="37">
        <f t="shared" ref="AN5:AN15" si="37">SUMIFS(AP$90:AP$269,$B$90:$B$269,$A5,$C$90:$C$269,$B5,$A$90:$A$269,$E$3)/SUMIFS(AP$90:AP$269,$B$90:$B$269,$A5,$C$90:$C$269,$B5)</f>
        <v>0</v>
      </c>
    </row>
    <row r="6" spans="1:40" x14ac:dyDescent="0.25">
      <c r="A6" s="41" t="s">
        <v>257</v>
      </c>
      <c r="B6" s="40" t="s">
        <v>39</v>
      </c>
      <c r="C6" s="37">
        <f t="shared" si="0"/>
        <v>1</v>
      </c>
      <c r="D6" s="37">
        <f t="shared" si="1"/>
        <v>1</v>
      </c>
      <c r="E6" s="37">
        <f t="shared" si="2"/>
        <v>1</v>
      </c>
      <c r="F6" s="37">
        <f t="shared" si="3"/>
        <v>1</v>
      </c>
      <c r="G6" s="37">
        <f t="shared" si="4"/>
        <v>1</v>
      </c>
      <c r="H6" s="37">
        <f t="shared" si="5"/>
        <v>1</v>
      </c>
      <c r="I6" s="37">
        <f t="shared" si="6"/>
        <v>1</v>
      </c>
      <c r="J6" s="37">
        <f t="shared" si="7"/>
        <v>1</v>
      </c>
      <c r="K6" s="37">
        <f t="shared" si="8"/>
        <v>1</v>
      </c>
      <c r="L6" s="37">
        <f t="shared" si="9"/>
        <v>1</v>
      </c>
      <c r="M6" s="37">
        <f t="shared" si="10"/>
        <v>1</v>
      </c>
      <c r="N6" s="37">
        <f t="shared" si="11"/>
        <v>1</v>
      </c>
      <c r="O6" s="37">
        <f t="shared" si="12"/>
        <v>1</v>
      </c>
      <c r="P6" s="37">
        <f t="shared" si="13"/>
        <v>1</v>
      </c>
      <c r="Q6" s="37">
        <f t="shared" si="14"/>
        <v>1</v>
      </c>
      <c r="R6" s="37">
        <f t="shared" si="15"/>
        <v>1</v>
      </c>
      <c r="S6" s="37">
        <f t="shared" si="16"/>
        <v>1</v>
      </c>
      <c r="T6" s="37">
        <f t="shared" si="17"/>
        <v>1</v>
      </c>
      <c r="U6" s="37">
        <f t="shared" si="18"/>
        <v>1</v>
      </c>
      <c r="V6" s="37">
        <f t="shared" si="19"/>
        <v>1</v>
      </c>
      <c r="W6" s="37">
        <f t="shared" si="20"/>
        <v>1</v>
      </c>
      <c r="X6" s="37">
        <f t="shared" si="21"/>
        <v>1</v>
      </c>
      <c r="Y6" s="37">
        <f t="shared" si="22"/>
        <v>1</v>
      </c>
      <c r="Z6" s="37">
        <f t="shared" si="23"/>
        <v>1</v>
      </c>
      <c r="AA6" s="37">
        <f t="shared" si="24"/>
        <v>1</v>
      </c>
      <c r="AB6" s="37">
        <f t="shared" si="25"/>
        <v>1</v>
      </c>
      <c r="AC6" s="37">
        <f t="shared" si="26"/>
        <v>1</v>
      </c>
      <c r="AD6" s="37">
        <f t="shared" si="27"/>
        <v>1</v>
      </c>
      <c r="AE6" s="37">
        <f t="shared" si="28"/>
        <v>1</v>
      </c>
      <c r="AF6" s="37">
        <f t="shared" si="29"/>
        <v>1</v>
      </c>
      <c r="AG6" s="37">
        <f t="shared" si="30"/>
        <v>1</v>
      </c>
      <c r="AH6" s="37">
        <f t="shared" si="31"/>
        <v>1</v>
      </c>
      <c r="AI6" s="37">
        <f t="shared" si="32"/>
        <v>1</v>
      </c>
      <c r="AJ6" s="37">
        <f t="shared" si="33"/>
        <v>1</v>
      </c>
      <c r="AK6" s="37">
        <f t="shared" si="34"/>
        <v>1</v>
      </c>
      <c r="AL6" s="37">
        <f t="shared" si="35"/>
        <v>1</v>
      </c>
      <c r="AM6" s="37">
        <f t="shared" si="36"/>
        <v>1</v>
      </c>
      <c r="AN6" s="37">
        <f t="shared" si="37"/>
        <v>1</v>
      </c>
    </row>
    <row r="7" spans="1:40" x14ac:dyDescent="0.25">
      <c r="A7" s="41" t="s">
        <v>257</v>
      </c>
      <c r="B7" s="40" t="s">
        <v>22</v>
      </c>
      <c r="C7" s="37">
        <f t="shared" si="0"/>
        <v>1</v>
      </c>
      <c r="D7" s="37">
        <f t="shared" si="1"/>
        <v>1</v>
      </c>
      <c r="E7" s="37">
        <f t="shared" si="2"/>
        <v>1</v>
      </c>
      <c r="F7" s="37">
        <f t="shared" si="3"/>
        <v>1</v>
      </c>
      <c r="G7" s="37">
        <f t="shared" si="4"/>
        <v>1</v>
      </c>
      <c r="H7" s="37">
        <f t="shared" si="5"/>
        <v>1</v>
      </c>
      <c r="I7" s="37">
        <f t="shared" si="6"/>
        <v>1</v>
      </c>
      <c r="J7" s="37">
        <f t="shared" si="7"/>
        <v>1</v>
      </c>
      <c r="K7" s="37">
        <f t="shared" si="8"/>
        <v>1</v>
      </c>
      <c r="L7" s="37">
        <f t="shared" si="9"/>
        <v>1</v>
      </c>
      <c r="M7" s="37">
        <f t="shared" si="10"/>
        <v>1</v>
      </c>
      <c r="N7" s="37">
        <f t="shared" si="11"/>
        <v>1</v>
      </c>
      <c r="O7" s="37">
        <f t="shared" si="12"/>
        <v>1</v>
      </c>
      <c r="P7" s="37">
        <f t="shared" si="13"/>
        <v>1</v>
      </c>
      <c r="Q7" s="37">
        <f t="shared" si="14"/>
        <v>1</v>
      </c>
      <c r="R7" s="37">
        <f t="shared" si="15"/>
        <v>1</v>
      </c>
      <c r="S7" s="37">
        <f t="shared" si="16"/>
        <v>1</v>
      </c>
      <c r="T7" s="37">
        <f t="shared" si="17"/>
        <v>1</v>
      </c>
      <c r="U7" s="37">
        <f t="shared" si="18"/>
        <v>1</v>
      </c>
      <c r="V7" s="37">
        <f t="shared" si="19"/>
        <v>1</v>
      </c>
      <c r="W7" s="37">
        <f t="shared" si="20"/>
        <v>1</v>
      </c>
      <c r="X7" s="37">
        <f t="shared" si="21"/>
        <v>1</v>
      </c>
      <c r="Y7" s="37">
        <f t="shared" si="22"/>
        <v>1</v>
      </c>
      <c r="Z7" s="37">
        <f t="shared" si="23"/>
        <v>1</v>
      </c>
      <c r="AA7" s="37">
        <f t="shared" si="24"/>
        <v>1</v>
      </c>
      <c r="AB7" s="37">
        <f t="shared" si="25"/>
        <v>1</v>
      </c>
      <c r="AC7" s="37">
        <f t="shared" si="26"/>
        <v>1</v>
      </c>
      <c r="AD7" s="37">
        <f t="shared" si="27"/>
        <v>1</v>
      </c>
      <c r="AE7" s="37">
        <f t="shared" si="28"/>
        <v>1</v>
      </c>
      <c r="AF7" s="37">
        <f t="shared" si="29"/>
        <v>1</v>
      </c>
      <c r="AG7" s="37">
        <f t="shared" si="30"/>
        <v>1</v>
      </c>
      <c r="AH7" s="37">
        <f t="shared" si="31"/>
        <v>1</v>
      </c>
      <c r="AI7" s="37">
        <f t="shared" si="32"/>
        <v>1</v>
      </c>
      <c r="AJ7" s="37">
        <f t="shared" si="33"/>
        <v>1</v>
      </c>
      <c r="AK7" s="37">
        <f t="shared" si="34"/>
        <v>1</v>
      </c>
      <c r="AL7" s="37">
        <f t="shared" si="35"/>
        <v>1</v>
      </c>
      <c r="AM7" s="37">
        <f t="shared" si="36"/>
        <v>1</v>
      </c>
      <c r="AN7" s="37">
        <f t="shared" si="37"/>
        <v>1</v>
      </c>
    </row>
    <row r="8" spans="1:40" x14ac:dyDescent="0.25">
      <c r="A8" s="41" t="s">
        <v>257</v>
      </c>
      <c r="B8" s="40" t="s">
        <v>38</v>
      </c>
      <c r="C8" s="37">
        <f t="shared" si="0"/>
        <v>0.65486931718959196</v>
      </c>
      <c r="D8" s="37">
        <f t="shared" si="1"/>
        <v>0.6515471843167403</v>
      </c>
      <c r="E8" s="37">
        <f t="shared" si="2"/>
        <v>0.64786585365853655</v>
      </c>
      <c r="F8" s="37">
        <f t="shared" si="3"/>
        <v>0.64335796854273264</v>
      </c>
      <c r="G8" s="37">
        <f t="shared" si="4"/>
        <v>0.63940802580400347</v>
      </c>
      <c r="H8" s="37">
        <f t="shared" si="5"/>
        <v>0.63504135374084991</v>
      </c>
      <c r="I8" s="37">
        <f t="shared" si="6"/>
        <v>0.62993624512322766</v>
      </c>
      <c r="J8" s="37">
        <f t="shared" si="7"/>
        <v>0.62476117692013755</v>
      </c>
      <c r="K8" s="37">
        <f t="shared" si="8"/>
        <v>0.62016244624940275</v>
      </c>
      <c r="L8" s="37">
        <f t="shared" si="9"/>
        <v>0.6179775280898876</v>
      </c>
      <c r="M8" s="37">
        <f t="shared" si="10"/>
        <v>0.6162305650360258</v>
      </c>
      <c r="N8" s="37">
        <f t="shared" si="11"/>
        <v>0.61407652338214458</v>
      </c>
      <c r="O8" s="37">
        <f t="shared" si="12"/>
        <v>0.61166964201822793</v>
      </c>
      <c r="P8" s="37">
        <f t="shared" si="13"/>
        <v>0.61113710809546096</v>
      </c>
      <c r="Q8" s="37">
        <f t="shared" si="14"/>
        <v>0.61095047103814948</v>
      </c>
      <c r="R8" s="37">
        <f t="shared" si="15"/>
        <v>0.61102831594634877</v>
      </c>
      <c r="S8" s="37">
        <f t="shared" si="16"/>
        <v>0.61059479553903351</v>
      </c>
      <c r="T8" s="37">
        <f t="shared" si="17"/>
        <v>0.61052436538817867</v>
      </c>
      <c r="U8" s="37">
        <f t="shared" si="18"/>
        <v>0.61071527713519014</v>
      </c>
      <c r="V8" s="37">
        <f t="shared" si="19"/>
        <v>0.61046780917091248</v>
      </c>
      <c r="W8" s="37">
        <f t="shared" si="20"/>
        <v>0.61010662957811779</v>
      </c>
      <c r="X8" s="37">
        <f t="shared" si="21"/>
        <v>0.60985797827903088</v>
      </c>
      <c r="Y8" s="37">
        <f t="shared" si="22"/>
        <v>0.61011904761904767</v>
      </c>
      <c r="Z8" s="37">
        <f t="shared" si="23"/>
        <v>0.6098696461824954</v>
      </c>
      <c r="AA8" s="37">
        <f t="shared" si="24"/>
        <v>0.60963066853669934</v>
      </c>
      <c r="AB8" s="37">
        <f t="shared" si="25"/>
        <v>0.60893225745918556</v>
      </c>
      <c r="AC8" s="37">
        <f t="shared" si="26"/>
        <v>0.60868745877697161</v>
      </c>
      <c r="AD8" s="37">
        <f t="shared" si="27"/>
        <v>0.60881073927018337</v>
      </c>
      <c r="AE8" s="37">
        <f t="shared" si="28"/>
        <v>0.60879475733687904</v>
      </c>
      <c r="AF8" s="37">
        <f t="shared" si="29"/>
        <v>0.60820503012336236</v>
      </c>
      <c r="AG8" s="37">
        <f t="shared" si="30"/>
        <v>0.60795837749301473</v>
      </c>
      <c r="AH8" s="37">
        <f t="shared" si="31"/>
        <v>0.60741315738404811</v>
      </c>
      <c r="AI8" s="37">
        <f t="shared" si="32"/>
        <v>0.60739436619718312</v>
      </c>
      <c r="AJ8" s="37">
        <f t="shared" si="33"/>
        <v>0.60644906813923671</v>
      </c>
      <c r="AK8" s="37">
        <f t="shared" si="34"/>
        <v>0.60681546432841771</v>
      </c>
      <c r="AL8" s="37">
        <f t="shared" si="35"/>
        <v>0.60624370594159116</v>
      </c>
      <c r="AM8" s="37">
        <f t="shared" si="36"/>
        <v>0.60565960912052119</v>
      </c>
      <c r="AN8" s="37">
        <f t="shared" si="37"/>
        <v>0.58415519670532134</v>
      </c>
    </row>
    <row r="9" spans="1:40" x14ac:dyDescent="0.25">
      <c r="A9" s="41" t="s">
        <v>257</v>
      </c>
      <c r="B9" s="40" t="s">
        <v>258</v>
      </c>
      <c r="C9" s="37">
        <f t="shared" si="0"/>
        <v>1</v>
      </c>
      <c r="D9" s="37">
        <f t="shared" si="1"/>
        <v>1</v>
      </c>
      <c r="E9" s="37">
        <f t="shared" si="2"/>
        <v>1</v>
      </c>
      <c r="F9" s="37">
        <f t="shared" si="3"/>
        <v>1</v>
      </c>
      <c r="G9" s="37">
        <f t="shared" si="4"/>
        <v>1</v>
      </c>
      <c r="H9" s="37">
        <f t="shared" si="5"/>
        <v>1</v>
      </c>
      <c r="I9" s="37">
        <f t="shared" si="6"/>
        <v>1</v>
      </c>
      <c r="J9" s="37">
        <f t="shared" si="7"/>
        <v>1</v>
      </c>
      <c r="K9" s="37">
        <f t="shared" si="8"/>
        <v>1</v>
      </c>
      <c r="L9" s="37">
        <f t="shared" si="9"/>
        <v>1</v>
      </c>
      <c r="M9" s="37">
        <f t="shared" si="10"/>
        <v>1</v>
      </c>
      <c r="N9" s="37">
        <f t="shared" si="11"/>
        <v>1</v>
      </c>
      <c r="O9" s="37">
        <f t="shared" si="12"/>
        <v>1</v>
      </c>
      <c r="P9" s="37">
        <f t="shared" si="13"/>
        <v>1</v>
      </c>
      <c r="Q9" s="37">
        <f t="shared" si="14"/>
        <v>1</v>
      </c>
      <c r="R9" s="37">
        <f t="shared" si="15"/>
        <v>1</v>
      </c>
      <c r="S9" s="37">
        <f t="shared" si="16"/>
        <v>1</v>
      </c>
      <c r="T9" s="37">
        <f t="shared" si="17"/>
        <v>1</v>
      </c>
      <c r="U9" s="37">
        <f t="shared" si="18"/>
        <v>1</v>
      </c>
      <c r="V9" s="37">
        <f t="shared" si="19"/>
        <v>1</v>
      </c>
      <c r="W9" s="37">
        <f t="shared" si="20"/>
        <v>1</v>
      </c>
      <c r="X9" s="37">
        <f t="shared" si="21"/>
        <v>1</v>
      </c>
      <c r="Y9" s="37">
        <f t="shared" si="22"/>
        <v>1</v>
      </c>
      <c r="Z9" s="37">
        <f t="shared" si="23"/>
        <v>1</v>
      </c>
      <c r="AA9" s="37">
        <f t="shared" si="24"/>
        <v>1</v>
      </c>
      <c r="AB9" s="37">
        <f t="shared" si="25"/>
        <v>1</v>
      </c>
      <c r="AC9" s="37">
        <f t="shared" si="26"/>
        <v>1</v>
      </c>
      <c r="AD9" s="37">
        <f t="shared" si="27"/>
        <v>1</v>
      </c>
      <c r="AE9" s="37">
        <f t="shared" si="28"/>
        <v>1</v>
      </c>
      <c r="AF9" s="37">
        <f t="shared" si="29"/>
        <v>1</v>
      </c>
      <c r="AG9" s="37">
        <f t="shared" si="30"/>
        <v>1</v>
      </c>
      <c r="AH9" s="37">
        <f t="shared" si="31"/>
        <v>1</v>
      </c>
      <c r="AI9" s="37">
        <f t="shared" si="32"/>
        <v>1</v>
      </c>
      <c r="AJ9" s="37">
        <f t="shared" si="33"/>
        <v>1</v>
      </c>
      <c r="AK9" s="37">
        <f t="shared" si="34"/>
        <v>1</v>
      </c>
      <c r="AL9" s="37">
        <f t="shared" si="35"/>
        <v>1</v>
      </c>
      <c r="AM9" s="37">
        <f t="shared" si="36"/>
        <v>1</v>
      </c>
      <c r="AN9" s="37">
        <f t="shared" si="37"/>
        <v>1</v>
      </c>
    </row>
    <row r="10" spans="1:40" x14ac:dyDescent="0.25">
      <c r="A10" s="41" t="s">
        <v>262</v>
      </c>
      <c r="B10" s="40" t="s">
        <v>256</v>
      </c>
      <c r="C10" s="37">
        <f t="shared" si="0"/>
        <v>9.5114664792197517E-2</v>
      </c>
      <c r="D10" s="37">
        <f t="shared" si="1"/>
        <v>9.4677859121063135E-2</v>
      </c>
      <c r="E10" s="37">
        <f t="shared" si="2"/>
        <v>9.426815924585473E-2</v>
      </c>
      <c r="F10" s="37">
        <f t="shared" si="3"/>
        <v>9.3939456640940222E-2</v>
      </c>
      <c r="G10" s="37">
        <f t="shared" si="4"/>
        <v>9.3503736066310073E-2</v>
      </c>
      <c r="H10" s="37">
        <f t="shared" si="5"/>
        <v>9.3103100070685646E-2</v>
      </c>
      <c r="I10" s="37">
        <f t="shared" si="6"/>
        <v>9.2710997442455242E-2</v>
      </c>
      <c r="J10" s="37">
        <f t="shared" si="7"/>
        <v>9.2124990136510695E-2</v>
      </c>
      <c r="K10" s="37">
        <f t="shared" si="8"/>
        <v>9.1752074182528065E-2</v>
      </c>
      <c r="L10" s="37">
        <f t="shared" si="9"/>
        <v>9.1228883992423362E-2</v>
      </c>
      <c r="M10" s="37">
        <f t="shared" si="10"/>
        <v>9.0698608905302236E-2</v>
      </c>
      <c r="N10" s="37">
        <f t="shared" si="11"/>
        <v>9.019592981392352E-2</v>
      </c>
      <c r="O10" s="37">
        <f t="shared" si="12"/>
        <v>8.9686098654708515E-2</v>
      </c>
      <c r="P10" s="37">
        <f t="shared" si="13"/>
        <v>8.9068223656073933E-2</v>
      </c>
      <c r="Q10" s="37">
        <f t="shared" si="14"/>
        <v>8.8682745825602968E-2</v>
      </c>
      <c r="R10" s="37">
        <f t="shared" si="15"/>
        <v>8.8298994835341815E-2</v>
      </c>
      <c r="S10" s="37">
        <f t="shared" si="16"/>
        <v>8.7916959107532042E-2</v>
      </c>
      <c r="T10" s="37">
        <f t="shared" si="17"/>
        <v>8.7375604731159059E-2</v>
      </c>
      <c r="U10" s="37">
        <f t="shared" si="18"/>
        <v>8.7175620252698954E-2</v>
      </c>
      <c r="V10" s="37">
        <f t="shared" si="19"/>
        <v>8.6671696446644464E-2</v>
      </c>
      <c r="W10" s="37">
        <f t="shared" si="20"/>
        <v>8.6351333934785404E-2</v>
      </c>
      <c r="X10" s="37">
        <f t="shared" si="21"/>
        <v>8.584639758303704E-2</v>
      </c>
      <c r="Y10" s="37">
        <f t="shared" si="22"/>
        <v>8.5509463170115915E-2</v>
      </c>
      <c r="Z10" s="37">
        <f t="shared" si="23"/>
        <v>8.5019272264537191E-2</v>
      </c>
      <c r="AA10" s="37">
        <f t="shared" si="24"/>
        <v>8.453257371166438E-2</v>
      </c>
      <c r="AB10" s="37">
        <f t="shared" si="25"/>
        <v>8.4058562654246535E-2</v>
      </c>
      <c r="AC10" s="37">
        <f t="shared" si="26"/>
        <v>8.3565978038339844E-2</v>
      </c>
      <c r="AD10" s="37">
        <f t="shared" si="27"/>
        <v>8.323980546202768E-2</v>
      </c>
      <c r="AE10" s="37">
        <f t="shared" si="28"/>
        <v>8.2601186453405417E-2</v>
      </c>
      <c r="AF10" s="37">
        <f t="shared" si="29"/>
        <v>8.2108330022513568E-2</v>
      </c>
      <c r="AG10" s="37">
        <f t="shared" si="30"/>
        <v>8.1644304881530114E-2</v>
      </c>
      <c r="AH10" s="37">
        <f t="shared" si="31"/>
        <v>8.0998793634988409E-2</v>
      </c>
      <c r="AI10" s="37">
        <f t="shared" si="32"/>
        <v>8.0484839126826344E-2</v>
      </c>
      <c r="AJ10" s="37">
        <f t="shared" si="33"/>
        <v>7.9993771774460376E-2</v>
      </c>
      <c r="AK10" s="37">
        <f t="shared" si="34"/>
        <v>7.9329235965205094E-2</v>
      </c>
      <c r="AL10" s="37">
        <f t="shared" si="35"/>
        <v>7.8810497478858141E-2</v>
      </c>
      <c r="AM10" s="37">
        <f t="shared" si="36"/>
        <v>7.7937169418175994E-2</v>
      </c>
      <c r="AN10" s="37">
        <f t="shared" si="37"/>
        <v>7.7251309429917689E-2</v>
      </c>
    </row>
    <row r="11" spans="1:40" x14ac:dyDescent="0.25">
      <c r="A11" s="41" t="s">
        <v>262</v>
      </c>
      <c r="B11" s="40" t="s">
        <v>39</v>
      </c>
      <c r="C11" s="37">
        <f t="shared" si="0"/>
        <v>1</v>
      </c>
      <c r="D11" s="37">
        <f t="shared" si="1"/>
        <v>1</v>
      </c>
      <c r="E11" s="37">
        <f t="shared" si="2"/>
        <v>1</v>
      </c>
      <c r="F11" s="37">
        <f t="shared" si="3"/>
        <v>1</v>
      </c>
      <c r="G11" s="37">
        <f t="shared" si="4"/>
        <v>1</v>
      </c>
      <c r="H11" s="37">
        <f t="shared" si="5"/>
        <v>1</v>
      </c>
      <c r="I11" s="37">
        <f t="shared" si="6"/>
        <v>1</v>
      </c>
      <c r="J11" s="37">
        <f t="shared" si="7"/>
        <v>1</v>
      </c>
      <c r="K11" s="37">
        <f t="shared" si="8"/>
        <v>1</v>
      </c>
      <c r="L11" s="37">
        <f t="shared" si="9"/>
        <v>1</v>
      </c>
      <c r="M11" s="37">
        <f t="shared" si="10"/>
        <v>1</v>
      </c>
      <c r="N11" s="37">
        <f t="shared" si="11"/>
        <v>1</v>
      </c>
      <c r="O11" s="37">
        <f t="shared" si="12"/>
        <v>1</v>
      </c>
      <c r="P11" s="37">
        <f t="shared" si="13"/>
        <v>1</v>
      </c>
      <c r="Q11" s="37">
        <f t="shared" si="14"/>
        <v>1</v>
      </c>
      <c r="R11" s="37">
        <f t="shared" si="15"/>
        <v>1</v>
      </c>
      <c r="S11" s="37">
        <f t="shared" si="16"/>
        <v>1</v>
      </c>
      <c r="T11" s="37">
        <f t="shared" si="17"/>
        <v>1</v>
      </c>
      <c r="U11" s="37">
        <f t="shared" si="18"/>
        <v>1</v>
      </c>
      <c r="V11" s="37">
        <f t="shared" si="19"/>
        <v>1</v>
      </c>
      <c r="W11" s="37">
        <f t="shared" si="20"/>
        <v>1</v>
      </c>
      <c r="X11" s="37">
        <f t="shared" si="21"/>
        <v>1</v>
      </c>
      <c r="Y11" s="37">
        <f t="shared" si="22"/>
        <v>1</v>
      </c>
      <c r="Z11" s="37">
        <f t="shared" si="23"/>
        <v>1</v>
      </c>
      <c r="AA11" s="37">
        <f t="shared" si="24"/>
        <v>1</v>
      </c>
      <c r="AB11" s="37">
        <f t="shared" si="25"/>
        <v>1</v>
      </c>
      <c r="AC11" s="37">
        <f t="shared" si="26"/>
        <v>1</v>
      </c>
      <c r="AD11" s="37">
        <f t="shared" si="27"/>
        <v>1</v>
      </c>
      <c r="AE11" s="37">
        <f t="shared" si="28"/>
        <v>1</v>
      </c>
      <c r="AF11" s="37">
        <f t="shared" si="29"/>
        <v>1</v>
      </c>
      <c r="AG11" s="37">
        <f t="shared" si="30"/>
        <v>1</v>
      </c>
      <c r="AH11" s="37">
        <f t="shared" si="31"/>
        <v>1</v>
      </c>
      <c r="AI11" s="37">
        <f t="shared" si="32"/>
        <v>1</v>
      </c>
      <c r="AJ11" s="37">
        <f t="shared" si="33"/>
        <v>1</v>
      </c>
      <c r="AK11" s="37">
        <f t="shared" si="34"/>
        <v>1</v>
      </c>
      <c r="AL11" s="37">
        <f t="shared" si="35"/>
        <v>1</v>
      </c>
      <c r="AM11" s="37">
        <f t="shared" si="36"/>
        <v>1</v>
      </c>
      <c r="AN11" s="37">
        <f t="shared" si="37"/>
        <v>1</v>
      </c>
    </row>
    <row r="12" spans="1:40" x14ac:dyDescent="0.25">
      <c r="A12" s="41" t="s">
        <v>262</v>
      </c>
      <c r="B12" s="40" t="s">
        <v>22</v>
      </c>
      <c r="C12" s="37">
        <f t="shared" si="0"/>
        <v>1</v>
      </c>
      <c r="D12" s="37">
        <f t="shared" si="1"/>
        <v>1</v>
      </c>
      <c r="E12" s="37">
        <f t="shared" si="2"/>
        <v>1</v>
      </c>
      <c r="F12" s="37">
        <f t="shared" si="3"/>
        <v>1</v>
      </c>
      <c r="G12" s="37">
        <f t="shared" si="4"/>
        <v>1</v>
      </c>
      <c r="H12" s="37">
        <f t="shared" si="5"/>
        <v>1</v>
      </c>
      <c r="I12" s="37">
        <f t="shared" si="6"/>
        <v>1</v>
      </c>
      <c r="J12" s="37">
        <f t="shared" si="7"/>
        <v>1</v>
      </c>
      <c r="K12" s="37">
        <f t="shared" si="8"/>
        <v>1</v>
      </c>
      <c r="L12" s="37">
        <f t="shared" si="9"/>
        <v>1</v>
      </c>
      <c r="M12" s="37">
        <f t="shared" si="10"/>
        <v>1</v>
      </c>
      <c r="N12" s="37">
        <f t="shared" si="11"/>
        <v>1</v>
      </c>
      <c r="O12" s="37">
        <f t="shared" si="12"/>
        <v>1</v>
      </c>
      <c r="P12" s="37">
        <f t="shared" si="13"/>
        <v>1</v>
      </c>
      <c r="Q12" s="37">
        <f t="shared" si="14"/>
        <v>1</v>
      </c>
      <c r="R12" s="37">
        <f t="shared" si="15"/>
        <v>1</v>
      </c>
      <c r="S12" s="37">
        <f t="shared" si="16"/>
        <v>1</v>
      </c>
      <c r="T12" s="37">
        <f t="shared" si="17"/>
        <v>1</v>
      </c>
      <c r="U12" s="37">
        <f t="shared" si="18"/>
        <v>1</v>
      </c>
      <c r="V12" s="37">
        <f t="shared" si="19"/>
        <v>1</v>
      </c>
      <c r="W12" s="37">
        <f t="shared" si="20"/>
        <v>1</v>
      </c>
      <c r="X12" s="37">
        <f t="shared" si="21"/>
        <v>1</v>
      </c>
      <c r="Y12" s="37">
        <f t="shared" si="22"/>
        <v>1</v>
      </c>
      <c r="Z12" s="37">
        <f t="shared" si="23"/>
        <v>1</v>
      </c>
      <c r="AA12" s="37">
        <f t="shared" si="24"/>
        <v>1</v>
      </c>
      <c r="AB12" s="37">
        <f t="shared" si="25"/>
        <v>1</v>
      </c>
      <c r="AC12" s="37">
        <f t="shared" si="26"/>
        <v>1</v>
      </c>
      <c r="AD12" s="37">
        <f t="shared" si="27"/>
        <v>1</v>
      </c>
      <c r="AE12" s="37">
        <f t="shared" si="28"/>
        <v>1</v>
      </c>
      <c r="AF12" s="37">
        <f t="shared" si="29"/>
        <v>1</v>
      </c>
      <c r="AG12" s="37">
        <f t="shared" si="30"/>
        <v>1</v>
      </c>
      <c r="AH12" s="37">
        <f t="shared" si="31"/>
        <v>1</v>
      </c>
      <c r="AI12" s="37">
        <f t="shared" si="32"/>
        <v>1</v>
      </c>
      <c r="AJ12" s="37">
        <f t="shared" si="33"/>
        <v>1</v>
      </c>
      <c r="AK12" s="37">
        <f t="shared" si="34"/>
        <v>1</v>
      </c>
      <c r="AL12" s="37">
        <f t="shared" si="35"/>
        <v>1</v>
      </c>
      <c r="AM12" s="37">
        <f t="shared" si="36"/>
        <v>1</v>
      </c>
      <c r="AN12" s="37">
        <f t="shared" si="37"/>
        <v>1</v>
      </c>
    </row>
    <row r="13" spans="1:40" x14ac:dyDescent="0.25">
      <c r="A13" s="41" t="s">
        <v>262</v>
      </c>
      <c r="B13" s="40" t="s">
        <v>38</v>
      </c>
      <c r="C13" s="37">
        <f t="shared" si="0"/>
        <v>0.54469583774033303</v>
      </c>
      <c r="D13" s="37">
        <f t="shared" si="1"/>
        <v>0.5434330905998862</v>
      </c>
      <c r="E13" s="37">
        <f t="shared" si="2"/>
        <v>0.54214629196944686</v>
      </c>
      <c r="F13" s="37">
        <f t="shared" si="3"/>
        <v>0.5412105045713429</v>
      </c>
      <c r="G13" s="37">
        <f t="shared" si="4"/>
        <v>0.54041441024133019</v>
      </c>
      <c r="H13" s="37">
        <f t="shared" si="5"/>
        <v>0.53870681245723107</v>
      </c>
      <c r="I13" s="37">
        <f t="shared" si="6"/>
        <v>0.5375920785172279</v>
      </c>
      <c r="J13" s="37">
        <f t="shared" si="7"/>
        <v>0.53619976792603796</v>
      </c>
      <c r="K13" s="37">
        <f t="shared" si="8"/>
        <v>0.53439737789019914</v>
      </c>
      <c r="L13" s="37">
        <f t="shared" si="9"/>
        <v>0.53355266452096406</v>
      </c>
      <c r="M13" s="37">
        <f t="shared" si="10"/>
        <v>0.53143468675825656</v>
      </c>
      <c r="N13" s="37">
        <f t="shared" si="11"/>
        <v>0.53063298314777285</v>
      </c>
      <c r="O13" s="37">
        <f t="shared" si="12"/>
        <v>0.52858378611092283</v>
      </c>
      <c r="P13" s="37">
        <f t="shared" si="13"/>
        <v>0.52754498808462302</v>
      </c>
      <c r="Q13" s="37">
        <f t="shared" si="14"/>
        <v>0.52623790543069604</v>
      </c>
      <c r="R13" s="37">
        <f t="shared" si="15"/>
        <v>0.52493728380872395</v>
      </c>
      <c r="S13" s="37">
        <f t="shared" si="16"/>
        <v>0.52364348776485337</v>
      </c>
      <c r="T13" s="37">
        <f t="shared" si="17"/>
        <v>0.52276627473608162</v>
      </c>
      <c r="U13" s="37">
        <f t="shared" si="18"/>
        <v>0.52155744593947106</v>
      </c>
      <c r="V13" s="37">
        <f t="shared" si="19"/>
        <v>0.52035434401553204</v>
      </c>
      <c r="W13" s="37">
        <f t="shared" si="20"/>
        <v>0.51880776558391462</v>
      </c>
      <c r="X13" s="37">
        <f t="shared" si="21"/>
        <v>0.518044834138918</v>
      </c>
      <c r="Y13" s="37">
        <f t="shared" si="22"/>
        <v>0.51644897894720221</v>
      </c>
      <c r="Z13" s="37">
        <f t="shared" si="23"/>
        <v>0.51530071081419093</v>
      </c>
      <c r="AA13" s="37">
        <f t="shared" si="24"/>
        <v>0.51421441230935516</v>
      </c>
      <c r="AB13" s="37">
        <f t="shared" si="25"/>
        <v>0.51228036577775649</v>
      </c>
      <c r="AC13" s="37">
        <f t="shared" si="26"/>
        <v>0.51113194093942527</v>
      </c>
      <c r="AD13" s="37">
        <f t="shared" si="27"/>
        <v>0.50962080347798089</v>
      </c>
      <c r="AE13" s="37">
        <f t="shared" si="28"/>
        <v>0.50846949871222813</v>
      </c>
      <c r="AF13" s="37">
        <f t="shared" si="29"/>
        <v>0.50654677033609907</v>
      </c>
      <c r="AG13" s="37">
        <f t="shared" si="30"/>
        <v>0.50500979587405348</v>
      </c>
      <c r="AH13" s="37">
        <f t="shared" si="31"/>
        <v>0.50344741213930311</v>
      </c>
      <c r="AI13" s="37">
        <f t="shared" si="32"/>
        <v>0.501858549494963</v>
      </c>
      <c r="AJ13" s="37">
        <f t="shared" si="33"/>
        <v>0.49986701173252046</v>
      </c>
      <c r="AK13" s="37">
        <f t="shared" si="34"/>
        <v>0.49822379803508726</v>
      </c>
      <c r="AL13" s="37">
        <f t="shared" si="35"/>
        <v>0.49658307662147327</v>
      </c>
      <c r="AM13" s="37">
        <f t="shared" si="36"/>
        <v>0.49442591560516508</v>
      </c>
      <c r="AN13" s="37">
        <f t="shared" si="37"/>
        <v>0.49224885127179041</v>
      </c>
    </row>
    <row r="14" spans="1:40" x14ac:dyDescent="0.25">
      <c r="A14" s="41" t="s">
        <v>262</v>
      </c>
      <c r="B14" s="40" t="s">
        <v>258</v>
      </c>
      <c r="C14" s="37">
        <f t="shared" si="0"/>
        <v>1</v>
      </c>
      <c r="D14" s="37">
        <f t="shared" si="1"/>
        <v>1</v>
      </c>
      <c r="E14" s="37">
        <f t="shared" si="2"/>
        <v>1</v>
      </c>
      <c r="F14" s="37">
        <f t="shared" si="3"/>
        <v>1</v>
      </c>
      <c r="G14" s="37">
        <f t="shared" si="4"/>
        <v>1</v>
      </c>
      <c r="H14" s="37">
        <f t="shared" si="5"/>
        <v>1</v>
      </c>
      <c r="I14" s="37">
        <f t="shared" si="6"/>
        <v>1</v>
      </c>
      <c r="J14" s="37">
        <f t="shared" si="7"/>
        <v>1</v>
      </c>
      <c r="K14" s="37">
        <f t="shared" si="8"/>
        <v>1</v>
      </c>
      <c r="L14" s="37">
        <f t="shared" si="9"/>
        <v>1</v>
      </c>
      <c r="M14" s="37">
        <f t="shared" si="10"/>
        <v>1</v>
      </c>
      <c r="N14" s="37">
        <f t="shared" si="11"/>
        <v>1</v>
      </c>
      <c r="O14" s="37">
        <f t="shared" si="12"/>
        <v>1</v>
      </c>
      <c r="P14" s="37">
        <f t="shared" si="13"/>
        <v>1</v>
      </c>
      <c r="Q14" s="37">
        <f t="shared" si="14"/>
        <v>1</v>
      </c>
      <c r="R14" s="37">
        <f t="shared" si="15"/>
        <v>1</v>
      </c>
      <c r="S14" s="37">
        <f t="shared" si="16"/>
        <v>1</v>
      </c>
      <c r="T14" s="37">
        <f t="shared" si="17"/>
        <v>1</v>
      </c>
      <c r="U14" s="37">
        <f t="shared" si="18"/>
        <v>1</v>
      </c>
      <c r="V14" s="37">
        <f t="shared" si="19"/>
        <v>1</v>
      </c>
      <c r="W14" s="37">
        <f t="shared" si="20"/>
        <v>1</v>
      </c>
      <c r="X14" s="37">
        <f t="shared" si="21"/>
        <v>1</v>
      </c>
      <c r="Y14" s="37">
        <f t="shared" si="22"/>
        <v>1</v>
      </c>
      <c r="Z14" s="37">
        <f t="shared" si="23"/>
        <v>1</v>
      </c>
      <c r="AA14" s="37">
        <f t="shared" si="24"/>
        <v>1</v>
      </c>
      <c r="AB14" s="37">
        <f t="shared" si="25"/>
        <v>1</v>
      </c>
      <c r="AC14" s="37">
        <f t="shared" si="26"/>
        <v>1</v>
      </c>
      <c r="AD14" s="37">
        <f t="shared" si="27"/>
        <v>1</v>
      </c>
      <c r="AE14" s="37">
        <f t="shared" si="28"/>
        <v>1</v>
      </c>
      <c r="AF14" s="37">
        <f t="shared" si="29"/>
        <v>1</v>
      </c>
      <c r="AG14" s="37">
        <f t="shared" si="30"/>
        <v>1</v>
      </c>
      <c r="AH14" s="37">
        <f t="shared" si="31"/>
        <v>1</v>
      </c>
      <c r="AI14" s="37">
        <f t="shared" si="32"/>
        <v>1</v>
      </c>
      <c r="AJ14" s="37">
        <f t="shared" si="33"/>
        <v>1</v>
      </c>
      <c r="AK14" s="37">
        <f t="shared" si="34"/>
        <v>1</v>
      </c>
      <c r="AL14" s="37">
        <f t="shared" si="35"/>
        <v>1</v>
      </c>
      <c r="AM14" s="37">
        <f t="shared" si="36"/>
        <v>1</v>
      </c>
      <c r="AN14" s="37">
        <f t="shared" si="37"/>
        <v>1</v>
      </c>
    </row>
    <row r="15" spans="1:40" x14ac:dyDescent="0.25">
      <c r="A15" s="41" t="s">
        <v>263</v>
      </c>
      <c r="B15" s="40" t="s">
        <v>256</v>
      </c>
      <c r="C15" s="37">
        <f t="shared" si="0"/>
        <v>0.32467532467532467</v>
      </c>
      <c r="D15" s="37">
        <f t="shared" si="1"/>
        <v>0.31910460201226409</v>
      </c>
      <c r="E15" s="37">
        <f t="shared" si="2"/>
        <v>0.31232396570069476</v>
      </c>
      <c r="F15" s="37">
        <f t="shared" si="3"/>
        <v>0.30480965890347694</v>
      </c>
      <c r="G15" s="37">
        <f t="shared" si="4"/>
        <v>0.296234772978959</v>
      </c>
      <c r="H15" s="37">
        <f t="shared" si="5"/>
        <v>0.28594354073966005</v>
      </c>
      <c r="I15" s="37">
        <f t="shared" si="6"/>
        <v>0.27447956823438707</v>
      </c>
      <c r="J15" s="37">
        <f t="shared" si="7"/>
        <v>0.26018654884634268</v>
      </c>
      <c r="K15" s="37">
        <f t="shared" si="8"/>
        <v>0.24441340782122906</v>
      </c>
      <c r="L15" s="37">
        <f t="shared" si="9"/>
        <v>0.22423214622197099</v>
      </c>
      <c r="M15" s="37">
        <f t="shared" si="10"/>
        <v>0.19995898277276455</v>
      </c>
      <c r="N15" s="37">
        <f t="shared" si="11"/>
        <v>0.17078651685393259</v>
      </c>
      <c r="O15" s="37">
        <f t="shared" si="12"/>
        <v>0.13331672065786196</v>
      </c>
      <c r="P15" s="37">
        <f t="shared" si="13"/>
        <v>9.0110196680150648E-2</v>
      </c>
      <c r="Q15" s="37">
        <f t="shared" si="14"/>
        <v>5.3101361573373675E-2</v>
      </c>
      <c r="R15" s="37">
        <f t="shared" si="15"/>
        <v>9.0924119689204819E-3</v>
      </c>
      <c r="S15" s="37">
        <f t="shared" si="16"/>
        <v>0</v>
      </c>
      <c r="T15" s="37">
        <f t="shared" si="17"/>
        <v>0</v>
      </c>
      <c r="U15" s="37">
        <f t="shared" si="18"/>
        <v>0</v>
      </c>
      <c r="V15" s="37">
        <f t="shared" si="19"/>
        <v>0</v>
      </c>
      <c r="W15" s="37">
        <f t="shared" si="20"/>
        <v>0</v>
      </c>
      <c r="X15" s="37">
        <f t="shared" si="21"/>
        <v>0</v>
      </c>
      <c r="Y15" s="37">
        <f t="shared" si="22"/>
        <v>0</v>
      </c>
      <c r="Z15" s="37">
        <f t="shared" si="23"/>
        <v>0</v>
      </c>
      <c r="AA15" s="37">
        <f t="shared" si="24"/>
        <v>0</v>
      </c>
      <c r="AB15" s="37">
        <f t="shared" si="25"/>
        <v>0</v>
      </c>
      <c r="AC15" s="37">
        <f t="shared" si="26"/>
        <v>0</v>
      </c>
      <c r="AD15" s="37">
        <f t="shared" si="27"/>
        <v>0</v>
      </c>
      <c r="AE15" s="37">
        <f t="shared" si="28"/>
        <v>0</v>
      </c>
      <c r="AF15" s="37">
        <f t="shared" si="29"/>
        <v>0</v>
      </c>
      <c r="AG15" s="37">
        <f t="shared" si="30"/>
        <v>0</v>
      </c>
      <c r="AH15" s="37">
        <f t="shared" si="31"/>
        <v>0</v>
      </c>
      <c r="AI15" s="37">
        <f t="shared" si="32"/>
        <v>0</v>
      </c>
      <c r="AJ15" s="37">
        <f t="shared" si="33"/>
        <v>0</v>
      </c>
      <c r="AK15" s="37">
        <f t="shared" si="34"/>
        <v>0</v>
      </c>
      <c r="AL15" s="37">
        <f t="shared" si="35"/>
        <v>0</v>
      </c>
      <c r="AM15" s="37">
        <f t="shared" si="36"/>
        <v>0</v>
      </c>
      <c r="AN15" s="37">
        <f t="shared" si="37"/>
        <v>0</v>
      </c>
    </row>
    <row r="16" spans="1:40" x14ac:dyDescent="0.25">
      <c r="A16" s="41" t="s">
        <v>263</v>
      </c>
      <c r="B16" s="40" t="s">
        <v>39</v>
      </c>
      <c r="C16" s="37">
        <f t="shared" ref="C16:Q19" si="38">SUMIFS(E$90:E$269,$B$90:$B$269,$A16,$C$90:$C$269,$B16,$A$90:$A$269,$E$3)/SUMIFS(E$90:E$269,$B$90:$B$269,$A16,$C$90:$C$269,$B16)</f>
        <v>1</v>
      </c>
      <c r="D16" s="37">
        <f t="shared" si="38"/>
        <v>1</v>
      </c>
      <c r="E16" s="37">
        <f t="shared" si="38"/>
        <v>1</v>
      </c>
      <c r="F16" s="37">
        <f t="shared" si="38"/>
        <v>1</v>
      </c>
      <c r="G16" s="37">
        <f t="shared" si="38"/>
        <v>1</v>
      </c>
      <c r="H16" s="37">
        <f t="shared" si="38"/>
        <v>1</v>
      </c>
      <c r="I16" s="37">
        <f t="shared" si="38"/>
        <v>1</v>
      </c>
      <c r="J16" s="37">
        <f t="shared" si="38"/>
        <v>1</v>
      </c>
      <c r="K16" s="37">
        <f t="shared" si="38"/>
        <v>1</v>
      </c>
      <c r="L16" s="37">
        <f t="shared" si="38"/>
        <v>1</v>
      </c>
      <c r="M16" s="37">
        <f t="shared" si="38"/>
        <v>1</v>
      </c>
      <c r="N16" s="37">
        <f t="shared" si="38"/>
        <v>1</v>
      </c>
      <c r="O16" s="37">
        <f t="shared" si="38"/>
        <v>1</v>
      </c>
      <c r="P16" s="37">
        <f t="shared" si="38"/>
        <v>1</v>
      </c>
      <c r="Q16" s="37">
        <f t="shared" si="38"/>
        <v>1</v>
      </c>
      <c r="R16" s="43">
        <f t="shared" ref="R16:AN16" si="39">IF(SUMIFS(T$90:T$269,$B$90:$B$269,$A16,$C$90:$C$269,$B16)=0,"No Use",SUMIFS(T$90:T$269,$B$90:$B$269,$A16,$C$90:$C$269,$B16,$A$90:$A$269,$E$3)/SUMIFS(T$90:T$269,$B$90:$B$269,$A16,$C$90:$C$269,$B16))</f>
        <v>1</v>
      </c>
      <c r="S16" s="43" t="str">
        <f t="shared" si="39"/>
        <v>No Use</v>
      </c>
      <c r="T16" s="43" t="str">
        <f t="shared" si="39"/>
        <v>No Use</v>
      </c>
      <c r="U16" s="43" t="str">
        <f t="shared" si="39"/>
        <v>No Use</v>
      </c>
      <c r="V16" s="43" t="str">
        <f t="shared" si="39"/>
        <v>No Use</v>
      </c>
      <c r="W16" s="43" t="str">
        <f t="shared" si="39"/>
        <v>No Use</v>
      </c>
      <c r="X16" s="43" t="str">
        <f t="shared" si="39"/>
        <v>No Use</v>
      </c>
      <c r="Y16" s="43" t="str">
        <f t="shared" si="39"/>
        <v>No Use</v>
      </c>
      <c r="Z16" s="43" t="str">
        <f t="shared" si="39"/>
        <v>No Use</v>
      </c>
      <c r="AA16" s="43" t="str">
        <f t="shared" si="39"/>
        <v>No Use</v>
      </c>
      <c r="AB16" s="43" t="str">
        <f t="shared" si="39"/>
        <v>No Use</v>
      </c>
      <c r="AC16" s="43" t="str">
        <f t="shared" si="39"/>
        <v>No Use</v>
      </c>
      <c r="AD16" s="43" t="str">
        <f t="shared" si="39"/>
        <v>No Use</v>
      </c>
      <c r="AE16" s="43" t="str">
        <f t="shared" si="39"/>
        <v>No Use</v>
      </c>
      <c r="AF16" s="43" t="str">
        <f t="shared" si="39"/>
        <v>No Use</v>
      </c>
      <c r="AG16" s="43" t="str">
        <f t="shared" si="39"/>
        <v>No Use</v>
      </c>
      <c r="AH16" s="43" t="str">
        <f t="shared" si="39"/>
        <v>No Use</v>
      </c>
      <c r="AI16" s="43" t="str">
        <f t="shared" si="39"/>
        <v>No Use</v>
      </c>
      <c r="AJ16" s="43" t="str">
        <f t="shared" si="39"/>
        <v>No Use</v>
      </c>
      <c r="AK16" s="43" t="str">
        <f t="shared" si="39"/>
        <v>No Use</v>
      </c>
      <c r="AL16" s="43" t="str">
        <f t="shared" si="39"/>
        <v>No Use</v>
      </c>
      <c r="AM16" s="43" t="str">
        <f t="shared" si="39"/>
        <v>No Use</v>
      </c>
      <c r="AN16" s="43" t="str">
        <f t="shared" si="39"/>
        <v>No Use</v>
      </c>
    </row>
    <row r="17" spans="1:40" x14ac:dyDescent="0.25">
      <c r="A17" s="41" t="s">
        <v>263</v>
      </c>
      <c r="B17" s="40" t="s">
        <v>22</v>
      </c>
      <c r="C17" s="37">
        <f t="shared" si="38"/>
        <v>1</v>
      </c>
      <c r="D17" s="37">
        <f t="shared" si="38"/>
        <v>1</v>
      </c>
      <c r="E17" s="37">
        <f t="shared" si="38"/>
        <v>1</v>
      </c>
      <c r="F17" s="37">
        <f t="shared" si="38"/>
        <v>1</v>
      </c>
      <c r="G17" s="37">
        <f t="shared" si="38"/>
        <v>1</v>
      </c>
      <c r="H17" s="37">
        <f t="shared" si="38"/>
        <v>1</v>
      </c>
      <c r="I17" s="37">
        <f t="shared" si="38"/>
        <v>1</v>
      </c>
      <c r="J17" s="37">
        <f t="shared" si="38"/>
        <v>1</v>
      </c>
      <c r="K17" s="37">
        <f t="shared" si="38"/>
        <v>1</v>
      </c>
      <c r="L17" s="37">
        <f t="shared" si="38"/>
        <v>1</v>
      </c>
      <c r="M17" s="37">
        <f t="shared" si="38"/>
        <v>1</v>
      </c>
      <c r="N17" s="37">
        <f t="shared" si="38"/>
        <v>1</v>
      </c>
      <c r="O17" s="37">
        <f t="shared" si="38"/>
        <v>1</v>
      </c>
      <c r="P17" s="37">
        <f t="shared" si="38"/>
        <v>1</v>
      </c>
      <c r="Q17" s="37">
        <f t="shared" si="38"/>
        <v>1</v>
      </c>
      <c r="R17" s="37">
        <f t="shared" ref="R17:AA18" si="40">IF(SUMIFS(T$90:T$269,$B$90:$B$269,$A17,$C$90:$C$269,$B17)=0,1,SUMIFS(T$90:T$269,$B$90:$B$269,$A17,$C$90:$C$269,$B17,$A$90:$A$269,$E$3)/SUMIFS(T$90:T$269,$B$90:$B$269,$A17,$C$90:$C$269,$B17))</f>
        <v>1</v>
      </c>
      <c r="S17" s="37">
        <f t="shared" si="40"/>
        <v>1</v>
      </c>
      <c r="T17" s="37">
        <f t="shared" si="40"/>
        <v>1</v>
      </c>
      <c r="U17" s="37">
        <f t="shared" si="40"/>
        <v>1</v>
      </c>
      <c r="V17" s="37">
        <f t="shared" si="40"/>
        <v>1</v>
      </c>
      <c r="W17" s="37">
        <f t="shared" si="40"/>
        <v>1</v>
      </c>
      <c r="X17" s="37">
        <f t="shared" si="40"/>
        <v>1</v>
      </c>
      <c r="Y17" s="37">
        <f t="shared" si="40"/>
        <v>1</v>
      </c>
      <c r="Z17" s="37">
        <f t="shared" si="40"/>
        <v>1</v>
      </c>
      <c r="AA17" s="37">
        <f t="shared" si="40"/>
        <v>1</v>
      </c>
      <c r="AB17" s="37">
        <f t="shared" ref="AB17:AK18" si="41">IF(SUMIFS(AD$90:AD$269,$B$90:$B$269,$A17,$C$90:$C$269,$B17)=0,1,SUMIFS(AD$90:AD$269,$B$90:$B$269,$A17,$C$90:$C$269,$B17,$A$90:$A$269,$E$3)/SUMIFS(AD$90:AD$269,$B$90:$B$269,$A17,$C$90:$C$269,$B17))</f>
        <v>1</v>
      </c>
      <c r="AC17" s="37">
        <f t="shared" si="41"/>
        <v>1</v>
      </c>
      <c r="AD17" s="37">
        <f t="shared" si="41"/>
        <v>1</v>
      </c>
      <c r="AE17" s="37">
        <f t="shared" si="41"/>
        <v>1</v>
      </c>
      <c r="AF17" s="37">
        <f t="shared" si="41"/>
        <v>1</v>
      </c>
      <c r="AG17" s="37">
        <f t="shared" si="41"/>
        <v>1</v>
      </c>
      <c r="AH17" s="37">
        <f t="shared" si="41"/>
        <v>1</v>
      </c>
      <c r="AI17" s="37">
        <f t="shared" si="41"/>
        <v>1</v>
      </c>
      <c r="AJ17" s="37">
        <f t="shared" si="41"/>
        <v>1</v>
      </c>
      <c r="AK17" s="37">
        <f t="shared" si="41"/>
        <v>1</v>
      </c>
      <c r="AL17" s="37">
        <f t="shared" ref="AL17:AU18" si="42">IF(SUMIFS(AN$90:AN$269,$B$90:$B$269,$A17,$C$90:$C$269,$B17)=0,1,SUMIFS(AN$90:AN$269,$B$90:$B$269,$A17,$C$90:$C$269,$B17,$A$90:$A$269,$E$3)/SUMIFS(AN$90:AN$269,$B$90:$B$269,$A17,$C$90:$C$269,$B17))</f>
        <v>1</v>
      </c>
      <c r="AM17" s="37">
        <f t="shared" si="42"/>
        <v>1</v>
      </c>
      <c r="AN17" s="37">
        <f t="shared" si="42"/>
        <v>1</v>
      </c>
    </row>
    <row r="18" spans="1:40" x14ac:dyDescent="0.25">
      <c r="A18" s="41" t="s">
        <v>263</v>
      </c>
      <c r="B18" s="40" t="s">
        <v>38</v>
      </c>
      <c r="C18" s="37">
        <f t="shared" si="38"/>
        <v>0.49229254484477403</v>
      </c>
      <c r="D18" s="37">
        <f t="shared" si="38"/>
        <v>0.48601251482225666</v>
      </c>
      <c r="E18" s="37">
        <f t="shared" si="38"/>
        <v>0.47885663768970088</v>
      </c>
      <c r="F18" s="37">
        <f t="shared" si="38"/>
        <v>0.46960237394701426</v>
      </c>
      <c r="G18" s="37">
        <f t="shared" si="38"/>
        <v>0.45908489078436981</v>
      </c>
      <c r="H18" s="37">
        <f t="shared" si="38"/>
        <v>0.44737235775111422</v>
      </c>
      <c r="I18" s="37">
        <f t="shared" si="38"/>
        <v>0.43309118455720574</v>
      </c>
      <c r="J18" s="37">
        <f t="shared" si="38"/>
        <v>0.4153374252958269</v>
      </c>
      <c r="K18" s="37">
        <f t="shared" si="38"/>
        <v>0.39458062713876668</v>
      </c>
      <c r="L18" s="37">
        <f t="shared" si="38"/>
        <v>0.36802548576488919</v>
      </c>
      <c r="M18" s="37">
        <f t="shared" si="38"/>
        <v>0.33578013626722997</v>
      </c>
      <c r="N18" s="37">
        <f t="shared" si="38"/>
        <v>0.29469618739802433</v>
      </c>
      <c r="O18" s="37">
        <f t="shared" si="38"/>
        <v>0.23716758837577218</v>
      </c>
      <c r="P18" s="37">
        <f t="shared" si="38"/>
        <v>0.16663793598804805</v>
      </c>
      <c r="Q18" s="37">
        <f t="shared" si="38"/>
        <v>0.10155490244628894</v>
      </c>
      <c r="R18" s="37">
        <f t="shared" si="40"/>
        <v>1.8172813634521796E-2</v>
      </c>
      <c r="S18" s="37">
        <f t="shared" si="40"/>
        <v>0</v>
      </c>
      <c r="T18" s="37">
        <f t="shared" si="40"/>
        <v>0</v>
      </c>
      <c r="U18" s="37">
        <f t="shared" si="40"/>
        <v>0</v>
      </c>
      <c r="V18" s="37">
        <f t="shared" si="40"/>
        <v>0</v>
      </c>
      <c r="W18" s="37">
        <f t="shared" si="40"/>
        <v>0</v>
      </c>
      <c r="X18" s="37">
        <f t="shared" si="40"/>
        <v>0</v>
      </c>
      <c r="Y18" s="37">
        <f t="shared" si="40"/>
        <v>0</v>
      </c>
      <c r="Z18" s="37">
        <f t="shared" si="40"/>
        <v>0</v>
      </c>
      <c r="AA18" s="37">
        <f t="shared" si="40"/>
        <v>0</v>
      </c>
      <c r="AB18" s="37">
        <f t="shared" si="41"/>
        <v>0</v>
      </c>
      <c r="AC18" s="37">
        <f t="shared" si="41"/>
        <v>0</v>
      </c>
      <c r="AD18" s="37">
        <f t="shared" si="41"/>
        <v>0</v>
      </c>
      <c r="AE18" s="37">
        <f t="shared" si="41"/>
        <v>0</v>
      </c>
      <c r="AF18" s="37">
        <f t="shared" si="41"/>
        <v>0</v>
      </c>
      <c r="AG18" s="37">
        <f t="shared" si="41"/>
        <v>0</v>
      </c>
      <c r="AH18" s="37">
        <f t="shared" si="41"/>
        <v>0</v>
      </c>
      <c r="AI18" s="37">
        <f t="shared" si="41"/>
        <v>0</v>
      </c>
      <c r="AJ18" s="37">
        <f t="shared" si="41"/>
        <v>0</v>
      </c>
      <c r="AK18" s="37">
        <f t="shared" si="41"/>
        <v>0</v>
      </c>
      <c r="AL18" s="37">
        <f t="shared" si="42"/>
        <v>0</v>
      </c>
      <c r="AM18" s="37">
        <f t="shared" si="42"/>
        <v>0</v>
      </c>
      <c r="AN18" s="37">
        <f t="shared" si="42"/>
        <v>0</v>
      </c>
    </row>
    <row r="19" spans="1:40" x14ac:dyDescent="0.25">
      <c r="A19" s="41" t="s">
        <v>263</v>
      </c>
      <c r="B19" s="40" t="s">
        <v>258</v>
      </c>
      <c r="C19" s="37">
        <f t="shared" si="38"/>
        <v>1</v>
      </c>
      <c r="D19" s="37">
        <f t="shared" si="38"/>
        <v>1</v>
      </c>
      <c r="E19" s="37">
        <f t="shared" si="38"/>
        <v>1</v>
      </c>
      <c r="F19" s="37">
        <f t="shared" si="38"/>
        <v>1</v>
      </c>
      <c r="G19" s="37">
        <f t="shared" si="38"/>
        <v>1</v>
      </c>
      <c r="H19" s="37">
        <f t="shared" si="38"/>
        <v>1</v>
      </c>
      <c r="I19" s="37">
        <f t="shared" si="38"/>
        <v>1</v>
      </c>
      <c r="J19" s="37">
        <f t="shared" si="38"/>
        <v>1</v>
      </c>
      <c r="K19" s="37">
        <f t="shared" si="38"/>
        <v>1</v>
      </c>
      <c r="L19" s="37">
        <f t="shared" si="38"/>
        <v>1</v>
      </c>
      <c r="M19" s="37">
        <f t="shared" si="38"/>
        <v>1</v>
      </c>
      <c r="N19" s="37">
        <f t="shared" si="38"/>
        <v>1</v>
      </c>
      <c r="O19" s="37">
        <f t="shared" si="38"/>
        <v>1</v>
      </c>
      <c r="P19" s="37">
        <f t="shared" si="38"/>
        <v>1</v>
      </c>
      <c r="Q19" s="37">
        <f t="shared" si="38"/>
        <v>1</v>
      </c>
      <c r="R19" s="37">
        <f>SUMIFS(T$90:T$269,$B$90:$B$269,$A19,$C$90:$C$269,$B19,$A$90:$A$269,$E$3)/SUMIFS(T$90:T$269,$B$90:$B$269,$A19,$C$90:$C$269,$B19)</f>
        <v>1</v>
      </c>
      <c r="S19" s="43" t="str">
        <f t="shared" ref="S19:AN19" si="43">IF(SUMIFS(U$90:U$269,$B$90:$B$269,$A19,$C$90:$C$269,$B19)=0,"No Use",SUMIFS(U$90:U$269,$B$90:$B$269,$A19,$C$90:$C$269,$B19,$A$90:$A$269,$E$3)/SUMIFS(U$90:U$269,$B$90:$B$269,$A19,$C$90:$C$269,$B19))</f>
        <v>No Use</v>
      </c>
      <c r="T19" s="43" t="str">
        <f t="shared" si="43"/>
        <v>No Use</v>
      </c>
      <c r="U19" s="43" t="str">
        <f t="shared" si="43"/>
        <v>No Use</v>
      </c>
      <c r="V19" s="43" t="str">
        <f t="shared" si="43"/>
        <v>No Use</v>
      </c>
      <c r="W19" s="43" t="str">
        <f t="shared" si="43"/>
        <v>No Use</v>
      </c>
      <c r="X19" s="43" t="str">
        <f t="shared" si="43"/>
        <v>No Use</v>
      </c>
      <c r="Y19" s="43" t="str">
        <f t="shared" si="43"/>
        <v>No Use</v>
      </c>
      <c r="Z19" s="43" t="str">
        <f t="shared" si="43"/>
        <v>No Use</v>
      </c>
      <c r="AA19" s="43" t="str">
        <f t="shared" si="43"/>
        <v>No Use</v>
      </c>
      <c r="AB19" s="43" t="str">
        <f t="shared" si="43"/>
        <v>No Use</v>
      </c>
      <c r="AC19" s="43" t="str">
        <f t="shared" si="43"/>
        <v>No Use</v>
      </c>
      <c r="AD19" s="43" t="str">
        <f t="shared" si="43"/>
        <v>No Use</v>
      </c>
      <c r="AE19" s="43" t="str">
        <f t="shared" si="43"/>
        <v>No Use</v>
      </c>
      <c r="AF19" s="43" t="str">
        <f t="shared" si="43"/>
        <v>No Use</v>
      </c>
      <c r="AG19" s="43" t="str">
        <f t="shared" si="43"/>
        <v>No Use</v>
      </c>
      <c r="AH19" s="43" t="str">
        <f t="shared" si="43"/>
        <v>No Use</v>
      </c>
      <c r="AI19" s="43" t="str">
        <f t="shared" si="43"/>
        <v>No Use</v>
      </c>
      <c r="AJ19" s="43" t="str">
        <f t="shared" si="43"/>
        <v>No Use</v>
      </c>
      <c r="AK19" s="43" t="str">
        <f t="shared" si="43"/>
        <v>No Use</v>
      </c>
      <c r="AL19" s="43" t="str">
        <f t="shared" si="43"/>
        <v>No Use</v>
      </c>
      <c r="AM19" s="43" t="str">
        <f t="shared" si="43"/>
        <v>No Use</v>
      </c>
      <c r="AN19" s="43" t="str">
        <f t="shared" si="43"/>
        <v>No Use</v>
      </c>
    </row>
    <row r="20" spans="1:40" x14ac:dyDescent="0.25">
      <c r="A20" s="111" t="s">
        <v>74</v>
      </c>
      <c r="B20" s="111"/>
      <c r="C20" s="111"/>
      <c r="D20" s="111"/>
    </row>
    <row r="22" spans="1:40" x14ac:dyDescent="0.25">
      <c r="A22" s="112" t="s">
        <v>298</v>
      </c>
      <c r="B22" s="112"/>
      <c r="C22" s="112"/>
      <c r="D22" s="112"/>
      <c r="E22" s="112"/>
      <c r="H22" s="1" t="s">
        <v>25</v>
      </c>
      <c r="I22" s="1" t="s">
        <v>299</v>
      </c>
      <c r="M22" s="1" t="s">
        <v>25</v>
      </c>
      <c r="N22" s="1" t="s">
        <v>299</v>
      </c>
    </row>
    <row r="23" spans="1:40" ht="43.5" x14ac:dyDescent="0.25">
      <c r="A23" s="64" t="s">
        <v>296</v>
      </c>
      <c r="B23" s="22" t="s">
        <v>264</v>
      </c>
      <c r="C23" s="22" t="s">
        <v>265</v>
      </c>
      <c r="D23" s="30" t="s">
        <v>266</v>
      </c>
      <c r="E23" s="38" t="s">
        <v>72</v>
      </c>
      <c r="H23" s="102" t="s">
        <v>302</v>
      </c>
      <c r="I23" s="103"/>
      <c r="J23" s="103"/>
      <c r="K23" s="104"/>
      <c r="M23" s="102" t="s">
        <v>307</v>
      </c>
      <c r="N23" s="103"/>
      <c r="O23" s="103"/>
      <c r="P23" s="104"/>
    </row>
    <row r="24" spans="1:40" ht="14.45" customHeight="1" x14ac:dyDescent="0.25">
      <c r="A24" s="31">
        <v>2022</v>
      </c>
      <c r="B24" s="20">
        <v>0.67400000000000004</v>
      </c>
      <c r="C24" s="20">
        <v>0.54800000000000004</v>
      </c>
      <c r="D24" s="45">
        <v>0.50900000000000001</v>
      </c>
      <c r="E24" s="105" t="s">
        <v>267</v>
      </c>
      <c r="H24" s="10" t="s">
        <v>300</v>
      </c>
      <c r="I24" s="11" t="s">
        <v>16</v>
      </c>
      <c r="J24" s="11" t="s">
        <v>17</v>
      </c>
      <c r="K24" s="11" t="s">
        <v>18</v>
      </c>
      <c r="M24" s="10" t="s">
        <v>256</v>
      </c>
      <c r="N24" s="11" t="s">
        <v>16</v>
      </c>
      <c r="O24" s="11" t="s">
        <v>17</v>
      </c>
      <c r="P24" s="11" t="s">
        <v>18</v>
      </c>
    </row>
    <row r="25" spans="1:40" x14ac:dyDescent="0.25">
      <c r="A25" s="31" t="s">
        <v>268</v>
      </c>
      <c r="B25" s="20">
        <v>1</v>
      </c>
      <c r="C25" s="20">
        <v>1</v>
      </c>
      <c r="D25" s="20">
        <v>1</v>
      </c>
      <c r="E25" s="106"/>
      <c r="H25" s="13">
        <v>2030</v>
      </c>
      <c r="I25" s="12">
        <f>C25</f>
        <v>1</v>
      </c>
      <c r="J25" s="12">
        <f>D25</f>
        <v>1</v>
      </c>
      <c r="K25" s="12">
        <f>B25</f>
        <v>1</v>
      </c>
      <c r="M25" s="13">
        <v>2030</v>
      </c>
      <c r="N25" s="12">
        <f>C32</f>
        <v>1</v>
      </c>
      <c r="O25" s="12">
        <f>D32</f>
        <v>1</v>
      </c>
      <c r="P25" s="12">
        <f>B32</f>
        <v>1</v>
      </c>
    </row>
    <row r="26" spans="1:40" x14ac:dyDescent="0.25">
      <c r="A26" s="31" t="s">
        <v>269</v>
      </c>
      <c r="B26" s="20">
        <v>1</v>
      </c>
      <c r="C26" s="20">
        <v>1</v>
      </c>
      <c r="D26" s="20">
        <v>1</v>
      </c>
      <c r="E26" s="106"/>
      <c r="H26" s="13">
        <v>2035</v>
      </c>
      <c r="I26" s="12">
        <f t="shared" ref="I26:I27" si="44">C26</f>
        <v>1</v>
      </c>
      <c r="J26" s="12">
        <f t="shared" ref="J26:J27" si="45">D26</f>
        <v>1</v>
      </c>
      <c r="K26" s="12">
        <f t="shared" ref="K26:K28" si="46">B26</f>
        <v>1</v>
      </c>
      <c r="M26" s="13">
        <v>2035</v>
      </c>
      <c r="N26" s="12">
        <f t="shared" ref="N26:N28" si="47">C33</f>
        <v>1</v>
      </c>
      <c r="O26" s="12">
        <f t="shared" ref="O26:O28" si="48">D33</f>
        <v>1</v>
      </c>
      <c r="P26" s="12">
        <f t="shared" ref="P26:P28" si="49">B33</f>
        <v>1</v>
      </c>
    </row>
    <row r="27" spans="1:40" x14ac:dyDescent="0.25">
      <c r="A27" s="31" t="s">
        <v>270</v>
      </c>
      <c r="B27" s="20">
        <v>1</v>
      </c>
      <c r="C27" s="20">
        <v>1</v>
      </c>
      <c r="D27" s="20">
        <v>1</v>
      </c>
      <c r="E27" s="106"/>
      <c r="H27" s="13">
        <v>2040</v>
      </c>
      <c r="I27" s="12">
        <f t="shared" si="44"/>
        <v>1</v>
      </c>
      <c r="J27" s="12">
        <f t="shared" si="45"/>
        <v>1</v>
      </c>
      <c r="K27" s="12">
        <f t="shared" si="46"/>
        <v>1</v>
      </c>
      <c r="M27" s="13">
        <v>2040</v>
      </c>
      <c r="N27" s="12">
        <f t="shared" si="47"/>
        <v>1</v>
      </c>
      <c r="O27" s="12">
        <f t="shared" si="48"/>
        <v>1</v>
      </c>
      <c r="P27" s="12">
        <f t="shared" si="49"/>
        <v>1</v>
      </c>
    </row>
    <row r="28" spans="1:40" x14ac:dyDescent="0.25">
      <c r="A28" s="31" t="s">
        <v>271</v>
      </c>
      <c r="B28" s="20">
        <v>1</v>
      </c>
      <c r="C28" s="20">
        <v>1</v>
      </c>
      <c r="D28" s="20">
        <v>1</v>
      </c>
      <c r="E28" s="107"/>
      <c r="H28" s="13">
        <v>2050</v>
      </c>
      <c r="I28" s="65">
        <f>C28</f>
        <v>1</v>
      </c>
      <c r="J28" s="65">
        <f>D28</f>
        <v>1</v>
      </c>
      <c r="K28" s="65">
        <f t="shared" si="46"/>
        <v>1</v>
      </c>
      <c r="M28" s="13">
        <v>2050</v>
      </c>
      <c r="N28" s="65">
        <f t="shared" si="47"/>
        <v>1</v>
      </c>
      <c r="O28" s="65">
        <f t="shared" si="48"/>
        <v>1</v>
      </c>
      <c r="P28" s="65">
        <f t="shared" si="49"/>
        <v>1</v>
      </c>
    </row>
    <row r="30" spans="1:40" ht="28.5" x14ac:dyDescent="0.25">
      <c r="A30" s="64" t="s">
        <v>303</v>
      </c>
      <c r="B30" s="22" t="s">
        <v>264</v>
      </c>
      <c r="C30" s="22" t="s">
        <v>265</v>
      </c>
      <c r="D30" s="30" t="s">
        <v>266</v>
      </c>
      <c r="E30" s="38" t="s">
        <v>72</v>
      </c>
      <c r="H30" s="1" t="s">
        <v>28</v>
      </c>
      <c r="M30" s="1" t="s">
        <v>28</v>
      </c>
    </row>
    <row r="31" spans="1:40" x14ac:dyDescent="0.25">
      <c r="A31" s="31">
        <v>2022</v>
      </c>
      <c r="B31" s="20">
        <v>0</v>
      </c>
      <c r="C31" s="20">
        <v>9.6000000000000002E-2</v>
      </c>
      <c r="D31" s="45">
        <v>0.34</v>
      </c>
      <c r="E31" s="92" t="s">
        <v>304</v>
      </c>
      <c r="H31" s="69" t="s">
        <v>301</v>
      </c>
      <c r="I31" s="13" t="s">
        <v>16</v>
      </c>
      <c r="J31" s="13" t="s">
        <v>17</v>
      </c>
      <c r="K31" s="13" t="s">
        <v>18</v>
      </c>
      <c r="M31" s="69" t="s">
        <v>36</v>
      </c>
      <c r="N31" s="13" t="s">
        <v>16</v>
      </c>
      <c r="O31" s="13" t="s">
        <v>17</v>
      </c>
      <c r="P31" s="13" t="s">
        <v>18</v>
      </c>
    </row>
    <row r="32" spans="1:40" x14ac:dyDescent="0.25">
      <c r="A32" s="31" t="s">
        <v>268</v>
      </c>
      <c r="B32" s="20">
        <v>1</v>
      </c>
      <c r="C32" s="20">
        <v>1</v>
      </c>
      <c r="D32" s="20">
        <v>1</v>
      </c>
      <c r="E32" s="92"/>
      <c r="H32" s="13">
        <v>2030</v>
      </c>
      <c r="I32" s="68">
        <f>I25/I$28</f>
        <v>1</v>
      </c>
      <c r="J32" s="68">
        <f t="shared" ref="J32:K32" si="50">J25/J$28</f>
        <v>1</v>
      </c>
      <c r="K32" s="68">
        <f t="shared" si="50"/>
        <v>1</v>
      </c>
      <c r="M32" s="13">
        <v>2030</v>
      </c>
      <c r="N32" s="68">
        <f>N25/N$28</f>
        <v>1</v>
      </c>
      <c r="O32" s="68">
        <f t="shared" ref="O32:P32" si="51">O25/O$28</f>
        <v>1</v>
      </c>
      <c r="P32" s="68">
        <f t="shared" si="51"/>
        <v>1</v>
      </c>
    </row>
    <row r="33" spans="1:16" x14ac:dyDescent="0.25">
      <c r="A33" s="31" t="s">
        <v>269</v>
      </c>
      <c r="B33" s="20">
        <v>1</v>
      </c>
      <c r="C33" s="20">
        <v>1</v>
      </c>
      <c r="D33" s="20">
        <v>1</v>
      </c>
      <c r="E33" s="92"/>
      <c r="H33" s="13">
        <v>2035</v>
      </c>
      <c r="I33" s="68">
        <f t="shared" ref="I33:K35" si="52">I26/I$28</f>
        <v>1</v>
      </c>
      <c r="J33" s="68">
        <f t="shared" si="52"/>
        <v>1</v>
      </c>
      <c r="K33" s="68">
        <f t="shared" si="52"/>
        <v>1</v>
      </c>
      <c r="M33" s="13">
        <v>2035</v>
      </c>
      <c r="N33" s="68">
        <f t="shared" ref="N33:P33" si="53">N26/N$28</f>
        <v>1</v>
      </c>
      <c r="O33" s="68">
        <f t="shared" si="53"/>
        <v>1</v>
      </c>
      <c r="P33" s="68">
        <f t="shared" si="53"/>
        <v>1</v>
      </c>
    </row>
    <row r="34" spans="1:16" x14ac:dyDescent="0.25">
      <c r="A34" s="31" t="s">
        <v>270</v>
      </c>
      <c r="B34" s="20">
        <v>1</v>
      </c>
      <c r="C34" s="20">
        <v>1</v>
      </c>
      <c r="D34" s="20">
        <v>1</v>
      </c>
      <c r="E34" s="92"/>
      <c r="H34" s="13">
        <v>2040</v>
      </c>
      <c r="I34" s="68">
        <f>I27/I$28</f>
        <v>1</v>
      </c>
      <c r="J34" s="68">
        <f t="shared" si="52"/>
        <v>1</v>
      </c>
      <c r="K34" s="68">
        <f t="shared" si="52"/>
        <v>1</v>
      </c>
      <c r="M34" s="13">
        <v>2040</v>
      </c>
      <c r="N34" s="68">
        <f>N27/N$28</f>
        <v>1</v>
      </c>
      <c r="O34" s="68">
        <f t="shared" ref="O34:P34" si="54">O27/O$28</f>
        <v>1</v>
      </c>
      <c r="P34" s="68">
        <f t="shared" si="54"/>
        <v>1</v>
      </c>
    </row>
    <row r="35" spans="1:16" x14ac:dyDescent="0.25">
      <c r="A35" s="31" t="s">
        <v>271</v>
      </c>
      <c r="B35" s="20">
        <v>1</v>
      </c>
      <c r="C35" s="20">
        <v>1</v>
      </c>
      <c r="D35" s="20">
        <v>1</v>
      </c>
      <c r="E35" s="92"/>
      <c r="H35" s="13">
        <v>2050</v>
      </c>
      <c r="I35" s="68">
        <f t="shared" si="52"/>
        <v>1</v>
      </c>
      <c r="J35" s="68">
        <f t="shared" si="52"/>
        <v>1</v>
      </c>
      <c r="K35" s="68">
        <f t="shared" si="52"/>
        <v>1</v>
      </c>
      <c r="M35" s="13">
        <v>2050</v>
      </c>
      <c r="N35" s="68">
        <f t="shared" ref="N35:P35" si="55">N28/N$28</f>
        <v>1</v>
      </c>
      <c r="O35" s="68">
        <f t="shared" si="55"/>
        <v>1</v>
      </c>
      <c r="P35" s="68">
        <f t="shared" si="55"/>
        <v>1</v>
      </c>
    </row>
    <row r="36" spans="1:16" x14ac:dyDescent="0.25">
      <c r="A36" s="73" t="s">
        <v>305</v>
      </c>
      <c r="B36" s="62"/>
      <c r="C36" s="62"/>
      <c r="D36" s="62"/>
      <c r="E36" s="62"/>
      <c r="H36" s="13">
        <v>2060</v>
      </c>
      <c r="I36" s="68">
        <v>1</v>
      </c>
      <c r="J36" s="68">
        <v>1</v>
      </c>
      <c r="K36" s="68">
        <v>1</v>
      </c>
      <c r="M36" s="13">
        <v>2060</v>
      </c>
      <c r="N36" s="68">
        <v>1</v>
      </c>
      <c r="O36" s="68">
        <v>1</v>
      </c>
      <c r="P36" s="68">
        <v>1</v>
      </c>
    </row>
    <row r="37" spans="1:16" x14ac:dyDescent="0.25">
      <c r="A37" s="53"/>
      <c r="H37" s="70" t="s">
        <v>306</v>
      </c>
      <c r="I37" s="71"/>
      <c r="J37" s="71"/>
      <c r="K37" s="71"/>
      <c r="L37" s="71"/>
      <c r="M37" s="70"/>
      <c r="N37" s="71"/>
      <c r="O37" s="71"/>
      <c r="P37" s="71"/>
    </row>
    <row r="43" spans="1:16" x14ac:dyDescent="0.25">
      <c r="A43" s="78" t="s">
        <v>323</v>
      </c>
      <c r="B43" s="3" t="s">
        <v>260</v>
      </c>
      <c r="C43" s="36"/>
      <c r="D43" s="3" t="s">
        <v>75</v>
      </c>
      <c r="E43" s="3"/>
      <c r="F43" s="3"/>
      <c r="G43" s="3"/>
      <c r="H43" s="3"/>
      <c r="I43" s="3" t="s">
        <v>299</v>
      </c>
      <c r="J43" s="3"/>
      <c r="K43" s="3"/>
      <c r="L43" s="3"/>
    </row>
    <row r="44" spans="1:16" x14ac:dyDescent="0.25">
      <c r="A44" s="112" t="s">
        <v>298</v>
      </c>
      <c r="B44" s="112"/>
      <c r="C44" s="112"/>
      <c r="D44" s="112"/>
      <c r="E44" s="112"/>
      <c r="H44" s="1" t="s">
        <v>25</v>
      </c>
      <c r="I44" s="1" t="s">
        <v>299</v>
      </c>
      <c r="M44" s="1" t="s">
        <v>25</v>
      </c>
      <c r="N44" s="1" t="s">
        <v>299</v>
      </c>
    </row>
    <row r="45" spans="1:16" ht="43.5" x14ac:dyDescent="0.25">
      <c r="A45" s="64" t="s">
        <v>296</v>
      </c>
      <c r="B45" s="22" t="s">
        <v>264</v>
      </c>
      <c r="C45" s="22" t="s">
        <v>265</v>
      </c>
      <c r="D45" s="30" t="s">
        <v>266</v>
      </c>
      <c r="E45" s="38" t="s">
        <v>72</v>
      </c>
      <c r="H45" s="102" t="s">
        <v>302</v>
      </c>
      <c r="I45" s="103"/>
      <c r="J45" s="103"/>
      <c r="K45" s="104"/>
      <c r="M45" s="102" t="s">
        <v>307</v>
      </c>
      <c r="N45" s="103"/>
      <c r="O45" s="103"/>
      <c r="P45" s="104"/>
    </row>
    <row r="46" spans="1:16" x14ac:dyDescent="0.25">
      <c r="A46" s="31">
        <v>2022</v>
      </c>
      <c r="B46" s="20">
        <v>0.67400000000000004</v>
      </c>
      <c r="C46" s="20">
        <v>0.54800000000000004</v>
      </c>
      <c r="D46" s="45">
        <v>0.50900000000000001</v>
      </c>
      <c r="E46" s="105" t="s">
        <v>267</v>
      </c>
      <c r="H46" s="10" t="s">
        <v>300</v>
      </c>
      <c r="I46" s="11" t="s">
        <v>16</v>
      </c>
      <c r="J46" s="11" t="s">
        <v>17</v>
      </c>
      <c r="K46" s="11" t="s">
        <v>18</v>
      </c>
      <c r="M46" s="10" t="s">
        <v>256</v>
      </c>
      <c r="N46" s="11" t="s">
        <v>16</v>
      </c>
      <c r="O46" s="11" t="s">
        <v>17</v>
      </c>
      <c r="P46" s="11" t="s">
        <v>18</v>
      </c>
    </row>
    <row r="47" spans="1:16" x14ac:dyDescent="0.25">
      <c r="A47" s="31" t="s">
        <v>268</v>
      </c>
      <c r="B47" s="20">
        <v>1</v>
      </c>
      <c r="C47" s="20">
        <v>1</v>
      </c>
      <c r="D47" s="20">
        <v>1</v>
      </c>
      <c r="E47" s="106"/>
      <c r="H47" s="13">
        <v>2030</v>
      </c>
      <c r="I47" s="12">
        <f>C47</f>
        <v>1</v>
      </c>
      <c r="J47" s="12">
        <f>D47</f>
        <v>1</v>
      </c>
      <c r="K47" s="12">
        <f>B47</f>
        <v>1</v>
      </c>
      <c r="M47" s="13">
        <v>2030</v>
      </c>
      <c r="N47" s="12">
        <f>C54</f>
        <v>1</v>
      </c>
      <c r="O47" s="12">
        <f>D54</f>
        <v>1</v>
      </c>
      <c r="P47" s="12">
        <f>B54</f>
        <v>1</v>
      </c>
    </row>
    <row r="48" spans="1:16" x14ac:dyDescent="0.25">
      <c r="A48" s="31" t="s">
        <v>269</v>
      </c>
      <c r="B48" s="20">
        <v>1</v>
      </c>
      <c r="C48" s="20">
        <v>1</v>
      </c>
      <c r="D48" s="20">
        <v>1</v>
      </c>
      <c r="E48" s="106"/>
      <c r="H48" s="13">
        <v>2035</v>
      </c>
      <c r="I48" s="12">
        <f t="shared" ref="I48:I49" si="56">C48</f>
        <v>1</v>
      </c>
      <c r="J48" s="12">
        <f t="shared" ref="J48:J49" si="57">D48</f>
        <v>1</v>
      </c>
      <c r="K48" s="12">
        <f t="shared" ref="K48:K50" si="58">B48</f>
        <v>1</v>
      </c>
      <c r="M48" s="13">
        <v>2035</v>
      </c>
      <c r="N48" s="12">
        <f t="shared" ref="N48:N50" si="59">C55</f>
        <v>1</v>
      </c>
      <c r="O48" s="12">
        <f t="shared" ref="O48:O50" si="60">D55</f>
        <v>1</v>
      </c>
      <c r="P48" s="12">
        <f t="shared" ref="P48:P50" si="61">B55</f>
        <v>1</v>
      </c>
    </row>
    <row r="49" spans="1:16" x14ac:dyDescent="0.25">
      <c r="A49" s="31" t="s">
        <v>270</v>
      </c>
      <c r="B49" s="20">
        <v>1</v>
      </c>
      <c r="C49" s="20">
        <v>1</v>
      </c>
      <c r="D49" s="20">
        <v>1</v>
      </c>
      <c r="E49" s="106"/>
      <c r="H49" s="13">
        <v>2040</v>
      </c>
      <c r="I49" s="12">
        <f t="shared" si="56"/>
        <v>1</v>
      </c>
      <c r="J49" s="12">
        <f t="shared" si="57"/>
        <v>1</v>
      </c>
      <c r="K49" s="12">
        <f t="shared" si="58"/>
        <v>1</v>
      </c>
      <c r="M49" s="13">
        <v>2040</v>
      </c>
      <c r="N49" s="12">
        <f t="shared" si="59"/>
        <v>1</v>
      </c>
      <c r="O49" s="12">
        <f t="shared" si="60"/>
        <v>1</v>
      </c>
      <c r="P49" s="12">
        <f t="shared" si="61"/>
        <v>1</v>
      </c>
    </row>
    <row r="50" spans="1:16" x14ac:dyDescent="0.25">
      <c r="A50" s="31" t="s">
        <v>271</v>
      </c>
      <c r="B50" s="20">
        <v>1</v>
      </c>
      <c r="C50" s="20">
        <v>1</v>
      </c>
      <c r="D50" s="20">
        <v>1</v>
      </c>
      <c r="E50" s="107"/>
      <c r="H50" s="13">
        <v>2050</v>
      </c>
      <c r="I50" s="65">
        <f>C50</f>
        <v>1</v>
      </c>
      <c r="J50" s="65">
        <f>D50</f>
        <v>1</v>
      </c>
      <c r="K50" s="65">
        <f t="shared" si="58"/>
        <v>1</v>
      </c>
      <c r="M50" s="13">
        <v>2050</v>
      </c>
      <c r="N50" s="65">
        <f t="shared" si="59"/>
        <v>1</v>
      </c>
      <c r="O50" s="65">
        <f t="shared" si="60"/>
        <v>1</v>
      </c>
      <c r="P50" s="65">
        <f t="shared" si="61"/>
        <v>1</v>
      </c>
    </row>
    <row r="52" spans="1:16" ht="28.5" x14ac:dyDescent="0.25">
      <c r="A52" s="64" t="s">
        <v>303</v>
      </c>
      <c r="B52" s="22" t="s">
        <v>264</v>
      </c>
      <c r="C52" s="22" t="s">
        <v>265</v>
      </c>
      <c r="D52" s="30" t="s">
        <v>266</v>
      </c>
      <c r="E52" s="38" t="s">
        <v>72</v>
      </c>
      <c r="H52" s="1" t="s">
        <v>28</v>
      </c>
      <c r="M52" s="1" t="s">
        <v>28</v>
      </c>
    </row>
    <row r="53" spans="1:16" x14ac:dyDescent="0.25">
      <c r="A53" s="31">
        <v>2022</v>
      </c>
      <c r="B53" s="20">
        <v>0</v>
      </c>
      <c r="C53" s="20">
        <v>9.6000000000000002E-2</v>
      </c>
      <c r="D53" s="45">
        <v>0.34</v>
      </c>
      <c r="E53" s="92" t="s">
        <v>304</v>
      </c>
      <c r="H53" s="69" t="s">
        <v>38</v>
      </c>
      <c r="I53" s="13" t="s">
        <v>16</v>
      </c>
      <c r="J53" s="13" t="s">
        <v>17</v>
      </c>
      <c r="K53" s="13" t="s">
        <v>18</v>
      </c>
      <c r="M53" s="69" t="s">
        <v>36</v>
      </c>
      <c r="N53" s="13" t="s">
        <v>16</v>
      </c>
      <c r="O53" s="13" t="s">
        <v>17</v>
      </c>
      <c r="P53" s="13" t="s">
        <v>18</v>
      </c>
    </row>
    <row r="54" spans="1:16" x14ac:dyDescent="0.25">
      <c r="A54" s="31" t="s">
        <v>268</v>
      </c>
      <c r="B54" s="20">
        <v>1</v>
      </c>
      <c r="C54" s="20">
        <v>1</v>
      </c>
      <c r="D54" s="20">
        <v>1</v>
      </c>
      <c r="E54" s="92"/>
      <c r="H54" s="13">
        <v>2030</v>
      </c>
      <c r="I54" s="68">
        <f>I47/I$28</f>
        <v>1</v>
      </c>
      <c r="J54" s="68">
        <f t="shared" ref="J54:K54" si="62">J47/J$28</f>
        <v>1</v>
      </c>
      <c r="K54" s="68">
        <f t="shared" si="62"/>
        <v>1</v>
      </c>
      <c r="M54" s="13">
        <v>2030</v>
      </c>
      <c r="N54" s="68">
        <f>N47/N$28</f>
        <v>1</v>
      </c>
      <c r="O54" s="68">
        <f t="shared" ref="O54:P54" si="63">O47/O$28</f>
        <v>1</v>
      </c>
      <c r="P54" s="68">
        <f t="shared" si="63"/>
        <v>1</v>
      </c>
    </row>
    <row r="55" spans="1:16" x14ac:dyDescent="0.25">
      <c r="A55" s="31" t="s">
        <v>269</v>
      </c>
      <c r="B55" s="20">
        <v>1</v>
      </c>
      <c r="C55" s="20">
        <v>1</v>
      </c>
      <c r="D55" s="20">
        <v>1</v>
      </c>
      <c r="E55" s="92"/>
      <c r="H55" s="13">
        <v>2035</v>
      </c>
      <c r="I55" s="68">
        <f t="shared" ref="I55:K55" si="64">I48/I$28</f>
        <v>1</v>
      </c>
      <c r="J55" s="68">
        <f t="shared" si="64"/>
        <v>1</v>
      </c>
      <c r="K55" s="68">
        <f t="shared" si="64"/>
        <v>1</v>
      </c>
      <c r="M55" s="13">
        <v>2035</v>
      </c>
      <c r="N55" s="68">
        <f t="shared" ref="N55:P55" si="65">N48/N$28</f>
        <v>1</v>
      </c>
      <c r="O55" s="68">
        <f t="shared" si="65"/>
        <v>1</v>
      </c>
      <c r="P55" s="68">
        <f t="shared" si="65"/>
        <v>1</v>
      </c>
    </row>
    <row r="56" spans="1:16" x14ac:dyDescent="0.25">
      <c r="A56" s="31" t="s">
        <v>270</v>
      </c>
      <c r="B56" s="20">
        <v>1</v>
      </c>
      <c r="C56" s="20">
        <v>1</v>
      </c>
      <c r="D56" s="20">
        <v>1</v>
      </c>
      <c r="E56" s="92"/>
      <c r="H56" s="13">
        <v>2040</v>
      </c>
      <c r="I56" s="68">
        <f>I49/I$28</f>
        <v>1</v>
      </c>
      <c r="J56" s="68">
        <f t="shared" ref="J56:K56" si="66">J49/J$28</f>
        <v>1</v>
      </c>
      <c r="K56" s="68">
        <f t="shared" si="66"/>
        <v>1</v>
      </c>
      <c r="M56" s="13">
        <v>2040</v>
      </c>
      <c r="N56" s="68">
        <f>N49/N$28</f>
        <v>1</v>
      </c>
      <c r="O56" s="68">
        <f t="shared" ref="O56:P56" si="67">O49/O$28</f>
        <v>1</v>
      </c>
      <c r="P56" s="68">
        <f t="shared" si="67"/>
        <v>1</v>
      </c>
    </row>
    <row r="57" spans="1:16" x14ac:dyDescent="0.25">
      <c r="A57" s="31" t="s">
        <v>271</v>
      </c>
      <c r="B57" s="20">
        <v>1</v>
      </c>
      <c r="C57" s="20">
        <v>1</v>
      </c>
      <c r="D57" s="20">
        <v>1</v>
      </c>
      <c r="E57" s="92"/>
      <c r="H57" s="13">
        <v>2050</v>
      </c>
      <c r="I57" s="68">
        <f t="shared" ref="I57:K57" si="68">I50/I$28</f>
        <v>1</v>
      </c>
      <c r="J57" s="68">
        <f t="shared" si="68"/>
        <v>1</v>
      </c>
      <c r="K57" s="68">
        <f t="shared" si="68"/>
        <v>1</v>
      </c>
      <c r="M57" s="13">
        <v>2050</v>
      </c>
      <c r="N57" s="68">
        <f t="shared" ref="N57:P57" si="69">N50/N$28</f>
        <v>1</v>
      </c>
      <c r="O57" s="68">
        <f t="shared" si="69"/>
        <v>1</v>
      </c>
      <c r="P57" s="68">
        <f t="shared" si="69"/>
        <v>1</v>
      </c>
    </row>
    <row r="58" spans="1:16" x14ac:dyDescent="0.25">
      <c r="A58" s="73" t="s">
        <v>305</v>
      </c>
      <c r="B58" s="62"/>
      <c r="C58" s="62"/>
      <c r="D58" s="62"/>
      <c r="E58" s="62"/>
      <c r="H58" s="13">
        <v>2060</v>
      </c>
      <c r="I58" s="68">
        <v>1</v>
      </c>
      <c r="J58" s="68">
        <v>1</v>
      </c>
      <c r="K58" s="68">
        <v>1</v>
      </c>
      <c r="M58" s="13">
        <v>2060</v>
      </c>
      <c r="N58" s="68">
        <v>1</v>
      </c>
      <c r="O58" s="68">
        <v>1</v>
      </c>
      <c r="P58" s="68">
        <v>1</v>
      </c>
    </row>
    <row r="59" spans="1:16" x14ac:dyDescent="0.25">
      <c r="A59" s="53"/>
      <c r="H59" s="70" t="s">
        <v>306</v>
      </c>
      <c r="I59" s="71"/>
      <c r="J59" s="71"/>
      <c r="K59" s="71"/>
      <c r="L59" s="71"/>
      <c r="M59" s="70"/>
      <c r="N59" s="71"/>
      <c r="O59" s="71"/>
      <c r="P59" s="71"/>
    </row>
    <row r="65" spans="1:16" x14ac:dyDescent="0.25">
      <c r="A65" s="78" t="s">
        <v>324</v>
      </c>
      <c r="B65" s="3" t="s">
        <v>260</v>
      </c>
      <c r="C65" s="36"/>
      <c r="D65" s="3" t="s">
        <v>75</v>
      </c>
      <c r="E65" s="3"/>
      <c r="F65" s="3"/>
      <c r="G65" s="3"/>
      <c r="H65" s="3"/>
      <c r="I65" s="3" t="s">
        <v>328</v>
      </c>
      <c r="J65" s="3"/>
      <c r="K65" s="3"/>
      <c r="L65" s="3"/>
    </row>
    <row r="66" spans="1:16" x14ac:dyDescent="0.25">
      <c r="A66" s="112" t="s">
        <v>298</v>
      </c>
      <c r="B66" s="112"/>
      <c r="C66" s="112"/>
      <c r="D66" s="112"/>
      <c r="E66" s="112"/>
      <c r="H66" s="1" t="s">
        <v>25</v>
      </c>
      <c r="I66" s="1" t="s">
        <v>299</v>
      </c>
      <c r="M66" s="1" t="s">
        <v>25</v>
      </c>
      <c r="N66" s="1" t="s">
        <v>299</v>
      </c>
    </row>
    <row r="67" spans="1:16" ht="43.5" x14ac:dyDescent="0.25">
      <c r="A67" s="64" t="s">
        <v>296</v>
      </c>
      <c r="B67" s="22" t="s">
        <v>264</v>
      </c>
      <c r="C67" s="22" t="s">
        <v>265</v>
      </c>
      <c r="D67" s="30" t="s">
        <v>266</v>
      </c>
      <c r="E67" s="38" t="s">
        <v>72</v>
      </c>
      <c r="H67" s="102" t="s">
        <v>302</v>
      </c>
      <c r="I67" s="103"/>
      <c r="J67" s="103"/>
      <c r="K67" s="104"/>
      <c r="M67" s="102" t="s">
        <v>307</v>
      </c>
      <c r="N67" s="103"/>
      <c r="O67" s="103"/>
      <c r="P67" s="104"/>
    </row>
    <row r="68" spans="1:16" x14ac:dyDescent="0.25">
      <c r="A68" s="31">
        <v>2022</v>
      </c>
      <c r="B68" s="20">
        <v>0.67400000000000004</v>
      </c>
      <c r="C68" s="20">
        <v>0.54800000000000004</v>
      </c>
      <c r="D68" s="45">
        <v>0.50900000000000001</v>
      </c>
      <c r="E68" s="105" t="s">
        <v>267</v>
      </c>
      <c r="H68" s="10" t="s">
        <v>300</v>
      </c>
      <c r="I68" s="11" t="s">
        <v>16</v>
      </c>
      <c r="J68" s="11" t="s">
        <v>17</v>
      </c>
      <c r="K68" s="11" t="s">
        <v>18</v>
      </c>
      <c r="M68" s="10" t="s">
        <v>256</v>
      </c>
      <c r="N68" s="11" t="s">
        <v>16</v>
      </c>
      <c r="O68" s="11" t="s">
        <v>17</v>
      </c>
      <c r="P68" s="11" t="s">
        <v>18</v>
      </c>
    </row>
    <row r="69" spans="1:16" x14ac:dyDescent="0.25">
      <c r="A69" s="31" t="s">
        <v>268</v>
      </c>
      <c r="B69" s="20">
        <v>0.7</v>
      </c>
      <c r="C69" s="20">
        <v>0.6</v>
      </c>
      <c r="D69" s="20">
        <v>0.6</v>
      </c>
      <c r="E69" s="106"/>
      <c r="H69" s="13">
        <v>2030</v>
      </c>
      <c r="I69" s="12"/>
      <c r="J69" s="12"/>
      <c r="K69" s="12"/>
      <c r="M69" s="13">
        <v>2030</v>
      </c>
      <c r="N69" s="12"/>
      <c r="O69" s="12"/>
      <c r="P69" s="12"/>
    </row>
    <row r="70" spans="1:16" x14ac:dyDescent="0.25">
      <c r="A70" s="31" t="s">
        <v>269</v>
      </c>
      <c r="B70" s="20">
        <v>0.8</v>
      </c>
      <c r="C70" s="20">
        <v>0.7</v>
      </c>
      <c r="D70" s="20">
        <v>0.7</v>
      </c>
      <c r="E70" s="106"/>
      <c r="H70" s="13">
        <v>2035</v>
      </c>
      <c r="I70" s="12"/>
      <c r="J70" s="12"/>
      <c r="K70" s="12"/>
      <c r="M70" s="13">
        <v>2035</v>
      </c>
      <c r="N70" s="12"/>
      <c r="O70" s="12"/>
      <c r="P70" s="12"/>
    </row>
    <row r="71" spans="1:16" x14ac:dyDescent="0.25">
      <c r="A71" s="31" t="s">
        <v>270</v>
      </c>
      <c r="B71" s="20">
        <v>0.9</v>
      </c>
      <c r="C71" s="20">
        <v>0.85</v>
      </c>
      <c r="D71" s="20">
        <v>0.85</v>
      </c>
      <c r="E71" s="106"/>
      <c r="H71" s="13">
        <v>2040</v>
      </c>
      <c r="I71" s="12"/>
      <c r="J71" s="12"/>
      <c r="K71" s="12"/>
      <c r="M71" s="13">
        <v>2040</v>
      </c>
      <c r="N71" s="12"/>
      <c r="O71" s="12"/>
      <c r="P71" s="12"/>
    </row>
    <row r="72" spans="1:16" x14ac:dyDescent="0.25">
      <c r="A72" s="31" t="s">
        <v>271</v>
      </c>
      <c r="B72" s="20">
        <v>1</v>
      </c>
      <c r="C72" s="20">
        <v>1</v>
      </c>
      <c r="D72" s="20">
        <v>1</v>
      </c>
      <c r="E72" s="107"/>
      <c r="H72" s="13">
        <v>2050</v>
      </c>
      <c r="I72" s="65">
        <f>C72</f>
        <v>1</v>
      </c>
      <c r="J72" s="65">
        <f>D72</f>
        <v>1</v>
      </c>
      <c r="K72" s="65">
        <f t="shared" ref="K72" si="70">B72</f>
        <v>1</v>
      </c>
      <c r="M72" s="13">
        <v>2050</v>
      </c>
      <c r="N72" s="65">
        <f t="shared" ref="N72" si="71">C79</f>
        <v>1</v>
      </c>
      <c r="O72" s="65">
        <f t="shared" ref="O72" si="72">D79</f>
        <v>1</v>
      </c>
      <c r="P72" s="65">
        <f t="shared" ref="P72" si="73">B79</f>
        <v>1</v>
      </c>
    </row>
    <row r="74" spans="1:16" ht="28.5" x14ac:dyDescent="0.25">
      <c r="A74" s="64" t="s">
        <v>303</v>
      </c>
      <c r="B74" s="22" t="s">
        <v>264</v>
      </c>
      <c r="C74" s="22" t="s">
        <v>265</v>
      </c>
      <c r="D74" s="30" t="s">
        <v>266</v>
      </c>
      <c r="E74" s="38" t="s">
        <v>72</v>
      </c>
      <c r="H74" s="1" t="s">
        <v>28</v>
      </c>
      <c r="M74" s="1" t="s">
        <v>28</v>
      </c>
    </row>
    <row r="75" spans="1:16" x14ac:dyDescent="0.25">
      <c r="A75" s="31">
        <v>2022</v>
      </c>
      <c r="B75" s="20">
        <v>0</v>
      </c>
      <c r="C75" s="20">
        <v>9.6000000000000002E-2</v>
      </c>
      <c r="D75" s="45">
        <v>0.34</v>
      </c>
      <c r="E75" s="92" t="s">
        <v>304</v>
      </c>
      <c r="H75" s="69" t="s">
        <v>38</v>
      </c>
      <c r="I75" s="13" t="s">
        <v>16</v>
      </c>
      <c r="J75" s="13" t="s">
        <v>17</v>
      </c>
      <c r="K75" s="13" t="s">
        <v>18</v>
      </c>
      <c r="M75" s="69" t="s">
        <v>36</v>
      </c>
      <c r="N75" s="13" t="s">
        <v>16</v>
      </c>
      <c r="O75" s="13" t="s">
        <v>17</v>
      </c>
      <c r="P75" s="13" t="s">
        <v>18</v>
      </c>
    </row>
    <row r="76" spans="1:16" x14ac:dyDescent="0.25">
      <c r="A76" s="31" t="s">
        <v>268</v>
      </c>
      <c r="B76" s="20">
        <v>0.05</v>
      </c>
      <c r="C76" s="20">
        <v>0.15</v>
      </c>
      <c r="D76" s="20">
        <v>0.4</v>
      </c>
      <c r="E76" s="92"/>
      <c r="H76" s="13">
        <v>2030</v>
      </c>
      <c r="I76" s="68">
        <f>(C69-C$68)/(C$72-C$68)</f>
        <v>0.11504424778761049</v>
      </c>
      <c r="J76" s="68">
        <f>(D69-D$68)/(D$72-D$68)</f>
        <v>0.18533604887983701</v>
      </c>
      <c r="K76" s="68">
        <f>(B69-B$68)/(B$72-B$68)</f>
        <v>7.9754601226993613E-2</v>
      </c>
      <c r="M76" s="13">
        <v>2030</v>
      </c>
      <c r="N76" s="68">
        <f>(C76-C$75)/(C$79-C$75)</f>
        <v>5.9734513274336272E-2</v>
      </c>
      <c r="O76" s="68">
        <f>(D76-D$75)/(D$79-D$75)</f>
        <v>9.0909090909090912E-2</v>
      </c>
      <c r="P76" s="68">
        <f>(B76-B$75)/(B$79-B$75)</f>
        <v>0.05</v>
      </c>
    </row>
    <row r="77" spans="1:16" x14ac:dyDescent="0.25">
      <c r="A77" s="31" t="s">
        <v>269</v>
      </c>
      <c r="B77" s="20">
        <v>0.3</v>
      </c>
      <c r="C77" s="20">
        <v>0.3</v>
      </c>
      <c r="D77" s="20">
        <v>0.5</v>
      </c>
      <c r="E77" s="92"/>
      <c r="H77" s="13">
        <v>2035</v>
      </c>
      <c r="I77" s="68">
        <f t="shared" ref="I77:J77" si="74">(C70-C$68)/(C$72-C$68)</f>
        <v>0.33628318584070782</v>
      </c>
      <c r="J77" s="68">
        <f t="shared" si="74"/>
        <v>0.3890020366598777</v>
      </c>
      <c r="K77" s="68">
        <f t="shared" ref="K77:K79" si="75">(B70-B$68)/(B$72-B$68)</f>
        <v>0.38650306748466262</v>
      </c>
      <c r="M77" s="13">
        <v>2035</v>
      </c>
      <c r="N77" s="68">
        <f t="shared" ref="N77:N79" si="76">(C77-C$75)/(C$79-C$75)</f>
        <v>0.22566371681415928</v>
      </c>
      <c r="O77" s="68">
        <f t="shared" ref="O77:O79" si="77">(D77-D$75)/(D$79-D$75)</f>
        <v>0.2424242424242424</v>
      </c>
      <c r="P77" s="68">
        <f t="shared" ref="P77:P79" si="78">(B77-B$75)/(B$79-B$75)</f>
        <v>0.3</v>
      </c>
    </row>
    <row r="78" spans="1:16" x14ac:dyDescent="0.25">
      <c r="A78" s="31" t="s">
        <v>270</v>
      </c>
      <c r="B78" s="20">
        <v>0.7</v>
      </c>
      <c r="C78" s="20">
        <v>0.7</v>
      </c>
      <c r="D78" s="20">
        <v>0.8</v>
      </c>
      <c r="E78" s="92"/>
      <c r="H78" s="13">
        <v>2040</v>
      </c>
      <c r="I78" s="68">
        <f t="shared" ref="I78:J78" si="79">(C71-C$68)/(C$72-C$68)</f>
        <v>0.66814159292035391</v>
      </c>
      <c r="J78" s="68">
        <f t="shared" si="79"/>
        <v>0.69450101832993882</v>
      </c>
      <c r="K78" s="68">
        <f t="shared" si="75"/>
        <v>0.69325153374233128</v>
      </c>
      <c r="M78" s="13">
        <v>2040</v>
      </c>
      <c r="N78" s="68">
        <f t="shared" si="76"/>
        <v>0.66814159292035391</v>
      </c>
      <c r="O78" s="68">
        <f t="shared" si="77"/>
        <v>0.69696969696969713</v>
      </c>
      <c r="P78" s="68">
        <f t="shared" si="78"/>
        <v>0.7</v>
      </c>
    </row>
    <row r="79" spans="1:16" x14ac:dyDescent="0.25">
      <c r="A79" s="31" t="s">
        <v>271</v>
      </c>
      <c r="B79" s="20">
        <v>1</v>
      </c>
      <c r="C79" s="20">
        <v>1</v>
      </c>
      <c r="D79" s="20">
        <v>1</v>
      </c>
      <c r="E79" s="92"/>
      <c r="H79" s="13">
        <v>2050</v>
      </c>
      <c r="I79" s="68">
        <f t="shared" ref="I79:J79" si="80">(C72-C$68)/(C$72-C$68)</f>
        <v>1</v>
      </c>
      <c r="J79" s="68">
        <f t="shared" si="80"/>
        <v>1</v>
      </c>
      <c r="K79" s="68">
        <f t="shared" si="75"/>
        <v>1</v>
      </c>
      <c r="M79" s="13">
        <v>2050</v>
      </c>
      <c r="N79" s="68">
        <f t="shared" si="76"/>
        <v>1</v>
      </c>
      <c r="O79" s="68">
        <f t="shared" si="77"/>
        <v>1</v>
      </c>
      <c r="P79" s="68">
        <f t="shared" si="78"/>
        <v>1</v>
      </c>
    </row>
    <row r="80" spans="1:16" x14ac:dyDescent="0.25">
      <c r="A80" s="73" t="s">
        <v>305</v>
      </c>
      <c r="B80" s="62"/>
      <c r="C80" s="62"/>
      <c r="D80" s="62"/>
      <c r="E80" s="62"/>
      <c r="H80" s="13">
        <v>2060</v>
      </c>
      <c r="I80" s="68">
        <v>1</v>
      </c>
      <c r="J80" s="68">
        <v>1</v>
      </c>
      <c r="K80" s="68">
        <v>1</v>
      </c>
      <c r="M80" s="13">
        <v>2060</v>
      </c>
      <c r="N80" s="68">
        <v>1</v>
      </c>
      <c r="O80" s="68">
        <v>1</v>
      </c>
      <c r="P80" s="68">
        <v>1</v>
      </c>
    </row>
    <row r="81" spans="1:43" x14ac:dyDescent="0.25">
      <c r="A81" s="53"/>
      <c r="H81" s="70" t="s">
        <v>306</v>
      </c>
      <c r="I81" s="71"/>
      <c r="J81" s="71"/>
      <c r="K81" s="71"/>
      <c r="L81" s="71"/>
      <c r="M81" s="70"/>
      <c r="N81" s="71"/>
      <c r="O81" s="71"/>
      <c r="P81" s="71"/>
    </row>
    <row r="89" spans="1:43" x14ac:dyDescent="0.25">
      <c r="D89" s="1" t="s">
        <v>76</v>
      </c>
      <c r="E89" s="1">
        <v>2023</v>
      </c>
      <c r="F89" s="1">
        <v>2024</v>
      </c>
      <c r="G89" s="1">
        <v>2025</v>
      </c>
      <c r="H89" s="1">
        <v>2026</v>
      </c>
      <c r="I89" s="1">
        <v>2027</v>
      </c>
      <c r="J89" s="1">
        <v>2028</v>
      </c>
      <c r="K89" s="1">
        <v>2029</v>
      </c>
      <c r="L89" s="1">
        <v>2030</v>
      </c>
      <c r="M89" s="1">
        <v>2031</v>
      </c>
      <c r="N89" s="1">
        <v>2032</v>
      </c>
      <c r="O89" s="1">
        <v>2033</v>
      </c>
      <c r="P89" s="1">
        <v>2034</v>
      </c>
      <c r="Q89" s="1">
        <v>2035</v>
      </c>
      <c r="R89" s="1">
        <v>2036</v>
      </c>
      <c r="S89" s="1">
        <v>2037</v>
      </c>
      <c r="T89" s="1">
        <v>2038</v>
      </c>
      <c r="U89" s="1">
        <v>2039</v>
      </c>
      <c r="V89" s="1">
        <v>2040</v>
      </c>
      <c r="W89" s="1">
        <v>2041</v>
      </c>
      <c r="X89" s="1">
        <v>2042</v>
      </c>
      <c r="Y89" s="1">
        <v>2043</v>
      </c>
      <c r="Z89" s="1">
        <v>2044</v>
      </c>
      <c r="AA89" s="1">
        <v>2045</v>
      </c>
      <c r="AB89" s="1">
        <v>2046</v>
      </c>
      <c r="AC89" s="1">
        <v>2047</v>
      </c>
      <c r="AD89" s="1">
        <v>2048</v>
      </c>
      <c r="AE89" s="1">
        <v>2049</v>
      </c>
      <c r="AF89" s="1">
        <v>2050</v>
      </c>
      <c r="AG89" s="1">
        <v>2051</v>
      </c>
      <c r="AH89" s="1">
        <v>2052</v>
      </c>
      <c r="AI89" s="1">
        <v>2053</v>
      </c>
      <c r="AJ89" s="1">
        <v>2054</v>
      </c>
      <c r="AK89" s="1">
        <v>2055</v>
      </c>
      <c r="AL89" s="1">
        <v>2056</v>
      </c>
      <c r="AM89" s="1">
        <v>2057</v>
      </c>
      <c r="AN89" s="1">
        <v>2058</v>
      </c>
      <c r="AO89" s="1">
        <v>2059</v>
      </c>
      <c r="AP89" s="1">
        <v>2060</v>
      </c>
      <c r="AQ89" s="1">
        <v>2022</v>
      </c>
    </row>
    <row r="90" spans="1:43" x14ac:dyDescent="0.25">
      <c r="A90" s="42" t="str">
        <f>TRIM(MID(D90, FIND(",", D90) + 1, FIND(" bf", D90) - FIND(",", D90) - 1))</f>
        <v>electricity</v>
      </c>
      <c r="B90" s="42" t="str">
        <f>TRIM(MID(D90, FIND("[", D90) + 1, FIND(",", D90) - FIND("[", D90) - 1))</f>
        <v>urban residential</v>
      </c>
      <c r="C90" s="42" t="str">
        <f>TRIM(MID(D90, FIND(",", D90, FIND(",", D90) + 1) + 1, FIND("]", D90) - FIND(",", D90, FIND(",", D90) + 1) - 1))</f>
        <v>heating</v>
      </c>
      <c r="D90" s="1" t="s">
        <v>77</v>
      </c>
      <c r="E90" s="39">
        <v>433000000000000</v>
      </c>
      <c r="F90" s="39">
        <v>441000000000000</v>
      </c>
      <c r="G90" s="39">
        <v>448000000000000</v>
      </c>
      <c r="H90" s="39">
        <v>454000000000000</v>
      </c>
      <c r="I90" s="39">
        <v>458000000000000</v>
      </c>
      <c r="J90" s="39">
        <v>461000000000000</v>
      </c>
      <c r="K90" s="39">
        <v>464000000000000</v>
      </c>
      <c r="L90" s="39">
        <v>467000000000000</v>
      </c>
      <c r="M90" s="39">
        <v>470000000000000</v>
      </c>
      <c r="N90" s="39">
        <v>472000000000000</v>
      </c>
      <c r="O90" s="39">
        <v>474000000000000</v>
      </c>
      <c r="P90" s="39">
        <v>476000000000000</v>
      </c>
      <c r="Q90" s="39">
        <v>478000000000000</v>
      </c>
      <c r="R90" s="39">
        <v>479000000000000</v>
      </c>
      <c r="S90" s="39">
        <v>478000000000000</v>
      </c>
      <c r="T90" s="39">
        <v>477000000000000</v>
      </c>
      <c r="U90" s="39">
        <v>476000000000000</v>
      </c>
      <c r="V90" s="39">
        <v>475000000000000</v>
      </c>
      <c r="W90" s="39">
        <v>474000000000000</v>
      </c>
      <c r="X90" s="39">
        <v>471000000000000</v>
      </c>
      <c r="Y90" s="39">
        <v>469000000000000</v>
      </c>
      <c r="Z90" s="39">
        <v>466000000000000</v>
      </c>
      <c r="AA90" s="39">
        <v>464000000000000</v>
      </c>
      <c r="AB90" s="39">
        <v>461000000000000</v>
      </c>
      <c r="AC90" s="39">
        <v>457000000000000</v>
      </c>
      <c r="AD90" s="39">
        <v>453000000000000</v>
      </c>
      <c r="AE90" s="39">
        <v>449000000000000</v>
      </c>
      <c r="AF90" s="39">
        <v>445000000000000</v>
      </c>
      <c r="AG90" s="39">
        <v>440000000000000</v>
      </c>
      <c r="AH90" s="39">
        <v>434000000000000</v>
      </c>
      <c r="AI90" s="39">
        <v>429000000000000</v>
      </c>
      <c r="AJ90" s="39">
        <v>423000000000000</v>
      </c>
      <c r="AK90" s="39">
        <v>417000000000000</v>
      </c>
      <c r="AL90" s="39">
        <v>411000000000000</v>
      </c>
      <c r="AM90" s="39">
        <v>404000000000000</v>
      </c>
      <c r="AN90" s="39">
        <v>397000000000000</v>
      </c>
      <c r="AO90" s="39">
        <v>389000000000000</v>
      </c>
      <c r="AP90" s="39">
        <v>382000000000000</v>
      </c>
    </row>
    <row r="91" spans="1:43" x14ac:dyDescent="0.25">
      <c r="A91" s="42" t="str">
        <f t="shared" ref="A91:A154" si="81">TRIM(MID(D91, FIND(",", D91) + 1, FIND(" bf", D91) - FIND(",", D91) - 1))</f>
        <v>electricity</v>
      </c>
      <c r="B91" s="42" t="str">
        <f t="shared" ref="B91:B154" si="82">TRIM(MID(D91, FIND("[", D91) + 1, FIND(",", D91) - FIND("[", D91) - 1))</f>
        <v>urban residential</v>
      </c>
      <c r="C91" s="42" t="str">
        <f t="shared" ref="C91:C154" si="83">TRIM(MID(D91, FIND(",", D91, FIND(",", D91) + 1) + 1, FIND("]", D91) - FIND(",", D91, FIND(",", D91) + 1) - 1))</f>
        <v>cooling and ventilation</v>
      </c>
      <c r="D91" s="1" t="s">
        <v>295</v>
      </c>
      <c r="E91" s="39">
        <v>321000000000000</v>
      </c>
      <c r="F91" s="39">
        <v>328000000000000</v>
      </c>
      <c r="G91" s="39">
        <v>334000000000000</v>
      </c>
      <c r="H91" s="39">
        <v>340000000000000</v>
      </c>
      <c r="I91" s="39">
        <v>343000000000000</v>
      </c>
      <c r="J91" s="39">
        <v>346000000000000</v>
      </c>
      <c r="K91" s="39">
        <v>349000000000000</v>
      </c>
      <c r="L91" s="39">
        <v>353000000000000</v>
      </c>
      <c r="M91" s="39">
        <v>355000000000000</v>
      </c>
      <c r="N91" s="39">
        <v>358000000000000</v>
      </c>
      <c r="O91" s="39">
        <v>360000000000000</v>
      </c>
      <c r="P91" s="39">
        <v>363000000000000</v>
      </c>
      <c r="Q91" s="39">
        <v>365000000000000</v>
      </c>
      <c r="R91" s="39">
        <v>366000000000000</v>
      </c>
      <c r="S91" s="39">
        <v>366000000000000</v>
      </c>
      <c r="T91" s="39">
        <v>366000000000000</v>
      </c>
      <c r="U91" s="39">
        <v>366000000000000</v>
      </c>
      <c r="V91" s="39">
        <v>366000000000000</v>
      </c>
      <c r="W91" s="39">
        <v>366000000000000</v>
      </c>
      <c r="X91" s="39">
        <v>364000000000000</v>
      </c>
      <c r="Y91" s="39">
        <v>363000000000000</v>
      </c>
      <c r="Z91" s="39">
        <v>362000000000000</v>
      </c>
      <c r="AA91" s="39">
        <v>360000000000000</v>
      </c>
      <c r="AB91" s="39">
        <v>359000000000000</v>
      </c>
      <c r="AC91" s="39">
        <v>356000000000000</v>
      </c>
      <c r="AD91" s="39">
        <v>354000000000000</v>
      </c>
      <c r="AE91" s="39">
        <v>351000000000000</v>
      </c>
      <c r="AF91" s="39">
        <v>349000000000000</v>
      </c>
      <c r="AG91" s="39">
        <v>346000000000000</v>
      </c>
      <c r="AH91" s="39">
        <v>342000000000000</v>
      </c>
      <c r="AI91" s="39">
        <v>338000000000000</v>
      </c>
      <c r="AJ91" s="39">
        <v>334000000000000</v>
      </c>
      <c r="AK91" s="39">
        <v>331000000000000</v>
      </c>
      <c r="AL91" s="39">
        <v>326000000000000</v>
      </c>
      <c r="AM91" s="39">
        <v>321000000000000</v>
      </c>
      <c r="AN91" s="39">
        <v>316000000000000</v>
      </c>
      <c r="AO91" s="39">
        <v>312000000000000</v>
      </c>
      <c r="AP91" s="39">
        <v>307000000000000</v>
      </c>
    </row>
    <row r="92" spans="1:43" x14ac:dyDescent="0.25">
      <c r="A92" s="42" t="str">
        <f t="shared" si="81"/>
        <v>electricity</v>
      </c>
      <c r="B92" s="42" t="str">
        <f t="shared" si="82"/>
        <v>urban residential</v>
      </c>
      <c r="C92" s="42" t="str">
        <f t="shared" si="83"/>
        <v>envelope</v>
      </c>
      <c r="D92" s="1" t="s">
        <v>78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</row>
    <row r="93" spans="1:43" x14ac:dyDescent="0.25">
      <c r="A93" s="42" t="str">
        <f t="shared" si="81"/>
        <v>electricity</v>
      </c>
      <c r="B93" s="42" t="str">
        <f t="shared" si="82"/>
        <v>urban residential</v>
      </c>
      <c r="C93" s="42" t="str">
        <f t="shared" si="83"/>
        <v>lighting</v>
      </c>
      <c r="D93" s="1" t="s">
        <v>79</v>
      </c>
      <c r="E93" s="39">
        <v>233000000000000</v>
      </c>
      <c r="F93" s="39">
        <v>237000000000000</v>
      </c>
      <c r="G93" s="39">
        <v>242000000000000</v>
      </c>
      <c r="H93" s="39">
        <v>246000000000000</v>
      </c>
      <c r="I93" s="39">
        <v>248000000000000</v>
      </c>
      <c r="J93" s="39">
        <v>251000000000000</v>
      </c>
      <c r="K93" s="39">
        <v>253000000000000</v>
      </c>
      <c r="L93" s="39">
        <v>255000000000000</v>
      </c>
      <c r="M93" s="39">
        <v>257000000000000</v>
      </c>
      <c r="N93" s="39">
        <v>259000000000000</v>
      </c>
      <c r="O93" s="39">
        <v>261000000000000</v>
      </c>
      <c r="P93" s="39">
        <v>262000000000000</v>
      </c>
      <c r="Q93" s="39">
        <v>264000000000000</v>
      </c>
      <c r="R93" s="39">
        <v>265000000000000</v>
      </c>
      <c r="S93" s="39">
        <v>265000000000000</v>
      </c>
      <c r="T93" s="39">
        <v>265000000000000</v>
      </c>
      <c r="U93" s="39">
        <v>265000000000000</v>
      </c>
      <c r="V93" s="39">
        <v>265000000000000</v>
      </c>
      <c r="W93" s="39">
        <v>265000000000000</v>
      </c>
      <c r="X93" s="39">
        <v>264000000000000</v>
      </c>
      <c r="Y93" s="39">
        <v>263000000000000</v>
      </c>
      <c r="Z93" s="39">
        <v>262000000000000</v>
      </c>
      <c r="AA93" s="39">
        <v>261000000000000</v>
      </c>
      <c r="AB93" s="39">
        <v>259000000000000</v>
      </c>
      <c r="AC93" s="39">
        <v>258000000000000</v>
      </c>
      <c r="AD93" s="39">
        <v>256000000000000</v>
      </c>
      <c r="AE93" s="39">
        <v>254000000000000</v>
      </c>
      <c r="AF93" s="39">
        <v>252000000000000</v>
      </c>
      <c r="AG93" s="39">
        <v>250000000000000</v>
      </c>
      <c r="AH93" s="39">
        <v>247000000000000</v>
      </c>
      <c r="AI93" s="39">
        <v>245000000000000</v>
      </c>
      <c r="AJ93" s="39">
        <v>242000000000000</v>
      </c>
      <c r="AK93" s="39">
        <v>239000000000000</v>
      </c>
      <c r="AL93" s="39">
        <v>236000000000000</v>
      </c>
      <c r="AM93" s="39">
        <v>233000000000000</v>
      </c>
      <c r="AN93" s="39">
        <v>229000000000000</v>
      </c>
      <c r="AO93" s="39">
        <v>225000000000000</v>
      </c>
      <c r="AP93" s="39">
        <v>222000000000000</v>
      </c>
    </row>
    <row r="94" spans="1:43" x14ac:dyDescent="0.25">
      <c r="A94" s="42" t="str">
        <f t="shared" si="81"/>
        <v>electricity</v>
      </c>
      <c r="B94" s="42" t="str">
        <f t="shared" si="82"/>
        <v>urban residential</v>
      </c>
      <c r="C94" s="42" t="str">
        <f t="shared" si="83"/>
        <v>appliances</v>
      </c>
      <c r="D94" s="1" t="s">
        <v>80</v>
      </c>
      <c r="E94" s="39">
        <v>584000000000000</v>
      </c>
      <c r="F94" s="39">
        <v>595000000000000</v>
      </c>
      <c r="G94" s="39">
        <v>607000000000000</v>
      </c>
      <c r="H94" s="39">
        <v>617000000000000</v>
      </c>
      <c r="I94" s="39">
        <v>623000000000000</v>
      </c>
      <c r="J94" s="39">
        <v>629000000000000</v>
      </c>
      <c r="K94" s="39">
        <v>635000000000000</v>
      </c>
      <c r="L94" s="39">
        <v>640000000000000</v>
      </c>
      <c r="M94" s="39">
        <v>645000000000000</v>
      </c>
      <c r="N94" s="39">
        <v>650000000000000</v>
      </c>
      <c r="O94" s="39">
        <v>654000000000000</v>
      </c>
      <c r="P94" s="39">
        <v>659000000000000</v>
      </c>
      <c r="Q94" s="39">
        <v>663000000000000</v>
      </c>
      <c r="R94" s="39">
        <v>665000000000000</v>
      </c>
      <c r="S94" s="39">
        <v>665000000000000</v>
      </c>
      <c r="T94" s="39">
        <v>665000000000000</v>
      </c>
      <c r="U94" s="39">
        <v>665000000000000</v>
      </c>
      <c r="V94" s="39">
        <v>665000000000000</v>
      </c>
      <c r="W94" s="39">
        <v>664000000000000</v>
      </c>
      <c r="X94" s="39">
        <v>662000000000000</v>
      </c>
      <c r="Y94" s="39">
        <v>659000000000000</v>
      </c>
      <c r="Z94" s="39">
        <v>657000000000000</v>
      </c>
      <c r="AA94" s="39">
        <v>654000000000000</v>
      </c>
      <c r="AB94" s="39">
        <v>651000000000000</v>
      </c>
      <c r="AC94" s="39">
        <v>647000000000000</v>
      </c>
      <c r="AD94" s="39">
        <v>642000000000000</v>
      </c>
      <c r="AE94" s="39">
        <v>638000000000000</v>
      </c>
      <c r="AF94" s="39">
        <v>633000000000000</v>
      </c>
      <c r="AG94" s="39">
        <v>628000000000000</v>
      </c>
      <c r="AH94" s="39">
        <v>621000000000000</v>
      </c>
      <c r="AI94" s="39">
        <v>614000000000000</v>
      </c>
      <c r="AJ94" s="39">
        <v>607000000000000</v>
      </c>
      <c r="AK94" s="39">
        <v>600000000000000</v>
      </c>
      <c r="AL94" s="39">
        <v>592000000000000</v>
      </c>
      <c r="AM94" s="39">
        <v>584000000000000</v>
      </c>
      <c r="AN94" s="39">
        <v>575000000000000</v>
      </c>
      <c r="AO94" s="39">
        <v>566000000000000</v>
      </c>
      <c r="AP94" s="39">
        <v>556000000000000</v>
      </c>
    </row>
    <row r="95" spans="1:43" x14ac:dyDescent="0.25">
      <c r="A95" s="42" t="str">
        <f t="shared" si="81"/>
        <v>electricity</v>
      </c>
      <c r="B95" s="42" t="str">
        <f t="shared" si="82"/>
        <v>urban residential</v>
      </c>
      <c r="C95" s="42" t="str">
        <f t="shared" si="83"/>
        <v>other component</v>
      </c>
      <c r="D95" s="1" t="s">
        <v>81</v>
      </c>
      <c r="E95" s="39">
        <v>930000000000000</v>
      </c>
      <c r="F95" s="39">
        <v>949000000000000</v>
      </c>
      <c r="G95" s="39">
        <v>968000000000000</v>
      </c>
      <c r="H95" s="39">
        <v>983000000000000</v>
      </c>
      <c r="I95" s="39">
        <v>992000000000000</v>
      </c>
      <c r="J95" s="39">
        <v>1000000000000000</v>
      </c>
      <c r="K95" s="39">
        <v>1010000000000000</v>
      </c>
      <c r="L95" s="39">
        <v>1020000000000000</v>
      </c>
      <c r="M95" s="39">
        <v>1030000000000000</v>
      </c>
      <c r="N95" s="39">
        <v>1040000000000000</v>
      </c>
      <c r="O95" s="39">
        <v>1040000000000000</v>
      </c>
      <c r="P95" s="39">
        <v>1050000000000000</v>
      </c>
      <c r="Q95" s="39">
        <v>1060000000000000</v>
      </c>
      <c r="R95" s="39">
        <v>1060000000000000</v>
      </c>
      <c r="S95" s="39">
        <v>1060000000000000</v>
      </c>
      <c r="T95" s="39">
        <v>1060000000000000</v>
      </c>
      <c r="U95" s="39">
        <v>1060000000000000</v>
      </c>
      <c r="V95" s="39">
        <v>1060000000000000</v>
      </c>
      <c r="W95" s="39">
        <v>1060000000000000</v>
      </c>
      <c r="X95" s="39">
        <v>1050000000000000</v>
      </c>
      <c r="Y95" s="39">
        <v>1050000000000000</v>
      </c>
      <c r="Z95" s="39">
        <v>1050000000000000</v>
      </c>
      <c r="AA95" s="39">
        <v>1040000000000000</v>
      </c>
      <c r="AB95" s="39">
        <v>1040000000000000</v>
      </c>
      <c r="AC95" s="39">
        <v>1030000000000000</v>
      </c>
      <c r="AD95" s="39">
        <v>1020000000000000</v>
      </c>
      <c r="AE95" s="39">
        <v>1020000000000000</v>
      </c>
      <c r="AF95" s="39">
        <v>1010000000000000</v>
      </c>
      <c r="AG95" s="39">
        <v>1000000000000000</v>
      </c>
      <c r="AH95" s="39">
        <v>990000000000000</v>
      </c>
      <c r="AI95" s="39">
        <v>979000000000000</v>
      </c>
      <c r="AJ95" s="39">
        <v>968000000000000</v>
      </c>
      <c r="AK95" s="39">
        <v>956000000000000</v>
      </c>
      <c r="AL95" s="39">
        <v>944000000000000</v>
      </c>
      <c r="AM95" s="39">
        <v>930000000000000</v>
      </c>
      <c r="AN95" s="39">
        <v>916000000000000</v>
      </c>
      <c r="AO95" s="39">
        <v>901000000000000</v>
      </c>
      <c r="AP95" s="39">
        <v>887000000000000</v>
      </c>
    </row>
    <row r="96" spans="1:43" x14ac:dyDescent="0.25">
      <c r="A96" s="42" t="str">
        <f t="shared" si="81"/>
        <v>hard coal</v>
      </c>
      <c r="B96" s="42" t="str">
        <f t="shared" si="82"/>
        <v>urban residential</v>
      </c>
      <c r="C96" s="42" t="str">
        <f t="shared" si="83"/>
        <v>heating</v>
      </c>
      <c r="D96" s="1" t="s">
        <v>82</v>
      </c>
      <c r="E96" s="39">
        <v>0</v>
      </c>
      <c r="F96" s="39">
        <v>0</v>
      </c>
      <c r="G96" s="39">
        <v>0</v>
      </c>
      <c r="H96" s="39">
        <v>0</v>
      </c>
      <c r="I96" s="39">
        <v>0</v>
      </c>
      <c r="J96" s="39">
        <v>0</v>
      </c>
      <c r="K96" s="39">
        <v>0</v>
      </c>
      <c r="L96" s="39">
        <v>0</v>
      </c>
      <c r="M96" s="39">
        <v>0</v>
      </c>
      <c r="N96" s="39">
        <v>0</v>
      </c>
      <c r="O96" s="39">
        <v>0</v>
      </c>
      <c r="P96" s="39">
        <v>0</v>
      </c>
      <c r="Q96" s="39">
        <v>0</v>
      </c>
      <c r="R96" s="39">
        <v>0</v>
      </c>
      <c r="S96" s="39">
        <v>0</v>
      </c>
      <c r="T96" s="39">
        <v>0</v>
      </c>
      <c r="U96" s="39">
        <v>0</v>
      </c>
      <c r="V96" s="39">
        <v>0</v>
      </c>
      <c r="W96" s="39">
        <v>0</v>
      </c>
      <c r="X96" s="39">
        <v>0</v>
      </c>
      <c r="Y96" s="39">
        <v>0</v>
      </c>
      <c r="Z96" s="39">
        <v>0</v>
      </c>
      <c r="AA96" s="39">
        <v>0</v>
      </c>
      <c r="AB96" s="39">
        <v>0</v>
      </c>
      <c r="AC96" s="39">
        <v>0</v>
      </c>
      <c r="AD96" s="39">
        <v>0</v>
      </c>
      <c r="AE96" s="39">
        <v>0</v>
      </c>
      <c r="AF96" s="39">
        <v>0</v>
      </c>
      <c r="AG96" s="39">
        <v>0</v>
      </c>
      <c r="AH96" s="39">
        <v>0</v>
      </c>
      <c r="AI96" s="39">
        <v>0</v>
      </c>
      <c r="AJ96" s="39">
        <v>0</v>
      </c>
      <c r="AK96" s="39">
        <v>0</v>
      </c>
      <c r="AL96" s="39">
        <v>0</v>
      </c>
      <c r="AM96" s="39">
        <v>0</v>
      </c>
      <c r="AN96" s="39">
        <v>0</v>
      </c>
      <c r="AO96" s="39">
        <v>0</v>
      </c>
      <c r="AP96" s="39">
        <v>0</v>
      </c>
    </row>
    <row r="97" spans="1:42" x14ac:dyDescent="0.25">
      <c r="A97" s="42" t="str">
        <f t="shared" si="81"/>
        <v>hard coal</v>
      </c>
      <c r="B97" s="42" t="str">
        <f t="shared" si="82"/>
        <v>urban residential</v>
      </c>
      <c r="C97" s="42" t="str">
        <f t="shared" si="83"/>
        <v>cooling and ventilation</v>
      </c>
      <c r="D97" s="1" t="s">
        <v>83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</row>
    <row r="98" spans="1:42" x14ac:dyDescent="0.25">
      <c r="A98" s="42" t="str">
        <f t="shared" si="81"/>
        <v>hard coal</v>
      </c>
      <c r="B98" s="42" t="str">
        <f t="shared" si="82"/>
        <v>urban residential</v>
      </c>
      <c r="C98" s="42" t="str">
        <f t="shared" si="83"/>
        <v>envelope</v>
      </c>
      <c r="D98" s="1" t="s">
        <v>84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</row>
    <row r="99" spans="1:42" x14ac:dyDescent="0.25">
      <c r="A99" s="42" t="str">
        <f t="shared" si="81"/>
        <v>hard coal</v>
      </c>
      <c r="B99" s="42" t="str">
        <f t="shared" si="82"/>
        <v>urban residential</v>
      </c>
      <c r="C99" s="42" t="str">
        <f t="shared" si="83"/>
        <v>lighting</v>
      </c>
      <c r="D99" s="1" t="s">
        <v>85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</row>
    <row r="100" spans="1:42" x14ac:dyDescent="0.25">
      <c r="A100" s="42" t="str">
        <f t="shared" si="81"/>
        <v>hard coal</v>
      </c>
      <c r="B100" s="42" t="str">
        <f t="shared" si="82"/>
        <v>urban residential</v>
      </c>
      <c r="C100" s="42" t="str">
        <f t="shared" si="83"/>
        <v>appliances</v>
      </c>
      <c r="D100" s="1" t="s">
        <v>86</v>
      </c>
      <c r="E100" s="39">
        <v>89600000000000</v>
      </c>
      <c r="F100" s="39">
        <v>91800000000000</v>
      </c>
      <c r="G100" s="39">
        <v>94000000000000</v>
      </c>
      <c r="H100" s="39">
        <v>95900000000000</v>
      </c>
      <c r="I100" s="39">
        <v>97300000000000</v>
      </c>
      <c r="J100" s="39">
        <v>98700000000000</v>
      </c>
      <c r="K100" s="39">
        <v>100000000000000</v>
      </c>
      <c r="L100" s="39">
        <v>102000000000000</v>
      </c>
      <c r="M100" s="39">
        <v>103000000000000</v>
      </c>
      <c r="N100" s="39">
        <v>104000000000000</v>
      </c>
      <c r="O100" s="39">
        <v>106000000000000</v>
      </c>
      <c r="P100" s="39">
        <v>107000000000000</v>
      </c>
      <c r="Q100" s="39">
        <v>108000000000000</v>
      </c>
      <c r="R100" s="39">
        <v>109000000000000</v>
      </c>
      <c r="S100" s="39">
        <v>110000000000000</v>
      </c>
      <c r="T100" s="39">
        <v>110000000000000</v>
      </c>
      <c r="U100" s="39">
        <v>111000000000000</v>
      </c>
      <c r="V100" s="39">
        <v>111000000000000</v>
      </c>
      <c r="W100" s="39">
        <v>112000000000000</v>
      </c>
      <c r="X100" s="39">
        <v>112000000000000</v>
      </c>
      <c r="Y100" s="39">
        <v>112000000000000</v>
      </c>
      <c r="Z100" s="39">
        <v>112000000000000</v>
      </c>
      <c r="AA100" s="39">
        <v>112000000000000</v>
      </c>
      <c r="AB100" s="39">
        <v>112000000000000</v>
      </c>
      <c r="AC100" s="39">
        <v>112000000000000</v>
      </c>
      <c r="AD100" s="39">
        <v>112000000000000</v>
      </c>
      <c r="AE100" s="39">
        <v>112000000000000</v>
      </c>
      <c r="AF100" s="39">
        <v>112000000000000</v>
      </c>
      <c r="AG100" s="39">
        <v>111000000000000</v>
      </c>
      <c r="AH100" s="39">
        <v>111000000000000</v>
      </c>
      <c r="AI100" s="39">
        <v>110000000000000</v>
      </c>
      <c r="AJ100" s="39">
        <v>110000000000000</v>
      </c>
      <c r="AK100" s="39">
        <v>109000000000000</v>
      </c>
      <c r="AL100" s="39">
        <v>109000000000000</v>
      </c>
      <c r="AM100" s="39">
        <v>108000000000000</v>
      </c>
      <c r="AN100" s="39">
        <v>107000000000000</v>
      </c>
      <c r="AO100" s="39">
        <v>106000000000000</v>
      </c>
      <c r="AP100" s="39">
        <v>105000000000000</v>
      </c>
    </row>
    <row r="101" spans="1:42" x14ac:dyDescent="0.25">
      <c r="A101" s="42" t="str">
        <f t="shared" si="81"/>
        <v>hard coal</v>
      </c>
      <c r="B101" s="42" t="str">
        <f t="shared" si="82"/>
        <v>urban residential</v>
      </c>
      <c r="C101" s="42" t="str">
        <f t="shared" si="83"/>
        <v>other component</v>
      </c>
      <c r="D101" s="1" t="s">
        <v>87</v>
      </c>
      <c r="E101" s="39">
        <v>0</v>
      </c>
      <c r="F101" s="39">
        <v>0</v>
      </c>
      <c r="G101" s="39">
        <v>0</v>
      </c>
      <c r="H101" s="39">
        <v>0</v>
      </c>
      <c r="I101" s="39">
        <v>0</v>
      </c>
      <c r="J101" s="39">
        <v>0</v>
      </c>
      <c r="K101" s="39">
        <v>0</v>
      </c>
      <c r="L101" s="39">
        <v>0</v>
      </c>
      <c r="M101" s="39">
        <v>0</v>
      </c>
      <c r="N101" s="39">
        <v>0</v>
      </c>
      <c r="O101" s="39">
        <v>0</v>
      </c>
      <c r="P101" s="39">
        <v>0</v>
      </c>
      <c r="Q101" s="39">
        <v>0</v>
      </c>
      <c r="R101" s="39">
        <v>0</v>
      </c>
      <c r="S101" s="39">
        <v>0</v>
      </c>
      <c r="T101" s="39">
        <v>0</v>
      </c>
      <c r="U101" s="39">
        <v>0</v>
      </c>
      <c r="V101" s="39">
        <v>0</v>
      </c>
      <c r="W101" s="39">
        <v>0</v>
      </c>
      <c r="X101" s="39">
        <v>0</v>
      </c>
      <c r="Y101" s="39">
        <v>0</v>
      </c>
      <c r="Z101" s="39">
        <v>0</v>
      </c>
      <c r="AA101" s="39">
        <v>0</v>
      </c>
      <c r="AB101" s="39">
        <v>0</v>
      </c>
      <c r="AC101" s="39">
        <v>0</v>
      </c>
      <c r="AD101" s="39">
        <v>0</v>
      </c>
      <c r="AE101" s="39">
        <v>0</v>
      </c>
      <c r="AF101" s="39">
        <v>0</v>
      </c>
      <c r="AG101" s="39">
        <v>0</v>
      </c>
      <c r="AH101" s="39">
        <v>0</v>
      </c>
      <c r="AI101" s="39">
        <v>0</v>
      </c>
      <c r="AJ101" s="39">
        <v>0</v>
      </c>
      <c r="AK101" s="39">
        <v>0</v>
      </c>
      <c r="AL101" s="39">
        <v>0</v>
      </c>
      <c r="AM101" s="39">
        <v>0</v>
      </c>
      <c r="AN101" s="39">
        <v>0</v>
      </c>
      <c r="AO101" s="39">
        <v>0</v>
      </c>
      <c r="AP101" s="39">
        <v>0</v>
      </c>
    </row>
    <row r="102" spans="1:42" x14ac:dyDescent="0.25">
      <c r="A102" s="42" t="str">
        <f t="shared" si="81"/>
        <v>natural gas</v>
      </c>
      <c r="B102" s="42" t="str">
        <f t="shared" si="82"/>
        <v>urban residential</v>
      </c>
      <c r="C102" s="42" t="str">
        <f t="shared" si="83"/>
        <v>heating</v>
      </c>
      <c r="D102" s="1" t="s">
        <v>88</v>
      </c>
      <c r="E102" s="39">
        <v>1740000000000000</v>
      </c>
      <c r="F102" s="39">
        <v>1780000000000000</v>
      </c>
      <c r="G102" s="39">
        <v>1820000000000000</v>
      </c>
      <c r="H102" s="39">
        <v>1850000000000000</v>
      </c>
      <c r="I102" s="39">
        <v>1880000000000000</v>
      </c>
      <c r="J102" s="39">
        <v>1900000000000000</v>
      </c>
      <c r="K102" s="39">
        <v>1920000000000000</v>
      </c>
      <c r="L102" s="39">
        <v>1950000000000000</v>
      </c>
      <c r="M102" s="39">
        <v>1970000000000000</v>
      </c>
      <c r="N102" s="39">
        <v>1990000000000000</v>
      </c>
      <c r="O102" s="39">
        <v>2010000000000000</v>
      </c>
      <c r="P102" s="39">
        <v>2030000000000000</v>
      </c>
      <c r="Q102" s="39">
        <v>2050000000000000</v>
      </c>
      <c r="R102" s="39">
        <v>2070000000000000</v>
      </c>
      <c r="S102" s="39">
        <v>2080000000000000</v>
      </c>
      <c r="T102" s="39">
        <v>2080000000000000</v>
      </c>
      <c r="U102" s="39">
        <v>2090000000000000</v>
      </c>
      <c r="V102" s="39">
        <v>2100000000000000</v>
      </c>
      <c r="W102" s="39">
        <v>2100000000000000</v>
      </c>
      <c r="X102" s="39">
        <v>2100000000000000</v>
      </c>
      <c r="Y102" s="39">
        <v>2100000000000000</v>
      </c>
      <c r="Z102" s="39">
        <v>2100000000000000</v>
      </c>
      <c r="AA102" s="39">
        <v>2100000000000000</v>
      </c>
      <c r="AB102" s="39">
        <v>2100000000000000</v>
      </c>
      <c r="AC102" s="39">
        <v>2090000000000000</v>
      </c>
      <c r="AD102" s="39">
        <v>2090000000000000</v>
      </c>
      <c r="AE102" s="39">
        <v>2080000000000000</v>
      </c>
      <c r="AF102" s="39">
        <v>2070000000000000</v>
      </c>
      <c r="AG102" s="39">
        <v>2070000000000000</v>
      </c>
      <c r="AH102" s="39">
        <v>2050000000000000</v>
      </c>
      <c r="AI102" s="39">
        <v>2040000000000000</v>
      </c>
      <c r="AJ102" s="39">
        <v>2030000000000000</v>
      </c>
      <c r="AK102" s="39">
        <v>2010000000000000</v>
      </c>
      <c r="AL102" s="39">
        <v>2000000000000000</v>
      </c>
      <c r="AM102" s="39">
        <v>1980000000000000</v>
      </c>
      <c r="AN102" s="39">
        <v>1960000000000000</v>
      </c>
      <c r="AO102" s="39">
        <v>1950000000000000</v>
      </c>
      <c r="AP102" s="39">
        <v>1930000000000000</v>
      </c>
    </row>
    <row r="103" spans="1:42" x14ac:dyDescent="0.25">
      <c r="A103" s="42" t="str">
        <f t="shared" si="81"/>
        <v>natural gas</v>
      </c>
      <c r="B103" s="42" t="str">
        <f t="shared" si="82"/>
        <v>urban residential</v>
      </c>
      <c r="C103" s="42" t="str">
        <f t="shared" si="83"/>
        <v>cooling and ventilation</v>
      </c>
      <c r="D103" s="1" t="s">
        <v>89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</row>
    <row r="104" spans="1:42" x14ac:dyDescent="0.25">
      <c r="A104" s="42" t="str">
        <f t="shared" si="81"/>
        <v>natural gas</v>
      </c>
      <c r="B104" s="42" t="str">
        <f t="shared" si="82"/>
        <v>urban residential</v>
      </c>
      <c r="C104" s="42" t="str">
        <f t="shared" si="83"/>
        <v>envelope</v>
      </c>
      <c r="D104" s="1" t="s">
        <v>90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</row>
    <row r="105" spans="1:42" x14ac:dyDescent="0.25">
      <c r="A105" s="42" t="str">
        <f t="shared" si="81"/>
        <v>natural gas</v>
      </c>
      <c r="B105" s="42" t="str">
        <f t="shared" si="82"/>
        <v>urban residential</v>
      </c>
      <c r="C105" s="42" t="str">
        <f t="shared" si="83"/>
        <v>lighting</v>
      </c>
      <c r="D105" s="1" t="s">
        <v>91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</row>
    <row r="106" spans="1:42" x14ac:dyDescent="0.25">
      <c r="A106" s="42" t="str">
        <f t="shared" si="81"/>
        <v>natural gas</v>
      </c>
      <c r="B106" s="42" t="str">
        <f t="shared" si="82"/>
        <v>urban residential</v>
      </c>
      <c r="C106" s="42" t="str">
        <f t="shared" si="83"/>
        <v>appliances</v>
      </c>
      <c r="D106" s="1" t="s">
        <v>92</v>
      </c>
      <c r="E106" s="39">
        <v>228000000000000</v>
      </c>
      <c r="F106" s="39">
        <v>233000000000000</v>
      </c>
      <c r="G106" s="39">
        <v>239000000000000</v>
      </c>
      <c r="H106" s="39">
        <v>244000000000000</v>
      </c>
      <c r="I106" s="39">
        <v>247000000000000</v>
      </c>
      <c r="J106" s="39">
        <v>251000000000000</v>
      </c>
      <c r="K106" s="39">
        <v>255000000000000</v>
      </c>
      <c r="L106" s="39">
        <v>258000000000000</v>
      </c>
      <c r="M106" s="39">
        <v>262000000000000</v>
      </c>
      <c r="N106" s="39">
        <v>265000000000000</v>
      </c>
      <c r="O106" s="39">
        <v>269000000000000</v>
      </c>
      <c r="P106" s="39">
        <v>272000000000000</v>
      </c>
      <c r="Q106" s="39">
        <v>276000000000000</v>
      </c>
      <c r="R106" s="39">
        <v>278000000000000</v>
      </c>
      <c r="S106" s="39">
        <v>279000000000000</v>
      </c>
      <c r="T106" s="39">
        <v>281000000000000</v>
      </c>
      <c r="U106" s="39">
        <v>282000000000000</v>
      </c>
      <c r="V106" s="39">
        <v>283000000000000</v>
      </c>
      <c r="W106" s="39">
        <v>284000000000000</v>
      </c>
      <c r="X106" s="39">
        <v>285000000000000</v>
      </c>
      <c r="Y106" s="39">
        <v>285000000000000</v>
      </c>
      <c r="Z106" s="39">
        <v>285000000000000</v>
      </c>
      <c r="AA106" s="39">
        <v>286000000000000</v>
      </c>
      <c r="AB106" s="39">
        <v>286000000000000</v>
      </c>
      <c r="AC106" s="39">
        <v>285000000000000</v>
      </c>
      <c r="AD106" s="39">
        <v>285000000000000</v>
      </c>
      <c r="AE106" s="39">
        <v>285000000000000</v>
      </c>
      <c r="AF106" s="39">
        <v>284000000000000</v>
      </c>
      <c r="AG106" s="39">
        <v>283000000000000</v>
      </c>
      <c r="AH106" s="39">
        <v>282000000000000</v>
      </c>
      <c r="AI106" s="39">
        <v>281000000000000</v>
      </c>
      <c r="AJ106" s="39">
        <v>279000000000000</v>
      </c>
      <c r="AK106" s="39">
        <v>278000000000000</v>
      </c>
      <c r="AL106" s="39">
        <v>276000000000000</v>
      </c>
      <c r="AM106" s="39">
        <v>274000000000000</v>
      </c>
      <c r="AN106" s="39">
        <v>272000000000000</v>
      </c>
      <c r="AO106" s="39">
        <v>270000000000000</v>
      </c>
      <c r="AP106" s="39">
        <v>268000000000000</v>
      </c>
    </row>
    <row r="107" spans="1:42" x14ac:dyDescent="0.25">
      <c r="A107" s="42" t="str">
        <f t="shared" si="81"/>
        <v>natural gas</v>
      </c>
      <c r="B107" s="42" t="str">
        <f t="shared" si="82"/>
        <v>urban residential</v>
      </c>
      <c r="C107" s="42" t="str">
        <f t="shared" si="83"/>
        <v>other component</v>
      </c>
      <c r="D107" s="1" t="s">
        <v>93</v>
      </c>
      <c r="E107" s="39">
        <v>0</v>
      </c>
      <c r="F107" s="39">
        <v>0</v>
      </c>
      <c r="G107" s="39">
        <v>0</v>
      </c>
      <c r="H107" s="39">
        <v>0</v>
      </c>
      <c r="I107" s="39">
        <v>0</v>
      </c>
      <c r="J107" s="39">
        <v>0</v>
      </c>
      <c r="K107" s="39">
        <v>0</v>
      </c>
      <c r="L107" s="39">
        <v>0</v>
      </c>
      <c r="M107" s="39">
        <v>0</v>
      </c>
      <c r="N107" s="39">
        <v>0</v>
      </c>
      <c r="O107" s="39">
        <v>0</v>
      </c>
      <c r="P107" s="39">
        <v>0</v>
      </c>
      <c r="Q107" s="39">
        <v>0</v>
      </c>
      <c r="R107" s="39">
        <v>0</v>
      </c>
      <c r="S107" s="39">
        <v>0</v>
      </c>
      <c r="T107" s="39">
        <v>0</v>
      </c>
      <c r="U107" s="39">
        <v>0</v>
      </c>
      <c r="V107" s="39">
        <v>0</v>
      </c>
      <c r="W107" s="39">
        <v>0</v>
      </c>
      <c r="X107" s="39">
        <v>0</v>
      </c>
      <c r="Y107" s="39">
        <v>0</v>
      </c>
      <c r="Z107" s="39">
        <v>0</v>
      </c>
      <c r="AA107" s="39">
        <v>0</v>
      </c>
      <c r="AB107" s="39">
        <v>0</v>
      </c>
      <c r="AC107" s="39">
        <v>0</v>
      </c>
      <c r="AD107" s="39">
        <v>0</v>
      </c>
      <c r="AE107" s="39">
        <v>0</v>
      </c>
      <c r="AF107" s="39">
        <v>0</v>
      </c>
      <c r="AG107" s="39">
        <v>0</v>
      </c>
      <c r="AH107" s="39">
        <v>0</v>
      </c>
      <c r="AI107" s="39">
        <v>0</v>
      </c>
      <c r="AJ107" s="39">
        <v>0</v>
      </c>
      <c r="AK107" s="39">
        <v>0</v>
      </c>
      <c r="AL107" s="39">
        <v>0</v>
      </c>
      <c r="AM107" s="39">
        <v>0</v>
      </c>
      <c r="AN107" s="39">
        <v>0</v>
      </c>
      <c r="AO107" s="39">
        <v>0</v>
      </c>
      <c r="AP107" s="39">
        <v>0</v>
      </c>
    </row>
    <row r="108" spans="1:42" x14ac:dyDescent="0.25">
      <c r="A108" s="42" t="str">
        <f t="shared" si="81"/>
        <v>petroleum diesel</v>
      </c>
      <c r="B108" s="42" t="str">
        <f t="shared" si="82"/>
        <v>urban residential</v>
      </c>
      <c r="C108" s="42" t="str">
        <f t="shared" si="83"/>
        <v>heating</v>
      </c>
      <c r="D108" s="1" t="s">
        <v>94</v>
      </c>
      <c r="E108" s="39">
        <v>0</v>
      </c>
      <c r="F108" s="39">
        <v>0</v>
      </c>
      <c r="G108" s="39">
        <v>0</v>
      </c>
      <c r="H108" s="39">
        <v>0</v>
      </c>
      <c r="I108" s="39">
        <v>0</v>
      </c>
      <c r="J108" s="39">
        <v>0</v>
      </c>
      <c r="K108" s="39">
        <v>0</v>
      </c>
      <c r="L108" s="39">
        <v>0</v>
      </c>
      <c r="M108" s="39">
        <v>0</v>
      </c>
      <c r="N108" s="39">
        <v>0</v>
      </c>
      <c r="O108" s="39">
        <v>0</v>
      </c>
      <c r="P108" s="39">
        <v>0</v>
      </c>
      <c r="Q108" s="39">
        <v>0</v>
      </c>
      <c r="R108" s="39">
        <v>0</v>
      </c>
      <c r="S108" s="39">
        <v>0</v>
      </c>
      <c r="T108" s="39">
        <v>0</v>
      </c>
      <c r="U108" s="39">
        <v>0</v>
      </c>
      <c r="V108" s="39">
        <v>0</v>
      </c>
      <c r="W108" s="39">
        <v>0</v>
      </c>
      <c r="X108" s="39">
        <v>0</v>
      </c>
      <c r="Y108" s="39">
        <v>0</v>
      </c>
      <c r="Z108" s="39">
        <v>0</v>
      </c>
      <c r="AA108" s="39">
        <v>0</v>
      </c>
      <c r="AB108" s="39">
        <v>0</v>
      </c>
      <c r="AC108" s="39">
        <v>0</v>
      </c>
      <c r="AD108" s="39">
        <v>0</v>
      </c>
      <c r="AE108" s="39">
        <v>0</v>
      </c>
      <c r="AF108" s="39">
        <v>0</v>
      </c>
      <c r="AG108" s="39">
        <v>0</v>
      </c>
      <c r="AH108" s="39">
        <v>0</v>
      </c>
      <c r="AI108" s="39">
        <v>0</v>
      </c>
      <c r="AJ108" s="39">
        <v>0</v>
      </c>
      <c r="AK108" s="39">
        <v>0</v>
      </c>
      <c r="AL108" s="39">
        <v>0</v>
      </c>
      <c r="AM108" s="39">
        <v>0</v>
      </c>
      <c r="AN108" s="39">
        <v>0</v>
      </c>
      <c r="AO108" s="39">
        <v>0</v>
      </c>
      <c r="AP108" s="39">
        <v>0</v>
      </c>
    </row>
    <row r="109" spans="1:42" x14ac:dyDescent="0.25">
      <c r="A109" s="42" t="str">
        <f t="shared" si="81"/>
        <v>petroleum diesel</v>
      </c>
      <c r="B109" s="42" t="str">
        <f t="shared" si="82"/>
        <v>urban residential</v>
      </c>
      <c r="C109" s="42" t="str">
        <f t="shared" si="83"/>
        <v>cooling and ventilation</v>
      </c>
      <c r="D109" s="1" t="s">
        <v>95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</row>
    <row r="110" spans="1:42" x14ac:dyDescent="0.25">
      <c r="A110" s="42" t="str">
        <f t="shared" si="81"/>
        <v>petroleum diesel</v>
      </c>
      <c r="B110" s="42" t="str">
        <f t="shared" si="82"/>
        <v>urban residential</v>
      </c>
      <c r="C110" s="42" t="str">
        <f t="shared" si="83"/>
        <v>envelope</v>
      </c>
      <c r="D110" s="1" t="s">
        <v>96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</row>
    <row r="111" spans="1:42" x14ac:dyDescent="0.25">
      <c r="A111" s="42" t="str">
        <f t="shared" si="81"/>
        <v>petroleum diesel</v>
      </c>
      <c r="B111" s="42" t="str">
        <f t="shared" si="82"/>
        <v>urban residential</v>
      </c>
      <c r="C111" s="42" t="str">
        <f t="shared" si="83"/>
        <v>lighting</v>
      </c>
      <c r="D111" s="1" t="s">
        <v>97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</row>
    <row r="112" spans="1:42" x14ac:dyDescent="0.25">
      <c r="A112" s="42" t="str">
        <f t="shared" si="81"/>
        <v>petroleum diesel</v>
      </c>
      <c r="B112" s="42" t="str">
        <f t="shared" si="82"/>
        <v>urban residential</v>
      </c>
      <c r="C112" s="42" t="str">
        <f t="shared" si="83"/>
        <v>appliances</v>
      </c>
      <c r="D112" s="1" t="s">
        <v>98</v>
      </c>
      <c r="E112" s="39">
        <v>5330000000000</v>
      </c>
      <c r="F112" s="39">
        <v>5460000000000</v>
      </c>
      <c r="G112" s="39">
        <v>5590000000000</v>
      </c>
      <c r="H112" s="39">
        <v>5700000000000</v>
      </c>
      <c r="I112" s="39">
        <v>5780000000000</v>
      </c>
      <c r="J112" s="39">
        <v>5870000000000</v>
      </c>
      <c r="K112" s="39">
        <v>5950000000000</v>
      </c>
      <c r="L112" s="39">
        <v>6040000000000</v>
      </c>
      <c r="M112" s="39">
        <v>6120000000000</v>
      </c>
      <c r="N112" s="39">
        <v>6200000000000</v>
      </c>
      <c r="O112" s="39">
        <v>6280000000000</v>
      </c>
      <c r="P112" s="39">
        <v>6360000000000</v>
      </c>
      <c r="Q112" s="39">
        <v>6440000000000</v>
      </c>
      <c r="R112" s="39">
        <v>6500000000000</v>
      </c>
      <c r="S112" s="39">
        <v>6530000000000</v>
      </c>
      <c r="T112" s="39">
        <v>6560000000000</v>
      </c>
      <c r="U112" s="39">
        <v>6590000000000</v>
      </c>
      <c r="V112" s="39">
        <v>6620000000000</v>
      </c>
      <c r="W112" s="39">
        <v>6650000000000</v>
      </c>
      <c r="X112" s="39">
        <v>6650000000000</v>
      </c>
      <c r="Y112" s="39">
        <v>6660000000000</v>
      </c>
      <c r="Z112" s="39">
        <v>6670000000000</v>
      </c>
      <c r="AA112" s="39">
        <v>6680000000000</v>
      </c>
      <c r="AB112" s="39">
        <v>6680000000000</v>
      </c>
      <c r="AC112" s="39">
        <v>6670000000000</v>
      </c>
      <c r="AD112" s="39">
        <v>6660000000000</v>
      </c>
      <c r="AE112" s="39">
        <v>6650000000000</v>
      </c>
      <c r="AF112" s="39">
        <v>6640000000000</v>
      </c>
      <c r="AG112" s="39">
        <v>6620000000000</v>
      </c>
      <c r="AH112" s="39">
        <v>6590000000000</v>
      </c>
      <c r="AI112" s="39">
        <v>6560000000000</v>
      </c>
      <c r="AJ112" s="39">
        <v>6530000000000</v>
      </c>
      <c r="AK112" s="39">
        <v>6500000000000</v>
      </c>
      <c r="AL112" s="39">
        <v>6460000000000</v>
      </c>
      <c r="AM112" s="39">
        <v>6410000000000</v>
      </c>
      <c r="AN112" s="39">
        <v>6360000000000</v>
      </c>
      <c r="AO112" s="39">
        <v>6310000000000</v>
      </c>
      <c r="AP112" s="39">
        <v>6260000000000</v>
      </c>
    </row>
    <row r="113" spans="1:42" x14ac:dyDescent="0.25">
      <c r="A113" s="42" t="str">
        <f t="shared" si="81"/>
        <v>petroleum diesel</v>
      </c>
      <c r="B113" s="42" t="str">
        <f t="shared" si="82"/>
        <v>urban residential</v>
      </c>
      <c r="C113" s="42" t="str">
        <f t="shared" si="83"/>
        <v>other component</v>
      </c>
      <c r="D113" s="1" t="s">
        <v>99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</row>
    <row r="114" spans="1:42" x14ac:dyDescent="0.25">
      <c r="A114" s="42" t="str">
        <f t="shared" si="81"/>
        <v>heat</v>
      </c>
      <c r="B114" s="42" t="str">
        <f t="shared" si="82"/>
        <v>urban residential</v>
      </c>
      <c r="C114" s="42" t="str">
        <f t="shared" si="83"/>
        <v>heating</v>
      </c>
      <c r="D114" s="1" t="s">
        <v>100</v>
      </c>
      <c r="E114" s="39">
        <v>1580000000000000</v>
      </c>
      <c r="F114" s="39">
        <v>1620000000000000</v>
      </c>
      <c r="G114" s="39">
        <v>1650000000000000</v>
      </c>
      <c r="H114" s="39">
        <v>1680000000000000</v>
      </c>
      <c r="I114" s="39">
        <v>1700000000000000</v>
      </c>
      <c r="J114" s="39">
        <v>1720000000000000</v>
      </c>
      <c r="K114" s="39">
        <v>1740000000000000</v>
      </c>
      <c r="L114" s="39">
        <v>1760000000000000</v>
      </c>
      <c r="M114" s="39">
        <v>1780000000000000</v>
      </c>
      <c r="N114" s="39">
        <v>1800000000000000</v>
      </c>
      <c r="O114" s="39">
        <v>1820000000000000</v>
      </c>
      <c r="P114" s="39">
        <v>1840000000000000</v>
      </c>
      <c r="Q114" s="39">
        <v>1860000000000000</v>
      </c>
      <c r="R114" s="39">
        <v>1880000000000000</v>
      </c>
      <c r="S114" s="39">
        <v>1880000000000000</v>
      </c>
      <c r="T114" s="39">
        <v>1890000000000000</v>
      </c>
      <c r="U114" s="39">
        <v>1890000000000000</v>
      </c>
      <c r="V114" s="39">
        <v>1900000000000000</v>
      </c>
      <c r="W114" s="39">
        <v>1900000000000000</v>
      </c>
      <c r="X114" s="39">
        <v>1900000000000000</v>
      </c>
      <c r="Y114" s="39">
        <v>1900000000000000</v>
      </c>
      <c r="Z114" s="39">
        <v>1900000000000000</v>
      </c>
      <c r="AA114" s="39">
        <v>1900000000000000</v>
      </c>
      <c r="AB114" s="39">
        <v>1900000000000000</v>
      </c>
      <c r="AC114" s="39">
        <v>1900000000000000</v>
      </c>
      <c r="AD114" s="39">
        <v>1890000000000000</v>
      </c>
      <c r="AE114" s="39">
        <v>1890000000000000</v>
      </c>
      <c r="AF114" s="39">
        <v>1880000000000000</v>
      </c>
      <c r="AG114" s="39">
        <v>1870000000000000</v>
      </c>
      <c r="AH114" s="39">
        <v>1860000000000000</v>
      </c>
      <c r="AI114" s="39">
        <v>1850000000000000</v>
      </c>
      <c r="AJ114" s="39">
        <v>1840000000000000</v>
      </c>
      <c r="AK114" s="39">
        <v>1830000000000000</v>
      </c>
      <c r="AL114" s="39">
        <v>1810000000000000</v>
      </c>
      <c r="AM114" s="39">
        <v>1800000000000000</v>
      </c>
      <c r="AN114" s="39">
        <v>1780000000000000</v>
      </c>
      <c r="AO114" s="39">
        <v>1760000000000000</v>
      </c>
      <c r="AP114" s="39">
        <v>1750000000000000</v>
      </c>
    </row>
    <row r="115" spans="1:42" x14ac:dyDescent="0.25">
      <c r="A115" s="42" t="str">
        <f t="shared" si="81"/>
        <v>heat</v>
      </c>
      <c r="B115" s="42" t="str">
        <f t="shared" si="82"/>
        <v>urban residential</v>
      </c>
      <c r="C115" s="42" t="str">
        <f t="shared" si="83"/>
        <v>cooling and ventilation</v>
      </c>
      <c r="D115" s="1" t="s">
        <v>101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</row>
    <row r="116" spans="1:42" x14ac:dyDescent="0.25">
      <c r="A116" s="42" t="str">
        <f t="shared" si="81"/>
        <v>heat</v>
      </c>
      <c r="B116" s="42" t="str">
        <f t="shared" si="82"/>
        <v>urban residential</v>
      </c>
      <c r="C116" s="42" t="str">
        <f t="shared" si="83"/>
        <v>envelope</v>
      </c>
      <c r="D116" s="1" t="s">
        <v>102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</row>
    <row r="117" spans="1:42" x14ac:dyDescent="0.25">
      <c r="A117" s="42" t="str">
        <f t="shared" si="81"/>
        <v>heat</v>
      </c>
      <c r="B117" s="42" t="str">
        <f t="shared" si="82"/>
        <v>urban residential</v>
      </c>
      <c r="C117" s="42" t="str">
        <f t="shared" si="83"/>
        <v>lighting</v>
      </c>
      <c r="D117" s="1" t="s">
        <v>103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</row>
    <row r="118" spans="1:42" x14ac:dyDescent="0.25">
      <c r="A118" s="42" t="str">
        <f t="shared" si="81"/>
        <v>heat</v>
      </c>
      <c r="B118" s="42" t="str">
        <f t="shared" si="82"/>
        <v>urban residential</v>
      </c>
      <c r="C118" s="42" t="str">
        <f t="shared" si="83"/>
        <v>appliances</v>
      </c>
      <c r="D118" s="1" t="s">
        <v>104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</row>
    <row r="119" spans="1:42" x14ac:dyDescent="0.25">
      <c r="A119" s="42" t="str">
        <f t="shared" si="81"/>
        <v>heat</v>
      </c>
      <c r="B119" s="42" t="str">
        <f t="shared" si="82"/>
        <v>urban residential</v>
      </c>
      <c r="C119" s="42" t="str">
        <f t="shared" si="83"/>
        <v>other component</v>
      </c>
      <c r="D119" s="1" t="s">
        <v>105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</row>
    <row r="120" spans="1:42" x14ac:dyDescent="0.25">
      <c r="A120" s="42" t="str">
        <f t="shared" si="81"/>
        <v>biomass</v>
      </c>
      <c r="B120" s="42" t="str">
        <f t="shared" si="82"/>
        <v>urban residential</v>
      </c>
      <c r="C120" s="42" t="str">
        <f t="shared" si="83"/>
        <v>heating</v>
      </c>
      <c r="D120" s="1" t="s">
        <v>106</v>
      </c>
      <c r="E120" s="39">
        <v>24400000000000</v>
      </c>
      <c r="F120" s="39">
        <v>24900000000000</v>
      </c>
      <c r="G120" s="39">
        <v>25400000000000</v>
      </c>
      <c r="H120" s="39">
        <v>25900000000000</v>
      </c>
      <c r="I120" s="39">
        <v>26200000000000</v>
      </c>
      <c r="J120" s="39">
        <v>26500000000000</v>
      </c>
      <c r="K120" s="39">
        <v>26800000000000</v>
      </c>
      <c r="L120" s="39">
        <v>27200000000000</v>
      </c>
      <c r="M120" s="39">
        <v>27500000000000</v>
      </c>
      <c r="N120" s="39">
        <v>27800000000000</v>
      </c>
      <c r="O120" s="39">
        <v>28100000000000</v>
      </c>
      <c r="P120" s="39">
        <v>28400000000000</v>
      </c>
      <c r="Q120" s="39">
        <v>28700000000000</v>
      </c>
      <c r="R120" s="39">
        <v>28900000000000</v>
      </c>
      <c r="S120" s="39">
        <v>29000000000000</v>
      </c>
      <c r="T120" s="39">
        <v>29100000000000</v>
      </c>
      <c r="U120" s="39">
        <v>29200000000000</v>
      </c>
      <c r="V120" s="39">
        <v>29300000000000</v>
      </c>
      <c r="W120" s="39">
        <v>29300000000000</v>
      </c>
      <c r="X120" s="39">
        <v>29300000000000</v>
      </c>
      <c r="Y120" s="39">
        <v>29300000000000</v>
      </c>
      <c r="Z120" s="39">
        <v>29300000000000</v>
      </c>
      <c r="AA120" s="39">
        <v>29300000000000</v>
      </c>
      <c r="AB120" s="39">
        <v>29300000000000</v>
      </c>
      <c r="AC120" s="39">
        <v>29200000000000</v>
      </c>
      <c r="AD120" s="39">
        <v>29100000000000</v>
      </c>
      <c r="AE120" s="39">
        <v>29000000000000</v>
      </c>
      <c r="AF120" s="39">
        <v>29000000000000</v>
      </c>
      <c r="AG120" s="39">
        <v>28800000000000</v>
      </c>
      <c r="AH120" s="39">
        <v>28700000000000</v>
      </c>
      <c r="AI120" s="39">
        <v>28500000000000</v>
      </c>
      <c r="AJ120" s="39">
        <v>28300000000000</v>
      </c>
      <c r="AK120" s="39">
        <v>28100000000000</v>
      </c>
      <c r="AL120" s="39">
        <v>27900000000000</v>
      </c>
      <c r="AM120" s="39">
        <v>27700000000000</v>
      </c>
      <c r="AN120" s="39">
        <v>27400000000000</v>
      </c>
      <c r="AO120" s="39">
        <v>27200000000000</v>
      </c>
      <c r="AP120" s="39">
        <v>26900000000000</v>
      </c>
    </row>
    <row r="121" spans="1:42" x14ac:dyDescent="0.25">
      <c r="A121" s="42" t="str">
        <f t="shared" si="81"/>
        <v>biomass</v>
      </c>
      <c r="B121" s="42" t="str">
        <f t="shared" si="82"/>
        <v>urban residential</v>
      </c>
      <c r="C121" s="42" t="str">
        <f t="shared" si="83"/>
        <v>cooling and ventilation</v>
      </c>
      <c r="D121" s="1" t="s">
        <v>107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</row>
    <row r="122" spans="1:42" x14ac:dyDescent="0.25">
      <c r="A122" s="42" t="str">
        <f t="shared" si="81"/>
        <v>biomass</v>
      </c>
      <c r="B122" s="42" t="str">
        <f t="shared" si="82"/>
        <v>urban residential</v>
      </c>
      <c r="C122" s="42" t="str">
        <f t="shared" si="83"/>
        <v>envelope</v>
      </c>
      <c r="D122" s="1" t="s">
        <v>108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</row>
    <row r="123" spans="1:42" x14ac:dyDescent="0.25">
      <c r="A123" s="42" t="str">
        <f t="shared" si="81"/>
        <v>biomass</v>
      </c>
      <c r="B123" s="42" t="str">
        <f t="shared" si="82"/>
        <v>urban residential</v>
      </c>
      <c r="C123" s="42" t="str">
        <f t="shared" si="83"/>
        <v>lighting</v>
      </c>
      <c r="D123" s="1" t="s">
        <v>109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</row>
    <row r="124" spans="1:42" x14ac:dyDescent="0.25">
      <c r="A124" s="42" t="str">
        <f t="shared" si="81"/>
        <v>biomass</v>
      </c>
      <c r="B124" s="42" t="str">
        <f t="shared" si="82"/>
        <v>urban residential</v>
      </c>
      <c r="C124" s="42" t="str">
        <f t="shared" si="83"/>
        <v>appliances</v>
      </c>
      <c r="D124" s="1" t="s">
        <v>110</v>
      </c>
      <c r="E124" s="39">
        <v>17100000000000</v>
      </c>
      <c r="F124" s="39">
        <v>17500000000000</v>
      </c>
      <c r="G124" s="39">
        <v>17900000000000</v>
      </c>
      <c r="H124" s="39">
        <v>18300000000000</v>
      </c>
      <c r="I124" s="39">
        <v>18600000000000</v>
      </c>
      <c r="J124" s="39">
        <v>18900000000000</v>
      </c>
      <c r="K124" s="39">
        <v>19100000000000</v>
      </c>
      <c r="L124" s="39">
        <v>19400000000000</v>
      </c>
      <c r="M124" s="39">
        <v>19700000000000</v>
      </c>
      <c r="N124" s="39">
        <v>19900000000000</v>
      </c>
      <c r="O124" s="39">
        <v>20200000000000</v>
      </c>
      <c r="P124" s="39">
        <v>20400000000000</v>
      </c>
      <c r="Q124" s="39">
        <v>20700000000000</v>
      </c>
      <c r="R124" s="39">
        <v>20900000000000</v>
      </c>
      <c r="S124" s="39">
        <v>21000000000000</v>
      </c>
      <c r="T124" s="39">
        <v>21100000000000</v>
      </c>
      <c r="U124" s="39">
        <v>21200000000000</v>
      </c>
      <c r="V124" s="39">
        <v>21300000000000</v>
      </c>
      <c r="W124" s="39">
        <v>21300000000000</v>
      </c>
      <c r="X124" s="39">
        <v>21400000000000</v>
      </c>
      <c r="Y124" s="39">
        <v>21400000000000</v>
      </c>
      <c r="Z124" s="39">
        <v>21400000000000</v>
      </c>
      <c r="AA124" s="39">
        <v>21500000000000</v>
      </c>
      <c r="AB124" s="39">
        <v>21500000000000</v>
      </c>
      <c r="AC124" s="39">
        <v>21400000000000</v>
      </c>
      <c r="AD124" s="39">
        <v>21400000000000</v>
      </c>
      <c r="AE124" s="39">
        <v>21400000000000</v>
      </c>
      <c r="AF124" s="39">
        <v>21300000000000</v>
      </c>
      <c r="AG124" s="39">
        <v>21300000000000</v>
      </c>
      <c r="AH124" s="39">
        <v>21200000000000</v>
      </c>
      <c r="AI124" s="39">
        <v>21100000000000</v>
      </c>
      <c r="AJ124" s="39">
        <v>21000000000000</v>
      </c>
      <c r="AK124" s="39">
        <v>20900000000000</v>
      </c>
      <c r="AL124" s="39">
        <v>20700000000000</v>
      </c>
      <c r="AM124" s="39">
        <v>20600000000000</v>
      </c>
      <c r="AN124" s="39">
        <v>20400000000000</v>
      </c>
      <c r="AO124" s="39">
        <v>20300000000000</v>
      </c>
      <c r="AP124" s="39">
        <v>20100000000000</v>
      </c>
    </row>
    <row r="125" spans="1:42" x14ac:dyDescent="0.25">
      <c r="A125" s="42" t="str">
        <f t="shared" si="81"/>
        <v>biomass</v>
      </c>
      <c r="B125" s="42" t="str">
        <f t="shared" si="82"/>
        <v>urban residential</v>
      </c>
      <c r="C125" s="42" t="str">
        <f t="shared" si="83"/>
        <v>other component</v>
      </c>
      <c r="D125" s="1" t="s">
        <v>111</v>
      </c>
      <c r="E125" s="39">
        <v>0</v>
      </c>
      <c r="F125" s="39">
        <v>0</v>
      </c>
      <c r="G125" s="39">
        <v>0</v>
      </c>
      <c r="H125" s="39">
        <v>0</v>
      </c>
      <c r="I125" s="39">
        <v>0</v>
      </c>
      <c r="J125" s="39">
        <v>0</v>
      </c>
      <c r="K125" s="39">
        <v>0</v>
      </c>
      <c r="L125" s="39">
        <v>0</v>
      </c>
      <c r="M125" s="39">
        <v>0</v>
      </c>
      <c r="N125" s="39">
        <v>0</v>
      </c>
      <c r="O125" s="39">
        <v>0</v>
      </c>
      <c r="P125" s="39">
        <v>0</v>
      </c>
      <c r="Q125" s="39">
        <v>0</v>
      </c>
      <c r="R125" s="39">
        <v>0</v>
      </c>
      <c r="S125" s="39">
        <v>0</v>
      </c>
      <c r="T125" s="39">
        <v>0</v>
      </c>
      <c r="U125" s="39">
        <v>0</v>
      </c>
      <c r="V125" s="39">
        <v>0</v>
      </c>
      <c r="W125" s="39">
        <v>0</v>
      </c>
      <c r="X125" s="39">
        <v>0</v>
      </c>
      <c r="Y125" s="39">
        <v>0</v>
      </c>
      <c r="Z125" s="39">
        <v>0</v>
      </c>
      <c r="AA125" s="39">
        <v>0</v>
      </c>
      <c r="AB125" s="39">
        <v>0</v>
      </c>
      <c r="AC125" s="39">
        <v>0</v>
      </c>
      <c r="AD125" s="39">
        <v>0</v>
      </c>
      <c r="AE125" s="39">
        <v>0</v>
      </c>
      <c r="AF125" s="39">
        <v>0</v>
      </c>
      <c r="AG125" s="39">
        <v>0</v>
      </c>
      <c r="AH125" s="39">
        <v>0</v>
      </c>
      <c r="AI125" s="39">
        <v>0</v>
      </c>
      <c r="AJ125" s="39">
        <v>0</v>
      </c>
      <c r="AK125" s="39">
        <v>0</v>
      </c>
      <c r="AL125" s="39">
        <v>0</v>
      </c>
      <c r="AM125" s="39">
        <v>0</v>
      </c>
      <c r="AN125" s="39">
        <v>0</v>
      </c>
      <c r="AO125" s="39">
        <v>0</v>
      </c>
      <c r="AP125" s="39">
        <v>0</v>
      </c>
    </row>
    <row r="126" spans="1:42" x14ac:dyDescent="0.25">
      <c r="A126" s="42" t="str">
        <f t="shared" si="81"/>
        <v>kerosene</v>
      </c>
      <c r="B126" s="42" t="str">
        <f t="shared" si="82"/>
        <v>urban residential</v>
      </c>
      <c r="C126" s="42" t="str">
        <f t="shared" si="83"/>
        <v>heating</v>
      </c>
      <c r="D126" s="1" t="s">
        <v>112</v>
      </c>
      <c r="E126" s="39">
        <v>0</v>
      </c>
      <c r="F126" s="39">
        <v>0</v>
      </c>
      <c r="G126" s="39">
        <v>0</v>
      </c>
      <c r="H126" s="39">
        <v>0</v>
      </c>
      <c r="I126" s="39">
        <v>0</v>
      </c>
      <c r="J126" s="39">
        <v>0</v>
      </c>
      <c r="K126" s="39">
        <v>0</v>
      </c>
      <c r="L126" s="39">
        <v>0</v>
      </c>
      <c r="M126" s="39">
        <v>0</v>
      </c>
      <c r="N126" s="39">
        <v>0</v>
      </c>
      <c r="O126" s="39">
        <v>0</v>
      </c>
      <c r="P126" s="39">
        <v>0</v>
      </c>
      <c r="Q126" s="39">
        <v>0</v>
      </c>
      <c r="R126" s="39">
        <v>0</v>
      </c>
      <c r="S126" s="39">
        <v>0</v>
      </c>
      <c r="T126" s="39">
        <v>0</v>
      </c>
      <c r="U126" s="39">
        <v>0</v>
      </c>
      <c r="V126" s="39">
        <v>0</v>
      </c>
      <c r="W126" s="39">
        <v>0</v>
      </c>
      <c r="X126" s="39">
        <v>0</v>
      </c>
      <c r="Y126" s="39">
        <v>0</v>
      </c>
      <c r="Z126" s="39">
        <v>0</v>
      </c>
      <c r="AA126" s="39">
        <v>0</v>
      </c>
      <c r="AB126" s="39">
        <v>0</v>
      </c>
      <c r="AC126" s="39">
        <v>0</v>
      </c>
      <c r="AD126" s="39">
        <v>0</v>
      </c>
      <c r="AE126" s="39">
        <v>0</v>
      </c>
      <c r="AF126" s="39">
        <v>0</v>
      </c>
      <c r="AG126" s="39">
        <v>0</v>
      </c>
      <c r="AH126" s="39">
        <v>0</v>
      </c>
      <c r="AI126" s="39">
        <v>0</v>
      </c>
      <c r="AJ126" s="39">
        <v>0</v>
      </c>
      <c r="AK126" s="39">
        <v>0</v>
      </c>
      <c r="AL126" s="39">
        <v>0</v>
      </c>
      <c r="AM126" s="39">
        <v>0</v>
      </c>
      <c r="AN126" s="39">
        <v>0</v>
      </c>
      <c r="AO126" s="39">
        <v>0</v>
      </c>
      <c r="AP126" s="39">
        <v>0</v>
      </c>
    </row>
    <row r="127" spans="1:42" x14ac:dyDescent="0.25">
      <c r="A127" s="42" t="str">
        <f t="shared" si="81"/>
        <v>kerosene</v>
      </c>
      <c r="B127" s="42" t="str">
        <f t="shared" si="82"/>
        <v>urban residential</v>
      </c>
      <c r="C127" s="42" t="str">
        <f t="shared" si="83"/>
        <v>cooling and ventilation</v>
      </c>
      <c r="D127" s="1" t="s">
        <v>113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</row>
    <row r="128" spans="1:42" x14ac:dyDescent="0.25">
      <c r="A128" s="42" t="str">
        <f t="shared" si="81"/>
        <v>kerosene</v>
      </c>
      <c r="B128" s="42" t="str">
        <f t="shared" si="82"/>
        <v>urban residential</v>
      </c>
      <c r="C128" s="42" t="str">
        <f t="shared" si="83"/>
        <v>envelope</v>
      </c>
      <c r="D128" s="1" t="s">
        <v>114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</row>
    <row r="129" spans="1:42" x14ac:dyDescent="0.25">
      <c r="A129" s="42" t="str">
        <f t="shared" si="81"/>
        <v>kerosene</v>
      </c>
      <c r="B129" s="42" t="str">
        <f t="shared" si="82"/>
        <v>urban residential</v>
      </c>
      <c r="C129" s="42" t="str">
        <f t="shared" si="83"/>
        <v>lighting</v>
      </c>
      <c r="D129" s="1" t="s">
        <v>115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</row>
    <row r="130" spans="1:42" x14ac:dyDescent="0.25">
      <c r="A130" s="42" t="str">
        <f t="shared" si="81"/>
        <v>kerosene</v>
      </c>
      <c r="B130" s="42" t="str">
        <f t="shared" si="82"/>
        <v>urban residential</v>
      </c>
      <c r="C130" s="42" t="str">
        <f t="shared" si="83"/>
        <v>appliances</v>
      </c>
      <c r="D130" s="1" t="s">
        <v>116</v>
      </c>
      <c r="E130" s="39">
        <v>128000000000</v>
      </c>
      <c r="F130" s="39">
        <v>131000000000</v>
      </c>
      <c r="G130" s="39">
        <v>134000000000</v>
      </c>
      <c r="H130" s="39">
        <v>137000000000</v>
      </c>
      <c r="I130" s="39">
        <v>139000000000</v>
      </c>
      <c r="J130" s="39">
        <v>141000000000</v>
      </c>
      <c r="K130" s="39">
        <v>143000000000</v>
      </c>
      <c r="L130" s="39">
        <v>145000000000</v>
      </c>
      <c r="M130" s="39">
        <v>147000000000</v>
      </c>
      <c r="N130" s="39">
        <v>149000000000</v>
      </c>
      <c r="O130" s="39">
        <v>151000000000</v>
      </c>
      <c r="P130" s="39">
        <v>153000000000</v>
      </c>
      <c r="Q130" s="39">
        <v>155000000000</v>
      </c>
      <c r="R130" s="39">
        <v>156000000000</v>
      </c>
      <c r="S130" s="39">
        <v>157000000000</v>
      </c>
      <c r="T130" s="39">
        <v>158000000000</v>
      </c>
      <c r="U130" s="39">
        <v>158000000000</v>
      </c>
      <c r="V130" s="39">
        <v>159000000000</v>
      </c>
      <c r="W130" s="39">
        <v>160000000000</v>
      </c>
      <c r="X130" s="39">
        <v>160000000000</v>
      </c>
      <c r="Y130" s="39">
        <v>160000000000</v>
      </c>
      <c r="Z130" s="39">
        <v>160000000000</v>
      </c>
      <c r="AA130" s="39">
        <v>160000000000</v>
      </c>
      <c r="AB130" s="39">
        <v>160000000000</v>
      </c>
      <c r="AC130" s="39">
        <v>160000000000</v>
      </c>
      <c r="AD130" s="39">
        <v>160000000000</v>
      </c>
      <c r="AE130" s="39">
        <v>160000000000</v>
      </c>
      <c r="AF130" s="39">
        <v>160000000000</v>
      </c>
      <c r="AG130" s="39">
        <v>159000000000</v>
      </c>
      <c r="AH130" s="39">
        <v>158000000000</v>
      </c>
      <c r="AI130" s="39">
        <v>158000000000</v>
      </c>
      <c r="AJ130" s="39">
        <v>157000000000</v>
      </c>
      <c r="AK130" s="39">
        <v>156000000000</v>
      </c>
      <c r="AL130" s="39">
        <v>155000000000</v>
      </c>
      <c r="AM130" s="39">
        <v>154000000000</v>
      </c>
      <c r="AN130" s="39">
        <v>153000000000</v>
      </c>
      <c r="AO130" s="39">
        <v>152000000000</v>
      </c>
      <c r="AP130" s="39">
        <v>150000000000</v>
      </c>
    </row>
    <row r="131" spans="1:42" x14ac:dyDescent="0.25">
      <c r="A131" s="42" t="str">
        <f t="shared" si="81"/>
        <v>kerosene</v>
      </c>
      <c r="B131" s="42" t="str">
        <f t="shared" si="82"/>
        <v>urban residential</v>
      </c>
      <c r="C131" s="42" t="str">
        <f t="shared" si="83"/>
        <v>other component</v>
      </c>
      <c r="D131" s="1" t="s">
        <v>117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</row>
    <row r="132" spans="1:42" x14ac:dyDescent="0.25">
      <c r="A132" s="42" t="str">
        <f t="shared" si="81"/>
        <v>heavy or residual fuel oil</v>
      </c>
      <c r="B132" s="42" t="str">
        <f t="shared" si="82"/>
        <v>urban residential</v>
      </c>
      <c r="C132" s="42" t="str">
        <f t="shared" si="83"/>
        <v>heating</v>
      </c>
      <c r="D132" s="1" t="s">
        <v>118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</row>
    <row r="133" spans="1:42" x14ac:dyDescent="0.25">
      <c r="A133" s="42" t="str">
        <f t="shared" si="81"/>
        <v>heavy or residual fuel oil</v>
      </c>
      <c r="B133" s="42" t="str">
        <f t="shared" si="82"/>
        <v>urban residential</v>
      </c>
      <c r="C133" s="42" t="str">
        <f t="shared" si="83"/>
        <v>cooling and ventilation</v>
      </c>
      <c r="D133" s="1" t="s">
        <v>119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</row>
    <row r="134" spans="1:42" x14ac:dyDescent="0.25">
      <c r="A134" s="42" t="str">
        <f t="shared" si="81"/>
        <v>heavy or residual fuel oil</v>
      </c>
      <c r="B134" s="42" t="str">
        <f t="shared" si="82"/>
        <v>urban residential</v>
      </c>
      <c r="C134" s="42" t="str">
        <f t="shared" si="83"/>
        <v>envelope</v>
      </c>
      <c r="D134" s="1" t="s">
        <v>120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</row>
    <row r="135" spans="1:42" x14ac:dyDescent="0.25">
      <c r="A135" s="42" t="str">
        <f t="shared" si="81"/>
        <v>heavy or residual fuel oil</v>
      </c>
      <c r="B135" s="42" t="str">
        <f t="shared" si="82"/>
        <v>urban residential</v>
      </c>
      <c r="C135" s="42" t="str">
        <f t="shared" si="83"/>
        <v>lighting</v>
      </c>
      <c r="D135" s="1" t="s">
        <v>121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</row>
    <row r="136" spans="1:42" x14ac:dyDescent="0.25">
      <c r="A136" s="42" t="str">
        <f t="shared" si="81"/>
        <v>heavy or residual fuel oil</v>
      </c>
      <c r="B136" s="42" t="str">
        <f t="shared" si="82"/>
        <v>urban residential</v>
      </c>
      <c r="C136" s="42" t="str">
        <f t="shared" si="83"/>
        <v>appliances</v>
      </c>
      <c r="D136" s="1" t="s">
        <v>122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</row>
    <row r="137" spans="1:42" x14ac:dyDescent="0.25">
      <c r="A137" s="42" t="str">
        <f t="shared" si="81"/>
        <v>heavy or residual fuel oil</v>
      </c>
      <c r="B137" s="42" t="str">
        <f t="shared" si="82"/>
        <v>urban residential</v>
      </c>
      <c r="C137" s="42" t="str">
        <f t="shared" si="83"/>
        <v>other component</v>
      </c>
      <c r="D137" s="1" t="s">
        <v>123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</row>
    <row r="138" spans="1:42" x14ac:dyDescent="0.25">
      <c r="A138" s="42" t="str">
        <f t="shared" si="81"/>
        <v>LPG propane or butane</v>
      </c>
      <c r="B138" s="42" t="str">
        <f t="shared" si="82"/>
        <v>urban residential</v>
      </c>
      <c r="C138" s="42" t="str">
        <f t="shared" si="83"/>
        <v>heating</v>
      </c>
      <c r="D138" s="1" t="s">
        <v>124</v>
      </c>
      <c r="E138" s="39">
        <v>775000000000000</v>
      </c>
      <c r="F138" s="39">
        <v>792000000000000</v>
      </c>
      <c r="G138" s="39">
        <v>809000000000000</v>
      </c>
      <c r="H138" s="39">
        <v>823000000000000</v>
      </c>
      <c r="I138" s="39">
        <v>834000000000000</v>
      </c>
      <c r="J138" s="39">
        <v>844000000000000</v>
      </c>
      <c r="K138" s="39">
        <v>854000000000000</v>
      </c>
      <c r="L138" s="39">
        <v>865000000000000</v>
      </c>
      <c r="M138" s="39">
        <v>875000000000000</v>
      </c>
      <c r="N138" s="39">
        <v>884000000000000</v>
      </c>
      <c r="O138" s="39">
        <v>894000000000000</v>
      </c>
      <c r="P138" s="39">
        <v>903000000000000</v>
      </c>
      <c r="Q138" s="39">
        <v>913000000000000</v>
      </c>
      <c r="R138" s="39">
        <v>920000000000000</v>
      </c>
      <c r="S138" s="39">
        <v>923000000000000</v>
      </c>
      <c r="T138" s="39">
        <v>926000000000000</v>
      </c>
      <c r="U138" s="39">
        <v>929000000000000</v>
      </c>
      <c r="V138" s="39">
        <v>932000000000000</v>
      </c>
      <c r="W138" s="39">
        <v>934000000000000</v>
      </c>
      <c r="X138" s="39">
        <v>934000000000000</v>
      </c>
      <c r="Y138" s="39">
        <v>933000000000000</v>
      </c>
      <c r="Z138" s="39">
        <v>933000000000000</v>
      </c>
      <c r="AA138" s="39">
        <v>933000000000000</v>
      </c>
      <c r="AB138" s="39">
        <v>932000000000000</v>
      </c>
      <c r="AC138" s="39">
        <v>930000000000000</v>
      </c>
      <c r="AD138" s="39">
        <v>927000000000000</v>
      </c>
      <c r="AE138" s="39">
        <v>925000000000000</v>
      </c>
      <c r="AF138" s="39">
        <v>922000000000000</v>
      </c>
      <c r="AG138" s="39">
        <v>918000000000000</v>
      </c>
      <c r="AH138" s="39">
        <v>913000000000000</v>
      </c>
      <c r="AI138" s="39">
        <v>907000000000000</v>
      </c>
      <c r="AJ138" s="39">
        <v>901000000000000</v>
      </c>
      <c r="AK138" s="39">
        <v>896000000000000</v>
      </c>
      <c r="AL138" s="39">
        <v>889000000000000</v>
      </c>
      <c r="AM138" s="39">
        <v>881000000000000</v>
      </c>
      <c r="AN138" s="39">
        <v>873000000000000</v>
      </c>
      <c r="AO138" s="39">
        <v>865000000000000</v>
      </c>
      <c r="AP138" s="39">
        <v>856000000000000</v>
      </c>
    </row>
    <row r="139" spans="1:42" x14ac:dyDescent="0.25">
      <c r="A139" s="42" t="str">
        <f t="shared" si="81"/>
        <v>LPG propane or butane</v>
      </c>
      <c r="B139" s="42" t="str">
        <f t="shared" si="82"/>
        <v>urban residential</v>
      </c>
      <c r="C139" s="42" t="str">
        <f t="shared" si="83"/>
        <v>cooling and ventilation</v>
      </c>
      <c r="D139" s="1" t="s">
        <v>125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</row>
    <row r="140" spans="1:42" x14ac:dyDescent="0.25">
      <c r="A140" s="42" t="str">
        <f t="shared" si="81"/>
        <v>LPG propane or butane</v>
      </c>
      <c r="B140" s="42" t="str">
        <f t="shared" si="82"/>
        <v>urban residential</v>
      </c>
      <c r="C140" s="42" t="str">
        <f t="shared" si="83"/>
        <v>envelope</v>
      </c>
      <c r="D140" s="1" t="s">
        <v>126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</row>
    <row r="141" spans="1:42" x14ac:dyDescent="0.25">
      <c r="A141" s="42" t="str">
        <f t="shared" si="81"/>
        <v>LPG propane or butane</v>
      </c>
      <c r="B141" s="42" t="str">
        <f t="shared" si="82"/>
        <v>urban residential</v>
      </c>
      <c r="C141" s="42" t="str">
        <f t="shared" si="83"/>
        <v>lighting</v>
      </c>
      <c r="D141" s="1" t="s">
        <v>127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</row>
    <row r="142" spans="1:42" x14ac:dyDescent="0.25">
      <c r="A142" s="42" t="str">
        <f t="shared" si="81"/>
        <v>LPG propane or butane</v>
      </c>
      <c r="B142" s="42" t="str">
        <f t="shared" si="82"/>
        <v>urban residential</v>
      </c>
      <c r="C142" s="42" t="str">
        <f t="shared" si="83"/>
        <v>appliances</v>
      </c>
      <c r="D142" s="1" t="s">
        <v>128</v>
      </c>
      <c r="E142" s="39">
        <v>148000000000000</v>
      </c>
      <c r="F142" s="39">
        <v>152000000000000</v>
      </c>
      <c r="G142" s="39">
        <v>156000000000000</v>
      </c>
      <c r="H142" s="39">
        <v>159000000000000</v>
      </c>
      <c r="I142" s="39">
        <v>161000000000000</v>
      </c>
      <c r="J142" s="39">
        <v>164000000000000</v>
      </c>
      <c r="K142" s="39">
        <v>166000000000000</v>
      </c>
      <c r="L142" s="39">
        <v>168000000000000</v>
      </c>
      <c r="M142" s="39">
        <v>171000000000000</v>
      </c>
      <c r="N142" s="39">
        <v>173000000000000</v>
      </c>
      <c r="O142" s="39">
        <v>175000000000000</v>
      </c>
      <c r="P142" s="39">
        <v>177000000000000</v>
      </c>
      <c r="Q142" s="39">
        <v>180000000000000</v>
      </c>
      <c r="R142" s="39">
        <v>181000000000000</v>
      </c>
      <c r="S142" s="39">
        <v>182000000000000</v>
      </c>
      <c r="T142" s="39">
        <v>183000000000000</v>
      </c>
      <c r="U142" s="39">
        <v>184000000000000</v>
      </c>
      <c r="V142" s="39">
        <v>185000000000000</v>
      </c>
      <c r="W142" s="39">
        <v>185000000000000</v>
      </c>
      <c r="X142" s="39">
        <v>185000000000000</v>
      </c>
      <c r="Y142" s="39">
        <v>186000000000000</v>
      </c>
      <c r="Z142" s="39">
        <v>186000000000000</v>
      </c>
      <c r="AA142" s="39">
        <v>186000000000000</v>
      </c>
      <c r="AB142" s="39">
        <v>186000000000000</v>
      </c>
      <c r="AC142" s="39">
        <v>186000000000000</v>
      </c>
      <c r="AD142" s="39">
        <v>186000000000000</v>
      </c>
      <c r="AE142" s="39">
        <v>185000000000000</v>
      </c>
      <c r="AF142" s="39">
        <v>185000000000000</v>
      </c>
      <c r="AG142" s="39">
        <v>185000000000000</v>
      </c>
      <c r="AH142" s="39">
        <v>184000000000000</v>
      </c>
      <c r="AI142" s="39">
        <v>183000000000000</v>
      </c>
      <c r="AJ142" s="39">
        <v>182000000000000</v>
      </c>
      <c r="AK142" s="39">
        <v>181000000000000</v>
      </c>
      <c r="AL142" s="39">
        <v>180000000000000</v>
      </c>
      <c r="AM142" s="39">
        <v>179000000000000</v>
      </c>
      <c r="AN142" s="39">
        <v>177000000000000</v>
      </c>
      <c r="AO142" s="39">
        <v>176000000000000</v>
      </c>
      <c r="AP142" s="39">
        <v>174000000000000</v>
      </c>
    </row>
    <row r="143" spans="1:42" x14ac:dyDescent="0.25">
      <c r="A143" s="42" t="str">
        <f t="shared" si="81"/>
        <v>LPG propane or butane</v>
      </c>
      <c r="B143" s="42" t="str">
        <f t="shared" si="82"/>
        <v>urban residential</v>
      </c>
      <c r="C143" s="42" t="str">
        <f t="shared" si="83"/>
        <v>other component</v>
      </c>
      <c r="D143" s="1" t="s">
        <v>129</v>
      </c>
      <c r="E143" s="39">
        <v>0</v>
      </c>
      <c r="F143" s="39">
        <v>0</v>
      </c>
      <c r="G143" s="39">
        <v>0</v>
      </c>
      <c r="H143" s="39">
        <v>0</v>
      </c>
      <c r="I143" s="39">
        <v>0</v>
      </c>
      <c r="J143" s="39">
        <v>0</v>
      </c>
      <c r="K143" s="39">
        <v>0</v>
      </c>
      <c r="L143" s="39">
        <v>0</v>
      </c>
      <c r="M143" s="39">
        <v>0</v>
      </c>
      <c r="N143" s="39">
        <v>0</v>
      </c>
      <c r="O143" s="39">
        <v>0</v>
      </c>
      <c r="P143" s="39">
        <v>0</v>
      </c>
      <c r="Q143" s="39">
        <v>0</v>
      </c>
      <c r="R143" s="39">
        <v>0</v>
      </c>
      <c r="S143" s="39">
        <v>0</v>
      </c>
      <c r="T143" s="39">
        <v>0</v>
      </c>
      <c r="U143" s="39">
        <v>0</v>
      </c>
      <c r="V143" s="39">
        <v>0</v>
      </c>
      <c r="W143" s="39">
        <v>0</v>
      </c>
      <c r="X143" s="39">
        <v>0</v>
      </c>
      <c r="Y143" s="39">
        <v>0</v>
      </c>
      <c r="Z143" s="39">
        <v>0</v>
      </c>
      <c r="AA143" s="39">
        <v>0</v>
      </c>
      <c r="AB143" s="39">
        <v>0</v>
      </c>
      <c r="AC143" s="39">
        <v>0</v>
      </c>
      <c r="AD143" s="39">
        <v>0</v>
      </c>
      <c r="AE143" s="39">
        <v>0</v>
      </c>
      <c r="AF143" s="39">
        <v>0</v>
      </c>
      <c r="AG143" s="39">
        <v>0</v>
      </c>
      <c r="AH143" s="39">
        <v>0</v>
      </c>
      <c r="AI143" s="39">
        <v>0</v>
      </c>
      <c r="AJ143" s="39">
        <v>0</v>
      </c>
      <c r="AK143" s="39">
        <v>0</v>
      </c>
      <c r="AL143" s="39">
        <v>0</v>
      </c>
      <c r="AM143" s="39">
        <v>0</v>
      </c>
      <c r="AN143" s="39">
        <v>0</v>
      </c>
      <c r="AO143" s="39">
        <v>0</v>
      </c>
      <c r="AP143" s="39">
        <v>0</v>
      </c>
    </row>
    <row r="144" spans="1:42" x14ac:dyDescent="0.25">
      <c r="A144" s="42" t="str">
        <f t="shared" si="81"/>
        <v>hydrogen</v>
      </c>
      <c r="B144" s="42" t="str">
        <f t="shared" si="82"/>
        <v>urban residential</v>
      </c>
      <c r="C144" s="42" t="str">
        <f t="shared" si="83"/>
        <v>heating</v>
      </c>
      <c r="D144" s="1" t="s">
        <v>130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</row>
    <row r="145" spans="1:42" x14ac:dyDescent="0.25">
      <c r="A145" s="42" t="str">
        <f t="shared" si="81"/>
        <v>hydrogen</v>
      </c>
      <c r="B145" s="42" t="str">
        <f t="shared" si="82"/>
        <v>urban residential</v>
      </c>
      <c r="C145" s="42" t="str">
        <f t="shared" si="83"/>
        <v>cooling and ventilation</v>
      </c>
      <c r="D145" s="1" t="s">
        <v>131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</row>
    <row r="146" spans="1:42" x14ac:dyDescent="0.25">
      <c r="A146" s="42" t="str">
        <f t="shared" si="81"/>
        <v>hydrogen</v>
      </c>
      <c r="B146" s="42" t="str">
        <f t="shared" si="82"/>
        <v>urban residential</v>
      </c>
      <c r="C146" s="42" t="str">
        <f t="shared" si="83"/>
        <v>envelope</v>
      </c>
      <c r="D146" s="1" t="s">
        <v>132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</row>
    <row r="147" spans="1:42" x14ac:dyDescent="0.25">
      <c r="A147" s="42" t="str">
        <f t="shared" si="81"/>
        <v>hydrogen</v>
      </c>
      <c r="B147" s="42" t="str">
        <f t="shared" si="82"/>
        <v>urban residential</v>
      </c>
      <c r="C147" s="42" t="str">
        <f t="shared" si="83"/>
        <v>lighting</v>
      </c>
      <c r="D147" s="1" t="s">
        <v>133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</row>
    <row r="148" spans="1:42" x14ac:dyDescent="0.25">
      <c r="A148" s="42" t="str">
        <f t="shared" si="81"/>
        <v>hydrogen</v>
      </c>
      <c r="B148" s="42" t="str">
        <f t="shared" si="82"/>
        <v>urban residential</v>
      </c>
      <c r="C148" s="42" t="str">
        <f t="shared" si="83"/>
        <v>appliances</v>
      </c>
      <c r="D148" s="1" t="s">
        <v>134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</row>
    <row r="149" spans="1:42" x14ac:dyDescent="0.25">
      <c r="A149" s="42" t="str">
        <f t="shared" si="81"/>
        <v>hydrogen</v>
      </c>
      <c r="B149" s="42" t="str">
        <f t="shared" si="82"/>
        <v>urban residential</v>
      </c>
      <c r="C149" s="42" t="str">
        <f t="shared" si="83"/>
        <v>other component</v>
      </c>
      <c r="D149" s="1" t="s">
        <v>135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</row>
    <row r="150" spans="1:42" x14ac:dyDescent="0.25">
      <c r="A150" s="42" t="str">
        <f t="shared" si="81"/>
        <v>electricity</v>
      </c>
      <c r="B150" s="42" t="str">
        <f t="shared" si="82"/>
        <v>rural residential</v>
      </c>
      <c r="C150" s="42" t="str">
        <f t="shared" si="83"/>
        <v>heating</v>
      </c>
      <c r="D150" s="1" t="s">
        <v>136</v>
      </c>
      <c r="E150" s="39">
        <v>575000000000000</v>
      </c>
      <c r="F150" s="39">
        <v>536000000000000</v>
      </c>
      <c r="G150" s="39">
        <v>499000000000000</v>
      </c>
      <c r="H150" s="39">
        <v>462000000000000</v>
      </c>
      <c r="I150" s="39">
        <v>428000000000000</v>
      </c>
      <c r="J150" s="39">
        <v>392000000000000</v>
      </c>
      <c r="K150" s="39">
        <v>356000000000000</v>
      </c>
      <c r="L150" s="39">
        <v>318000000000000</v>
      </c>
      <c r="M150" s="39">
        <v>280000000000000</v>
      </c>
      <c r="N150" s="39">
        <v>238000000000000</v>
      </c>
      <c r="O150" s="39">
        <v>195000000000000</v>
      </c>
      <c r="P150" s="39">
        <v>152000000000000</v>
      </c>
      <c r="Q150" s="39">
        <v>107000000000000</v>
      </c>
      <c r="R150" s="39">
        <v>64600000000000</v>
      </c>
      <c r="S150" s="39">
        <v>35100000000000</v>
      </c>
      <c r="T150" s="39">
        <v>5500000000000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</row>
    <row r="151" spans="1:42" x14ac:dyDescent="0.25">
      <c r="A151" s="42" t="str">
        <f t="shared" si="81"/>
        <v>electricity</v>
      </c>
      <c r="B151" s="42" t="str">
        <f t="shared" si="82"/>
        <v>rural residential</v>
      </c>
      <c r="C151" s="42" t="str">
        <f t="shared" si="83"/>
        <v>cooling and ventilation</v>
      </c>
      <c r="D151" s="1" t="s">
        <v>137</v>
      </c>
      <c r="E151" s="39">
        <v>50100000000000</v>
      </c>
      <c r="F151" s="39">
        <v>46600000000000</v>
      </c>
      <c r="G151" s="39">
        <v>43500000000000</v>
      </c>
      <c r="H151" s="39">
        <v>40200000000000</v>
      </c>
      <c r="I151" s="39">
        <v>37200000000000</v>
      </c>
      <c r="J151" s="39">
        <v>34100000000000</v>
      </c>
      <c r="K151" s="39">
        <v>31000000000000</v>
      </c>
      <c r="L151" s="39">
        <v>27700000000000</v>
      </c>
      <c r="M151" s="39">
        <v>24400000000000</v>
      </c>
      <c r="N151" s="39">
        <v>20700000000000</v>
      </c>
      <c r="O151" s="39">
        <v>17000000000000</v>
      </c>
      <c r="P151" s="39">
        <v>13200000000000</v>
      </c>
      <c r="Q151" s="39">
        <v>9330000000000</v>
      </c>
      <c r="R151" s="39">
        <v>5630000000000</v>
      </c>
      <c r="S151" s="39">
        <v>3050000000000</v>
      </c>
      <c r="T151" s="39">
        <v>479000000000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</row>
    <row r="152" spans="1:42" x14ac:dyDescent="0.25">
      <c r="A152" s="42" t="str">
        <f t="shared" si="81"/>
        <v>electricity</v>
      </c>
      <c r="B152" s="42" t="str">
        <f t="shared" si="82"/>
        <v>rural residential</v>
      </c>
      <c r="C152" s="42" t="str">
        <f t="shared" si="83"/>
        <v>envelope</v>
      </c>
      <c r="D152" s="1" t="s">
        <v>138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</row>
    <row r="153" spans="1:42" x14ac:dyDescent="0.25">
      <c r="A153" s="42" t="str">
        <f t="shared" si="81"/>
        <v>electricity</v>
      </c>
      <c r="B153" s="42" t="str">
        <f t="shared" si="82"/>
        <v>rural residential</v>
      </c>
      <c r="C153" s="42" t="str">
        <f t="shared" si="83"/>
        <v>lighting</v>
      </c>
      <c r="D153" s="1" t="s">
        <v>139</v>
      </c>
      <c r="E153" s="39">
        <v>202000000000000</v>
      </c>
      <c r="F153" s="39">
        <v>188000000000000</v>
      </c>
      <c r="G153" s="39">
        <v>175000000000000</v>
      </c>
      <c r="H153" s="39">
        <v>162000000000000</v>
      </c>
      <c r="I153" s="39">
        <v>150000000000000</v>
      </c>
      <c r="J153" s="39">
        <v>138000000000000</v>
      </c>
      <c r="K153" s="39">
        <v>125000000000000</v>
      </c>
      <c r="L153" s="39">
        <v>112000000000000</v>
      </c>
      <c r="M153" s="39">
        <v>98200000000000</v>
      </c>
      <c r="N153" s="39">
        <v>83600000000000</v>
      </c>
      <c r="O153" s="39">
        <v>68600000000000</v>
      </c>
      <c r="P153" s="39">
        <v>53300000000000</v>
      </c>
      <c r="Q153" s="39">
        <v>37600000000000</v>
      </c>
      <c r="R153" s="39">
        <v>22700000000000</v>
      </c>
      <c r="S153" s="39">
        <v>12300000000000</v>
      </c>
      <c r="T153" s="39">
        <v>1930000000000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</row>
    <row r="154" spans="1:42" x14ac:dyDescent="0.25">
      <c r="A154" s="42" t="str">
        <f t="shared" si="81"/>
        <v>electricity</v>
      </c>
      <c r="B154" s="42" t="str">
        <f t="shared" si="82"/>
        <v>rural residential</v>
      </c>
      <c r="C154" s="42" t="str">
        <f t="shared" si="83"/>
        <v>appliances</v>
      </c>
      <c r="D154" s="1" t="s">
        <v>140</v>
      </c>
      <c r="E154" s="39">
        <v>464000000000000</v>
      </c>
      <c r="F154" s="39">
        <v>432000000000000</v>
      </c>
      <c r="G154" s="39">
        <v>403000000000000</v>
      </c>
      <c r="H154" s="39">
        <v>373000000000000</v>
      </c>
      <c r="I154" s="39">
        <v>345000000000000</v>
      </c>
      <c r="J154" s="39">
        <v>317000000000000</v>
      </c>
      <c r="K154" s="39">
        <v>287000000000000</v>
      </c>
      <c r="L154" s="39">
        <v>257000000000000</v>
      </c>
      <c r="M154" s="39">
        <v>226000000000000</v>
      </c>
      <c r="N154" s="39">
        <v>192000000000000</v>
      </c>
      <c r="O154" s="39">
        <v>158000000000000</v>
      </c>
      <c r="P154" s="39">
        <v>123000000000000</v>
      </c>
      <c r="Q154" s="39">
        <v>86500000000000</v>
      </c>
      <c r="R154" s="39">
        <v>52200000000000</v>
      </c>
      <c r="S154" s="39">
        <v>28300000000000</v>
      </c>
      <c r="T154" s="39">
        <v>4440000000000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</row>
    <row r="155" spans="1:42" x14ac:dyDescent="0.25">
      <c r="A155" s="42" t="str">
        <f t="shared" ref="A155:A218" si="84">TRIM(MID(D155, FIND(",", D155) + 1, FIND(" bf", D155) - FIND(",", D155) - 1))</f>
        <v>electricity</v>
      </c>
      <c r="B155" s="42" t="str">
        <f t="shared" ref="B155:B218" si="85">TRIM(MID(D155, FIND("[", D155) + 1, FIND(",", D155) - FIND("[", D155) - 1))</f>
        <v>rural residential</v>
      </c>
      <c r="C155" s="42" t="str">
        <f t="shared" ref="C155:C218" si="86">TRIM(MID(D155, FIND(",", D155, FIND(",", D155) + 1) + 1, FIND("]", D155) - FIND(",", D155, FIND(",", D155) + 1) - 1))</f>
        <v>other component</v>
      </c>
      <c r="D155" s="1" t="s">
        <v>141</v>
      </c>
      <c r="E155" s="39">
        <v>807000000000000</v>
      </c>
      <c r="F155" s="39">
        <v>752000000000000</v>
      </c>
      <c r="G155" s="39">
        <v>701000000000000</v>
      </c>
      <c r="H155" s="39">
        <v>648000000000000</v>
      </c>
      <c r="I155" s="39">
        <v>600000000000000</v>
      </c>
      <c r="J155" s="39">
        <v>550000000000000</v>
      </c>
      <c r="K155" s="39">
        <v>499000000000000</v>
      </c>
      <c r="L155" s="39">
        <v>447000000000000</v>
      </c>
      <c r="M155" s="39">
        <v>393000000000000</v>
      </c>
      <c r="N155" s="39">
        <v>334000000000000</v>
      </c>
      <c r="O155" s="39">
        <v>274000000000000</v>
      </c>
      <c r="P155" s="39">
        <v>213000000000000</v>
      </c>
      <c r="Q155" s="39">
        <v>150000000000000</v>
      </c>
      <c r="R155" s="39">
        <v>90700000000000</v>
      </c>
      <c r="S155" s="39">
        <v>49200000000000</v>
      </c>
      <c r="T155" s="39">
        <v>7720000000000</v>
      </c>
      <c r="U155" s="39">
        <v>0</v>
      </c>
      <c r="V155" s="39">
        <v>0</v>
      </c>
      <c r="W155" s="39">
        <v>0</v>
      </c>
      <c r="X155" s="39">
        <v>0</v>
      </c>
      <c r="Y155" s="39">
        <v>0</v>
      </c>
      <c r="Z155" s="39">
        <v>0</v>
      </c>
      <c r="AA155" s="39">
        <v>0</v>
      </c>
      <c r="AB155" s="39">
        <v>0</v>
      </c>
      <c r="AC155" s="39">
        <v>0</v>
      </c>
      <c r="AD155" s="39">
        <v>0</v>
      </c>
      <c r="AE155" s="39">
        <v>0</v>
      </c>
      <c r="AF155" s="39">
        <v>0</v>
      </c>
      <c r="AG155" s="39">
        <v>0</v>
      </c>
      <c r="AH155" s="39">
        <v>0</v>
      </c>
      <c r="AI155" s="39">
        <v>0</v>
      </c>
      <c r="AJ155" s="39">
        <v>0</v>
      </c>
      <c r="AK155" s="39">
        <v>0</v>
      </c>
      <c r="AL155" s="39">
        <v>0</v>
      </c>
      <c r="AM155" s="39">
        <v>0</v>
      </c>
      <c r="AN155" s="39">
        <v>0</v>
      </c>
      <c r="AO155" s="39">
        <v>0</v>
      </c>
      <c r="AP155" s="39">
        <v>0</v>
      </c>
    </row>
    <row r="156" spans="1:42" x14ac:dyDescent="0.25">
      <c r="A156" s="42" t="str">
        <f t="shared" si="84"/>
        <v>hard coal</v>
      </c>
      <c r="B156" s="42" t="str">
        <f t="shared" si="85"/>
        <v>rural residential</v>
      </c>
      <c r="C156" s="42" t="str">
        <f t="shared" si="86"/>
        <v>heating</v>
      </c>
      <c r="D156" s="1" t="s">
        <v>142</v>
      </c>
      <c r="E156" s="39">
        <v>908000000000000</v>
      </c>
      <c r="F156" s="39">
        <v>868000000000000</v>
      </c>
      <c r="G156" s="39">
        <v>834000000000000</v>
      </c>
      <c r="H156" s="39">
        <v>800000000000000</v>
      </c>
      <c r="I156" s="39">
        <v>772000000000000</v>
      </c>
      <c r="J156" s="39">
        <v>743000000000000</v>
      </c>
      <c r="K156" s="39">
        <v>714000000000000</v>
      </c>
      <c r="L156" s="39">
        <v>686000000000000</v>
      </c>
      <c r="M156" s="39">
        <v>657000000000000</v>
      </c>
      <c r="N156" s="39">
        <v>625000000000000</v>
      </c>
      <c r="O156" s="39">
        <v>592000000000000</v>
      </c>
      <c r="P156" s="39">
        <v>560000000000000</v>
      </c>
      <c r="Q156" s="39">
        <v>528000000000000</v>
      </c>
      <c r="R156" s="39">
        <v>495000000000000</v>
      </c>
      <c r="S156" s="39">
        <v>475000000000000</v>
      </c>
      <c r="T156" s="39">
        <v>455000000000000</v>
      </c>
      <c r="U156" s="39">
        <v>435000000000000</v>
      </c>
      <c r="V156" s="39">
        <v>415000000000000</v>
      </c>
      <c r="W156" s="39">
        <v>395000000000000</v>
      </c>
      <c r="X156" s="39">
        <v>378000000000000</v>
      </c>
      <c r="Y156" s="39">
        <v>361000000000000</v>
      </c>
      <c r="Z156" s="39">
        <v>345000000000000</v>
      </c>
      <c r="AA156" s="39">
        <v>328000000000000</v>
      </c>
      <c r="AB156" s="39">
        <v>312000000000000</v>
      </c>
      <c r="AC156" s="39">
        <v>293000000000000</v>
      </c>
      <c r="AD156" s="39">
        <v>275000000000000</v>
      </c>
      <c r="AE156" s="39">
        <v>256000000000000</v>
      </c>
      <c r="AF156" s="39">
        <v>238000000000000</v>
      </c>
      <c r="AG156" s="39">
        <v>220000000000000</v>
      </c>
      <c r="AH156" s="39">
        <v>200000000000000</v>
      </c>
      <c r="AI156" s="39">
        <v>180000000000000</v>
      </c>
      <c r="AJ156" s="39">
        <v>160000000000000</v>
      </c>
      <c r="AK156" s="39">
        <v>140000000000000</v>
      </c>
      <c r="AL156" s="39">
        <v>120000000000000</v>
      </c>
      <c r="AM156" s="39">
        <v>99200000000000</v>
      </c>
      <c r="AN156" s="39">
        <v>78300000000000</v>
      </c>
      <c r="AO156" s="39">
        <v>57600000000000</v>
      </c>
      <c r="AP156" s="39">
        <v>37000000000000</v>
      </c>
    </row>
    <row r="157" spans="1:42" x14ac:dyDescent="0.25">
      <c r="A157" s="42" t="str">
        <f t="shared" si="84"/>
        <v>hard coal</v>
      </c>
      <c r="B157" s="42" t="str">
        <f t="shared" si="85"/>
        <v>rural residential</v>
      </c>
      <c r="C157" s="42" t="str">
        <f t="shared" si="86"/>
        <v>cooling and ventilation</v>
      </c>
      <c r="D157" s="1" t="s">
        <v>143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</row>
    <row r="158" spans="1:42" x14ac:dyDescent="0.25">
      <c r="A158" s="42" t="str">
        <f t="shared" si="84"/>
        <v>hard coal</v>
      </c>
      <c r="B158" s="42" t="str">
        <f t="shared" si="85"/>
        <v>rural residential</v>
      </c>
      <c r="C158" s="42" t="str">
        <f t="shared" si="86"/>
        <v>envelope</v>
      </c>
      <c r="D158" s="1" t="s">
        <v>144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</row>
    <row r="159" spans="1:42" x14ac:dyDescent="0.25">
      <c r="A159" s="42" t="str">
        <f t="shared" si="84"/>
        <v>hard coal</v>
      </c>
      <c r="B159" s="42" t="str">
        <f t="shared" si="85"/>
        <v>rural residential</v>
      </c>
      <c r="C159" s="42" t="str">
        <f t="shared" si="86"/>
        <v>lighting</v>
      </c>
      <c r="D159" s="1" t="s">
        <v>145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</row>
    <row r="160" spans="1:42" x14ac:dyDescent="0.25">
      <c r="A160" s="42" t="str">
        <f t="shared" si="84"/>
        <v>hard coal</v>
      </c>
      <c r="B160" s="42" t="str">
        <f t="shared" si="85"/>
        <v>rural residential</v>
      </c>
      <c r="C160" s="42" t="str">
        <f t="shared" si="86"/>
        <v>appliances</v>
      </c>
      <c r="D160" s="1" t="s">
        <v>146</v>
      </c>
      <c r="E160" s="39">
        <v>47600000000000</v>
      </c>
      <c r="F160" s="39">
        <v>45500000000000</v>
      </c>
      <c r="G160" s="39">
        <v>43700000000000</v>
      </c>
      <c r="H160" s="39">
        <v>41900000000000</v>
      </c>
      <c r="I160" s="39">
        <v>40500000000000</v>
      </c>
      <c r="J160" s="39">
        <v>39000000000000</v>
      </c>
      <c r="K160" s="39">
        <v>37500000000000</v>
      </c>
      <c r="L160" s="39">
        <v>36000000000000</v>
      </c>
      <c r="M160" s="39">
        <v>34400000000000</v>
      </c>
      <c r="N160" s="39">
        <v>32800000000000</v>
      </c>
      <c r="O160" s="39">
        <v>31100000000000</v>
      </c>
      <c r="P160" s="39">
        <v>29400000000000</v>
      </c>
      <c r="Q160" s="39">
        <v>27700000000000</v>
      </c>
      <c r="R160" s="39">
        <v>26000000000000</v>
      </c>
      <c r="S160" s="39">
        <v>24900000000000</v>
      </c>
      <c r="T160" s="39">
        <v>23900000000000</v>
      </c>
      <c r="U160" s="39">
        <v>22800000000000</v>
      </c>
      <c r="V160" s="39">
        <v>21800000000000</v>
      </c>
      <c r="W160" s="39">
        <v>20700000000000</v>
      </c>
      <c r="X160" s="39">
        <v>19800000000000</v>
      </c>
      <c r="Y160" s="39">
        <v>19000000000000</v>
      </c>
      <c r="Z160" s="39">
        <v>18100000000000</v>
      </c>
      <c r="AA160" s="39">
        <v>17200000000000</v>
      </c>
      <c r="AB160" s="39">
        <v>16300000000000</v>
      </c>
      <c r="AC160" s="39">
        <v>15400000000000</v>
      </c>
      <c r="AD160" s="39">
        <v>14400000000000</v>
      </c>
      <c r="AE160" s="39">
        <v>13400000000000</v>
      </c>
      <c r="AF160" s="39">
        <v>12500000000000</v>
      </c>
      <c r="AG160" s="39">
        <v>11500000000000</v>
      </c>
      <c r="AH160" s="39">
        <v>10500000000000</v>
      </c>
      <c r="AI160" s="39">
        <v>9420000000000</v>
      </c>
      <c r="AJ160" s="39">
        <v>8370000000000</v>
      </c>
      <c r="AK160" s="39">
        <v>7340000000000</v>
      </c>
      <c r="AL160" s="39">
        <v>6310000000000</v>
      </c>
      <c r="AM160" s="39">
        <v>5200000000000</v>
      </c>
      <c r="AN160" s="39">
        <v>4110000000000</v>
      </c>
      <c r="AO160" s="39">
        <v>3020000000000</v>
      </c>
      <c r="AP160" s="39">
        <v>1940000000000</v>
      </c>
    </row>
    <row r="161" spans="1:42" x14ac:dyDescent="0.25">
      <c r="A161" s="42" t="str">
        <f t="shared" si="84"/>
        <v>hard coal</v>
      </c>
      <c r="B161" s="42" t="str">
        <f t="shared" si="85"/>
        <v>rural residential</v>
      </c>
      <c r="C161" s="42" t="str">
        <f t="shared" si="86"/>
        <v>other component</v>
      </c>
      <c r="D161" s="1" t="s">
        <v>147</v>
      </c>
      <c r="E161" s="39">
        <v>0</v>
      </c>
      <c r="F161" s="39">
        <v>0</v>
      </c>
      <c r="G161" s="39">
        <v>0</v>
      </c>
      <c r="H161" s="39">
        <v>0</v>
      </c>
      <c r="I161" s="39">
        <v>0</v>
      </c>
      <c r="J161" s="39">
        <v>0</v>
      </c>
      <c r="K161" s="39">
        <v>0</v>
      </c>
      <c r="L161" s="39">
        <v>0</v>
      </c>
      <c r="M161" s="39">
        <v>0</v>
      </c>
      <c r="N161" s="39">
        <v>0</v>
      </c>
      <c r="O161" s="39">
        <v>0</v>
      </c>
      <c r="P161" s="39">
        <v>0</v>
      </c>
      <c r="Q161" s="39">
        <v>0</v>
      </c>
      <c r="R161" s="39">
        <v>0</v>
      </c>
      <c r="S161" s="39">
        <v>0</v>
      </c>
      <c r="T161" s="39">
        <v>0</v>
      </c>
      <c r="U161" s="39">
        <v>0</v>
      </c>
      <c r="V161" s="39">
        <v>0</v>
      </c>
      <c r="W161" s="39">
        <v>0</v>
      </c>
      <c r="X161" s="39">
        <v>0</v>
      </c>
      <c r="Y161" s="39">
        <v>0</v>
      </c>
      <c r="Z161" s="39">
        <v>0</v>
      </c>
      <c r="AA161" s="39">
        <v>0</v>
      </c>
      <c r="AB161" s="39">
        <v>0</v>
      </c>
      <c r="AC161" s="39">
        <v>0</v>
      </c>
      <c r="AD161" s="39">
        <v>0</v>
      </c>
      <c r="AE161" s="39">
        <v>0</v>
      </c>
      <c r="AF161" s="39">
        <v>0</v>
      </c>
      <c r="AG161" s="39">
        <v>0</v>
      </c>
      <c r="AH161" s="39">
        <v>0</v>
      </c>
      <c r="AI161" s="39">
        <v>0</v>
      </c>
      <c r="AJ161" s="39">
        <v>0</v>
      </c>
      <c r="AK161" s="39">
        <v>0</v>
      </c>
      <c r="AL161" s="39">
        <v>0</v>
      </c>
      <c r="AM161" s="39">
        <v>0</v>
      </c>
      <c r="AN161" s="39">
        <v>0</v>
      </c>
      <c r="AO161" s="39">
        <v>0</v>
      </c>
      <c r="AP161" s="39">
        <v>0</v>
      </c>
    </row>
    <row r="162" spans="1:42" x14ac:dyDescent="0.25">
      <c r="A162" s="42" t="str">
        <f t="shared" si="84"/>
        <v>natural gas</v>
      </c>
      <c r="B162" s="42" t="str">
        <f t="shared" si="85"/>
        <v>rural residential</v>
      </c>
      <c r="C162" s="42" t="str">
        <f t="shared" si="86"/>
        <v>heating</v>
      </c>
      <c r="D162" s="1" t="s">
        <v>148</v>
      </c>
      <c r="E162" s="39">
        <v>28000000000000</v>
      </c>
      <c r="F162" s="39">
        <v>26700000000000</v>
      </c>
      <c r="G162" s="39">
        <v>25700000000000</v>
      </c>
      <c r="H162" s="39">
        <v>24700000000000</v>
      </c>
      <c r="I162" s="39">
        <v>23800000000000</v>
      </c>
      <c r="J162" s="39">
        <v>22900000000000</v>
      </c>
      <c r="K162" s="39">
        <v>22000000000000</v>
      </c>
      <c r="L162" s="39">
        <v>21100000000000</v>
      </c>
      <c r="M162" s="39">
        <v>20200000000000</v>
      </c>
      <c r="N162" s="39">
        <v>19300000000000</v>
      </c>
      <c r="O162" s="39">
        <v>18300000000000</v>
      </c>
      <c r="P162" s="39">
        <v>17300000000000</v>
      </c>
      <c r="Q162" s="39">
        <v>16300000000000</v>
      </c>
      <c r="R162" s="39">
        <v>15300000000000</v>
      </c>
      <c r="S162" s="39">
        <v>14600000000000</v>
      </c>
      <c r="T162" s="39">
        <v>14000000000000</v>
      </c>
      <c r="U162" s="39">
        <v>13400000000000</v>
      </c>
      <c r="V162" s="39">
        <v>12800000000000</v>
      </c>
      <c r="W162" s="39">
        <v>12200000000000</v>
      </c>
      <c r="X162" s="39">
        <v>11700000000000</v>
      </c>
      <c r="Y162" s="39">
        <v>11100000000000</v>
      </c>
      <c r="Z162" s="39">
        <v>10600000000000</v>
      </c>
      <c r="AA162" s="39">
        <v>10100000000000</v>
      </c>
      <c r="AB162" s="39">
        <v>9610000000000</v>
      </c>
      <c r="AC162" s="39">
        <v>9040000000000</v>
      </c>
      <c r="AD162" s="39">
        <v>8470000000000</v>
      </c>
      <c r="AE162" s="39">
        <v>7900000000000</v>
      </c>
      <c r="AF162" s="39">
        <v>7330000000000</v>
      </c>
      <c r="AG162" s="39">
        <v>6770000000000</v>
      </c>
      <c r="AH162" s="39">
        <v>6150000000000</v>
      </c>
      <c r="AI162" s="39">
        <v>5530000000000</v>
      </c>
      <c r="AJ162" s="39">
        <v>4920000000000</v>
      </c>
      <c r="AK162" s="39">
        <v>4310000000000</v>
      </c>
      <c r="AL162" s="39">
        <v>3710000000000</v>
      </c>
      <c r="AM162" s="39">
        <v>3060000000000</v>
      </c>
      <c r="AN162" s="39">
        <v>2410000000000</v>
      </c>
      <c r="AO162" s="39">
        <v>1780000000000</v>
      </c>
      <c r="AP162" s="39">
        <v>1140000000000</v>
      </c>
    </row>
    <row r="163" spans="1:42" x14ac:dyDescent="0.25">
      <c r="A163" s="42" t="str">
        <f t="shared" si="84"/>
        <v>natural gas</v>
      </c>
      <c r="B163" s="42" t="str">
        <f t="shared" si="85"/>
        <v>rural residential</v>
      </c>
      <c r="C163" s="42" t="str">
        <f t="shared" si="86"/>
        <v>cooling and ventilation</v>
      </c>
      <c r="D163" s="1" t="s">
        <v>149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</row>
    <row r="164" spans="1:42" x14ac:dyDescent="0.25">
      <c r="A164" s="42" t="str">
        <f t="shared" si="84"/>
        <v>natural gas</v>
      </c>
      <c r="B164" s="42" t="str">
        <f t="shared" si="85"/>
        <v>rural residential</v>
      </c>
      <c r="C164" s="42" t="str">
        <f t="shared" si="86"/>
        <v>envelope</v>
      </c>
      <c r="D164" s="1" t="s">
        <v>150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</row>
    <row r="165" spans="1:42" x14ac:dyDescent="0.25">
      <c r="A165" s="42" t="str">
        <f t="shared" si="84"/>
        <v>natural gas</v>
      </c>
      <c r="B165" s="42" t="str">
        <f t="shared" si="85"/>
        <v>rural residential</v>
      </c>
      <c r="C165" s="42" t="str">
        <f t="shared" si="86"/>
        <v>lighting</v>
      </c>
      <c r="D165" s="1" t="s">
        <v>151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</row>
    <row r="166" spans="1:42" x14ac:dyDescent="0.25">
      <c r="A166" s="42" t="str">
        <f t="shared" si="84"/>
        <v>natural gas</v>
      </c>
      <c r="B166" s="42" t="str">
        <f t="shared" si="85"/>
        <v>rural residential</v>
      </c>
      <c r="C166" s="42" t="str">
        <f t="shared" si="86"/>
        <v>appliances</v>
      </c>
      <c r="D166" s="1" t="s">
        <v>152</v>
      </c>
      <c r="E166" s="39">
        <v>5140000000000</v>
      </c>
      <c r="F166" s="39">
        <v>4920000000000</v>
      </c>
      <c r="G166" s="39">
        <v>4730000000000</v>
      </c>
      <c r="H166" s="39">
        <v>4530000000000</v>
      </c>
      <c r="I166" s="39">
        <v>4370000000000</v>
      </c>
      <c r="J166" s="39">
        <v>4210000000000</v>
      </c>
      <c r="K166" s="39">
        <v>4050000000000</v>
      </c>
      <c r="L166" s="39">
        <v>3890000000000</v>
      </c>
      <c r="M166" s="39">
        <v>3720000000000</v>
      </c>
      <c r="N166" s="39">
        <v>3540000000000</v>
      </c>
      <c r="O166" s="39">
        <v>3360000000000</v>
      </c>
      <c r="P166" s="39">
        <v>3170000000000</v>
      </c>
      <c r="Q166" s="39">
        <v>2990000000000</v>
      </c>
      <c r="R166" s="39">
        <v>2810000000000</v>
      </c>
      <c r="S166" s="39">
        <v>2690000000000</v>
      </c>
      <c r="T166" s="39">
        <v>2580000000000</v>
      </c>
      <c r="U166" s="39">
        <v>2470000000000</v>
      </c>
      <c r="V166" s="39">
        <v>2350000000000</v>
      </c>
      <c r="W166" s="39">
        <v>2240000000000</v>
      </c>
      <c r="X166" s="39">
        <v>2140000000000</v>
      </c>
      <c r="Y166" s="39">
        <v>2050000000000</v>
      </c>
      <c r="Z166" s="39">
        <v>1950000000000</v>
      </c>
      <c r="AA166" s="39">
        <v>1860000000000</v>
      </c>
      <c r="AB166" s="39">
        <v>1770000000000</v>
      </c>
      <c r="AC166" s="39">
        <v>1660000000000</v>
      </c>
      <c r="AD166" s="39">
        <v>1560000000000</v>
      </c>
      <c r="AE166" s="39">
        <v>1450000000000</v>
      </c>
      <c r="AF166" s="39">
        <v>1350000000000</v>
      </c>
      <c r="AG166" s="39">
        <v>1250000000000</v>
      </c>
      <c r="AH166" s="39">
        <v>1130000000000</v>
      </c>
      <c r="AI166" s="39">
        <v>1020000000000</v>
      </c>
      <c r="AJ166" s="39">
        <v>905000000000</v>
      </c>
      <c r="AK166" s="39">
        <v>793000000000</v>
      </c>
      <c r="AL166" s="39">
        <v>682000000000</v>
      </c>
      <c r="AM166" s="39">
        <v>563000000000</v>
      </c>
      <c r="AN166" s="39">
        <v>444000000000</v>
      </c>
      <c r="AO166" s="39">
        <v>327000000000</v>
      </c>
      <c r="AP166" s="39">
        <v>210000000000</v>
      </c>
    </row>
    <row r="167" spans="1:42" x14ac:dyDescent="0.25">
      <c r="A167" s="42" t="str">
        <f t="shared" si="84"/>
        <v>natural gas</v>
      </c>
      <c r="B167" s="42" t="str">
        <f t="shared" si="85"/>
        <v>rural residential</v>
      </c>
      <c r="C167" s="42" t="str">
        <f t="shared" si="86"/>
        <v>other component</v>
      </c>
      <c r="D167" s="1" t="s">
        <v>153</v>
      </c>
      <c r="E167" s="39">
        <v>0</v>
      </c>
      <c r="F167" s="39">
        <v>0</v>
      </c>
      <c r="G167" s="39">
        <v>0</v>
      </c>
      <c r="H167" s="39">
        <v>0</v>
      </c>
      <c r="I167" s="39">
        <v>0</v>
      </c>
      <c r="J167" s="39">
        <v>0</v>
      </c>
      <c r="K167" s="39">
        <v>0</v>
      </c>
      <c r="L167" s="39">
        <v>0</v>
      </c>
      <c r="M167" s="39">
        <v>0</v>
      </c>
      <c r="N167" s="39">
        <v>0</v>
      </c>
      <c r="O167" s="39">
        <v>0</v>
      </c>
      <c r="P167" s="39">
        <v>0</v>
      </c>
      <c r="Q167" s="39">
        <v>0</v>
      </c>
      <c r="R167" s="39">
        <v>0</v>
      </c>
      <c r="S167" s="39">
        <v>0</v>
      </c>
      <c r="T167" s="39">
        <v>0</v>
      </c>
      <c r="U167" s="39">
        <v>0</v>
      </c>
      <c r="V167" s="39">
        <v>0</v>
      </c>
      <c r="W167" s="39">
        <v>0</v>
      </c>
      <c r="X167" s="39">
        <v>0</v>
      </c>
      <c r="Y167" s="39">
        <v>0</v>
      </c>
      <c r="Z167" s="39">
        <v>0</v>
      </c>
      <c r="AA167" s="39">
        <v>0</v>
      </c>
      <c r="AB167" s="39">
        <v>0</v>
      </c>
      <c r="AC167" s="39">
        <v>0</v>
      </c>
      <c r="AD167" s="39">
        <v>0</v>
      </c>
      <c r="AE167" s="39">
        <v>0</v>
      </c>
      <c r="AF167" s="39">
        <v>0</v>
      </c>
      <c r="AG167" s="39">
        <v>0</v>
      </c>
      <c r="AH167" s="39">
        <v>0</v>
      </c>
      <c r="AI167" s="39">
        <v>0</v>
      </c>
      <c r="AJ167" s="39">
        <v>0</v>
      </c>
      <c r="AK167" s="39">
        <v>0</v>
      </c>
      <c r="AL167" s="39">
        <v>0</v>
      </c>
      <c r="AM167" s="39">
        <v>0</v>
      </c>
      <c r="AN167" s="39">
        <v>0</v>
      </c>
      <c r="AO167" s="39">
        <v>0</v>
      </c>
      <c r="AP167" s="39">
        <v>0</v>
      </c>
    </row>
    <row r="168" spans="1:42" x14ac:dyDescent="0.25">
      <c r="A168" s="42" t="str">
        <f t="shared" si="84"/>
        <v>petroleum diesel</v>
      </c>
      <c r="B168" s="42" t="str">
        <f t="shared" si="85"/>
        <v>rural residential</v>
      </c>
      <c r="C168" s="42" t="str">
        <f t="shared" si="86"/>
        <v>heating</v>
      </c>
      <c r="D168" s="1" t="s">
        <v>154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</row>
    <row r="169" spans="1:42" x14ac:dyDescent="0.25">
      <c r="A169" s="42" t="str">
        <f t="shared" si="84"/>
        <v>petroleum diesel</v>
      </c>
      <c r="B169" s="42" t="str">
        <f t="shared" si="85"/>
        <v>rural residential</v>
      </c>
      <c r="C169" s="42" t="str">
        <f t="shared" si="86"/>
        <v>cooling and ventilation</v>
      </c>
      <c r="D169" s="1" t="s">
        <v>155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</row>
    <row r="170" spans="1:42" x14ac:dyDescent="0.25">
      <c r="A170" s="42" t="str">
        <f t="shared" si="84"/>
        <v>petroleum diesel</v>
      </c>
      <c r="B170" s="42" t="str">
        <f t="shared" si="85"/>
        <v>rural residential</v>
      </c>
      <c r="C170" s="42" t="str">
        <f t="shared" si="86"/>
        <v>envelope</v>
      </c>
      <c r="D170" s="1" t="s">
        <v>156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</row>
    <row r="171" spans="1:42" x14ac:dyDescent="0.25">
      <c r="A171" s="42" t="str">
        <f t="shared" si="84"/>
        <v>petroleum diesel</v>
      </c>
      <c r="B171" s="42" t="str">
        <f t="shared" si="85"/>
        <v>rural residential</v>
      </c>
      <c r="C171" s="42" t="str">
        <f t="shared" si="86"/>
        <v>lighting</v>
      </c>
      <c r="D171" s="1" t="s">
        <v>157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</row>
    <row r="172" spans="1:42" x14ac:dyDescent="0.25">
      <c r="A172" s="42" t="str">
        <f t="shared" si="84"/>
        <v>petroleum diesel</v>
      </c>
      <c r="B172" s="42" t="str">
        <f t="shared" si="85"/>
        <v>rural residential</v>
      </c>
      <c r="C172" s="42" t="str">
        <f t="shared" si="86"/>
        <v>appliances</v>
      </c>
      <c r="D172" s="1" t="s">
        <v>158</v>
      </c>
      <c r="E172" s="39">
        <v>7030000000000</v>
      </c>
      <c r="F172" s="39">
        <v>6720000000000</v>
      </c>
      <c r="G172" s="39">
        <v>6460000000000</v>
      </c>
      <c r="H172" s="39">
        <v>6190000000000</v>
      </c>
      <c r="I172" s="39">
        <v>5980000000000</v>
      </c>
      <c r="J172" s="39">
        <v>5750000000000</v>
      </c>
      <c r="K172" s="39">
        <v>5530000000000</v>
      </c>
      <c r="L172" s="39">
        <v>5310000000000</v>
      </c>
      <c r="M172" s="39">
        <v>5090000000000</v>
      </c>
      <c r="N172" s="39">
        <v>4840000000000</v>
      </c>
      <c r="O172" s="39">
        <v>4590000000000</v>
      </c>
      <c r="P172" s="39">
        <v>4340000000000</v>
      </c>
      <c r="Q172" s="39">
        <v>4090000000000</v>
      </c>
      <c r="R172" s="39">
        <v>3830000000000</v>
      </c>
      <c r="S172" s="39">
        <v>3680000000000</v>
      </c>
      <c r="T172" s="39">
        <v>3520000000000</v>
      </c>
      <c r="U172" s="39">
        <v>3370000000000</v>
      </c>
      <c r="V172" s="39">
        <v>3210000000000</v>
      </c>
      <c r="W172" s="39">
        <v>3060000000000</v>
      </c>
      <c r="X172" s="39">
        <v>2930000000000</v>
      </c>
      <c r="Y172" s="39">
        <v>2800000000000</v>
      </c>
      <c r="Z172" s="39">
        <v>2670000000000</v>
      </c>
      <c r="AA172" s="39">
        <v>2540000000000</v>
      </c>
      <c r="AB172" s="39">
        <v>2410000000000</v>
      </c>
      <c r="AC172" s="39">
        <v>2270000000000</v>
      </c>
      <c r="AD172" s="39">
        <v>2130000000000</v>
      </c>
      <c r="AE172" s="39">
        <v>1980000000000</v>
      </c>
      <c r="AF172" s="39">
        <v>1840000000000</v>
      </c>
      <c r="AG172" s="39">
        <v>1700000000000</v>
      </c>
      <c r="AH172" s="39">
        <v>1550000000000</v>
      </c>
      <c r="AI172" s="39">
        <v>1390000000000</v>
      </c>
      <c r="AJ172" s="39">
        <v>1240000000000</v>
      </c>
      <c r="AK172" s="39">
        <v>1080000000000</v>
      </c>
      <c r="AL172" s="39">
        <v>932000000000</v>
      </c>
      <c r="AM172" s="39">
        <v>768000000000</v>
      </c>
      <c r="AN172" s="39">
        <v>607000000000</v>
      </c>
      <c r="AO172" s="39">
        <v>446000000000</v>
      </c>
      <c r="AP172" s="39">
        <v>287000000000</v>
      </c>
    </row>
    <row r="173" spans="1:42" x14ac:dyDescent="0.25">
      <c r="A173" s="42" t="str">
        <f t="shared" si="84"/>
        <v>petroleum diesel</v>
      </c>
      <c r="B173" s="42" t="str">
        <f t="shared" si="85"/>
        <v>rural residential</v>
      </c>
      <c r="C173" s="42" t="str">
        <f t="shared" si="86"/>
        <v>other component</v>
      </c>
      <c r="D173" s="1" t="s">
        <v>159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</row>
    <row r="174" spans="1:42" x14ac:dyDescent="0.25">
      <c r="A174" s="42" t="str">
        <f t="shared" si="84"/>
        <v>heat</v>
      </c>
      <c r="B174" s="42" t="str">
        <f t="shared" si="85"/>
        <v>rural residential</v>
      </c>
      <c r="C174" s="42" t="str">
        <f t="shared" si="86"/>
        <v>heating</v>
      </c>
      <c r="D174" s="1" t="s">
        <v>160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</row>
    <row r="175" spans="1:42" x14ac:dyDescent="0.25">
      <c r="A175" s="42" t="str">
        <f t="shared" si="84"/>
        <v>heat</v>
      </c>
      <c r="B175" s="42" t="str">
        <f t="shared" si="85"/>
        <v>rural residential</v>
      </c>
      <c r="C175" s="42" t="str">
        <f t="shared" si="86"/>
        <v>cooling and ventilation</v>
      </c>
      <c r="D175" s="1" t="s">
        <v>161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</row>
    <row r="176" spans="1:42" x14ac:dyDescent="0.25">
      <c r="A176" s="42" t="str">
        <f t="shared" si="84"/>
        <v>heat</v>
      </c>
      <c r="B176" s="42" t="str">
        <f t="shared" si="85"/>
        <v>rural residential</v>
      </c>
      <c r="C176" s="42" t="str">
        <f t="shared" si="86"/>
        <v>envelope</v>
      </c>
      <c r="D176" s="1" t="s">
        <v>162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</row>
    <row r="177" spans="1:42" x14ac:dyDescent="0.25">
      <c r="A177" s="42" t="str">
        <f t="shared" si="84"/>
        <v>heat</v>
      </c>
      <c r="B177" s="42" t="str">
        <f t="shared" si="85"/>
        <v>rural residential</v>
      </c>
      <c r="C177" s="42" t="str">
        <f t="shared" si="86"/>
        <v>lighting</v>
      </c>
      <c r="D177" s="1" t="s">
        <v>163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</row>
    <row r="178" spans="1:42" x14ac:dyDescent="0.25">
      <c r="A178" s="42" t="str">
        <f t="shared" si="84"/>
        <v>heat</v>
      </c>
      <c r="B178" s="42" t="str">
        <f t="shared" si="85"/>
        <v>rural residential</v>
      </c>
      <c r="C178" s="42" t="str">
        <f t="shared" si="86"/>
        <v>appliances</v>
      </c>
      <c r="D178" s="1" t="s">
        <v>164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</row>
    <row r="179" spans="1:42" x14ac:dyDescent="0.25">
      <c r="A179" s="42" t="str">
        <f t="shared" si="84"/>
        <v>heat</v>
      </c>
      <c r="B179" s="42" t="str">
        <f t="shared" si="85"/>
        <v>rural residential</v>
      </c>
      <c r="C179" s="42" t="str">
        <f t="shared" si="86"/>
        <v>other component</v>
      </c>
      <c r="D179" s="1" t="s">
        <v>165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</row>
    <row r="180" spans="1:42" x14ac:dyDescent="0.25">
      <c r="A180" s="42" t="str">
        <f t="shared" si="84"/>
        <v>biomass</v>
      </c>
      <c r="B180" s="42" t="str">
        <f t="shared" si="85"/>
        <v>rural residential</v>
      </c>
      <c r="C180" s="42" t="str">
        <f t="shared" si="86"/>
        <v>heating</v>
      </c>
      <c r="D180" s="1" t="s">
        <v>166</v>
      </c>
      <c r="E180" s="39">
        <v>133000000000000</v>
      </c>
      <c r="F180" s="39">
        <v>127000000000000</v>
      </c>
      <c r="G180" s="39">
        <v>122000000000000</v>
      </c>
      <c r="H180" s="39">
        <v>117000000000000</v>
      </c>
      <c r="I180" s="39">
        <v>113000000000000</v>
      </c>
      <c r="J180" s="39">
        <v>109000000000000</v>
      </c>
      <c r="K180" s="39">
        <v>105000000000000</v>
      </c>
      <c r="L180" s="39">
        <v>101000000000000</v>
      </c>
      <c r="M180" s="39">
        <v>96400000000000</v>
      </c>
      <c r="N180" s="39">
        <v>91600000000000</v>
      </c>
      <c r="O180" s="39">
        <v>86900000000000</v>
      </c>
      <c r="P180" s="39">
        <v>82200000000000</v>
      </c>
      <c r="Q180" s="39">
        <v>77400000000000</v>
      </c>
      <c r="R180" s="39">
        <v>72600000000000</v>
      </c>
      <c r="S180" s="39">
        <v>69700000000000</v>
      </c>
      <c r="T180" s="39">
        <v>66700000000000</v>
      </c>
      <c r="U180" s="39">
        <v>63800000000000</v>
      </c>
      <c r="V180" s="39">
        <v>60900000000000</v>
      </c>
      <c r="W180" s="39">
        <v>57900000000000</v>
      </c>
      <c r="X180" s="39">
        <v>55500000000000</v>
      </c>
      <c r="Y180" s="39">
        <v>53000000000000</v>
      </c>
      <c r="Z180" s="39">
        <v>50600000000000</v>
      </c>
      <c r="AA180" s="39">
        <v>48200000000000</v>
      </c>
      <c r="AB180" s="39">
        <v>45700000000000</v>
      </c>
      <c r="AC180" s="39">
        <v>43000000000000</v>
      </c>
      <c r="AD180" s="39">
        <v>40300000000000</v>
      </c>
      <c r="AE180" s="39">
        <v>37600000000000</v>
      </c>
      <c r="AF180" s="39">
        <v>34900000000000</v>
      </c>
      <c r="AG180" s="39">
        <v>32200000000000</v>
      </c>
      <c r="AH180" s="39">
        <v>29300000000000</v>
      </c>
      <c r="AI180" s="39">
        <v>26300000000000</v>
      </c>
      <c r="AJ180" s="39">
        <v>23400000000000</v>
      </c>
      <c r="AK180" s="39">
        <v>20500000000000</v>
      </c>
      <c r="AL180" s="39">
        <v>17600000000000</v>
      </c>
      <c r="AM180" s="39">
        <v>14600000000000</v>
      </c>
      <c r="AN180" s="39">
        <v>11500000000000</v>
      </c>
      <c r="AO180" s="39">
        <v>8450000000000</v>
      </c>
      <c r="AP180" s="39">
        <v>5430000000000</v>
      </c>
    </row>
    <row r="181" spans="1:42" x14ac:dyDescent="0.25">
      <c r="A181" s="42" t="str">
        <f t="shared" si="84"/>
        <v>biomass</v>
      </c>
      <c r="B181" s="42" t="str">
        <f t="shared" si="85"/>
        <v>rural residential</v>
      </c>
      <c r="C181" s="42" t="str">
        <f t="shared" si="86"/>
        <v>cooling and ventilation</v>
      </c>
      <c r="D181" s="1" t="s">
        <v>167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</row>
    <row r="182" spans="1:42" x14ac:dyDescent="0.25">
      <c r="A182" s="42" t="str">
        <f t="shared" si="84"/>
        <v>biomass</v>
      </c>
      <c r="B182" s="42" t="str">
        <f t="shared" si="85"/>
        <v>rural residential</v>
      </c>
      <c r="C182" s="42" t="str">
        <f t="shared" si="86"/>
        <v>envelope</v>
      </c>
      <c r="D182" s="1" t="s">
        <v>168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</row>
    <row r="183" spans="1:42" x14ac:dyDescent="0.25">
      <c r="A183" s="42" t="str">
        <f t="shared" si="84"/>
        <v>biomass</v>
      </c>
      <c r="B183" s="42" t="str">
        <f t="shared" si="85"/>
        <v>rural residential</v>
      </c>
      <c r="C183" s="42" t="str">
        <f t="shared" si="86"/>
        <v>lighting</v>
      </c>
      <c r="D183" s="1" t="s">
        <v>169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</row>
    <row r="184" spans="1:42" x14ac:dyDescent="0.25">
      <c r="A184" s="42" t="str">
        <f t="shared" si="84"/>
        <v>biomass</v>
      </c>
      <c r="B184" s="42" t="str">
        <f t="shared" si="85"/>
        <v>rural residential</v>
      </c>
      <c r="C184" s="42" t="str">
        <f t="shared" si="86"/>
        <v>appliances</v>
      </c>
      <c r="D184" s="1" t="s">
        <v>170</v>
      </c>
      <c r="E184" s="39">
        <v>189000000000000</v>
      </c>
      <c r="F184" s="39">
        <v>180000000000000</v>
      </c>
      <c r="G184" s="39">
        <v>173000000000000</v>
      </c>
      <c r="H184" s="39">
        <v>166000000000000</v>
      </c>
      <c r="I184" s="39">
        <v>160000000000000</v>
      </c>
      <c r="J184" s="39">
        <v>154000000000000</v>
      </c>
      <c r="K184" s="39">
        <v>148000000000000</v>
      </c>
      <c r="L184" s="39">
        <v>143000000000000</v>
      </c>
      <c r="M184" s="39">
        <v>137000000000000</v>
      </c>
      <c r="N184" s="39">
        <v>130000000000000</v>
      </c>
      <c r="O184" s="39">
        <v>123000000000000</v>
      </c>
      <c r="P184" s="39">
        <v>116000000000000</v>
      </c>
      <c r="Q184" s="39">
        <v>110000000000000</v>
      </c>
      <c r="R184" s="39">
        <v>103000000000000</v>
      </c>
      <c r="S184" s="39">
        <v>98700000000000</v>
      </c>
      <c r="T184" s="39">
        <v>94500000000000</v>
      </c>
      <c r="U184" s="39">
        <v>90400000000000</v>
      </c>
      <c r="V184" s="39">
        <v>86200000000000</v>
      </c>
      <c r="W184" s="39">
        <v>82100000000000</v>
      </c>
      <c r="X184" s="39">
        <v>78600000000000</v>
      </c>
      <c r="Y184" s="39">
        <v>75100000000000</v>
      </c>
      <c r="Z184" s="39">
        <v>71700000000000</v>
      </c>
      <c r="AA184" s="39">
        <v>68200000000000</v>
      </c>
      <c r="AB184" s="39">
        <v>64800000000000</v>
      </c>
      <c r="AC184" s="39">
        <v>60900000000000</v>
      </c>
      <c r="AD184" s="39">
        <v>57100000000000</v>
      </c>
      <c r="AE184" s="39">
        <v>53300000000000</v>
      </c>
      <c r="AF184" s="39">
        <v>49400000000000</v>
      </c>
      <c r="AG184" s="39">
        <v>45700000000000</v>
      </c>
      <c r="AH184" s="39">
        <v>41500000000000</v>
      </c>
      <c r="AI184" s="39">
        <v>37300000000000</v>
      </c>
      <c r="AJ184" s="39">
        <v>33200000000000</v>
      </c>
      <c r="AK184" s="39">
        <v>29100000000000</v>
      </c>
      <c r="AL184" s="39">
        <v>25000000000000</v>
      </c>
      <c r="AM184" s="39">
        <v>20600000000000</v>
      </c>
      <c r="AN184" s="39">
        <v>16300000000000</v>
      </c>
      <c r="AO184" s="39">
        <v>12000000000000</v>
      </c>
      <c r="AP184" s="39">
        <v>7700000000000</v>
      </c>
    </row>
    <row r="185" spans="1:42" x14ac:dyDescent="0.25">
      <c r="A185" s="42" t="str">
        <f t="shared" si="84"/>
        <v>biomass</v>
      </c>
      <c r="B185" s="42" t="str">
        <f t="shared" si="85"/>
        <v>rural residential</v>
      </c>
      <c r="C185" s="42" t="str">
        <f t="shared" si="86"/>
        <v>other component</v>
      </c>
      <c r="D185" s="1" t="s">
        <v>171</v>
      </c>
      <c r="E185" s="39">
        <v>0</v>
      </c>
      <c r="F185" s="39">
        <v>0</v>
      </c>
      <c r="G185" s="39">
        <v>0</v>
      </c>
      <c r="H185" s="39">
        <v>0</v>
      </c>
      <c r="I185" s="39">
        <v>0</v>
      </c>
      <c r="J185" s="39">
        <v>0</v>
      </c>
      <c r="K185" s="39">
        <v>0</v>
      </c>
      <c r="L185" s="39">
        <v>0</v>
      </c>
      <c r="M185" s="39">
        <v>0</v>
      </c>
      <c r="N185" s="39">
        <v>0</v>
      </c>
      <c r="O185" s="39">
        <v>0</v>
      </c>
      <c r="P185" s="39">
        <v>0</v>
      </c>
      <c r="Q185" s="39">
        <v>0</v>
      </c>
      <c r="R185" s="39">
        <v>0</v>
      </c>
      <c r="S185" s="39">
        <v>0</v>
      </c>
      <c r="T185" s="39">
        <v>0</v>
      </c>
      <c r="U185" s="39">
        <v>0</v>
      </c>
      <c r="V185" s="39">
        <v>0</v>
      </c>
      <c r="W185" s="39">
        <v>0</v>
      </c>
      <c r="X185" s="39">
        <v>0</v>
      </c>
      <c r="Y185" s="39">
        <v>0</v>
      </c>
      <c r="Z185" s="39">
        <v>0</v>
      </c>
      <c r="AA185" s="39">
        <v>0</v>
      </c>
      <c r="AB185" s="39">
        <v>0</v>
      </c>
      <c r="AC185" s="39">
        <v>0</v>
      </c>
      <c r="AD185" s="39">
        <v>0</v>
      </c>
      <c r="AE185" s="39">
        <v>0</v>
      </c>
      <c r="AF185" s="39">
        <v>0</v>
      </c>
      <c r="AG185" s="39">
        <v>0</v>
      </c>
      <c r="AH185" s="39">
        <v>0</v>
      </c>
      <c r="AI185" s="39">
        <v>0</v>
      </c>
      <c r="AJ185" s="39">
        <v>0</v>
      </c>
      <c r="AK185" s="39">
        <v>0</v>
      </c>
      <c r="AL185" s="39">
        <v>0</v>
      </c>
      <c r="AM185" s="39">
        <v>0</v>
      </c>
      <c r="AN185" s="39">
        <v>0</v>
      </c>
      <c r="AO185" s="39">
        <v>0</v>
      </c>
      <c r="AP185" s="39">
        <v>0</v>
      </c>
    </row>
    <row r="186" spans="1:42" x14ac:dyDescent="0.25">
      <c r="A186" s="42" t="str">
        <f t="shared" si="84"/>
        <v>kerosene</v>
      </c>
      <c r="B186" s="42" t="str">
        <f t="shared" si="85"/>
        <v>rural residential</v>
      </c>
      <c r="C186" s="42" t="str">
        <f t="shared" si="86"/>
        <v>heating</v>
      </c>
      <c r="D186" s="1" t="s">
        <v>172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</row>
    <row r="187" spans="1:42" x14ac:dyDescent="0.25">
      <c r="A187" s="42" t="str">
        <f t="shared" si="84"/>
        <v>kerosene</v>
      </c>
      <c r="B187" s="42" t="str">
        <f t="shared" si="85"/>
        <v>rural residential</v>
      </c>
      <c r="C187" s="42" t="str">
        <f t="shared" si="86"/>
        <v>cooling and ventilation</v>
      </c>
      <c r="D187" s="1" t="s">
        <v>173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</row>
    <row r="188" spans="1:42" x14ac:dyDescent="0.25">
      <c r="A188" s="42" t="str">
        <f t="shared" si="84"/>
        <v>kerosene</v>
      </c>
      <c r="B188" s="42" t="str">
        <f t="shared" si="85"/>
        <v>rural residential</v>
      </c>
      <c r="C188" s="42" t="str">
        <f t="shared" si="86"/>
        <v>envelope</v>
      </c>
      <c r="D188" s="1" t="s">
        <v>174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</row>
    <row r="189" spans="1:42" x14ac:dyDescent="0.25">
      <c r="A189" s="42" t="str">
        <f t="shared" si="84"/>
        <v>kerosene</v>
      </c>
      <c r="B189" s="42" t="str">
        <f t="shared" si="85"/>
        <v>rural residential</v>
      </c>
      <c r="C189" s="42" t="str">
        <f t="shared" si="86"/>
        <v>lighting</v>
      </c>
      <c r="D189" s="1" t="s">
        <v>175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</row>
    <row r="190" spans="1:42" x14ac:dyDescent="0.25">
      <c r="A190" s="42" t="str">
        <f t="shared" si="84"/>
        <v>kerosene</v>
      </c>
      <c r="B190" s="42" t="str">
        <f t="shared" si="85"/>
        <v>rural residential</v>
      </c>
      <c r="C190" s="42" t="str">
        <f t="shared" si="86"/>
        <v>appliances</v>
      </c>
      <c r="D190" s="1" t="s">
        <v>176</v>
      </c>
      <c r="E190" s="39">
        <v>759000000000</v>
      </c>
      <c r="F190" s="39">
        <v>726000000000</v>
      </c>
      <c r="G190" s="39">
        <v>698000000000</v>
      </c>
      <c r="H190" s="39">
        <v>669000000000</v>
      </c>
      <c r="I190" s="39">
        <v>645000000000</v>
      </c>
      <c r="J190" s="39">
        <v>622000000000</v>
      </c>
      <c r="K190" s="39">
        <v>598000000000</v>
      </c>
      <c r="L190" s="39">
        <v>574000000000</v>
      </c>
      <c r="M190" s="39">
        <v>550000000000</v>
      </c>
      <c r="N190" s="39">
        <v>523000000000</v>
      </c>
      <c r="O190" s="39">
        <v>496000000000</v>
      </c>
      <c r="P190" s="39">
        <v>469000000000</v>
      </c>
      <c r="Q190" s="39">
        <v>441000000000</v>
      </c>
      <c r="R190" s="39">
        <v>414000000000</v>
      </c>
      <c r="S190" s="39">
        <v>397000000000</v>
      </c>
      <c r="T190" s="39">
        <v>381000000000</v>
      </c>
      <c r="U190" s="39">
        <v>364000000000</v>
      </c>
      <c r="V190" s="39">
        <v>347000000000</v>
      </c>
      <c r="W190" s="39">
        <v>330000000000</v>
      </c>
      <c r="X190" s="39">
        <v>316000000000</v>
      </c>
      <c r="Y190" s="39">
        <v>302000000000</v>
      </c>
      <c r="Z190" s="39">
        <v>289000000000</v>
      </c>
      <c r="AA190" s="39">
        <v>275000000000</v>
      </c>
      <c r="AB190" s="39">
        <v>261000000000</v>
      </c>
      <c r="AC190" s="39">
        <v>245000000000</v>
      </c>
      <c r="AD190" s="39">
        <v>230000000000</v>
      </c>
      <c r="AE190" s="39">
        <v>214000000000</v>
      </c>
      <c r="AF190" s="39">
        <v>199000000000</v>
      </c>
      <c r="AG190" s="39">
        <v>184000000000</v>
      </c>
      <c r="AH190" s="39">
        <v>167000000000</v>
      </c>
      <c r="AI190" s="39">
        <v>150000000000</v>
      </c>
      <c r="AJ190" s="39">
        <v>134000000000</v>
      </c>
      <c r="AK190" s="39">
        <v>117000000000</v>
      </c>
      <c r="AL190" s="39">
        <v>101000000000</v>
      </c>
      <c r="AM190" s="39">
        <v>83000000000</v>
      </c>
      <c r="AN190" s="39">
        <v>65500000000</v>
      </c>
      <c r="AO190" s="39">
        <v>48200000000</v>
      </c>
      <c r="AP190" s="39">
        <v>31000000000</v>
      </c>
    </row>
    <row r="191" spans="1:42" x14ac:dyDescent="0.25">
      <c r="A191" s="42" t="str">
        <f t="shared" si="84"/>
        <v>kerosene</v>
      </c>
      <c r="B191" s="42" t="str">
        <f t="shared" si="85"/>
        <v>rural residential</v>
      </c>
      <c r="C191" s="42" t="str">
        <f t="shared" si="86"/>
        <v>other component</v>
      </c>
      <c r="D191" s="1" t="s">
        <v>177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</row>
    <row r="192" spans="1:42" x14ac:dyDescent="0.25">
      <c r="A192" s="42" t="str">
        <f t="shared" si="84"/>
        <v>heavy or residual fuel oil</v>
      </c>
      <c r="B192" s="42" t="str">
        <f t="shared" si="85"/>
        <v>rural residential</v>
      </c>
      <c r="C192" s="42" t="str">
        <f t="shared" si="86"/>
        <v>heating</v>
      </c>
      <c r="D192" s="1" t="s">
        <v>178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</row>
    <row r="193" spans="1:42" x14ac:dyDescent="0.25">
      <c r="A193" s="42" t="str">
        <f t="shared" si="84"/>
        <v>heavy or residual fuel oil</v>
      </c>
      <c r="B193" s="42" t="str">
        <f t="shared" si="85"/>
        <v>rural residential</v>
      </c>
      <c r="C193" s="42" t="str">
        <f t="shared" si="86"/>
        <v>cooling and ventilation</v>
      </c>
      <c r="D193" s="1" t="s">
        <v>179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</row>
    <row r="194" spans="1:42" x14ac:dyDescent="0.25">
      <c r="A194" s="42" t="str">
        <f t="shared" si="84"/>
        <v>heavy or residual fuel oil</v>
      </c>
      <c r="B194" s="42" t="str">
        <f t="shared" si="85"/>
        <v>rural residential</v>
      </c>
      <c r="C194" s="42" t="str">
        <f t="shared" si="86"/>
        <v>envelope</v>
      </c>
      <c r="D194" s="1" t="s">
        <v>180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</row>
    <row r="195" spans="1:42" x14ac:dyDescent="0.25">
      <c r="A195" s="42" t="str">
        <f t="shared" si="84"/>
        <v>heavy or residual fuel oil</v>
      </c>
      <c r="B195" s="42" t="str">
        <f t="shared" si="85"/>
        <v>rural residential</v>
      </c>
      <c r="C195" s="42" t="str">
        <f t="shared" si="86"/>
        <v>lighting</v>
      </c>
      <c r="D195" s="1" t="s">
        <v>181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</row>
    <row r="196" spans="1:42" x14ac:dyDescent="0.25">
      <c r="A196" s="42" t="str">
        <f t="shared" si="84"/>
        <v>heavy or residual fuel oil</v>
      </c>
      <c r="B196" s="42" t="str">
        <f t="shared" si="85"/>
        <v>rural residential</v>
      </c>
      <c r="C196" s="42" t="str">
        <f t="shared" si="86"/>
        <v>appliances</v>
      </c>
      <c r="D196" s="1" t="s">
        <v>182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</row>
    <row r="197" spans="1:42" x14ac:dyDescent="0.25">
      <c r="A197" s="42" t="str">
        <f t="shared" si="84"/>
        <v>heavy or residual fuel oil</v>
      </c>
      <c r="B197" s="42" t="str">
        <f t="shared" si="85"/>
        <v>rural residential</v>
      </c>
      <c r="C197" s="42" t="str">
        <f t="shared" si="86"/>
        <v>other component</v>
      </c>
      <c r="D197" s="1" t="s">
        <v>183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</row>
    <row r="198" spans="1:42" x14ac:dyDescent="0.25">
      <c r="A198" s="42" t="str">
        <f t="shared" si="84"/>
        <v>LPG propane or butane</v>
      </c>
      <c r="B198" s="42" t="str">
        <f t="shared" si="85"/>
        <v>rural residential</v>
      </c>
      <c r="C198" s="42" t="str">
        <f t="shared" si="86"/>
        <v>heating</v>
      </c>
      <c r="D198" s="1" t="s">
        <v>184</v>
      </c>
      <c r="E198" s="39">
        <v>127000000000000</v>
      </c>
      <c r="F198" s="39">
        <v>122000000000000</v>
      </c>
      <c r="G198" s="39">
        <v>117000000000000</v>
      </c>
      <c r="H198" s="39">
        <v>112000000000000</v>
      </c>
      <c r="I198" s="39">
        <v>108000000000000</v>
      </c>
      <c r="J198" s="39">
        <v>104000000000000</v>
      </c>
      <c r="K198" s="39">
        <v>100000000000000</v>
      </c>
      <c r="L198" s="39">
        <v>96100000000000</v>
      </c>
      <c r="M198" s="39">
        <v>92000000000000</v>
      </c>
      <c r="N198" s="39">
        <v>87500000000000</v>
      </c>
      <c r="O198" s="39">
        <v>83000000000000</v>
      </c>
      <c r="P198" s="39">
        <v>78500000000000</v>
      </c>
      <c r="Q198" s="39">
        <v>73900000000000</v>
      </c>
      <c r="R198" s="39">
        <v>69400000000000</v>
      </c>
      <c r="S198" s="39">
        <v>66600000000000</v>
      </c>
      <c r="T198" s="39">
        <v>63700000000000</v>
      </c>
      <c r="U198" s="39">
        <v>60900000000000</v>
      </c>
      <c r="V198" s="39">
        <v>58100000000000</v>
      </c>
      <c r="W198" s="39">
        <v>55300000000000</v>
      </c>
      <c r="X198" s="39">
        <v>53000000000000</v>
      </c>
      <c r="Y198" s="39">
        <v>50600000000000</v>
      </c>
      <c r="Z198" s="39">
        <v>48300000000000</v>
      </c>
      <c r="AA198" s="39">
        <v>46000000000000</v>
      </c>
      <c r="AB198" s="39">
        <v>43700000000000</v>
      </c>
      <c r="AC198" s="39">
        <v>41100000000000</v>
      </c>
      <c r="AD198" s="39">
        <v>38500000000000</v>
      </c>
      <c r="AE198" s="39">
        <v>35900000000000</v>
      </c>
      <c r="AF198" s="39">
        <v>33300000000000</v>
      </c>
      <c r="AG198" s="39">
        <v>30800000000000</v>
      </c>
      <c r="AH198" s="39">
        <v>28000000000000</v>
      </c>
      <c r="AI198" s="39">
        <v>25200000000000</v>
      </c>
      <c r="AJ198" s="39">
        <v>22400000000000</v>
      </c>
      <c r="AK198" s="39">
        <v>19600000000000</v>
      </c>
      <c r="AL198" s="39">
        <v>16900000000000</v>
      </c>
      <c r="AM198" s="39">
        <v>13900000000000</v>
      </c>
      <c r="AN198" s="39">
        <v>11000000000000</v>
      </c>
      <c r="AO198" s="39">
        <v>8070000000000</v>
      </c>
      <c r="AP198" s="39">
        <v>5190000000000</v>
      </c>
    </row>
    <row r="199" spans="1:42" x14ac:dyDescent="0.25">
      <c r="A199" s="42" t="str">
        <f t="shared" si="84"/>
        <v>LPG propane or butane</v>
      </c>
      <c r="B199" s="42" t="str">
        <f t="shared" si="85"/>
        <v>rural residential</v>
      </c>
      <c r="C199" s="42" t="str">
        <f t="shared" si="86"/>
        <v>cooling and ventilation</v>
      </c>
      <c r="D199" s="1" t="s">
        <v>185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</row>
    <row r="200" spans="1:42" x14ac:dyDescent="0.25">
      <c r="A200" s="42" t="str">
        <f t="shared" si="84"/>
        <v>LPG propane or butane</v>
      </c>
      <c r="B200" s="42" t="str">
        <f t="shared" si="85"/>
        <v>rural residential</v>
      </c>
      <c r="C200" s="42" t="str">
        <f t="shared" si="86"/>
        <v>envelope</v>
      </c>
      <c r="D200" s="1" t="s">
        <v>186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</row>
    <row r="201" spans="1:42" x14ac:dyDescent="0.25">
      <c r="A201" s="42" t="str">
        <f t="shared" si="84"/>
        <v>LPG propane or butane</v>
      </c>
      <c r="B201" s="42" t="str">
        <f t="shared" si="85"/>
        <v>rural residential</v>
      </c>
      <c r="C201" s="42" t="str">
        <f t="shared" si="86"/>
        <v>lighting</v>
      </c>
      <c r="D201" s="1" t="s">
        <v>187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</row>
    <row r="202" spans="1:42" x14ac:dyDescent="0.25">
      <c r="A202" s="42" t="str">
        <f t="shared" si="84"/>
        <v>LPG propane or butane</v>
      </c>
      <c r="B202" s="42" t="str">
        <f t="shared" si="85"/>
        <v>rural residential</v>
      </c>
      <c r="C202" s="42" t="str">
        <f t="shared" si="86"/>
        <v>appliances</v>
      </c>
      <c r="D202" s="1" t="s">
        <v>188</v>
      </c>
      <c r="E202" s="39">
        <v>229000000000000</v>
      </c>
      <c r="F202" s="39">
        <v>219000000000000</v>
      </c>
      <c r="G202" s="39">
        <v>210000000000000</v>
      </c>
      <c r="H202" s="39">
        <v>202000000000000</v>
      </c>
      <c r="I202" s="39">
        <v>195000000000000</v>
      </c>
      <c r="J202" s="39">
        <v>188000000000000</v>
      </c>
      <c r="K202" s="39">
        <v>180000000000000</v>
      </c>
      <c r="L202" s="39">
        <v>173000000000000</v>
      </c>
      <c r="M202" s="39">
        <v>166000000000000</v>
      </c>
      <c r="N202" s="39">
        <v>158000000000000</v>
      </c>
      <c r="O202" s="39">
        <v>150000000000000</v>
      </c>
      <c r="P202" s="39">
        <v>141000000000000</v>
      </c>
      <c r="Q202" s="39">
        <v>133000000000000</v>
      </c>
      <c r="R202" s="39">
        <v>125000000000000</v>
      </c>
      <c r="S202" s="39">
        <v>120000000000000</v>
      </c>
      <c r="T202" s="39">
        <v>115000000000000</v>
      </c>
      <c r="U202" s="39">
        <v>110000000000000</v>
      </c>
      <c r="V202" s="39">
        <v>105000000000000</v>
      </c>
      <c r="W202" s="39">
        <v>99600000000000</v>
      </c>
      <c r="X202" s="39">
        <v>95400000000000</v>
      </c>
      <c r="Y202" s="39">
        <v>91200000000000</v>
      </c>
      <c r="Z202" s="39">
        <v>87000000000000</v>
      </c>
      <c r="AA202" s="39">
        <v>82900000000000</v>
      </c>
      <c r="AB202" s="39">
        <v>78700000000000</v>
      </c>
      <c r="AC202" s="39">
        <v>74000000000000</v>
      </c>
      <c r="AD202" s="39">
        <v>69300000000000</v>
      </c>
      <c r="AE202" s="39">
        <v>64700000000000</v>
      </c>
      <c r="AF202" s="39">
        <v>60100000000000</v>
      </c>
      <c r="AG202" s="39">
        <v>55400000000000</v>
      </c>
      <c r="AH202" s="39">
        <v>50400000000000</v>
      </c>
      <c r="AI202" s="39">
        <v>45300000000000</v>
      </c>
      <c r="AJ202" s="39">
        <v>40300000000000</v>
      </c>
      <c r="AK202" s="39">
        <v>35300000000000</v>
      </c>
      <c r="AL202" s="39">
        <v>30400000000000</v>
      </c>
      <c r="AM202" s="39">
        <v>25000000000000</v>
      </c>
      <c r="AN202" s="39">
        <v>19800000000000</v>
      </c>
      <c r="AO202" s="39">
        <v>14500000000000</v>
      </c>
      <c r="AP202" s="39">
        <v>9350000000000</v>
      </c>
    </row>
    <row r="203" spans="1:42" x14ac:dyDescent="0.25">
      <c r="A203" s="42" t="str">
        <f t="shared" si="84"/>
        <v>LPG propane or butane</v>
      </c>
      <c r="B203" s="42" t="str">
        <f t="shared" si="85"/>
        <v>rural residential</v>
      </c>
      <c r="C203" s="42" t="str">
        <f t="shared" si="86"/>
        <v>other component</v>
      </c>
      <c r="D203" s="1" t="s">
        <v>189</v>
      </c>
      <c r="E203" s="39">
        <v>0</v>
      </c>
      <c r="F203" s="39">
        <v>0</v>
      </c>
      <c r="G203" s="39">
        <v>0</v>
      </c>
      <c r="H203" s="39">
        <v>0</v>
      </c>
      <c r="I203" s="39">
        <v>0</v>
      </c>
      <c r="J203" s="39">
        <v>0</v>
      </c>
      <c r="K203" s="39">
        <v>0</v>
      </c>
      <c r="L203" s="39">
        <v>0</v>
      </c>
      <c r="M203" s="39">
        <v>0</v>
      </c>
      <c r="N203" s="39">
        <v>0</v>
      </c>
      <c r="O203" s="39">
        <v>0</v>
      </c>
      <c r="P203" s="39">
        <v>0</v>
      </c>
      <c r="Q203" s="39">
        <v>0</v>
      </c>
      <c r="R203" s="39">
        <v>0</v>
      </c>
      <c r="S203" s="39">
        <v>0</v>
      </c>
      <c r="T203" s="39">
        <v>0</v>
      </c>
      <c r="U203" s="39">
        <v>0</v>
      </c>
      <c r="V203" s="39">
        <v>0</v>
      </c>
      <c r="W203" s="39">
        <v>0</v>
      </c>
      <c r="X203" s="39">
        <v>0</v>
      </c>
      <c r="Y203" s="39">
        <v>0</v>
      </c>
      <c r="Z203" s="39">
        <v>0</v>
      </c>
      <c r="AA203" s="39">
        <v>0</v>
      </c>
      <c r="AB203" s="39">
        <v>0</v>
      </c>
      <c r="AC203" s="39">
        <v>0</v>
      </c>
      <c r="AD203" s="39">
        <v>0</v>
      </c>
      <c r="AE203" s="39">
        <v>0</v>
      </c>
      <c r="AF203" s="39">
        <v>0</v>
      </c>
      <c r="AG203" s="39">
        <v>0</v>
      </c>
      <c r="AH203" s="39">
        <v>0</v>
      </c>
      <c r="AI203" s="39">
        <v>0</v>
      </c>
      <c r="AJ203" s="39">
        <v>0</v>
      </c>
      <c r="AK203" s="39">
        <v>0</v>
      </c>
      <c r="AL203" s="39">
        <v>0</v>
      </c>
      <c r="AM203" s="39">
        <v>0</v>
      </c>
      <c r="AN203" s="39">
        <v>0</v>
      </c>
      <c r="AO203" s="39">
        <v>0</v>
      </c>
      <c r="AP203" s="39">
        <v>0</v>
      </c>
    </row>
    <row r="204" spans="1:42" x14ac:dyDescent="0.25">
      <c r="A204" s="42" t="str">
        <f t="shared" si="84"/>
        <v>hydrogen</v>
      </c>
      <c r="B204" s="42" t="str">
        <f t="shared" si="85"/>
        <v>rural residential</v>
      </c>
      <c r="C204" s="42" t="str">
        <f t="shared" si="86"/>
        <v>heating</v>
      </c>
      <c r="D204" s="1" t="s">
        <v>190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</row>
    <row r="205" spans="1:42" x14ac:dyDescent="0.25">
      <c r="A205" s="42" t="str">
        <f t="shared" si="84"/>
        <v>hydrogen</v>
      </c>
      <c r="B205" s="42" t="str">
        <f t="shared" si="85"/>
        <v>rural residential</v>
      </c>
      <c r="C205" s="42" t="str">
        <f t="shared" si="86"/>
        <v>cooling and ventilation</v>
      </c>
      <c r="D205" s="1" t="s">
        <v>191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</row>
    <row r="206" spans="1:42" x14ac:dyDescent="0.25">
      <c r="A206" s="42" t="str">
        <f t="shared" si="84"/>
        <v>hydrogen</v>
      </c>
      <c r="B206" s="42" t="str">
        <f t="shared" si="85"/>
        <v>rural residential</v>
      </c>
      <c r="C206" s="42" t="str">
        <f t="shared" si="86"/>
        <v>envelope</v>
      </c>
      <c r="D206" s="1" t="s">
        <v>192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</row>
    <row r="207" spans="1:42" x14ac:dyDescent="0.25">
      <c r="A207" s="42" t="str">
        <f t="shared" si="84"/>
        <v>hydrogen</v>
      </c>
      <c r="B207" s="42" t="str">
        <f t="shared" si="85"/>
        <v>rural residential</v>
      </c>
      <c r="C207" s="42" t="str">
        <f t="shared" si="86"/>
        <v>lighting</v>
      </c>
      <c r="D207" s="1" t="s">
        <v>193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</row>
    <row r="208" spans="1:42" x14ac:dyDescent="0.25">
      <c r="A208" s="42" t="str">
        <f t="shared" si="84"/>
        <v>hydrogen</v>
      </c>
      <c r="B208" s="42" t="str">
        <f t="shared" si="85"/>
        <v>rural residential</v>
      </c>
      <c r="C208" s="42" t="str">
        <f t="shared" si="86"/>
        <v>appliances</v>
      </c>
      <c r="D208" s="1" t="s">
        <v>194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</row>
    <row r="209" spans="1:42" x14ac:dyDescent="0.25">
      <c r="A209" s="42" t="str">
        <f t="shared" si="84"/>
        <v>hydrogen</v>
      </c>
      <c r="B209" s="42" t="str">
        <f t="shared" si="85"/>
        <v>rural residential</v>
      </c>
      <c r="C209" s="42" t="str">
        <f t="shared" si="86"/>
        <v>other component</v>
      </c>
      <c r="D209" s="1" t="s">
        <v>195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</row>
    <row r="210" spans="1:42" x14ac:dyDescent="0.25">
      <c r="A210" s="42" t="str">
        <f t="shared" si="84"/>
        <v>electricity</v>
      </c>
      <c r="B210" s="42" t="str">
        <f t="shared" si="85"/>
        <v>commercial</v>
      </c>
      <c r="C210" s="42" t="str">
        <f t="shared" si="86"/>
        <v>heating</v>
      </c>
      <c r="D210" s="1" t="s">
        <v>196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</row>
    <row r="211" spans="1:42" x14ac:dyDescent="0.25">
      <c r="A211" s="42" t="str">
        <f t="shared" si="84"/>
        <v>electricity</v>
      </c>
      <c r="B211" s="42" t="str">
        <f t="shared" si="85"/>
        <v>commercial</v>
      </c>
      <c r="C211" s="42" t="str">
        <f t="shared" si="86"/>
        <v>cooling and ventilation</v>
      </c>
      <c r="D211" s="1" t="s">
        <v>197</v>
      </c>
      <c r="E211" s="39">
        <v>1060000000000000</v>
      </c>
      <c r="F211" s="39">
        <v>1070000000000000</v>
      </c>
      <c r="G211" s="39">
        <v>1070000000000000</v>
      </c>
      <c r="H211" s="39">
        <v>1070000000000000</v>
      </c>
      <c r="I211" s="39">
        <v>1060000000000000</v>
      </c>
      <c r="J211" s="39">
        <v>1050000000000000</v>
      </c>
      <c r="K211" s="39">
        <v>1040000000000000</v>
      </c>
      <c r="L211" s="39">
        <v>1030000000000000</v>
      </c>
      <c r="M211" s="39">
        <v>1020000000000000</v>
      </c>
      <c r="N211" s="39">
        <v>1020000000000000</v>
      </c>
      <c r="O211" s="39">
        <v>1020000000000000</v>
      </c>
      <c r="P211" s="39">
        <v>1030000000000000</v>
      </c>
      <c r="Q211" s="39">
        <v>1030000000000000</v>
      </c>
      <c r="R211" s="39">
        <v>1030000000000000</v>
      </c>
      <c r="S211" s="39">
        <v>1030000000000000</v>
      </c>
      <c r="T211" s="39">
        <v>1030000000000000</v>
      </c>
      <c r="U211" s="39">
        <v>1040000000000000</v>
      </c>
      <c r="V211" s="39">
        <v>1040000000000000</v>
      </c>
      <c r="W211" s="39">
        <v>1040000000000000</v>
      </c>
      <c r="X211" s="39">
        <v>1040000000000000</v>
      </c>
      <c r="Y211" s="39">
        <v>1040000000000000</v>
      </c>
      <c r="Z211" s="39">
        <v>1040000000000000</v>
      </c>
      <c r="AA211" s="39">
        <v>1030000000000000</v>
      </c>
      <c r="AB211" s="39">
        <v>1030000000000000</v>
      </c>
      <c r="AC211" s="39">
        <v>1030000000000000</v>
      </c>
      <c r="AD211" s="39">
        <v>1020000000000000</v>
      </c>
      <c r="AE211" s="39">
        <v>1020000000000000</v>
      </c>
      <c r="AF211" s="39">
        <v>1020000000000000</v>
      </c>
      <c r="AG211" s="39">
        <v>1010000000000000</v>
      </c>
      <c r="AH211" s="39">
        <v>1000000000000000</v>
      </c>
      <c r="AI211" s="39">
        <v>995000000000000</v>
      </c>
      <c r="AJ211" s="39">
        <v>987000000000000</v>
      </c>
      <c r="AK211" s="39">
        <v>979000000000000</v>
      </c>
      <c r="AL211" s="39">
        <v>970000000000000</v>
      </c>
      <c r="AM211" s="39">
        <v>960000000000000</v>
      </c>
      <c r="AN211" s="39">
        <v>949000000000000</v>
      </c>
      <c r="AO211" s="39">
        <v>938000000000000</v>
      </c>
      <c r="AP211" s="39">
        <v>850000000000000</v>
      </c>
    </row>
    <row r="212" spans="1:42" x14ac:dyDescent="0.25">
      <c r="A212" s="42" t="str">
        <f t="shared" si="84"/>
        <v>electricity</v>
      </c>
      <c r="B212" s="42" t="str">
        <f t="shared" si="85"/>
        <v>commercial</v>
      </c>
      <c r="C212" s="42" t="str">
        <f t="shared" si="86"/>
        <v>envelope</v>
      </c>
      <c r="D212" s="1" t="s">
        <v>198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</row>
    <row r="213" spans="1:42" x14ac:dyDescent="0.25">
      <c r="A213" s="42" t="str">
        <f t="shared" si="84"/>
        <v>electricity</v>
      </c>
      <c r="B213" s="42" t="str">
        <f t="shared" si="85"/>
        <v>commercial</v>
      </c>
      <c r="C213" s="42" t="str">
        <f t="shared" si="86"/>
        <v>lighting</v>
      </c>
      <c r="D213" s="1" t="s">
        <v>199</v>
      </c>
      <c r="E213" s="39">
        <v>1660000000000000</v>
      </c>
      <c r="F213" s="39">
        <v>1670000000000000</v>
      </c>
      <c r="G213" s="39">
        <v>1670000000000000</v>
      </c>
      <c r="H213" s="39">
        <v>1670000000000000</v>
      </c>
      <c r="I213" s="39">
        <v>1660000000000000</v>
      </c>
      <c r="J213" s="39">
        <v>1640000000000000</v>
      </c>
      <c r="K213" s="39">
        <v>1630000000000000</v>
      </c>
      <c r="L213" s="39">
        <v>1610000000000000</v>
      </c>
      <c r="M213" s="39">
        <v>1600000000000000</v>
      </c>
      <c r="N213" s="39">
        <v>1600000000000000</v>
      </c>
      <c r="O213" s="39">
        <v>1600000000000000</v>
      </c>
      <c r="P213" s="39">
        <v>1600000000000000</v>
      </c>
      <c r="Q213" s="39">
        <v>1600000000000000</v>
      </c>
      <c r="R213" s="39">
        <v>1610000000000000</v>
      </c>
      <c r="S213" s="39">
        <v>1610000000000000</v>
      </c>
      <c r="T213" s="39">
        <v>1610000000000000</v>
      </c>
      <c r="U213" s="39">
        <v>1620000000000000</v>
      </c>
      <c r="V213" s="39">
        <v>1620000000000000</v>
      </c>
      <c r="W213" s="39">
        <v>1620000000000000</v>
      </c>
      <c r="X213" s="39">
        <v>1620000000000000</v>
      </c>
      <c r="Y213" s="39">
        <v>1620000000000000</v>
      </c>
      <c r="Z213" s="39">
        <v>1620000000000000</v>
      </c>
      <c r="AA213" s="39">
        <v>1610000000000000</v>
      </c>
      <c r="AB213" s="39">
        <v>1610000000000000</v>
      </c>
      <c r="AC213" s="39">
        <v>1600000000000000</v>
      </c>
      <c r="AD213" s="39">
        <v>1600000000000000</v>
      </c>
      <c r="AE213" s="39">
        <v>1590000000000000</v>
      </c>
      <c r="AF213" s="39">
        <v>1580000000000000</v>
      </c>
      <c r="AG213" s="39">
        <v>1580000000000000</v>
      </c>
      <c r="AH213" s="39">
        <v>1560000000000000</v>
      </c>
      <c r="AI213" s="39">
        <v>1550000000000000</v>
      </c>
      <c r="AJ213" s="39">
        <v>1540000000000000</v>
      </c>
      <c r="AK213" s="39">
        <v>1530000000000000</v>
      </c>
      <c r="AL213" s="39">
        <v>1510000000000000</v>
      </c>
      <c r="AM213" s="39">
        <v>1500000000000000</v>
      </c>
      <c r="AN213" s="39">
        <v>1480000000000000</v>
      </c>
      <c r="AO213" s="39">
        <v>1460000000000000</v>
      </c>
      <c r="AP213" s="39">
        <v>1330000000000000</v>
      </c>
    </row>
    <row r="214" spans="1:42" x14ac:dyDescent="0.25">
      <c r="A214" s="42" t="str">
        <f t="shared" si="84"/>
        <v>electricity</v>
      </c>
      <c r="B214" s="42" t="str">
        <f t="shared" si="85"/>
        <v>commercial</v>
      </c>
      <c r="C214" s="42" t="str">
        <f t="shared" si="86"/>
        <v>appliances</v>
      </c>
      <c r="D214" s="1" t="s">
        <v>200</v>
      </c>
      <c r="E214" s="39">
        <v>675000000000000</v>
      </c>
      <c r="F214" s="39">
        <v>678000000000000</v>
      </c>
      <c r="G214" s="39">
        <v>680000000000000</v>
      </c>
      <c r="H214" s="39">
        <v>679000000000000</v>
      </c>
      <c r="I214" s="39">
        <v>674000000000000</v>
      </c>
      <c r="J214" s="39">
        <v>668000000000000</v>
      </c>
      <c r="K214" s="39">
        <v>662000000000000</v>
      </c>
      <c r="L214" s="39">
        <v>654000000000000</v>
      </c>
      <c r="M214" s="39">
        <v>649000000000000</v>
      </c>
      <c r="N214" s="39">
        <v>649000000000000</v>
      </c>
      <c r="O214" s="39">
        <v>650000000000000</v>
      </c>
      <c r="P214" s="39">
        <v>650000000000000</v>
      </c>
      <c r="Q214" s="39">
        <v>651000000000000</v>
      </c>
      <c r="R214" s="39">
        <v>653000000000000</v>
      </c>
      <c r="S214" s="39">
        <v>655000000000000</v>
      </c>
      <c r="T214" s="39">
        <v>656000000000000</v>
      </c>
      <c r="U214" s="39">
        <v>657000000000000</v>
      </c>
      <c r="V214" s="39">
        <v>659000000000000</v>
      </c>
      <c r="W214" s="39">
        <v>660000000000000</v>
      </c>
      <c r="X214" s="39">
        <v>659000000000000</v>
      </c>
      <c r="Y214" s="39">
        <v>658000000000000</v>
      </c>
      <c r="Z214" s="39">
        <v>657000000000000</v>
      </c>
      <c r="AA214" s="39">
        <v>656000000000000</v>
      </c>
      <c r="AB214" s="39">
        <v>655000000000000</v>
      </c>
      <c r="AC214" s="39">
        <v>652000000000000</v>
      </c>
      <c r="AD214" s="39">
        <v>649000000000000</v>
      </c>
      <c r="AE214" s="39">
        <v>646000000000000</v>
      </c>
      <c r="AF214" s="39">
        <v>644000000000000</v>
      </c>
      <c r="AG214" s="39">
        <v>641000000000000</v>
      </c>
      <c r="AH214" s="39">
        <v>636000000000000</v>
      </c>
      <c r="AI214" s="39">
        <v>631000000000000</v>
      </c>
      <c r="AJ214" s="39">
        <v>626000000000000</v>
      </c>
      <c r="AK214" s="39">
        <v>621000000000000</v>
      </c>
      <c r="AL214" s="39">
        <v>615000000000000</v>
      </c>
      <c r="AM214" s="39">
        <v>609000000000000</v>
      </c>
      <c r="AN214" s="39">
        <v>602000000000000</v>
      </c>
      <c r="AO214" s="39">
        <v>595000000000000</v>
      </c>
      <c r="AP214" s="39">
        <v>539000000000000</v>
      </c>
    </row>
    <row r="215" spans="1:42" x14ac:dyDescent="0.25">
      <c r="A215" s="42" t="str">
        <f t="shared" si="84"/>
        <v>electricity</v>
      </c>
      <c r="B215" s="42" t="str">
        <f t="shared" si="85"/>
        <v>commercial</v>
      </c>
      <c r="C215" s="42" t="str">
        <f t="shared" si="86"/>
        <v>other component</v>
      </c>
      <c r="D215" s="1" t="s">
        <v>201</v>
      </c>
      <c r="E215" s="39">
        <v>1070000000000000</v>
      </c>
      <c r="F215" s="39">
        <v>1070000000000000</v>
      </c>
      <c r="G215" s="39">
        <v>1080000000000000</v>
      </c>
      <c r="H215" s="39">
        <v>1070000000000000</v>
      </c>
      <c r="I215" s="39">
        <v>1070000000000000</v>
      </c>
      <c r="J215" s="39">
        <v>1130000000000000</v>
      </c>
      <c r="K215" s="39">
        <v>1460000000000000</v>
      </c>
      <c r="L215" s="39">
        <v>1790000000000000</v>
      </c>
      <c r="M215" s="39">
        <v>2120000000000000</v>
      </c>
      <c r="N215" s="39">
        <v>2480000000000000</v>
      </c>
      <c r="O215" s="39">
        <v>2840000000000000</v>
      </c>
      <c r="P215" s="39">
        <v>3220000000000000</v>
      </c>
      <c r="Q215" s="39">
        <v>3610000000000000</v>
      </c>
      <c r="R215" s="39">
        <v>4000000000000000</v>
      </c>
      <c r="S215" s="39">
        <v>4400000000000000</v>
      </c>
      <c r="T215" s="39">
        <v>4800000000000000</v>
      </c>
      <c r="U215" s="39">
        <v>5200000000000000</v>
      </c>
      <c r="V215" s="39">
        <v>5610000000000000</v>
      </c>
      <c r="W215" s="39">
        <v>6010000000000000</v>
      </c>
      <c r="X215" s="39">
        <v>6420000000000000</v>
      </c>
      <c r="Y215" s="39">
        <v>6810000000000000</v>
      </c>
      <c r="Z215" s="39">
        <v>7210000000000000</v>
      </c>
      <c r="AA215" s="39">
        <v>7590000000000000</v>
      </c>
      <c r="AB215" s="39">
        <v>7970000000000000</v>
      </c>
      <c r="AC215" s="39">
        <v>8330000000000000</v>
      </c>
      <c r="AD215" s="39">
        <v>8680000000000000</v>
      </c>
      <c r="AE215" s="39">
        <v>9010000000000000</v>
      </c>
      <c r="AF215" s="39">
        <v>9320000000000000</v>
      </c>
      <c r="AG215" s="39">
        <v>9610000000000000</v>
      </c>
      <c r="AH215" s="39">
        <v>9880000000000000</v>
      </c>
      <c r="AI215" s="39">
        <v>1.01E+16</v>
      </c>
      <c r="AJ215" s="39">
        <v>1.03E+16</v>
      </c>
      <c r="AK215" s="39">
        <v>1.05E+16</v>
      </c>
      <c r="AL215" s="39">
        <v>1.07E+16</v>
      </c>
      <c r="AM215" s="39">
        <v>1.08E+16</v>
      </c>
      <c r="AN215" s="39">
        <v>1.09E+16</v>
      </c>
      <c r="AO215" s="39">
        <v>1.09E+16</v>
      </c>
      <c r="AP215" s="39">
        <v>1.08E+16</v>
      </c>
    </row>
    <row r="216" spans="1:42" x14ac:dyDescent="0.25">
      <c r="A216" s="42" t="str">
        <f t="shared" si="84"/>
        <v>hard coal</v>
      </c>
      <c r="B216" s="42" t="str">
        <f t="shared" si="85"/>
        <v>commercial</v>
      </c>
      <c r="C216" s="42" t="str">
        <f t="shared" si="86"/>
        <v>heating</v>
      </c>
      <c r="D216" s="1" t="s">
        <v>202</v>
      </c>
      <c r="E216" s="39">
        <v>472000000000000</v>
      </c>
      <c r="F216" s="39">
        <v>482000000000000</v>
      </c>
      <c r="G216" s="39">
        <v>493000000000000</v>
      </c>
      <c r="H216" s="39">
        <v>502000000000000</v>
      </c>
      <c r="I216" s="39">
        <v>508000000000000</v>
      </c>
      <c r="J216" s="39">
        <v>514000000000000</v>
      </c>
      <c r="K216" s="39">
        <v>521000000000000</v>
      </c>
      <c r="L216" s="39">
        <v>527000000000000</v>
      </c>
      <c r="M216" s="39">
        <v>533000000000000</v>
      </c>
      <c r="N216" s="39">
        <v>539000000000000</v>
      </c>
      <c r="O216" s="39">
        <v>545000000000000</v>
      </c>
      <c r="P216" s="39">
        <v>551000000000000</v>
      </c>
      <c r="Q216" s="39">
        <v>556000000000000</v>
      </c>
      <c r="R216" s="39">
        <v>561000000000000</v>
      </c>
      <c r="S216" s="39">
        <v>563000000000000</v>
      </c>
      <c r="T216" s="39">
        <v>565000000000000</v>
      </c>
      <c r="U216" s="39">
        <v>567000000000000</v>
      </c>
      <c r="V216" s="39">
        <v>568000000000000</v>
      </c>
      <c r="W216" s="39">
        <v>570000000000000</v>
      </c>
      <c r="X216" s="39">
        <v>570000000000000</v>
      </c>
      <c r="Y216" s="39">
        <v>570000000000000</v>
      </c>
      <c r="Z216" s="39">
        <v>570000000000000</v>
      </c>
      <c r="AA216" s="39">
        <v>570000000000000</v>
      </c>
      <c r="AB216" s="39">
        <v>569000000000000</v>
      </c>
      <c r="AC216" s="39">
        <v>568000000000000</v>
      </c>
      <c r="AD216" s="39">
        <v>566000000000000</v>
      </c>
      <c r="AE216" s="39">
        <v>565000000000000</v>
      </c>
      <c r="AF216" s="39">
        <v>563000000000000</v>
      </c>
      <c r="AG216" s="39">
        <v>561000000000000</v>
      </c>
      <c r="AH216" s="39">
        <v>558000000000000</v>
      </c>
      <c r="AI216" s="39">
        <v>555000000000000</v>
      </c>
      <c r="AJ216" s="39">
        <v>551000000000000</v>
      </c>
      <c r="AK216" s="39">
        <v>548000000000000</v>
      </c>
      <c r="AL216" s="39">
        <v>544000000000000</v>
      </c>
      <c r="AM216" s="39">
        <v>539000000000000</v>
      </c>
      <c r="AN216" s="39">
        <v>535000000000000</v>
      </c>
      <c r="AO216" s="39">
        <v>530000000000000</v>
      </c>
      <c r="AP216" s="39">
        <v>525000000000000</v>
      </c>
    </row>
    <row r="217" spans="1:42" x14ac:dyDescent="0.25">
      <c r="A217" s="42" t="str">
        <f t="shared" si="84"/>
        <v>hard coal</v>
      </c>
      <c r="B217" s="42" t="str">
        <f t="shared" si="85"/>
        <v>commercial</v>
      </c>
      <c r="C217" s="42" t="str">
        <f t="shared" si="86"/>
        <v>cooling and ventilation</v>
      </c>
      <c r="D217" s="1" t="s">
        <v>203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</row>
    <row r="218" spans="1:42" x14ac:dyDescent="0.25">
      <c r="A218" s="42" t="str">
        <f t="shared" si="84"/>
        <v>hard coal</v>
      </c>
      <c r="B218" s="42" t="str">
        <f t="shared" si="85"/>
        <v>commercial</v>
      </c>
      <c r="C218" s="42" t="str">
        <f t="shared" si="86"/>
        <v>envelope</v>
      </c>
      <c r="D218" s="1" t="s">
        <v>204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</row>
    <row r="219" spans="1:42" x14ac:dyDescent="0.25">
      <c r="A219" s="42" t="str">
        <f t="shared" ref="A219:A269" si="87">TRIM(MID(D219, FIND(",", D219) + 1, FIND(" bf", D219) - FIND(",", D219) - 1))</f>
        <v>hard coal</v>
      </c>
      <c r="B219" s="42" t="str">
        <f t="shared" ref="B219:B269" si="88">TRIM(MID(D219, FIND("[", D219) + 1, FIND(",", D219) - FIND("[", D219) - 1))</f>
        <v>commercial</v>
      </c>
      <c r="C219" s="42" t="str">
        <f t="shared" ref="C219:C269" si="89">TRIM(MID(D219, FIND(",", D219, FIND(",", D219) + 1) + 1, FIND("]", D219) - FIND(",", D219, FIND(",", D219) + 1) - 1))</f>
        <v>lighting</v>
      </c>
      <c r="D219" s="1" t="s">
        <v>205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</row>
    <row r="220" spans="1:42" x14ac:dyDescent="0.25">
      <c r="A220" s="42" t="str">
        <f t="shared" si="87"/>
        <v>hard coal</v>
      </c>
      <c r="B220" s="42" t="str">
        <f t="shared" si="88"/>
        <v>commercial</v>
      </c>
      <c r="C220" s="42" t="str">
        <f t="shared" si="89"/>
        <v>appliances</v>
      </c>
      <c r="D220" s="1" t="s">
        <v>206</v>
      </c>
      <c r="E220" s="39">
        <v>202000000000000</v>
      </c>
      <c r="F220" s="39">
        <v>206000000000000</v>
      </c>
      <c r="G220" s="39">
        <v>210000000000000</v>
      </c>
      <c r="H220" s="39">
        <v>214000000000000</v>
      </c>
      <c r="I220" s="39">
        <v>216000000000000</v>
      </c>
      <c r="J220" s="39">
        <v>218000000000000</v>
      </c>
      <c r="K220" s="39">
        <v>221000000000000</v>
      </c>
      <c r="L220" s="39">
        <v>223000000000000</v>
      </c>
      <c r="M220" s="39">
        <v>226000000000000</v>
      </c>
      <c r="N220" s="39">
        <v>228000000000000</v>
      </c>
      <c r="O220" s="39">
        <v>230000000000000</v>
      </c>
      <c r="P220" s="39">
        <v>232000000000000</v>
      </c>
      <c r="Q220" s="39">
        <v>235000000000000</v>
      </c>
      <c r="R220" s="39">
        <v>236000000000000</v>
      </c>
      <c r="S220" s="39">
        <v>237000000000000</v>
      </c>
      <c r="T220" s="39">
        <v>237000000000000</v>
      </c>
      <c r="U220" s="39">
        <v>238000000000000</v>
      </c>
      <c r="V220" s="39">
        <v>239000000000000</v>
      </c>
      <c r="W220" s="39">
        <v>239000000000000</v>
      </c>
      <c r="X220" s="39">
        <v>239000000000000</v>
      </c>
      <c r="Y220" s="39">
        <v>239000000000000</v>
      </c>
      <c r="Z220" s="39">
        <v>239000000000000</v>
      </c>
      <c r="AA220" s="39">
        <v>238000000000000</v>
      </c>
      <c r="AB220" s="39">
        <v>238000000000000</v>
      </c>
      <c r="AC220" s="39">
        <v>237000000000000</v>
      </c>
      <c r="AD220" s="39">
        <v>237000000000000</v>
      </c>
      <c r="AE220" s="39">
        <v>236000000000000</v>
      </c>
      <c r="AF220" s="39">
        <v>235000000000000</v>
      </c>
      <c r="AG220" s="39">
        <v>234000000000000</v>
      </c>
      <c r="AH220" s="39">
        <v>233000000000000</v>
      </c>
      <c r="AI220" s="39">
        <v>231000000000000</v>
      </c>
      <c r="AJ220" s="39">
        <v>230000000000000</v>
      </c>
      <c r="AK220" s="39">
        <v>228000000000000</v>
      </c>
      <c r="AL220" s="39">
        <v>227000000000000</v>
      </c>
      <c r="AM220" s="39">
        <v>224000000000000</v>
      </c>
      <c r="AN220" s="39">
        <v>222000000000000</v>
      </c>
      <c r="AO220" s="39">
        <v>220000000000000</v>
      </c>
      <c r="AP220" s="39">
        <v>218000000000000</v>
      </c>
    </row>
    <row r="221" spans="1:42" x14ac:dyDescent="0.25">
      <c r="A221" s="42" t="str">
        <f t="shared" si="87"/>
        <v>hard coal</v>
      </c>
      <c r="B221" s="42" t="str">
        <f t="shared" si="88"/>
        <v>commercial</v>
      </c>
      <c r="C221" s="42" t="str">
        <f t="shared" si="89"/>
        <v>other component</v>
      </c>
      <c r="D221" s="1" t="s">
        <v>207</v>
      </c>
      <c r="E221" s="39">
        <v>0</v>
      </c>
      <c r="F221" s="39">
        <v>0</v>
      </c>
      <c r="G221" s="39">
        <v>0</v>
      </c>
      <c r="H221" s="39">
        <v>0</v>
      </c>
      <c r="I221" s="39">
        <v>0</v>
      </c>
      <c r="J221" s="39">
        <v>0</v>
      </c>
      <c r="K221" s="39">
        <v>0</v>
      </c>
      <c r="L221" s="39">
        <v>0</v>
      </c>
      <c r="M221" s="39">
        <v>0</v>
      </c>
      <c r="N221" s="39">
        <v>0</v>
      </c>
      <c r="O221" s="39">
        <v>0</v>
      </c>
      <c r="P221" s="39">
        <v>0</v>
      </c>
      <c r="Q221" s="39">
        <v>0</v>
      </c>
      <c r="R221" s="39">
        <v>0</v>
      </c>
      <c r="S221" s="39">
        <v>0</v>
      </c>
      <c r="T221" s="39">
        <v>0</v>
      </c>
      <c r="U221" s="39">
        <v>0</v>
      </c>
      <c r="V221" s="39">
        <v>0</v>
      </c>
      <c r="W221" s="39">
        <v>0</v>
      </c>
      <c r="X221" s="39">
        <v>0</v>
      </c>
      <c r="Y221" s="39">
        <v>0</v>
      </c>
      <c r="Z221" s="39">
        <v>0</v>
      </c>
      <c r="AA221" s="39">
        <v>0</v>
      </c>
      <c r="AB221" s="39">
        <v>0</v>
      </c>
      <c r="AC221" s="39">
        <v>0</v>
      </c>
      <c r="AD221" s="39">
        <v>0</v>
      </c>
      <c r="AE221" s="39">
        <v>0</v>
      </c>
      <c r="AF221" s="39">
        <v>0</v>
      </c>
      <c r="AG221" s="39">
        <v>0</v>
      </c>
      <c r="AH221" s="39">
        <v>0</v>
      </c>
      <c r="AI221" s="39">
        <v>0</v>
      </c>
      <c r="AJ221" s="39">
        <v>0</v>
      </c>
      <c r="AK221" s="39">
        <v>0</v>
      </c>
      <c r="AL221" s="39">
        <v>0</v>
      </c>
      <c r="AM221" s="39">
        <v>0</v>
      </c>
      <c r="AN221" s="39">
        <v>0</v>
      </c>
      <c r="AO221" s="39">
        <v>0</v>
      </c>
      <c r="AP221" s="39">
        <v>0</v>
      </c>
    </row>
    <row r="222" spans="1:42" x14ac:dyDescent="0.25">
      <c r="A222" s="42" t="str">
        <f t="shared" si="87"/>
        <v>natural gas</v>
      </c>
      <c r="B222" s="42" t="str">
        <f t="shared" si="88"/>
        <v>commercial</v>
      </c>
      <c r="C222" s="42" t="str">
        <f t="shared" si="89"/>
        <v>heating</v>
      </c>
      <c r="D222" s="1" t="s">
        <v>208</v>
      </c>
      <c r="E222" s="39">
        <v>384000000000000</v>
      </c>
      <c r="F222" s="39">
        <v>392000000000000</v>
      </c>
      <c r="G222" s="39">
        <v>401000000000000</v>
      </c>
      <c r="H222" s="39">
        <v>408000000000000</v>
      </c>
      <c r="I222" s="39">
        <v>413000000000000</v>
      </c>
      <c r="J222" s="39">
        <v>418000000000000</v>
      </c>
      <c r="K222" s="39">
        <v>423000000000000</v>
      </c>
      <c r="L222" s="39">
        <v>428000000000000</v>
      </c>
      <c r="M222" s="39">
        <v>433000000000000</v>
      </c>
      <c r="N222" s="39">
        <v>438000000000000</v>
      </c>
      <c r="O222" s="39">
        <v>443000000000000</v>
      </c>
      <c r="P222" s="39">
        <v>448000000000000</v>
      </c>
      <c r="Q222" s="39">
        <v>452000000000000</v>
      </c>
      <c r="R222" s="39">
        <v>456000000000000</v>
      </c>
      <c r="S222" s="39">
        <v>458000000000000</v>
      </c>
      <c r="T222" s="39">
        <v>459000000000000</v>
      </c>
      <c r="U222" s="39">
        <v>461000000000000</v>
      </c>
      <c r="V222" s="39">
        <v>462000000000000</v>
      </c>
      <c r="W222" s="39">
        <v>463000000000000</v>
      </c>
      <c r="X222" s="39">
        <v>463000000000000</v>
      </c>
      <c r="Y222" s="39">
        <v>463000000000000</v>
      </c>
      <c r="Z222" s="39">
        <v>463000000000000</v>
      </c>
      <c r="AA222" s="39">
        <v>463000000000000</v>
      </c>
      <c r="AB222" s="39">
        <v>463000000000000</v>
      </c>
      <c r="AC222" s="39">
        <v>462000000000000</v>
      </c>
      <c r="AD222" s="39">
        <v>461000000000000</v>
      </c>
      <c r="AE222" s="39">
        <v>459000000000000</v>
      </c>
      <c r="AF222" s="39">
        <v>458000000000000</v>
      </c>
      <c r="AG222" s="39">
        <v>456000000000000</v>
      </c>
      <c r="AH222" s="39">
        <v>454000000000000</v>
      </c>
      <c r="AI222" s="39">
        <v>451000000000000</v>
      </c>
      <c r="AJ222" s="39">
        <v>448000000000000</v>
      </c>
      <c r="AK222" s="39">
        <v>446000000000000</v>
      </c>
      <c r="AL222" s="39">
        <v>442000000000000</v>
      </c>
      <c r="AM222" s="39">
        <v>439000000000000</v>
      </c>
      <c r="AN222" s="39">
        <v>435000000000000</v>
      </c>
      <c r="AO222" s="39">
        <v>431000000000000</v>
      </c>
      <c r="AP222" s="39">
        <v>427000000000000</v>
      </c>
    </row>
    <row r="223" spans="1:42" x14ac:dyDescent="0.25">
      <c r="A223" s="42" t="str">
        <f t="shared" si="87"/>
        <v>natural gas</v>
      </c>
      <c r="B223" s="42" t="str">
        <f t="shared" si="88"/>
        <v>commercial</v>
      </c>
      <c r="C223" s="42" t="str">
        <f t="shared" si="89"/>
        <v>cooling and ventilation</v>
      </c>
      <c r="D223" s="1" t="s">
        <v>209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</row>
    <row r="224" spans="1:42" x14ac:dyDescent="0.25">
      <c r="A224" s="42" t="str">
        <f t="shared" si="87"/>
        <v>natural gas</v>
      </c>
      <c r="B224" s="42" t="str">
        <f t="shared" si="88"/>
        <v>commercial</v>
      </c>
      <c r="C224" s="42" t="str">
        <f t="shared" si="89"/>
        <v>envelope</v>
      </c>
      <c r="D224" s="1" t="s">
        <v>210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</row>
    <row r="225" spans="1:42" x14ac:dyDescent="0.25">
      <c r="A225" s="42" t="str">
        <f t="shared" si="87"/>
        <v>natural gas</v>
      </c>
      <c r="B225" s="42" t="str">
        <f t="shared" si="88"/>
        <v>commercial</v>
      </c>
      <c r="C225" s="42" t="str">
        <f t="shared" si="89"/>
        <v>lighting</v>
      </c>
      <c r="D225" s="1" t="s">
        <v>211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</row>
    <row r="226" spans="1:42" x14ac:dyDescent="0.25">
      <c r="A226" s="42" t="str">
        <f t="shared" si="87"/>
        <v>natural gas</v>
      </c>
      <c r="B226" s="42" t="str">
        <f t="shared" si="88"/>
        <v>commercial</v>
      </c>
      <c r="C226" s="42" t="str">
        <f t="shared" si="89"/>
        <v>appliances</v>
      </c>
      <c r="D226" s="1" t="s">
        <v>212</v>
      </c>
      <c r="E226" s="39">
        <v>77800000000000</v>
      </c>
      <c r="F226" s="39">
        <v>79300000000000</v>
      </c>
      <c r="G226" s="39">
        <v>80800000000000</v>
      </c>
      <c r="H226" s="39">
        <v>82200000000000</v>
      </c>
      <c r="I226" s="39">
        <v>83100000000000</v>
      </c>
      <c r="J226" s="39">
        <v>84000000000000</v>
      </c>
      <c r="K226" s="39">
        <v>85000000000000</v>
      </c>
      <c r="L226" s="39">
        <v>85900000000000</v>
      </c>
      <c r="M226" s="39">
        <v>86800000000000</v>
      </c>
      <c r="N226" s="39">
        <v>87700000000000</v>
      </c>
      <c r="O226" s="39">
        <v>88500000000000</v>
      </c>
      <c r="P226" s="39">
        <v>89400000000000</v>
      </c>
      <c r="Q226" s="39">
        <v>90300000000000</v>
      </c>
      <c r="R226" s="39">
        <v>90900000000000</v>
      </c>
      <c r="S226" s="39">
        <v>91200000000000</v>
      </c>
      <c r="T226" s="39">
        <v>91400000000000</v>
      </c>
      <c r="U226" s="39">
        <v>91600000000000</v>
      </c>
      <c r="V226" s="39">
        <v>91900000000000</v>
      </c>
      <c r="W226" s="39">
        <v>92000000000000</v>
      </c>
      <c r="X226" s="39">
        <v>91900000000000</v>
      </c>
      <c r="Y226" s="39">
        <v>91900000000000</v>
      </c>
      <c r="Z226" s="39">
        <v>91800000000000</v>
      </c>
      <c r="AA226" s="39">
        <v>91800000000000</v>
      </c>
      <c r="AB226" s="39">
        <v>91600000000000</v>
      </c>
      <c r="AC226" s="39">
        <v>91300000000000</v>
      </c>
      <c r="AD226" s="39">
        <v>91100000000000</v>
      </c>
      <c r="AE226" s="39">
        <v>90800000000000</v>
      </c>
      <c r="AF226" s="39">
        <v>90500000000000</v>
      </c>
      <c r="AG226" s="39">
        <v>90100000000000</v>
      </c>
      <c r="AH226" s="39">
        <v>89500000000000</v>
      </c>
      <c r="AI226" s="39">
        <v>89000000000000</v>
      </c>
      <c r="AJ226" s="39">
        <v>88400000000000</v>
      </c>
      <c r="AK226" s="39">
        <v>87800000000000</v>
      </c>
      <c r="AL226" s="39">
        <v>87200000000000</v>
      </c>
      <c r="AM226" s="39">
        <v>86400000000000</v>
      </c>
      <c r="AN226" s="39">
        <v>85600000000000</v>
      </c>
      <c r="AO226" s="39">
        <v>84800000000000</v>
      </c>
      <c r="AP226" s="39">
        <v>83900000000000</v>
      </c>
    </row>
    <row r="227" spans="1:42" x14ac:dyDescent="0.25">
      <c r="A227" s="42" t="str">
        <f t="shared" si="87"/>
        <v>natural gas</v>
      </c>
      <c r="B227" s="42" t="str">
        <f t="shared" si="88"/>
        <v>commercial</v>
      </c>
      <c r="C227" s="42" t="str">
        <f t="shared" si="89"/>
        <v>other component</v>
      </c>
      <c r="D227" s="1" t="s">
        <v>213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</row>
    <row r="228" spans="1:42" x14ac:dyDescent="0.25">
      <c r="A228" s="42" t="str">
        <f t="shared" si="87"/>
        <v>petroleum diesel</v>
      </c>
      <c r="B228" s="42" t="str">
        <f t="shared" si="88"/>
        <v>commercial</v>
      </c>
      <c r="C228" s="42" t="str">
        <f t="shared" si="89"/>
        <v>heating</v>
      </c>
      <c r="D228" s="1" t="s">
        <v>214</v>
      </c>
      <c r="E228" s="39">
        <v>295000000000000</v>
      </c>
      <c r="F228" s="39">
        <v>302000000000000</v>
      </c>
      <c r="G228" s="39">
        <v>308000000000000</v>
      </c>
      <c r="H228" s="39">
        <v>313000000000000</v>
      </c>
      <c r="I228" s="39">
        <v>317000000000000</v>
      </c>
      <c r="J228" s="39">
        <v>321000000000000</v>
      </c>
      <c r="K228" s="39">
        <v>325000000000000</v>
      </c>
      <c r="L228" s="39">
        <v>329000000000000</v>
      </c>
      <c r="M228" s="39">
        <v>333000000000000</v>
      </c>
      <c r="N228" s="39">
        <v>337000000000000</v>
      </c>
      <c r="O228" s="39">
        <v>341000000000000</v>
      </c>
      <c r="P228" s="39">
        <v>344000000000000</v>
      </c>
      <c r="Q228" s="39">
        <v>348000000000000</v>
      </c>
      <c r="R228" s="39">
        <v>351000000000000</v>
      </c>
      <c r="S228" s="39">
        <v>352000000000000</v>
      </c>
      <c r="T228" s="39">
        <v>353000000000000</v>
      </c>
      <c r="U228" s="39">
        <v>354000000000000</v>
      </c>
      <c r="V228" s="39">
        <v>355000000000000</v>
      </c>
      <c r="W228" s="39">
        <v>356000000000000</v>
      </c>
      <c r="X228" s="39">
        <v>356000000000000</v>
      </c>
      <c r="Y228" s="39">
        <v>356000000000000</v>
      </c>
      <c r="Z228" s="39">
        <v>356000000000000</v>
      </c>
      <c r="AA228" s="39">
        <v>356000000000000</v>
      </c>
      <c r="AB228" s="39">
        <v>356000000000000</v>
      </c>
      <c r="AC228" s="39">
        <v>355000000000000</v>
      </c>
      <c r="AD228" s="39">
        <v>354000000000000</v>
      </c>
      <c r="AE228" s="39">
        <v>353000000000000</v>
      </c>
      <c r="AF228" s="39">
        <v>352000000000000</v>
      </c>
      <c r="AG228" s="39">
        <v>351000000000000</v>
      </c>
      <c r="AH228" s="39">
        <v>349000000000000</v>
      </c>
      <c r="AI228" s="39">
        <v>347000000000000</v>
      </c>
      <c r="AJ228" s="39">
        <v>345000000000000</v>
      </c>
      <c r="AK228" s="39">
        <v>343000000000000</v>
      </c>
      <c r="AL228" s="39">
        <v>340000000000000</v>
      </c>
      <c r="AM228" s="39">
        <v>337000000000000</v>
      </c>
      <c r="AN228" s="39">
        <v>334000000000000</v>
      </c>
      <c r="AO228" s="39">
        <v>331000000000000</v>
      </c>
      <c r="AP228" s="39">
        <v>328000000000000</v>
      </c>
    </row>
    <row r="229" spans="1:42" x14ac:dyDescent="0.25">
      <c r="A229" s="42" t="str">
        <f t="shared" si="87"/>
        <v>petroleum diesel</v>
      </c>
      <c r="B229" s="42" t="str">
        <f t="shared" si="88"/>
        <v>commercial</v>
      </c>
      <c r="C229" s="42" t="str">
        <f t="shared" si="89"/>
        <v>cooling and ventilation</v>
      </c>
      <c r="D229" s="1" t="s">
        <v>215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</row>
    <row r="230" spans="1:42" x14ac:dyDescent="0.25">
      <c r="A230" s="42" t="str">
        <f t="shared" si="87"/>
        <v>petroleum diesel</v>
      </c>
      <c r="B230" s="42" t="str">
        <f t="shared" si="88"/>
        <v>commercial</v>
      </c>
      <c r="C230" s="42" t="str">
        <f t="shared" si="89"/>
        <v>envelope</v>
      </c>
      <c r="D230" s="1" t="s">
        <v>216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</row>
    <row r="231" spans="1:42" x14ac:dyDescent="0.25">
      <c r="A231" s="42" t="str">
        <f t="shared" si="87"/>
        <v>petroleum diesel</v>
      </c>
      <c r="B231" s="42" t="str">
        <f t="shared" si="88"/>
        <v>commercial</v>
      </c>
      <c r="C231" s="42" t="str">
        <f t="shared" si="89"/>
        <v>lighting</v>
      </c>
      <c r="D231" s="1" t="s">
        <v>217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</row>
    <row r="232" spans="1:42" x14ac:dyDescent="0.25">
      <c r="A232" s="42" t="str">
        <f t="shared" si="87"/>
        <v>petroleum diesel</v>
      </c>
      <c r="B232" s="42" t="str">
        <f t="shared" si="88"/>
        <v>commercial</v>
      </c>
      <c r="C232" s="42" t="str">
        <f t="shared" si="89"/>
        <v>appliances</v>
      </c>
      <c r="D232" s="1" t="s">
        <v>218</v>
      </c>
      <c r="E232" s="39">
        <v>32800000000000</v>
      </c>
      <c r="F232" s="39">
        <v>33400000000000</v>
      </c>
      <c r="G232" s="39">
        <v>34000000000000</v>
      </c>
      <c r="H232" s="39">
        <v>34600000000000</v>
      </c>
      <c r="I232" s="39">
        <v>35000000000000</v>
      </c>
      <c r="J232" s="39">
        <v>35400000000000</v>
      </c>
      <c r="K232" s="39">
        <v>35800000000000</v>
      </c>
      <c r="L232" s="39">
        <v>36200000000000</v>
      </c>
      <c r="M232" s="39">
        <v>36600000000000</v>
      </c>
      <c r="N232" s="39">
        <v>36900000000000</v>
      </c>
      <c r="O232" s="39">
        <v>37300000000000</v>
      </c>
      <c r="P232" s="39">
        <v>37600000000000</v>
      </c>
      <c r="Q232" s="39">
        <v>38000000000000</v>
      </c>
      <c r="R232" s="39">
        <v>38300000000000</v>
      </c>
      <c r="S232" s="39">
        <v>38400000000000</v>
      </c>
      <c r="T232" s="39">
        <v>38500000000000</v>
      </c>
      <c r="U232" s="39">
        <v>38600000000000</v>
      </c>
      <c r="V232" s="39">
        <v>38700000000000</v>
      </c>
      <c r="W232" s="39">
        <v>38700000000000</v>
      </c>
      <c r="X232" s="39">
        <v>38700000000000</v>
      </c>
      <c r="Y232" s="39">
        <v>38700000000000</v>
      </c>
      <c r="Z232" s="39">
        <v>38700000000000</v>
      </c>
      <c r="AA232" s="39">
        <v>38600000000000</v>
      </c>
      <c r="AB232" s="39">
        <v>38600000000000</v>
      </c>
      <c r="AC232" s="39">
        <v>38500000000000</v>
      </c>
      <c r="AD232" s="39">
        <v>38300000000000</v>
      </c>
      <c r="AE232" s="39">
        <v>38200000000000</v>
      </c>
      <c r="AF232" s="39">
        <v>38100000000000</v>
      </c>
      <c r="AG232" s="39">
        <v>37900000000000</v>
      </c>
      <c r="AH232" s="39">
        <v>37700000000000</v>
      </c>
      <c r="AI232" s="39">
        <v>37500000000000</v>
      </c>
      <c r="AJ232" s="39">
        <v>37200000000000</v>
      </c>
      <c r="AK232" s="39">
        <v>37000000000000</v>
      </c>
      <c r="AL232" s="39">
        <v>36700000000000</v>
      </c>
      <c r="AM232" s="39">
        <v>36400000000000</v>
      </c>
      <c r="AN232" s="39">
        <v>36000000000000</v>
      </c>
      <c r="AO232" s="39">
        <v>35700000000000</v>
      </c>
      <c r="AP232" s="39">
        <v>35300000000000</v>
      </c>
    </row>
    <row r="233" spans="1:42" x14ac:dyDescent="0.25">
      <c r="A233" s="42" t="str">
        <f t="shared" si="87"/>
        <v>petroleum diesel</v>
      </c>
      <c r="B233" s="42" t="str">
        <f t="shared" si="88"/>
        <v>commercial</v>
      </c>
      <c r="C233" s="42" t="str">
        <f t="shared" si="89"/>
        <v>other component</v>
      </c>
      <c r="D233" s="1" t="s">
        <v>219</v>
      </c>
      <c r="E233" s="39">
        <v>0</v>
      </c>
      <c r="F233" s="39">
        <v>0</v>
      </c>
      <c r="G233" s="39">
        <v>0</v>
      </c>
      <c r="H233" s="39">
        <v>0</v>
      </c>
      <c r="I233" s="39">
        <v>0</v>
      </c>
      <c r="J233" s="39">
        <v>0</v>
      </c>
      <c r="K233" s="39">
        <v>0</v>
      </c>
      <c r="L233" s="39">
        <v>0</v>
      </c>
      <c r="M233" s="39">
        <v>0</v>
      </c>
      <c r="N233" s="39">
        <v>0</v>
      </c>
      <c r="O233" s="39">
        <v>0</v>
      </c>
      <c r="P233" s="39">
        <v>0</v>
      </c>
      <c r="Q233" s="39">
        <v>0</v>
      </c>
      <c r="R233" s="39">
        <v>0</v>
      </c>
      <c r="S233" s="39">
        <v>0</v>
      </c>
      <c r="T233" s="39">
        <v>0</v>
      </c>
      <c r="U233" s="39">
        <v>0</v>
      </c>
      <c r="V233" s="39">
        <v>0</v>
      </c>
      <c r="W233" s="39">
        <v>0</v>
      </c>
      <c r="X233" s="39">
        <v>0</v>
      </c>
      <c r="Y233" s="39">
        <v>0</v>
      </c>
      <c r="Z233" s="39">
        <v>0</v>
      </c>
      <c r="AA233" s="39">
        <v>0</v>
      </c>
      <c r="AB233" s="39">
        <v>0</v>
      </c>
      <c r="AC233" s="39">
        <v>0</v>
      </c>
      <c r="AD233" s="39">
        <v>0</v>
      </c>
      <c r="AE233" s="39">
        <v>0</v>
      </c>
      <c r="AF233" s="39">
        <v>0</v>
      </c>
      <c r="AG233" s="39">
        <v>0</v>
      </c>
      <c r="AH233" s="39">
        <v>0</v>
      </c>
      <c r="AI233" s="39">
        <v>0</v>
      </c>
      <c r="AJ233" s="39">
        <v>0</v>
      </c>
      <c r="AK233" s="39">
        <v>0</v>
      </c>
      <c r="AL233" s="39">
        <v>0</v>
      </c>
      <c r="AM233" s="39">
        <v>0</v>
      </c>
      <c r="AN233" s="39">
        <v>0</v>
      </c>
      <c r="AO233" s="39">
        <v>0</v>
      </c>
      <c r="AP233" s="39">
        <v>0</v>
      </c>
    </row>
    <row r="234" spans="1:42" x14ac:dyDescent="0.25">
      <c r="A234" s="42" t="str">
        <f t="shared" si="87"/>
        <v>heat</v>
      </c>
      <c r="B234" s="42" t="str">
        <f t="shared" si="88"/>
        <v>commercial</v>
      </c>
      <c r="C234" s="42" t="str">
        <f t="shared" si="89"/>
        <v>heating</v>
      </c>
      <c r="D234" s="1" t="s">
        <v>220</v>
      </c>
      <c r="E234" s="39">
        <v>388000000000000</v>
      </c>
      <c r="F234" s="39">
        <v>396000000000000</v>
      </c>
      <c r="G234" s="39">
        <v>404000000000000</v>
      </c>
      <c r="H234" s="39">
        <v>412000000000000</v>
      </c>
      <c r="I234" s="39">
        <v>417000000000000</v>
      </c>
      <c r="J234" s="39">
        <v>422000000000000</v>
      </c>
      <c r="K234" s="39">
        <v>427000000000000</v>
      </c>
      <c r="L234" s="39">
        <v>432000000000000</v>
      </c>
      <c r="M234" s="39">
        <v>438000000000000</v>
      </c>
      <c r="N234" s="39">
        <v>442000000000000</v>
      </c>
      <c r="O234" s="39">
        <v>447000000000000</v>
      </c>
      <c r="P234" s="39">
        <v>452000000000000</v>
      </c>
      <c r="Q234" s="39">
        <v>457000000000000</v>
      </c>
      <c r="R234" s="39">
        <v>460000000000000</v>
      </c>
      <c r="S234" s="39">
        <v>462000000000000</v>
      </c>
      <c r="T234" s="39">
        <v>464000000000000</v>
      </c>
      <c r="U234" s="39">
        <v>465000000000000</v>
      </c>
      <c r="V234" s="39">
        <v>467000000000000</v>
      </c>
      <c r="W234" s="39">
        <v>468000000000000</v>
      </c>
      <c r="X234" s="39">
        <v>468000000000000</v>
      </c>
      <c r="Y234" s="39">
        <v>468000000000000</v>
      </c>
      <c r="Z234" s="39">
        <v>468000000000000</v>
      </c>
      <c r="AA234" s="39">
        <v>468000000000000</v>
      </c>
      <c r="AB234" s="39">
        <v>467000000000000</v>
      </c>
      <c r="AC234" s="39">
        <v>466000000000000</v>
      </c>
      <c r="AD234" s="39">
        <v>465000000000000</v>
      </c>
      <c r="AE234" s="39">
        <v>464000000000000</v>
      </c>
      <c r="AF234" s="39">
        <v>462000000000000</v>
      </c>
      <c r="AG234" s="39">
        <v>461000000000000</v>
      </c>
      <c r="AH234" s="39">
        <v>458000000000000</v>
      </c>
      <c r="AI234" s="39">
        <v>455000000000000</v>
      </c>
      <c r="AJ234" s="39">
        <v>453000000000000</v>
      </c>
      <c r="AK234" s="39">
        <v>450000000000000</v>
      </c>
      <c r="AL234" s="39">
        <v>447000000000000</v>
      </c>
      <c r="AM234" s="39">
        <v>443000000000000</v>
      </c>
      <c r="AN234" s="39">
        <v>439000000000000</v>
      </c>
      <c r="AO234" s="39">
        <v>435000000000000</v>
      </c>
      <c r="AP234" s="39">
        <v>431000000000000</v>
      </c>
    </row>
    <row r="235" spans="1:42" x14ac:dyDescent="0.25">
      <c r="A235" s="42" t="str">
        <f t="shared" si="87"/>
        <v>heat</v>
      </c>
      <c r="B235" s="42" t="str">
        <f t="shared" si="88"/>
        <v>commercial</v>
      </c>
      <c r="C235" s="42" t="str">
        <f t="shared" si="89"/>
        <v>cooling and ventilation</v>
      </c>
      <c r="D235" s="1" t="s">
        <v>221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</row>
    <row r="236" spans="1:42" x14ac:dyDescent="0.25">
      <c r="A236" s="42" t="str">
        <f t="shared" si="87"/>
        <v>heat</v>
      </c>
      <c r="B236" s="42" t="str">
        <f t="shared" si="88"/>
        <v>commercial</v>
      </c>
      <c r="C236" s="42" t="str">
        <f t="shared" si="89"/>
        <v>envelope</v>
      </c>
      <c r="D236" s="1" t="s">
        <v>222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</row>
    <row r="237" spans="1:42" x14ac:dyDescent="0.25">
      <c r="A237" s="42" t="str">
        <f t="shared" si="87"/>
        <v>heat</v>
      </c>
      <c r="B237" s="42" t="str">
        <f t="shared" si="88"/>
        <v>commercial</v>
      </c>
      <c r="C237" s="42" t="str">
        <f t="shared" si="89"/>
        <v>lighting</v>
      </c>
      <c r="D237" s="1" t="s">
        <v>223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</row>
    <row r="238" spans="1:42" x14ac:dyDescent="0.25">
      <c r="A238" s="42" t="str">
        <f t="shared" si="87"/>
        <v>heat</v>
      </c>
      <c r="B238" s="42" t="str">
        <f t="shared" si="88"/>
        <v>commercial</v>
      </c>
      <c r="C238" s="42" t="str">
        <f t="shared" si="89"/>
        <v>appliances</v>
      </c>
      <c r="D238" s="1" t="s">
        <v>224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</row>
    <row r="239" spans="1:42" x14ac:dyDescent="0.25">
      <c r="A239" s="42" t="str">
        <f t="shared" si="87"/>
        <v>heat</v>
      </c>
      <c r="B239" s="42" t="str">
        <f t="shared" si="88"/>
        <v>commercial</v>
      </c>
      <c r="C239" s="42" t="str">
        <f t="shared" si="89"/>
        <v>other component</v>
      </c>
      <c r="D239" s="1" t="s">
        <v>225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</row>
    <row r="240" spans="1:42" x14ac:dyDescent="0.25">
      <c r="A240" s="42" t="str">
        <f t="shared" si="87"/>
        <v>biomass</v>
      </c>
      <c r="B240" s="42" t="str">
        <f t="shared" si="88"/>
        <v>commercial</v>
      </c>
      <c r="C240" s="42" t="str">
        <f t="shared" si="89"/>
        <v>heating</v>
      </c>
      <c r="D240" s="1" t="s">
        <v>226</v>
      </c>
      <c r="E240" s="39">
        <v>41200000000000</v>
      </c>
      <c r="F240" s="39">
        <v>42100000000000</v>
      </c>
      <c r="G240" s="39">
        <v>43000000000000</v>
      </c>
      <c r="H240" s="39">
        <v>43800000000000</v>
      </c>
      <c r="I240" s="39">
        <v>44300000000000</v>
      </c>
      <c r="J240" s="39">
        <v>44900000000000</v>
      </c>
      <c r="K240" s="39">
        <v>45400000000000</v>
      </c>
      <c r="L240" s="39">
        <v>46000000000000</v>
      </c>
      <c r="M240" s="39">
        <v>46500000000000</v>
      </c>
      <c r="N240" s="39">
        <v>47000000000000</v>
      </c>
      <c r="O240" s="39">
        <v>47500000000000</v>
      </c>
      <c r="P240" s="39">
        <v>48000000000000</v>
      </c>
      <c r="Q240" s="39">
        <v>48600000000000</v>
      </c>
      <c r="R240" s="39">
        <v>48900000000000</v>
      </c>
      <c r="S240" s="39">
        <v>49100000000000</v>
      </c>
      <c r="T240" s="39">
        <v>49300000000000</v>
      </c>
      <c r="U240" s="39">
        <v>49400000000000</v>
      </c>
      <c r="V240" s="39">
        <v>49600000000000</v>
      </c>
      <c r="W240" s="39">
        <v>49700000000000</v>
      </c>
      <c r="X240" s="39">
        <v>49700000000000</v>
      </c>
      <c r="Y240" s="39">
        <v>49700000000000</v>
      </c>
      <c r="Z240" s="39">
        <v>49700000000000</v>
      </c>
      <c r="AA240" s="39">
        <v>49700000000000</v>
      </c>
      <c r="AB240" s="39">
        <v>49700000000000</v>
      </c>
      <c r="AC240" s="39">
        <v>49500000000000</v>
      </c>
      <c r="AD240" s="39">
        <v>49400000000000</v>
      </c>
      <c r="AE240" s="39">
        <v>49300000000000</v>
      </c>
      <c r="AF240" s="39">
        <v>49200000000000</v>
      </c>
      <c r="AG240" s="39">
        <v>49000000000000</v>
      </c>
      <c r="AH240" s="39">
        <v>48700000000000</v>
      </c>
      <c r="AI240" s="39">
        <v>48400000000000</v>
      </c>
      <c r="AJ240" s="39">
        <v>48100000000000</v>
      </c>
      <c r="AK240" s="39">
        <v>47800000000000</v>
      </c>
      <c r="AL240" s="39">
        <v>47500000000000</v>
      </c>
      <c r="AM240" s="39">
        <v>47100000000000</v>
      </c>
      <c r="AN240" s="39">
        <v>46600000000000</v>
      </c>
      <c r="AO240" s="39">
        <v>46200000000000</v>
      </c>
      <c r="AP240" s="39">
        <v>45800000000000</v>
      </c>
    </row>
    <row r="241" spans="1:42" x14ac:dyDescent="0.25">
      <c r="A241" s="42" t="str">
        <f t="shared" si="87"/>
        <v>biomass</v>
      </c>
      <c r="B241" s="42" t="str">
        <f t="shared" si="88"/>
        <v>commercial</v>
      </c>
      <c r="C241" s="42" t="str">
        <f t="shared" si="89"/>
        <v>cooling and ventilation</v>
      </c>
      <c r="D241" s="1" t="s">
        <v>227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</row>
    <row r="242" spans="1:42" x14ac:dyDescent="0.25">
      <c r="A242" s="42" t="str">
        <f t="shared" si="87"/>
        <v>biomass</v>
      </c>
      <c r="B242" s="42" t="str">
        <f t="shared" si="88"/>
        <v>commercial</v>
      </c>
      <c r="C242" s="42" t="str">
        <f t="shared" si="89"/>
        <v>envelope</v>
      </c>
      <c r="D242" s="1" t="s">
        <v>228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</row>
    <row r="243" spans="1:42" x14ac:dyDescent="0.25">
      <c r="A243" s="42" t="str">
        <f t="shared" si="87"/>
        <v>biomass</v>
      </c>
      <c r="B243" s="42" t="str">
        <f t="shared" si="88"/>
        <v>commercial</v>
      </c>
      <c r="C243" s="42" t="str">
        <f t="shared" si="89"/>
        <v>lighting</v>
      </c>
      <c r="D243" s="1" t="s">
        <v>229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</row>
    <row r="244" spans="1:42" x14ac:dyDescent="0.25">
      <c r="A244" s="42" t="str">
        <f t="shared" si="87"/>
        <v>biomass</v>
      </c>
      <c r="B244" s="42" t="str">
        <f t="shared" si="88"/>
        <v>commercial</v>
      </c>
      <c r="C244" s="42" t="str">
        <f t="shared" si="89"/>
        <v>appliances</v>
      </c>
      <c r="D244" s="1" t="s">
        <v>230</v>
      </c>
      <c r="E244" s="39">
        <v>10300000000000</v>
      </c>
      <c r="F244" s="39">
        <v>10500000000000</v>
      </c>
      <c r="G244" s="39">
        <v>10700000000000</v>
      </c>
      <c r="H244" s="39">
        <v>10900000000000</v>
      </c>
      <c r="I244" s="39">
        <v>11000000000000</v>
      </c>
      <c r="J244" s="39">
        <v>11100000000000</v>
      </c>
      <c r="K244" s="39">
        <v>11200000000000</v>
      </c>
      <c r="L244" s="39">
        <v>11400000000000</v>
      </c>
      <c r="M244" s="39">
        <v>11500000000000</v>
      </c>
      <c r="N244" s="39">
        <v>11600000000000</v>
      </c>
      <c r="O244" s="39">
        <v>11700000000000</v>
      </c>
      <c r="P244" s="39">
        <v>11800000000000</v>
      </c>
      <c r="Q244" s="39">
        <v>11900000000000</v>
      </c>
      <c r="R244" s="39">
        <v>12000000000000</v>
      </c>
      <c r="S244" s="39">
        <v>12100000000000</v>
      </c>
      <c r="T244" s="39">
        <v>12100000000000</v>
      </c>
      <c r="U244" s="39">
        <v>12100000000000</v>
      </c>
      <c r="V244" s="39">
        <v>12100000000000</v>
      </c>
      <c r="W244" s="39">
        <v>12200000000000</v>
      </c>
      <c r="X244" s="39">
        <v>12200000000000</v>
      </c>
      <c r="Y244" s="39">
        <v>12200000000000</v>
      </c>
      <c r="Z244" s="39">
        <v>12100000000000</v>
      </c>
      <c r="AA244" s="39">
        <v>12100000000000</v>
      </c>
      <c r="AB244" s="39">
        <v>12100000000000</v>
      </c>
      <c r="AC244" s="39">
        <v>12100000000000</v>
      </c>
      <c r="AD244" s="39">
        <v>12000000000000</v>
      </c>
      <c r="AE244" s="39">
        <v>12000000000000</v>
      </c>
      <c r="AF244" s="39">
        <v>12000000000000</v>
      </c>
      <c r="AG244" s="39">
        <v>11900000000000</v>
      </c>
      <c r="AH244" s="39">
        <v>11800000000000</v>
      </c>
      <c r="AI244" s="39">
        <v>11800000000000</v>
      </c>
      <c r="AJ244" s="39">
        <v>11700000000000</v>
      </c>
      <c r="AK244" s="39">
        <v>11600000000000</v>
      </c>
      <c r="AL244" s="39">
        <v>11500000000000</v>
      </c>
      <c r="AM244" s="39">
        <v>11400000000000</v>
      </c>
      <c r="AN244" s="39">
        <v>11300000000000</v>
      </c>
      <c r="AO244" s="39">
        <v>11200000000000</v>
      </c>
      <c r="AP244" s="39">
        <v>11100000000000</v>
      </c>
    </row>
    <row r="245" spans="1:42" x14ac:dyDescent="0.25">
      <c r="A245" s="42" t="str">
        <f t="shared" si="87"/>
        <v>biomass</v>
      </c>
      <c r="B245" s="42" t="str">
        <f t="shared" si="88"/>
        <v>commercial</v>
      </c>
      <c r="C245" s="42" t="str">
        <f t="shared" si="89"/>
        <v>other component</v>
      </c>
      <c r="D245" s="1" t="s">
        <v>231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</row>
    <row r="246" spans="1:42" x14ac:dyDescent="0.25">
      <c r="A246" s="42" t="str">
        <f t="shared" si="87"/>
        <v>kerosene</v>
      </c>
      <c r="B246" s="42" t="str">
        <f t="shared" si="88"/>
        <v>commercial</v>
      </c>
      <c r="C246" s="42" t="str">
        <f t="shared" si="89"/>
        <v>heating</v>
      </c>
      <c r="D246" s="1" t="s">
        <v>232</v>
      </c>
      <c r="E246" s="39">
        <v>79600000000000</v>
      </c>
      <c r="F246" s="39">
        <v>81300000000000</v>
      </c>
      <c r="G246" s="39">
        <v>83000000000000</v>
      </c>
      <c r="H246" s="39">
        <v>84500000000000</v>
      </c>
      <c r="I246" s="39">
        <v>85600000000000</v>
      </c>
      <c r="J246" s="39">
        <v>86600000000000</v>
      </c>
      <c r="K246" s="39">
        <v>87700000000000</v>
      </c>
      <c r="L246" s="39">
        <v>88800000000000</v>
      </c>
      <c r="M246" s="39">
        <v>89800000000000</v>
      </c>
      <c r="N246" s="39">
        <v>90800000000000</v>
      </c>
      <c r="O246" s="39">
        <v>91800000000000</v>
      </c>
      <c r="P246" s="39">
        <v>92800000000000</v>
      </c>
      <c r="Q246" s="39">
        <v>93800000000000</v>
      </c>
      <c r="R246" s="39">
        <v>94500000000000</v>
      </c>
      <c r="S246" s="39">
        <v>94800000000000</v>
      </c>
      <c r="T246" s="39">
        <v>95200000000000</v>
      </c>
      <c r="U246" s="39">
        <v>95500000000000</v>
      </c>
      <c r="V246" s="39">
        <v>95800000000000</v>
      </c>
      <c r="W246" s="39">
        <v>96000000000000</v>
      </c>
      <c r="X246" s="39">
        <v>96000000000000</v>
      </c>
      <c r="Y246" s="39">
        <v>96000000000000</v>
      </c>
      <c r="Z246" s="39">
        <v>96000000000000</v>
      </c>
      <c r="AA246" s="39">
        <v>96000000000000</v>
      </c>
      <c r="AB246" s="39">
        <v>95900000000000</v>
      </c>
      <c r="AC246" s="39">
        <v>95700000000000</v>
      </c>
      <c r="AD246" s="39">
        <v>95400000000000</v>
      </c>
      <c r="AE246" s="39">
        <v>95200000000000</v>
      </c>
      <c r="AF246" s="39">
        <v>94900000000000</v>
      </c>
      <c r="AG246" s="39">
        <v>94600000000000</v>
      </c>
      <c r="AH246" s="39">
        <v>94000000000000</v>
      </c>
      <c r="AI246" s="39">
        <v>93500000000000</v>
      </c>
      <c r="AJ246" s="39">
        <v>92900000000000</v>
      </c>
      <c r="AK246" s="39">
        <v>92300000000000</v>
      </c>
      <c r="AL246" s="39">
        <v>91700000000000</v>
      </c>
      <c r="AM246" s="39">
        <v>90900000000000</v>
      </c>
      <c r="AN246" s="39">
        <v>90100000000000</v>
      </c>
      <c r="AO246" s="39">
        <v>89300000000000</v>
      </c>
      <c r="AP246" s="39">
        <v>88400000000000</v>
      </c>
    </row>
    <row r="247" spans="1:42" x14ac:dyDescent="0.25">
      <c r="A247" s="42" t="str">
        <f t="shared" si="87"/>
        <v>kerosene</v>
      </c>
      <c r="B247" s="42" t="str">
        <f t="shared" si="88"/>
        <v>commercial</v>
      </c>
      <c r="C247" s="42" t="str">
        <f t="shared" si="89"/>
        <v>cooling and ventilation</v>
      </c>
      <c r="D247" s="1" t="s">
        <v>233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</row>
    <row r="248" spans="1:42" x14ac:dyDescent="0.25">
      <c r="A248" s="42" t="str">
        <f t="shared" si="87"/>
        <v>kerosene</v>
      </c>
      <c r="B248" s="42" t="str">
        <f t="shared" si="88"/>
        <v>commercial</v>
      </c>
      <c r="C248" s="42" t="str">
        <f t="shared" si="89"/>
        <v>envelope</v>
      </c>
      <c r="D248" s="1" t="s">
        <v>234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</row>
    <row r="249" spans="1:42" x14ac:dyDescent="0.25">
      <c r="A249" s="42" t="str">
        <f t="shared" si="87"/>
        <v>kerosene</v>
      </c>
      <c r="B249" s="42" t="str">
        <f t="shared" si="88"/>
        <v>commercial</v>
      </c>
      <c r="C249" s="42" t="str">
        <f t="shared" si="89"/>
        <v>lighting</v>
      </c>
      <c r="D249" s="1" t="s">
        <v>235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</row>
    <row r="250" spans="1:42" x14ac:dyDescent="0.25">
      <c r="A250" s="42" t="str">
        <f t="shared" si="87"/>
        <v>kerosene</v>
      </c>
      <c r="B250" s="42" t="str">
        <f t="shared" si="88"/>
        <v>commercial</v>
      </c>
      <c r="C250" s="42" t="str">
        <f t="shared" si="89"/>
        <v>appliances</v>
      </c>
      <c r="D250" s="1" t="s">
        <v>236</v>
      </c>
      <c r="E250" s="39">
        <v>9940000000000</v>
      </c>
      <c r="F250" s="39">
        <v>10100000000000</v>
      </c>
      <c r="G250" s="39">
        <v>10300000000000</v>
      </c>
      <c r="H250" s="39">
        <v>10500000000000</v>
      </c>
      <c r="I250" s="39">
        <v>10600000000000</v>
      </c>
      <c r="J250" s="39">
        <v>10700000000000</v>
      </c>
      <c r="K250" s="39">
        <v>10900000000000</v>
      </c>
      <c r="L250" s="39">
        <v>11000000000000</v>
      </c>
      <c r="M250" s="39">
        <v>11100000000000</v>
      </c>
      <c r="N250" s="39">
        <v>11200000000000</v>
      </c>
      <c r="O250" s="39">
        <v>11300000000000</v>
      </c>
      <c r="P250" s="39">
        <v>11400000000000</v>
      </c>
      <c r="Q250" s="39">
        <v>11500000000000</v>
      </c>
      <c r="R250" s="39">
        <v>11600000000000</v>
      </c>
      <c r="S250" s="39">
        <v>11600000000000</v>
      </c>
      <c r="T250" s="39">
        <v>11700000000000</v>
      </c>
      <c r="U250" s="39">
        <v>11700000000000</v>
      </c>
      <c r="V250" s="39">
        <v>11700000000000</v>
      </c>
      <c r="W250" s="39">
        <v>11700000000000</v>
      </c>
      <c r="X250" s="39">
        <v>11700000000000</v>
      </c>
      <c r="Y250" s="39">
        <v>11700000000000</v>
      </c>
      <c r="Z250" s="39">
        <v>11700000000000</v>
      </c>
      <c r="AA250" s="39">
        <v>11700000000000</v>
      </c>
      <c r="AB250" s="39">
        <v>11700000000000</v>
      </c>
      <c r="AC250" s="39">
        <v>11700000000000</v>
      </c>
      <c r="AD250" s="39">
        <v>11600000000000</v>
      </c>
      <c r="AE250" s="39">
        <v>11600000000000</v>
      </c>
      <c r="AF250" s="39">
        <v>11600000000000</v>
      </c>
      <c r="AG250" s="39">
        <v>11500000000000</v>
      </c>
      <c r="AH250" s="39">
        <v>11400000000000</v>
      </c>
      <c r="AI250" s="39">
        <v>11400000000000</v>
      </c>
      <c r="AJ250" s="39">
        <v>11300000000000</v>
      </c>
      <c r="AK250" s="39">
        <v>11200000000000</v>
      </c>
      <c r="AL250" s="39">
        <v>11100000000000</v>
      </c>
      <c r="AM250" s="39">
        <v>11000000000000</v>
      </c>
      <c r="AN250" s="39">
        <v>10900000000000</v>
      </c>
      <c r="AO250" s="39">
        <v>10800000000000</v>
      </c>
      <c r="AP250" s="39">
        <v>10700000000000</v>
      </c>
    </row>
    <row r="251" spans="1:42" x14ac:dyDescent="0.25">
      <c r="A251" s="42" t="str">
        <f t="shared" si="87"/>
        <v>kerosene</v>
      </c>
      <c r="B251" s="42" t="str">
        <f t="shared" si="88"/>
        <v>commercial</v>
      </c>
      <c r="C251" s="42" t="str">
        <f t="shared" si="89"/>
        <v>other component</v>
      </c>
      <c r="D251" s="1" t="s">
        <v>237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</row>
    <row r="252" spans="1:42" x14ac:dyDescent="0.25">
      <c r="A252" s="42" t="str">
        <f t="shared" si="87"/>
        <v>heavy or residual fuel oil</v>
      </c>
      <c r="B252" s="42" t="str">
        <f t="shared" si="88"/>
        <v>commercial</v>
      </c>
      <c r="C252" s="42" t="str">
        <f t="shared" si="89"/>
        <v>heating</v>
      </c>
      <c r="D252" s="1" t="s">
        <v>238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</row>
    <row r="253" spans="1:42" x14ac:dyDescent="0.25">
      <c r="A253" s="42" t="str">
        <f t="shared" si="87"/>
        <v>heavy or residual fuel oil</v>
      </c>
      <c r="B253" s="42" t="str">
        <f t="shared" si="88"/>
        <v>commercial</v>
      </c>
      <c r="C253" s="42" t="str">
        <f t="shared" si="89"/>
        <v>cooling and ventilation</v>
      </c>
      <c r="D253" s="1" t="s">
        <v>239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</row>
    <row r="254" spans="1:42" x14ac:dyDescent="0.25">
      <c r="A254" s="42" t="str">
        <f t="shared" si="87"/>
        <v>heavy or residual fuel oil</v>
      </c>
      <c r="B254" s="42" t="str">
        <f t="shared" si="88"/>
        <v>commercial</v>
      </c>
      <c r="C254" s="42" t="str">
        <f t="shared" si="89"/>
        <v>envelope</v>
      </c>
      <c r="D254" s="1" t="s">
        <v>240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</row>
    <row r="255" spans="1:42" x14ac:dyDescent="0.25">
      <c r="A255" s="42" t="str">
        <f t="shared" si="87"/>
        <v>heavy or residual fuel oil</v>
      </c>
      <c r="B255" s="42" t="str">
        <f t="shared" si="88"/>
        <v>commercial</v>
      </c>
      <c r="C255" s="42" t="str">
        <f t="shared" si="89"/>
        <v>lighting</v>
      </c>
      <c r="D255" s="1" t="s">
        <v>241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</row>
    <row r="256" spans="1:42" x14ac:dyDescent="0.25">
      <c r="A256" s="42" t="str">
        <f t="shared" si="87"/>
        <v>heavy or residual fuel oil</v>
      </c>
      <c r="B256" s="42" t="str">
        <f t="shared" si="88"/>
        <v>commercial</v>
      </c>
      <c r="C256" s="42" t="str">
        <f t="shared" si="89"/>
        <v>appliances</v>
      </c>
      <c r="D256" s="1" t="s">
        <v>242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</row>
    <row r="257" spans="1:42" x14ac:dyDescent="0.25">
      <c r="A257" s="42" t="str">
        <f t="shared" si="87"/>
        <v>heavy or residual fuel oil</v>
      </c>
      <c r="B257" s="42" t="str">
        <f t="shared" si="88"/>
        <v>commercial</v>
      </c>
      <c r="C257" s="42" t="str">
        <f t="shared" si="89"/>
        <v>other component</v>
      </c>
      <c r="D257" s="1" t="s">
        <v>243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</row>
    <row r="258" spans="1:42" x14ac:dyDescent="0.25">
      <c r="A258" s="42" t="str">
        <f t="shared" si="87"/>
        <v>LPG propane or butane</v>
      </c>
      <c r="B258" s="42" t="str">
        <f t="shared" si="88"/>
        <v>commercial</v>
      </c>
      <c r="C258" s="42" t="str">
        <f t="shared" si="89"/>
        <v>heating</v>
      </c>
      <c r="D258" s="1" t="s">
        <v>244</v>
      </c>
      <c r="E258" s="39">
        <v>68700000000000</v>
      </c>
      <c r="F258" s="39">
        <v>70200000000000</v>
      </c>
      <c r="G258" s="39">
        <v>71700000000000</v>
      </c>
      <c r="H258" s="39">
        <v>73000000000000</v>
      </c>
      <c r="I258" s="39">
        <v>73900000000000</v>
      </c>
      <c r="J258" s="39">
        <v>74800000000000</v>
      </c>
      <c r="K258" s="39">
        <v>75800000000000</v>
      </c>
      <c r="L258" s="39">
        <v>76700000000000</v>
      </c>
      <c r="M258" s="39">
        <v>77600000000000</v>
      </c>
      <c r="N258" s="39">
        <v>78400000000000</v>
      </c>
      <c r="O258" s="39">
        <v>79300000000000</v>
      </c>
      <c r="P258" s="39">
        <v>80100000000000</v>
      </c>
      <c r="Q258" s="39">
        <v>81000000000000</v>
      </c>
      <c r="R258" s="39">
        <v>81600000000000</v>
      </c>
      <c r="S258" s="39">
        <v>81900000000000</v>
      </c>
      <c r="T258" s="39">
        <v>82200000000000</v>
      </c>
      <c r="U258" s="39">
        <v>82500000000000</v>
      </c>
      <c r="V258" s="39">
        <v>82700000000000</v>
      </c>
      <c r="W258" s="39">
        <v>82900000000000</v>
      </c>
      <c r="X258" s="39">
        <v>82900000000000</v>
      </c>
      <c r="Y258" s="39">
        <v>82900000000000</v>
      </c>
      <c r="Z258" s="39">
        <v>82900000000000</v>
      </c>
      <c r="AA258" s="39">
        <v>82900000000000</v>
      </c>
      <c r="AB258" s="39">
        <v>82800000000000</v>
      </c>
      <c r="AC258" s="39">
        <v>82600000000000</v>
      </c>
      <c r="AD258" s="39">
        <v>82400000000000</v>
      </c>
      <c r="AE258" s="39">
        <v>82200000000000</v>
      </c>
      <c r="AF258" s="39">
        <v>82000000000000</v>
      </c>
      <c r="AG258" s="39">
        <v>81700000000000</v>
      </c>
      <c r="AH258" s="39">
        <v>81200000000000</v>
      </c>
      <c r="AI258" s="39">
        <v>80700000000000</v>
      </c>
      <c r="AJ258" s="39">
        <v>80200000000000</v>
      </c>
      <c r="AK258" s="39">
        <v>79800000000000</v>
      </c>
      <c r="AL258" s="39">
        <v>79200000000000</v>
      </c>
      <c r="AM258" s="39">
        <v>78500000000000</v>
      </c>
      <c r="AN258" s="39">
        <v>77800000000000</v>
      </c>
      <c r="AO258" s="39">
        <v>77100000000000</v>
      </c>
      <c r="AP258" s="39">
        <v>76400000000000</v>
      </c>
    </row>
    <row r="259" spans="1:42" x14ac:dyDescent="0.25">
      <c r="A259" s="42" t="str">
        <f t="shared" si="87"/>
        <v>LPG propane or butane</v>
      </c>
      <c r="B259" s="42" t="str">
        <f t="shared" si="88"/>
        <v>commercial</v>
      </c>
      <c r="C259" s="42" t="str">
        <f t="shared" si="89"/>
        <v>cooling and ventilation</v>
      </c>
      <c r="D259" s="1" t="s">
        <v>245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</row>
    <row r="260" spans="1:42" x14ac:dyDescent="0.25">
      <c r="A260" s="42" t="str">
        <f t="shared" si="87"/>
        <v>LPG propane or butane</v>
      </c>
      <c r="B260" s="42" t="str">
        <f t="shared" si="88"/>
        <v>commercial</v>
      </c>
      <c r="C260" s="42" t="str">
        <f t="shared" si="89"/>
        <v>envelope</v>
      </c>
      <c r="D260" s="1" t="s">
        <v>246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</row>
    <row r="261" spans="1:42" x14ac:dyDescent="0.25">
      <c r="A261" s="42" t="str">
        <f t="shared" si="87"/>
        <v>LPG propane or butane</v>
      </c>
      <c r="B261" s="42" t="str">
        <f t="shared" si="88"/>
        <v>commercial</v>
      </c>
      <c r="C261" s="42" t="str">
        <f t="shared" si="89"/>
        <v>lighting</v>
      </c>
      <c r="D261" s="1" t="s">
        <v>247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</row>
    <row r="262" spans="1:42" x14ac:dyDescent="0.25">
      <c r="A262" s="42" t="str">
        <f t="shared" si="87"/>
        <v>LPG propane or butane</v>
      </c>
      <c r="B262" s="42" t="str">
        <f t="shared" si="88"/>
        <v>commercial</v>
      </c>
      <c r="C262" s="42" t="str">
        <f t="shared" si="89"/>
        <v>appliances</v>
      </c>
      <c r="D262" s="1" t="s">
        <v>248</v>
      </c>
      <c r="E262" s="39">
        <v>22900000000000</v>
      </c>
      <c r="F262" s="39">
        <v>23300000000000</v>
      </c>
      <c r="G262" s="39">
        <v>23800000000000</v>
      </c>
      <c r="H262" s="39">
        <v>24200000000000</v>
      </c>
      <c r="I262" s="39">
        <v>24400000000000</v>
      </c>
      <c r="J262" s="39">
        <v>24700000000000</v>
      </c>
      <c r="K262" s="39">
        <v>25000000000000</v>
      </c>
      <c r="L262" s="39">
        <v>25300000000000</v>
      </c>
      <c r="M262" s="39">
        <v>25500000000000</v>
      </c>
      <c r="N262" s="39">
        <v>25800000000000</v>
      </c>
      <c r="O262" s="39">
        <v>26000000000000</v>
      </c>
      <c r="P262" s="39">
        <v>26300000000000</v>
      </c>
      <c r="Q262" s="39">
        <v>26600000000000</v>
      </c>
      <c r="R262" s="39">
        <v>26700000000000</v>
      </c>
      <c r="S262" s="39">
        <v>26800000000000</v>
      </c>
      <c r="T262" s="39">
        <v>26900000000000</v>
      </c>
      <c r="U262" s="39">
        <v>27000000000000</v>
      </c>
      <c r="V262" s="39">
        <v>27000000000000</v>
      </c>
      <c r="W262" s="39">
        <v>27100000000000</v>
      </c>
      <c r="X262" s="39">
        <v>27000000000000</v>
      </c>
      <c r="Y262" s="39">
        <v>27000000000000</v>
      </c>
      <c r="Z262" s="39">
        <v>27000000000000</v>
      </c>
      <c r="AA262" s="39">
        <v>27000000000000</v>
      </c>
      <c r="AB262" s="39">
        <v>27000000000000</v>
      </c>
      <c r="AC262" s="39">
        <v>26900000000000</v>
      </c>
      <c r="AD262" s="39">
        <v>26800000000000</v>
      </c>
      <c r="AE262" s="39">
        <v>26700000000000</v>
      </c>
      <c r="AF262" s="39">
        <v>26600000000000</v>
      </c>
      <c r="AG262" s="39">
        <v>26500000000000</v>
      </c>
      <c r="AH262" s="39">
        <v>26300000000000</v>
      </c>
      <c r="AI262" s="39">
        <v>26200000000000</v>
      </c>
      <c r="AJ262" s="39">
        <v>26000000000000</v>
      </c>
      <c r="AK262" s="39">
        <v>25800000000000</v>
      </c>
      <c r="AL262" s="39">
        <v>25600000000000</v>
      </c>
      <c r="AM262" s="39">
        <v>25400000000000</v>
      </c>
      <c r="AN262" s="39">
        <v>25200000000000</v>
      </c>
      <c r="AO262" s="39">
        <v>24900000000000</v>
      </c>
      <c r="AP262" s="39">
        <v>24700000000000</v>
      </c>
    </row>
    <row r="263" spans="1:42" x14ac:dyDescent="0.25">
      <c r="A263" s="42" t="str">
        <f t="shared" si="87"/>
        <v>LPG propane or butane</v>
      </c>
      <c r="B263" s="42" t="str">
        <f t="shared" si="88"/>
        <v>commercial</v>
      </c>
      <c r="C263" s="42" t="str">
        <f t="shared" si="89"/>
        <v>other component</v>
      </c>
      <c r="D263" s="1" t="s">
        <v>249</v>
      </c>
      <c r="E263" s="39">
        <v>0</v>
      </c>
      <c r="F263" s="39">
        <v>0</v>
      </c>
      <c r="G263" s="39">
        <v>0</v>
      </c>
      <c r="H263" s="39">
        <v>0</v>
      </c>
      <c r="I263" s="39">
        <v>0</v>
      </c>
      <c r="J263" s="39">
        <v>0</v>
      </c>
      <c r="K263" s="39">
        <v>0</v>
      </c>
      <c r="L263" s="39">
        <v>0</v>
      </c>
      <c r="M263" s="39">
        <v>0</v>
      </c>
      <c r="N263" s="39">
        <v>0</v>
      </c>
      <c r="O263" s="39">
        <v>0</v>
      </c>
      <c r="P263" s="39">
        <v>0</v>
      </c>
      <c r="Q263" s="39">
        <v>0</v>
      </c>
      <c r="R263" s="39">
        <v>0</v>
      </c>
      <c r="S263" s="39">
        <v>0</v>
      </c>
      <c r="T263" s="39">
        <v>0</v>
      </c>
      <c r="U263" s="39">
        <v>0</v>
      </c>
      <c r="V263" s="39">
        <v>0</v>
      </c>
      <c r="W263" s="39">
        <v>0</v>
      </c>
      <c r="X263" s="39">
        <v>0</v>
      </c>
      <c r="Y263" s="39">
        <v>0</v>
      </c>
      <c r="Z263" s="39">
        <v>0</v>
      </c>
      <c r="AA263" s="39">
        <v>0</v>
      </c>
      <c r="AB263" s="39">
        <v>0</v>
      </c>
      <c r="AC263" s="39">
        <v>0</v>
      </c>
      <c r="AD263" s="39">
        <v>0</v>
      </c>
      <c r="AE263" s="39">
        <v>0</v>
      </c>
      <c r="AF263" s="39">
        <v>0</v>
      </c>
      <c r="AG263" s="39">
        <v>0</v>
      </c>
      <c r="AH263" s="39">
        <v>0</v>
      </c>
      <c r="AI263" s="39">
        <v>0</v>
      </c>
      <c r="AJ263" s="39">
        <v>0</v>
      </c>
      <c r="AK263" s="39">
        <v>0</v>
      </c>
      <c r="AL263" s="39">
        <v>0</v>
      </c>
      <c r="AM263" s="39">
        <v>0</v>
      </c>
      <c r="AN263" s="39">
        <v>0</v>
      </c>
      <c r="AO263" s="39">
        <v>0</v>
      </c>
      <c r="AP263" s="39">
        <v>0</v>
      </c>
    </row>
    <row r="264" spans="1:42" x14ac:dyDescent="0.25">
      <c r="A264" s="42" t="str">
        <f t="shared" si="87"/>
        <v>hydrogen</v>
      </c>
      <c r="B264" s="42" t="str">
        <f t="shared" si="88"/>
        <v>commercial</v>
      </c>
      <c r="C264" s="42" t="str">
        <f t="shared" si="89"/>
        <v>heating</v>
      </c>
      <c r="D264" s="1" t="s">
        <v>250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</row>
    <row r="265" spans="1:42" x14ac:dyDescent="0.25">
      <c r="A265" s="42" t="str">
        <f t="shared" si="87"/>
        <v>hydrogen</v>
      </c>
      <c r="B265" s="42" t="str">
        <f t="shared" si="88"/>
        <v>commercial</v>
      </c>
      <c r="C265" s="42" t="str">
        <f t="shared" si="89"/>
        <v>cooling and ventilation</v>
      </c>
      <c r="D265" s="1" t="s">
        <v>251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</row>
    <row r="266" spans="1:42" x14ac:dyDescent="0.25">
      <c r="A266" s="42" t="str">
        <f t="shared" si="87"/>
        <v>hydrogen</v>
      </c>
      <c r="B266" s="42" t="str">
        <f t="shared" si="88"/>
        <v>commercial</v>
      </c>
      <c r="C266" s="42" t="str">
        <f t="shared" si="89"/>
        <v>envelope</v>
      </c>
      <c r="D266" s="1" t="s">
        <v>252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</row>
    <row r="267" spans="1:42" x14ac:dyDescent="0.25">
      <c r="A267" s="42" t="str">
        <f t="shared" si="87"/>
        <v>hydrogen</v>
      </c>
      <c r="B267" s="42" t="str">
        <f t="shared" si="88"/>
        <v>commercial</v>
      </c>
      <c r="C267" s="42" t="str">
        <f t="shared" si="89"/>
        <v>lighting</v>
      </c>
      <c r="D267" s="1" t="s">
        <v>253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</row>
    <row r="268" spans="1:42" x14ac:dyDescent="0.25">
      <c r="A268" s="42" t="str">
        <f t="shared" si="87"/>
        <v>hydrogen</v>
      </c>
      <c r="B268" s="42" t="str">
        <f t="shared" si="88"/>
        <v>commercial</v>
      </c>
      <c r="C268" s="42" t="str">
        <f t="shared" si="89"/>
        <v>appliances</v>
      </c>
      <c r="D268" s="1" t="s">
        <v>254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</row>
    <row r="269" spans="1:42" x14ac:dyDescent="0.25">
      <c r="A269" s="42" t="str">
        <f t="shared" si="87"/>
        <v>hydrogen</v>
      </c>
      <c r="B269" s="42" t="str">
        <f t="shared" si="88"/>
        <v>commercial</v>
      </c>
      <c r="C269" s="42" t="str">
        <f t="shared" si="89"/>
        <v>other component</v>
      </c>
      <c r="D269" s="1" t="s">
        <v>255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</row>
    <row r="270" spans="1:42" x14ac:dyDescent="0.25"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39"/>
      <c r="AN270" s="39"/>
      <c r="AO270" s="39"/>
      <c r="AP270" s="39"/>
    </row>
    <row r="273" spans="1:41" x14ac:dyDescent="0.25">
      <c r="A273" s="109" t="s">
        <v>73</v>
      </c>
      <c r="B273" s="110"/>
      <c r="C273" s="30">
        <v>2022</v>
      </c>
      <c r="D273" s="22">
        <v>2023</v>
      </c>
      <c r="E273" s="22">
        <v>2024</v>
      </c>
      <c r="F273" s="30">
        <v>2025</v>
      </c>
      <c r="G273" s="22">
        <v>2026</v>
      </c>
      <c r="H273" s="22">
        <v>2027</v>
      </c>
      <c r="I273" s="30">
        <v>2028</v>
      </c>
      <c r="J273" s="22">
        <v>2029</v>
      </c>
      <c r="K273" s="22">
        <v>2030</v>
      </c>
      <c r="L273" s="30">
        <v>2031</v>
      </c>
      <c r="M273" s="22">
        <v>2032</v>
      </c>
      <c r="N273" s="22">
        <v>2033</v>
      </c>
      <c r="O273" s="30">
        <v>2034</v>
      </c>
      <c r="P273" s="22">
        <v>2035</v>
      </c>
      <c r="Q273" s="22">
        <v>2036</v>
      </c>
      <c r="R273" s="30">
        <v>2037</v>
      </c>
      <c r="S273" s="22">
        <v>2038</v>
      </c>
      <c r="T273" s="22">
        <v>2039</v>
      </c>
      <c r="U273" s="30">
        <v>2040</v>
      </c>
      <c r="V273" s="22">
        <v>2041</v>
      </c>
      <c r="W273" s="22">
        <v>2042</v>
      </c>
      <c r="X273" s="30">
        <v>2043</v>
      </c>
      <c r="Y273" s="22">
        <v>2044</v>
      </c>
      <c r="Z273" s="22">
        <v>2045</v>
      </c>
      <c r="AA273" s="30">
        <v>2046</v>
      </c>
      <c r="AB273" s="22">
        <v>2047</v>
      </c>
      <c r="AC273" s="22">
        <v>2048</v>
      </c>
      <c r="AD273" s="30">
        <v>2049</v>
      </c>
      <c r="AE273" s="22">
        <v>2050</v>
      </c>
      <c r="AF273" s="22">
        <v>2051</v>
      </c>
      <c r="AG273" s="30">
        <v>2052</v>
      </c>
      <c r="AH273" s="22">
        <v>2053</v>
      </c>
      <c r="AI273" s="22">
        <v>2054</v>
      </c>
      <c r="AJ273" s="30">
        <v>2055</v>
      </c>
      <c r="AK273" s="22">
        <v>2056</v>
      </c>
      <c r="AL273" s="22">
        <v>2057</v>
      </c>
      <c r="AM273" s="30">
        <v>2058</v>
      </c>
      <c r="AN273" s="22">
        <v>2059</v>
      </c>
      <c r="AO273" s="22">
        <v>2060</v>
      </c>
    </row>
    <row r="274" spans="1:41" x14ac:dyDescent="0.25">
      <c r="A274" s="41" t="s">
        <v>257</v>
      </c>
      <c r="B274" s="40" t="s">
        <v>256</v>
      </c>
      <c r="C274" s="37"/>
      <c r="D274" s="44">
        <f>SUMIFS(E$90:E$269,$B$90:$B$269,$A274,$C$90:$C$269,$B274)</f>
        <v>1728500000000000</v>
      </c>
      <c r="E274" s="44">
        <f t="shared" ref="E274:AO281" si="90">SUMIFS(F$90:F$269,$B$90:$B$269,$A274,$C$90:$C$269,$B274)</f>
        <v>1765600000000000</v>
      </c>
      <c r="F274" s="44">
        <f t="shared" si="90"/>
        <v>1803700000000000</v>
      </c>
      <c r="G274" s="44">
        <f t="shared" ref="G274:K288" si="91">SUMIFS(H$90:H$269,$B$90:$B$269,$A274,$C$90:$C$269,$B274)</f>
        <v>1836300000000000</v>
      </c>
      <c r="H274" s="44">
        <f t="shared" si="91"/>
        <v>1858800000000000</v>
      </c>
      <c r="I274" s="44">
        <f t="shared" si="91"/>
        <v>1881300000000000</v>
      </c>
      <c r="J274" s="44">
        <f t="shared" si="91"/>
        <v>1904900000000000</v>
      </c>
      <c r="K274" s="44">
        <f t="shared" si="91"/>
        <v>1927500000000000</v>
      </c>
      <c r="L274" s="44">
        <f t="shared" si="90"/>
        <v>1950900000000000</v>
      </c>
      <c r="M274" s="44">
        <f t="shared" si="90"/>
        <v>1972200000000000</v>
      </c>
      <c r="N274" s="44">
        <f t="shared" si="90"/>
        <v>1994600000000000</v>
      </c>
      <c r="O274" s="44">
        <f t="shared" si="90"/>
        <v>2015900000000000</v>
      </c>
      <c r="P274" s="44">
        <f t="shared" si="90"/>
        <v>2036400000000000</v>
      </c>
      <c r="Q274" s="44">
        <f t="shared" si="90"/>
        <v>2053000000000000</v>
      </c>
      <c r="R274" s="44">
        <f t="shared" si="90"/>
        <v>2060800000000000</v>
      </c>
      <c r="S274" s="44">
        <f t="shared" si="90"/>
        <v>2067700000000000</v>
      </c>
      <c r="T274" s="44">
        <f t="shared" si="90"/>
        <v>2074400000000000</v>
      </c>
      <c r="U274" s="44">
        <f t="shared" si="90"/>
        <v>2080100000000000</v>
      </c>
      <c r="V274" s="44">
        <f t="shared" si="90"/>
        <v>2085600000000000</v>
      </c>
      <c r="W274" s="44">
        <f t="shared" si="90"/>
        <v>2085600000000000</v>
      </c>
      <c r="X274" s="44">
        <f t="shared" si="90"/>
        <v>2085600000000000</v>
      </c>
      <c r="Y274" s="44">
        <f t="shared" si="90"/>
        <v>2085600000000000</v>
      </c>
      <c r="Z274" s="44">
        <f t="shared" si="90"/>
        <v>2085600000000000</v>
      </c>
      <c r="AA274" s="44">
        <f t="shared" si="90"/>
        <v>2083400000000000</v>
      </c>
      <c r="AB274" s="44">
        <f t="shared" si="90"/>
        <v>2078800000000000</v>
      </c>
      <c r="AC274" s="44">
        <f t="shared" si="90"/>
        <v>2073200000000000</v>
      </c>
      <c r="AD274" s="44">
        <f t="shared" si="90"/>
        <v>2067700000000000</v>
      </c>
      <c r="AE274" s="44">
        <f t="shared" si="90"/>
        <v>2061100000000000</v>
      </c>
      <c r="AF274" s="44">
        <f t="shared" si="90"/>
        <v>2054300000000000</v>
      </c>
      <c r="AG274" s="44">
        <f t="shared" si="90"/>
        <v>2042900000000000</v>
      </c>
      <c r="AH274" s="44">
        <f t="shared" si="90"/>
        <v>2030600000000000</v>
      </c>
      <c r="AI274" s="44">
        <f t="shared" si="90"/>
        <v>2018200000000000</v>
      </c>
      <c r="AJ274" s="44">
        <f t="shared" si="90"/>
        <v>2006900000000000</v>
      </c>
      <c r="AK274" s="44">
        <f t="shared" si="90"/>
        <v>1991400000000000</v>
      </c>
      <c r="AL274" s="44">
        <f t="shared" si="90"/>
        <v>1974500000000000</v>
      </c>
      <c r="AM274" s="44">
        <f t="shared" si="90"/>
        <v>1957500000000000</v>
      </c>
      <c r="AN274" s="44">
        <f t="shared" si="90"/>
        <v>1939600000000000</v>
      </c>
      <c r="AO274" s="44">
        <f t="shared" si="90"/>
        <v>1921600000000000</v>
      </c>
    </row>
    <row r="275" spans="1:41" x14ac:dyDescent="0.25">
      <c r="A275" s="41" t="s">
        <v>257</v>
      </c>
      <c r="B275" s="40" t="s">
        <v>39</v>
      </c>
      <c r="C275" s="37"/>
      <c r="D275" s="44">
        <f t="shared" ref="D275:S288" si="92">SUMIFS(E$90:E$269,$B$90:$B$269,$A275,$C$90:$C$269,$B275)</f>
        <v>1060000000000000</v>
      </c>
      <c r="E275" s="44">
        <f t="shared" si="92"/>
        <v>1070000000000000</v>
      </c>
      <c r="F275" s="44">
        <f t="shared" si="92"/>
        <v>1070000000000000</v>
      </c>
      <c r="G275" s="44">
        <f t="shared" si="91"/>
        <v>1070000000000000</v>
      </c>
      <c r="H275" s="44">
        <f t="shared" si="91"/>
        <v>1060000000000000</v>
      </c>
      <c r="I275" s="44">
        <f t="shared" si="91"/>
        <v>1050000000000000</v>
      </c>
      <c r="J275" s="44">
        <f t="shared" si="91"/>
        <v>1040000000000000</v>
      </c>
      <c r="K275" s="44">
        <f t="shared" si="91"/>
        <v>1030000000000000</v>
      </c>
      <c r="L275" s="44">
        <f t="shared" si="92"/>
        <v>1020000000000000</v>
      </c>
      <c r="M275" s="44">
        <f t="shared" si="92"/>
        <v>1020000000000000</v>
      </c>
      <c r="N275" s="44">
        <f t="shared" si="92"/>
        <v>1020000000000000</v>
      </c>
      <c r="O275" s="44">
        <f t="shared" si="92"/>
        <v>1030000000000000</v>
      </c>
      <c r="P275" s="44">
        <f t="shared" si="92"/>
        <v>1030000000000000</v>
      </c>
      <c r="Q275" s="44">
        <f t="shared" si="92"/>
        <v>1030000000000000</v>
      </c>
      <c r="R275" s="44">
        <f t="shared" si="92"/>
        <v>1030000000000000</v>
      </c>
      <c r="S275" s="44">
        <f t="shared" si="92"/>
        <v>1030000000000000</v>
      </c>
      <c r="T275" s="44">
        <f t="shared" si="90"/>
        <v>1040000000000000</v>
      </c>
      <c r="U275" s="44">
        <f t="shared" si="90"/>
        <v>1040000000000000</v>
      </c>
      <c r="V275" s="44">
        <f t="shared" si="90"/>
        <v>1040000000000000</v>
      </c>
      <c r="W275" s="44">
        <f t="shared" si="90"/>
        <v>1040000000000000</v>
      </c>
      <c r="X275" s="44">
        <f t="shared" si="90"/>
        <v>1040000000000000</v>
      </c>
      <c r="Y275" s="44">
        <f t="shared" si="90"/>
        <v>1040000000000000</v>
      </c>
      <c r="Z275" s="44">
        <f t="shared" si="90"/>
        <v>1030000000000000</v>
      </c>
      <c r="AA275" s="44">
        <f t="shared" si="90"/>
        <v>1030000000000000</v>
      </c>
      <c r="AB275" s="44">
        <f t="shared" si="90"/>
        <v>1030000000000000</v>
      </c>
      <c r="AC275" s="44">
        <f t="shared" si="90"/>
        <v>1020000000000000</v>
      </c>
      <c r="AD275" s="44">
        <f t="shared" si="90"/>
        <v>1020000000000000</v>
      </c>
      <c r="AE275" s="44">
        <f t="shared" si="90"/>
        <v>1020000000000000</v>
      </c>
      <c r="AF275" s="44">
        <f t="shared" si="90"/>
        <v>1010000000000000</v>
      </c>
      <c r="AG275" s="44">
        <f t="shared" si="90"/>
        <v>1000000000000000</v>
      </c>
      <c r="AH275" s="44">
        <f t="shared" si="90"/>
        <v>995000000000000</v>
      </c>
      <c r="AI275" s="44">
        <f t="shared" si="90"/>
        <v>987000000000000</v>
      </c>
      <c r="AJ275" s="44">
        <f t="shared" si="90"/>
        <v>979000000000000</v>
      </c>
      <c r="AK275" s="44">
        <f t="shared" si="90"/>
        <v>970000000000000</v>
      </c>
      <c r="AL275" s="44">
        <f t="shared" si="90"/>
        <v>960000000000000</v>
      </c>
      <c r="AM275" s="44">
        <f t="shared" si="90"/>
        <v>949000000000000</v>
      </c>
      <c r="AN275" s="44">
        <f t="shared" si="90"/>
        <v>938000000000000</v>
      </c>
      <c r="AO275" s="44">
        <f t="shared" si="90"/>
        <v>850000000000000</v>
      </c>
    </row>
    <row r="276" spans="1:41" x14ac:dyDescent="0.25">
      <c r="A276" s="41" t="s">
        <v>257</v>
      </c>
      <c r="B276" s="40" t="s">
        <v>22</v>
      </c>
      <c r="C276" s="37"/>
      <c r="D276" s="44">
        <f t="shared" si="92"/>
        <v>1660000000000000</v>
      </c>
      <c r="E276" s="44">
        <f t="shared" si="90"/>
        <v>1670000000000000</v>
      </c>
      <c r="F276" s="44">
        <f t="shared" si="90"/>
        <v>1670000000000000</v>
      </c>
      <c r="G276" s="44">
        <f t="shared" si="91"/>
        <v>1670000000000000</v>
      </c>
      <c r="H276" s="44">
        <f t="shared" si="91"/>
        <v>1660000000000000</v>
      </c>
      <c r="I276" s="44">
        <f t="shared" si="91"/>
        <v>1640000000000000</v>
      </c>
      <c r="J276" s="44">
        <f t="shared" si="91"/>
        <v>1630000000000000</v>
      </c>
      <c r="K276" s="44">
        <f t="shared" si="91"/>
        <v>1610000000000000</v>
      </c>
      <c r="L276" s="44">
        <f t="shared" si="90"/>
        <v>1600000000000000</v>
      </c>
      <c r="M276" s="44">
        <f t="shared" si="90"/>
        <v>1600000000000000</v>
      </c>
      <c r="N276" s="44">
        <f t="shared" si="90"/>
        <v>1600000000000000</v>
      </c>
      <c r="O276" s="44">
        <f t="shared" si="90"/>
        <v>1600000000000000</v>
      </c>
      <c r="P276" s="44">
        <f t="shared" si="90"/>
        <v>1600000000000000</v>
      </c>
      <c r="Q276" s="44">
        <f t="shared" si="90"/>
        <v>1610000000000000</v>
      </c>
      <c r="R276" s="44">
        <f t="shared" si="90"/>
        <v>1610000000000000</v>
      </c>
      <c r="S276" s="44">
        <f t="shared" si="90"/>
        <v>1610000000000000</v>
      </c>
      <c r="T276" s="44">
        <f t="shared" si="90"/>
        <v>1620000000000000</v>
      </c>
      <c r="U276" s="44">
        <f t="shared" si="90"/>
        <v>1620000000000000</v>
      </c>
      <c r="V276" s="44">
        <f t="shared" si="90"/>
        <v>1620000000000000</v>
      </c>
      <c r="W276" s="44">
        <f t="shared" si="90"/>
        <v>1620000000000000</v>
      </c>
      <c r="X276" s="44">
        <f t="shared" si="90"/>
        <v>1620000000000000</v>
      </c>
      <c r="Y276" s="44">
        <f t="shared" si="90"/>
        <v>1620000000000000</v>
      </c>
      <c r="Z276" s="44">
        <f t="shared" si="90"/>
        <v>1610000000000000</v>
      </c>
      <c r="AA276" s="44">
        <f t="shared" si="90"/>
        <v>1610000000000000</v>
      </c>
      <c r="AB276" s="44">
        <f t="shared" si="90"/>
        <v>1600000000000000</v>
      </c>
      <c r="AC276" s="44">
        <f t="shared" si="90"/>
        <v>1600000000000000</v>
      </c>
      <c r="AD276" s="44">
        <f t="shared" si="90"/>
        <v>1590000000000000</v>
      </c>
      <c r="AE276" s="44">
        <f t="shared" si="90"/>
        <v>1580000000000000</v>
      </c>
      <c r="AF276" s="44">
        <f t="shared" si="90"/>
        <v>1580000000000000</v>
      </c>
      <c r="AG276" s="44">
        <f t="shared" si="90"/>
        <v>1560000000000000</v>
      </c>
      <c r="AH276" s="44">
        <f t="shared" si="90"/>
        <v>1550000000000000</v>
      </c>
      <c r="AI276" s="44">
        <f t="shared" si="90"/>
        <v>1540000000000000</v>
      </c>
      <c r="AJ276" s="44">
        <f t="shared" si="90"/>
        <v>1530000000000000</v>
      </c>
      <c r="AK276" s="44">
        <f t="shared" si="90"/>
        <v>1510000000000000</v>
      </c>
      <c r="AL276" s="44">
        <f t="shared" si="90"/>
        <v>1500000000000000</v>
      </c>
      <c r="AM276" s="44">
        <f t="shared" si="90"/>
        <v>1480000000000000</v>
      </c>
      <c r="AN276" s="44">
        <f t="shared" si="90"/>
        <v>1460000000000000</v>
      </c>
      <c r="AO276" s="44">
        <f t="shared" si="90"/>
        <v>1330000000000000</v>
      </c>
    </row>
    <row r="277" spans="1:41" x14ac:dyDescent="0.25">
      <c r="A277" s="41" t="s">
        <v>257</v>
      </c>
      <c r="B277" s="40" t="s">
        <v>38</v>
      </c>
      <c r="C277" s="37"/>
      <c r="D277" s="44">
        <f t="shared" si="92"/>
        <v>1030740000000000</v>
      </c>
      <c r="E277" s="44">
        <f t="shared" si="90"/>
        <v>1040600000000000</v>
      </c>
      <c r="F277" s="44">
        <f t="shared" si="90"/>
        <v>1049600000000000</v>
      </c>
      <c r="G277" s="44">
        <f t="shared" si="91"/>
        <v>1055400000000000</v>
      </c>
      <c r="H277" s="44">
        <f t="shared" si="91"/>
        <v>1054100000000000</v>
      </c>
      <c r="I277" s="44">
        <f t="shared" si="91"/>
        <v>1051900000000000</v>
      </c>
      <c r="J277" s="44">
        <f t="shared" si="91"/>
        <v>1050900000000000</v>
      </c>
      <c r="K277" s="44">
        <f t="shared" si="91"/>
        <v>1046800000000000</v>
      </c>
      <c r="L277" s="44">
        <f t="shared" si="90"/>
        <v>1046500000000000</v>
      </c>
      <c r="M277" s="44">
        <f t="shared" si="90"/>
        <v>1050200000000000</v>
      </c>
      <c r="N277" s="44">
        <f t="shared" si="90"/>
        <v>1054800000000000</v>
      </c>
      <c r="O277" s="44">
        <f t="shared" si="90"/>
        <v>1058500000000000</v>
      </c>
      <c r="P277" s="44">
        <f t="shared" si="90"/>
        <v>1064300000000000</v>
      </c>
      <c r="Q277" s="44">
        <f t="shared" si="90"/>
        <v>1068500000000000</v>
      </c>
      <c r="R277" s="44">
        <f t="shared" si="90"/>
        <v>1072100000000000</v>
      </c>
      <c r="S277" s="44">
        <f t="shared" si="90"/>
        <v>1073600000000000</v>
      </c>
      <c r="T277" s="44">
        <f t="shared" si="90"/>
        <v>1076000000000000</v>
      </c>
      <c r="U277" s="44">
        <f t="shared" si="90"/>
        <v>1079400000000000</v>
      </c>
      <c r="V277" s="44">
        <f t="shared" si="90"/>
        <v>1080700000000000</v>
      </c>
      <c r="W277" s="44">
        <f t="shared" si="90"/>
        <v>1079500000000000</v>
      </c>
      <c r="X277" s="44">
        <f t="shared" si="90"/>
        <v>1078500000000000</v>
      </c>
      <c r="Y277" s="44">
        <f t="shared" si="90"/>
        <v>1077300000000000</v>
      </c>
      <c r="Z277" s="44">
        <f t="shared" si="90"/>
        <v>1075200000000000</v>
      </c>
      <c r="AA277" s="44">
        <f t="shared" si="90"/>
        <v>1074000000000000</v>
      </c>
      <c r="AB277" s="44">
        <f t="shared" si="90"/>
        <v>1069500000000000</v>
      </c>
      <c r="AC277" s="44">
        <f t="shared" si="90"/>
        <v>1065800000000000</v>
      </c>
      <c r="AD277" s="44">
        <f t="shared" si="90"/>
        <v>1061300000000000</v>
      </c>
      <c r="AE277" s="44">
        <f t="shared" si="90"/>
        <v>1057800000000000</v>
      </c>
      <c r="AF277" s="44">
        <f t="shared" si="90"/>
        <v>1052900000000000</v>
      </c>
      <c r="AG277" s="44">
        <f t="shared" si="90"/>
        <v>1045700000000000</v>
      </c>
      <c r="AH277" s="44">
        <f t="shared" si="90"/>
        <v>1037900000000000</v>
      </c>
      <c r="AI277" s="44">
        <f t="shared" si="90"/>
        <v>1030600000000000</v>
      </c>
      <c r="AJ277" s="44">
        <f t="shared" si="90"/>
        <v>1022400000000000</v>
      </c>
      <c r="AK277" s="44">
        <f t="shared" si="90"/>
        <v>1014100000000000</v>
      </c>
      <c r="AL277" s="44">
        <f t="shared" si="90"/>
        <v>1003600000000000</v>
      </c>
      <c r="AM277" s="44">
        <f t="shared" si="90"/>
        <v>993000000000000</v>
      </c>
      <c r="AN277" s="44">
        <f t="shared" si="90"/>
        <v>982400000000000</v>
      </c>
      <c r="AO277" s="44">
        <f t="shared" si="90"/>
        <v>922700000000000</v>
      </c>
    </row>
    <row r="278" spans="1:41" x14ac:dyDescent="0.25">
      <c r="A278" s="41" t="s">
        <v>257</v>
      </c>
      <c r="B278" s="40" t="s">
        <v>258</v>
      </c>
      <c r="C278" s="37"/>
      <c r="D278" s="44">
        <f t="shared" si="92"/>
        <v>1070000000000000</v>
      </c>
      <c r="E278" s="44">
        <f t="shared" si="90"/>
        <v>1070000000000000</v>
      </c>
      <c r="F278" s="44">
        <f t="shared" si="90"/>
        <v>1080000000000000</v>
      </c>
      <c r="G278" s="44">
        <f t="shared" si="91"/>
        <v>1070000000000000</v>
      </c>
      <c r="H278" s="44">
        <f t="shared" si="91"/>
        <v>1070000000000000</v>
      </c>
      <c r="I278" s="44">
        <f t="shared" si="91"/>
        <v>1130000000000000</v>
      </c>
      <c r="J278" s="44">
        <f t="shared" si="91"/>
        <v>1460000000000000</v>
      </c>
      <c r="K278" s="44">
        <f t="shared" si="91"/>
        <v>1790000000000000</v>
      </c>
      <c r="L278" s="44">
        <f t="shared" si="90"/>
        <v>2120000000000000</v>
      </c>
      <c r="M278" s="44">
        <f t="shared" si="90"/>
        <v>2480000000000000</v>
      </c>
      <c r="N278" s="44">
        <f t="shared" si="90"/>
        <v>2840000000000000</v>
      </c>
      <c r="O278" s="44">
        <f t="shared" si="90"/>
        <v>3220000000000000</v>
      </c>
      <c r="P278" s="44">
        <f t="shared" si="90"/>
        <v>3610000000000000</v>
      </c>
      <c r="Q278" s="44">
        <f t="shared" si="90"/>
        <v>4000000000000000</v>
      </c>
      <c r="R278" s="44">
        <f t="shared" si="90"/>
        <v>4400000000000000</v>
      </c>
      <c r="S278" s="44">
        <f t="shared" si="90"/>
        <v>4800000000000000</v>
      </c>
      <c r="T278" s="44">
        <f t="shared" si="90"/>
        <v>5200000000000000</v>
      </c>
      <c r="U278" s="44">
        <f t="shared" si="90"/>
        <v>5610000000000000</v>
      </c>
      <c r="V278" s="44">
        <f t="shared" si="90"/>
        <v>6010000000000000</v>
      </c>
      <c r="W278" s="44">
        <f t="shared" si="90"/>
        <v>6420000000000000</v>
      </c>
      <c r="X278" s="44">
        <f t="shared" si="90"/>
        <v>6810000000000000</v>
      </c>
      <c r="Y278" s="44">
        <f t="shared" si="90"/>
        <v>7210000000000000</v>
      </c>
      <c r="Z278" s="44">
        <f t="shared" si="90"/>
        <v>7590000000000000</v>
      </c>
      <c r="AA278" s="44">
        <f t="shared" si="90"/>
        <v>7970000000000000</v>
      </c>
      <c r="AB278" s="44">
        <f t="shared" si="90"/>
        <v>8330000000000000</v>
      </c>
      <c r="AC278" s="44">
        <f t="shared" si="90"/>
        <v>8680000000000000</v>
      </c>
      <c r="AD278" s="44">
        <f t="shared" si="90"/>
        <v>9010000000000000</v>
      </c>
      <c r="AE278" s="44">
        <f t="shared" si="90"/>
        <v>9320000000000000</v>
      </c>
      <c r="AF278" s="44">
        <f t="shared" si="90"/>
        <v>9610000000000000</v>
      </c>
      <c r="AG278" s="44">
        <f t="shared" si="90"/>
        <v>9880000000000000</v>
      </c>
      <c r="AH278" s="44">
        <f t="shared" si="90"/>
        <v>1.01E+16</v>
      </c>
      <c r="AI278" s="44">
        <f t="shared" si="90"/>
        <v>1.03E+16</v>
      </c>
      <c r="AJ278" s="44">
        <f t="shared" si="90"/>
        <v>1.05E+16</v>
      </c>
      <c r="AK278" s="44">
        <f t="shared" si="90"/>
        <v>1.07E+16</v>
      </c>
      <c r="AL278" s="44">
        <f t="shared" si="90"/>
        <v>1.08E+16</v>
      </c>
      <c r="AM278" s="44">
        <f t="shared" si="90"/>
        <v>1.09E+16</v>
      </c>
      <c r="AN278" s="44">
        <f t="shared" si="90"/>
        <v>1.09E+16</v>
      </c>
      <c r="AO278" s="44">
        <f t="shared" si="90"/>
        <v>1.08E+16</v>
      </c>
    </row>
    <row r="279" spans="1:41" x14ac:dyDescent="0.25">
      <c r="A279" s="41" t="s">
        <v>262</v>
      </c>
      <c r="B279" s="40" t="s">
        <v>256</v>
      </c>
      <c r="C279" s="37"/>
      <c r="D279" s="44">
        <f t="shared" si="92"/>
        <v>4552400000000000</v>
      </c>
      <c r="E279" s="44">
        <f t="shared" si="90"/>
        <v>4657900000000000</v>
      </c>
      <c r="F279" s="44">
        <f t="shared" si="90"/>
        <v>4752400000000000</v>
      </c>
      <c r="G279" s="44">
        <f t="shared" si="91"/>
        <v>4832900000000000</v>
      </c>
      <c r="H279" s="44">
        <f t="shared" si="91"/>
        <v>4898200000000000</v>
      </c>
      <c r="I279" s="44">
        <f t="shared" si="91"/>
        <v>4951500000000000</v>
      </c>
      <c r="J279" s="44">
        <f t="shared" si="91"/>
        <v>5004800000000000</v>
      </c>
      <c r="K279" s="44">
        <f t="shared" si="91"/>
        <v>5069200000000000</v>
      </c>
      <c r="L279" s="44">
        <f t="shared" si="90"/>
        <v>5122500000000000</v>
      </c>
      <c r="M279" s="44">
        <f t="shared" si="90"/>
        <v>5173800000000000</v>
      </c>
      <c r="N279" s="44">
        <f t="shared" si="90"/>
        <v>5226100000000000</v>
      </c>
      <c r="O279" s="44">
        <f t="shared" si="90"/>
        <v>5277400000000000</v>
      </c>
      <c r="P279" s="44">
        <f t="shared" si="90"/>
        <v>5329700000000000</v>
      </c>
      <c r="Q279" s="44">
        <f t="shared" si="90"/>
        <v>5377900000000000</v>
      </c>
      <c r="R279" s="44">
        <f t="shared" si="90"/>
        <v>5390000000000000</v>
      </c>
      <c r="S279" s="44">
        <f t="shared" si="90"/>
        <v>5402100000000000</v>
      </c>
      <c r="T279" s="44">
        <f t="shared" si="90"/>
        <v>5414200000000000</v>
      </c>
      <c r="U279" s="44">
        <f t="shared" si="90"/>
        <v>5436300000000000</v>
      </c>
      <c r="V279" s="44">
        <f t="shared" si="90"/>
        <v>5437300000000000</v>
      </c>
      <c r="W279" s="44">
        <f t="shared" si="90"/>
        <v>5434300000000000</v>
      </c>
      <c r="X279" s="44">
        <f t="shared" si="90"/>
        <v>5431300000000000</v>
      </c>
      <c r="Y279" s="44">
        <f t="shared" si="90"/>
        <v>5428300000000000</v>
      </c>
      <c r="Z279" s="44">
        <f t="shared" si="90"/>
        <v>5426300000000000</v>
      </c>
      <c r="AA279" s="44">
        <f t="shared" si="90"/>
        <v>5422300000000000</v>
      </c>
      <c r="AB279" s="44">
        <f t="shared" si="90"/>
        <v>5406200000000000</v>
      </c>
      <c r="AC279" s="44">
        <f t="shared" si="90"/>
        <v>5389100000000000</v>
      </c>
      <c r="AD279" s="44">
        <f t="shared" si="90"/>
        <v>5373000000000000</v>
      </c>
      <c r="AE279" s="44">
        <f t="shared" si="90"/>
        <v>5346000000000000</v>
      </c>
      <c r="AF279" s="44">
        <f t="shared" si="90"/>
        <v>5326800000000000</v>
      </c>
      <c r="AG279" s="44">
        <f t="shared" si="90"/>
        <v>5285700000000000</v>
      </c>
      <c r="AH279" s="44">
        <f t="shared" si="90"/>
        <v>5254500000000000</v>
      </c>
      <c r="AI279" s="44">
        <f t="shared" si="90"/>
        <v>5222300000000000</v>
      </c>
      <c r="AJ279" s="44">
        <f t="shared" si="90"/>
        <v>5181100000000000</v>
      </c>
      <c r="AK279" s="44">
        <f t="shared" si="90"/>
        <v>5137900000000000</v>
      </c>
      <c r="AL279" s="44">
        <f t="shared" si="90"/>
        <v>5092700000000000</v>
      </c>
      <c r="AM279" s="44">
        <f t="shared" si="90"/>
        <v>5037400000000000</v>
      </c>
      <c r="AN279" s="44">
        <f t="shared" si="90"/>
        <v>4991200000000000</v>
      </c>
      <c r="AO279" s="44">
        <f t="shared" si="90"/>
        <v>4944900000000000</v>
      </c>
    </row>
    <row r="280" spans="1:41" x14ac:dyDescent="0.25">
      <c r="A280" s="41" t="s">
        <v>262</v>
      </c>
      <c r="B280" s="40" t="s">
        <v>39</v>
      </c>
      <c r="C280" s="37"/>
      <c r="D280" s="44">
        <f t="shared" si="92"/>
        <v>321000000000000</v>
      </c>
      <c r="E280" s="44">
        <f t="shared" si="90"/>
        <v>328000000000000</v>
      </c>
      <c r="F280" s="44">
        <f t="shared" si="90"/>
        <v>334000000000000</v>
      </c>
      <c r="G280" s="44">
        <f t="shared" si="91"/>
        <v>340000000000000</v>
      </c>
      <c r="H280" s="44">
        <f t="shared" si="91"/>
        <v>343000000000000</v>
      </c>
      <c r="I280" s="44">
        <f t="shared" si="91"/>
        <v>346000000000000</v>
      </c>
      <c r="J280" s="44">
        <f t="shared" si="91"/>
        <v>349000000000000</v>
      </c>
      <c r="K280" s="44">
        <f t="shared" si="91"/>
        <v>353000000000000</v>
      </c>
      <c r="L280" s="44">
        <f t="shared" si="90"/>
        <v>355000000000000</v>
      </c>
      <c r="M280" s="44">
        <f t="shared" si="90"/>
        <v>358000000000000</v>
      </c>
      <c r="N280" s="44">
        <f t="shared" si="90"/>
        <v>360000000000000</v>
      </c>
      <c r="O280" s="44">
        <f t="shared" si="90"/>
        <v>363000000000000</v>
      </c>
      <c r="P280" s="44">
        <f t="shared" si="90"/>
        <v>365000000000000</v>
      </c>
      <c r="Q280" s="44">
        <f t="shared" si="90"/>
        <v>366000000000000</v>
      </c>
      <c r="R280" s="44">
        <f t="shared" si="90"/>
        <v>366000000000000</v>
      </c>
      <c r="S280" s="44">
        <f t="shared" si="90"/>
        <v>366000000000000</v>
      </c>
      <c r="T280" s="44">
        <f t="shared" si="90"/>
        <v>366000000000000</v>
      </c>
      <c r="U280" s="44">
        <f t="shared" si="90"/>
        <v>366000000000000</v>
      </c>
      <c r="V280" s="44">
        <f t="shared" si="90"/>
        <v>366000000000000</v>
      </c>
      <c r="W280" s="44">
        <f t="shared" si="90"/>
        <v>364000000000000</v>
      </c>
      <c r="X280" s="44">
        <f t="shared" si="90"/>
        <v>363000000000000</v>
      </c>
      <c r="Y280" s="44">
        <f t="shared" si="90"/>
        <v>362000000000000</v>
      </c>
      <c r="Z280" s="44">
        <f t="shared" si="90"/>
        <v>360000000000000</v>
      </c>
      <c r="AA280" s="44">
        <f t="shared" si="90"/>
        <v>359000000000000</v>
      </c>
      <c r="AB280" s="44">
        <f t="shared" si="90"/>
        <v>356000000000000</v>
      </c>
      <c r="AC280" s="44">
        <f t="shared" si="90"/>
        <v>354000000000000</v>
      </c>
      <c r="AD280" s="44">
        <f t="shared" si="90"/>
        <v>351000000000000</v>
      </c>
      <c r="AE280" s="44">
        <f t="shared" si="90"/>
        <v>349000000000000</v>
      </c>
      <c r="AF280" s="44">
        <f t="shared" si="90"/>
        <v>346000000000000</v>
      </c>
      <c r="AG280" s="44">
        <f t="shared" si="90"/>
        <v>342000000000000</v>
      </c>
      <c r="AH280" s="44">
        <f t="shared" si="90"/>
        <v>338000000000000</v>
      </c>
      <c r="AI280" s="44">
        <f t="shared" si="90"/>
        <v>334000000000000</v>
      </c>
      <c r="AJ280" s="44">
        <f t="shared" si="90"/>
        <v>331000000000000</v>
      </c>
      <c r="AK280" s="44">
        <f t="shared" si="90"/>
        <v>326000000000000</v>
      </c>
      <c r="AL280" s="44">
        <f t="shared" si="90"/>
        <v>321000000000000</v>
      </c>
      <c r="AM280" s="44">
        <f t="shared" si="90"/>
        <v>316000000000000</v>
      </c>
      <c r="AN280" s="44">
        <f t="shared" si="90"/>
        <v>312000000000000</v>
      </c>
      <c r="AO280" s="44">
        <f t="shared" si="90"/>
        <v>307000000000000</v>
      </c>
    </row>
    <row r="281" spans="1:41" x14ac:dyDescent="0.25">
      <c r="A281" s="41" t="s">
        <v>262</v>
      </c>
      <c r="B281" s="40" t="s">
        <v>22</v>
      </c>
      <c r="C281" s="37"/>
      <c r="D281" s="44">
        <f t="shared" si="92"/>
        <v>233000000000000</v>
      </c>
      <c r="E281" s="44">
        <f t="shared" si="90"/>
        <v>237000000000000</v>
      </c>
      <c r="F281" s="44">
        <f t="shared" si="90"/>
        <v>242000000000000</v>
      </c>
      <c r="G281" s="44">
        <f t="shared" si="91"/>
        <v>246000000000000</v>
      </c>
      <c r="H281" s="44">
        <f t="shared" si="91"/>
        <v>248000000000000</v>
      </c>
      <c r="I281" s="44">
        <f t="shared" si="91"/>
        <v>251000000000000</v>
      </c>
      <c r="J281" s="44">
        <f t="shared" si="91"/>
        <v>253000000000000</v>
      </c>
      <c r="K281" s="44">
        <f t="shared" si="91"/>
        <v>255000000000000</v>
      </c>
      <c r="L281" s="44">
        <f t="shared" si="90"/>
        <v>257000000000000</v>
      </c>
      <c r="M281" s="44">
        <f t="shared" si="90"/>
        <v>259000000000000</v>
      </c>
      <c r="N281" s="44">
        <f t="shared" si="90"/>
        <v>261000000000000</v>
      </c>
      <c r="O281" s="44">
        <f t="shared" si="90"/>
        <v>262000000000000</v>
      </c>
      <c r="P281" s="44">
        <f t="shared" ref="E281:AO288" si="93">SUMIFS(Q$90:Q$269,$B$90:$B$269,$A281,$C$90:$C$269,$B281)</f>
        <v>264000000000000</v>
      </c>
      <c r="Q281" s="44">
        <f t="shared" si="93"/>
        <v>265000000000000</v>
      </c>
      <c r="R281" s="44">
        <f t="shared" si="93"/>
        <v>265000000000000</v>
      </c>
      <c r="S281" s="44">
        <f t="shared" si="93"/>
        <v>265000000000000</v>
      </c>
      <c r="T281" s="44">
        <f t="shared" si="93"/>
        <v>265000000000000</v>
      </c>
      <c r="U281" s="44">
        <f t="shared" si="93"/>
        <v>265000000000000</v>
      </c>
      <c r="V281" s="44">
        <f t="shared" si="93"/>
        <v>265000000000000</v>
      </c>
      <c r="W281" s="44">
        <f t="shared" si="93"/>
        <v>264000000000000</v>
      </c>
      <c r="X281" s="44">
        <f t="shared" si="93"/>
        <v>263000000000000</v>
      </c>
      <c r="Y281" s="44">
        <f t="shared" si="93"/>
        <v>262000000000000</v>
      </c>
      <c r="Z281" s="44">
        <f t="shared" si="93"/>
        <v>261000000000000</v>
      </c>
      <c r="AA281" s="44">
        <f t="shared" si="93"/>
        <v>259000000000000</v>
      </c>
      <c r="AB281" s="44">
        <f t="shared" si="93"/>
        <v>258000000000000</v>
      </c>
      <c r="AC281" s="44">
        <f t="shared" si="93"/>
        <v>256000000000000</v>
      </c>
      <c r="AD281" s="44">
        <f t="shared" si="93"/>
        <v>254000000000000</v>
      </c>
      <c r="AE281" s="44">
        <f t="shared" si="93"/>
        <v>252000000000000</v>
      </c>
      <c r="AF281" s="44">
        <f t="shared" si="93"/>
        <v>250000000000000</v>
      </c>
      <c r="AG281" s="44">
        <f t="shared" si="93"/>
        <v>247000000000000</v>
      </c>
      <c r="AH281" s="44">
        <f t="shared" si="93"/>
        <v>245000000000000</v>
      </c>
      <c r="AI281" s="44">
        <f t="shared" si="93"/>
        <v>242000000000000</v>
      </c>
      <c r="AJ281" s="44">
        <f t="shared" si="93"/>
        <v>239000000000000</v>
      </c>
      <c r="AK281" s="44">
        <f t="shared" si="93"/>
        <v>236000000000000</v>
      </c>
      <c r="AL281" s="44">
        <f t="shared" si="93"/>
        <v>233000000000000</v>
      </c>
      <c r="AM281" s="44">
        <f t="shared" si="93"/>
        <v>229000000000000</v>
      </c>
      <c r="AN281" s="44">
        <f t="shared" si="93"/>
        <v>225000000000000</v>
      </c>
      <c r="AO281" s="44">
        <f t="shared" si="93"/>
        <v>222000000000000</v>
      </c>
    </row>
    <row r="282" spans="1:41" x14ac:dyDescent="0.25">
      <c r="A282" s="41" t="s">
        <v>262</v>
      </c>
      <c r="B282" s="40" t="s">
        <v>38</v>
      </c>
      <c r="C282" s="37"/>
      <c r="D282" s="44">
        <f t="shared" si="92"/>
        <v>1072158000000000</v>
      </c>
      <c r="E282" s="44">
        <f t="shared" si="93"/>
        <v>1094891000000000</v>
      </c>
      <c r="F282" s="44">
        <f t="shared" si="93"/>
        <v>1119624000000000</v>
      </c>
      <c r="G282" s="44">
        <f t="shared" si="91"/>
        <v>1140037000000000</v>
      </c>
      <c r="H282" s="44">
        <f t="shared" si="91"/>
        <v>1152819000000000</v>
      </c>
      <c r="I282" s="44">
        <f t="shared" si="91"/>
        <v>1167611000000000</v>
      </c>
      <c r="J282" s="44">
        <f t="shared" si="91"/>
        <v>1181193000000000</v>
      </c>
      <c r="K282" s="44">
        <f t="shared" si="91"/>
        <v>1193585000000000</v>
      </c>
      <c r="L282" s="44">
        <f t="shared" si="93"/>
        <v>1206967000000000</v>
      </c>
      <c r="M282" s="44">
        <f t="shared" si="93"/>
        <v>1218249000000000</v>
      </c>
      <c r="N282" s="44">
        <f t="shared" si="93"/>
        <v>1230631000000000</v>
      </c>
      <c r="O282" s="44">
        <f t="shared" si="93"/>
        <v>1241913000000000</v>
      </c>
      <c r="P282" s="44">
        <f t="shared" si="93"/>
        <v>1254295000000000</v>
      </c>
      <c r="Q282" s="44">
        <f t="shared" si="93"/>
        <v>1260556000000000</v>
      </c>
      <c r="R282" s="44">
        <f t="shared" si="93"/>
        <v>1263687000000000</v>
      </c>
      <c r="S282" s="44">
        <f t="shared" si="93"/>
        <v>1266818000000000</v>
      </c>
      <c r="T282" s="44">
        <f t="shared" si="93"/>
        <v>1269948000000000</v>
      </c>
      <c r="U282" s="44">
        <f t="shared" si="93"/>
        <v>1272079000000000</v>
      </c>
      <c r="V282" s="44">
        <f t="shared" si="93"/>
        <v>1273110000000000</v>
      </c>
      <c r="W282" s="44">
        <f t="shared" si="93"/>
        <v>1272210000000000</v>
      </c>
      <c r="X282" s="44">
        <f t="shared" si="93"/>
        <v>1270220000000000</v>
      </c>
      <c r="Y282" s="44">
        <f t="shared" si="93"/>
        <v>1268230000000000</v>
      </c>
      <c r="Z282" s="44">
        <f t="shared" si="93"/>
        <v>1266340000000000</v>
      </c>
      <c r="AA282" s="44">
        <f t="shared" si="93"/>
        <v>1263340000000000</v>
      </c>
      <c r="AB282" s="44">
        <f t="shared" si="93"/>
        <v>1258230000000000</v>
      </c>
      <c r="AC282" s="44">
        <f t="shared" si="93"/>
        <v>1253220000000000</v>
      </c>
      <c r="AD282" s="44">
        <f t="shared" si="93"/>
        <v>1248210000000000</v>
      </c>
      <c r="AE282" s="44">
        <f t="shared" si="93"/>
        <v>1242100000000000</v>
      </c>
      <c r="AF282" s="44">
        <f t="shared" si="93"/>
        <v>1235079000000000</v>
      </c>
      <c r="AG282" s="44">
        <f t="shared" si="93"/>
        <v>1225948000000000</v>
      </c>
      <c r="AH282" s="44">
        <f t="shared" si="93"/>
        <v>1215818000000000</v>
      </c>
      <c r="AI282" s="44">
        <f t="shared" si="93"/>
        <v>1205687000000000</v>
      </c>
      <c r="AJ282" s="44">
        <f t="shared" si="93"/>
        <v>1195556000000000</v>
      </c>
      <c r="AK282" s="44">
        <f t="shared" si="93"/>
        <v>1184315000000000</v>
      </c>
      <c r="AL282" s="44">
        <f t="shared" si="93"/>
        <v>1172164000000000</v>
      </c>
      <c r="AM282" s="44">
        <f t="shared" si="93"/>
        <v>1157913000000000</v>
      </c>
      <c r="AN282" s="44">
        <f t="shared" si="93"/>
        <v>1144762000000000</v>
      </c>
      <c r="AO282" s="44">
        <f t="shared" si="93"/>
        <v>1129510000000000</v>
      </c>
    </row>
    <row r="283" spans="1:41" x14ac:dyDescent="0.25">
      <c r="A283" s="41" t="s">
        <v>262</v>
      </c>
      <c r="B283" s="40" t="s">
        <v>258</v>
      </c>
      <c r="C283" s="37"/>
      <c r="D283" s="44">
        <f t="shared" si="92"/>
        <v>930000000000000</v>
      </c>
      <c r="E283" s="44">
        <f t="shared" si="93"/>
        <v>949000000000000</v>
      </c>
      <c r="F283" s="44">
        <f t="shared" si="93"/>
        <v>968000000000000</v>
      </c>
      <c r="G283" s="44">
        <f t="shared" si="91"/>
        <v>983000000000000</v>
      </c>
      <c r="H283" s="44">
        <f t="shared" si="91"/>
        <v>992000000000000</v>
      </c>
      <c r="I283" s="44">
        <f t="shared" si="91"/>
        <v>1000000000000000</v>
      </c>
      <c r="J283" s="44">
        <f t="shared" si="91"/>
        <v>1010000000000000</v>
      </c>
      <c r="K283" s="44">
        <f t="shared" si="91"/>
        <v>1020000000000000</v>
      </c>
      <c r="L283" s="44">
        <f t="shared" si="93"/>
        <v>1030000000000000</v>
      </c>
      <c r="M283" s="44">
        <f t="shared" si="93"/>
        <v>1040000000000000</v>
      </c>
      <c r="N283" s="44">
        <f t="shared" si="93"/>
        <v>1040000000000000</v>
      </c>
      <c r="O283" s="44">
        <f t="shared" si="93"/>
        <v>1050000000000000</v>
      </c>
      <c r="P283" s="44">
        <f t="shared" si="93"/>
        <v>1060000000000000</v>
      </c>
      <c r="Q283" s="44">
        <f t="shared" si="93"/>
        <v>1060000000000000</v>
      </c>
      <c r="R283" s="44">
        <f t="shared" si="93"/>
        <v>1060000000000000</v>
      </c>
      <c r="S283" s="44">
        <f t="shared" si="93"/>
        <v>1060000000000000</v>
      </c>
      <c r="T283" s="44">
        <f t="shared" si="93"/>
        <v>1060000000000000</v>
      </c>
      <c r="U283" s="44">
        <f t="shared" si="93"/>
        <v>1060000000000000</v>
      </c>
      <c r="V283" s="44">
        <f t="shared" si="93"/>
        <v>1060000000000000</v>
      </c>
      <c r="W283" s="44">
        <f t="shared" si="93"/>
        <v>1050000000000000</v>
      </c>
      <c r="X283" s="44">
        <f t="shared" si="93"/>
        <v>1050000000000000</v>
      </c>
      <c r="Y283" s="44">
        <f t="shared" si="93"/>
        <v>1050000000000000</v>
      </c>
      <c r="Z283" s="44">
        <f t="shared" si="93"/>
        <v>1040000000000000</v>
      </c>
      <c r="AA283" s="44">
        <f t="shared" si="93"/>
        <v>1040000000000000</v>
      </c>
      <c r="AB283" s="44">
        <f t="shared" si="93"/>
        <v>1030000000000000</v>
      </c>
      <c r="AC283" s="44">
        <f t="shared" si="93"/>
        <v>1020000000000000</v>
      </c>
      <c r="AD283" s="44">
        <f t="shared" si="93"/>
        <v>1020000000000000</v>
      </c>
      <c r="AE283" s="44">
        <f t="shared" si="93"/>
        <v>1010000000000000</v>
      </c>
      <c r="AF283" s="44">
        <f t="shared" si="93"/>
        <v>1000000000000000</v>
      </c>
      <c r="AG283" s="44">
        <f t="shared" si="93"/>
        <v>990000000000000</v>
      </c>
      <c r="AH283" s="44">
        <f t="shared" si="93"/>
        <v>979000000000000</v>
      </c>
      <c r="AI283" s="44">
        <f t="shared" si="93"/>
        <v>968000000000000</v>
      </c>
      <c r="AJ283" s="44">
        <f t="shared" si="93"/>
        <v>956000000000000</v>
      </c>
      <c r="AK283" s="44">
        <f t="shared" si="93"/>
        <v>944000000000000</v>
      </c>
      <c r="AL283" s="44">
        <f t="shared" si="93"/>
        <v>930000000000000</v>
      </c>
      <c r="AM283" s="44">
        <f t="shared" si="93"/>
        <v>916000000000000</v>
      </c>
      <c r="AN283" s="44">
        <f t="shared" si="93"/>
        <v>901000000000000</v>
      </c>
      <c r="AO283" s="44">
        <f t="shared" si="93"/>
        <v>887000000000000</v>
      </c>
    </row>
    <row r="284" spans="1:41" x14ac:dyDescent="0.25">
      <c r="A284" s="41" t="s">
        <v>263</v>
      </c>
      <c r="B284" s="40" t="s">
        <v>256</v>
      </c>
      <c r="C284" s="37"/>
      <c r="D284" s="44">
        <f t="shared" si="92"/>
        <v>1771000000000000</v>
      </c>
      <c r="E284" s="44">
        <f t="shared" si="93"/>
        <v>1679700000000000</v>
      </c>
      <c r="F284" s="44">
        <f t="shared" si="93"/>
        <v>1597700000000000</v>
      </c>
      <c r="G284" s="44">
        <f t="shared" si="91"/>
        <v>1515700000000000</v>
      </c>
      <c r="H284" s="44">
        <f t="shared" si="91"/>
        <v>1444800000000000</v>
      </c>
      <c r="I284" s="44">
        <f t="shared" si="91"/>
        <v>1370900000000000</v>
      </c>
      <c r="J284" s="44">
        <f t="shared" si="91"/>
        <v>1297000000000000</v>
      </c>
      <c r="K284" s="44">
        <f t="shared" si="91"/>
        <v>1222200000000000</v>
      </c>
      <c r="L284" s="44">
        <f t="shared" si="93"/>
        <v>1145600000000000</v>
      </c>
      <c r="M284" s="44">
        <f t="shared" si="93"/>
        <v>1061400000000000</v>
      </c>
      <c r="N284" s="44">
        <f t="shared" si="93"/>
        <v>975200000000000</v>
      </c>
      <c r="O284" s="44">
        <f t="shared" si="93"/>
        <v>890000000000000</v>
      </c>
      <c r="P284" s="44">
        <f t="shared" si="93"/>
        <v>802600000000000</v>
      </c>
      <c r="Q284" s="44">
        <f t="shared" si="93"/>
        <v>716900000000000</v>
      </c>
      <c r="R284" s="44">
        <f t="shared" si="93"/>
        <v>661000000000000</v>
      </c>
      <c r="S284" s="44">
        <f t="shared" si="93"/>
        <v>604900000000000</v>
      </c>
      <c r="T284" s="44">
        <f t="shared" si="93"/>
        <v>573100000000000</v>
      </c>
      <c r="U284" s="44">
        <f t="shared" si="93"/>
        <v>546800000000000</v>
      </c>
      <c r="V284" s="44">
        <f t="shared" si="93"/>
        <v>520400000000000</v>
      </c>
      <c r="W284" s="44">
        <f t="shared" si="93"/>
        <v>498200000000000</v>
      </c>
      <c r="X284" s="44">
        <f t="shared" si="93"/>
        <v>475700000000000</v>
      </c>
      <c r="Y284" s="44">
        <f t="shared" si="93"/>
        <v>454500000000000</v>
      </c>
      <c r="Z284" s="44">
        <f t="shared" si="93"/>
        <v>432300000000000</v>
      </c>
      <c r="AA284" s="44">
        <f t="shared" si="93"/>
        <v>411010000000000</v>
      </c>
      <c r="AB284" s="44">
        <f t="shared" si="93"/>
        <v>386140000000000</v>
      </c>
      <c r="AC284" s="44">
        <f t="shared" si="93"/>
        <v>362270000000000</v>
      </c>
      <c r="AD284" s="44">
        <f t="shared" si="93"/>
        <v>337400000000000</v>
      </c>
      <c r="AE284" s="44">
        <f t="shared" si="93"/>
        <v>313530000000000</v>
      </c>
      <c r="AF284" s="44">
        <f t="shared" si="93"/>
        <v>289770000000000</v>
      </c>
      <c r="AG284" s="44">
        <f t="shared" si="93"/>
        <v>263450000000000</v>
      </c>
      <c r="AH284" s="44">
        <f t="shared" si="93"/>
        <v>237030000000000</v>
      </c>
      <c r="AI284" s="44">
        <f t="shared" si="93"/>
        <v>210720000000000</v>
      </c>
      <c r="AJ284" s="44">
        <f t="shared" si="93"/>
        <v>184410000000000</v>
      </c>
      <c r="AK284" s="44">
        <f t="shared" si="93"/>
        <v>158210000000000</v>
      </c>
      <c r="AL284" s="44">
        <f t="shared" si="93"/>
        <v>130760000000000</v>
      </c>
      <c r="AM284" s="44">
        <f t="shared" si="93"/>
        <v>103210000000000</v>
      </c>
      <c r="AN284" s="44">
        <f t="shared" si="93"/>
        <v>75900000000000</v>
      </c>
      <c r="AO284" s="44">
        <f t="shared" si="93"/>
        <v>48760000000000</v>
      </c>
    </row>
    <row r="285" spans="1:41" x14ac:dyDescent="0.25">
      <c r="A285" s="41" t="s">
        <v>263</v>
      </c>
      <c r="B285" s="40" t="s">
        <v>39</v>
      </c>
      <c r="C285" s="37"/>
      <c r="D285" s="44">
        <f t="shared" si="92"/>
        <v>50100000000000</v>
      </c>
      <c r="E285" s="44">
        <f t="shared" si="93"/>
        <v>46600000000000</v>
      </c>
      <c r="F285" s="44">
        <f t="shared" si="93"/>
        <v>43500000000000</v>
      </c>
      <c r="G285" s="44">
        <f t="shared" si="91"/>
        <v>40200000000000</v>
      </c>
      <c r="H285" s="44">
        <f t="shared" si="91"/>
        <v>37200000000000</v>
      </c>
      <c r="I285" s="44">
        <f t="shared" si="91"/>
        <v>34100000000000</v>
      </c>
      <c r="J285" s="44">
        <f t="shared" si="91"/>
        <v>31000000000000</v>
      </c>
      <c r="K285" s="44">
        <f t="shared" si="91"/>
        <v>27700000000000</v>
      </c>
      <c r="L285" s="44">
        <f t="shared" si="93"/>
        <v>24400000000000</v>
      </c>
      <c r="M285" s="44">
        <f t="shared" si="93"/>
        <v>20700000000000</v>
      </c>
      <c r="N285" s="44">
        <f t="shared" si="93"/>
        <v>17000000000000</v>
      </c>
      <c r="O285" s="44">
        <f t="shared" si="93"/>
        <v>13200000000000</v>
      </c>
      <c r="P285" s="44">
        <f t="shared" si="93"/>
        <v>9330000000000</v>
      </c>
      <c r="Q285" s="44">
        <f t="shared" si="93"/>
        <v>5630000000000</v>
      </c>
      <c r="R285" s="44">
        <f t="shared" si="93"/>
        <v>3050000000000</v>
      </c>
      <c r="S285" s="44">
        <f t="shared" si="93"/>
        <v>479000000000</v>
      </c>
      <c r="T285" s="44">
        <f t="shared" si="93"/>
        <v>0</v>
      </c>
      <c r="U285" s="44">
        <f t="shared" si="93"/>
        <v>0</v>
      </c>
      <c r="V285" s="44">
        <f t="shared" si="93"/>
        <v>0</v>
      </c>
      <c r="W285" s="44">
        <f t="shared" si="93"/>
        <v>0</v>
      </c>
      <c r="X285" s="44">
        <f t="shared" si="93"/>
        <v>0</v>
      </c>
      <c r="Y285" s="44">
        <f t="shared" si="93"/>
        <v>0</v>
      </c>
      <c r="Z285" s="44">
        <f t="shared" si="93"/>
        <v>0</v>
      </c>
      <c r="AA285" s="44">
        <f t="shared" si="93"/>
        <v>0</v>
      </c>
      <c r="AB285" s="44">
        <f t="shared" si="93"/>
        <v>0</v>
      </c>
      <c r="AC285" s="44">
        <f t="shared" si="93"/>
        <v>0</v>
      </c>
      <c r="AD285" s="44">
        <f t="shared" si="93"/>
        <v>0</v>
      </c>
      <c r="AE285" s="44">
        <f t="shared" si="93"/>
        <v>0</v>
      </c>
      <c r="AF285" s="44">
        <f t="shared" si="93"/>
        <v>0</v>
      </c>
      <c r="AG285" s="44">
        <f t="shared" si="93"/>
        <v>0</v>
      </c>
      <c r="AH285" s="44">
        <f t="shared" si="93"/>
        <v>0</v>
      </c>
      <c r="AI285" s="44">
        <f t="shared" si="93"/>
        <v>0</v>
      </c>
      <c r="AJ285" s="44">
        <f t="shared" si="93"/>
        <v>0</v>
      </c>
      <c r="AK285" s="44">
        <f t="shared" si="93"/>
        <v>0</v>
      </c>
      <c r="AL285" s="44">
        <f t="shared" si="93"/>
        <v>0</v>
      </c>
      <c r="AM285" s="44">
        <f t="shared" si="93"/>
        <v>0</v>
      </c>
      <c r="AN285" s="44">
        <f t="shared" si="93"/>
        <v>0</v>
      </c>
      <c r="AO285" s="44">
        <f t="shared" si="93"/>
        <v>0</v>
      </c>
    </row>
    <row r="286" spans="1:41" x14ac:dyDescent="0.25">
      <c r="A286" s="41" t="s">
        <v>263</v>
      </c>
      <c r="B286" s="40" t="s">
        <v>22</v>
      </c>
      <c r="C286" s="37"/>
      <c r="D286" s="44">
        <f t="shared" si="92"/>
        <v>202000000000000</v>
      </c>
      <c r="E286" s="44">
        <f t="shared" si="93"/>
        <v>188000000000000</v>
      </c>
      <c r="F286" s="44">
        <f t="shared" si="93"/>
        <v>175000000000000</v>
      </c>
      <c r="G286" s="44">
        <f t="shared" si="91"/>
        <v>162000000000000</v>
      </c>
      <c r="H286" s="44">
        <f t="shared" si="91"/>
        <v>150000000000000</v>
      </c>
      <c r="I286" s="44">
        <f t="shared" si="91"/>
        <v>138000000000000</v>
      </c>
      <c r="J286" s="44">
        <f t="shared" si="91"/>
        <v>125000000000000</v>
      </c>
      <c r="K286" s="44">
        <f t="shared" si="91"/>
        <v>112000000000000</v>
      </c>
      <c r="L286" s="44">
        <f t="shared" si="93"/>
        <v>98200000000000</v>
      </c>
      <c r="M286" s="44">
        <f t="shared" si="93"/>
        <v>83600000000000</v>
      </c>
      <c r="N286" s="44">
        <f t="shared" si="93"/>
        <v>68600000000000</v>
      </c>
      <c r="O286" s="44">
        <f t="shared" si="93"/>
        <v>53300000000000</v>
      </c>
      <c r="P286" s="44">
        <f t="shared" si="93"/>
        <v>37600000000000</v>
      </c>
      <c r="Q286" s="44">
        <f t="shared" si="93"/>
        <v>22700000000000</v>
      </c>
      <c r="R286" s="44">
        <f t="shared" si="93"/>
        <v>12300000000000</v>
      </c>
      <c r="S286" s="44">
        <f t="shared" si="93"/>
        <v>1930000000000</v>
      </c>
      <c r="T286" s="44">
        <f t="shared" si="93"/>
        <v>0</v>
      </c>
      <c r="U286" s="44">
        <f t="shared" si="93"/>
        <v>0</v>
      </c>
      <c r="V286" s="44">
        <f t="shared" si="93"/>
        <v>0</v>
      </c>
      <c r="W286" s="44">
        <f t="shared" si="93"/>
        <v>0</v>
      </c>
      <c r="X286" s="44">
        <f t="shared" si="93"/>
        <v>0</v>
      </c>
      <c r="Y286" s="44">
        <f t="shared" si="93"/>
        <v>0</v>
      </c>
      <c r="Z286" s="44">
        <f t="shared" si="93"/>
        <v>0</v>
      </c>
      <c r="AA286" s="44">
        <f t="shared" si="93"/>
        <v>0</v>
      </c>
      <c r="AB286" s="44">
        <f t="shared" si="93"/>
        <v>0</v>
      </c>
      <c r="AC286" s="44">
        <f t="shared" si="93"/>
        <v>0</v>
      </c>
      <c r="AD286" s="44">
        <f t="shared" si="93"/>
        <v>0</v>
      </c>
      <c r="AE286" s="44">
        <f t="shared" si="93"/>
        <v>0</v>
      </c>
      <c r="AF286" s="44">
        <f t="shared" si="93"/>
        <v>0</v>
      </c>
      <c r="AG286" s="44">
        <f t="shared" si="93"/>
        <v>0</v>
      </c>
      <c r="AH286" s="44">
        <f t="shared" si="93"/>
        <v>0</v>
      </c>
      <c r="AI286" s="44">
        <f t="shared" si="93"/>
        <v>0</v>
      </c>
      <c r="AJ286" s="44">
        <f t="shared" si="93"/>
        <v>0</v>
      </c>
      <c r="AK286" s="44">
        <f t="shared" si="93"/>
        <v>0</v>
      </c>
      <c r="AL286" s="44">
        <f t="shared" si="93"/>
        <v>0</v>
      </c>
      <c r="AM286" s="44">
        <f t="shared" si="93"/>
        <v>0</v>
      </c>
      <c r="AN286" s="44">
        <f t="shared" si="93"/>
        <v>0</v>
      </c>
      <c r="AO286" s="44">
        <f t="shared" si="93"/>
        <v>0</v>
      </c>
    </row>
    <row r="287" spans="1:41" x14ac:dyDescent="0.25">
      <c r="A287" s="41" t="s">
        <v>263</v>
      </c>
      <c r="B287" s="40" t="s">
        <v>38</v>
      </c>
      <c r="C287" s="37"/>
      <c r="D287" s="44">
        <f t="shared" si="92"/>
        <v>942529000000000</v>
      </c>
      <c r="E287" s="44">
        <f t="shared" si="93"/>
        <v>888866000000000</v>
      </c>
      <c r="F287" s="44">
        <f t="shared" si="93"/>
        <v>841588000000000</v>
      </c>
      <c r="G287" s="44">
        <f t="shared" si="91"/>
        <v>794289000000000</v>
      </c>
      <c r="H287" s="44">
        <f t="shared" si="91"/>
        <v>751495000000000</v>
      </c>
      <c r="I287" s="44">
        <f t="shared" si="91"/>
        <v>708582000000000</v>
      </c>
      <c r="J287" s="44">
        <f t="shared" si="91"/>
        <v>662678000000000</v>
      </c>
      <c r="K287" s="44">
        <f t="shared" si="91"/>
        <v>618774000000000</v>
      </c>
      <c r="L287" s="44">
        <f t="shared" si="93"/>
        <v>572760000000000</v>
      </c>
      <c r="M287" s="44">
        <f t="shared" si="93"/>
        <v>521703000000000</v>
      </c>
      <c r="N287" s="44">
        <f t="shared" si="93"/>
        <v>470546000000000</v>
      </c>
      <c r="O287" s="44">
        <f t="shared" si="93"/>
        <v>417379000000000</v>
      </c>
      <c r="P287" s="44">
        <f t="shared" si="93"/>
        <v>364721000000000</v>
      </c>
      <c r="Q287" s="44">
        <f t="shared" si="93"/>
        <v>313254000000000</v>
      </c>
      <c r="R287" s="44">
        <f t="shared" si="93"/>
        <v>278667000000000</v>
      </c>
      <c r="S287" s="44">
        <f t="shared" si="93"/>
        <v>244321000000000</v>
      </c>
      <c r="T287" s="44">
        <f t="shared" si="93"/>
        <v>229404000000000</v>
      </c>
      <c r="U287" s="44">
        <f t="shared" si="93"/>
        <v>218907000000000</v>
      </c>
      <c r="V287" s="44">
        <f t="shared" si="93"/>
        <v>208030000000000</v>
      </c>
      <c r="W287" s="44">
        <f t="shared" si="93"/>
        <v>199186000000000</v>
      </c>
      <c r="X287" s="44">
        <f t="shared" si="93"/>
        <v>190452000000000</v>
      </c>
      <c r="Y287" s="44">
        <f t="shared" si="93"/>
        <v>181709000000000</v>
      </c>
      <c r="Z287" s="44">
        <f t="shared" si="93"/>
        <v>172975000000000</v>
      </c>
      <c r="AA287" s="44">
        <f t="shared" si="93"/>
        <v>164241000000000</v>
      </c>
      <c r="AB287" s="44">
        <f t="shared" si="93"/>
        <v>154475000000000</v>
      </c>
      <c r="AC287" s="44">
        <f t="shared" si="93"/>
        <v>144720000000000</v>
      </c>
      <c r="AD287" s="44">
        <f t="shared" si="93"/>
        <v>135044000000000</v>
      </c>
      <c r="AE287" s="44">
        <f t="shared" si="93"/>
        <v>125389000000000</v>
      </c>
      <c r="AF287" s="44">
        <f t="shared" si="93"/>
        <v>115734000000000</v>
      </c>
      <c r="AG287" s="44">
        <f t="shared" si="93"/>
        <v>105247000000000</v>
      </c>
      <c r="AH287" s="44">
        <f t="shared" si="93"/>
        <v>94580000000000</v>
      </c>
      <c r="AI287" s="44">
        <f t="shared" si="93"/>
        <v>84149000000000</v>
      </c>
      <c r="AJ287" s="44">
        <f t="shared" si="93"/>
        <v>73730000000000</v>
      </c>
      <c r="AK287" s="44">
        <f t="shared" si="93"/>
        <v>63425000000000</v>
      </c>
      <c r="AL287" s="44">
        <f t="shared" si="93"/>
        <v>52214000000000</v>
      </c>
      <c r="AM287" s="44">
        <f t="shared" si="93"/>
        <v>41326500000000</v>
      </c>
      <c r="AN287" s="44">
        <f t="shared" si="93"/>
        <v>30341200000000</v>
      </c>
      <c r="AO287" s="44">
        <f t="shared" si="93"/>
        <v>19518000000000</v>
      </c>
    </row>
    <row r="288" spans="1:41" x14ac:dyDescent="0.25">
      <c r="A288" s="41" t="s">
        <v>263</v>
      </c>
      <c r="B288" s="40" t="s">
        <v>258</v>
      </c>
      <c r="C288" s="37"/>
      <c r="D288" s="44">
        <f t="shared" si="92"/>
        <v>807000000000000</v>
      </c>
      <c r="E288" s="44">
        <f t="shared" si="93"/>
        <v>752000000000000</v>
      </c>
      <c r="F288" s="44">
        <f t="shared" si="93"/>
        <v>701000000000000</v>
      </c>
      <c r="G288" s="44">
        <f t="shared" si="91"/>
        <v>648000000000000</v>
      </c>
      <c r="H288" s="44">
        <f t="shared" si="91"/>
        <v>600000000000000</v>
      </c>
      <c r="I288" s="44">
        <f t="shared" si="91"/>
        <v>550000000000000</v>
      </c>
      <c r="J288" s="44">
        <f t="shared" si="91"/>
        <v>499000000000000</v>
      </c>
      <c r="K288" s="44">
        <f t="shared" si="91"/>
        <v>447000000000000</v>
      </c>
      <c r="L288" s="44">
        <f t="shared" ref="L288:AO288" si="94">SUMIFS(M$90:M$269,$B$90:$B$269,$A288,$C$90:$C$269,$B288)</f>
        <v>393000000000000</v>
      </c>
      <c r="M288" s="44">
        <f t="shared" si="94"/>
        <v>334000000000000</v>
      </c>
      <c r="N288" s="44">
        <f t="shared" si="94"/>
        <v>274000000000000</v>
      </c>
      <c r="O288" s="44">
        <f t="shared" si="94"/>
        <v>213000000000000</v>
      </c>
      <c r="P288" s="44">
        <f t="shared" si="94"/>
        <v>150000000000000</v>
      </c>
      <c r="Q288" s="44">
        <f t="shared" si="94"/>
        <v>90700000000000</v>
      </c>
      <c r="R288" s="44">
        <f t="shared" si="94"/>
        <v>49200000000000</v>
      </c>
      <c r="S288" s="44">
        <f t="shared" si="94"/>
        <v>7720000000000</v>
      </c>
      <c r="T288" s="44">
        <f t="shared" si="94"/>
        <v>0</v>
      </c>
      <c r="U288" s="44">
        <f t="shared" si="94"/>
        <v>0</v>
      </c>
      <c r="V288" s="44">
        <f t="shared" si="94"/>
        <v>0</v>
      </c>
      <c r="W288" s="44">
        <f t="shared" si="94"/>
        <v>0</v>
      </c>
      <c r="X288" s="44">
        <f t="shared" si="94"/>
        <v>0</v>
      </c>
      <c r="Y288" s="44">
        <f t="shared" si="94"/>
        <v>0</v>
      </c>
      <c r="Z288" s="44">
        <f t="shared" si="94"/>
        <v>0</v>
      </c>
      <c r="AA288" s="44">
        <f t="shared" si="94"/>
        <v>0</v>
      </c>
      <c r="AB288" s="44">
        <f t="shared" si="94"/>
        <v>0</v>
      </c>
      <c r="AC288" s="44">
        <f t="shared" si="94"/>
        <v>0</v>
      </c>
      <c r="AD288" s="44">
        <f t="shared" si="94"/>
        <v>0</v>
      </c>
      <c r="AE288" s="44">
        <f t="shared" si="94"/>
        <v>0</v>
      </c>
      <c r="AF288" s="44">
        <f t="shared" si="94"/>
        <v>0</v>
      </c>
      <c r="AG288" s="44">
        <f t="shared" si="94"/>
        <v>0</v>
      </c>
      <c r="AH288" s="44">
        <f t="shared" si="94"/>
        <v>0</v>
      </c>
      <c r="AI288" s="44">
        <f t="shared" si="94"/>
        <v>0</v>
      </c>
      <c r="AJ288" s="44">
        <f t="shared" si="94"/>
        <v>0</v>
      </c>
      <c r="AK288" s="44">
        <f t="shared" si="94"/>
        <v>0</v>
      </c>
      <c r="AL288" s="44">
        <f t="shared" si="94"/>
        <v>0</v>
      </c>
      <c r="AM288" s="44">
        <f t="shared" si="94"/>
        <v>0</v>
      </c>
      <c r="AN288" s="44">
        <f t="shared" si="94"/>
        <v>0</v>
      </c>
      <c r="AO288" s="44">
        <f t="shared" si="94"/>
        <v>0</v>
      </c>
    </row>
  </sheetData>
  <mergeCells count="19">
    <mergeCell ref="A3:D3"/>
    <mergeCell ref="A4:B4"/>
    <mergeCell ref="A273:B273"/>
    <mergeCell ref="E24:E28"/>
    <mergeCell ref="A20:D20"/>
    <mergeCell ref="A22:E22"/>
    <mergeCell ref="E31:E35"/>
    <mergeCell ref="A44:E44"/>
    <mergeCell ref="E46:E50"/>
    <mergeCell ref="E53:E57"/>
    <mergeCell ref="A66:E66"/>
    <mergeCell ref="M67:P67"/>
    <mergeCell ref="E68:E72"/>
    <mergeCell ref="E75:E79"/>
    <mergeCell ref="M23:P23"/>
    <mergeCell ref="H23:K23"/>
    <mergeCell ref="H45:K45"/>
    <mergeCell ref="M45:P45"/>
    <mergeCell ref="H67:K67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F380B-4F75-42AD-AAF1-28759D9E307C}">
  <dimension ref="A1:N15"/>
  <sheetViews>
    <sheetView workbookViewId="0">
      <selection activeCell="I10" sqref="I10"/>
    </sheetView>
  </sheetViews>
  <sheetFormatPr defaultRowHeight="15" x14ac:dyDescent="0.25"/>
  <cols>
    <col min="1" max="1" width="22.5" style="1" customWidth="1"/>
    <col min="2" max="4" width="17.25" style="1" customWidth="1"/>
    <col min="5" max="5" width="12.875" style="1" customWidth="1"/>
    <col min="6" max="6" width="19.75" style="1" customWidth="1"/>
    <col min="7" max="9" width="19.125" style="1" customWidth="1"/>
    <col min="10" max="14" width="8.875" style="1"/>
  </cols>
  <sheetData>
    <row r="1" spans="1:9" x14ac:dyDescent="0.25">
      <c r="A1" s="54" t="s">
        <v>277</v>
      </c>
      <c r="B1" s="55" t="s">
        <v>278</v>
      </c>
      <c r="C1" s="3"/>
      <c r="D1" s="3"/>
      <c r="E1" s="3"/>
      <c r="F1" s="3" t="s">
        <v>329</v>
      </c>
      <c r="G1" s="3"/>
      <c r="H1" s="3"/>
      <c r="I1" s="3"/>
    </row>
    <row r="2" spans="1:9" x14ac:dyDescent="0.25">
      <c r="A2" s="14"/>
      <c r="B2" s="14"/>
      <c r="C2" s="14"/>
      <c r="D2" s="14"/>
      <c r="E2" s="14"/>
      <c r="F2" s="14"/>
      <c r="G2" s="14"/>
      <c r="H2" s="14"/>
      <c r="I2" s="14"/>
    </row>
    <row r="3" spans="1:9" x14ac:dyDescent="0.25">
      <c r="A3" s="113" t="s">
        <v>279</v>
      </c>
      <c r="B3" s="113"/>
      <c r="C3" s="113"/>
      <c r="D3" s="113"/>
    </row>
    <row r="4" spans="1:9" x14ac:dyDescent="0.25">
      <c r="A4" s="58" t="s">
        <v>283</v>
      </c>
      <c r="B4" s="56" t="s">
        <v>280</v>
      </c>
      <c r="C4" s="57" t="s">
        <v>281</v>
      </c>
      <c r="D4" s="56" t="s">
        <v>282</v>
      </c>
    </row>
    <row r="5" spans="1:9" x14ac:dyDescent="0.25">
      <c r="A5" s="2">
        <v>2022</v>
      </c>
      <c r="B5" s="2">
        <v>0.1</v>
      </c>
      <c r="C5" s="2">
        <v>0.4</v>
      </c>
      <c r="D5" s="2">
        <v>1.1000000000000001</v>
      </c>
    </row>
    <row r="6" spans="1:9" x14ac:dyDescent="0.25">
      <c r="A6" s="2">
        <v>2030</v>
      </c>
      <c r="B6" s="2">
        <v>0.3</v>
      </c>
      <c r="C6" s="2">
        <v>1.2</v>
      </c>
      <c r="D6" s="2">
        <v>2.4</v>
      </c>
    </row>
    <row r="7" spans="1:9" x14ac:dyDescent="0.25">
      <c r="A7" s="2">
        <v>2060</v>
      </c>
      <c r="B7" s="2">
        <v>1.2</v>
      </c>
      <c r="C7" s="2">
        <v>2.6</v>
      </c>
      <c r="D7" s="2">
        <v>3.3</v>
      </c>
    </row>
    <row r="9" spans="1:9" x14ac:dyDescent="0.25">
      <c r="A9" s="113" t="s">
        <v>284</v>
      </c>
      <c r="B9" s="108"/>
      <c r="C9" s="108"/>
      <c r="D9" s="108"/>
    </row>
    <row r="10" spans="1:9" x14ac:dyDescent="0.25">
      <c r="A10" s="58" t="s">
        <v>283</v>
      </c>
      <c r="B10" s="56" t="s">
        <v>280</v>
      </c>
      <c r="C10" s="57" t="s">
        <v>281</v>
      </c>
      <c r="D10" s="56" t="s">
        <v>282</v>
      </c>
    </row>
    <row r="11" spans="1:9" x14ac:dyDescent="0.25">
      <c r="A11" s="2">
        <v>2022</v>
      </c>
      <c r="B11" s="60">
        <v>0.1</v>
      </c>
      <c r="C11" s="60">
        <v>0.4</v>
      </c>
      <c r="D11" s="60">
        <v>1.1000000000000001</v>
      </c>
    </row>
    <row r="12" spans="1:9" x14ac:dyDescent="0.25">
      <c r="A12" s="2">
        <v>2030</v>
      </c>
      <c r="B12" s="60">
        <v>0.3</v>
      </c>
      <c r="C12" s="60">
        <v>3</v>
      </c>
      <c r="D12" s="60">
        <v>3</v>
      </c>
    </row>
    <row r="13" spans="1:9" x14ac:dyDescent="0.25">
      <c r="A13" s="2">
        <v>2060</v>
      </c>
      <c r="B13" s="60">
        <v>2</v>
      </c>
      <c r="C13" s="59">
        <v>20</v>
      </c>
      <c r="D13" s="60">
        <v>6</v>
      </c>
    </row>
    <row r="15" spans="1:9" x14ac:dyDescent="0.25">
      <c r="A15" s="33" t="s">
        <v>286</v>
      </c>
      <c r="B15" s="61" t="s">
        <v>285</v>
      </c>
    </row>
  </sheetData>
  <mergeCells count="2">
    <mergeCell ref="A3:D3"/>
    <mergeCell ref="A9:D9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50DD1-7DB2-4EB3-9FF8-0DE4E6125F3F}">
  <dimension ref="A1:L41"/>
  <sheetViews>
    <sheetView tabSelected="1" topLeftCell="A6" workbookViewId="0">
      <selection activeCell="K31" sqref="K31"/>
    </sheetView>
  </sheetViews>
  <sheetFormatPr defaultRowHeight="14.25" x14ac:dyDescent="0.2"/>
  <cols>
    <col min="1" max="3" width="20.25" customWidth="1"/>
    <col min="4" max="5" width="11.5" customWidth="1"/>
    <col min="6" max="8" width="14.125" customWidth="1"/>
    <col min="9" max="9" width="11.5" customWidth="1"/>
    <col min="10" max="10" width="12.75" customWidth="1"/>
  </cols>
  <sheetData>
    <row r="1" spans="1:12" x14ac:dyDescent="0.2">
      <c r="A1" s="54" t="s">
        <v>308</v>
      </c>
      <c r="B1" s="3" t="s">
        <v>292</v>
      </c>
      <c r="C1" s="3"/>
      <c r="D1" s="3"/>
      <c r="E1" s="3" t="s">
        <v>319</v>
      </c>
      <c r="F1" s="3"/>
      <c r="G1" s="3"/>
      <c r="H1" s="3"/>
      <c r="I1" s="3"/>
      <c r="J1" s="14"/>
      <c r="K1" s="14"/>
      <c r="L1" s="14"/>
    </row>
    <row r="3" spans="1:12" ht="15" x14ac:dyDescent="0.25">
      <c r="A3" s="116" t="s">
        <v>294</v>
      </c>
      <c r="B3" s="116"/>
      <c r="C3" s="116"/>
      <c r="F3" s="1" t="s">
        <v>25</v>
      </c>
      <c r="G3" s="1" t="s">
        <v>293</v>
      </c>
      <c r="H3" s="1"/>
    </row>
    <row r="4" spans="1:12" ht="15" x14ac:dyDescent="0.25">
      <c r="A4" s="63" t="s">
        <v>73</v>
      </c>
      <c r="B4" s="22" t="s">
        <v>288</v>
      </c>
      <c r="C4" s="22" t="s">
        <v>289</v>
      </c>
      <c r="F4" s="34" t="s">
        <v>70</v>
      </c>
      <c r="G4" s="2">
        <v>1</v>
      </c>
      <c r="H4" s="2"/>
    </row>
    <row r="5" spans="1:12" ht="15" x14ac:dyDescent="0.25">
      <c r="A5" s="22" t="s">
        <v>287</v>
      </c>
      <c r="B5" s="33">
        <v>0.13</v>
      </c>
      <c r="C5" s="33">
        <v>0.87</v>
      </c>
      <c r="F5" s="1"/>
      <c r="G5" s="1"/>
      <c r="H5" s="1"/>
    </row>
    <row r="6" spans="1:12" ht="15" x14ac:dyDescent="0.25">
      <c r="A6" s="62"/>
      <c r="B6" s="62"/>
      <c r="C6" s="62"/>
      <c r="F6" s="114" t="s">
        <v>28</v>
      </c>
      <c r="G6" s="2">
        <v>2030</v>
      </c>
      <c r="H6" s="2">
        <v>2040</v>
      </c>
      <c r="I6" s="2">
        <v>2050</v>
      </c>
      <c r="J6" s="2">
        <v>2060</v>
      </c>
    </row>
    <row r="7" spans="1:12" ht="15" x14ac:dyDescent="0.25">
      <c r="A7" s="75" t="s">
        <v>312</v>
      </c>
      <c r="B7" s="75" t="s">
        <v>313</v>
      </c>
      <c r="C7" s="75" t="s">
        <v>314</v>
      </c>
      <c r="F7" s="115"/>
      <c r="G7" s="72">
        <f>(B9-B8)/(B12-B8)</f>
        <v>0.17241379310344832</v>
      </c>
      <c r="H7" s="72">
        <f>(B10-B8)/(B12-B8)</f>
        <v>0.42528735632183906</v>
      </c>
      <c r="I7" s="77">
        <f>(B11-B8)/(B12-B8)</f>
        <v>0.77011494252873569</v>
      </c>
      <c r="J7" s="2">
        <v>1</v>
      </c>
    </row>
    <row r="8" spans="1:12" ht="15" x14ac:dyDescent="0.2">
      <c r="A8" s="75">
        <v>2020</v>
      </c>
      <c r="B8" s="76">
        <v>0.13</v>
      </c>
      <c r="C8" s="76">
        <v>0.87</v>
      </c>
    </row>
    <row r="9" spans="1:12" ht="15" x14ac:dyDescent="0.2">
      <c r="A9" s="75" t="s">
        <v>315</v>
      </c>
      <c r="B9" s="76">
        <v>0.28000000000000003</v>
      </c>
      <c r="C9" s="76">
        <v>0.72</v>
      </c>
    </row>
    <row r="10" spans="1:12" ht="15" x14ac:dyDescent="0.2">
      <c r="A10" s="75" t="s">
        <v>316</v>
      </c>
      <c r="B10" s="76">
        <v>0.5</v>
      </c>
      <c r="C10" s="76">
        <v>0.5</v>
      </c>
    </row>
    <row r="11" spans="1:12" ht="15" x14ac:dyDescent="0.2">
      <c r="A11" s="75" t="s">
        <v>317</v>
      </c>
      <c r="B11" s="76">
        <v>0.8</v>
      </c>
      <c r="C11" s="76">
        <v>0.2</v>
      </c>
    </row>
    <row r="12" spans="1:12" ht="15" x14ac:dyDescent="0.2">
      <c r="A12" s="75" t="s">
        <v>318</v>
      </c>
      <c r="B12" s="76">
        <v>1</v>
      </c>
      <c r="C12" s="76">
        <v>0</v>
      </c>
    </row>
    <row r="13" spans="1:12" ht="15" x14ac:dyDescent="0.2">
      <c r="A13" s="63" t="s">
        <v>291</v>
      </c>
      <c r="B13" s="62"/>
      <c r="C13" s="62"/>
    </row>
    <row r="16" spans="1:12" x14ac:dyDescent="0.2">
      <c r="A16" s="54" t="s">
        <v>310</v>
      </c>
      <c r="B16" s="3" t="s">
        <v>292</v>
      </c>
      <c r="C16" s="3"/>
      <c r="D16" s="3"/>
      <c r="E16" s="3" t="s">
        <v>319</v>
      </c>
      <c r="F16" s="3"/>
      <c r="G16" s="3"/>
      <c r="H16" s="3"/>
      <c r="I16" s="3"/>
    </row>
    <row r="18" spans="1:10" ht="15" x14ac:dyDescent="0.25">
      <c r="A18" s="116" t="s">
        <v>294</v>
      </c>
      <c r="B18" s="116"/>
      <c r="C18" s="116"/>
      <c r="F18" s="1" t="s">
        <v>25</v>
      </c>
      <c r="G18" s="1" t="s">
        <v>293</v>
      </c>
      <c r="H18" s="1"/>
    </row>
    <row r="19" spans="1:10" ht="15" x14ac:dyDescent="0.25">
      <c r="A19" s="63" t="s">
        <v>73</v>
      </c>
      <c r="B19" s="22" t="s">
        <v>288</v>
      </c>
      <c r="C19" s="22" t="s">
        <v>289</v>
      </c>
      <c r="F19" s="34" t="s">
        <v>70</v>
      </c>
      <c r="G19" s="2">
        <v>1</v>
      </c>
      <c r="H19" s="2"/>
    </row>
    <row r="20" spans="1:10" ht="15" x14ac:dyDescent="0.25">
      <c r="A20" s="22" t="s">
        <v>287</v>
      </c>
      <c r="B20" s="33">
        <v>0.13</v>
      </c>
      <c r="C20" s="33">
        <v>0.87</v>
      </c>
      <c r="F20" s="1"/>
      <c r="G20" s="1"/>
      <c r="H20" s="1"/>
    </row>
    <row r="21" spans="1:10" ht="15" x14ac:dyDescent="0.25">
      <c r="A21" s="62"/>
      <c r="B21" s="62"/>
      <c r="C21" s="62"/>
      <c r="F21" s="114" t="s">
        <v>28</v>
      </c>
      <c r="G21" s="2">
        <v>2030</v>
      </c>
      <c r="H21" s="2">
        <v>2040</v>
      </c>
      <c r="I21" s="2">
        <v>2050</v>
      </c>
      <c r="J21" s="2">
        <v>2060</v>
      </c>
    </row>
    <row r="22" spans="1:10" ht="15" x14ac:dyDescent="0.25">
      <c r="A22" s="75" t="s">
        <v>312</v>
      </c>
      <c r="B22" s="75" t="s">
        <v>313</v>
      </c>
      <c r="C22" s="75" t="s">
        <v>314</v>
      </c>
      <c r="F22" s="115"/>
      <c r="G22" s="72">
        <f>(B24-B23)/(B27-B23)</f>
        <v>5.7471264367816077E-2</v>
      </c>
      <c r="H22" s="72">
        <f>(B25-B23)/(B27-B23)</f>
        <v>0.42528735632183906</v>
      </c>
      <c r="I22" s="77">
        <f>(B26-B23)/(B27-B23)</f>
        <v>0.77011494252873569</v>
      </c>
      <c r="J22" s="2">
        <v>1</v>
      </c>
    </row>
    <row r="23" spans="1:10" ht="15" x14ac:dyDescent="0.2">
      <c r="A23" s="75">
        <v>2020</v>
      </c>
      <c r="B23" s="76">
        <v>0.13</v>
      </c>
      <c r="C23" s="76">
        <v>0.87</v>
      </c>
    </row>
    <row r="24" spans="1:10" ht="15" x14ac:dyDescent="0.2">
      <c r="A24" s="75" t="s">
        <v>315</v>
      </c>
      <c r="B24" s="76">
        <v>0.18</v>
      </c>
      <c r="C24" s="76">
        <v>0.82</v>
      </c>
    </row>
    <row r="25" spans="1:10" ht="15" x14ac:dyDescent="0.2">
      <c r="A25" s="75" t="s">
        <v>316</v>
      </c>
      <c r="B25" s="76">
        <v>0.5</v>
      </c>
      <c r="C25" s="76">
        <v>0.5</v>
      </c>
    </row>
    <row r="26" spans="1:10" ht="15" x14ac:dyDescent="0.2">
      <c r="A26" s="75" t="s">
        <v>317</v>
      </c>
      <c r="B26" s="76">
        <v>0.8</v>
      </c>
      <c r="C26" s="76">
        <v>0.2</v>
      </c>
    </row>
    <row r="27" spans="1:10" ht="15" x14ac:dyDescent="0.2">
      <c r="A27" s="75" t="s">
        <v>318</v>
      </c>
      <c r="B27" s="76">
        <v>1</v>
      </c>
      <c r="C27" s="76">
        <v>0</v>
      </c>
    </row>
    <row r="28" spans="1:10" ht="15" x14ac:dyDescent="0.2">
      <c r="A28" s="63" t="s">
        <v>291</v>
      </c>
      <c r="B28" s="62"/>
      <c r="C28" s="62"/>
    </row>
    <row r="31" spans="1:10" x14ac:dyDescent="0.2">
      <c r="A31" s="54" t="s">
        <v>311</v>
      </c>
      <c r="B31" s="3" t="s">
        <v>292</v>
      </c>
      <c r="C31" s="3"/>
      <c r="D31" s="3"/>
      <c r="E31" s="3" t="s">
        <v>293</v>
      </c>
      <c r="F31" s="3"/>
      <c r="G31" s="3"/>
      <c r="H31" s="3"/>
      <c r="I31" s="3"/>
    </row>
    <row r="33" spans="1:8" ht="15" x14ac:dyDescent="0.25">
      <c r="A33" s="116" t="s">
        <v>294</v>
      </c>
      <c r="B33" s="116"/>
      <c r="C33" s="116"/>
      <c r="F33" s="1" t="s">
        <v>25</v>
      </c>
      <c r="G33" s="1" t="s">
        <v>293</v>
      </c>
      <c r="H33" s="1"/>
    </row>
    <row r="34" spans="1:8" ht="15" x14ac:dyDescent="0.25">
      <c r="A34" s="63" t="s">
        <v>73</v>
      </c>
      <c r="B34" s="22" t="s">
        <v>288</v>
      </c>
      <c r="C34" s="22" t="s">
        <v>289</v>
      </c>
      <c r="F34" s="34" t="s">
        <v>70</v>
      </c>
      <c r="G34" s="2">
        <v>1</v>
      </c>
      <c r="H34" s="2"/>
    </row>
    <row r="35" spans="1:8" ht="15" x14ac:dyDescent="0.25">
      <c r="A35" s="22" t="s">
        <v>287</v>
      </c>
      <c r="B35" s="33">
        <v>0.13</v>
      </c>
      <c r="C35" s="33">
        <v>0.87</v>
      </c>
      <c r="F35" s="1"/>
      <c r="G35" s="1"/>
      <c r="H35" s="1"/>
    </row>
    <row r="36" spans="1:8" ht="15" x14ac:dyDescent="0.25">
      <c r="A36" s="62"/>
      <c r="B36" s="62"/>
      <c r="C36" s="62"/>
      <c r="F36" s="114" t="s">
        <v>28</v>
      </c>
      <c r="G36" s="2">
        <v>2030</v>
      </c>
      <c r="H36" s="2">
        <v>2040</v>
      </c>
    </row>
    <row r="37" spans="1:8" ht="15" x14ac:dyDescent="0.25">
      <c r="A37" s="63" t="s">
        <v>272</v>
      </c>
      <c r="B37" s="22" t="s">
        <v>288</v>
      </c>
      <c r="C37" s="22" t="s">
        <v>289</v>
      </c>
      <c r="F37" s="115"/>
      <c r="G37" s="72">
        <f>(B39-B38)/(B40-B38)</f>
        <v>0.42528735632183906</v>
      </c>
      <c r="H37" s="2">
        <v>1</v>
      </c>
    </row>
    <row r="38" spans="1:8" ht="15" x14ac:dyDescent="0.2">
      <c r="A38" s="22">
        <v>2020</v>
      </c>
      <c r="B38" s="76">
        <v>0.13</v>
      </c>
      <c r="C38" s="76">
        <v>0.87</v>
      </c>
    </row>
    <row r="39" spans="1:8" ht="15" x14ac:dyDescent="0.2">
      <c r="A39" s="22" t="s">
        <v>290</v>
      </c>
      <c r="B39" s="76">
        <v>0.5</v>
      </c>
      <c r="C39" s="76">
        <v>0.5</v>
      </c>
    </row>
    <row r="40" spans="1:8" ht="15" x14ac:dyDescent="0.2">
      <c r="A40" s="74" t="s">
        <v>309</v>
      </c>
      <c r="B40" s="76">
        <v>1</v>
      </c>
      <c r="C40" s="76">
        <v>0</v>
      </c>
    </row>
    <row r="41" spans="1:8" ht="15" x14ac:dyDescent="0.2">
      <c r="A41" s="63" t="s">
        <v>291</v>
      </c>
      <c r="B41" s="62"/>
      <c r="C41" s="62"/>
    </row>
  </sheetData>
  <mergeCells count="6">
    <mergeCell ref="F36:F37"/>
    <mergeCell ref="A3:C3"/>
    <mergeCell ref="F6:F7"/>
    <mergeCell ref="A18:C18"/>
    <mergeCell ref="F21:F22"/>
    <mergeCell ref="A33:C3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新建建筑能效提升</vt:lpstr>
      <vt:lpstr>既存建筑节能改造</vt:lpstr>
      <vt:lpstr>家用设施电气化</vt:lpstr>
      <vt:lpstr>分布式光伏</vt:lpstr>
      <vt:lpstr>集中供暖电气化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cjwdl</dc:creator>
  <cp:lastModifiedBy>cjwdllj@163.com</cp:lastModifiedBy>
  <dcterms:created xsi:type="dcterms:W3CDTF">2015-06-05T18:19:34Z</dcterms:created>
  <dcterms:modified xsi:type="dcterms:W3CDTF">2024-12-06T12:56:50Z</dcterms:modified>
</cp:coreProperties>
</file>