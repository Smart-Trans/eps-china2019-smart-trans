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E:\EPS in github\Github China\eps-china2022-smart-trans\Scenario Setting\2.0 自上而下\"/>
    </mc:Choice>
  </mc:AlternateContent>
  <xr:revisionPtr revIDLastSave="0" documentId="13_ncr:1_{C884C8A7-BF96-4538-A83D-9100BE76594A}" xr6:coauthVersionLast="47" xr6:coauthVersionMax="47" xr10:uidLastSave="{00000000-0000-0000-0000-000000000000}"/>
  <bookViews>
    <workbookView xWindow="-23148" yWindow="-108" windowWidth="23256" windowHeight="12456" activeTab="1" xr2:uid="{00000000-000D-0000-FFFF-FFFF00000000}"/>
  </bookViews>
  <sheets>
    <sheet name="高情景" sheetId="3" r:id="rId1"/>
    <sheet name="中情景" sheetId="4" r:id="rId2"/>
    <sheet name="低情景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" i="3" l="1"/>
  <c r="J6" i="1" l="1"/>
  <c r="J7" i="1" l="1"/>
  <c r="J10" i="3"/>
  <c r="T2" i="3"/>
  <c r="J11" i="3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F27" i="1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N27" i="4"/>
  <c r="AO27" i="4"/>
  <c r="AP27" i="4"/>
  <c r="AQ27" i="4"/>
  <c r="AR27" i="4"/>
  <c r="AS27" i="4"/>
  <c r="AT27" i="4"/>
  <c r="AU27" i="4"/>
  <c r="AV27" i="4"/>
  <c r="F27" i="4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AN27" i="3"/>
  <c r="AO27" i="3"/>
  <c r="AP27" i="3"/>
  <c r="AQ27" i="3"/>
  <c r="AR27" i="3"/>
  <c r="AS27" i="3"/>
  <c r="AT27" i="3"/>
  <c r="AU27" i="3"/>
  <c r="AV27" i="3"/>
  <c r="F27" i="3"/>
  <c r="AH35" i="4"/>
  <c r="AI35" i="4" s="1"/>
  <c r="AJ35" i="4" s="1"/>
  <c r="AK35" i="4" s="1"/>
  <c r="AL35" i="4" s="1"/>
  <c r="AM35" i="4" s="1"/>
  <c r="AN35" i="4" s="1"/>
  <c r="AO35" i="4" s="1"/>
  <c r="AP35" i="4" s="1"/>
  <c r="AQ35" i="4" s="1"/>
  <c r="AR35" i="4" s="1"/>
  <c r="AS35" i="4" s="1"/>
  <c r="AT35" i="4" s="1"/>
  <c r="AU35" i="4" s="1"/>
  <c r="V35" i="4"/>
  <c r="W35" i="4" s="1"/>
  <c r="X35" i="4" s="1"/>
  <c r="Y35" i="4" s="1"/>
  <c r="Z35" i="4" s="1"/>
  <c r="AA35" i="4" s="1"/>
  <c r="AB35" i="4" s="1"/>
  <c r="AC35" i="4" s="1"/>
  <c r="AD35" i="4" s="1"/>
  <c r="AE35" i="4" s="1"/>
  <c r="AF35" i="4" s="1"/>
  <c r="O35" i="4"/>
  <c r="P35" i="4" s="1"/>
  <c r="Q35" i="4" s="1"/>
  <c r="R35" i="4" s="1"/>
  <c r="S35" i="4" s="1"/>
  <c r="T35" i="4" s="1"/>
  <c r="N35" i="4"/>
  <c r="N34" i="4"/>
  <c r="AI33" i="4"/>
  <c r="AJ33" i="4" s="1"/>
  <c r="AK33" i="4" s="1"/>
  <c r="AL33" i="4" s="1"/>
  <c r="AM33" i="4" s="1"/>
  <c r="AN33" i="4" s="1"/>
  <c r="AO33" i="4" s="1"/>
  <c r="AP33" i="4" s="1"/>
  <c r="AQ33" i="4" s="1"/>
  <c r="AR33" i="4" s="1"/>
  <c r="AS33" i="4" s="1"/>
  <c r="AT33" i="4" s="1"/>
  <c r="AU33" i="4" s="1"/>
  <c r="AH33" i="4"/>
  <c r="X33" i="4"/>
  <c r="Y33" i="4" s="1"/>
  <c r="Z33" i="4" s="1"/>
  <c r="AA33" i="4" s="1"/>
  <c r="AB33" i="4" s="1"/>
  <c r="AC33" i="4" s="1"/>
  <c r="AD33" i="4" s="1"/>
  <c r="AE33" i="4" s="1"/>
  <c r="AF33" i="4" s="1"/>
  <c r="W33" i="4"/>
  <c r="O33" i="4"/>
  <c r="P33" i="4" s="1"/>
  <c r="Q33" i="4" s="1"/>
  <c r="R33" i="4" s="1"/>
  <c r="S33" i="4" s="1"/>
  <c r="T33" i="4" s="1"/>
  <c r="U33" i="4" s="1"/>
  <c r="N33" i="4"/>
  <c r="V32" i="4"/>
  <c r="W32" i="4" s="1"/>
  <c r="X32" i="4" s="1"/>
  <c r="Y32" i="4" s="1"/>
  <c r="Z32" i="4" s="1"/>
  <c r="AA32" i="4" s="1"/>
  <c r="AB32" i="4" s="1"/>
  <c r="AC32" i="4" s="1"/>
  <c r="AD32" i="4" s="1"/>
  <c r="AE32" i="4" s="1"/>
  <c r="AF32" i="4" s="1"/>
  <c r="O32" i="4"/>
  <c r="P32" i="4" s="1"/>
  <c r="Q32" i="4" s="1"/>
  <c r="R32" i="4" s="1"/>
  <c r="N32" i="4"/>
  <c r="N32" i="3"/>
  <c r="O32" i="3" s="1"/>
  <c r="P32" i="3" s="1"/>
  <c r="Q32" i="3" s="1"/>
  <c r="S32" i="3"/>
  <c r="T32" i="3" s="1"/>
  <c r="U32" i="3" s="1"/>
  <c r="AD35" i="1"/>
  <c r="AE35" i="1" s="1"/>
  <c r="AF35" i="1" s="1"/>
  <c r="AG35" i="1" s="1"/>
  <c r="AH35" i="1" s="1"/>
  <c r="AI35" i="1" s="1"/>
  <c r="AJ35" i="1" s="1"/>
  <c r="AK35" i="1" s="1"/>
  <c r="AL35" i="1" s="1"/>
  <c r="AM35" i="1" s="1"/>
  <c r="AN35" i="1" s="1"/>
  <c r="AO35" i="1" s="1"/>
  <c r="AP35" i="1" s="1"/>
  <c r="AQ35" i="1" s="1"/>
  <c r="AR35" i="1" s="1"/>
  <c r="AS35" i="1" s="1"/>
  <c r="AT35" i="1" s="1"/>
  <c r="AU35" i="1" s="1"/>
  <c r="AC35" i="1"/>
  <c r="U35" i="1"/>
  <c r="T35" i="1"/>
  <c r="V35" i="1" s="1"/>
  <c r="W35" i="1" s="1"/>
  <c r="S35" i="1"/>
  <c r="O35" i="1"/>
  <c r="P35" i="1" s="1"/>
  <c r="Q35" i="1" s="1"/>
  <c r="N35" i="1"/>
  <c r="R35" i="1"/>
  <c r="AD33" i="1"/>
  <c r="AE33" i="1" s="1"/>
  <c r="AF33" i="1" s="1"/>
  <c r="AG33" i="1" s="1"/>
  <c r="AH33" i="1" s="1"/>
  <c r="AI33" i="1" s="1"/>
  <c r="AJ33" i="1" s="1"/>
  <c r="AK33" i="1" s="1"/>
  <c r="AL33" i="1" s="1"/>
  <c r="AM33" i="1" s="1"/>
  <c r="AN33" i="1" s="1"/>
  <c r="AO33" i="1" s="1"/>
  <c r="AP33" i="1" s="1"/>
  <c r="AQ33" i="1" s="1"/>
  <c r="AR33" i="1" s="1"/>
  <c r="AS33" i="1" s="1"/>
  <c r="AT33" i="1" s="1"/>
  <c r="AU33" i="1" s="1"/>
  <c r="AC33" i="1"/>
  <c r="T33" i="1"/>
  <c r="U33" i="1" s="1"/>
  <c r="V33" i="1" s="1"/>
  <c r="W33" i="1" s="1"/>
  <c r="S33" i="1"/>
  <c r="AB33" i="1"/>
  <c r="O33" i="1"/>
  <c r="P33" i="1" s="1"/>
  <c r="Q33" i="1" s="1"/>
  <c r="N33" i="1"/>
  <c r="AV38" i="1"/>
  <c r="AQ38" i="1"/>
  <c r="AL38" i="1"/>
  <c r="AG38" i="1"/>
  <c r="AB38" i="1"/>
  <c r="W38" i="1"/>
  <c r="R38" i="1"/>
  <c r="M38" i="1"/>
  <c r="J38" i="1"/>
  <c r="I38" i="1"/>
  <c r="H38" i="1"/>
  <c r="AV37" i="1"/>
  <c r="AQ37" i="1"/>
  <c r="AL37" i="1"/>
  <c r="AG37" i="1"/>
  <c r="AB37" i="1"/>
  <c r="W37" i="1"/>
  <c r="R37" i="1"/>
  <c r="M37" i="1"/>
  <c r="L37" i="1"/>
  <c r="K37" i="1"/>
  <c r="J37" i="1"/>
  <c r="I37" i="1"/>
  <c r="H37" i="1"/>
  <c r="AV36" i="1"/>
  <c r="AQ36" i="1"/>
  <c r="AL36" i="1"/>
  <c r="AG36" i="1"/>
  <c r="AB36" i="1"/>
  <c r="W36" i="1"/>
  <c r="R36" i="1"/>
  <c r="M36" i="1"/>
  <c r="J36" i="1"/>
  <c r="I36" i="1"/>
  <c r="H36" i="1"/>
  <c r="J35" i="1"/>
  <c r="K35" i="1" s="1"/>
  <c r="L35" i="1" s="1"/>
  <c r="X34" i="1"/>
  <c r="Y34" i="1" s="1"/>
  <c r="Z34" i="1" s="1"/>
  <c r="AA34" i="1" s="1"/>
  <c r="AB34" i="1" s="1"/>
  <c r="AC34" i="1" s="1"/>
  <c r="AD34" i="1" s="1"/>
  <c r="AE34" i="1" s="1"/>
  <c r="AF34" i="1" s="1"/>
  <c r="AG34" i="1" s="1"/>
  <c r="AH34" i="1" s="1"/>
  <c r="AI34" i="1" s="1"/>
  <c r="AJ34" i="1" s="1"/>
  <c r="AK34" i="1" s="1"/>
  <c r="AL34" i="1" s="1"/>
  <c r="AM34" i="1" s="1"/>
  <c r="AN34" i="1" s="1"/>
  <c r="AO34" i="1" s="1"/>
  <c r="AP34" i="1" s="1"/>
  <c r="AQ34" i="1" s="1"/>
  <c r="AR34" i="1" s="1"/>
  <c r="AS34" i="1" s="1"/>
  <c r="AT34" i="1" s="1"/>
  <c r="AU34" i="1" s="1"/>
  <c r="O34" i="1"/>
  <c r="P34" i="1" s="1"/>
  <c r="Q34" i="1" s="1"/>
  <c r="R34" i="1" s="1"/>
  <c r="S34" i="1" s="1"/>
  <c r="T34" i="1" s="1"/>
  <c r="U34" i="1" s="1"/>
  <c r="V34" i="1" s="1"/>
  <c r="N34" i="1"/>
  <c r="K34" i="1"/>
  <c r="L34" i="1" s="1"/>
  <c r="J33" i="1"/>
  <c r="K33" i="1" s="1"/>
  <c r="L33" i="1" s="1"/>
  <c r="AH32" i="1"/>
  <c r="AI32" i="1" s="1"/>
  <c r="AJ32" i="1" s="1"/>
  <c r="AK32" i="1" s="1"/>
  <c r="AL32" i="1" s="1"/>
  <c r="AM32" i="1" s="1"/>
  <c r="AN32" i="1" s="1"/>
  <c r="AO32" i="1" s="1"/>
  <c r="AP32" i="1" s="1"/>
  <c r="AQ32" i="1" s="1"/>
  <c r="AR32" i="1" s="1"/>
  <c r="AS32" i="1" s="1"/>
  <c r="AT32" i="1" s="1"/>
  <c r="AU32" i="1" s="1"/>
  <c r="X32" i="1"/>
  <c r="Y32" i="1" s="1"/>
  <c r="Z32" i="1" s="1"/>
  <c r="AA32" i="1" s="1"/>
  <c r="AB32" i="1" s="1"/>
  <c r="AC32" i="1" s="1"/>
  <c r="AD32" i="1" s="1"/>
  <c r="AE32" i="1" s="1"/>
  <c r="AF32" i="1" s="1"/>
  <c r="S32" i="1"/>
  <c r="T32" i="1" s="1"/>
  <c r="U32" i="1" s="1"/>
  <c r="V32" i="1" s="1"/>
  <c r="N32" i="1"/>
  <c r="O32" i="1" s="1"/>
  <c r="P32" i="1" s="1"/>
  <c r="Q32" i="1" s="1"/>
  <c r="K32" i="1"/>
  <c r="L32" i="1" s="1"/>
  <c r="J31" i="1"/>
  <c r="I31" i="1"/>
  <c r="H31" i="1"/>
  <c r="AV30" i="1"/>
  <c r="AQ30" i="1"/>
  <c r="AL30" i="1"/>
  <c r="AG30" i="1"/>
  <c r="AB30" i="1"/>
  <c r="W30" i="1"/>
  <c r="R30" i="1"/>
  <c r="M30" i="1"/>
  <c r="J30" i="1"/>
  <c r="I30" i="1"/>
  <c r="H30" i="1"/>
  <c r="AV29" i="1"/>
  <c r="AQ29" i="1"/>
  <c r="AL29" i="1"/>
  <c r="AG29" i="1"/>
  <c r="AB29" i="1"/>
  <c r="W29" i="1"/>
  <c r="R29" i="1"/>
  <c r="M29" i="1"/>
  <c r="J29" i="1"/>
  <c r="I29" i="1"/>
  <c r="H29" i="1"/>
  <c r="R28" i="1"/>
  <c r="M28" i="1"/>
  <c r="L28" i="1"/>
  <c r="K28" i="1"/>
  <c r="J28" i="1"/>
  <c r="I28" i="1"/>
  <c r="H28" i="1"/>
  <c r="J38" i="4"/>
  <c r="I38" i="4"/>
  <c r="H38" i="4"/>
  <c r="J37" i="4"/>
  <c r="I37" i="4"/>
  <c r="H37" i="4"/>
  <c r="J36" i="4"/>
  <c r="I36" i="4"/>
  <c r="H36" i="4"/>
  <c r="K35" i="4"/>
  <c r="L35" i="4" s="1"/>
  <c r="J35" i="4"/>
  <c r="X34" i="4"/>
  <c r="Y34" i="4" s="1"/>
  <c r="Z34" i="4" s="1"/>
  <c r="AA34" i="4" s="1"/>
  <c r="AB34" i="4" s="1"/>
  <c r="AC34" i="4" s="1"/>
  <c r="AD34" i="4" s="1"/>
  <c r="AE34" i="4" s="1"/>
  <c r="AF34" i="4" s="1"/>
  <c r="AG34" i="4" s="1"/>
  <c r="AH34" i="4" s="1"/>
  <c r="AI34" i="4" s="1"/>
  <c r="AJ34" i="4" s="1"/>
  <c r="AK34" i="4" s="1"/>
  <c r="AL34" i="4" s="1"/>
  <c r="AM34" i="4" s="1"/>
  <c r="AN34" i="4" s="1"/>
  <c r="AO34" i="4" s="1"/>
  <c r="AP34" i="4" s="1"/>
  <c r="AQ34" i="4" s="1"/>
  <c r="AR34" i="4" s="1"/>
  <c r="AS34" i="4" s="1"/>
  <c r="AT34" i="4" s="1"/>
  <c r="AU34" i="4" s="1"/>
  <c r="O34" i="4"/>
  <c r="P34" i="4" s="1"/>
  <c r="Q34" i="4" s="1"/>
  <c r="R34" i="4" s="1"/>
  <c r="S34" i="4" s="1"/>
  <c r="T34" i="4" s="1"/>
  <c r="U34" i="4" s="1"/>
  <c r="V34" i="4" s="1"/>
  <c r="K34" i="4"/>
  <c r="L34" i="4" s="1"/>
  <c r="J33" i="4"/>
  <c r="K33" i="4" s="1"/>
  <c r="L33" i="4" s="1"/>
  <c r="AH32" i="4"/>
  <c r="AI32" i="4" s="1"/>
  <c r="AJ32" i="4" s="1"/>
  <c r="AK32" i="4" s="1"/>
  <c r="AL32" i="4" s="1"/>
  <c r="AM32" i="4" s="1"/>
  <c r="AN32" i="4" s="1"/>
  <c r="AO32" i="4" s="1"/>
  <c r="AP32" i="4" s="1"/>
  <c r="AQ32" i="4" s="1"/>
  <c r="AR32" i="4" s="1"/>
  <c r="AS32" i="4" s="1"/>
  <c r="AT32" i="4" s="1"/>
  <c r="AU32" i="4" s="1"/>
  <c r="K32" i="4"/>
  <c r="L32" i="4" s="1"/>
  <c r="J31" i="4"/>
  <c r="I31" i="4"/>
  <c r="H31" i="4"/>
  <c r="J30" i="4"/>
  <c r="I30" i="4"/>
  <c r="H30" i="4"/>
  <c r="J29" i="4"/>
  <c r="I29" i="4"/>
  <c r="H29" i="4"/>
  <c r="J28" i="4"/>
  <c r="I28" i="4"/>
  <c r="H28" i="4"/>
  <c r="N33" i="3"/>
  <c r="O33" i="3" s="1"/>
  <c r="P33" i="3" s="1"/>
  <c r="Q33" i="3" s="1"/>
  <c r="R33" i="3" s="1"/>
  <c r="S33" i="3" s="1"/>
  <c r="T33" i="3" s="1"/>
  <c r="U33" i="3" s="1"/>
  <c r="V33" i="3" s="1"/>
  <c r="J33" i="3"/>
  <c r="K33" i="3" s="1"/>
  <c r="L33" i="3" s="1"/>
  <c r="X33" i="3"/>
  <c r="Y33" i="3" s="1"/>
  <c r="Z33" i="3" s="1"/>
  <c r="AA33" i="3" s="1"/>
  <c r="AB33" i="3" s="1"/>
  <c r="AC33" i="3" s="1"/>
  <c r="AD33" i="3" s="1"/>
  <c r="AE33" i="3" s="1"/>
  <c r="AF33" i="3" s="1"/>
  <c r="AH33" i="3"/>
  <c r="AI33" i="3" s="1"/>
  <c r="AJ33" i="3" s="1"/>
  <c r="AK33" i="3" s="1"/>
  <c r="AL33" i="3" s="1"/>
  <c r="AM33" i="3" s="1"/>
  <c r="AN33" i="3" s="1"/>
  <c r="AO33" i="3" s="1"/>
  <c r="AP33" i="3" s="1"/>
  <c r="AQ33" i="3" s="1"/>
  <c r="AR33" i="3" s="1"/>
  <c r="AS33" i="3" s="1"/>
  <c r="AT33" i="3" s="1"/>
  <c r="AU33" i="3" s="1"/>
  <c r="AH32" i="3"/>
  <c r="AI32" i="3" s="1"/>
  <c r="AJ32" i="3" s="1"/>
  <c r="AK32" i="3" s="1"/>
  <c r="AL32" i="3" s="1"/>
  <c r="AM32" i="3" s="1"/>
  <c r="AN32" i="3" s="1"/>
  <c r="AO32" i="3" s="1"/>
  <c r="AP32" i="3" s="1"/>
  <c r="AQ32" i="3" s="1"/>
  <c r="AR32" i="3" s="1"/>
  <c r="AS32" i="3" s="1"/>
  <c r="AT32" i="3" s="1"/>
  <c r="AU32" i="3" s="1"/>
  <c r="X35" i="3"/>
  <c r="Y35" i="3" s="1"/>
  <c r="Z35" i="3" s="1"/>
  <c r="AA35" i="3" s="1"/>
  <c r="AB35" i="3" s="1"/>
  <c r="AC35" i="3" s="1"/>
  <c r="AD35" i="3" s="1"/>
  <c r="AE35" i="3" s="1"/>
  <c r="AF35" i="3" s="1"/>
  <c r="AG35" i="3" s="1"/>
  <c r="AH35" i="3" s="1"/>
  <c r="AI35" i="3" s="1"/>
  <c r="AJ35" i="3" s="1"/>
  <c r="AK35" i="3" s="1"/>
  <c r="AL35" i="3" s="1"/>
  <c r="AM35" i="3" s="1"/>
  <c r="AN35" i="3" s="1"/>
  <c r="AO35" i="3" s="1"/>
  <c r="AP35" i="3" s="1"/>
  <c r="AQ35" i="3" s="1"/>
  <c r="AR35" i="3" s="1"/>
  <c r="AS35" i="3" s="1"/>
  <c r="AT35" i="3" s="1"/>
  <c r="AU35" i="3" s="1"/>
  <c r="N35" i="3"/>
  <c r="O35" i="3" s="1"/>
  <c r="P35" i="3" s="1"/>
  <c r="Q35" i="3" s="1"/>
  <c r="R35" i="3" s="1"/>
  <c r="S35" i="3" s="1"/>
  <c r="T35" i="3" s="1"/>
  <c r="U35" i="3" s="1"/>
  <c r="V35" i="3" s="1"/>
  <c r="J35" i="3"/>
  <c r="K35" i="3" s="1"/>
  <c r="L35" i="3" s="1"/>
  <c r="X34" i="3"/>
  <c r="Y34" i="3" s="1"/>
  <c r="Z34" i="3" s="1"/>
  <c r="AA34" i="3" s="1"/>
  <c r="AB34" i="3" s="1"/>
  <c r="AC34" i="3" s="1"/>
  <c r="AD34" i="3" s="1"/>
  <c r="AE34" i="3" s="1"/>
  <c r="AF34" i="3" s="1"/>
  <c r="AG34" i="3" s="1"/>
  <c r="AH34" i="3" s="1"/>
  <c r="AI34" i="3" s="1"/>
  <c r="AJ34" i="3" s="1"/>
  <c r="AK34" i="3" s="1"/>
  <c r="AL34" i="3" s="1"/>
  <c r="AM34" i="3" s="1"/>
  <c r="AN34" i="3" s="1"/>
  <c r="AO34" i="3" s="1"/>
  <c r="AP34" i="3" s="1"/>
  <c r="AQ34" i="3" s="1"/>
  <c r="AR34" i="3" s="1"/>
  <c r="AS34" i="3" s="1"/>
  <c r="AT34" i="3" s="1"/>
  <c r="AU34" i="3" s="1"/>
  <c r="N34" i="3"/>
  <c r="O34" i="3" s="1"/>
  <c r="P34" i="3" s="1"/>
  <c r="Q34" i="3" s="1"/>
  <c r="R34" i="3" s="1"/>
  <c r="S34" i="3" s="1"/>
  <c r="T34" i="3" s="1"/>
  <c r="U34" i="3" s="1"/>
  <c r="V34" i="3" s="1"/>
  <c r="K34" i="3"/>
  <c r="L34" i="3" s="1"/>
  <c r="X32" i="3"/>
  <c r="Y32" i="3" s="1"/>
  <c r="Z32" i="3" s="1"/>
  <c r="AA32" i="3" s="1"/>
  <c r="AB32" i="3" s="1"/>
  <c r="AC32" i="3" s="1"/>
  <c r="AD32" i="3" s="1"/>
  <c r="AE32" i="3" s="1"/>
  <c r="AF32" i="3" s="1"/>
  <c r="K32" i="3"/>
  <c r="L32" i="3" s="1"/>
  <c r="I38" i="3"/>
  <c r="J38" i="3"/>
  <c r="M38" i="3"/>
  <c r="R38" i="3"/>
  <c r="W38" i="3"/>
  <c r="AB38" i="3"/>
  <c r="AG38" i="3"/>
  <c r="AL38" i="3"/>
  <c r="AQ38" i="3"/>
  <c r="AV38" i="3"/>
  <c r="H38" i="3"/>
  <c r="I37" i="3"/>
  <c r="J37" i="3"/>
  <c r="M37" i="3"/>
  <c r="R37" i="3"/>
  <c r="W37" i="3"/>
  <c r="AB37" i="3"/>
  <c r="AG37" i="3"/>
  <c r="AL37" i="3"/>
  <c r="AQ37" i="3"/>
  <c r="AV37" i="3"/>
  <c r="H37" i="3"/>
  <c r="I36" i="3"/>
  <c r="J36" i="3"/>
  <c r="M36" i="3"/>
  <c r="R36" i="3"/>
  <c r="W36" i="3"/>
  <c r="AB36" i="3"/>
  <c r="AG36" i="3"/>
  <c r="AL36" i="3"/>
  <c r="AQ36" i="3"/>
  <c r="AV36" i="3"/>
  <c r="S32" i="4" l="1"/>
  <c r="T32" i="4" s="1"/>
  <c r="V32" i="3"/>
  <c r="X35" i="1"/>
  <c r="Y35" i="1" s="1"/>
  <c r="Z35" i="1" s="1"/>
  <c r="AA35" i="1" s="1"/>
  <c r="X33" i="1"/>
  <c r="Y33" i="1" s="1"/>
  <c r="Z33" i="1" s="1"/>
  <c r="AA33" i="1" s="1"/>
  <c r="I31" i="3"/>
  <c r="J31" i="3"/>
  <c r="M31" i="3"/>
  <c r="H31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N30" i="3"/>
  <c r="AO30" i="3"/>
  <c r="AP30" i="3"/>
  <c r="AQ30" i="3"/>
  <c r="AR30" i="3"/>
  <c r="AS30" i="3"/>
  <c r="AT30" i="3"/>
  <c r="AU30" i="3"/>
  <c r="AV30" i="3"/>
  <c r="H30" i="3"/>
  <c r="I29" i="3"/>
  <c r="J29" i="3"/>
  <c r="M29" i="3"/>
  <c r="R29" i="3"/>
  <c r="W29" i="3"/>
  <c r="AB29" i="3"/>
  <c r="AG29" i="3"/>
  <c r="AL29" i="3"/>
  <c r="AQ29" i="3"/>
  <c r="AV29" i="3"/>
  <c r="H29" i="3"/>
  <c r="I28" i="3"/>
  <c r="J28" i="3"/>
  <c r="M28" i="3"/>
  <c r="R28" i="3"/>
  <c r="H28" i="3"/>
  <c r="J3" i="4"/>
  <c r="M29" i="4" s="1"/>
  <c r="J4" i="4"/>
  <c r="M30" i="4" s="1"/>
  <c r="J9" i="4"/>
  <c r="J12" i="4"/>
  <c r="J13" i="4"/>
  <c r="J14" i="4"/>
  <c r="J15" i="4"/>
  <c r="J16" i="4"/>
  <c r="M36" i="4" s="1"/>
  <c r="J17" i="4"/>
  <c r="J18" i="4"/>
  <c r="M37" i="4" s="1"/>
  <c r="J19" i="4"/>
  <c r="M38" i="4" s="1"/>
  <c r="J20" i="4"/>
  <c r="J21" i="4"/>
  <c r="J2" i="4"/>
  <c r="M28" i="4" s="1"/>
  <c r="I21" i="4"/>
  <c r="N21" i="4"/>
  <c r="M21" i="4"/>
  <c r="K21" i="4"/>
  <c r="L21" i="4"/>
  <c r="O3" i="4"/>
  <c r="R29" i="4" s="1"/>
  <c r="O4" i="4"/>
  <c r="R30" i="4" s="1"/>
  <c r="O9" i="4"/>
  <c r="O12" i="4"/>
  <c r="O13" i="4"/>
  <c r="O14" i="4"/>
  <c r="O15" i="4"/>
  <c r="O16" i="4"/>
  <c r="R36" i="4" s="1"/>
  <c r="O17" i="4"/>
  <c r="O18" i="4"/>
  <c r="R37" i="4" s="1"/>
  <c r="O19" i="4"/>
  <c r="R38" i="4" s="1"/>
  <c r="O20" i="4"/>
  <c r="O21" i="4"/>
  <c r="O2" i="4"/>
  <c r="R28" i="4" s="1"/>
  <c r="E3" i="4"/>
  <c r="F3" i="4"/>
  <c r="G3" i="4"/>
  <c r="E4" i="4"/>
  <c r="F4" i="4"/>
  <c r="G4" i="4"/>
  <c r="E5" i="4"/>
  <c r="F5" i="4"/>
  <c r="G5" i="4"/>
  <c r="E6" i="4"/>
  <c r="F6" i="4"/>
  <c r="G6" i="4"/>
  <c r="E7" i="4"/>
  <c r="F7" i="4"/>
  <c r="G7" i="4"/>
  <c r="E8" i="4"/>
  <c r="F8" i="4"/>
  <c r="G8" i="4"/>
  <c r="E9" i="4"/>
  <c r="F9" i="4"/>
  <c r="G9" i="4"/>
  <c r="E10" i="4"/>
  <c r="F10" i="4"/>
  <c r="G10" i="4"/>
  <c r="E11" i="4"/>
  <c r="F11" i="4"/>
  <c r="G11" i="4"/>
  <c r="E12" i="4"/>
  <c r="F12" i="4"/>
  <c r="G12" i="4"/>
  <c r="E13" i="4"/>
  <c r="F13" i="4"/>
  <c r="G13" i="4"/>
  <c r="E14" i="4"/>
  <c r="F14" i="4"/>
  <c r="G14" i="4"/>
  <c r="E15" i="4"/>
  <c r="F15" i="4"/>
  <c r="G15" i="4"/>
  <c r="E16" i="4"/>
  <c r="F16" i="4"/>
  <c r="G16" i="4"/>
  <c r="E17" i="4"/>
  <c r="F17" i="4"/>
  <c r="G17" i="4"/>
  <c r="E18" i="4"/>
  <c r="F18" i="4"/>
  <c r="G18" i="4"/>
  <c r="E19" i="4"/>
  <c r="F19" i="4"/>
  <c r="G19" i="4"/>
  <c r="E20" i="4"/>
  <c r="F20" i="4"/>
  <c r="G20" i="4"/>
  <c r="E21" i="4"/>
  <c r="F21" i="4"/>
  <c r="G21" i="4"/>
  <c r="H21" i="4"/>
  <c r="F2" i="4"/>
  <c r="G2" i="4"/>
  <c r="E2" i="4"/>
  <c r="J10" i="1" l="1"/>
  <c r="J5" i="1"/>
  <c r="J8" i="1"/>
  <c r="J6" i="4"/>
  <c r="J21" i="1"/>
  <c r="J11" i="1"/>
  <c r="H16" i="1"/>
  <c r="I5" i="1"/>
  <c r="H5" i="1"/>
  <c r="M31" i="1" l="1"/>
  <c r="J10" i="4"/>
  <c r="M31" i="4" s="1"/>
  <c r="O6" i="1"/>
  <c r="T6" i="1" s="1"/>
  <c r="Y6" i="1" s="1"/>
  <c r="AD6" i="1" s="1"/>
  <c r="AI6" i="1" s="1"/>
  <c r="AN6" i="1" s="1"/>
  <c r="AS6" i="1" s="1"/>
  <c r="I16" i="1"/>
  <c r="L36" i="1" s="1"/>
  <c r="K36" i="1"/>
  <c r="T3" i="4"/>
  <c r="W29" i="4" s="1"/>
  <c r="Y3" i="4"/>
  <c r="AB29" i="4" s="1"/>
  <c r="AD3" i="4"/>
  <c r="AG29" i="4" s="1"/>
  <c r="AI3" i="4"/>
  <c r="AL29" i="4" s="1"/>
  <c r="AN3" i="4"/>
  <c r="AQ29" i="4" s="1"/>
  <c r="AS3" i="4"/>
  <c r="AV29" i="4" s="1"/>
  <c r="T4" i="4"/>
  <c r="W30" i="4" s="1"/>
  <c r="Y4" i="4"/>
  <c r="AB30" i="4" s="1"/>
  <c r="AD4" i="4"/>
  <c r="AG30" i="4" s="1"/>
  <c r="AI4" i="4"/>
  <c r="AL30" i="4" s="1"/>
  <c r="AN4" i="4"/>
  <c r="AQ30" i="4" s="1"/>
  <c r="AS4" i="4"/>
  <c r="AV30" i="4" s="1"/>
  <c r="T9" i="4"/>
  <c r="Y9" i="4"/>
  <c r="AD9" i="4"/>
  <c r="AI9" i="4"/>
  <c r="AN9" i="4"/>
  <c r="AS9" i="4"/>
  <c r="T12" i="4"/>
  <c r="Y12" i="4"/>
  <c r="AD12" i="4"/>
  <c r="AI12" i="4"/>
  <c r="AN12" i="4"/>
  <c r="AS12" i="4"/>
  <c r="T13" i="4"/>
  <c r="Y13" i="4"/>
  <c r="AD13" i="4"/>
  <c r="AI13" i="4"/>
  <c r="AN13" i="4"/>
  <c r="AS13" i="4"/>
  <c r="T14" i="4"/>
  <c r="Y14" i="4"/>
  <c r="AD14" i="4"/>
  <c r="AI14" i="4"/>
  <c r="AN14" i="4"/>
  <c r="AS14" i="4"/>
  <c r="T15" i="4"/>
  <c r="Y15" i="4"/>
  <c r="AD15" i="4"/>
  <c r="AI15" i="4"/>
  <c r="AN15" i="4"/>
  <c r="AS15" i="4"/>
  <c r="T16" i="4"/>
  <c r="W36" i="4" s="1"/>
  <c r="Y16" i="4"/>
  <c r="AB36" i="4" s="1"/>
  <c r="AD16" i="4"/>
  <c r="AG36" i="4" s="1"/>
  <c r="AI16" i="4"/>
  <c r="AL36" i="4" s="1"/>
  <c r="AN16" i="4"/>
  <c r="AQ36" i="4" s="1"/>
  <c r="AS16" i="4"/>
  <c r="AV36" i="4" s="1"/>
  <c r="T17" i="4"/>
  <c r="Y17" i="4"/>
  <c r="AD17" i="4"/>
  <c r="AI17" i="4"/>
  <c r="AN17" i="4"/>
  <c r="AS17" i="4"/>
  <c r="T18" i="4"/>
  <c r="W37" i="4" s="1"/>
  <c r="Y18" i="4"/>
  <c r="AB37" i="4" s="1"/>
  <c r="AD18" i="4"/>
  <c r="AG37" i="4" s="1"/>
  <c r="AI18" i="4"/>
  <c r="AL37" i="4" s="1"/>
  <c r="AN18" i="4"/>
  <c r="AQ37" i="4" s="1"/>
  <c r="AS18" i="4"/>
  <c r="AV37" i="4" s="1"/>
  <c r="T19" i="4"/>
  <c r="W38" i="4" s="1"/>
  <c r="Y19" i="4"/>
  <c r="AB38" i="4" s="1"/>
  <c r="AD19" i="4"/>
  <c r="AG38" i="4" s="1"/>
  <c r="AI19" i="4"/>
  <c r="AL38" i="4" s="1"/>
  <c r="AN19" i="4"/>
  <c r="AQ38" i="4" s="1"/>
  <c r="AS19" i="4"/>
  <c r="AV38" i="4" s="1"/>
  <c r="T20" i="4"/>
  <c r="Y20" i="4"/>
  <c r="AD20" i="4"/>
  <c r="AI20" i="4"/>
  <c r="AN20" i="4"/>
  <c r="AS20" i="4"/>
  <c r="O6" i="3"/>
  <c r="J6" i="3"/>
  <c r="J5" i="3"/>
  <c r="J5" i="4" s="1"/>
  <c r="H12" i="3"/>
  <c r="J11" i="4"/>
  <c r="O10" i="3"/>
  <c r="O7" i="3"/>
  <c r="O7" i="4" s="1"/>
  <c r="J7" i="3"/>
  <c r="H3" i="1"/>
  <c r="H4" i="1"/>
  <c r="I4" i="1"/>
  <c r="H6" i="1"/>
  <c r="H6" i="4" s="1"/>
  <c r="I6" i="1"/>
  <c r="I6" i="4" s="1"/>
  <c r="H9" i="1"/>
  <c r="I9" i="1" s="1"/>
  <c r="H10" i="1"/>
  <c r="H12" i="1"/>
  <c r="I12" i="1" s="1"/>
  <c r="H13" i="1"/>
  <c r="I13" i="1" s="1"/>
  <c r="H14" i="1"/>
  <c r="I14" i="1" s="1"/>
  <c r="H15" i="1"/>
  <c r="I15" i="1" s="1"/>
  <c r="H17" i="1"/>
  <c r="I17" i="1" s="1"/>
  <c r="H19" i="1"/>
  <c r="H20" i="1"/>
  <c r="H20" i="4" s="1"/>
  <c r="H21" i="1"/>
  <c r="I21" i="1" s="1"/>
  <c r="H2" i="1"/>
  <c r="I2" i="1" s="1"/>
  <c r="W28" i="3"/>
  <c r="I4" i="3"/>
  <c r="I17" i="3"/>
  <c r="I17" i="4" s="1"/>
  <c r="I21" i="3"/>
  <c r="H3" i="3"/>
  <c r="H4" i="3"/>
  <c r="H6" i="3"/>
  <c r="I6" i="3" s="1"/>
  <c r="H9" i="3"/>
  <c r="H13" i="3"/>
  <c r="H14" i="3"/>
  <c r="H15" i="3"/>
  <c r="H16" i="3"/>
  <c r="H17" i="3"/>
  <c r="H17" i="4" s="1"/>
  <c r="H18" i="3"/>
  <c r="H20" i="3"/>
  <c r="I20" i="3" s="1"/>
  <c r="H21" i="3"/>
  <c r="H2" i="3"/>
  <c r="J21" i="3"/>
  <c r="O21" i="3" s="1"/>
  <c r="AO20" i="3"/>
  <c r="AP20" i="3" s="1"/>
  <c r="AQ20" i="3" s="1"/>
  <c r="AR20" i="3" s="1"/>
  <c r="AJ20" i="3"/>
  <c r="AK20" i="3" s="1"/>
  <c r="AL20" i="3" s="1"/>
  <c r="AM20" i="3" s="1"/>
  <c r="AE20" i="3"/>
  <c r="AF20" i="3" s="1"/>
  <c r="AG20" i="3" s="1"/>
  <c r="AH20" i="3" s="1"/>
  <c r="Z20" i="3"/>
  <c r="AA20" i="3" s="1"/>
  <c r="AB20" i="3" s="1"/>
  <c r="AC20" i="3" s="1"/>
  <c r="U20" i="3"/>
  <c r="V20" i="3" s="1"/>
  <c r="W20" i="3" s="1"/>
  <c r="X20" i="3" s="1"/>
  <c r="P20" i="3"/>
  <c r="Q20" i="3" s="1"/>
  <c r="R20" i="3" s="1"/>
  <c r="S20" i="3" s="1"/>
  <c r="K20" i="3"/>
  <c r="AO19" i="3"/>
  <c r="AJ19" i="3"/>
  <c r="AM38" i="3" s="1"/>
  <c r="AE19" i="3"/>
  <c r="AH38" i="3" s="1"/>
  <c r="Z19" i="3"/>
  <c r="U19" i="3"/>
  <c r="P19" i="3"/>
  <c r="AO18" i="3"/>
  <c r="AR37" i="3" s="1"/>
  <c r="AJ18" i="3"/>
  <c r="AE18" i="3"/>
  <c r="Z18" i="3"/>
  <c r="U18" i="3"/>
  <c r="P18" i="3"/>
  <c r="K18" i="3"/>
  <c r="AO17" i="3"/>
  <c r="AP17" i="3" s="1"/>
  <c r="AQ17" i="3" s="1"/>
  <c r="AR17" i="3" s="1"/>
  <c r="AK17" i="3"/>
  <c r="AL17" i="3" s="1"/>
  <c r="AM17" i="3" s="1"/>
  <c r="AJ17" i="3"/>
  <c r="AE17" i="3"/>
  <c r="AF17" i="3" s="1"/>
  <c r="AG17" i="3" s="1"/>
  <c r="AH17" i="3" s="1"/>
  <c r="Z17" i="3"/>
  <c r="AA17" i="3" s="1"/>
  <c r="AB17" i="3" s="1"/>
  <c r="AC17" i="3" s="1"/>
  <c r="U17" i="3"/>
  <c r="V17" i="3" s="1"/>
  <c r="W17" i="3" s="1"/>
  <c r="X17" i="3" s="1"/>
  <c r="P17" i="3"/>
  <c r="Q17" i="3" s="1"/>
  <c r="R17" i="3" s="1"/>
  <c r="S17" i="3" s="1"/>
  <c r="K17" i="3"/>
  <c r="AO16" i="3"/>
  <c r="AR36" i="3" s="1"/>
  <c r="AJ16" i="3"/>
  <c r="AE16" i="3"/>
  <c r="Z16" i="3"/>
  <c r="U16" i="3"/>
  <c r="P16" i="3"/>
  <c r="K16" i="3"/>
  <c r="AO15" i="3"/>
  <c r="AP15" i="3" s="1"/>
  <c r="AQ15" i="3" s="1"/>
  <c r="AR15" i="3" s="1"/>
  <c r="AJ15" i="3"/>
  <c r="AK15" i="3" s="1"/>
  <c r="AL15" i="3" s="1"/>
  <c r="AM15" i="3" s="1"/>
  <c r="AE15" i="3"/>
  <c r="AF15" i="3" s="1"/>
  <c r="AG15" i="3" s="1"/>
  <c r="AH15" i="3" s="1"/>
  <c r="Z15" i="3"/>
  <c r="AA15" i="3" s="1"/>
  <c r="AB15" i="3" s="1"/>
  <c r="AC15" i="3" s="1"/>
  <c r="U15" i="3"/>
  <c r="V15" i="3" s="1"/>
  <c r="W15" i="3" s="1"/>
  <c r="X15" i="3" s="1"/>
  <c r="P15" i="3"/>
  <c r="Q15" i="3" s="1"/>
  <c r="R15" i="3" s="1"/>
  <c r="S15" i="3" s="1"/>
  <c r="K15" i="3"/>
  <c r="AO14" i="3"/>
  <c r="AP14" i="3" s="1"/>
  <c r="AQ14" i="3" s="1"/>
  <c r="AR14" i="3" s="1"/>
  <c r="AJ14" i="3"/>
  <c r="AK14" i="3" s="1"/>
  <c r="AL14" i="3" s="1"/>
  <c r="AM14" i="3" s="1"/>
  <c r="AE14" i="3"/>
  <c r="AF14" i="3" s="1"/>
  <c r="AG14" i="3" s="1"/>
  <c r="AH14" i="3" s="1"/>
  <c r="Z14" i="3"/>
  <c r="AA14" i="3" s="1"/>
  <c r="AB14" i="3" s="1"/>
  <c r="AC14" i="3" s="1"/>
  <c r="U14" i="3"/>
  <c r="V14" i="3" s="1"/>
  <c r="W14" i="3" s="1"/>
  <c r="X14" i="3" s="1"/>
  <c r="P14" i="3"/>
  <c r="Q14" i="3" s="1"/>
  <c r="R14" i="3" s="1"/>
  <c r="S14" i="3" s="1"/>
  <c r="K14" i="3"/>
  <c r="AO13" i="3"/>
  <c r="AP13" i="3" s="1"/>
  <c r="AQ13" i="3" s="1"/>
  <c r="AR13" i="3" s="1"/>
  <c r="AJ13" i="3"/>
  <c r="AK13" i="3" s="1"/>
  <c r="AL13" i="3" s="1"/>
  <c r="AM13" i="3" s="1"/>
  <c r="AE13" i="3"/>
  <c r="AF13" i="3" s="1"/>
  <c r="AG13" i="3" s="1"/>
  <c r="AH13" i="3" s="1"/>
  <c r="Z13" i="3"/>
  <c r="AA13" i="3" s="1"/>
  <c r="AB13" i="3" s="1"/>
  <c r="AC13" i="3" s="1"/>
  <c r="U13" i="3"/>
  <c r="V13" i="3" s="1"/>
  <c r="W13" i="3" s="1"/>
  <c r="X13" i="3" s="1"/>
  <c r="P13" i="3"/>
  <c r="Q13" i="3" s="1"/>
  <c r="R13" i="3" s="1"/>
  <c r="S13" i="3" s="1"/>
  <c r="K13" i="3"/>
  <c r="AO12" i="3"/>
  <c r="AJ12" i="3"/>
  <c r="AK12" i="3" s="1"/>
  <c r="AL12" i="3" s="1"/>
  <c r="AM12" i="3" s="1"/>
  <c r="AE12" i="3"/>
  <c r="AF12" i="3" s="1"/>
  <c r="AG12" i="3" s="1"/>
  <c r="AH12" i="3" s="1"/>
  <c r="Z12" i="3"/>
  <c r="AA12" i="3" s="1"/>
  <c r="AB12" i="3" s="1"/>
  <c r="AC12" i="3" s="1"/>
  <c r="U12" i="3"/>
  <c r="V12" i="3" s="1"/>
  <c r="W12" i="3" s="1"/>
  <c r="X12" i="3" s="1"/>
  <c r="P12" i="3"/>
  <c r="Q12" i="3" s="1"/>
  <c r="R12" i="3" s="1"/>
  <c r="S12" i="3" s="1"/>
  <c r="K12" i="3"/>
  <c r="H11" i="3"/>
  <c r="AO9" i="3"/>
  <c r="AP9" i="3" s="1"/>
  <c r="AQ9" i="3" s="1"/>
  <c r="AR9" i="3" s="1"/>
  <c r="AJ9" i="3"/>
  <c r="AK9" i="3" s="1"/>
  <c r="AL9" i="3" s="1"/>
  <c r="AM9" i="3" s="1"/>
  <c r="AE9" i="3"/>
  <c r="AF9" i="3" s="1"/>
  <c r="AG9" i="3" s="1"/>
  <c r="AH9" i="3" s="1"/>
  <c r="Z9" i="3"/>
  <c r="AA9" i="3" s="1"/>
  <c r="AB9" i="3" s="1"/>
  <c r="AC9" i="3" s="1"/>
  <c r="U9" i="3"/>
  <c r="V9" i="3" s="1"/>
  <c r="W9" i="3" s="1"/>
  <c r="X9" i="3" s="1"/>
  <c r="P9" i="3"/>
  <c r="Q9" i="3" s="1"/>
  <c r="R9" i="3" s="1"/>
  <c r="S9" i="3" s="1"/>
  <c r="K9" i="3"/>
  <c r="J8" i="3"/>
  <c r="J8" i="4" s="1"/>
  <c r="K6" i="3"/>
  <c r="AP4" i="3"/>
  <c r="AQ4" i="3" s="1"/>
  <c r="AR4" i="3" s="1"/>
  <c r="AO4" i="3"/>
  <c r="AJ4" i="3"/>
  <c r="AK4" i="3" s="1"/>
  <c r="AL4" i="3" s="1"/>
  <c r="AM4" i="3" s="1"/>
  <c r="AE4" i="3"/>
  <c r="AF4" i="3" s="1"/>
  <c r="AG4" i="3" s="1"/>
  <c r="AH4" i="3" s="1"/>
  <c r="Z4" i="3"/>
  <c r="AA4" i="3" s="1"/>
  <c r="AB4" i="3" s="1"/>
  <c r="AC4" i="3" s="1"/>
  <c r="U4" i="3"/>
  <c r="V4" i="3" s="1"/>
  <c r="W4" i="3" s="1"/>
  <c r="X4" i="3" s="1"/>
  <c r="Q4" i="3"/>
  <c r="R4" i="3" s="1"/>
  <c r="S4" i="3" s="1"/>
  <c r="P4" i="3"/>
  <c r="L4" i="3"/>
  <c r="M4" i="3" s="1"/>
  <c r="N4" i="3" s="1"/>
  <c r="K4" i="3"/>
  <c r="AO3" i="3"/>
  <c r="AJ3" i="3"/>
  <c r="AM29" i="3" s="1"/>
  <c r="AE3" i="3"/>
  <c r="Z3" i="3"/>
  <c r="U3" i="3"/>
  <c r="X29" i="3" s="1"/>
  <c r="P3" i="3"/>
  <c r="K3" i="3"/>
  <c r="O21" i="1"/>
  <c r="K21" i="1" s="1"/>
  <c r="L21" i="1" s="1"/>
  <c r="M21" i="1" s="1"/>
  <c r="N21" i="1" s="1"/>
  <c r="AO20" i="1"/>
  <c r="AP20" i="1" s="1"/>
  <c r="AJ20" i="1"/>
  <c r="AK20" i="1" s="1"/>
  <c r="AL20" i="1" s="1"/>
  <c r="AM20" i="1" s="1"/>
  <c r="AE20" i="1"/>
  <c r="Z20" i="1"/>
  <c r="AA20" i="1" s="1"/>
  <c r="AB20" i="1" s="1"/>
  <c r="AC20" i="1" s="1"/>
  <c r="U20" i="1"/>
  <c r="P20" i="1"/>
  <c r="Q20" i="1" s="1"/>
  <c r="R20" i="1" s="1"/>
  <c r="S20" i="1" s="1"/>
  <c r="K20" i="1"/>
  <c r="AO19" i="1"/>
  <c r="AR38" i="1" s="1"/>
  <c r="AJ19" i="1"/>
  <c r="AE19" i="1"/>
  <c r="AH38" i="1" s="1"/>
  <c r="Z19" i="1"/>
  <c r="U19" i="1"/>
  <c r="P19" i="1"/>
  <c r="K19" i="1"/>
  <c r="AO18" i="1"/>
  <c r="AR37" i="1" s="1"/>
  <c r="AJ18" i="1"/>
  <c r="AE18" i="1"/>
  <c r="AH37" i="1" s="1"/>
  <c r="Z18" i="1"/>
  <c r="U18" i="1"/>
  <c r="V18" i="1" s="1"/>
  <c r="Y37" i="1" s="1"/>
  <c r="P18" i="1"/>
  <c r="K18" i="1"/>
  <c r="AO17" i="1"/>
  <c r="AP17" i="1" s="1"/>
  <c r="AQ17" i="1" s="1"/>
  <c r="AR17" i="1" s="1"/>
  <c r="AJ17" i="1"/>
  <c r="AK17" i="1" s="1"/>
  <c r="AL17" i="1" s="1"/>
  <c r="AM17" i="1" s="1"/>
  <c r="AE17" i="1"/>
  <c r="AF17" i="1" s="1"/>
  <c r="AG17" i="1" s="1"/>
  <c r="AH17" i="1" s="1"/>
  <c r="Z17" i="1"/>
  <c r="AA17" i="1" s="1"/>
  <c r="AB17" i="1" s="1"/>
  <c r="AC17" i="1" s="1"/>
  <c r="U17" i="1"/>
  <c r="U17" i="4" s="1"/>
  <c r="P17" i="1"/>
  <c r="Q17" i="1" s="1"/>
  <c r="R17" i="1" s="1"/>
  <c r="S17" i="1" s="1"/>
  <c r="K17" i="1"/>
  <c r="AO16" i="1"/>
  <c r="AR36" i="1" s="1"/>
  <c r="AJ16" i="1"/>
  <c r="AE16" i="1"/>
  <c r="AH36" i="1" s="1"/>
  <c r="Z16" i="1"/>
  <c r="U16" i="1"/>
  <c r="X36" i="1" s="1"/>
  <c r="P16" i="1"/>
  <c r="K16" i="1"/>
  <c r="N36" i="1" s="1"/>
  <c r="AO15" i="1"/>
  <c r="AO15" i="4" s="1"/>
  <c r="AJ15" i="1"/>
  <c r="AK15" i="1" s="1"/>
  <c r="AL15" i="1" s="1"/>
  <c r="AM15" i="1" s="1"/>
  <c r="AM15" i="4" s="1"/>
  <c r="AE15" i="1"/>
  <c r="Z15" i="1"/>
  <c r="AA15" i="1" s="1"/>
  <c r="AB15" i="1" s="1"/>
  <c r="AC15" i="1" s="1"/>
  <c r="U15" i="1"/>
  <c r="P15" i="1"/>
  <c r="Q15" i="1" s="1"/>
  <c r="R15" i="1" s="1"/>
  <c r="S15" i="1" s="1"/>
  <c r="K15" i="1"/>
  <c r="L15" i="1" s="1"/>
  <c r="AO14" i="1"/>
  <c r="AP14" i="1" s="1"/>
  <c r="AQ14" i="1" s="1"/>
  <c r="AR14" i="1" s="1"/>
  <c r="AJ14" i="1"/>
  <c r="AK14" i="1" s="1"/>
  <c r="AL14" i="1" s="1"/>
  <c r="AM14" i="1" s="1"/>
  <c r="AE14" i="1"/>
  <c r="AF14" i="1" s="1"/>
  <c r="AG14" i="1" s="1"/>
  <c r="AH14" i="1" s="1"/>
  <c r="Z14" i="1"/>
  <c r="AA14" i="1" s="1"/>
  <c r="AB14" i="1" s="1"/>
  <c r="AC14" i="1" s="1"/>
  <c r="U14" i="1"/>
  <c r="V14" i="1" s="1"/>
  <c r="W14" i="1" s="1"/>
  <c r="X14" i="1" s="1"/>
  <c r="P14" i="1"/>
  <c r="Q14" i="1" s="1"/>
  <c r="R14" i="1" s="1"/>
  <c r="S14" i="1" s="1"/>
  <c r="K14" i="1"/>
  <c r="L14" i="1" s="1"/>
  <c r="M14" i="1" s="1"/>
  <c r="N14" i="1" s="1"/>
  <c r="AO13" i="1"/>
  <c r="AP13" i="1" s="1"/>
  <c r="AQ13" i="1" s="1"/>
  <c r="AR13" i="1" s="1"/>
  <c r="AJ13" i="1"/>
  <c r="AK13" i="1" s="1"/>
  <c r="AL13" i="1" s="1"/>
  <c r="AM13" i="1" s="1"/>
  <c r="AE13" i="1"/>
  <c r="AF13" i="1" s="1"/>
  <c r="AG13" i="1" s="1"/>
  <c r="AH13" i="1" s="1"/>
  <c r="Z13" i="1"/>
  <c r="AA13" i="1" s="1"/>
  <c r="AB13" i="1" s="1"/>
  <c r="AC13" i="1" s="1"/>
  <c r="U13" i="1"/>
  <c r="V13" i="1" s="1"/>
  <c r="W13" i="1" s="1"/>
  <c r="X13" i="1" s="1"/>
  <c r="P13" i="1"/>
  <c r="Q13" i="1" s="1"/>
  <c r="R13" i="1" s="1"/>
  <c r="S13" i="1" s="1"/>
  <c r="K13" i="1"/>
  <c r="L13" i="1" s="1"/>
  <c r="M13" i="1" s="1"/>
  <c r="N13" i="1" s="1"/>
  <c r="AO12" i="1"/>
  <c r="AP12" i="1" s="1"/>
  <c r="AQ12" i="1" s="1"/>
  <c r="AR12" i="1" s="1"/>
  <c r="AJ12" i="1"/>
  <c r="AK12" i="1" s="1"/>
  <c r="AL12" i="1" s="1"/>
  <c r="AM12" i="1" s="1"/>
  <c r="AE12" i="1"/>
  <c r="AF12" i="1" s="1"/>
  <c r="AG12" i="1" s="1"/>
  <c r="AH12" i="1" s="1"/>
  <c r="Z12" i="1"/>
  <c r="AA12" i="1" s="1"/>
  <c r="AB12" i="1" s="1"/>
  <c r="AC12" i="1" s="1"/>
  <c r="U12" i="1"/>
  <c r="P12" i="1"/>
  <c r="Q12" i="1" s="1"/>
  <c r="R12" i="1" s="1"/>
  <c r="S12" i="1" s="1"/>
  <c r="K12" i="1"/>
  <c r="L12" i="1" s="1"/>
  <c r="M12" i="1" s="1"/>
  <c r="N12" i="1" s="1"/>
  <c r="H11" i="1"/>
  <c r="AO9" i="1"/>
  <c r="AP9" i="1" s="1"/>
  <c r="AQ9" i="1" s="1"/>
  <c r="AR9" i="1" s="1"/>
  <c r="AJ9" i="1"/>
  <c r="AK9" i="1" s="1"/>
  <c r="AL9" i="1" s="1"/>
  <c r="AM9" i="1" s="1"/>
  <c r="AE9" i="1"/>
  <c r="AF9" i="1" s="1"/>
  <c r="AG9" i="1" s="1"/>
  <c r="AH9" i="1" s="1"/>
  <c r="Z9" i="1"/>
  <c r="AA9" i="1" s="1"/>
  <c r="AB9" i="1" s="1"/>
  <c r="AC9" i="1" s="1"/>
  <c r="U9" i="1"/>
  <c r="V9" i="1" s="1"/>
  <c r="W9" i="1" s="1"/>
  <c r="X9" i="1" s="1"/>
  <c r="P9" i="1"/>
  <c r="Q9" i="1" s="1"/>
  <c r="R9" i="1" s="1"/>
  <c r="S9" i="1" s="1"/>
  <c r="K9" i="1"/>
  <c r="O7" i="1"/>
  <c r="T7" i="1" s="1"/>
  <c r="Y7" i="1" s="1"/>
  <c r="AD7" i="1" s="1"/>
  <c r="O5" i="1"/>
  <c r="T5" i="1" s="1"/>
  <c r="AO4" i="1"/>
  <c r="AO4" i="4" s="1"/>
  <c r="AR30" i="4" s="1"/>
  <c r="AJ4" i="1"/>
  <c r="AJ4" i="4" s="1"/>
  <c r="AM30" i="4" s="1"/>
  <c r="AE4" i="1"/>
  <c r="AH30" i="1" s="1"/>
  <c r="Z4" i="1"/>
  <c r="U4" i="1"/>
  <c r="X30" i="1" s="1"/>
  <c r="P4" i="1"/>
  <c r="P4" i="4" s="1"/>
  <c r="S30" i="4" s="1"/>
  <c r="K4" i="1"/>
  <c r="L4" i="1" s="1"/>
  <c r="AO3" i="1"/>
  <c r="AJ3" i="1"/>
  <c r="AE3" i="1"/>
  <c r="AH29" i="1" s="1"/>
  <c r="Z3" i="1"/>
  <c r="U3" i="1"/>
  <c r="X29" i="1" s="1"/>
  <c r="P3" i="1"/>
  <c r="K3" i="1"/>
  <c r="N29" i="1" s="1"/>
  <c r="AP3" i="1" l="1"/>
  <c r="AR29" i="1"/>
  <c r="AO3" i="4"/>
  <c r="AR29" i="4" s="1"/>
  <c r="AK3" i="1"/>
  <c r="AM29" i="1"/>
  <c r="AF3" i="1"/>
  <c r="AA3" i="1"/>
  <c r="AC29" i="1"/>
  <c r="V3" i="1"/>
  <c r="W3" i="1" s="1"/>
  <c r="Y29" i="1"/>
  <c r="Q3" i="1"/>
  <c r="S29" i="1"/>
  <c r="L3" i="1"/>
  <c r="I3" i="1"/>
  <c r="L29" i="1" s="1"/>
  <c r="K29" i="1"/>
  <c r="I10" i="1"/>
  <c r="L31" i="1" s="1"/>
  <c r="K31" i="1"/>
  <c r="AB28" i="1"/>
  <c r="W28" i="1"/>
  <c r="P6" i="1"/>
  <c r="Q6" i="1" s="1"/>
  <c r="R6" i="1" s="1"/>
  <c r="S6" i="1" s="1"/>
  <c r="AO6" i="1"/>
  <c r="K6" i="1"/>
  <c r="L6" i="1" s="1"/>
  <c r="U6" i="1"/>
  <c r="V6" i="1" s="1"/>
  <c r="O6" i="4"/>
  <c r="AE6" i="1"/>
  <c r="AF6" i="1" s="1"/>
  <c r="AG6" i="1" s="1"/>
  <c r="AH6" i="1" s="1"/>
  <c r="Z6" i="1"/>
  <c r="AA6" i="1" s="1"/>
  <c r="AB6" i="1" s="1"/>
  <c r="AC6" i="1" s="1"/>
  <c r="AJ6" i="1"/>
  <c r="AK6" i="1" s="1"/>
  <c r="AL6" i="1" s="1"/>
  <c r="I20" i="1"/>
  <c r="I20" i="4" s="1"/>
  <c r="AR13" i="4"/>
  <c r="AM13" i="4"/>
  <c r="AP4" i="1"/>
  <c r="AR30" i="1"/>
  <c r="AE4" i="4"/>
  <c r="AH30" i="4" s="1"/>
  <c r="AK4" i="1"/>
  <c r="AM30" i="1"/>
  <c r="AF4" i="1"/>
  <c r="AA4" i="1"/>
  <c r="AC30" i="1"/>
  <c r="Z4" i="4"/>
  <c r="AC30" i="4" s="1"/>
  <c r="V4" i="1"/>
  <c r="U4" i="4"/>
  <c r="X30" i="4" s="1"/>
  <c r="Q4" i="1"/>
  <c r="S30" i="1"/>
  <c r="O30" i="1"/>
  <c r="L4" i="4"/>
  <c r="O30" i="4" s="1"/>
  <c r="M4" i="1"/>
  <c r="L30" i="1"/>
  <c r="I4" i="4"/>
  <c r="L30" i="4" s="1"/>
  <c r="K30" i="1"/>
  <c r="H4" i="4"/>
  <c r="K30" i="4" s="1"/>
  <c r="N30" i="1"/>
  <c r="K4" i="4"/>
  <c r="N30" i="4" s="1"/>
  <c r="AO12" i="4"/>
  <c r="AM12" i="4"/>
  <c r="AR14" i="4"/>
  <c r="AM14" i="4"/>
  <c r="AH14" i="4"/>
  <c r="AC14" i="4"/>
  <c r="X14" i="4"/>
  <c r="S14" i="4"/>
  <c r="AP19" i="1"/>
  <c r="AO19" i="4"/>
  <c r="AR38" i="4" s="1"/>
  <c r="AK19" i="1"/>
  <c r="AM38" i="1"/>
  <c r="AA19" i="1"/>
  <c r="AC38" i="1"/>
  <c r="V19" i="1"/>
  <c r="X38" i="1"/>
  <c r="U19" i="4"/>
  <c r="X38" i="4" s="1"/>
  <c r="Q19" i="1"/>
  <c r="S38" i="1"/>
  <c r="L19" i="1"/>
  <c r="N38" i="1"/>
  <c r="I19" i="1"/>
  <c r="L38" i="1" s="1"/>
  <c r="K38" i="1"/>
  <c r="AP18" i="1"/>
  <c r="AS37" i="1" s="1"/>
  <c r="AQ18" i="1"/>
  <c r="AK18" i="1"/>
  <c r="AM37" i="1"/>
  <c r="AJ18" i="4"/>
  <c r="AM37" i="4" s="1"/>
  <c r="AF18" i="1"/>
  <c r="AI37" i="1" s="1"/>
  <c r="AE18" i="4"/>
  <c r="AH37" i="4" s="1"/>
  <c r="AA18" i="1"/>
  <c r="AC37" i="1"/>
  <c r="U18" i="4"/>
  <c r="X37" i="4" s="1"/>
  <c r="X37" i="1"/>
  <c r="Q18" i="1"/>
  <c r="S37" i="1"/>
  <c r="L18" i="1"/>
  <c r="O37" i="1" s="1"/>
  <c r="N37" i="1"/>
  <c r="AR17" i="4"/>
  <c r="AJ17" i="4"/>
  <c r="AM17" i="4"/>
  <c r="AH17" i="4"/>
  <c r="AC17" i="4"/>
  <c r="AJ16" i="4"/>
  <c r="AM36" i="4" s="1"/>
  <c r="AP16" i="1"/>
  <c r="AK16" i="1"/>
  <c r="AM36" i="1"/>
  <c r="AF16" i="1"/>
  <c r="AA16" i="1"/>
  <c r="AC36" i="1"/>
  <c r="Q16" i="1"/>
  <c r="S36" i="1"/>
  <c r="AK3" i="3"/>
  <c r="AL3" i="3" s="1"/>
  <c r="AP3" i="3"/>
  <c r="AR29" i="3"/>
  <c r="AJ3" i="4"/>
  <c r="AM29" i="4" s="1"/>
  <c r="AF3" i="3"/>
  <c r="AH29" i="3"/>
  <c r="AE3" i="4"/>
  <c r="AH29" i="4" s="1"/>
  <c r="V3" i="3"/>
  <c r="V3" i="4" s="1"/>
  <c r="Y29" i="4" s="1"/>
  <c r="AA3" i="3"/>
  <c r="AC29" i="3"/>
  <c r="Z3" i="4"/>
  <c r="AC29" i="4" s="1"/>
  <c r="U3" i="4"/>
  <c r="X29" i="4" s="1"/>
  <c r="W3" i="3"/>
  <c r="Y29" i="3"/>
  <c r="Q3" i="3"/>
  <c r="S29" i="3"/>
  <c r="P3" i="4"/>
  <c r="S29" i="4" s="1"/>
  <c r="K29" i="3"/>
  <c r="H3" i="4"/>
  <c r="K29" i="4" s="1"/>
  <c r="L3" i="3"/>
  <c r="K3" i="4"/>
  <c r="N29" i="4" s="1"/>
  <c r="N29" i="3"/>
  <c r="R31" i="3"/>
  <c r="I3" i="3"/>
  <c r="I2" i="3"/>
  <c r="K28" i="3"/>
  <c r="H2" i="4"/>
  <c r="K28" i="4" s="1"/>
  <c r="T2" i="4"/>
  <c r="W28" i="4" s="1"/>
  <c r="AO20" i="4"/>
  <c r="AM20" i="4"/>
  <c r="AE20" i="4"/>
  <c r="AC20" i="4"/>
  <c r="U20" i="4"/>
  <c r="L6" i="3"/>
  <c r="K6" i="4"/>
  <c r="T6" i="3"/>
  <c r="L20" i="3"/>
  <c r="K20" i="4"/>
  <c r="S20" i="4"/>
  <c r="AQ13" i="4"/>
  <c r="AP13" i="4"/>
  <c r="AO13" i="4"/>
  <c r="AH13" i="4"/>
  <c r="AL13" i="4"/>
  <c r="AK13" i="4"/>
  <c r="AJ13" i="4"/>
  <c r="AC13" i="4"/>
  <c r="X13" i="4"/>
  <c r="P13" i="4"/>
  <c r="S13" i="4"/>
  <c r="L13" i="3"/>
  <c r="K13" i="4"/>
  <c r="I13" i="3"/>
  <c r="I13" i="4" s="1"/>
  <c r="H13" i="4"/>
  <c r="AP12" i="3"/>
  <c r="AK12" i="4"/>
  <c r="AL12" i="4"/>
  <c r="AJ12" i="4"/>
  <c r="AH12" i="4"/>
  <c r="AC12" i="4"/>
  <c r="U12" i="4"/>
  <c r="S12" i="4"/>
  <c r="I12" i="3"/>
  <c r="I12" i="4" s="1"/>
  <c r="H12" i="4"/>
  <c r="L12" i="3"/>
  <c r="K12" i="4"/>
  <c r="AP19" i="3"/>
  <c r="AR38" i="3"/>
  <c r="AK19" i="3"/>
  <c r="AL19" i="3" s="1"/>
  <c r="AE19" i="4"/>
  <c r="AH38" i="4" s="1"/>
  <c r="AF19" i="3"/>
  <c r="AA19" i="3"/>
  <c r="AC38" i="3"/>
  <c r="V19" i="3"/>
  <c r="X38" i="3"/>
  <c r="Q19" i="3"/>
  <c r="S38" i="3"/>
  <c r="H7" i="3"/>
  <c r="J7" i="4"/>
  <c r="AQ14" i="4"/>
  <c r="AP14" i="4"/>
  <c r="AO14" i="4"/>
  <c r="AL14" i="4"/>
  <c r="AJ14" i="4"/>
  <c r="AK14" i="4"/>
  <c r="Z14" i="4"/>
  <c r="AE14" i="4"/>
  <c r="AG14" i="4"/>
  <c r="AF14" i="4"/>
  <c r="V14" i="4"/>
  <c r="AB14" i="4"/>
  <c r="W14" i="4"/>
  <c r="AA14" i="4"/>
  <c r="S15" i="4"/>
  <c r="U14" i="4"/>
  <c r="R14" i="4"/>
  <c r="Q14" i="4"/>
  <c r="P14" i="4"/>
  <c r="L14" i="3"/>
  <c r="K14" i="4"/>
  <c r="I14" i="3"/>
  <c r="I14" i="4" s="1"/>
  <c r="H14" i="4"/>
  <c r="AE15" i="4"/>
  <c r="U15" i="4"/>
  <c r="AC15" i="4"/>
  <c r="L15" i="3"/>
  <c r="K15" i="4"/>
  <c r="I15" i="3"/>
  <c r="I15" i="4" s="1"/>
  <c r="H15" i="4"/>
  <c r="L9" i="3"/>
  <c r="K9" i="4"/>
  <c r="I9" i="3"/>
  <c r="I9" i="4" s="1"/>
  <c r="H9" i="4"/>
  <c r="AP18" i="3"/>
  <c r="AO18" i="4"/>
  <c r="AR37" i="4" s="1"/>
  <c r="AK18" i="3"/>
  <c r="AM37" i="3"/>
  <c r="AF18" i="3"/>
  <c r="AF18" i="4" s="1"/>
  <c r="AI37" i="4" s="1"/>
  <c r="AH37" i="3"/>
  <c r="AA18" i="3"/>
  <c r="AC37" i="3"/>
  <c r="V18" i="3"/>
  <c r="V18" i="4" s="1"/>
  <c r="Y37" i="4" s="1"/>
  <c r="X37" i="3"/>
  <c r="H5" i="3"/>
  <c r="H5" i="4" s="1"/>
  <c r="Q18" i="3"/>
  <c r="S37" i="3"/>
  <c r="L18" i="3"/>
  <c r="N37" i="3"/>
  <c r="K18" i="4"/>
  <c r="N37" i="4" s="1"/>
  <c r="O11" i="3"/>
  <c r="I11" i="3"/>
  <c r="H11" i="4"/>
  <c r="I18" i="3"/>
  <c r="K37" i="3"/>
  <c r="H18" i="4"/>
  <c r="K37" i="4" s="1"/>
  <c r="I5" i="3"/>
  <c r="I5" i="4" s="1"/>
  <c r="AQ17" i="4"/>
  <c r="AP17" i="4"/>
  <c r="AO17" i="4"/>
  <c r="AL17" i="4"/>
  <c r="AK17" i="4"/>
  <c r="AG17" i="4"/>
  <c r="AF17" i="4"/>
  <c r="AE17" i="4"/>
  <c r="Z17" i="4"/>
  <c r="AB17" i="4"/>
  <c r="AA17" i="4"/>
  <c r="S17" i="4"/>
  <c r="L17" i="3"/>
  <c r="K17" i="4"/>
  <c r="AO16" i="4"/>
  <c r="AR36" i="4" s="1"/>
  <c r="AP16" i="3"/>
  <c r="AK16" i="3"/>
  <c r="AM36" i="3"/>
  <c r="AF16" i="3"/>
  <c r="AH36" i="3"/>
  <c r="AE16" i="4"/>
  <c r="AH36" i="4" s="1"/>
  <c r="AA16" i="3"/>
  <c r="AC36" i="3"/>
  <c r="U16" i="4"/>
  <c r="X36" i="4" s="1"/>
  <c r="V16" i="3"/>
  <c r="X36" i="3"/>
  <c r="Q16" i="3"/>
  <c r="S36" i="3"/>
  <c r="N36" i="3"/>
  <c r="K16" i="4"/>
  <c r="N36" i="4" s="1"/>
  <c r="L16" i="3"/>
  <c r="H8" i="3"/>
  <c r="K36" i="3"/>
  <c r="H16" i="4"/>
  <c r="K36" i="4" s="1"/>
  <c r="I16" i="3"/>
  <c r="AP6" i="1"/>
  <c r="AQ6" i="1" s="1"/>
  <c r="AR6" i="1" s="1"/>
  <c r="M6" i="1"/>
  <c r="AF20" i="1"/>
  <c r="AF20" i="4" s="1"/>
  <c r="AQ20" i="1"/>
  <c r="AP20" i="4"/>
  <c r="AG20" i="1"/>
  <c r="AL20" i="4"/>
  <c r="AK20" i="4"/>
  <c r="AJ20" i="4"/>
  <c r="AB20" i="4"/>
  <c r="AA20" i="4"/>
  <c r="Z20" i="4"/>
  <c r="V20" i="1"/>
  <c r="R20" i="4"/>
  <c r="Q20" i="4"/>
  <c r="L20" i="1"/>
  <c r="M20" i="1" s="1"/>
  <c r="N20" i="1" s="1"/>
  <c r="P20" i="4"/>
  <c r="AG13" i="4"/>
  <c r="AF13" i="4"/>
  <c r="AE13" i="4"/>
  <c r="AB13" i="4"/>
  <c r="AA13" i="4"/>
  <c r="Z13" i="4"/>
  <c r="V13" i="4"/>
  <c r="W13" i="4"/>
  <c r="U13" i="4"/>
  <c r="AG12" i="4"/>
  <c r="AF12" i="4"/>
  <c r="AE12" i="4"/>
  <c r="Z16" i="4"/>
  <c r="AC36" i="4" s="1"/>
  <c r="AL15" i="4"/>
  <c r="AK15" i="4"/>
  <c r="AJ15" i="4"/>
  <c r="AF15" i="1"/>
  <c r="AF15" i="4" s="1"/>
  <c r="AP15" i="1"/>
  <c r="Z15" i="4"/>
  <c r="V15" i="1"/>
  <c r="W15" i="1" s="1"/>
  <c r="X15" i="1" s="1"/>
  <c r="X15" i="4" s="1"/>
  <c r="AB15" i="4"/>
  <c r="AA15" i="4"/>
  <c r="P15" i="4"/>
  <c r="Q15" i="4"/>
  <c r="R15" i="4"/>
  <c r="M15" i="1"/>
  <c r="AR9" i="4"/>
  <c r="AM9" i="4"/>
  <c r="AH9" i="4"/>
  <c r="AC9" i="4"/>
  <c r="X9" i="4"/>
  <c r="AP9" i="4"/>
  <c r="AO9" i="4"/>
  <c r="AL9" i="4"/>
  <c r="AK9" i="4"/>
  <c r="AQ9" i="4"/>
  <c r="AJ9" i="4"/>
  <c r="AG9" i="4"/>
  <c r="AF9" i="4"/>
  <c r="AE9" i="4"/>
  <c r="AB9" i="4"/>
  <c r="AA9" i="4"/>
  <c r="Z9" i="4"/>
  <c r="S9" i="4"/>
  <c r="W9" i="4"/>
  <c r="V9" i="4"/>
  <c r="U9" i="4"/>
  <c r="P9" i="4"/>
  <c r="R9" i="4"/>
  <c r="L9" i="1"/>
  <c r="M9" i="1" s="1"/>
  <c r="N9" i="1" s="1"/>
  <c r="Q9" i="4"/>
  <c r="V17" i="1"/>
  <c r="R17" i="4"/>
  <c r="Q17" i="4"/>
  <c r="P17" i="4"/>
  <c r="L17" i="1"/>
  <c r="V16" i="1"/>
  <c r="Y36" i="1" s="1"/>
  <c r="P16" i="4"/>
  <c r="S36" i="4" s="1"/>
  <c r="H8" i="1"/>
  <c r="L16" i="1"/>
  <c r="O36" i="1" s="1"/>
  <c r="R13" i="4"/>
  <c r="Q13" i="4"/>
  <c r="AB12" i="4"/>
  <c r="AA12" i="4"/>
  <c r="Z12" i="4"/>
  <c r="Q12" i="4"/>
  <c r="V12" i="1"/>
  <c r="R12" i="4"/>
  <c r="P12" i="4"/>
  <c r="AJ19" i="4"/>
  <c r="AM38" i="4" s="1"/>
  <c r="AF19" i="1"/>
  <c r="AI38" i="1" s="1"/>
  <c r="AA19" i="4"/>
  <c r="AD38" i="4" s="1"/>
  <c r="Z19" i="4"/>
  <c r="AC38" i="4" s="1"/>
  <c r="P19" i="4"/>
  <c r="S38" i="4" s="1"/>
  <c r="AG18" i="1"/>
  <c r="AJ37" i="1" s="1"/>
  <c r="Z18" i="4"/>
  <c r="AC37" i="4" s="1"/>
  <c r="W18" i="1"/>
  <c r="Z37" i="1" s="1"/>
  <c r="P18" i="4"/>
  <c r="S37" i="4" s="1"/>
  <c r="M18" i="1"/>
  <c r="P37" i="1" s="1"/>
  <c r="I11" i="1"/>
  <c r="H10" i="3"/>
  <c r="H7" i="1"/>
  <c r="T7" i="3"/>
  <c r="Y7" i="3" s="1"/>
  <c r="AD7" i="3" s="1"/>
  <c r="AI7" i="3" s="1"/>
  <c r="K19" i="3"/>
  <c r="H19" i="3"/>
  <c r="P2" i="1"/>
  <c r="K2" i="1"/>
  <c r="K5" i="1"/>
  <c r="K7" i="1"/>
  <c r="P7" i="1"/>
  <c r="T10" i="3"/>
  <c r="P10" i="3" s="1"/>
  <c r="K10" i="3"/>
  <c r="O5" i="3"/>
  <c r="O8" i="3"/>
  <c r="T21" i="3"/>
  <c r="P21" i="3" s="1"/>
  <c r="Q21" i="3" s="1"/>
  <c r="R21" i="3" s="1"/>
  <c r="S21" i="3" s="1"/>
  <c r="P2" i="3"/>
  <c r="K2" i="3"/>
  <c r="K21" i="3"/>
  <c r="L21" i="3" s="1"/>
  <c r="M21" i="3" s="1"/>
  <c r="N21" i="3" s="1"/>
  <c r="Y5" i="1"/>
  <c r="P5" i="1"/>
  <c r="O11" i="1"/>
  <c r="U7" i="1"/>
  <c r="AI7" i="1"/>
  <c r="T21" i="1"/>
  <c r="O8" i="1"/>
  <c r="Z7" i="1"/>
  <c r="O10" i="1"/>
  <c r="R31" i="1" s="1"/>
  <c r="AQ3" i="1" l="1"/>
  <c r="AS29" i="1"/>
  <c r="AN29" i="1"/>
  <c r="AL3" i="1"/>
  <c r="AG3" i="1"/>
  <c r="AI29" i="1"/>
  <c r="AB3" i="1"/>
  <c r="AD29" i="1"/>
  <c r="X3" i="1"/>
  <c r="AA29" i="1" s="1"/>
  <c r="Z29" i="1"/>
  <c r="T29" i="1"/>
  <c r="R3" i="1"/>
  <c r="O29" i="1"/>
  <c r="M3" i="1"/>
  <c r="O10" i="4"/>
  <c r="R31" i="4" s="1"/>
  <c r="L2" i="1"/>
  <c r="N28" i="1"/>
  <c r="AG28" i="1"/>
  <c r="U2" i="1"/>
  <c r="Q2" i="1"/>
  <c r="S28" i="1"/>
  <c r="AQ4" i="1"/>
  <c r="AS30" i="1"/>
  <c r="AP4" i="4"/>
  <c r="AS30" i="4" s="1"/>
  <c r="AN30" i="1"/>
  <c r="AK4" i="4"/>
  <c r="AN30" i="4" s="1"/>
  <c r="AL4" i="1"/>
  <c r="AG4" i="1"/>
  <c r="AI30" i="1"/>
  <c r="AF4" i="4"/>
  <c r="AI30" i="4" s="1"/>
  <c r="AB4" i="1"/>
  <c r="AD30" i="1"/>
  <c r="AA4" i="4"/>
  <c r="AD30" i="4" s="1"/>
  <c r="W4" i="1"/>
  <c r="Y30" i="1"/>
  <c r="V4" i="4"/>
  <c r="Y30" i="4" s="1"/>
  <c r="T30" i="1"/>
  <c r="Q4" i="4"/>
  <c r="T30" i="4" s="1"/>
  <c r="R4" i="1"/>
  <c r="N4" i="1"/>
  <c r="P30" i="1"/>
  <c r="M4" i="4"/>
  <c r="P30" i="4" s="1"/>
  <c r="AS38" i="1"/>
  <c r="AQ19" i="1"/>
  <c r="AL19" i="1"/>
  <c r="AN38" i="1"/>
  <c r="AG19" i="1"/>
  <c r="AJ38" i="1" s="1"/>
  <c r="AB19" i="1"/>
  <c r="AD38" i="1"/>
  <c r="W19" i="1"/>
  <c r="Y38" i="1"/>
  <c r="R19" i="1"/>
  <c r="T38" i="1"/>
  <c r="M19" i="1"/>
  <c r="O38" i="1"/>
  <c r="AR18" i="1"/>
  <c r="AU37" i="1" s="1"/>
  <c r="AT37" i="1"/>
  <c r="AL18" i="1"/>
  <c r="AN37" i="1"/>
  <c r="AB18" i="1"/>
  <c r="AD37" i="1"/>
  <c r="Q18" i="4"/>
  <c r="T37" i="4" s="1"/>
  <c r="R18" i="1"/>
  <c r="T37" i="1"/>
  <c r="I11" i="4"/>
  <c r="O11" i="4"/>
  <c r="Q16" i="4"/>
  <c r="T36" i="4" s="1"/>
  <c r="AS36" i="1"/>
  <c r="AQ16" i="1"/>
  <c r="AL16" i="1"/>
  <c r="AN36" i="1"/>
  <c r="AI36" i="1"/>
  <c r="AG16" i="1"/>
  <c r="AA16" i="4"/>
  <c r="AD36" i="4" s="1"/>
  <c r="AB16" i="1"/>
  <c r="AD36" i="1"/>
  <c r="O8" i="4"/>
  <c r="R16" i="1"/>
  <c r="T36" i="1"/>
  <c r="AK3" i="4"/>
  <c r="AN29" i="4" s="1"/>
  <c r="AN29" i="3"/>
  <c r="AQ3" i="3"/>
  <c r="AS29" i="3"/>
  <c r="AP3" i="4"/>
  <c r="AS29" i="4" s="1"/>
  <c r="AM3" i="3"/>
  <c r="AO29" i="3"/>
  <c r="AL3" i="4"/>
  <c r="AO29" i="4" s="1"/>
  <c r="AG3" i="3"/>
  <c r="AI29" i="3"/>
  <c r="AF3" i="4"/>
  <c r="AI29" i="4" s="1"/>
  <c r="AB3" i="3"/>
  <c r="AD29" i="3"/>
  <c r="AA3" i="4"/>
  <c r="AD29" i="4" s="1"/>
  <c r="X3" i="3"/>
  <c r="Z29" i="3"/>
  <c r="W3" i="4"/>
  <c r="Z29" i="4" s="1"/>
  <c r="R3" i="3"/>
  <c r="T29" i="3"/>
  <c r="Q3" i="4"/>
  <c r="T29" i="4" s="1"/>
  <c r="L29" i="3"/>
  <c r="I3" i="4"/>
  <c r="L29" i="4" s="1"/>
  <c r="L10" i="3"/>
  <c r="N31" i="3"/>
  <c r="K10" i="4"/>
  <c r="N31" i="4" s="1"/>
  <c r="I10" i="3"/>
  <c r="H10" i="4"/>
  <c r="K31" i="4" s="1"/>
  <c r="K31" i="3"/>
  <c r="Q10" i="3"/>
  <c r="S31" i="3"/>
  <c r="Y10" i="3"/>
  <c r="AB31" i="3" s="1"/>
  <c r="W31" i="3"/>
  <c r="M3" i="3"/>
  <c r="O29" i="3"/>
  <c r="L3" i="4"/>
  <c r="O29" i="4" s="1"/>
  <c r="L28" i="3"/>
  <c r="I2" i="4"/>
  <c r="L28" i="4" s="1"/>
  <c r="Q2" i="3"/>
  <c r="S28" i="3"/>
  <c r="P2" i="4"/>
  <c r="S28" i="4" s="1"/>
  <c r="L2" i="3"/>
  <c r="K2" i="4"/>
  <c r="N28" i="4" s="1"/>
  <c r="N28" i="3"/>
  <c r="M20" i="3"/>
  <c r="L20" i="4"/>
  <c r="Y6" i="3"/>
  <c r="U6" i="3" s="1"/>
  <c r="T6" i="4"/>
  <c r="P6" i="3"/>
  <c r="M6" i="3"/>
  <c r="L6" i="4"/>
  <c r="M13" i="3"/>
  <c r="L13" i="4"/>
  <c r="AQ12" i="3"/>
  <c r="AP12" i="4"/>
  <c r="M12" i="3"/>
  <c r="L12" i="4"/>
  <c r="AN38" i="3"/>
  <c r="AK19" i="4"/>
  <c r="AN38" i="4" s="1"/>
  <c r="AQ19" i="3"/>
  <c r="AS38" i="3"/>
  <c r="AP19" i="4"/>
  <c r="AS38" i="4" s="1"/>
  <c r="AM19" i="3"/>
  <c r="AO38" i="3"/>
  <c r="AL19" i="4"/>
  <c r="AO38" i="4" s="1"/>
  <c r="AF19" i="4"/>
  <c r="AI38" i="4" s="1"/>
  <c r="AG19" i="3"/>
  <c r="AG19" i="4" s="1"/>
  <c r="AJ38" i="4" s="1"/>
  <c r="AI38" i="3"/>
  <c r="AB19" i="3"/>
  <c r="AD38" i="3"/>
  <c r="W19" i="3"/>
  <c r="Y38" i="3"/>
  <c r="V19" i="4"/>
  <c r="Y38" i="4" s="1"/>
  <c r="R19" i="3"/>
  <c r="T38" i="3"/>
  <c r="Q19" i="4"/>
  <c r="T38" i="4" s="1"/>
  <c r="Y7" i="4"/>
  <c r="I19" i="3"/>
  <c r="K38" i="3"/>
  <c r="H19" i="4"/>
  <c r="K38" i="4" s="1"/>
  <c r="AD7" i="4"/>
  <c r="L19" i="3"/>
  <c r="N38" i="3"/>
  <c r="K19" i="4"/>
  <c r="N38" i="4" s="1"/>
  <c r="AI7" i="4"/>
  <c r="T7" i="4"/>
  <c r="I7" i="3"/>
  <c r="I7" i="4" s="1"/>
  <c r="H7" i="4"/>
  <c r="M14" i="3"/>
  <c r="L14" i="4"/>
  <c r="M15" i="3"/>
  <c r="L15" i="4"/>
  <c r="M9" i="3"/>
  <c r="L9" i="4"/>
  <c r="AQ18" i="3"/>
  <c r="AS37" i="3"/>
  <c r="AP18" i="4"/>
  <c r="AS37" i="4" s="1"/>
  <c r="AL18" i="3"/>
  <c r="AN37" i="3"/>
  <c r="AK18" i="4"/>
  <c r="AN37" i="4" s="1"/>
  <c r="AG18" i="3"/>
  <c r="AI37" i="3"/>
  <c r="AB18" i="3"/>
  <c r="AD37" i="3"/>
  <c r="AA18" i="4"/>
  <c r="AD37" i="4" s="1"/>
  <c r="W18" i="3"/>
  <c r="W18" i="4" s="1"/>
  <c r="Z37" i="4" s="1"/>
  <c r="Y37" i="3"/>
  <c r="R18" i="3"/>
  <c r="T37" i="3"/>
  <c r="L37" i="3"/>
  <c r="I18" i="4"/>
  <c r="L37" i="4" s="1"/>
  <c r="K5" i="3"/>
  <c r="O5" i="4"/>
  <c r="T11" i="3"/>
  <c r="Y11" i="3" s="1"/>
  <c r="AD11" i="3" s="1"/>
  <c r="Z11" i="3" s="1"/>
  <c r="AA11" i="3" s="1"/>
  <c r="AB11" i="3" s="1"/>
  <c r="AC11" i="3" s="1"/>
  <c r="M18" i="3"/>
  <c r="O37" i="3"/>
  <c r="L18" i="4"/>
  <c r="O37" i="4" s="1"/>
  <c r="M17" i="3"/>
  <c r="L17" i="4"/>
  <c r="AQ16" i="3"/>
  <c r="AS36" i="3"/>
  <c r="AP16" i="4"/>
  <c r="AS36" i="4" s="1"/>
  <c r="AL16" i="3"/>
  <c r="AN36" i="3"/>
  <c r="AK16" i="4"/>
  <c r="AN36" i="4" s="1"/>
  <c r="AG16" i="3"/>
  <c r="AI36" i="3"/>
  <c r="AF16" i="4"/>
  <c r="AI36" i="4" s="1"/>
  <c r="AB16" i="3"/>
  <c r="AD36" i="3"/>
  <c r="W16" i="3"/>
  <c r="Y36" i="3"/>
  <c r="R16" i="3"/>
  <c r="T36" i="3"/>
  <c r="H8" i="4"/>
  <c r="I8" i="3"/>
  <c r="L36" i="3"/>
  <c r="I16" i="4"/>
  <c r="L36" i="4" s="1"/>
  <c r="M16" i="3"/>
  <c r="O36" i="3"/>
  <c r="L16" i="4"/>
  <c r="O36" i="4" s="1"/>
  <c r="AM6" i="1"/>
  <c r="W6" i="1"/>
  <c r="N6" i="1"/>
  <c r="AR20" i="1"/>
  <c r="AR20" i="4" s="1"/>
  <c r="AQ20" i="4"/>
  <c r="AG20" i="4"/>
  <c r="AH20" i="1"/>
  <c r="AH20" i="4" s="1"/>
  <c r="W20" i="1"/>
  <c r="V20" i="4"/>
  <c r="T21" i="4"/>
  <c r="Y21" i="1"/>
  <c r="I7" i="1"/>
  <c r="AG15" i="1"/>
  <c r="AG15" i="4" s="1"/>
  <c r="V15" i="4"/>
  <c r="W15" i="4"/>
  <c r="AQ15" i="1"/>
  <c r="AP15" i="4"/>
  <c r="N15" i="1"/>
  <c r="V17" i="4"/>
  <c r="W17" i="1"/>
  <c r="M17" i="1"/>
  <c r="W16" i="1"/>
  <c r="Z36" i="1" s="1"/>
  <c r="V16" i="4"/>
  <c r="Y36" i="4" s="1"/>
  <c r="M16" i="1"/>
  <c r="P36" i="1" s="1"/>
  <c r="I8" i="1"/>
  <c r="W12" i="1"/>
  <c r="V12" i="4"/>
  <c r="AH19" i="1"/>
  <c r="AK38" i="1" s="1"/>
  <c r="Q7" i="1"/>
  <c r="AA7" i="1"/>
  <c r="L7" i="1"/>
  <c r="V7" i="1"/>
  <c r="U7" i="4"/>
  <c r="AG18" i="4"/>
  <c r="AJ37" i="4" s="1"/>
  <c r="AH18" i="1"/>
  <c r="AK37" i="1" s="1"/>
  <c r="X18" i="1"/>
  <c r="AA37" i="1" s="1"/>
  <c r="Q5" i="1"/>
  <c r="U5" i="1"/>
  <c r="L5" i="1"/>
  <c r="N18" i="1"/>
  <c r="Q37" i="1" s="1"/>
  <c r="P7" i="3"/>
  <c r="Q7" i="3" s="1"/>
  <c r="R7" i="3" s="1"/>
  <c r="S7" i="3" s="1"/>
  <c r="K7" i="3"/>
  <c r="Z7" i="3"/>
  <c r="AA7" i="3" s="1"/>
  <c r="AB7" i="3" s="1"/>
  <c r="AC7" i="3" s="1"/>
  <c r="U7" i="3"/>
  <c r="V7" i="3" s="1"/>
  <c r="W7" i="3" s="1"/>
  <c r="X7" i="3" s="1"/>
  <c r="K11" i="3"/>
  <c r="T8" i="3"/>
  <c r="P8" i="3" s="1"/>
  <c r="Q8" i="3" s="1"/>
  <c r="R8" i="3" s="1"/>
  <c r="S8" i="3" s="1"/>
  <c r="T5" i="3"/>
  <c r="Y21" i="3"/>
  <c r="U21" i="3" s="1"/>
  <c r="V21" i="3" s="1"/>
  <c r="W21" i="3" s="1"/>
  <c r="X21" i="3" s="1"/>
  <c r="K8" i="3"/>
  <c r="AN7" i="3"/>
  <c r="AE7" i="3"/>
  <c r="AF7" i="3" s="1"/>
  <c r="AG7" i="3" s="1"/>
  <c r="AH7" i="3" s="1"/>
  <c r="AL28" i="1"/>
  <c r="U21" i="1"/>
  <c r="T11" i="1"/>
  <c r="K11" i="1"/>
  <c r="AN7" i="1"/>
  <c r="Z2" i="1"/>
  <c r="T10" i="1"/>
  <c r="K10" i="1"/>
  <c r="N31" i="1" s="1"/>
  <c r="P21" i="1"/>
  <c r="T8" i="1"/>
  <c r="K8" i="1"/>
  <c r="AE7" i="1"/>
  <c r="AD5" i="1"/>
  <c r="AR3" i="1" l="1"/>
  <c r="AU29" i="1" s="1"/>
  <c r="AT29" i="1"/>
  <c r="AM3" i="1"/>
  <c r="AP29" i="1" s="1"/>
  <c r="AO29" i="1"/>
  <c r="AH3" i="1"/>
  <c r="AK29" i="1" s="1"/>
  <c r="AJ29" i="1"/>
  <c r="AC3" i="1"/>
  <c r="AF29" i="1" s="1"/>
  <c r="AE29" i="1"/>
  <c r="S3" i="1"/>
  <c r="V29" i="1" s="1"/>
  <c r="U29" i="1"/>
  <c r="T10" i="4"/>
  <c r="W31" i="4" s="1"/>
  <c r="W31" i="1"/>
  <c r="N3" i="1"/>
  <c r="Q29" i="1" s="1"/>
  <c r="P29" i="1"/>
  <c r="M2" i="1"/>
  <c r="O28" i="1"/>
  <c r="AA2" i="1"/>
  <c r="AC28" i="1"/>
  <c r="V2" i="1"/>
  <c r="X28" i="1"/>
  <c r="R2" i="1"/>
  <c r="T28" i="1"/>
  <c r="AR4" i="1"/>
  <c r="AT30" i="1"/>
  <c r="AQ4" i="4"/>
  <c r="AT30" i="4" s="1"/>
  <c r="AM4" i="1"/>
  <c r="AO30" i="1"/>
  <c r="AL4" i="4"/>
  <c r="AO30" i="4" s="1"/>
  <c r="AH4" i="1"/>
  <c r="AJ30" i="1"/>
  <c r="AG4" i="4"/>
  <c r="AJ30" i="4" s="1"/>
  <c r="AC4" i="1"/>
  <c r="AE30" i="1"/>
  <c r="AB4" i="4"/>
  <c r="AE30" i="4" s="1"/>
  <c r="X4" i="1"/>
  <c r="Z30" i="1"/>
  <c r="W4" i="4"/>
  <c r="Z30" i="4" s="1"/>
  <c r="S4" i="1"/>
  <c r="U30" i="1"/>
  <c r="R4" i="4"/>
  <c r="U30" i="4" s="1"/>
  <c r="Q30" i="1"/>
  <c r="N4" i="4"/>
  <c r="Q30" i="4" s="1"/>
  <c r="AH15" i="1"/>
  <c r="AH15" i="4" s="1"/>
  <c r="AR19" i="1"/>
  <c r="AU38" i="1" s="1"/>
  <c r="AT38" i="1"/>
  <c r="AM19" i="1"/>
  <c r="AP38" i="1" s="1"/>
  <c r="AO38" i="1"/>
  <c r="AC19" i="1"/>
  <c r="AF38" i="1" s="1"/>
  <c r="AE38" i="1"/>
  <c r="X19" i="1"/>
  <c r="AA38" i="1" s="1"/>
  <c r="Z38" i="1"/>
  <c r="S19" i="1"/>
  <c r="V38" i="1" s="1"/>
  <c r="U38" i="1"/>
  <c r="N19" i="1"/>
  <c r="Q38" i="1" s="1"/>
  <c r="P38" i="1"/>
  <c r="AM18" i="1"/>
  <c r="AP37" i="1" s="1"/>
  <c r="AO37" i="1"/>
  <c r="AC18" i="1"/>
  <c r="AF37" i="1" s="1"/>
  <c r="AE37" i="1"/>
  <c r="S18" i="1"/>
  <c r="V37" i="1" s="1"/>
  <c r="U37" i="1"/>
  <c r="AR16" i="1"/>
  <c r="AU36" i="1" s="1"/>
  <c r="AT36" i="1"/>
  <c r="AM16" i="1"/>
  <c r="AP36" i="1" s="1"/>
  <c r="AO36" i="1"/>
  <c r="AJ36" i="1"/>
  <c r="AH16" i="1"/>
  <c r="AK36" i="1" s="1"/>
  <c r="AC16" i="1"/>
  <c r="AF36" i="1" s="1"/>
  <c r="AE36" i="1"/>
  <c r="S16" i="1"/>
  <c r="V36" i="1" s="1"/>
  <c r="U36" i="1"/>
  <c r="I8" i="4"/>
  <c r="AR3" i="3"/>
  <c r="AT29" i="3"/>
  <c r="AQ3" i="4"/>
  <c r="AT29" i="4" s="1"/>
  <c r="AP29" i="3"/>
  <c r="AM3" i="4"/>
  <c r="AP29" i="4" s="1"/>
  <c r="AH3" i="3"/>
  <c r="AJ29" i="3"/>
  <c r="AG3" i="4"/>
  <c r="AJ29" i="4" s="1"/>
  <c r="AC3" i="3"/>
  <c r="AE29" i="3"/>
  <c r="AB3" i="4"/>
  <c r="AE29" i="4" s="1"/>
  <c r="AA29" i="3"/>
  <c r="X3" i="4"/>
  <c r="AA29" i="4" s="1"/>
  <c r="S3" i="3"/>
  <c r="U29" i="3"/>
  <c r="R3" i="4"/>
  <c r="U29" i="4" s="1"/>
  <c r="U10" i="3"/>
  <c r="V10" i="3" s="1"/>
  <c r="R10" i="3"/>
  <c r="T31" i="3"/>
  <c r="L31" i="3"/>
  <c r="I10" i="4"/>
  <c r="L31" i="4" s="1"/>
  <c r="N3" i="3"/>
  <c r="P29" i="3"/>
  <c r="M3" i="4"/>
  <c r="P29" i="4" s="1"/>
  <c r="M10" i="3"/>
  <c r="O31" i="3"/>
  <c r="L10" i="4"/>
  <c r="O31" i="4" s="1"/>
  <c r="M2" i="3"/>
  <c r="L2" i="4"/>
  <c r="O28" i="4" s="1"/>
  <c r="O28" i="3"/>
  <c r="U2" i="3"/>
  <c r="AB28" i="3"/>
  <c r="Y2" i="4"/>
  <c r="AB28" i="4" s="1"/>
  <c r="R2" i="3"/>
  <c r="T28" i="3"/>
  <c r="Q2" i="4"/>
  <c r="T28" i="4" s="1"/>
  <c r="V6" i="3"/>
  <c r="U6" i="4"/>
  <c r="Q6" i="3"/>
  <c r="P6" i="4"/>
  <c r="AD6" i="3"/>
  <c r="Z6" i="3" s="1"/>
  <c r="Y6" i="4"/>
  <c r="N20" i="3"/>
  <c r="N20" i="4" s="1"/>
  <c r="M20" i="4"/>
  <c r="N6" i="3"/>
  <c r="N6" i="4" s="1"/>
  <c r="M6" i="4"/>
  <c r="N13" i="3"/>
  <c r="N13" i="4" s="1"/>
  <c r="M13" i="4"/>
  <c r="AR12" i="3"/>
  <c r="AR12" i="4" s="1"/>
  <c r="AQ12" i="4"/>
  <c r="N12" i="3"/>
  <c r="N12" i="4" s="1"/>
  <c r="M12" i="4"/>
  <c r="AR19" i="3"/>
  <c r="AT38" i="3"/>
  <c r="AQ19" i="4"/>
  <c r="AT38" i="4" s="1"/>
  <c r="AP38" i="3"/>
  <c r="AM19" i="4"/>
  <c r="AP38" i="4" s="1"/>
  <c r="AH19" i="3"/>
  <c r="AK38" i="3" s="1"/>
  <c r="AJ38" i="3"/>
  <c r="AC19" i="3"/>
  <c r="AE38" i="3"/>
  <c r="AB19" i="4"/>
  <c r="AE38" i="4" s="1"/>
  <c r="Z7" i="4"/>
  <c r="X19" i="3"/>
  <c r="Z38" i="3"/>
  <c r="W19" i="4"/>
  <c r="Z38" i="4" s="1"/>
  <c r="S19" i="3"/>
  <c r="U38" i="3"/>
  <c r="R19" i="4"/>
  <c r="U38" i="4" s="1"/>
  <c r="M19" i="3"/>
  <c r="O38" i="3"/>
  <c r="L19" i="4"/>
  <c r="O38" i="4" s="1"/>
  <c r="L7" i="3"/>
  <c r="K7" i="4"/>
  <c r="L38" i="3"/>
  <c r="I19" i="4"/>
  <c r="L38" i="4" s="1"/>
  <c r="P7" i="4"/>
  <c r="N14" i="3"/>
  <c r="N14" i="4" s="1"/>
  <c r="M14" i="4"/>
  <c r="N15" i="3"/>
  <c r="N15" i="4" s="1"/>
  <c r="M15" i="4"/>
  <c r="N9" i="3"/>
  <c r="N9" i="4" s="1"/>
  <c r="M9" i="4"/>
  <c r="AR18" i="3"/>
  <c r="AT37" i="3"/>
  <c r="AQ18" i="4"/>
  <c r="AT37" i="4" s="1"/>
  <c r="AM18" i="3"/>
  <c r="AO37" i="3"/>
  <c r="AL18" i="4"/>
  <c r="AO37" i="4" s="1"/>
  <c r="AH18" i="3"/>
  <c r="AK37" i="3" s="1"/>
  <c r="AJ37" i="3"/>
  <c r="AC18" i="3"/>
  <c r="AE37" i="3"/>
  <c r="AB18" i="4"/>
  <c r="AE37" i="4" s="1"/>
  <c r="X18" i="3"/>
  <c r="AA37" i="3" s="1"/>
  <c r="Z37" i="3"/>
  <c r="X18" i="4"/>
  <c r="AA37" i="4" s="1"/>
  <c r="P11" i="3"/>
  <c r="Q11" i="3" s="1"/>
  <c r="R11" i="3" s="1"/>
  <c r="S11" i="3" s="1"/>
  <c r="U11" i="3"/>
  <c r="V11" i="3" s="1"/>
  <c r="W11" i="3" s="1"/>
  <c r="X11" i="3" s="1"/>
  <c r="S18" i="3"/>
  <c r="U37" i="3"/>
  <c r="R18" i="4"/>
  <c r="U37" i="4" s="1"/>
  <c r="N18" i="3"/>
  <c r="P37" i="3"/>
  <c r="M18" i="4"/>
  <c r="P37" i="4" s="1"/>
  <c r="P5" i="3"/>
  <c r="T5" i="4"/>
  <c r="L5" i="3"/>
  <c r="K5" i="4"/>
  <c r="L11" i="3"/>
  <c r="K11" i="4"/>
  <c r="N17" i="3"/>
  <c r="M17" i="4"/>
  <c r="AR16" i="3"/>
  <c r="AT36" i="3"/>
  <c r="AQ16" i="4"/>
  <c r="AT36" i="4" s="1"/>
  <c r="AM16" i="3"/>
  <c r="AO36" i="3"/>
  <c r="AL16" i="4"/>
  <c r="AO36" i="4" s="1"/>
  <c r="AH16" i="3"/>
  <c r="AJ36" i="3"/>
  <c r="AG16" i="4"/>
  <c r="AJ36" i="4" s="1"/>
  <c r="AC16" i="3"/>
  <c r="AE36" i="3"/>
  <c r="AB16" i="4"/>
  <c r="AE36" i="4" s="1"/>
  <c r="X16" i="3"/>
  <c r="AA36" i="3" s="1"/>
  <c r="Z36" i="3"/>
  <c r="S16" i="3"/>
  <c r="U36" i="3"/>
  <c r="R16" i="4"/>
  <c r="U36" i="4" s="1"/>
  <c r="L8" i="3"/>
  <c r="K8" i="4"/>
  <c r="N16" i="3"/>
  <c r="P36" i="3"/>
  <c r="M16" i="4"/>
  <c r="P36" i="4" s="1"/>
  <c r="X6" i="1"/>
  <c r="X20" i="1"/>
  <c r="X20" i="4" s="1"/>
  <c r="W20" i="4"/>
  <c r="Q21" i="1"/>
  <c r="P21" i="4"/>
  <c r="V21" i="1"/>
  <c r="U21" i="4"/>
  <c r="Y21" i="4"/>
  <c r="AD21" i="1"/>
  <c r="L10" i="1"/>
  <c r="O31" i="1" s="1"/>
  <c r="P10" i="1"/>
  <c r="S31" i="1" s="1"/>
  <c r="AR15" i="1"/>
  <c r="AR15" i="4" s="1"/>
  <c r="AQ15" i="4"/>
  <c r="X17" i="1"/>
  <c r="X17" i="4" s="1"/>
  <c r="W17" i="4"/>
  <c r="N17" i="1"/>
  <c r="X16" i="1"/>
  <c r="AA36" i="1" s="1"/>
  <c r="W16" i="4"/>
  <c r="Z36" i="4" s="1"/>
  <c r="P8" i="1"/>
  <c r="T8" i="4"/>
  <c r="L8" i="1"/>
  <c r="N16" i="1"/>
  <c r="Q36" i="1" s="1"/>
  <c r="X12" i="1"/>
  <c r="X12" i="4" s="1"/>
  <c r="W12" i="4"/>
  <c r="AB7" i="1"/>
  <c r="AA7" i="4"/>
  <c r="AF7" i="1"/>
  <c r="AE7" i="4"/>
  <c r="W7" i="1"/>
  <c r="V7" i="4"/>
  <c r="M7" i="1"/>
  <c r="AJ7" i="1"/>
  <c r="AN7" i="4"/>
  <c r="R7" i="1"/>
  <c r="Q7" i="4"/>
  <c r="M5" i="1"/>
  <c r="L11" i="1"/>
  <c r="Z5" i="1"/>
  <c r="P11" i="1"/>
  <c r="T11" i="4"/>
  <c r="V5" i="1"/>
  <c r="R5" i="1"/>
  <c r="AI11" i="3"/>
  <c r="AE11" i="3" s="1"/>
  <c r="AF11" i="3" s="1"/>
  <c r="AG11" i="3" s="1"/>
  <c r="AH11" i="3" s="1"/>
  <c r="AD10" i="3"/>
  <c r="AS7" i="3"/>
  <c r="AO7" i="3" s="1"/>
  <c r="AP7" i="3" s="1"/>
  <c r="AQ7" i="3" s="1"/>
  <c r="AR7" i="3" s="1"/>
  <c r="AJ7" i="3"/>
  <c r="AK7" i="3" s="1"/>
  <c r="AL7" i="3" s="1"/>
  <c r="AM7" i="3" s="1"/>
  <c r="Y5" i="3"/>
  <c r="AD21" i="3"/>
  <c r="Y8" i="3"/>
  <c r="U8" i="3" s="1"/>
  <c r="V8" i="3" s="1"/>
  <c r="W8" i="3" s="1"/>
  <c r="X8" i="3" s="1"/>
  <c r="Y11" i="1"/>
  <c r="AI5" i="1"/>
  <c r="Y10" i="1"/>
  <c r="AB31" i="1" s="1"/>
  <c r="Z21" i="1"/>
  <c r="Y8" i="1"/>
  <c r="AQ28" i="1"/>
  <c r="AS7" i="1"/>
  <c r="AE2" i="1"/>
  <c r="N2" i="1" l="1"/>
  <c r="Q28" i="1" s="1"/>
  <c r="P28" i="1"/>
  <c r="S2" i="1"/>
  <c r="V28" i="1" s="1"/>
  <c r="U28" i="1"/>
  <c r="W2" i="1"/>
  <c r="Y28" i="1"/>
  <c r="AF2" i="1"/>
  <c r="AH28" i="1"/>
  <c r="AB2" i="1"/>
  <c r="AD28" i="1"/>
  <c r="AU30" i="1"/>
  <c r="AR4" i="4"/>
  <c r="AU30" i="4" s="1"/>
  <c r="AP30" i="1"/>
  <c r="AM4" i="4"/>
  <c r="AP30" i="4" s="1"/>
  <c r="AK30" i="1"/>
  <c r="AH4" i="4"/>
  <c r="AK30" i="4" s="1"/>
  <c r="AF30" i="1"/>
  <c r="AC4" i="4"/>
  <c r="AF30" i="4" s="1"/>
  <c r="AA30" i="1"/>
  <c r="X4" i="4"/>
  <c r="AA30" i="4" s="1"/>
  <c r="V30" i="1"/>
  <c r="S4" i="4"/>
  <c r="V30" i="4" s="1"/>
  <c r="N17" i="4"/>
  <c r="AU29" i="3"/>
  <c r="AR3" i="4"/>
  <c r="AU29" i="4" s="1"/>
  <c r="AK29" i="3"/>
  <c r="AH3" i="4"/>
  <c r="AK29" i="4" s="1"/>
  <c r="AF29" i="3"/>
  <c r="AC3" i="4"/>
  <c r="AF29" i="4" s="1"/>
  <c r="V29" i="3"/>
  <c r="S3" i="4"/>
  <c r="V29" i="4" s="1"/>
  <c r="X31" i="3"/>
  <c r="N10" i="3"/>
  <c r="P31" i="3"/>
  <c r="S10" i="3"/>
  <c r="V31" i="3" s="1"/>
  <c r="U31" i="3"/>
  <c r="N3" i="4"/>
  <c r="Q29" i="4" s="1"/>
  <c r="Q29" i="3"/>
  <c r="V2" i="3"/>
  <c r="X28" i="3"/>
  <c r="U2" i="4"/>
  <c r="X28" i="4" s="1"/>
  <c r="Z2" i="3"/>
  <c r="AG28" i="3"/>
  <c r="AD2" i="4"/>
  <c r="AG28" i="4" s="1"/>
  <c r="S2" i="3"/>
  <c r="U28" i="3"/>
  <c r="R2" i="4"/>
  <c r="U28" i="4" s="1"/>
  <c r="N2" i="3"/>
  <c r="M2" i="4"/>
  <c r="P28" i="4" s="1"/>
  <c r="P28" i="3"/>
  <c r="AA6" i="3"/>
  <c r="Z6" i="4"/>
  <c r="W6" i="3"/>
  <c r="V6" i="4"/>
  <c r="AD6" i="4"/>
  <c r="AI6" i="3"/>
  <c r="R6" i="3"/>
  <c r="Q6" i="4"/>
  <c r="AU38" i="3"/>
  <c r="AR19" i="4"/>
  <c r="AU38" i="4" s="1"/>
  <c r="AH19" i="4"/>
  <c r="AK38" i="4" s="1"/>
  <c r="AF38" i="3"/>
  <c r="AC19" i="4"/>
  <c r="AF38" i="4" s="1"/>
  <c r="AA38" i="3"/>
  <c r="X19" i="4"/>
  <c r="AA38" i="4" s="1"/>
  <c r="V38" i="3"/>
  <c r="S19" i="4"/>
  <c r="V38" i="4" s="1"/>
  <c r="M7" i="3"/>
  <c r="L7" i="4"/>
  <c r="N19" i="3"/>
  <c r="P38" i="3"/>
  <c r="M19" i="4"/>
  <c r="P38" i="4" s="1"/>
  <c r="AI10" i="3"/>
  <c r="AL31" i="3" s="1"/>
  <c r="AG31" i="3"/>
  <c r="W10" i="3"/>
  <c r="Y31" i="3"/>
  <c r="AU37" i="3"/>
  <c r="AR18" i="4"/>
  <c r="AU37" i="4" s="1"/>
  <c r="AP37" i="3"/>
  <c r="AM18" i="4"/>
  <c r="AP37" i="4" s="1"/>
  <c r="AH18" i="4"/>
  <c r="AK37" i="4" s="1"/>
  <c r="AF37" i="3"/>
  <c r="AC18" i="4"/>
  <c r="AF37" i="4" s="1"/>
  <c r="V37" i="3"/>
  <c r="S18" i="4"/>
  <c r="V37" i="4" s="1"/>
  <c r="Q37" i="3"/>
  <c r="N18" i="4"/>
  <c r="Q37" i="4" s="1"/>
  <c r="M11" i="3"/>
  <c r="L11" i="4"/>
  <c r="U5" i="3"/>
  <c r="Y5" i="4"/>
  <c r="M5" i="3"/>
  <c r="L5" i="4"/>
  <c r="Q5" i="3"/>
  <c r="P5" i="4"/>
  <c r="X16" i="4"/>
  <c r="AA36" i="4" s="1"/>
  <c r="AU36" i="3"/>
  <c r="AR16" i="4"/>
  <c r="AU36" i="4" s="1"/>
  <c r="AP36" i="3"/>
  <c r="AM16" i="4"/>
  <c r="AP36" i="4" s="1"/>
  <c r="AK36" i="3"/>
  <c r="AH16" i="4"/>
  <c r="AK36" i="4" s="1"/>
  <c r="AF36" i="3"/>
  <c r="AC16" i="4"/>
  <c r="AF36" i="4" s="1"/>
  <c r="V36" i="3"/>
  <c r="S16" i="4"/>
  <c r="V36" i="4" s="1"/>
  <c r="M8" i="3"/>
  <c r="L8" i="4"/>
  <c r="Q36" i="3"/>
  <c r="N16" i="4"/>
  <c r="Q36" i="4" s="1"/>
  <c r="AA21" i="1"/>
  <c r="Z21" i="4"/>
  <c r="AD21" i="4"/>
  <c r="AI21" i="1"/>
  <c r="AI21" i="4" s="1"/>
  <c r="W21" i="1"/>
  <c r="V21" i="4"/>
  <c r="R21" i="1"/>
  <c r="Q21" i="4"/>
  <c r="U10" i="1"/>
  <c r="X31" i="1" s="1"/>
  <c r="Y10" i="4"/>
  <c r="AB31" i="4" s="1"/>
  <c r="Q10" i="1"/>
  <c r="T31" i="1" s="1"/>
  <c r="P10" i="4"/>
  <c r="S31" i="4" s="1"/>
  <c r="M10" i="1"/>
  <c r="P31" i="1" s="1"/>
  <c r="M8" i="1"/>
  <c r="U8" i="1"/>
  <c r="Y8" i="4"/>
  <c r="Q8" i="1"/>
  <c r="P8" i="4"/>
  <c r="N7" i="1"/>
  <c r="X7" i="1"/>
  <c r="X7" i="4" s="1"/>
  <c r="W7" i="4"/>
  <c r="AG7" i="1"/>
  <c r="AF7" i="4"/>
  <c r="S7" i="1"/>
  <c r="S7" i="4" s="1"/>
  <c r="R7" i="4"/>
  <c r="AO7" i="1"/>
  <c r="AS7" i="4"/>
  <c r="AK7" i="1"/>
  <c r="AJ7" i="4"/>
  <c r="AC7" i="1"/>
  <c r="AC7" i="4" s="1"/>
  <c r="AB7" i="4"/>
  <c r="Q11" i="1"/>
  <c r="P11" i="4"/>
  <c r="M11" i="1"/>
  <c r="U11" i="1"/>
  <c r="Y11" i="4"/>
  <c r="S5" i="1"/>
  <c r="AA5" i="1"/>
  <c r="W5" i="1"/>
  <c r="N5" i="1"/>
  <c r="Z10" i="3"/>
  <c r="AN11" i="3"/>
  <c r="AS11" i="3" s="1"/>
  <c r="AO11" i="3" s="1"/>
  <c r="AP11" i="3" s="1"/>
  <c r="AQ11" i="3" s="1"/>
  <c r="AR11" i="3" s="1"/>
  <c r="AD8" i="3"/>
  <c r="AI21" i="3"/>
  <c r="AE21" i="3" s="1"/>
  <c r="AF21" i="3" s="1"/>
  <c r="AG21" i="3" s="1"/>
  <c r="AH21" i="3" s="1"/>
  <c r="Z21" i="3"/>
  <c r="AA21" i="3" s="1"/>
  <c r="AB21" i="3" s="1"/>
  <c r="AC21" i="3" s="1"/>
  <c r="AD5" i="3"/>
  <c r="AE2" i="3"/>
  <c r="AD10" i="1"/>
  <c r="AN5" i="1"/>
  <c r="AJ2" i="1"/>
  <c r="AE5" i="1"/>
  <c r="AE21" i="1"/>
  <c r="AD8" i="1"/>
  <c r="AD11" i="1"/>
  <c r="AD11" i="4" s="1"/>
  <c r="AD10" i="4" l="1"/>
  <c r="AG31" i="4" s="1"/>
  <c r="AG31" i="1"/>
  <c r="M10" i="4"/>
  <c r="P31" i="4" s="1"/>
  <c r="AK2" i="1"/>
  <c r="AM28" i="1"/>
  <c r="AG2" i="1"/>
  <c r="AI28" i="1"/>
  <c r="AC2" i="1"/>
  <c r="AF28" i="1" s="1"/>
  <c r="AE28" i="1"/>
  <c r="AO2" i="1"/>
  <c r="AV28" i="1"/>
  <c r="X2" i="1"/>
  <c r="AA28" i="1" s="1"/>
  <c r="Z28" i="1"/>
  <c r="Q31" i="3"/>
  <c r="AL28" i="3"/>
  <c r="AI2" i="4"/>
  <c r="AL28" i="4" s="1"/>
  <c r="V28" i="3"/>
  <c r="S2" i="4"/>
  <c r="V28" i="4" s="1"/>
  <c r="AF2" i="3"/>
  <c r="AH28" i="3"/>
  <c r="AE2" i="4"/>
  <c r="AH28" i="4" s="1"/>
  <c r="AA2" i="3"/>
  <c r="AC28" i="3"/>
  <c r="Z2" i="4"/>
  <c r="AC28" i="4" s="1"/>
  <c r="N2" i="4"/>
  <c r="Q28" i="4" s="1"/>
  <c r="Q28" i="3"/>
  <c r="W2" i="3"/>
  <c r="Y28" i="3"/>
  <c r="V2" i="4"/>
  <c r="Y28" i="4" s="1"/>
  <c r="S6" i="3"/>
  <c r="S6" i="4" s="1"/>
  <c r="R6" i="4"/>
  <c r="AI6" i="4"/>
  <c r="AN6" i="3"/>
  <c r="AJ6" i="3" s="1"/>
  <c r="AE6" i="3"/>
  <c r="X6" i="3"/>
  <c r="X6" i="4" s="1"/>
  <c r="W6" i="4"/>
  <c r="AB6" i="3"/>
  <c r="AA6" i="4"/>
  <c r="Q38" i="3"/>
  <c r="N19" i="4"/>
  <c r="Q38" i="4" s="1"/>
  <c r="N7" i="3"/>
  <c r="N7" i="4" s="1"/>
  <c r="M7" i="4"/>
  <c r="AE10" i="3"/>
  <c r="AF10" i="3" s="1"/>
  <c r="AN10" i="3"/>
  <c r="AQ31" i="3" s="1"/>
  <c r="AA10" i="3"/>
  <c r="AC31" i="3"/>
  <c r="X10" i="3"/>
  <c r="AA31" i="3" s="1"/>
  <c r="Z31" i="3"/>
  <c r="N5" i="3"/>
  <c r="N5" i="4" s="1"/>
  <c r="M5" i="4"/>
  <c r="R5" i="3"/>
  <c r="Q5" i="4"/>
  <c r="Z5" i="3"/>
  <c r="AD5" i="4"/>
  <c r="V5" i="3"/>
  <c r="U5" i="4"/>
  <c r="N11" i="3"/>
  <c r="M11" i="4"/>
  <c r="N8" i="3"/>
  <c r="M8" i="4"/>
  <c r="AD8" i="4"/>
  <c r="AF21" i="1"/>
  <c r="AE21" i="4"/>
  <c r="S21" i="1"/>
  <c r="S21" i="4" s="1"/>
  <c r="R21" i="4"/>
  <c r="X21" i="1"/>
  <c r="X21" i="4" s="1"/>
  <c r="W21" i="4"/>
  <c r="AB21" i="1"/>
  <c r="AA21" i="4"/>
  <c r="Z11" i="1"/>
  <c r="AA11" i="1" s="1"/>
  <c r="N10" i="1"/>
  <c r="Q31" i="1" s="1"/>
  <c r="Z10" i="1"/>
  <c r="AC31" i="1" s="1"/>
  <c r="R10" i="1"/>
  <c r="U31" i="1" s="1"/>
  <c r="Q10" i="4"/>
  <c r="T31" i="4" s="1"/>
  <c r="V10" i="1"/>
  <c r="Y31" i="1" s="1"/>
  <c r="U10" i="4"/>
  <c r="X31" i="4" s="1"/>
  <c r="R8" i="1"/>
  <c r="Q8" i="4"/>
  <c r="V8" i="1"/>
  <c r="U8" i="4"/>
  <c r="N8" i="1"/>
  <c r="AH7" i="1"/>
  <c r="AH7" i="4" s="1"/>
  <c r="AG7" i="4"/>
  <c r="AL7" i="1"/>
  <c r="AK7" i="4"/>
  <c r="AP7" i="1"/>
  <c r="AO7" i="4"/>
  <c r="AF5" i="1"/>
  <c r="AJ5" i="1"/>
  <c r="N11" i="1"/>
  <c r="X5" i="1"/>
  <c r="V11" i="1"/>
  <c r="U11" i="4"/>
  <c r="AB5" i="1"/>
  <c r="R11" i="1"/>
  <c r="Q11" i="4"/>
  <c r="AJ11" i="3"/>
  <c r="AK11" i="3" s="1"/>
  <c r="AL11" i="3" s="1"/>
  <c r="AM11" i="3" s="1"/>
  <c r="AI5" i="3"/>
  <c r="AN21" i="3"/>
  <c r="AJ21" i="3" s="1"/>
  <c r="AK21" i="3" s="1"/>
  <c r="AL21" i="3" s="1"/>
  <c r="AM21" i="3" s="1"/>
  <c r="AI8" i="3"/>
  <c r="AE8" i="3" s="1"/>
  <c r="AF8" i="3" s="1"/>
  <c r="AG8" i="3" s="1"/>
  <c r="AH8" i="3" s="1"/>
  <c r="Z8" i="3"/>
  <c r="AA8" i="3" s="1"/>
  <c r="AB8" i="3" s="1"/>
  <c r="AC8" i="3" s="1"/>
  <c r="AI8" i="1"/>
  <c r="AI11" i="1"/>
  <c r="AI11" i="4" s="1"/>
  <c r="AS5" i="1"/>
  <c r="Z8" i="1"/>
  <c r="AN21" i="1"/>
  <c r="AN21" i="4" s="1"/>
  <c r="AI10" i="1"/>
  <c r="N10" i="4" l="1"/>
  <c r="Q31" i="4" s="1"/>
  <c r="AI10" i="4"/>
  <c r="AL31" i="4" s="1"/>
  <c r="AL31" i="1"/>
  <c r="AH2" i="1"/>
  <c r="AK28" i="1" s="1"/>
  <c r="AJ28" i="1"/>
  <c r="AP2" i="1"/>
  <c r="AR28" i="1"/>
  <c r="AL2" i="1"/>
  <c r="AN28" i="1"/>
  <c r="N11" i="4"/>
  <c r="Z11" i="4"/>
  <c r="N8" i="4"/>
  <c r="AH31" i="3"/>
  <c r="AJ10" i="3"/>
  <c r="AK10" i="3" s="1"/>
  <c r="AS10" i="3"/>
  <c r="AV31" i="3" s="1"/>
  <c r="AB2" i="3"/>
  <c r="AD28" i="3"/>
  <c r="AA2" i="4"/>
  <c r="AD28" i="4" s="1"/>
  <c r="AQ28" i="3"/>
  <c r="AN2" i="4"/>
  <c r="AQ28" i="4" s="1"/>
  <c r="AG2" i="3"/>
  <c r="AI28" i="3"/>
  <c r="AF2" i="4"/>
  <c r="AI28" i="4" s="1"/>
  <c r="X2" i="3"/>
  <c r="Z28" i="3"/>
  <c r="W2" i="4"/>
  <c r="Z28" i="4" s="1"/>
  <c r="AF6" i="3"/>
  <c r="AE6" i="4"/>
  <c r="AN6" i="4"/>
  <c r="AS6" i="3"/>
  <c r="AS6" i="4" s="1"/>
  <c r="AK6" i="3"/>
  <c r="AJ6" i="4"/>
  <c r="AC6" i="3"/>
  <c r="AC6" i="4" s="1"/>
  <c r="AB6" i="4"/>
  <c r="AG10" i="3"/>
  <c r="AI31" i="3"/>
  <c r="AB10" i="3"/>
  <c r="AD31" i="3"/>
  <c r="W5" i="3"/>
  <c r="V5" i="4"/>
  <c r="AE5" i="3"/>
  <c r="AI5" i="4"/>
  <c r="AA5" i="3"/>
  <c r="Z5" i="4"/>
  <c r="S5" i="3"/>
  <c r="S5" i="4" s="1"/>
  <c r="R5" i="4"/>
  <c r="AI8" i="4"/>
  <c r="AC21" i="1"/>
  <c r="AC21" i="4" s="1"/>
  <c r="AB21" i="4"/>
  <c r="AG21" i="1"/>
  <c r="AF21" i="4"/>
  <c r="W10" i="1"/>
  <c r="Z31" i="1" s="1"/>
  <c r="V10" i="4"/>
  <c r="Y31" i="4" s="1"/>
  <c r="S10" i="1"/>
  <c r="R10" i="4"/>
  <c r="U31" i="4" s="1"/>
  <c r="AA10" i="1"/>
  <c r="AD31" i="1" s="1"/>
  <c r="Z10" i="4"/>
  <c r="AC31" i="4" s="1"/>
  <c r="AA8" i="1"/>
  <c r="Z8" i="4"/>
  <c r="W8" i="1"/>
  <c r="V8" i="4"/>
  <c r="S8" i="1"/>
  <c r="S8" i="4" s="1"/>
  <c r="R8" i="4"/>
  <c r="AM7" i="1"/>
  <c r="AM7" i="4" s="1"/>
  <c r="AL7" i="4"/>
  <c r="AQ7" i="1"/>
  <c r="AP7" i="4"/>
  <c r="AK5" i="1"/>
  <c r="AC5" i="1"/>
  <c r="AO5" i="1"/>
  <c r="S11" i="1"/>
  <c r="S11" i="4" s="1"/>
  <c r="R11" i="4"/>
  <c r="AB11" i="1"/>
  <c r="AA11" i="4"/>
  <c r="W11" i="1"/>
  <c r="V11" i="4"/>
  <c r="AG5" i="1"/>
  <c r="AJ2" i="3"/>
  <c r="AN8" i="3"/>
  <c r="AS21" i="3"/>
  <c r="AO21" i="3" s="1"/>
  <c r="AP21" i="3" s="1"/>
  <c r="AQ21" i="3" s="1"/>
  <c r="AR21" i="3" s="1"/>
  <c r="AN5" i="3"/>
  <c r="AN5" i="4" s="1"/>
  <c r="AS21" i="1"/>
  <c r="AN11" i="1"/>
  <c r="AN10" i="1"/>
  <c r="AQ31" i="1" s="1"/>
  <c r="AE11" i="1"/>
  <c r="AE10" i="1"/>
  <c r="AH31" i="1" s="1"/>
  <c r="AN8" i="1"/>
  <c r="AJ21" i="1"/>
  <c r="AE8" i="1"/>
  <c r="S10" i="4" l="1"/>
  <c r="V31" i="4" s="1"/>
  <c r="V31" i="1"/>
  <c r="AQ2" i="1"/>
  <c r="AS28" i="1"/>
  <c r="AM2" i="1"/>
  <c r="AP28" i="1" s="1"/>
  <c r="AO28" i="1"/>
  <c r="AO10" i="3"/>
  <c r="AP10" i="3" s="1"/>
  <c r="AM31" i="3"/>
  <c r="AH2" i="3"/>
  <c r="AJ28" i="3"/>
  <c r="AG2" i="4"/>
  <c r="AJ28" i="4" s="1"/>
  <c r="AK2" i="3"/>
  <c r="AM28" i="3"/>
  <c r="AJ2" i="4"/>
  <c r="AM28" i="4" s="1"/>
  <c r="AO2" i="3"/>
  <c r="AV28" i="3"/>
  <c r="AS2" i="4"/>
  <c r="AV28" i="4" s="1"/>
  <c r="AA28" i="3"/>
  <c r="X2" i="4"/>
  <c r="AA28" i="4" s="1"/>
  <c r="AC2" i="3"/>
  <c r="AE28" i="3"/>
  <c r="AB2" i="4"/>
  <c r="AE28" i="4" s="1"/>
  <c r="AL6" i="3"/>
  <c r="AK6" i="4"/>
  <c r="AO6" i="3"/>
  <c r="AG6" i="3"/>
  <c r="AF6" i="4"/>
  <c r="AC10" i="3"/>
  <c r="AF31" i="3" s="1"/>
  <c r="AE31" i="3"/>
  <c r="AL10" i="3"/>
  <c r="AN31" i="3"/>
  <c r="AH10" i="3"/>
  <c r="AK31" i="3" s="1"/>
  <c r="AJ31" i="3"/>
  <c r="AB5" i="3"/>
  <c r="AA5" i="4"/>
  <c r="X5" i="3"/>
  <c r="X5" i="4" s="1"/>
  <c r="W5" i="4"/>
  <c r="AF5" i="3"/>
  <c r="AE5" i="4"/>
  <c r="AN8" i="4"/>
  <c r="AO21" i="1"/>
  <c r="AS21" i="4"/>
  <c r="AH21" i="1"/>
  <c r="AH21" i="4" s="1"/>
  <c r="AG21" i="4"/>
  <c r="AK21" i="1"/>
  <c r="AJ21" i="4"/>
  <c r="AF10" i="1"/>
  <c r="AI31" i="1" s="1"/>
  <c r="AE10" i="4"/>
  <c r="AH31" i="4" s="1"/>
  <c r="AB10" i="1"/>
  <c r="AE31" i="1" s="1"/>
  <c r="AA10" i="4"/>
  <c r="AD31" i="4" s="1"/>
  <c r="AJ10" i="1"/>
  <c r="AM31" i="1" s="1"/>
  <c r="AN10" i="4"/>
  <c r="AQ31" i="4" s="1"/>
  <c r="X10" i="1"/>
  <c r="W10" i="4"/>
  <c r="Z31" i="4" s="1"/>
  <c r="AF8" i="1"/>
  <c r="AE8" i="4"/>
  <c r="X8" i="1"/>
  <c r="X8" i="4" s="1"/>
  <c r="W8" i="4"/>
  <c r="AB8" i="1"/>
  <c r="AA8" i="4"/>
  <c r="AR7" i="1"/>
  <c r="AR7" i="4" s="1"/>
  <c r="AQ7" i="4"/>
  <c r="AH5" i="1"/>
  <c r="AJ11" i="1"/>
  <c r="AN11" i="4"/>
  <c r="X11" i="1"/>
  <c r="X11" i="4" s="1"/>
  <c r="W11" i="4"/>
  <c r="AF11" i="1"/>
  <c r="AE11" i="4"/>
  <c r="AP5" i="1"/>
  <c r="AC11" i="1"/>
  <c r="AC11" i="4" s="1"/>
  <c r="AB11" i="4"/>
  <c r="AL5" i="1"/>
  <c r="AS5" i="3"/>
  <c r="AJ5" i="3"/>
  <c r="AS8" i="3"/>
  <c r="AO8" i="3" s="1"/>
  <c r="AP8" i="3" s="1"/>
  <c r="AQ8" i="3" s="1"/>
  <c r="AR8" i="3" s="1"/>
  <c r="AJ8" i="3"/>
  <c r="AK8" i="3" s="1"/>
  <c r="AL8" i="3" s="1"/>
  <c r="AM8" i="3" s="1"/>
  <c r="AS10" i="1"/>
  <c r="AV31" i="1" s="1"/>
  <c r="AS11" i="1"/>
  <c r="AS8" i="1"/>
  <c r="AJ8" i="1"/>
  <c r="X10" i="4" l="1"/>
  <c r="AA31" i="4" s="1"/>
  <c r="AA31" i="1"/>
  <c r="AR2" i="1"/>
  <c r="AU28" i="1" s="1"/>
  <c r="AT28" i="1"/>
  <c r="AR31" i="3"/>
  <c r="AF28" i="3"/>
  <c r="AC2" i="4"/>
  <c r="AF28" i="4" s="1"/>
  <c r="AP2" i="3"/>
  <c r="AR28" i="3"/>
  <c r="AO2" i="4"/>
  <c r="AR28" i="4" s="1"/>
  <c r="AL2" i="3"/>
  <c r="AN28" i="3"/>
  <c r="AK2" i="4"/>
  <c r="AN28" i="4" s="1"/>
  <c r="AK28" i="3"/>
  <c r="AH2" i="4"/>
  <c r="AK28" i="4" s="1"/>
  <c r="AP6" i="3"/>
  <c r="AO6" i="4"/>
  <c r="AH6" i="3"/>
  <c r="AH6" i="4" s="1"/>
  <c r="AG6" i="4"/>
  <c r="AM6" i="3"/>
  <c r="AM6" i="4" s="1"/>
  <c r="AL6" i="4"/>
  <c r="AM10" i="3"/>
  <c r="AP31" i="3" s="1"/>
  <c r="AO31" i="3"/>
  <c r="AQ10" i="3"/>
  <c r="AS31" i="3"/>
  <c r="AC5" i="3"/>
  <c r="AC5" i="4" s="1"/>
  <c r="AB5" i="4"/>
  <c r="AG5" i="3"/>
  <c r="AF5" i="4"/>
  <c r="AO5" i="3"/>
  <c r="AS5" i="4"/>
  <c r="AK5" i="3"/>
  <c r="AJ5" i="4"/>
  <c r="AL21" i="1"/>
  <c r="AK21" i="4"/>
  <c r="AP21" i="1"/>
  <c r="AO21" i="4"/>
  <c r="AK10" i="1"/>
  <c r="AN31" i="1" s="1"/>
  <c r="AJ10" i="4"/>
  <c r="AM31" i="4" s="1"/>
  <c r="AO10" i="1"/>
  <c r="AR31" i="1" s="1"/>
  <c r="AS10" i="4"/>
  <c r="AV31" i="4" s="1"/>
  <c r="AC10" i="1"/>
  <c r="AB10" i="4"/>
  <c r="AE31" i="4" s="1"/>
  <c r="AG10" i="1"/>
  <c r="AJ31" i="1" s="1"/>
  <c r="AF10" i="4"/>
  <c r="AI31" i="4" s="1"/>
  <c r="AO8" i="1"/>
  <c r="AS8" i="4"/>
  <c r="AK8" i="1"/>
  <c r="AJ8" i="4"/>
  <c r="AC8" i="1"/>
  <c r="AC8" i="4" s="1"/>
  <c r="AB8" i="4"/>
  <c r="AG8" i="1"/>
  <c r="AF8" i="4"/>
  <c r="AK11" i="1"/>
  <c r="AJ11" i="4"/>
  <c r="AG11" i="1"/>
  <c r="AF11" i="4"/>
  <c r="AM5" i="1"/>
  <c r="AO11" i="1"/>
  <c r="AS11" i="4"/>
  <c r="AQ5" i="1"/>
  <c r="AC10" i="4" l="1"/>
  <c r="AF31" i="4" s="1"/>
  <c r="AF31" i="1"/>
  <c r="AM2" i="3"/>
  <c r="AO28" i="3"/>
  <c r="AL2" i="4"/>
  <c r="AO28" i="4" s="1"/>
  <c r="AQ2" i="3"/>
  <c r="AS28" i="3"/>
  <c r="AP2" i="4"/>
  <c r="AS28" i="4" s="1"/>
  <c r="AQ6" i="3"/>
  <c r="AP6" i="4"/>
  <c r="AR10" i="3"/>
  <c r="AU31" i="3" s="1"/>
  <c r="AT31" i="3"/>
  <c r="AP5" i="3"/>
  <c r="AO5" i="4"/>
  <c r="AL5" i="3"/>
  <c r="AK5" i="4"/>
  <c r="AH5" i="3"/>
  <c r="AH5" i="4" s="1"/>
  <c r="AG5" i="4"/>
  <c r="AQ21" i="1"/>
  <c r="AP21" i="4"/>
  <c r="AM21" i="1"/>
  <c r="AM21" i="4" s="1"/>
  <c r="AL21" i="4"/>
  <c r="AH10" i="1"/>
  <c r="AG10" i="4"/>
  <c r="AJ31" i="4" s="1"/>
  <c r="AP10" i="1"/>
  <c r="AS31" i="1" s="1"/>
  <c r="AO10" i="4"/>
  <c r="AR31" i="4" s="1"/>
  <c r="AL10" i="1"/>
  <c r="AO31" i="1" s="1"/>
  <c r="AK10" i="4"/>
  <c r="AN31" i="4" s="1"/>
  <c r="AL8" i="1"/>
  <c r="AK8" i="4"/>
  <c r="AH8" i="1"/>
  <c r="AH8" i="4" s="1"/>
  <c r="AG8" i="4"/>
  <c r="AP8" i="1"/>
  <c r="AO8" i="4"/>
  <c r="AH11" i="1"/>
  <c r="AH11" i="4" s="1"/>
  <c r="AG11" i="4"/>
  <c r="AP11" i="1"/>
  <c r="AO11" i="4"/>
  <c r="AR5" i="1"/>
  <c r="AL11" i="1"/>
  <c r="AK11" i="4"/>
  <c r="AH10" i="4" l="1"/>
  <c r="AK31" i="4" s="1"/>
  <c r="AK31" i="1"/>
  <c r="AR2" i="3"/>
  <c r="AT28" i="3"/>
  <c r="AQ2" i="4"/>
  <c r="AT28" i="4" s="1"/>
  <c r="AP28" i="3"/>
  <c r="AM2" i="4"/>
  <c r="AP28" i="4" s="1"/>
  <c r="AR6" i="3"/>
  <c r="AR6" i="4" s="1"/>
  <c r="AQ6" i="4"/>
  <c r="AQ5" i="3"/>
  <c r="AP5" i="4"/>
  <c r="AM5" i="3"/>
  <c r="AM5" i="4" s="1"/>
  <c r="AL5" i="4"/>
  <c r="AR21" i="1"/>
  <c r="AR21" i="4" s="1"/>
  <c r="AQ21" i="4"/>
  <c r="AM10" i="1"/>
  <c r="AL10" i="4"/>
  <c r="AO31" i="4" s="1"/>
  <c r="AQ10" i="1"/>
  <c r="AT31" i="1" s="1"/>
  <c r="AP10" i="4"/>
  <c r="AS31" i="4" s="1"/>
  <c r="AQ8" i="1"/>
  <c r="AP8" i="4"/>
  <c r="AM8" i="1"/>
  <c r="AM8" i="4" s="1"/>
  <c r="AL8" i="4"/>
  <c r="AM11" i="1"/>
  <c r="AM11" i="4" s="1"/>
  <c r="AL11" i="4"/>
  <c r="AQ11" i="1"/>
  <c r="AP11" i="4"/>
  <c r="AM10" i="4" l="1"/>
  <c r="AP31" i="4" s="1"/>
  <c r="AP31" i="1"/>
  <c r="AU28" i="3"/>
  <c r="AR2" i="4"/>
  <c r="AU28" i="4" s="1"/>
  <c r="AR5" i="3"/>
  <c r="AR5" i="4" s="1"/>
  <c r="AQ5" i="4"/>
  <c r="AR10" i="1"/>
  <c r="AQ10" i="4"/>
  <c r="AT31" i="4" s="1"/>
  <c r="AR8" i="1"/>
  <c r="AR8" i="4" s="1"/>
  <c r="AQ8" i="4"/>
  <c r="AR11" i="1"/>
  <c r="AR11" i="4" s="1"/>
  <c r="AQ11" i="4"/>
  <c r="AR10" i="4" l="1"/>
  <c r="AU31" i="4" s="1"/>
  <c r="AU31" i="1"/>
</calcChain>
</file>

<file path=xl/sharedStrings.xml><?xml version="1.0" encoding="utf-8"?>
<sst xmlns="http://schemas.openxmlformats.org/spreadsheetml/2006/main" count="480" uniqueCount="101">
  <si>
    <t>行业</t>
    <phoneticPr fontId="4" type="noConversion"/>
  </si>
  <si>
    <t>计量指标</t>
    <phoneticPr fontId="4" type="noConversion"/>
  </si>
  <si>
    <t>计量单位</t>
    <phoneticPr fontId="4" type="noConversion"/>
  </si>
  <si>
    <t>数据来源</t>
    <phoneticPr fontId="4" type="noConversion"/>
  </si>
  <si>
    <t>煤炭开采和洗选业</t>
  </si>
  <si>
    <t>原煤</t>
    <phoneticPr fontId="4" type="noConversion"/>
  </si>
  <si>
    <t>亿吨</t>
    <phoneticPr fontId="4" type="noConversion"/>
  </si>
  <si>
    <t>中石化《中国能源展望2060》</t>
    <phoneticPr fontId="4" type="noConversion"/>
  </si>
  <si>
    <t>石油和天然气开采业</t>
  </si>
  <si>
    <t>原油</t>
    <phoneticPr fontId="4" type="noConversion"/>
  </si>
  <si>
    <t>中石油《世界与中国能源展望2021》</t>
    <phoneticPr fontId="4" type="noConversion"/>
  </si>
  <si>
    <t>天然气</t>
    <phoneticPr fontId="4" type="noConversion"/>
  </si>
  <si>
    <t>亿立方米</t>
    <phoneticPr fontId="4" type="noConversion"/>
  </si>
  <si>
    <t>黑色金属矿采选业</t>
  </si>
  <si>
    <t>铁矿石原矿</t>
    <phoneticPr fontId="4" type="noConversion"/>
  </si>
  <si>
    <t>产品产量与粗钢产量挂钩</t>
    <phoneticPr fontId="4" type="noConversion"/>
  </si>
  <si>
    <t>有色金属矿采选业</t>
  </si>
  <si>
    <t>铜矿</t>
    <phoneticPr fontId="4" type="noConversion"/>
  </si>
  <si>
    <t>万吨</t>
    <phoneticPr fontId="4" type="noConversion"/>
  </si>
  <si>
    <t>拍数；https://www.wkqh.cn/ueditor/jsp/upload/file/20240603/1717376096015027949.pdf</t>
    <phoneticPr fontId="4" type="noConversion"/>
  </si>
  <si>
    <t>铝土矿</t>
    <phoneticPr fontId="4" type="noConversion"/>
  </si>
  <si>
    <t>非金属矿采选业</t>
  </si>
  <si>
    <t>石灰石</t>
    <phoneticPr fontId="4" type="noConversion"/>
  </si>
  <si>
    <t>产品产量与水泥产量挂钩;https://www.sohu.com/a/716515038_121388092</t>
    <phoneticPr fontId="4" type="noConversion"/>
  </si>
  <si>
    <t>造纸和纸制品业</t>
  </si>
  <si>
    <t>纸和纸板</t>
    <phoneticPr fontId="4" type="noConversion"/>
  </si>
  <si>
    <t>中国能源研究会-内部报告</t>
    <phoneticPr fontId="4" type="noConversion"/>
  </si>
  <si>
    <t>石油、煤炭及其他燃料加工业</t>
  </si>
  <si>
    <t>原油加工量</t>
    <phoneticPr fontId="4" type="noConversion"/>
  </si>
  <si>
    <t>加工量与原油产量挂钩</t>
    <phoneticPr fontId="4" type="noConversion"/>
  </si>
  <si>
    <t>焦炭</t>
    <phoneticPr fontId="4" type="noConversion"/>
  </si>
  <si>
    <t>焦炭产量与钢铁产量挂钩</t>
    <phoneticPr fontId="4" type="noConversion"/>
  </si>
  <si>
    <t>化学原料和化学制品制造业</t>
  </si>
  <si>
    <t>烧碱</t>
    <phoneticPr fontId="4" type="noConversion"/>
  </si>
  <si>
    <t>纯碱</t>
    <phoneticPr fontId="4" type="noConversion"/>
  </si>
  <si>
    <t>乙烯</t>
    <phoneticPr fontId="4" type="noConversion"/>
  </si>
  <si>
    <t>合成氨</t>
    <phoneticPr fontId="4" type="noConversion"/>
  </si>
  <si>
    <t>非金属矿物制品业</t>
  </si>
  <si>
    <t>水泥</t>
    <phoneticPr fontId="4" type="noConversion"/>
  </si>
  <si>
    <t>平板玻璃</t>
    <phoneticPr fontId="4" type="noConversion"/>
  </si>
  <si>
    <t>万重量厢</t>
    <phoneticPr fontId="4" type="noConversion"/>
  </si>
  <si>
    <t>黑色金属冶炼和压延加工业</t>
  </si>
  <si>
    <t>钢铁</t>
    <phoneticPr fontId="4" type="noConversion"/>
  </si>
  <si>
    <t>有色金属冶炼和压延加工业</t>
  </si>
  <si>
    <t>电解铝</t>
    <phoneticPr fontId="4" type="noConversion"/>
  </si>
  <si>
    <t>精炼铜</t>
    <phoneticPr fontId="4" type="noConversion"/>
  </si>
  <si>
    <t>拍数</t>
    <phoneticPr fontId="4" type="noConversion"/>
  </si>
  <si>
    <t>汽车制造业</t>
  </si>
  <si>
    <t>汽车</t>
    <phoneticPr fontId="4" type="noConversion"/>
  </si>
  <si>
    <t>万辆</t>
    <phoneticPr fontId="4" type="noConversion"/>
  </si>
  <si>
    <t>2023节能与新能源汽车发展报告-结果微调</t>
    <phoneticPr fontId="4" type="noConversion"/>
  </si>
  <si>
    <t>产量与电解铝产量挂钩</t>
    <phoneticPr fontId="4" type="noConversion"/>
  </si>
  <si>
    <t>产量与精炼铜产量挂钩；https://www.wkqh.cn/ueditor/jsp/upload/file/20240603/1717376096015027949.pdf</t>
    <phoneticPr fontId="4" type="noConversion"/>
  </si>
  <si>
    <r>
      <rPr>
        <b/>
        <sz val="10"/>
        <color theme="1"/>
        <rFont val="宋体"/>
        <family val="3"/>
        <charset val="134"/>
      </rPr>
      <t>行业</t>
    </r>
    <phoneticPr fontId="3" type="noConversion"/>
  </si>
  <si>
    <r>
      <rPr>
        <b/>
        <sz val="10"/>
        <color theme="1"/>
        <rFont val="宋体"/>
        <family val="3"/>
        <charset val="134"/>
      </rPr>
      <t>温室气体</t>
    </r>
    <phoneticPr fontId="3" type="noConversion"/>
  </si>
  <si>
    <r>
      <rPr>
        <b/>
        <sz val="10"/>
        <color theme="1"/>
        <rFont val="宋体"/>
        <family val="3"/>
        <charset val="134"/>
      </rPr>
      <t>产品产量</t>
    </r>
    <phoneticPr fontId="3" type="noConversion"/>
  </si>
  <si>
    <r>
      <rPr>
        <b/>
        <sz val="10"/>
        <color theme="1"/>
        <rFont val="宋体"/>
        <family val="3"/>
        <charset val="134"/>
      </rPr>
      <t>单位</t>
    </r>
    <phoneticPr fontId="3" type="noConversion"/>
  </si>
  <si>
    <r>
      <rPr>
        <b/>
        <sz val="10"/>
        <color theme="1"/>
        <rFont val="宋体"/>
        <family val="1"/>
        <charset val="134"/>
      </rPr>
      <t>数据来源</t>
    </r>
    <phoneticPr fontId="3" type="noConversion"/>
  </si>
  <si>
    <r>
      <rPr>
        <sz val="10"/>
        <color theme="1"/>
        <rFont val="宋体"/>
        <family val="3"/>
        <charset val="134"/>
      </rPr>
      <t>农、林、牧、渔业</t>
    </r>
    <phoneticPr fontId="3" type="noConversion"/>
  </si>
  <si>
    <t>CH4+N2O</t>
    <phoneticPr fontId="3" type="noConversion"/>
  </si>
  <si>
    <r>
      <rPr>
        <sz val="10"/>
        <color theme="1"/>
        <rFont val="宋体"/>
        <family val="1"/>
        <charset val="134"/>
      </rPr>
      <t>人口</t>
    </r>
    <phoneticPr fontId="3" type="noConversion"/>
  </si>
  <si>
    <t>亿人</t>
    <phoneticPr fontId="3" type="noConversion"/>
  </si>
  <si>
    <t>WR</t>
    <phoneticPr fontId="3" type="noConversion"/>
  </si>
  <si>
    <r>
      <rPr>
        <sz val="10"/>
        <rFont val="宋体"/>
        <family val="3"/>
        <charset val="134"/>
      </rPr>
      <t>煤炭开采和洗选业</t>
    </r>
  </si>
  <si>
    <t>CH4</t>
    <phoneticPr fontId="3" type="noConversion"/>
  </si>
  <si>
    <r>
      <rPr>
        <sz val="10"/>
        <rFont val="宋体"/>
        <family val="3"/>
        <charset val="134"/>
      </rPr>
      <t>原煤</t>
    </r>
    <phoneticPr fontId="3" type="noConversion"/>
  </si>
  <si>
    <t>亿吨</t>
    <phoneticPr fontId="3" type="noConversion"/>
  </si>
  <si>
    <t>中石化《中国能源展望2060》</t>
  </si>
  <si>
    <r>
      <rPr>
        <sz val="10"/>
        <rFont val="宋体"/>
        <family val="3"/>
        <charset val="134"/>
      </rPr>
      <t>石油和天然气开采业</t>
    </r>
  </si>
  <si>
    <r>
      <rPr>
        <sz val="10"/>
        <rFont val="宋体"/>
        <family val="3"/>
        <charset val="134"/>
      </rPr>
      <t>原油</t>
    </r>
    <phoneticPr fontId="3" type="noConversion"/>
  </si>
  <si>
    <t>中石油《世界与中国能源展望2021》</t>
  </si>
  <si>
    <r>
      <rPr>
        <sz val="10"/>
        <rFont val="宋体"/>
        <family val="3"/>
        <charset val="134"/>
      </rPr>
      <t>天然气</t>
    </r>
    <phoneticPr fontId="3" type="noConversion"/>
  </si>
  <si>
    <t>亿立方米</t>
    <phoneticPr fontId="3" type="noConversion"/>
  </si>
  <si>
    <r>
      <rPr>
        <sz val="10"/>
        <rFont val="宋体"/>
        <family val="3"/>
        <charset val="134"/>
      </rPr>
      <t>石油、煤炭及其他燃料加工业</t>
    </r>
  </si>
  <si>
    <t>CO2</t>
    <phoneticPr fontId="3" type="noConversion"/>
  </si>
  <si>
    <r>
      <rPr>
        <sz val="10"/>
        <rFont val="宋体"/>
        <family val="3"/>
        <charset val="134"/>
      </rPr>
      <t>原油加工</t>
    </r>
    <phoneticPr fontId="3" type="noConversion"/>
  </si>
  <si>
    <t>加工量与原油产量挂钩</t>
  </si>
  <si>
    <r>
      <rPr>
        <sz val="10"/>
        <rFont val="宋体"/>
        <family val="3"/>
        <charset val="134"/>
      </rPr>
      <t>化学原料和化学制品制造业</t>
    </r>
  </si>
  <si>
    <r>
      <rPr>
        <sz val="10"/>
        <rFont val="宋体"/>
        <family val="3"/>
        <charset val="134"/>
      </rPr>
      <t>电石</t>
    </r>
    <phoneticPr fontId="3" type="noConversion"/>
  </si>
  <si>
    <t>万吨</t>
    <phoneticPr fontId="3" type="noConversion"/>
  </si>
  <si>
    <t>拍数</t>
    <phoneticPr fontId="3" type="noConversion"/>
  </si>
  <si>
    <t>N2O</t>
    <phoneticPr fontId="3" type="noConversion"/>
  </si>
  <si>
    <r>
      <rPr>
        <sz val="10"/>
        <rFont val="宋体"/>
        <family val="3"/>
        <charset val="134"/>
      </rPr>
      <t>己二酸</t>
    </r>
    <phoneticPr fontId="3" type="noConversion"/>
  </si>
  <si>
    <r>
      <rPr>
        <sz val="10"/>
        <rFont val="宋体"/>
        <family val="3"/>
        <charset val="134"/>
      </rPr>
      <t>浓硝酸</t>
    </r>
    <phoneticPr fontId="3" type="noConversion"/>
  </si>
  <si>
    <t>F-gases</t>
    <phoneticPr fontId="3" type="noConversion"/>
  </si>
  <si>
    <t>HCFCs</t>
    <phoneticPr fontId="3" type="noConversion"/>
  </si>
  <si>
    <r>
      <rPr>
        <sz val="10"/>
        <rFont val="宋体"/>
        <family val="3"/>
        <charset val="134"/>
      </rPr>
      <t>非金属矿物制品业</t>
    </r>
  </si>
  <si>
    <r>
      <rPr>
        <sz val="10"/>
        <rFont val="宋体"/>
        <family val="3"/>
        <charset val="134"/>
      </rPr>
      <t>水泥</t>
    </r>
    <phoneticPr fontId="3" type="noConversion"/>
  </si>
  <si>
    <t>中国能源研究会-内部报告</t>
  </si>
  <si>
    <r>
      <rPr>
        <sz val="10"/>
        <rFont val="宋体"/>
        <family val="3"/>
        <charset val="134"/>
      </rPr>
      <t>黑色金属冶炼和压延加工业</t>
    </r>
  </si>
  <si>
    <t>CO2+CH4</t>
    <phoneticPr fontId="3" type="noConversion"/>
  </si>
  <si>
    <r>
      <rPr>
        <sz val="10"/>
        <rFont val="宋体"/>
        <family val="3"/>
        <charset val="134"/>
      </rPr>
      <t>粗钢</t>
    </r>
    <phoneticPr fontId="3" type="noConversion"/>
  </si>
  <si>
    <r>
      <rPr>
        <sz val="10"/>
        <rFont val="宋体"/>
        <family val="3"/>
        <charset val="134"/>
      </rPr>
      <t>有色金属冶炼和压延加工业</t>
    </r>
    <phoneticPr fontId="3" type="noConversion"/>
  </si>
  <si>
    <r>
      <rPr>
        <sz val="10"/>
        <rFont val="宋体"/>
        <family val="3"/>
        <charset val="134"/>
      </rPr>
      <t>电解铝</t>
    </r>
    <phoneticPr fontId="3" type="noConversion"/>
  </si>
  <si>
    <r>
      <rPr>
        <sz val="10"/>
        <rFont val="宋体"/>
        <family val="3"/>
        <charset val="134"/>
      </rPr>
      <t>电气机械和器材制造业</t>
    </r>
  </si>
  <si>
    <t>用电量</t>
    <phoneticPr fontId="3" type="noConversion"/>
  </si>
  <si>
    <t>亿千瓦时</t>
    <phoneticPr fontId="3" type="noConversion"/>
  </si>
  <si>
    <t>废弃资源综合利用业</t>
    <phoneticPr fontId="3" type="noConversion"/>
  </si>
  <si>
    <t>CO2+CH4+N2O</t>
    <phoneticPr fontId="3" type="noConversion"/>
  </si>
  <si>
    <r>
      <rPr>
        <sz val="11"/>
        <color theme="1"/>
        <rFont val="宋体"/>
        <family val="1"/>
        <charset val="134"/>
      </rPr>
      <t>用于</t>
    </r>
    <r>
      <rPr>
        <sz val="11"/>
        <color theme="1"/>
        <rFont val="Times New Roman"/>
        <family val="1"/>
      </rPr>
      <t>BPE</t>
    </r>
    <phoneticPr fontId="3" type="noConversion"/>
  </si>
  <si>
    <t>非金属矿物制品业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</si>
</sst>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0"/>
  </numFmts>
  <fonts count="20" x14ac:knownFonts="1">
    <font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b/>
      <sz val="10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0"/>
      <name val="宋体"/>
      <family val="3"/>
      <charset val="134"/>
    </font>
    <font>
      <sz val="10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u/>
      <sz val="10"/>
      <color theme="10"/>
      <name val="等线"/>
      <family val="2"/>
      <scheme val="minor"/>
    </font>
    <font>
      <u/>
      <sz val="10"/>
      <color theme="10"/>
      <name val="宋体"/>
      <family val="3"/>
      <charset val="134"/>
    </font>
    <font>
      <b/>
      <sz val="10"/>
      <color theme="1"/>
      <name val="Times New Roman"/>
      <family val="1"/>
    </font>
    <font>
      <b/>
      <sz val="10"/>
      <color theme="1"/>
      <name val="宋体"/>
      <family val="1"/>
      <charset val="134"/>
    </font>
    <font>
      <sz val="10"/>
      <color theme="1"/>
      <name val="Times New Roman"/>
      <family val="1"/>
    </font>
    <font>
      <sz val="10"/>
      <color theme="1"/>
      <name val="宋体"/>
      <family val="1"/>
      <charset val="134"/>
    </font>
    <font>
      <sz val="10"/>
      <name val="Times New Roman"/>
      <family val="1"/>
    </font>
    <font>
      <sz val="11"/>
      <color theme="1"/>
      <name val="等线"/>
      <family val="2"/>
      <charset val="134"/>
      <scheme val="minor"/>
    </font>
    <font>
      <sz val="10"/>
      <name val="宋体"/>
      <family val="1"/>
      <charset val="134"/>
    </font>
    <font>
      <sz val="11"/>
      <color theme="1"/>
      <name val="Times New Roman"/>
      <family val="1"/>
    </font>
    <font>
      <sz val="11"/>
      <color theme="1"/>
      <name val="宋体"/>
      <family val="1"/>
      <charset val="134"/>
    </font>
    <font>
      <sz val="11"/>
      <color theme="1"/>
      <name val="Times New Roman"/>
      <family val="1"/>
      <charset val="134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5" fillId="0" borderId="0">
      <alignment vertical="center"/>
    </xf>
  </cellStyleXfs>
  <cellXfs count="10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49" fontId="5" fillId="2" borderId="5" xfId="0" applyNumberFormat="1" applyFont="1" applyFill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7" fillId="3" borderId="8" xfId="0" applyFont="1" applyFill="1" applyBorder="1" applyAlignment="1">
      <alignment vertical="center"/>
    </xf>
    <xf numFmtId="1" fontId="7" fillId="0" borderId="7" xfId="0" applyNumberFormat="1" applyFont="1" applyBorder="1" applyAlignment="1">
      <alignment vertical="center"/>
    </xf>
    <xf numFmtId="1" fontId="7" fillId="0" borderId="0" xfId="0" applyNumberFormat="1" applyFont="1" applyAlignment="1">
      <alignment vertical="center"/>
    </xf>
    <xf numFmtId="176" fontId="7" fillId="3" borderId="8" xfId="0" applyNumberFormat="1" applyFont="1" applyFill="1" applyBorder="1" applyAlignment="1">
      <alignment vertical="center"/>
    </xf>
    <xf numFmtId="2" fontId="7" fillId="3" borderId="8" xfId="0" applyNumberFormat="1" applyFont="1" applyFill="1" applyBorder="1" applyAlignment="1">
      <alignment horizontal="right" vertical="center"/>
    </xf>
    <xf numFmtId="177" fontId="7" fillId="3" borderId="8" xfId="0" applyNumberFormat="1" applyFont="1" applyFill="1" applyBorder="1" applyAlignment="1">
      <alignment vertical="center"/>
    </xf>
    <xf numFmtId="2" fontId="7" fillId="3" borderId="8" xfId="0" applyNumberFormat="1" applyFont="1" applyFill="1" applyBorder="1" applyAlignment="1">
      <alignment vertical="center"/>
    </xf>
    <xf numFmtId="49" fontId="5" fillId="4" borderId="6" xfId="0" applyNumberFormat="1" applyFont="1" applyFill="1" applyBorder="1" applyAlignment="1">
      <alignment horizontal="left" vertical="center"/>
    </xf>
    <xf numFmtId="49" fontId="5" fillId="2" borderId="6" xfId="0" applyNumberFormat="1" applyFont="1" applyFill="1" applyBorder="1" applyAlignment="1">
      <alignment horizontal="left" vertical="center"/>
    </xf>
    <xf numFmtId="1" fontId="7" fillId="3" borderId="8" xfId="0" applyNumberFormat="1" applyFont="1" applyFill="1" applyBorder="1" applyAlignment="1">
      <alignment vertical="center"/>
    </xf>
    <xf numFmtId="49" fontId="5" fillId="2" borderId="9" xfId="0" applyNumberFormat="1" applyFont="1" applyFill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176" fontId="7" fillId="3" borderId="11" xfId="0" applyNumberFormat="1" applyFont="1" applyFill="1" applyBorder="1" applyAlignment="1">
      <alignment vertical="center"/>
    </xf>
    <xf numFmtId="1" fontId="7" fillId="0" borderId="10" xfId="0" applyNumberFormat="1" applyFont="1" applyBorder="1" applyAlignment="1">
      <alignment vertical="center"/>
    </xf>
    <xf numFmtId="1" fontId="7" fillId="0" borderId="12" xfId="0" applyNumberFormat="1" applyFont="1" applyBorder="1" applyAlignment="1">
      <alignment vertical="center"/>
    </xf>
    <xf numFmtId="0" fontId="8" fillId="0" borderId="6" xfId="1" applyFont="1" applyBorder="1" applyAlignment="1">
      <alignment horizontal="left" vertical="center"/>
    </xf>
    <xf numFmtId="176" fontId="7" fillId="3" borderId="0" xfId="0" applyNumberFormat="1" applyFont="1" applyFill="1" applyAlignment="1">
      <alignment vertical="center"/>
    </xf>
    <xf numFmtId="2" fontId="7" fillId="3" borderId="0" xfId="0" applyNumberFormat="1" applyFont="1" applyFill="1" applyAlignment="1">
      <alignment vertical="center"/>
    </xf>
    <xf numFmtId="1" fontId="7" fillId="3" borderId="0" xfId="0" applyNumberFormat="1" applyFont="1" applyFill="1" applyAlignment="1">
      <alignment vertical="center"/>
    </xf>
    <xf numFmtId="1" fontId="7" fillId="3" borderId="12" xfId="0" applyNumberFormat="1" applyFont="1" applyFill="1" applyBorder="1" applyAlignment="1">
      <alignment vertical="center"/>
    </xf>
    <xf numFmtId="176" fontId="7" fillId="0" borderId="7" xfId="0" applyNumberFormat="1" applyFont="1" applyBorder="1" applyAlignment="1">
      <alignment vertical="center"/>
    </xf>
    <xf numFmtId="2" fontId="7" fillId="0" borderId="7" xfId="0" applyNumberFormat="1" applyFont="1" applyBorder="1" applyAlignment="1">
      <alignment vertical="center"/>
    </xf>
    <xf numFmtId="0" fontId="7" fillId="0" borderId="8" xfId="0" applyFont="1" applyBorder="1" applyAlignment="1">
      <alignment vertical="center"/>
    </xf>
    <xf numFmtId="2" fontId="7" fillId="0" borderId="8" xfId="0" applyNumberFormat="1" applyFont="1" applyBorder="1" applyAlignment="1">
      <alignment vertical="center"/>
    </xf>
    <xf numFmtId="1" fontId="7" fillId="0" borderId="8" xfId="0" applyNumberFormat="1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176" fontId="7" fillId="0" borderId="0" xfId="0" applyNumberFormat="1" applyFont="1" applyAlignment="1">
      <alignment vertical="center"/>
    </xf>
    <xf numFmtId="2" fontId="7" fillId="0" borderId="0" xfId="0" applyNumberFormat="1" applyFont="1" applyAlignment="1">
      <alignment vertical="center"/>
    </xf>
    <xf numFmtId="0" fontId="6" fillId="3" borderId="6" xfId="0" applyFont="1" applyFill="1" applyBorder="1" applyAlignment="1">
      <alignment horizontal="left" vertical="center"/>
    </xf>
    <xf numFmtId="0" fontId="7" fillId="0" borderId="0" xfId="0" applyFont="1"/>
    <xf numFmtId="0" fontId="6" fillId="0" borderId="2" xfId="0" applyFont="1" applyBorder="1"/>
    <xf numFmtId="0" fontId="6" fillId="0" borderId="4" xfId="0" applyFont="1" applyBorder="1"/>
    <xf numFmtId="0" fontId="6" fillId="0" borderId="3" xfId="0" applyFont="1" applyBorder="1"/>
    <xf numFmtId="0" fontId="9" fillId="0" borderId="6" xfId="1" applyFont="1" applyBorder="1" applyAlignment="1">
      <alignment horizontal="left" vertical="center"/>
    </xf>
    <xf numFmtId="1" fontId="7" fillId="0" borderId="13" xfId="0" applyNumberFormat="1" applyFont="1" applyBorder="1"/>
    <xf numFmtId="1" fontId="7" fillId="0" borderId="14" xfId="0" applyNumberFormat="1" applyFont="1" applyBorder="1"/>
    <xf numFmtId="1" fontId="7" fillId="0" borderId="15" xfId="0" applyNumberFormat="1" applyFont="1" applyBorder="1"/>
    <xf numFmtId="1" fontId="7" fillId="0" borderId="7" xfId="0" applyNumberFormat="1" applyFont="1" applyBorder="1"/>
    <xf numFmtId="1" fontId="7" fillId="0" borderId="0" xfId="0" applyNumberFormat="1" applyFont="1"/>
    <xf numFmtId="1" fontId="7" fillId="0" borderId="8" xfId="0" applyNumberFormat="1" applyFont="1" applyBorder="1"/>
    <xf numFmtId="1" fontId="7" fillId="0" borderId="10" xfId="0" applyNumberFormat="1" applyFont="1" applyBorder="1"/>
    <xf numFmtId="1" fontId="7" fillId="0" borderId="12" xfId="0" applyNumberFormat="1" applyFont="1" applyBorder="1"/>
    <xf numFmtId="1" fontId="7" fillId="0" borderId="11" xfId="0" applyNumberFormat="1" applyFont="1" applyBorder="1"/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14" xfId="0" applyFont="1" applyBorder="1" applyAlignment="1">
      <alignment horizontal="left"/>
    </xf>
    <xf numFmtId="0" fontId="12" fillId="0" borderId="15" xfId="0" applyFont="1" applyBorder="1" applyAlignment="1">
      <alignment horizontal="left"/>
    </xf>
    <xf numFmtId="0" fontId="13" fillId="0" borderId="1" xfId="0" applyFont="1" applyBorder="1"/>
    <xf numFmtId="0" fontId="12" fillId="0" borderId="1" xfId="0" applyFont="1" applyBorder="1"/>
    <xf numFmtId="49" fontId="14" fillId="0" borderId="13" xfId="0" applyNumberFormat="1" applyFont="1" applyBorder="1" applyAlignment="1">
      <alignment vertical="center"/>
    </xf>
    <xf numFmtId="49" fontId="14" fillId="0" borderId="14" xfId="0" applyNumberFormat="1" applyFont="1" applyBorder="1" applyAlignment="1">
      <alignment vertical="center"/>
    </xf>
    <xf numFmtId="49" fontId="14" fillId="0" borderId="15" xfId="0" applyNumberFormat="1" applyFont="1" applyBorder="1" applyAlignment="1">
      <alignment vertical="center"/>
    </xf>
    <xf numFmtId="0" fontId="13" fillId="0" borderId="6" xfId="0" applyFont="1" applyBorder="1"/>
    <xf numFmtId="0" fontId="6" fillId="0" borderId="6" xfId="2" applyFont="1" applyBorder="1" applyAlignment="1">
      <alignment horizontal="left" vertical="center"/>
    </xf>
    <xf numFmtId="49" fontId="14" fillId="0" borderId="7" xfId="0" applyNumberFormat="1" applyFont="1" applyBorder="1" applyAlignment="1">
      <alignment vertical="center"/>
    </xf>
    <xf numFmtId="49" fontId="14" fillId="0" borderId="0" xfId="0" applyNumberFormat="1" applyFont="1" applyAlignment="1">
      <alignment vertical="center"/>
    </xf>
    <xf numFmtId="49" fontId="14" fillId="0" borderId="8" xfId="0" applyNumberFormat="1" applyFont="1" applyBorder="1" applyAlignment="1">
      <alignment vertical="center"/>
    </xf>
    <xf numFmtId="0" fontId="13" fillId="4" borderId="6" xfId="0" applyFont="1" applyFill="1" applyBorder="1"/>
    <xf numFmtId="49" fontId="16" fillId="0" borderId="8" xfId="0" applyNumberFormat="1" applyFont="1" applyBorder="1" applyAlignment="1">
      <alignment vertical="center"/>
    </xf>
    <xf numFmtId="0" fontId="12" fillId="0" borderId="6" xfId="0" applyFont="1" applyBorder="1"/>
    <xf numFmtId="49" fontId="5" fillId="0" borderId="10" xfId="0" applyNumberFormat="1" applyFont="1" applyBorder="1" applyAlignment="1">
      <alignment vertical="center"/>
    </xf>
    <xf numFmtId="49" fontId="14" fillId="0" borderId="12" xfId="0" applyNumberFormat="1" applyFont="1" applyBorder="1" applyAlignment="1">
      <alignment vertical="center"/>
    </xf>
    <xf numFmtId="0" fontId="12" fillId="0" borderId="11" xfId="0" applyFont="1" applyBorder="1"/>
    <xf numFmtId="0" fontId="13" fillId="0" borderId="9" xfId="0" applyFont="1" applyBorder="1"/>
    <xf numFmtId="0" fontId="12" fillId="0" borderId="9" xfId="0" applyFont="1" applyBorder="1"/>
    <xf numFmtId="0" fontId="19" fillId="0" borderId="0" xfId="0" applyFont="1"/>
    <xf numFmtId="0" fontId="6" fillId="0" borderId="7" xfId="0" applyFont="1" applyBorder="1"/>
    <xf numFmtId="0" fontId="6" fillId="0" borderId="0" xfId="0" applyFont="1"/>
    <xf numFmtId="176" fontId="6" fillId="0" borderId="0" xfId="0" applyNumberFormat="1" applyFont="1"/>
    <xf numFmtId="176" fontId="6" fillId="0" borderId="8" xfId="0" applyNumberFormat="1" applyFont="1" applyBorder="1"/>
    <xf numFmtId="2" fontId="6" fillId="0" borderId="0" xfId="0" applyNumberFormat="1" applyFont="1"/>
    <xf numFmtId="2" fontId="6" fillId="0" borderId="8" xfId="0" applyNumberFormat="1" applyFont="1" applyBorder="1"/>
    <xf numFmtId="1" fontId="6" fillId="0" borderId="0" xfId="0" applyNumberFormat="1" applyFont="1"/>
    <xf numFmtId="1" fontId="6" fillId="0" borderId="8" xfId="0" applyNumberFormat="1" applyFont="1" applyBorder="1"/>
    <xf numFmtId="0" fontId="6" fillId="0" borderId="8" xfId="0" applyFont="1" applyBorder="1"/>
    <xf numFmtId="0" fontId="6" fillId="0" borderId="10" xfId="0" applyFont="1" applyBorder="1"/>
    <xf numFmtId="0" fontId="6" fillId="0" borderId="12" xfId="0" applyFont="1" applyBorder="1"/>
    <xf numFmtId="0" fontId="6" fillId="0" borderId="11" xfId="0" applyFont="1" applyBorder="1"/>
    <xf numFmtId="2" fontId="6" fillId="0" borderId="13" xfId="0" applyNumberFormat="1" applyFont="1" applyBorder="1"/>
    <xf numFmtId="2" fontId="6" fillId="0" borderId="14" xfId="0" applyNumberFormat="1" applyFont="1" applyBorder="1"/>
    <xf numFmtId="2" fontId="6" fillId="0" borderId="15" xfId="0" applyNumberFormat="1" applyFont="1" applyBorder="1"/>
    <xf numFmtId="176" fontId="6" fillId="0" borderId="13" xfId="0" applyNumberFormat="1" applyFont="1" applyBorder="1"/>
    <xf numFmtId="176" fontId="6" fillId="0" borderId="14" xfId="0" applyNumberFormat="1" applyFont="1" applyBorder="1"/>
    <xf numFmtId="176" fontId="6" fillId="0" borderId="15" xfId="0" applyNumberFormat="1" applyFont="1" applyBorder="1"/>
    <xf numFmtId="176" fontId="6" fillId="0" borderId="10" xfId="0" applyNumberFormat="1" applyFont="1" applyBorder="1"/>
    <xf numFmtId="176" fontId="6" fillId="0" borderId="12" xfId="0" applyNumberFormat="1" applyFont="1" applyBorder="1"/>
    <xf numFmtId="176" fontId="6" fillId="0" borderId="11" xfId="0" applyNumberFormat="1" applyFont="1" applyBorder="1"/>
    <xf numFmtId="1" fontId="6" fillId="0" borderId="7" xfId="0" applyNumberFormat="1" applyFont="1" applyBorder="1"/>
    <xf numFmtId="1" fontId="6" fillId="0" borderId="10" xfId="0" applyNumberFormat="1" applyFont="1" applyBorder="1"/>
    <xf numFmtId="1" fontId="6" fillId="0" borderId="12" xfId="0" applyNumberFormat="1" applyFont="1" applyBorder="1"/>
    <xf numFmtId="1" fontId="6" fillId="0" borderId="11" xfId="0" applyNumberFormat="1" applyFont="1" applyBorder="1"/>
  </cellXfs>
  <cellStyles count="3">
    <cellStyle name="常规" xfId="0" builtinId="0"/>
    <cellStyle name="常规 2" xfId="2" xr:uid="{60B03D1B-BF48-4D33-BA08-D998A6FEB3A0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9.6529851217271867E-2"/>
          <c:y val="7.3953624246632987E-2"/>
          <c:w val="0.88066357351279345"/>
          <c:h val="0.64617547806524189"/>
        </c:manualLayout>
      </c:layout>
      <c:lineChart>
        <c:grouping val="standard"/>
        <c:varyColors val="0"/>
        <c:ser>
          <c:idx val="0"/>
          <c:order val="0"/>
          <c:tx>
            <c:strRef>
              <c:f>高情景!$B$2</c:f>
              <c:strCache>
                <c:ptCount val="1"/>
                <c:pt idx="0">
                  <c:v>原煤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高情景!$E$1:$AS$1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">
                  <c:v>2026</c:v>
                </c:pt>
                <c:pt idx="7" formatCode="0">
                  <c:v>2027</c:v>
                </c:pt>
                <c:pt idx="8" formatCode="0">
                  <c:v>2028</c:v>
                </c:pt>
                <c:pt idx="9" formatCode="0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高情景!$E$2:$AS$2</c:f>
              <c:numCache>
                <c:formatCode>0.0</c:formatCode>
                <c:ptCount val="41"/>
                <c:pt idx="0" formatCode="General">
                  <c:v>39.020000000000003</c:v>
                </c:pt>
                <c:pt idx="1">
                  <c:v>41.26</c:v>
                </c:pt>
                <c:pt idx="2">
                  <c:v>45.59</c:v>
                </c:pt>
                <c:pt idx="3">
                  <c:v>46.56</c:v>
                </c:pt>
                <c:pt idx="4" formatCode="0">
                  <c:v>47.53</c:v>
                </c:pt>
                <c:pt idx="5" formatCode="General">
                  <c:v>48.5</c:v>
                </c:pt>
                <c:pt idx="6" formatCode="0">
                  <c:v>49</c:v>
                </c:pt>
                <c:pt idx="7" formatCode="0">
                  <c:v>49.5</c:v>
                </c:pt>
                <c:pt idx="8" formatCode="0">
                  <c:v>50</c:v>
                </c:pt>
                <c:pt idx="9" formatCode="0">
                  <c:v>50.5</c:v>
                </c:pt>
                <c:pt idx="10">
                  <c:v>51</c:v>
                </c:pt>
                <c:pt idx="11" formatCode="0">
                  <c:v>51.2</c:v>
                </c:pt>
                <c:pt idx="12" formatCode="0">
                  <c:v>51.400000000000006</c:v>
                </c:pt>
                <c:pt idx="13" formatCode="0">
                  <c:v>51.600000000000009</c:v>
                </c:pt>
                <c:pt idx="14" formatCode="0">
                  <c:v>51.800000000000011</c:v>
                </c:pt>
                <c:pt idx="15" formatCode="0.00">
                  <c:v>52</c:v>
                </c:pt>
                <c:pt idx="16" formatCode="0">
                  <c:v>51.6</c:v>
                </c:pt>
                <c:pt idx="17" formatCode="0">
                  <c:v>51.2</c:v>
                </c:pt>
                <c:pt idx="18" formatCode="0">
                  <c:v>50.800000000000004</c:v>
                </c:pt>
                <c:pt idx="19" formatCode="0">
                  <c:v>50.400000000000006</c:v>
                </c:pt>
                <c:pt idx="20" formatCode="0.000">
                  <c:v>50</c:v>
                </c:pt>
                <c:pt idx="21" formatCode="0">
                  <c:v>49</c:v>
                </c:pt>
                <c:pt idx="22" formatCode="0">
                  <c:v>48</c:v>
                </c:pt>
                <c:pt idx="23" formatCode="0">
                  <c:v>47</c:v>
                </c:pt>
                <c:pt idx="24" formatCode="0">
                  <c:v>46</c:v>
                </c:pt>
                <c:pt idx="25" formatCode="0.00">
                  <c:v>45</c:v>
                </c:pt>
                <c:pt idx="26" formatCode="0">
                  <c:v>44</c:v>
                </c:pt>
                <c:pt idx="27" formatCode="0">
                  <c:v>43</c:v>
                </c:pt>
                <c:pt idx="28" formatCode="0">
                  <c:v>42</c:v>
                </c:pt>
                <c:pt idx="29" formatCode="0">
                  <c:v>41</c:v>
                </c:pt>
                <c:pt idx="30" formatCode="0.00">
                  <c:v>40</c:v>
                </c:pt>
                <c:pt idx="31" formatCode="0">
                  <c:v>39.200000000000003</c:v>
                </c:pt>
                <c:pt idx="32" formatCode="0">
                  <c:v>38.400000000000006</c:v>
                </c:pt>
                <c:pt idx="33" formatCode="0">
                  <c:v>37.600000000000009</c:v>
                </c:pt>
                <c:pt idx="34" formatCode="0">
                  <c:v>36.800000000000011</c:v>
                </c:pt>
                <c:pt idx="35" formatCode="0.00">
                  <c:v>36</c:v>
                </c:pt>
                <c:pt idx="36" formatCode="0">
                  <c:v>35</c:v>
                </c:pt>
                <c:pt idx="37" formatCode="0">
                  <c:v>34</c:v>
                </c:pt>
                <c:pt idx="38" formatCode="0">
                  <c:v>33</c:v>
                </c:pt>
                <c:pt idx="39" formatCode="0">
                  <c:v>32</c:v>
                </c:pt>
                <c:pt idx="40" formatCode="0.00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02-4502-9F67-4E8DADD8E1E6}"/>
            </c:ext>
          </c:extLst>
        </c:ser>
        <c:ser>
          <c:idx val="1"/>
          <c:order val="1"/>
          <c:tx>
            <c:strRef>
              <c:f>高情景!$B$3</c:f>
              <c:strCache>
                <c:ptCount val="1"/>
                <c:pt idx="0">
                  <c:v>原油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高情景!$E$1:$AS$1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">
                  <c:v>2026</c:v>
                </c:pt>
                <c:pt idx="7" formatCode="0">
                  <c:v>2027</c:v>
                </c:pt>
                <c:pt idx="8" formatCode="0">
                  <c:v>2028</c:v>
                </c:pt>
                <c:pt idx="9" formatCode="0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高情景!$E$3:$AS$3</c:f>
              <c:numCache>
                <c:formatCode>0.00</c:formatCode>
                <c:ptCount val="41"/>
                <c:pt idx="0">
                  <c:v>1.9477</c:v>
                </c:pt>
                <c:pt idx="1">
                  <c:v>1.9887999999999999</c:v>
                </c:pt>
                <c:pt idx="2">
                  <c:v>2.0472000000000001</c:v>
                </c:pt>
                <c:pt idx="3">
                  <c:v>2.0881333333333334</c:v>
                </c:pt>
                <c:pt idx="4">
                  <c:v>2.1290666666666667</c:v>
                </c:pt>
                <c:pt idx="5" formatCode="General">
                  <c:v>2.17</c:v>
                </c:pt>
                <c:pt idx="6" formatCode="0">
                  <c:v>2.1760000000000002</c:v>
                </c:pt>
                <c:pt idx="7" formatCode="0">
                  <c:v>2.1820000000000004</c:v>
                </c:pt>
                <c:pt idx="8" formatCode="0">
                  <c:v>2.1880000000000006</c:v>
                </c:pt>
                <c:pt idx="9" formatCode="0">
                  <c:v>2.1940000000000008</c:v>
                </c:pt>
                <c:pt idx="10" formatCode="General">
                  <c:v>2.2000000000000002</c:v>
                </c:pt>
                <c:pt idx="11" formatCode="0">
                  <c:v>2.2160000000000002</c:v>
                </c:pt>
                <c:pt idx="12" formatCode="0">
                  <c:v>2.2320000000000002</c:v>
                </c:pt>
                <c:pt idx="13" formatCode="0">
                  <c:v>2.2480000000000002</c:v>
                </c:pt>
                <c:pt idx="14" formatCode="0">
                  <c:v>2.2640000000000002</c:v>
                </c:pt>
                <c:pt idx="15" formatCode="General">
                  <c:v>2.2799999999999998</c:v>
                </c:pt>
                <c:pt idx="16" formatCode="0">
                  <c:v>2.2839999999999998</c:v>
                </c:pt>
                <c:pt idx="17" formatCode="0">
                  <c:v>2.2879999999999998</c:v>
                </c:pt>
                <c:pt idx="18" formatCode="0">
                  <c:v>2.2919999999999998</c:v>
                </c:pt>
                <c:pt idx="19" formatCode="0">
                  <c:v>2.2959999999999998</c:v>
                </c:pt>
                <c:pt idx="20" formatCode="General">
                  <c:v>2.2999999999999998</c:v>
                </c:pt>
                <c:pt idx="21" formatCode="0">
                  <c:v>2.2799999999999998</c:v>
                </c:pt>
                <c:pt idx="22" formatCode="0">
                  <c:v>2.2599999999999998</c:v>
                </c:pt>
                <c:pt idx="23" formatCode="0">
                  <c:v>2.2399999999999998</c:v>
                </c:pt>
                <c:pt idx="24" formatCode="0">
                  <c:v>2.2199999999999998</c:v>
                </c:pt>
                <c:pt idx="25" formatCode="General">
                  <c:v>2.2000000000000002</c:v>
                </c:pt>
                <c:pt idx="26" formatCode="0">
                  <c:v>2.1800000000000002</c:v>
                </c:pt>
                <c:pt idx="27" formatCode="0">
                  <c:v>2.16</c:v>
                </c:pt>
                <c:pt idx="28" formatCode="0">
                  <c:v>2.14</c:v>
                </c:pt>
                <c:pt idx="29" formatCode="0">
                  <c:v>2.12</c:v>
                </c:pt>
                <c:pt idx="30" formatCode="General">
                  <c:v>2.1</c:v>
                </c:pt>
                <c:pt idx="31" formatCode="0">
                  <c:v>2.0700000000000003</c:v>
                </c:pt>
                <c:pt idx="32" formatCode="0">
                  <c:v>2.04</c:v>
                </c:pt>
                <c:pt idx="33" formatCode="0">
                  <c:v>2.0099999999999998</c:v>
                </c:pt>
                <c:pt idx="34" formatCode="0">
                  <c:v>1.9799999999999998</c:v>
                </c:pt>
                <c:pt idx="35" formatCode="General">
                  <c:v>1.95</c:v>
                </c:pt>
                <c:pt idx="36" formatCode="0">
                  <c:v>1.9379999999999999</c:v>
                </c:pt>
                <c:pt idx="37" formatCode="0">
                  <c:v>1.9259999999999999</c:v>
                </c:pt>
                <c:pt idx="38" formatCode="0">
                  <c:v>1.9139999999999999</c:v>
                </c:pt>
                <c:pt idx="39" formatCode="0">
                  <c:v>1.9019999999999999</c:v>
                </c:pt>
                <c:pt idx="40" formatCode="General">
                  <c:v>1.89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02-4502-9F67-4E8DADD8E1E6}"/>
            </c:ext>
          </c:extLst>
        </c:ser>
        <c:ser>
          <c:idx val="2"/>
          <c:order val="2"/>
          <c:tx>
            <c:strRef>
              <c:f>高情景!$B$4</c:f>
              <c:strCache>
                <c:ptCount val="1"/>
                <c:pt idx="0">
                  <c:v>天然气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高情景!$E$1:$AS$1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">
                  <c:v>2026</c:v>
                </c:pt>
                <c:pt idx="7" formatCode="0">
                  <c:v>2027</c:v>
                </c:pt>
                <c:pt idx="8" formatCode="0">
                  <c:v>2028</c:v>
                </c:pt>
                <c:pt idx="9" formatCode="0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高情景!$E$4:$AS$4</c:f>
              <c:numCache>
                <c:formatCode>0</c:formatCode>
                <c:ptCount val="41"/>
                <c:pt idx="0">
                  <c:v>1924.95</c:v>
                </c:pt>
                <c:pt idx="1">
                  <c:v>2075.84</c:v>
                </c:pt>
                <c:pt idx="2">
                  <c:v>2201.1</c:v>
                </c:pt>
                <c:pt idx="3">
                  <c:v>2298.4</c:v>
                </c:pt>
                <c:pt idx="4">
                  <c:v>2395.7000000000003</c:v>
                </c:pt>
                <c:pt idx="5" formatCode="General">
                  <c:v>2493</c:v>
                </c:pt>
                <c:pt idx="6">
                  <c:v>2554.4</c:v>
                </c:pt>
                <c:pt idx="7">
                  <c:v>2615.8000000000002</c:v>
                </c:pt>
                <c:pt idx="8">
                  <c:v>2677.2000000000003</c:v>
                </c:pt>
                <c:pt idx="9">
                  <c:v>2738.6000000000004</c:v>
                </c:pt>
                <c:pt idx="10" formatCode="General">
                  <c:v>2800</c:v>
                </c:pt>
                <c:pt idx="11">
                  <c:v>2840</c:v>
                </c:pt>
                <c:pt idx="12">
                  <c:v>2880</c:v>
                </c:pt>
                <c:pt idx="13">
                  <c:v>2920</c:v>
                </c:pt>
                <c:pt idx="14">
                  <c:v>2960</c:v>
                </c:pt>
                <c:pt idx="15" formatCode="General">
                  <c:v>3000</c:v>
                </c:pt>
                <c:pt idx="16">
                  <c:v>3040</c:v>
                </c:pt>
                <c:pt idx="17">
                  <c:v>3080</c:v>
                </c:pt>
                <c:pt idx="18">
                  <c:v>3120</c:v>
                </c:pt>
                <c:pt idx="19">
                  <c:v>3160</c:v>
                </c:pt>
                <c:pt idx="20" formatCode="General">
                  <c:v>3200</c:v>
                </c:pt>
                <c:pt idx="21">
                  <c:v>3220</c:v>
                </c:pt>
                <c:pt idx="22">
                  <c:v>3240</c:v>
                </c:pt>
                <c:pt idx="23">
                  <c:v>3260</c:v>
                </c:pt>
                <c:pt idx="24">
                  <c:v>3280</c:v>
                </c:pt>
                <c:pt idx="25" formatCode="General">
                  <c:v>3300</c:v>
                </c:pt>
                <c:pt idx="26">
                  <c:v>3320</c:v>
                </c:pt>
                <c:pt idx="27">
                  <c:v>3340</c:v>
                </c:pt>
                <c:pt idx="28">
                  <c:v>3360</c:v>
                </c:pt>
                <c:pt idx="29">
                  <c:v>3380</c:v>
                </c:pt>
                <c:pt idx="30" formatCode="General">
                  <c:v>3400</c:v>
                </c:pt>
                <c:pt idx="31">
                  <c:v>3420</c:v>
                </c:pt>
                <c:pt idx="32">
                  <c:v>3440</c:v>
                </c:pt>
                <c:pt idx="33">
                  <c:v>3460</c:v>
                </c:pt>
                <c:pt idx="34">
                  <c:v>3480</c:v>
                </c:pt>
                <c:pt idx="35" formatCode="General">
                  <c:v>3500</c:v>
                </c:pt>
                <c:pt idx="36">
                  <c:v>3500</c:v>
                </c:pt>
                <c:pt idx="37">
                  <c:v>3500</c:v>
                </c:pt>
                <c:pt idx="38">
                  <c:v>3500</c:v>
                </c:pt>
                <c:pt idx="39">
                  <c:v>3500</c:v>
                </c:pt>
                <c:pt idx="40" formatCode="General">
                  <c:v>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02-4502-9F67-4E8DADD8E1E6}"/>
            </c:ext>
          </c:extLst>
        </c:ser>
        <c:ser>
          <c:idx val="3"/>
          <c:order val="3"/>
          <c:tx>
            <c:strRef>
              <c:f>高情景!$B$5</c:f>
              <c:strCache>
                <c:ptCount val="1"/>
                <c:pt idx="0">
                  <c:v>铁矿石原矿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高情景!$E$1:$AS$1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">
                  <c:v>2026</c:v>
                </c:pt>
                <c:pt idx="7" formatCode="0">
                  <c:v>2027</c:v>
                </c:pt>
                <c:pt idx="8" formatCode="0">
                  <c:v>2028</c:v>
                </c:pt>
                <c:pt idx="9" formatCode="0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高情景!$E$5:$AS$5</c:f>
              <c:numCache>
                <c:formatCode>0.00</c:formatCode>
                <c:ptCount val="41"/>
                <c:pt idx="0">
                  <c:v>8.6671999999999993</c:v>
                </c:pt>
                <c:pt idx="1">
                  <c:v>9.8053000000000008</c:v>
                </c:pt>
                <c:pt idx="2">
                  <c:v>9.6786999999999992</c:v>
                </c:pt>
                <c:pt idx="3" formatCode="0">
                  <c:v>9.9387138206941525</c:v>
                </c:pt>
                <c:pt idx="4" formatCode="0">
                  <c:v>10.198727641388306</c:v>
                </c:pt>
                <c:pt idx="5">
                  <c:v>10.458741462082459</c:v>
                </c:pt>
                <c:pt idx="6" formatCode="0">
                  <c:v>10.591852717054419</c:v>
                </c:pt>
                <c:pt idx="7" formatCode="0">
                  <c:v>10.724963972026378</c:v>
                </c:pt>
                <c:pt idx="8" formatCode="0">
                  <c:v>10.858075226998338</c:v>
                </c:pt>
                <c:pt idx="9" formatCode="0">
                  <c:v>10.991186481970297</c:v>
                </c:pt>
                <c:pt idx="10">
                  <c:v>11.124297736942253</c:v>
                </c:pt>
                <c:pt idx="11" formatCode="0">
                  <c:v>11.086265949807409</c:v>
                </c:pt>
                <c:pt idx="12" formatCode="0">
                  <c:v>11.048234162672564</c:v>
                </c:pt>
                <c:pt idx="13" formatCode="0">
                  <c:v>11.01020237553772</c:v>
                </c:pt>
                <c:pt idx="14" formatCode="0">
                  <c:v>10.972170588402875</c:v>
                </c:pt>
                <c:pt idx="15">
                  <c:v>10.934138801268027</c:v>
                </c:pt>
                <c:pt idx="16" formatCode="0">
                  <c:v>10.743979865593801</c:v>
                </c:pt>
                <c:pt idx="17" formatCode="0">
                  <c:v>10.553820929919574</c:v>
                </c:pt>
                <c:pt idx="18" formatCode="0">
                  <c:v>10.363661994245348</c:v>
                </c:pt>
                <c:pt idx="19" formatCode="0">
                  <c:v>10.173503058571121</c:v>
                </c:pt>
                <c:pt idx="20">
                  <c:v>9.9833441228968933</c:v>
                </c:pt>
                <c:pt idx="21" formatCode="0">
                  <c:v>9.7551534000878206</c:v>
                </c:pt>
                <c:pt idx="22" formatCode="0">
                  <c:v>9.5269626772787479</c:v>
                </c:pt>
                <c:pt idx="23" formatCode="0">
                  <c:v>9.2987719544696752</c:v>
                </c:pt>
                <c:pt idx="24" formatCode="0">
                  <c:v>9.0705812316606025</c:v>
                </c:pt>
                <c:pt idx="25">
                  <c:v>8.8423905088515333</c:v>
                </c:pt>
                <c:pt idx="26" formatCode="0">
                  <c:v>8.652231573177307</c:v>
                </c:pt>
                <c:pt idx="27" formatCode="0">
                  <c:v>8.4620726375030806</c:v>
                </c:pt>
                <c:pt idx="28" formatCode="0">
                  <c:v>8.2719137018288542</c:v>
                </c:pt>
                <c:pt idx="29" formatCode="0">
                  <c:v>8.0817547661546278</c:v>
                </c:pt>
                <c:pt idx="30">
                  <c:v>7.8915958304804006</c:v>
                </c:pt>
                <c:pt idx="31" formatCode="0">
                  <c:v>7.682421001238751</c:v>
                </c:pt>
                <c:pt idx="32" formatCode="0">
                  <c:v>7.4732461719971015</c:v>
                </c:pt>
                <c:pt idx="33" formatCode="0">
                  <c:v>7.264071342755452</c:v>
                </c:pt>
                <c:pt idx="34" formatCode="0">
                  <c:v>7.0548965135138024</c:v>
                </c:pt>
                <c:pt idx="35">
                  <c:v>6.8457216842721547</c:v>
                </c:pt>
                <c:pt idx="36" formatCode="0">
                  <c:v>6.7316263228676183</c:v>
                </c:pt>
                <c:pt idx="37" formatCode="0">
                  <c:v>6.617530961463082</c:v>
                </c:pt>
                <c:pt idx="38" formatCode="0">
                  <c:v>6.5034356000585456</c:v>
                </c:pt>
                <c:pt idx="39" formatCode="0">
                  <c:v>6.3893402386540092</c:v>
                </c:pt>
                <c:pt idx="40">
                  <c:v>6.2752448772494747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402-4502-9F67-4E8DADD8E1E6}"/>
            </c:ext>
          </c:extLst>
        </c:ser>
        <c:ser>
          <c:idx val="4"/>
          <c:order val="4"/>
          <c:tx>
            <c:strRef>
              <c:f>高情景!$B$6</c:f>
              <c:strCache>
                <c:ptCount val="1"/>
                <c:pt idx="0">
                  <c:v>铜矿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高情景!$E$1:$AS$1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">
                  <c:v>2026</c:v>
                </c:pt>
                <c:pt idx="7" formatCode="0">
                  <c:v>2027</c:v>
                </c:pt>
                <c:pt idx="8" formatCode="0">
                  <c:v>2028</c:v>
                </c:pt>
                <c:pt idx="9" formatCode="0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高情景!$E$6:$AS$6</c:f>
              <c:numCache>
                <c:formatCode>0</c:formatCode>
                <c:ptCount val="41"/>
                <c:pt idx="0" formatCode="General">
                  <c:v>172</c:v>
                </c:pt>
                <c:pt idx="1">
                  <c:v>191</c:v>
                </c:pt>
                <c:pt idx="2">
                  <c:v>194</c:v>
                </c:pt>
                <c:pt idx="3">
                  <c:v>219.50933697995856</c:v>
                </c:pt>
                <c:pt idx="4">
                  <c:v>245.01867395991712</c:v>
                </c:pt>
                <c:pt idx="5">
                  <c:v>270.52801093987568</c:v>
                </c:pt>
                <c:pt idx="6">
                  <c:v>282.7454049823217</c:v>
                </c:pt>
                <c:pt idx="7">
                  <c:v>294.96279902476772</c:v>
                </c:pt>
                <c:pt idx="8">
                  <c:v>307.18019306721374</c:v>
                </c:pt>
                <c:pt idx="9">
                  <c:v>319.39758710965975</c:v>
                </c:pt>
                <c:pt idx="10">
                  <c:v>331.61498115210566</c:v>
                </c:pt>
                <c:pt idx="11">
                  <c:v>338.59634917636055</c:v>
                </c:pt>
                <c:pt idx="12">
                  <c:v>345.57771720061544</c:v>
                </c:pt>
                <c:pt idx="13">
                  <c:v>352.55908522487033</c:v>
                </c:pt>
                <c:pt idx="14">
                  <c:v>359.54045324912522</c:v>
                </c:pt>
                <c:pt idx="15">
                  <c:v>366.52182127338</c:v>
                </c:pt>
                <c:pt idx="16">
                  <c:v>370.01250528550742</c:v>
                </c:pt>
                <c:pt idx="17">
                  <c:v>373.50318929763483</c:v>
                </c:pt>
                <c:pt idx="18">
                  <c:v>376.99387330976225</c:v>
                </c:pt>
                <c:pt idx="19">
                  <c:v>380.48455732188967</c:v>
                </c:pt>
                <c:pt idx="20">
                  <c:v>383.97524133401714</c:v>
                </c:pt>
                <c:pt idx="21">
                  <c:v>385.72058334008085</c:v>
                </c:pt>
                <c:pt idx="22">
                  <c:v>387.46592534614456</c:v>
                </c:pt>
                <c:pt idx="23">
                  <c:v>389.21126735220827</c:v>
                </c:pt>
                <c:pt idx="24">
                  <c:v>390.95660935827198</c:v>
                </c:pt>
                <c:pt idx="25">
                  <c:v>392.70195136433568</c:v>
                </c:pt>
                <c:pt idx="26">
                  <c:v>394.44729337039939</c:v>
                </c:pt>
                <c:pt idx="27">
                  <c:v>396.1926353764631</c:v>
                </c:pt>
                <c:pt idx="28">
                  <c:v>397.93797738252681</c:v>
                </c:pt>
                <c:pt idx="29">
                  <c:v>399.68331938859052</c:v>
                </c:pt>
                <c:pt idx="30">
                  <c:v>401.42866139465423</c:v>
                </c:pt>
                <c:pt idx="31">
                  <c:v>403.17400340071794</c:v>
                </c:pt>
                <c:pt idx="32">
                  <c:v>404.91934540678164</c:v>
                </c:pt>
                <c:pt idx="33">
                  <c:v>406.66468741284535</c:v>
                </c:pt>
                <c:pt idx="34">
                  <c:v>408.41002941890906</c:v>
                </c:pt>
                <c:pt idx="35">
                  <c:v>410.15537142497283</c:v>
                </c:pt>
                <c:pt idx="36">
                  <c:v>411.55164502982382</c:v>
                </c:pt>
                <c:pt idx="37">
                  <c:v>412.94791863467481</c:v>
                </c:pt>
                <c:pt idx="38">
                  <c:v>414.3441922395258</c:v>
                </c:pt>
                <c:pt idx="39">
                  <c:v>415.74046584437679</c:v>
                </c:pt>
                <c:pt idx="40">
                  <c:v>417.13673944922772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402-4502-9F67-4E8DADD8E1E6}"/>
            </c:ext>
          </c:extLst>
        </c:ser>
        <c:ser>
          <c:idx val="5"/>
          <c:order val="5"/>
          <c:tx>
            <c:strRef>
              <c:f>高情景!$B$7</c:f>
              <c:strCache>
                <c:ptCount val="1"/>
                <c:pt idx="0">
                  <c:v>铝土矿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高情景!$E$1:$AS$1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">
                  <c:v>2026</c:v>
                </c:pt>
                <c:pt idx="7" formatCode="0">
                  <c:v>2027</c:v>
                </c:pt>
                <c:pt idx="8" formatCode="0">
                  <c:v>2028</c:v>
                </c:pt>
                <c:pt idx="9" formatCode="0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高情景!$E$7:$AS$7</c:f>
              <c:numCache>
                <c:formatCode>0</c:formatCode>
                <c:ptCount val="41"/>
                <c:pt idx="0" formatCode="General">
                  <c:v>9269</c:v>
                </c:pt>
                <c:pt idx="1">
                  <c:v>8500</c:v>
                </c:pt>
                <c:pt idx="2">
                  <c:v>9000</c:v>
                </c:pt>
                <c:pt idx="3">
                  <c:v>9362.868452059196</c:v>
                </c:pt>
                <c:pt idx="4">
                  <c:v>9725.736904118392</c:v>
                </c:pt>
                <c:pt idx="5">
                  <c:v>10088.605356177588</c:v>
                </c:pt>
                <c:pt idx="6">
                  <c:v>10245.539217273683</c:v>
                </c:pt>
                <c:pt idx="7">
                  <c:v>10402.473078369778</c:v>
                </c:pt>
                <c:pt idx="8">
                  <c:v>10559.406939465873</c:v>
                </c:pt>
                <c:pt idx="9">
                  <c:v>10716.340800561968</c:v>
                </c:pt>
                <c:pt idx="10">
                  <c:v>10873.274661658066</c:v>
                </c:pt>
                <c:pt idx="11">
                  <c:v>10985.370276726706</c:v>
                </c:pt>
                <c:pt idx="12">
                  <c:v>11097.465891795346</c:v>
                </c:pt>
                <c:pt idx="13">
                  <c:v>11209.561506863985</c:v>
                </c:pt>
                <c:pt idx="14">
                  <c:v>11321.657121932625</c:v>
                </c:pt>
                <c:pt idx="15">
                  <c:v>11433.752737001267</c:v>
                </c:pt>
                <c:pt idx="16">
                  <c:v>11388.914490973812</c:v>
                </c:pt>
                <c:pt idx="17">
                  <c:v>11344.076244946356</c:v>
                </c:pt>
                <c:pt idx="18">
                  <c:v>11299.237998918901</c:v>
                </c:pt>
                <c:pt idx="19">
                  <c:v>11254.399752891446</c:v>
                </c:pt>
                <c:pt idx="20">
                  <c:v>11209.561506863987</c:v>
                </c:pt>
                <c:pt idx="21">
                  <c:v>11119.885014809075</c:v>
                </c:pt>
                <c:pt idx="22">
                  <c:v>11030.208522754163</c:v>
                </c:pt>
                <c:pt idx="23">
                  <c:v>10940.532030699251</c:v>
                </c:pt>
                <c:pt idx="24">
                  <c:v>10850.855538644339</c:v>
                </c:pt>
                <c:pt idx="25">
                  <c:v>10761.179046589428</c:v>
                </c:pt>
                <c:pt idx="26">
                  <c:v>10626.664308507061</c:v>
                </c:pt>
                <c:pt idx="27">
                  <c:v>10492.149570424694</c:v>
                </c:pt>
                <c:pt idx="28">
                  <c:v>10357.634832342326</c:v>
                </c:pt>
                <c:pt idx="29">
                  <c:v>10223.120094259959</c:v>
                </c:pt>
                <c:pt idx="30">
                  <c:v>10088.60535617759</c:v>
                </c:pt>
                <c:pt idx="31">
                  <c:v>9954.0906180952225</c:v>
                </c:pt>
                <c:pt idx="32">
                  <c:v>9819.5758800128551</c:v>
                </c:pt>
                <c:pt idx="33">
                  <c:v>9685.0611419304878</c:v>
                </c:pt>
                <c:pt idx="34">
                  <c:v>9550.5464038481205</c:v>
                </c:pt>
                <c:pt idx="35">
                  <c:v>9416.0316657657513</c:v>
                </c:pt>
                <c:pt idx="36">
                  <c:v>9236.678681655927</c:v>
                </c:pt>
                <c:pt idx="37">
                  <c:v>9057.3256975461027</c:v>
                </c:pt>
                <c:pt idx="38">
                  <c:v>8877.9727134362784</c:v>
                </c:pt>
                <c:pt idx="39">
                  <c:v>8698.619729326454</c:v>
                </c:pt>
                <c:pt idx="40">
                  <c:v>8519.2667452166315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402-4502-9F67-4E8DADD8E1E6}"/>
            </c:ext>
          </c:extLst>
        </c:ser>
        <c:ser>
          <c:idx val="6"/>
          <c:order val="6"/>
          <c:tx>
            <c:strRef>
              <c:f>高情景!$B$8</c:f>
              <c:strCache>
                <c:ptCount val="1"/>
                <c:pt idx="0">
                  <c:v>石灰石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高情景!$E$1:$AS$1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">
                  <c:v>2026</c:v>
                </c:pt>
                <c:pt idx="7" formatCode="0">
                  <c:v>2027</c:v>
                </c:pt>
                <c:pt idx="8" formatCode="0">
                  <c:v>2028</c:v>
                </c:pt>
                <c:pt idx="9" formatCode="0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高情景!$E$8:$AS$8</c:f>
              <c:numCache>
                <c:formatCode>0</c:formatCode>
                <c:ptCount val="41"/>
                <c:pt idx="0" formatCode="0.00">
                  <c:v>31.55</c:v>
                </c:pt>
                <c:pt idx="1">
                  <c:v>31.4</c:v>
                </c:pt>
                <c:pt idx="2" formatCode="0.0">
                  <c:v>28.79</c:v>
                </c:pt>
                <c:pt idx="3">
                  <c:v>28.85491368809582</c:v>
                </c:pt>
                <c:pt idx="4">
                  <c:v>28.919827376191641</c:v>
                </c:pt>
                <c:pt idx="5" formatCode="0.00">
                  <c:v>28.984741064287459</c:v>
                </c:pt>
                <c:pt idx="6">
                  <c:v>28.721243418248481</c:v>
                </c:pt>
                <c:pt idx="7">
                  <c:v>28.457745772209503</c:v>
                </c:pt>
                <c:pt idx="8">
                  <c:v>28.194248126170525</c:v>
                </c:pt>
                <c:pt idx="9">
                  <c:v>27.930750480131547</c:v>
                </c:pt>
                <c:pt idx="10" formatCode="0.00">
                  <c:v>27.667252834092576</c:v>
                </c:pt>
                <c:pt idx="11">
                  <c:v>27.272006365034109</c:v>
                </c:pt>
                <c:pt idx="12">
                  <c:v>26.876759895975642</c:v>
                </c:pt>
                <c:pt idx="13">
                  <c:v>26.481513426917175</c:v>
                </c:pt>
                <c:pt idx="14">
                  <c:v>26.086266957858708</c:v>
                </c:pt>
                <c:pt idx="15" formatCode="0.00">
                  <c:v>25.691020488800248</c:v>
                </c:pt>
                <c:pt idx="16">
                  <c:v>25.164025196722296</c:v>
                </c:pt>
                <c:pt idx="17">
                  <c:v>24.637029904644344</c:v>
                </c:pt>
                <c:pt idx="18">
                  <c:v>24.110034612566391</c:v>
                </c:pt>
                <c:pt idx="19">
                  <c:v>23.583039320488439</c:v>
                </c:pt>
                <c:pt idx="20" formatCode="0.00">
                  <c:v>23.056044028410479</c:v>
                </c:pt>
                <c:pt idx="21">
                  <c:v>22.529048736332527</c:v>
                </c:pt>
                <c:pt idx="22">
                  <c:v>22.002053444254575</c:v>
                </c:pt>
                <c:pt idx="23">
                  <c:v>21.475058152176622</c:v>
                </c:pt>
                <c:pt idx="24">
                  <c:v>20.94806286009867</c:v>
                </c:pt>
                <c:pt idx="25" formatCode="0.00">
                  <c:v>20.42106756802071</c:v>
                </c:pt>
                <c:pt idx="26">
                  <c:v>19.894072275942758</c:v>
                </c:pt>
                <c:pt idx="27">
                  <c:v>19.367076983864806</c:v>
                </c:pt>
                <c:pt idx="28">
                  <c:v>18.840081691786853</c:v>
                </c:pt>
                <c:pt idx="29">
                  <c:v>18.313086399708901</c:v>
                </c:pt>
                <c:pt idx="30" formatCode="0.00">
                  <c:v>17.786091107630941</c:v>
                </c:pt>
                <c:pt idx="31">
                  <c:v>17.390844638572474</c:v>
                </c:pt>
                <c:pt idx="32">
                  <c:v>16.995598169514007</c:v>
                </c:pt>
                <c:pt idx="33">
                  <c:v>16.600351700455541</c:v>
                </c:pt>
                <c:pt idx="34">
                  <c:v>16.205105231397074</c:v>
                </c:pt>
                <c:pt idx="35" formatCode="0.00">
                  <c:v>15.809858762338614</c:v>
                </c:pt>
                <c:pt idx="36">
                  <c:v>15.546361116299638</c:v>
                </c:pt>
                <c:pt idx="37">
                  <c:v>15.282863470260661</c:v>
                </c:pt>
                <c:pt idx="38">
                  <c:v>15.019365824221685</c:v>
                </c:pt>
                <c:pt idx="39">
                  <c:v>14.755868178182709</c:v>
                </c:pt>
                <c:pt idx="40" formatCode="0.00">
                  <c:v>14.492370532143729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402-4502-9F67-4E8DADD8E1E6}"/>
            </c:ext>
          </c:extLst>
        </c:ser>
        <c:ser>
          <c:idx val="7"/>
          <c:order val="7"/>
          <c:tx>
            <c:strRef>
              <c:f>高情景!$B$9</c:f>
              <c:strCache>
                <c:ptCount val="1"/>
                <c:pt idx="0">
                  <c:v>纸和纸板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高情景!$E$1:$AS$1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">
                  <c:v>2026</c:v>
                </c:pt>
                <c:pt idx="7" formatCode="0">
                  <c:v>2027</c:v>
                </c:pt>
                <c:pt idx="8" formatCode="0">
                  <c:v>2028</c:v>
                </c:pt>
                <c:pt idx="9" formatCode="0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高情景!$E$9:$AS$9</c:f>
              <c:numCache>
                <c:formatCode>0</c:formatCode>
                <c:ptCount val="41"/>
                <c:pt idx="0">
                  <c:v>12700.63</c:v>
                </c:pt>
                <c:pt idx="1">
                  <c:v>13583.87</c:v>
                </c:pt>
                <c:pt idx="2">
                  <c:v>13691.4</c:v>
                </c:pt>
                <c:pt idx="3">
                  <c:v>14194.266666666666</c:v>
                </c:pt>
                <c:pt idx="4">
                  <c:v>14697.133333333333</c:v>
                </c:pt>
                <c:pt idx="5" formatCode="General">
                  <c:v>15200</c:v>
                </c:pt>
                <c:pt idx="6">
                  <c:v>15560</c:v>
                </c:pt>
                <c:pt idx="7">
                  <c:v>15920</c:v>
                </c:pt>
                <c:pt idx="8">
                  <c:v>16280</c:v>
                </c:pt>
                <c:pt idx="9">
                  <c:v>16640</c:v>
                </c:pt>
                <c:pt idx="10" formatCode="General">
                  <c:v>17000</c:v>
                </c:pt>
                <c:pt idx="11">
                  <c:v>17120</c:v>
                </c:pt>
                <c:pt idx="12">
                  <c:v>17240</c:v>
                </c:pt>
                <c:pt idx="13">
                  <c:v>17360</c:v>
                </c:pt>
                <c:pt idx="14">
                  <c:v>17480</c:v>
                </c:pt>
                <c:pt idx="15" formatCode="General">
                  <c:v>17600</c:v>
                </c:pt>
                <c:pt idx="16">
                  <c:v>17580</c:v>
                </c:pt>
                <c:pt idx="17">
                  <c:v>17560</c:v>
                </c:pt>
                <c:pt idx="18">
                  <c:v>17540</c:v>
                </c:pt>
                <c:pt idx="19">
                  <c:v>17520</c:v>
                </c:pt>
                <c:pt idx="20" formatCode="General">
                  <c:v>17500</c:v>
                </c:pt>
                <c:pt idx="21">
                  <c:v>17380</c:v>
                </c:pt>
                <c:pt idx="22">
                  <c:v>17260</c:v>
                </c:pt>
                <c:pt idx="23">
                  <c:v>17140</c:v>
                </c:pt>
                <c:pt idx="24">
                  <c:v>17020</c:v>
                </c:pt>
                <c:pt idx="25" formatCode="General">
                  <c:v>16900</c:v>
                </c:pt>
                <c:pt idx="26">
                  <c:v>16680</c:v>
                </c:pt>
                <c:pt idx="27">
                  <c:v>16460</c:v>
                </c:pt>
                <c:pt idx="28">
                  <c:v>16240</c:v>
                </c:pt>
                <c:pt idx="29">
                  <c:v>16020</c:v>
                </c:pt>
                <c:pt idx="30" formatCode="General">
                  <c:v>15800</c:v>
                </c:pt>
                <c:pt idx="31">
                  <c:v>15540</c:v>
                </c:pt>
                <c:pt idx="32">
                  <c:v>15280</c:v>
                </c:pt>
                <c:pt idx="33">
                  <c:v>15020</c:v>
                </c:pt>
                <c:pt idx="34">
                  <c:v>14760</c:v>
                </c:pt>
                <c:pt idx="35" formatCode="General">
                  <c:v>14500</c:v>
                </c:pt>
                <c:pt idx="36">
                  <c:v>14200</c:v>
                </c:pt>
                <c:pt idx="37">
                  <c:v>13900</c:v>
                </c:pt>
                <c:pt idx="38">
                  <c:v>13600</c:v>
                </c:pt>
                <c:pt idx="39">
                  <c:v>13300</c:v>
                </c:pt>
                <c:pt idx="40" formatCode="General">
                  <c:v>13000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402-4502-9F67-4E8DADD8E1E6}"/>
            </c:ext>
          </c:extLst>
        </c:ser>
        <c:ser>
          <c:idx val="8"/>
          <c:order val="8"/>
          <c:tx>
            <c:strRef>
              <c:f>高情景!$B$10</c:f>
              <c:strCache>
                <c:ptCount val="1"/>
                <c:pt idx="0">
                  <c:v>原油加工量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高情景!$E$1:$AS$1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">
                  <c:v>2026</c:v>
                </c:pt>
                <c:pt idx="7" formatCode="0">
                  <c:v>2027</c:v>
                </c:pt>
                <c:pt idx="8" formatCode="0">
                  <c:v>2028</c:v>
                </c:pt>
                <c:pt idx="9" formatCode="0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高情景!$E$10:$AS$10</c:f>
              <c:numCache>
                <c:formatCode>0</c:formatCode>
                <c:ptCount val="41"/>
                <c:pt idx="0" formatCode="0.00">
                  <c:v>6.7441000000000004</c:v>
                </c:pt>
                <c:pt idx="1">
                  <c:v>7</c:v>
                </c:pt>
                <c:pt idx="2" formatCode="0.00">
                  <c:v>6.7590000000000003</c:v>
                </c:pt>
                <c:pt idx="3">
                  <c:v>6.8941447831184055</c:v>
                </c:pt>
                <c:pt idx="4">
                  <c:v>7.0292895662368107</c:v>
                </c:pt>
                <c:pt idx="5" formatCode="0.00">
                  <c:v>7.1644343493552158</c:v>
                </c:pt>
                <c:pt idx="6">
                  <c:v>7.184243845252051</c:v>
                </c:pt>
                <c:pt idx="7">
                  <c:v>7.2040533411488861</c:v>
                </c:pt>
                <c:pt idx="8">
                  <c:v>7.2238628370457212</c:v>
                </c:pt>
                <c:pt idx="9">
                  <c:v>7.2436723329425563</c:v>
                </c:pt>
                <c:pt idx="10" formatCode="0.00">
                  <c:v>7.2634818288393896</c:v>
                </c:pt>
                <c:pt idx="11">
                  <c:v>7.3163071512309488</c:v>
                </c:pt>
                <c:pt idx="12">
                  <c:v>7.3691324736225079</c:v>
                </c:pt>
                <c:pt idx="13">
                  <c:v>7.421957796014067</c:v>
                </c:pt>
                <c:pt idx="14">
                  <c:v>7.4747831184056261</c:v>
                </c:pt>
                <c:pt idx="15" formatCode="0.00">
                  <c:v>7.5276084407971844</c:v>
                </c:pt>
                <c:pt idx="16">
                  <c:v>7.5408147713950742</c:v>
                </c:pt>
                <c:pt idx="17">
                  <c:v>7.5540211019929639</c:v>
                </c:pt>
                <c:pt idx="18">
                  <c:v>7.5672274325908537</c:v>
                </c:pt>
                <c:pt idx="19">
                  <c:v>7.5804337631887435</c:v>
                </c:pt>
                <c:pt idx="20" formatCode="0.00">
                  <c:v>7.5936400937866333</c:v>
                </c:pt>
                <c:pt idx="21">
                  <c:v>7.5276084407971844</c:v>
                </c:pt>
                <c:pt idx="22">
                  <c:v>7.4615767878077355</c:v>
                </c:pt>
                <c:pt idx="23">
                  <c:v>7.3955451348182866</c:v>
                </c:pt>
                <c:pt idx="24">
                  <c:v>7.3295134818288377</c:v>
                </c:pt>
                <c:pt idx="25" formatCode="0.00">
                  <c:v>7.2634818288393896</c:v>
                </c:pt>
                <c:pt idx="26">
                  <c:v>7.1974501758499407</c:v>
                </c:pt>
                <c:pt idx="27">
                  <c:v>7.1314185228604918</c:v>
                </c:pt>
                <c:pt idx="28">
                  <c:v>7.0653868698710429</c:v>
                </c:pt>
                <c:pt idx="29">
                  <c:v>6.999355216881594</c:v>
                </c:pt>
                <c:pt idx="30" formatCode="0.00">
                  <c:v>6.9333235638921442</c:v>
                </c:pt>
                <c:pt idx="31">
                  <c:v>6.8342760844079704</c:v>
                </c:pt>
                <c:pt idx="32">
                  <c:v>6.7352286049237966</c:v>
                </c:pt>
                <c:pt idx="33">
                  <c:v>6.6361811254396228</c:v>
                </c:pt>
                <c:pt idx="34">
                  <c:v>6.537133645955449</c:v>
                </c:pt>
                <c:pt idx="35" formatCode="0.00">
                  <c:v>6.4380861664712761</c:v>
                </c:pt>
                <c:pt idx="36">
                  <c:v>6.3984671746776067</c:v>
                </c:pt>
                <c:pt idx="37">
                  <c:v>6.3588481828839374</c:v>
                </c:pt>
                <c:pt idx="38">
                  <c:v>6.319229191090268</c:v>
                </c:pt>
                <c:pt idx="39">
                  <c:v>6.2796101992965987</c:v>
                </c:pt>
                <c:pt idx="40" formatCode="0.00">
                  <c:v>6.2399912075029293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402-4502-9F67-4E8DADD8E1E6}"/>
            </c:ext>
          </c:extLst>
        </c:ser>
        <c:ser>
          <c:idx val="9"/>
          <c:order val="9"/>
          <c:tx>
            <c:strRef>
              <c:f>高情景!$B$11</c:f>
              <c:strCache>
                <c:ptCount val="1"/>
                <c:pt idx="0">
                  <c:v>焦炭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高情景!$E$1:$AS$1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">
                  <c:v>2026</c:v>
                </c:pt>
                <c:pt idx="7" formatCode="0">
                  <c:v>2027</c:v>
                </c:pt>
                <c:pt idx="8" formatCode="0">
                  <c:v>2028</c:v>
                </c:pt>
                <c:pt idx="9" formatCode="0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高情景!$E$11:$AS$11</c:f>
              <c:numCache>
                <c:formatCode>0</c:formatCode>
                <c:ptCount val="41"/>
                <c:pt idx="0" formatCode="General">
                  <c:v>47116</c:v>
                </c:pt>
                <c:pt idx="1">
                  <c:v>46400</c:v>
                </c:pt>
                <c:pt idx="2">
                  <c:v>47300</c:v>
                </c:pt>
                <c:pt idx="3">
                  <c:v>48570.692729274953</c:v>
                </c:pt>
                <c:pt idx="4">
                  <c:v>49841.385458549907</c:v>
                </c:pt>
                <c:pt idx="5">
                  <c:v>51112.078187824853</c:v>
                </c:pt>
                <c:pt idx="6">
                  <c:v>51762.595546578988</c:v>
                </c:pt>
                <c:pt idx="7">
                  <c:v>52413.112905333124</c:v>
                </c:pt>
                <c:pt idx="8">
                  <c:v>53063.63026408726</c:v>
                </c:pt>
                <c:pt idx="9">
                  <c:v>53714.147622841396</c:v>
                </c:pt>
                <c:pt idx="10">
                  <c:v>54364.664981595532</c:v>
                </c:pt>
                <c:pt idx="11">
                  <c:v>54178.80287909435</c:v>
                </c:pt>
                <c:pt idx="12">
                  <c:v>53992.940776593168</c:v>
                </c:pt>
                <c:pt idx="13">
                  <c:v>53807.078674091987</c:v>
                </c:pt>
                <c:pt idx="14">
                  <c:v>53621.216571590805</c:v>
                </c:pt>
                <c:pt idx="15">
                  <c:v>53435.354469089623</c:v>
                </c:pt>
                <c:pt idx="16">
                  <c:v>52506.043956583715</c:v>
                </c:pt>
                <c:pt idx="17">
                  <c:v>51576.733444077807</c:v>
                </c:pt>
                <c:pt idx="18">
                  <c:v>50647.422931571899</c:v>
                </c:pt>
                <c:pt idx="19">
                  <c:v>49718.11241906599</c:v>
                </c:pt>
                <c:pt idx="20">
                  <c:v>48788.801906560089</c:v>
                </c:pt>
                <c:pt idx="21">
                  <c:v>47673.629291552999</c:v>
                </c:pt>
                <c:pt idx="22">
                  <c:v>46558.456676545909</c:v>
                </c:pt>
                <c:pt idx="23">
                  <c:v>45443.28406153882</c:v>
                </c:pt>
                <c:pt idx="24">
                  <c:v>44328.11144653173</c:v>
                </c:pt>
                <c:pt idx="25">
                  <c:v>43212.938831524647</c:v>
                </c:pt>
                <c:pt idx="26">
                  <c:v>42283.628319018739</c:v>
                </c:pt>
                <c:pt idx="27">
                  <c:v>41354.31780651283</c:v>
                </c:pt>
                <c:pt idx="28">
                  <c:v>40425.007294006922</c:v>
                </c:pt>
                <c:pt idx="29">
                  <c:v>39495.696781501014</c:v>
                </c:pt>
                <c:pt idx="30">
                  <c:v>38566.386268995113</c:v>
                </c:pt>
                <c:pt idx="31">
                  <c:v>37544.144705238614</c:v>
                </c:pt>
                <c:pt idx="32">
                  <c:v>36521.903141482115</c:v>
                </c:pt>
                <c:pt idx="33">
                  <c:v>35499.661577725616</c:v>
                </c:pt>
                <c:pt idx="34">
                  <c:v>34477.420013969117</c:v>
                </c:pt>
                <c:pt idx="35">
                  <c:v>33455.178450212632</c:v>
                </c:pt>
                <c:pt idx="36">
                  <c:v>32897.592142709087</c:v>
                </c:pt>
                <c:pt idx="37">
                  <c:v>32340.005835205542</c:v>
                </c:pt>
                <c:pt idx="38">
                  <c:v>31782.419527701997</c:v>
                </c:pt>
                <c:pt idx="39">
                  <c:v>31224.833220198452</c:v>
                </c:pt>
                <c:pt idx="40">
                  <c:v>30667.246912694911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402-4502-9F67-4E8DADD8E1E6}"/>
            </c:ext>
          </c:extLst>
        </c:ser>
        <c:ser>
          <c:idx val="10"/>
          <c:order val="10"/>
          <c:tx>
            <c:strRef>
              <c:f>高情景!$B$12</c:f>
              <c:strCache>
                <c:ptCount val="1"/>
                <c:pt idx="0">
                  <c:v>烧碱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高情景!$E$1:$AS$1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">
                  <c:v>2026</c:v>
                </c:pt>
                <c:pt idx="7" formatCode="0">
                  <c:v>2027</c:v>
                </c:pt>
                <c:pt idx="8" formatCode="0">
                  <c:v>2028</c:v>
                </c:pt>
                <c:pt idx="9" formatCode="0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高情景!$E$12:$AS$12</c:f>
              <c:numCache>
                <c:formatCode>0</c:formatCode>
                <c:ptCount val="41"/>
                <c:pt idx="0">
                  <c:v>3673.87</c:v>
                </c:pt>
                <c:pt idx="1">
                  <c:v>3891.31</c:v>
                </c:pt>
                <c:pt idx="2">
                  <c:v>3463.08</c:v>
                </c:pt>
                <c:pt idx="3">
                  <c:v>3742.0533333333333</c:v>
                </c:pt>
                <c:pt idx="4">
                  <c:v>4021.0266666666666</c:v>
                </c:pt>
                <c:pt idx="5" formatCode="General">
                  <c:v>4300</c:v>
                </c:pt>
                <c:pt idx="6">
                  <c:v>4380</c:v>
                </c:pt>
                <c:pt idx="7">
                  <c:v>4460</c:v>
                </c:pt>
                <c:pt idx="8">
                  <c:v>4540</c:v>
                </c:pt>
                <c:pt idx="9">
                  <c:v>4620</c:v>
                </c:pt>
                <c:pt idx="10" formatCode="General">
                  <c:v>4700</c:v>
                </c:pt>
                <c:pt idx="11">
                  <c:v>4740</c:v>
                </c:pt>
                <c:pt idx="12">
                  <c:v>4780</c:v>
                </c:pt>
                <c:pt idx="13">
                  <c:v>4820</c:v>
                </c:pt>
                <c:pt idx="14">
                  <c:v>4860</c:v>
                </c:pt>
                <c:pt idx="15" formatCode="General">
                  <c:v>4900</c:v>
                </c:pt>
                <c:pt idx="16">
                  <c:v>4890</c:v>
                </c:pt>
                <c:pt idx="17">
                  <c:v>4880</c:v>
                </c:pt>
                <c:pt idx="18">
                  <c:v>4870</c:v>
                </c:pt>
                <c:pt idx="19">
                  <c:v>4860</c:v>
                </c:pt>
                <c:pt idx="20" formatCode="General">
                  <c:v>4850</c:v>
                </c:pt>
                <c:pt idx="21">
                  <c:v>4800</c:v>
                </c:pt>
                <c:pt idx="22">
                  <c:v>4750</c:v>
                </c:pt>
                <c:pt idx="23">
                  <c:v>4700</c:v>
                </c:pt>
                <c:pt idx="24">
                  <c:v>4650</c:v>
                </c:pt>
                <c:pt idx="25" formatCode="General">
                  <c:v>4600</c:v>
                </c:pt>
                <c:pt idx="26">
                  <c:v>4540</c:v>
                </c:pt>
                <c:pt idx="27">
                  <c:v>4480</c:v>
                </c:pt>
                <c:pt idx="28">
                  <c:v>4420</c:v>
                </c:pt>
                <c:pt idx="29">
                  <c:v>4360</c:v>
                </c:pt>
                <c:pt idx="30" formatCode="General">
                  <c:v>4300</c:v>
                </c:pt>
                <c:pt idx="31">
                  <c:v>4240</c:v>
                </c:pt>
                <c:pt idx="32">
                  <c:v>4180</c:v>
                </c:pt>
                <c:pt idx="33">
                  <c:v>4120</c:v>
                </c:pt>
                <c:pt idx="34">
                  <c:v>4060</c:v>
                </c:pt>
                <c:pt idx="35" formatCode="General">
                  <c:v>4000</c:v>
                </c:pt>
                <c:pt idx="36">
                  <c:v>3960</c:v>
                </c:pt>
                <c:pt idx="37">
                  <c:v>3920</c:v>
                </c:pt>
                <c:pt idx="38">
                  <c:v>3880</c:v>
                </c:pt>
                <c:pt idx="39">
                  <c:v>3840</c:v>
                </c:pt>
                <c:pt idx="40" formatCode="General">
                  <c:v>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402-4502-9F67-4E8DADD8E1E6}"/>
            </c:ext>
          </c:extLst>
        </c:ser>
        <c:ser>
          <c:idx val="11"/>
          <c:order val="11"/>
          <c:tx>
            <c:strRef>
              <c:f>高情景!$B$13</c:f>
              <c:strCache>
                <c:ptCount val="1"/>
                <c:pt idx="0">
                  <c:v>纯碱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高情景!$E$1:$AS$1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">
                  <c:v>2026</c:v>
                </c:pt>
                <c:pt idx="7" formatCode="0">
                  <c:v>2027</c:v>
                </c:pt>
                <c:pt idx="8" formatCode="0">
                  <c:v>2028</c:v>
                </c:pt>
                <c:pt idx="9" formatCode="0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高情景!$E$13:$AS$13</c:f>
              <c:numCache>
                <c:formatCode>0</c:formatCode>
                <c:ptCount val="41"/>
                <c:pt idx="0">
                  <c:v>2812.37</c:v>
                </c:pt>
                <c:pt idx="1">
                  <c:v>2913.25</c:v>
                </c:pt>
                <c:pt idx="2">
                  <c:v>2920.2</c:v>
                </c:pt>
                <c:pt idx="3">
                  <c:v>3080.1333333333332</c:v>
                </c:pt>
                <c:pt idx="4">
                  <c:v>3240.0666666666666</c:v>
                </c:pt>
                <c:pt idx="5" formatCode="General">
                  <c:v>3400</c:v>
                </c:pt>
                <c:pt idx="6">
                  <c:v>3470</c:v>
                </c:pt>
                <c:pt idx="7">
                  <c:v>3540</c:v>
                </c:pt>
                <c:pt idx="8">
                  <c:v>3610</c:v>
                </c:pt>
                <c:pt idx="9">
                  <c:v>3680</c:v>
                </c:pt>
                <c:pt idx="10" formatCode="General">
                  <c:v>3750</c:v>
                </c:pt>
                <c:pt idx="11">
                  <c:v>3780</c:v>
                </c:pt>
                <c:pt idx="12">
                  <c:v>3810</c:v>
                </c:pt>
                <c:pt idx="13">
                  <c:v>3840</c:v>
                </c:pt>
                <c:pt idx="14">
                  <c:v>3870</c:v>
                </c:pt>
                <c:pt idx="15" formatCode="General">
                  <c:v>3900</c:v>
                </c:pt>
                <c:pt idx="16">
                  <c:v>3920</c:v>
                </c:pt>
                <c:pt idx="17">
                  <c:v>3940</c:v>
                </c:pt>
                <c:pt idx="18">
                  <c:v>3960</c:v>
                </c:pt>
                <c:pt idx="19">
                  <c:v>3980</c:v>
                </c:pt>
                <c:pt idx="20" formatCode="General">
                  <c:v>4000</c:v>
                </c:pt>
                <c:pt idx="21">
                  <c:v>3970</c:v>
                </c:pt>
                <c:pt idx="22">
                  <c:v>3940</c:v>
                </c:pt>
                <c:pt idx="23">
                  <c:v>3910</c:v>
                </c:pt>
                <c:pt idx="24">
                  <c:v>3880</c:v>
                </c:pt>
                <c:pt idx="25" formatCode="General">
                  <c:v>3850</c:v>
                </c:pt>
                <c:pt idx="26">
                  <c:v>3800</c:v>
                </c:pt>
                <c:pt idx="27">
                  <c:v>3750</c:v>
                </c:pt>
                <c:pt idx="28">
                  <c:v>3700</c:v>
                </c:pt>
                <c:pt idx="29">
                  <c:v>3650</c:v>
                </c:pt>
                <c:pt idx="30" formatCode="General">
                  <c:v>3600</c:v>
                </c:pt>
                <c:pt idx="31">
                  <c:v>3540</c:v>
                </c:pt>
                <c:pt idx="32">
                  <c:v>3480</c:v>
                </c:pt>
                <c:pt idx="33">
                  <c:v>3420</c:v>
                </c:pt>
                <c:pt idx="34">
                  <c:v>3360</c:v>
                </c:pt>
                <c:pt idx="35" formatCode="General">
                  <c:v>3300</c:v>
                </c:pt>
                <c:pt idx="36">
                  <c:v>3230</c:v>
                </c:pt>
                <c:pt idx="37">
                  <c:v>3160</c:v>
                </c:pt>
                <c:pt idx="38">
                  <c:v>3090</c:v>
                </c:pt>
                <c:pt idx="39">
                  <c:v>3020</c:v>
                </c:pt>
                <c:pt idx="40" formatCode="General">
                  <c:v>2950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402-4502-9F67-4E8DADD8E1E6}"/>
            </c:ext>
          </c:extLst>
        </c:ser>
        <c:ser>
          <c:idx val="12"/>
          <c:order val="12"/>
          <c:tx>
            <c:strRef>
              <c:f>高情景!$B$14</c:f>
              <c:strCache>
                <c:ptCount val="1"/>
                <c:pt idx="0">
                  <c:v>乙烯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高情景!$E$1:$AS$1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">
                  <c:v>2026</c:v>
                </c:pt>
                <c:pt idx="7" formatCode="0">
                  <c:v>2027</c:v>
                </c:pt>
                <c:pt idx="8" formatCode="0">
                  <c:v>2028</c:v>
                </c:pt>
                <c:pt idx="9" formatCode="0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高情景!$E$14:$AS$14</c:f>
              <c:numCache>
                <c:formatCode>0</c:formatCode>
                <c:ptCount val="41"/>
                <c:pt idx="0">
                  <c:v>2159.96</c:v>
                </c:pt>
                <c:pt idx="1">
                  <c:v>2825.67</c:v>
                </c:pt>
                <c:pt idx="2">
                  <c:v>2897.51</c:v>
                </c:pt>
                <c:pt idx="3">
                  <c:v>3231.6733333333336</c:v>
                </c:pt>
                <c:pt idx="4">
                  <c:v>3565.836666666667</c:v>
                </c:pt>
                <c:pt idx="5" formatCode="General">
                  <c:v>3900</c:v>
                </c:pt>
                <c:pt idx="6">
                  <c:v>4120</c:v>
                </c:pt>
                <c:pt idx="7">
                  <c:v>4340</c:v>
                </c:pt>
                <c:pt idx="8">
                  <c:v>4560</c:v>
                </c:pt>
                <c:pt idx="9">
                  <c:v>4780</c:v>
                </c:pt>
                <c:pt idx="10" formatCode="General">
                  <c:v>5000</c:v>
                </c:pt>
                <c:pt idx="11">
                  <c:v>5080</c:v>
                </c:pt>
                <c:pt idx="12">
                  <c:v>5160</c:v>
                </c:pt>
                <c:pt idx="13">
                  <c:v>5240</c:v>
                </c:pt>
                <c:pt idx="14">
                  <c:v>5320</c:v>
                </c:pt>
                <c:pt idx="15" formatCode="General">
                  <c:v>5400</c:v>
                </c:pt>
                <c:pt idx="16">
                  <c:v>5430</c:v>
                </c:pt>
                <c:pt idx="17">
                  <c:v>5460</c:v>
                </c:pt>
                <c:pt idx="18">
                  <c:v>5490</c:v>
                </c:pt>
                <c:pt idx="19">
                  <c:v>5520</c:v>
                </c:pt>
                <c:pt idx="20" formatCode="General">
                  <c:v>5550</c:v>
                </c:pt>
                <c:pt idx="21">
                  <c:v>5520</c:v>
                </c:pt>
                <c:pt idx="22">
                  <c:v>5490</c:v>
                </c:pt>
                <c:pt idx="23">
                  <c:v>5460</c:v>
                </c:pt>
                <c:pt idx="24">
                  <c:v>5430</c:v>
                </c:pt>
                <c:pt idx="25" formatCode="General">
                  <c:v>5400</c:v>
                </c:pt>
                <c:pt idx="26">
                  <c:v>5360</c:v>
                </c:pt>
                <c:pt idx="27">
                  <c:v>5320</c:v>
                </c:pt>
                <c:pt idx="28">
                  <c:v>5280</c:v>
                </c:pt>
                <c:pt idx="29">
                  <c:v>5240</c:v>
                </c:pt>
                <c:pt idx="30" formatCode="General">
                  <c:v>5200</c:v>
                </c:pt>
                <c:pt idx="31">
                  <c:v>5130</c:v>
                </c:pt>
                <c:pt idx="32">
                  <c:v>5060</c:v>
                </c:pt>
                <c:pt idx="33">
                  <c:v>4990</c:v>
                </c:pt>
                <c:pt idx="34">
                  <c:v>4920</c:v>
                </c:pt>
                <c:pt idx="35" formatCode="General">
                  <c:v>4850</c:v>
                </c:pt>
                <c:pt idx="36">
                  <c:v>4780</c:v>
                </c:pt>
                <c:pt idx="37">
                  <c:v>4710</c:v>
                </c:pt>
                <c:pt idx="38">
                  <c:v>4640</c:v>
                </c:pt>
                <c:pt idx="39">
                  <c:v>4570</c:v>
                </c:pt>
                <c:pt idx="40" formatCode="General">
                  <c:v>4500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402-4502-9F67-4E8DADD8E1E6}"/>
            </c:ext>
          </c:extLst>
        </c:ser>
        <c:ser>
          <c:idx val="13"/>
          <c:order val="13"/>
          <c:tx>
            <c:strRef>
              <c:f>高情景!$B$15</c:f>
              <c:strCache>
                <c:ptCount val="1"/>
                <c:pt idx="0">
                  <c:v>合成氨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高情景!$E$1:$AS$1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">
                  <c:v>2026</c:v>
                </c:pt>
                <c:pt idx="7" formatCode="0">
                  <c:v>2027</c:v>
                </c:pt>
                <c:pt idx="8" formatCode="0">
                  <c:v>2028</c:v>
                </c:pt>
                <c:pt idx="9" formatCode="0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高情景!$E$15:$AS$15</c:f>
              <c:numCache>
                <c:formatCode>0</c:formatCode>
                <c:ptCount val="41"/>
                <c:pt idx="0">
                  <c:v>5117.13</c:v>
                </c:pt>
                <c:pt idx="1">
                  <c:v>5189.38</c:v>
                </c:pt>
                <c:pt idx="2">
                  <c:v>5321.01</c:v>
                </c:pt>
                <c:pt idx="3">
                  <c:v>5547.34</c:v>
                </c:pt>
                <c:pt idx="4">
                  <c:v>5773.67</c:v>
                </c:pt>
                <c:pt idx="5" formatCode="General">
                  <c:v>6000</c:v>
                </c:pt>
                <c:pt idx="6">
                  <c:v>6140</c:v>
                </c:pt>
                <c:pt idx="7">
                  <c:v>6280</c:v>
                </c:pt>
                <c:pt idx="8">
                  <c:v>6420</c:v>
                </c:pt>
                <c:pt idx="9">
                  <c:v>6560</c:v>
                </c:pt>
                <c:pt idx="10" formatCode="General">
                  <c:v>6700</c:v>
                </c:pt>
                <c:pt idx="11">
                  <c:v>6780</c:v>
                </c:pt>
                <c:pt idx="12">
                  <c:v>6860</c:v>
                </c:pt>
                <c:pt idx="13">
                  <c:v>6940</c:v>
                </c:pt>
                <c:pt idx="14">
                  <c:v>7020</c:v>
                </c:pt>
                <c:pt idx="15" formatCode="General">
                  <c:v>7100</c:v>
                </c:pt>
                <c:pt idx="16">
                  <c:v>7140</c:v>
                </c:pt>
                <c:pt idx="17">
                  <c:v>7180</c:v>
                </c:pt>
                <c:pt idx="18">
                  <c:v>7220</c:v>
                </c:pt>
                <c:pt idx="19">
                  <c:v>7260</c:v>
                </c:pt>
                <c:pt idx="20" formatCode="General">
                  <c:v>7300</c:v>
                </c:pt>
                <c:pt idx="21">
                  <c:v>7330</c:v>
                </c:pt>
                <c:pt idx="22">
                  <c:v>7360</c:v>
                </c:pt>
                <c:pt idx="23">
                  <c:v>7390</c:v>
                </c:pt>
                <c:pt idx="24">
                  <c:v>7420</c:v>
                </c:pt>
                <c:pt idx="25" formatCode="General">
                  <c:v>7450</c:v>
                </c:pt>
                <c:pt idx="26">
                  <c:v>7480</c:v>
                </c:pt>
                <c:pt idx="27">
                  <c:v>7510</c:v>
                </c:pt>
                <c:pt idx="28">
                  <c:v>7540</c:v>
                </c:pt>
                <c:pt idx="29">
                  <c:v>7570</c:v>
                </c:pt>
                <c:pt idx="30" formatCode="General">
                  <c:v>7600</c:v>
                </c:pt>
                <c:pt idx="31">
                  <c:v>7630</c:v>
                </c:pt>
                <c:pt idx="32">
                  <c:v>7660</c:v>
                </c:pt>
                <c:pt idx="33">
                  <c:v>7690</c:v>
                </c:pt>
                <c:pt idx="34">
                  <c:v>7720</c:v>
                </c:pt>
                <c:pt idx="35" formatCode="General">
                  <c:v>7750</c:v>
                </c:pt>
                <c:pt idx="36">
                  <c:v>7780</c:v>
                </c:pt>
                <c:pt idx="37">
                  <c:v>7810</c:v>
                </c:pt>
                <c:pt idx="38">
                  <c:v>7840</c:v>
                </c:pt>
                <c:pt idx="39">
                  <c:v>7870</c:v>
                </c:pt>
                <c:pt idx="40" formatCode="General">
                  <c:v>7900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402-4502-9F67-4E8DADD8E1E6}"/>
            </c:ext>
          </c:extLst>
        </c:ser>
        <c:ser>
          <c:idx val="14"/>
          <c:order val="14"/>
          <c:tx>
            <c:strRef>
              <c:f>高情景!$B$16</c:f>
              <c:strCache>
                <c:ptCount val="1"/>
                <c:pt idx="0">
                  <c:v>水泥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高情景!$E$1:$AS$1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">
                  <c:v>2026</c:v>
                </c:pt>
                <c:pt idx="7" formatCode="0">
                  <c:v>2027</c:v>
                </c:pt>
                <c:pt idx="8" formatCode="0">
                  <c:v>2028</c:v>
                </c:pt>
                <c:pt idx="9" formatCode="0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高情景!$E$16:$AS$16</c:f>
              <c:numCache>
                <c:formatCode>0</c:formatCode>
                <c:ptCount val="41"/>
                <c:pt idx="0">
                  <c:v>239470.83</c:v>
                </c:pt>
                <c:pt idx="1">
                  <c:v>237724.49</c:v>
                </c:pt>
                <c:pt idx="2">
                  <c:v>212927.18</c:v>
                </c:pt>
                <c:pt idx="3">
                  <c:v>215284.78666666665</c:v>
                </c:pt>
                <c:pt idx="4">
                  <c:v>217642.39333333331</c:v>
                </c:pt>
                <c:pt idx="5" formatCode="General">
                  <c:v>220000</c:v>
                </c:pt>
                <c:pt idx="6">
                  <c:v>218000</c:v>
                </c:pt>
                <c:pt idx="7">
                  <c:v>216000</c:v>
                </c:pt>
                <c:pt idx="8">
                  <c:v>214000</c:v>
                </c:pt>
                <c:pt idx="9">
                  <c:v>212000</c:v>
                </c:pt>
                <c:pt idx="10" formatCode="General">
                  <c:v>210000</c:v>
                </c:pt>
                <c:pt idx="11">
                  <c:v>207000</c:v>
                </c:pt>
                <c:pt idx="12">
                  <c:v>204000</c:v>
                </c:pt>
                <c:pt idx="13">
                  <c:v>201000</c:v>
                </c:pt>
                <c:pt idx="14">
                  <c:v>198000</c:v>
                </c:pt>
                <c:pt idx="15" formatCode="General">
                  <c:v>195000</c:v>
                </c:pt>
                <c:pt idx="16">
                  <c:v>191000</c:v>
                </c:pt>
                <c:pt idx="17">
                  <c:v>187000</c:v>
                </c:pt>
                <c:pt idx="18">
                  <c:v>183000</c:v>
                </c:pt>
                <c:pt idx="19">
                  <c:v>179000</c:v>
                </c:pt>
                <c:pt idx="20" formatCode="General">
                  <c:v>175000</c:v>
                </c:pt>
                <c:pt idx="21">
                  <c:v>171000</c:v>
                </c:pt>
                <c:pt idx="22">
                  <c:v>167000</c:v>
                </c:pt>
                <c:pt idx="23">
                  <c:v>163000</c:v>
                </c:pt>
                <c:pt idx="24">
                  <c:v>159000</c:v>
                </c:pt>
                <c:pt idx="25" formatCode="General">
                  <c:v>155000</c:v>
                </c:pt>
                <c:pt idx="26">
                  <c:v>151000</c:v>
                </c:pt>
                <c:pt idx="27">
                  <c:v>147000</c:v>
                </c:pt>
                <c:pt idx="28">
                  <c:v>143000</c:v>
                </c:pt>
                <c:pt idx="29">
                  <c:v>139000</c:v>
                </c:pt>
                <c:pt idx="30" formatCode="General">
                  <c:v>135000</c:v>
                </c:pt>
                <c:pt idx="31">
                  <c:v>132000</c:v>
                </c:pt>
                <c:pt idx="32">
                  <c:v>129000</c:v>
                </c:pt>
                <c:pt idx="33">
                  <c:v>126000</c:v>
                </c:pt>
                <c:pt idx="34">
                  <c:v>123000</c:v>
                </c:pt>
                <c:pt idx="35" formatCode="General">
                  <c:v>120000</c:v>
                </c:pt>
                <c:pt idx="36">
                  <c:v>118000</c:v>
                </c:pt>
                <c:pt idx="37">
                  <c:v>116000</c:v>
                </c:pt>
                <c:pt idx="38">
                  <c:v>114000</c:v>
                </c:pt>
                <c:pt idx="39">
                  <c:v>112000</c:v>
                </c:pt>
                <c:pt idx="40" formatCode="General">
                  <c:v>110000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402-4502-9F67-4E8DADD8E1E6}"/>
            </c:ext>
          </c:extLst>
        </c:ser>
        <c:ser>
          <c:idx val="15"/>
          <c:order val="15"/>
          <c:tx>
            <c:strRef>
              <c:f>高情景!$B$17</c:f>
              <c:strCache>
                <c:ptCount val="1"/>
                <c:pt idx="0">
                  <c:v>平板玻璃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高情景!$E$1:$AS$1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">
                  <c:v>2026</c:v>
                </c:pt>
                <c:pt idx="7" formatCode="0">
                  <c:v>2027</c:v>
                </c:pt>
                <c:pt idx="8" formatCode="0">
                  <c:v>2028</c:v>
                </c:pt>
                <c:pt idx="9" formatCode="0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高情景!$E$17:$AS$17</c:f>
              <c:numCache>
                <c:formatCode>0</c:formatCode>
                <c:ptCount val="41"/>
                <c:pt idx="0">
                  <c:v>95227.79</c:v>
                </c:pt>
                <c:pt idx="1">
                  <c:v>101727.37</c:v>
                </c:pt>
                <c:pt idx="2">
                  <c:v>101668.65</c:v>
                </c:pt>
                <c:pt idx="3">
                  <c:v>105445.76666666666</c:v>
                </c:pt>
                <c:pt idx="4">
                  <c:v>109222.88333333333</c:v>
                </c:pt>
                <c:pt idx="5" formatCode="General">
                  <c:v>113000</c:v>
                </c:pt>
                <c:pt idx="6">
                  <c:v>113400</c:v>
                </c:pt>
                <c:pt idx="7">
                  <c:v>113800</c:v>
                </c:pt>
                <c:pt idx="8">
                  <c:v>114200</c:v>
                </c:pt>
                <c:pt idx="9">
                  <c:v>114600</c:v>
                </c:pt>
                <c:pt idx="10" formatCode="General">
                  <c:v>115000</c:v>
                </c:pt>
                <c:pt idx="11">
                  <c:v>114000</c:v>
                </c:pt>
                <c:pt idx="12">
                  <c:v>113000</c:v>
                </c:pt>
                <c:pt idx="13">
                  <c:v>112000</c:v>
                </c:pt>
                <c:pt idx="14">
                  <c:v>111000</c:v>
                </c:pt>
                <c:pt idx="15" formatCode="General">
                  <c:v>110000</c:v>
                </c:pt>
                <c:pt idx="16">
                  <c:v>108400</c:v>
                </c:pt>
                <c:pt idx="17">
                  <c:v>106800</c:v>
                </c:pt>
                <c:pt idx="18">
                  <c:v>105200</c:v>
                </c:pt>
                <c:pt idx="19">
                  <c:v>103600</c:v>
                </c:pt>
                <c:pt idx="20" formatCode="General">
                  <c:v>102000</c:v>
                </c:pt>
                <c:pt idx="21">
                  <c:v>100000</c:v>
                </c:pt>
                <c:pt idx="22">
                  <c:v>98000</c:v>
                </c:pt>
                <c:pt idx="23">
                  <c:v>96000</c:v>
                </c:pt>
                <c:pt idx="24">
                  <c:v>94000</c:v>
                </c:pt>
                <c:pt idx="25" formatCode="General">
                  <c:v>92000</c:v>
                </c:pt>
                <c:pt idx="26">
                  <c:v>90600</c:v>
                </c:pt>
                <c:pt idx="27">
                  <c:v>89200</c:v>
                </c:pt>
                <c:pt idx="28">
                  <c:v>87800</c:v>
                </c:pt>
                <c:pt idx="29">
                  <c:v>86400</c:v>
                </c:pt>
                <c:pt idx="30" formatCode="General">
                  <c:v>85000</c:v>
                </c:pt>
                <c:pt idx="31">
                  <c:v>84000</c:v>
                </c:pt>
                <c:pt idx="32">
                  <c:v>83000</c:v>
                </c:pt>
                <c:pt idx="33">
                  <c:v>82000</c:v>
                </c:pt>
                <c:pt idx="34">
                  <c:v>81000</c:v>
                </c:pt>
                <c:pt idx="35" formatCode="General">
                  <c:v>80000</c:v>
                </c:pt>
                <c:pt idx="36">
                  <c:v>79600</c:v>
                </c:pt>
                <c:pt idx="37">
                  <c:v>79200</c:v>
                </c:pt>
                <c:pt idx="38">
                  <c:v>78800</c:v>
                </c:pt>
                <c:pt idx="39">
                  <c:v>78400</c:v>
                </c:pt>
                <c:pt idx="40" formatCode="General">
                  <c:v>78000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402-4502-9F67-4E8DADD8E1E6}"/>
            </c:ext>
          </c:extLst>
        </c:ser>
        <c:ser>
          <c:idx val="16"/>
          <c:order val="16"/>
          <c:tx>
            <c:strRef>
              <c:f>高情景!$B$18</c:f>
              <c:strCache>
                <c:ptCount val="1"/>
                <c:pt idx="0">
                  <c:v>钢铁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高情景!$E$1:$AS$1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">
                  <c:v>2026</c:v>
                </c:pt>
                <c:pt idx="7" formatCode="0">
                  <c:v>2027</c:v>
                </c:pt>
                <c:pt idx="8" formatCode="0">
                  <c:v>2028</c:v>
                </c:pt>
                <c:pt idx="9" formatCode="0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高情景!$E$18:$AS$18</c:f>
              <c:numCache>
                <c:formatCode>0</c:formatCode>
                <c:ptCount val="41"/>
                <c:pt idx="0">
                  <c:v>106476.68</c:v>
                </c:pt>
                <c:pt idx="1">
                  <c:v>103524.26</c:v>
                </c:pt>
                <c:pt idx="2">
                  <c:v>101795.9</c:v>
                </c:pt>
                <c:pt idx="3">
                  <c:v>104530.59999999999</c:v>
                </c:pt>
                <c:pt idx="4">
                  <c:v>107265.29999999999</c:v>
                </c:pt>
                <c:pt idx="5" formatCode="General">
                  <c:v>110000</c:v>
                </c:pt>
                <c:pt idx="6">
                  <c:v>111400</c:v>
                </c:pt>
                <c:pt idx="7">
                  <c:v>112800</c:v>
                </c:pt>
                <c:pt idx="8">
                  <c:v>114200</c:v>
                </c:pt>
                <c:pt idx="9">
                  <c:v>115600</c:v>
                </c:pt>
                <c:pt idx="10" formatCode="General">
                  <c:v>117000</c:v>
                </c:pt>
                <c:pt idx="11">
                  <c:v>116600</c:v>
                </c:pt>
                <c:pt idx="12">
                  <c:v>116200</c:v>
                </c:pt>
                <c:pt idx="13">
                  <c:v>115800</c:v>
                </c:pt>
                <c:pt idx="14">
                  <c:v>115400</c:v>
                </c:pt>
                <c:pt idx="15" formatCode="General">
                  <c:v>115000</c:v>
                </c:pt>
                <c:pt idx="16">
                  <c:v>113000</c:v>
                </c:pt>
                <c:pt idx="17">
                  <c:v>111000</c:v>
                </c:pt>
                <c:pt idx="18">
                  <c:v>109000</c:v>
                </c:pt>
                <c:pt idx="19">
                  <c:v>107000</c:v>
                </c:pt>
                <c:pt idx="20" formatCode="General">
                  <c:v>105000</c:v>
                </c:pt>
                <c:pt idx="21">
                  <c:v>102600</c:v>
                </c:pt>
                <c:pt idx="22">
                  <c:v>100200</c:v>
                </c:pt>
                <c:pt idx="23">
                  <c:v>97800</c:v>
                </c:pt>
                <c:pt idx="24">
                  <c:v>95400</c:v>
                </c:pt>
                <c:pt idx="25" formatCode="General">
                  <c:v>93000</c:v>
                </c:pt>
                <c:pt idx="26">
                  <c:v>91000</c:v>
                </c:pt>
                <c:pt idx="27">
                  <c:v>89000</c:v>
                </c:pt>
                <c:pt idx="28">
                  <c:v>87000</c:v>
                </c:pt>
                <c:pt idx="29">
                  <c:v>85000</c:v>
                </c:pt>
                <c:pt idx="30" formatCode="General">
                  <c:v>83000</c:v>
                </c:pt>
                <c:pt idx="31">
                  <c:v>80800</c:v>
                </c:pt>
                <c:pt idx="32">
                  <c:v>78600</c:v>
                </c:pt>
                <c:pt idx="33">
                  <c:v>76400</c:v>
                </c:pt>
                <c:pt idx="34">
                  <c:v>74200</c:v>
                </c:pt>
                <c:pt idx="35" formatCode="General">
                  <c:v>72000</c:v>
                </c:pt>
                <c:pt idx="36">
                  <c:v>70800</c:v>
                </c:pt>
                <c:pt idx="37">
                  <c:v>69600</c:v>
                </c:pt>
                <c:pt idx="38">
                  <c:v>68400</c:v>
                </c:pt>
                <c:pt idx="39">
                  <c:v>67200</c:v>
                </c:pt>
                <c:pt idx="40" formatCode="General">
                  <c:v>66000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402-4502-9F67-4E8DADD8E1E6}"/>
            </c:ext>
          </c:extLst>
        </c:ser>
        <c:ser>
          <c:idx val="17"/>
          <c:order val="17"/>
          <c:tx>
            <c:strRef>
              <c:f>高情景!$B$19</c:f>
              <c:strCache>
                <c:ptCount val="1"/>
                <c:pt idx="0">
                  <c:v>电解铝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高情景!$E$1:$AS$1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">
                  <c:v>2026</c:v>
                </c:pt>
                <c:pt idx="7" formatCode="0">
                  <c:v>2027</c:v>
                </c:pt>
                <c:pt idx="8" formatCode="0">
                  <c:v>2028</c:v>
                </c:pt>
                <c:pt idx="9" formatCode="0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高情景!$E$19:$AS$19</c:f>
              <c:numCache>
                <c:formatCode>0</c:formatCode>
                <c:ptCount val="41"/>
                <c:pt idx="0" formatCode="General">
                  <c:v>3708.04</c:v>
                </c:pt>
                <c:pt idx="1">
                  <c:v>3850.32</c:v>
                </c:pt>
                <c:pt idx="2">
                  <c:v>4014.43</c:v>
                </c:pt>
                <c:pt idx="3">
                  <c:v>4176.2866666666669</c:v>
                </c:pt>
                <c:pt idx="4">
                  <c:v>4338.1433333333334</c:v>
                </c:pt>
                <c:pt idx="5" formatCode="General">
                  <c:v>4500</c:v>
                </c:pt>
                <c:pt idx="6">
                  <c:v>4570</c:v>
                </c:pt>
                <c:pt idx="7">
                  <c:v>4640</c:v>
                </c:pt>
                <c:pt idx="8">
                  <c:v>4710</c:v>
                </c:pt>
                <c:pt idx="9">
                  <c:v>4780</c:v>
                </c:pt>
                <c:pt idx="10" formatCode="General">
                  <c:v>4850</c:v>
                </c:pt>
                <c:pt idx="11">
                  <c:v>4900</c:v>
                </c:pt>
                <c:pt idx="12">
                  <c:v>4950</c:v>
                </c:pt>
                <c:pt idx="13">
                  <c:v>5000</c:v>
                </c:pt>
                <c:pt idx="14">
                  <c:v>5050</c:v>
                </c:pt>
                <c:pt idx="15" formatCode="General">
                  <c:v>5100</c:v>
                </c:pt>
                <c:pt idx="16">
                  <c:v>5080</c:v>
                </c:pt>
                <c:pt idx="17">
                  <c:v>5060</c:v>
                </c:pt>
                <c:pt idx="18">
                  <c:v>5040</c:v>
                </c:pt>
                <c:pt idx="19">
                  <c:v>5020</c:v>
                </c:pt>
                <c:pt idx="20" formatCode="General">
                  <c:v>5000</c:v>
                </c:pt>
                <c:pt idx="21">
                  <c:v>4960</c:v>
                </c:pt>
                <c:pt idx="22">
                  <c:v>4920</c:v>
                </c:pt>
                <c:pt idx="23">
                  <c:v>4880</c:v>
                </c:pt>
                <c:pt idx="24">
                  <c:v>4840</c:v>
                </c:pt>
                <c:pt idx="25" formatCode="General">
                  <c:v>4800</c:v>
                </c:pt>
                <c:pt idx="26">
                  <c:v>4740</c:v>
                </c:pt>
                <c:pt idx="27">
                  <c:v>4680</c:v>
                </c:pt>
                <c:pt idx="28">
                  <c:v>4620</c:v>
                </c:pt>
                <c:pt idx="29">
                  <c:v>4560</c:v>
                </c:pt>
                <c:pt idx="30" formatCode="General">
                  <c:v>4500</c:v>
                </c:pt>
                <c:pt idx="31">
                  <c:v>4440</c:v>
                </c:pt>
                <c:pt idx="32">
                  <c:v>4380</c:v>
                </c:pt>
                <c:pt idx="33">
                  <c:v>4320</c:v>
                </c:pt>
                <c:pt idx="34">
                  <c:v>4260</c:v>
                </c:pt>
                <c:pt idx="35" formatCode="General">
                  <c:v>4200</c:v>
                </c:pt>
                <c:pt idx="36">
                  <c:v>4120</c:v>
                </c:pt>
                <c:pt idx="37">
                  <c:v>4040</c:v>
                </c:pt>
                <c:pt idx="38">
                  <c:v>3960</c:v>
                </c:pt>
                <c:pt idx="39">
                  <c:v>3880</c:v>
                </c:pt>
                <c:pt idx="40" formatCode="General">
                  <c:v>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402-4502-9F67-4E8DADD8E1E6}"/>
            </c:ext>
          </c:extLst>
        </c:ser>
        <c:ser>
          <c:idx val="18"/>
          <c:order val="18"/>
          <c:tx>
            <c:strRef>
              <c:f>高情景!$B$20</c:f>
              <c:strCache>
                <c:ptCount val="1"/>
                <c:pt idx="0">
                  <c:v>精炼铜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高情景!$E$1:$AS$1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">
                  <c:v>2026</c:v>
                </c:pt>
                <c:pt idx="7" formatCode="0">
                  <c:v>2027</c:v>
                </c:pt>
                <c:pt idx="8" formatCode="0">
                  <c:v>2028</c:v>
                </c:pt>
                <c:pt idx="9" formatCode="0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高情景!$E$20:$AS$20</c:f>
              <c:numCache>
                <c:formatCode>0</c:formatCode>
                <c:ptCount val="41"/>
                <c:pt idx="0" formatCode="General">
                  <c:v>1002.51</c:v>
                </c:pt>
                <c:pt idx="1">
                  <c:v>1048.67</c:v>
                </c:pt>
                <c:pt idx="2">
                  <c:v>1111.53</c:v>
                </c:pt>
                <c:pt idx="3">
                  <c:v>1257.6866666666667</c:v>
                </c:pt>
                <c:pt idx="4">
                  <c:v>1403.8433333333335</c:v>
                </c:pt>
                <c:pt idx="5" formatCode="General">
                  <c:v>1550</c:v>
                </c:pt>
                <c:pt idx="6">
                  <c:v>1620</c:v>
                </c:pt>
                <c:pt idx="7">
                  <c:v>1690</c:v>
                </c:pt>
                <c:pt idx="8">
                  <c:v>1760</c:v>
                </c:pt>
                <c:pt idx="9">
                  <c:v>1830</c:v>
                </c:pt>
                <c:pt idx="10" formatCode="General">
                  <c:v>1900</c:v>
                </c:pt>
                <c:pt idx="11">
                  <c:v>1940</c:v>
                </c:pt>
                <c:pt idx="12">
                  <c:v>1980</c:v>
                </c:pt>
                <c:pt idx="13">
                  <c:v>2020</c:v>
                </c:pt>
                <c:pt idx="14">
                  <c:v>2060</c:v>
                </c:pt>
                <c:pt idx="15" formatCode="General">
                  <c:v>2100</c:v>
                </c:pt>
                <c:pt idx="16">
                  <c:v>2120</c:v>
                </c:pt>
                <c:pt idx="17">
                  <c:v>2140</c:v>
                </c:pt>
                <c:pt idx="18">
                  <c:v>2160</c:v>
                </c:pt>
                <c:pt idx="19">
                  <c:v>2180</c:v>
                </c:pt>
                <c:pt idx="20" formatCode="General">
                  <c:v>2200</c:v>
                </c:pt>
                <c:pt idx="21">
                  <c:v>2210</c:v>
                </c:pt>
                <c:pt idx="22">
                  <c:v>2220</c:v>
                </c:pt>
                <c:pt idx="23">
                  <c:v>2230</c:v>
                </c:pt>
                <c:pt idx="24">
                  <c:v>2240</c:v>
                </c:pt>
                <c:pt idx="25" formatCode="General">
                  <c:v>2250</c:v>
                </c:pt>
                <c:pt idx="26">
                  <c:v>2260</c:v>
                </c:pt>
                <c:pt idx="27">
                  <c:v>2270</c:v>
                </c:pt>
                <c:pt idx="28">
                  <c:v>2280</c:v>
                </c:pt>
                <c:pt idx="29">
                  <c:v>2290</c:v>
                </c:pt>
                <c:pt idx="30" formatCode="General">
                  <c:v>2300</c:v>
                </c:pt>
                <c:pt idx="31">
                  <c:v>2310</c:v>
                </c:pt>
                <c:pt idx="32">
                  <c:v>2320</c:v>
                </c:pt>
                <c:pt idx="33">
                  <c:v>2330</c:v>
                </c:pt>
                <c:pt idx="34">
                  <c:v>2340</c:v>
                </c:pt>
                <c:pt idx="35" formatCode="General">
                  <c:v>2350</c:v>
                </c:pt>
                <c:pt idx="36">
                  <c:v>2358</c:v>
                </c:pt>
                <c:pt idx="37">
                  <c:v>2366</c:v>
                </c:pt>
                <c:pt idx="38">
                  <c:v>2374</c:v>
                </c:pt>
                <c:pt idx="39">
                  <c:v>2382</c:v>
                </c:pt>
                <c:pt idx="40" formatCode="General">
                  <c:v>2390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402-4502-9F67-4E8DADD8E1E6}"/>
            </c:ext>
          </c:extLst>
        </c:ser>
        <c:ser>
          <c:idx val="19"/>
          <c:order val="19"/>
          <c:tx>
            <c:strRef>
              <c:f>高情景!$B$21</c:f>
              <c:strCache>
                <c:ptCount val="1"/>
                <c:pt idx="0">
                  <c:v>汽车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高情景!$E$1:$AS$1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">
                  <c:v>2026</c:v>
                </c:pt>
                <c:pt idx="7" formatCode="0">
                  <c:v>2027</c:v>
                </c:pt>
                <c:pt idx="8" formatCode="0">
                  <c:v>2028</c:v>
                </c:pt>
                <c:pt idx="9" formatCode="0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高情景!$E$21:$AS$21</c:f>
              <c:numCache>
                <c:formatCode>0</c:formatCode>
                <c:ptCount val="41"/>
                <c:pt idx="0" formatCode="General">
                  <c:v>2532.4899999999998</c:v>
                </c:pt>
                <c:pt idx="1">
                  <c:v>2625.7</c:v>
                </c:pt>
                <c:pt idx="2">
                  <c:v>2713.63</c:v>
                </c:pt>
                <c:pt idx="3">
                  <c:v>2948.7071666666666</c:v>
                </c:pt>
                <c:pt idx="4">
                  <c:v>3183.7843333333331</c:v>
                </c:pt>
                <c:pt idx="5" formatCode="0.0">
                  <c:v>3418.8615</c:v>
                </c:pt>
                <c:pt idx="6">
                  <c:v>3520.1610999999998</c:v>
                </c:pt>
                <c:pt idx="7">
                  <c:v>3621.4606999999996</c:v>
                </c:pt>
                <c:pt idx="8">
                  <c:v>3722.7602999999995</c:v>
                </c:pt>
                <c:pt idx="9">
                  <c:v>3824.0598999999993</c:v>
                </c:pt>
                <c:pt idx="10" formatCode="0.0">
                  <c:v>3925.3595</c:v>
                </c:pt>
                <c:pt idx="11">
                  <c:v>3976.0092999999997</c:v>
                </c:pt>
                <c:pt idx="12">
                  <c:v>4026.6590999999994</c:v>
                </c:pt>
                <c:pt idx="13">
                  <c:v>4077.3088999999991</c:v>
                </c:pt>
                <c:pt idx="14">
                  <c:v>4127.9586999999992</c:v>
                </c:pt>
                <c:pt idx="15" formatCode="0.0">
                  <c:v>4178.6084999999994</c:v>
                </c:pt>
                <c:pt idx="16">
                  <c:v>4165.9460499999996</c:v>
                </c:pt>
                <c:pt idx="17">
                  <c:v>4153.2835999999998</c:v>
                </c:pt>
                <c:pt idx="18">
                  <c:v>4140.6211499999999</c:v>
                </c:pt>
                <c:pt idx="19">
                  <c:v>4127.9587000000001</c:v>
                </c:pt>
                <c:pt idx="20" formatCode="0.0">
                  <c:v>4115.2962499999994</c:v>
                </c:pt>
                <c:pt idx="21">
                  <c:v>4102.6337999999996</c:v>
                </c:pt>
                <c:pt idx="22">
                  <c:v>4089.9713499999998</c:v>
                </c:pt>
                <c:pt idx="23">
                  <c:v>4077.3089</c:v>
                </c:pt>
                <c:pt idx="24">
                  <c:v>4064.6464500000002</c:v>
                </c:pt>
                <c:pt idx="25" formatCode="0.0">
                  <c:v>4051.9839999999995</c:v>
                </c:pt>
                <c:pt idx="26">
                  <c:v>4039.3215499999997</c:v>
                </c:pt>
                <c:pt idx="27">
                  <c:v>4026.6590999999999</c:v>
                </c:pt>
                <c:pt idx="28">
                  <c:v>4013.99665</c:v>
                </c:pt>
                <c:pt idx="29">
                  <c:v>4001.3342000000002</c:v>
                </c:pt>
                <c:pt idx="30" formatCode="0.0">
                  <c:v>3988.6717499999995</c:v>
                </c:pt>
                <c:pt idx="31">
                  <c:v>3983.6067699999994</c:v>
                </c:pt>
                <c:pt idx="32">
                  <c:v>3978.5417899999993</c:v>
                </c:pt>
                <c:pt idx="33">
                  <c:v>3973.4768099999992</c:v>
                </c:pt>
                <c:pt idx="34">
                  <c:v>3968.4118299999991</c:v>
                </c:pt>
                <c:pt idx="35" formatCode="0.0">
                  <c:v>3963.3468499999994</c:v>
                </c:pt>
                <c:pt idx="36">
                  <c:v>3955.7493799999993</c:v>
                </c:pt>
                <c:pt idx="37">
                  <c:v>3948.1519099999991</c:v>
                </c:pt>
                <c:pt idx="38">
                  <c:v>3940.554439999999</c:v>
                </c:pt>
                <c:pt idx="39">
                  <c:v>3932.9569699999988</c:v>
                </c:pt>
                <c:pt idx="40" formatCode="0.0">
                  <c:v>3925.3594999999996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402-4502-9F67-4E8DADD8E1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1347583"/>
        <c:axId val="481349023"/>
      </c:lineChart>
      <c:catAx>
        <c:axId val="481347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1349023"/>
        <c:crosses val="autoZero"/>
        <c:auto val="1"/>
        <c:lblAlgn val="ctr"/>
        <c:lblOffset val="100"/>
        <c:noMultiLvlLbl val="0"/>
      </c:catAx>
      <c:valAx>
        <c:axId val="481349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1347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8888936962494167E-2"/>
          <c:y val="0.76314210723659548"/>
          <c:w val="0.93481454586425028"/>
          <c:h val="0.22098487689038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中情景!$C$33</c:f>
              <c:strCache>
                <c:ptCount val="1"/>
                <c:pt idx="0">
                  <c:v>己二酸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中情景!$F$26:$AV$26</c:f>
              <c:numCache>
                <c:formatCode>General</c:formatCode>
                <c:ptCount val="4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  <c:pt idx="28">
                  <c:v>2046</c:v>
                </c:pt>
                <c:pt idx="29">
                  <c:v>2047</c:v>
                </c:pt>
                <c:pt idx="30">
                  <c:v>2048</c:v>
                </c:pt>
                <c:pt idx="31">
                  <c:v>2049</c:v>
                </c:pt>
                <c:pt idx="32">
                  <c:v>2050</c:v>
                </c:pt>
                <c:pt idx="33">
                  <c:v>2051</c:v>
                </c:pt>
                <c:pt idx="34">
                  <c:v>2052</c:v>
                </c:pt>
                <c:pt idx="35">
                  <c:v>2053</c:v>
                </c:pt>
                <c:pt idx="36">
                  <c:v>2054</c:v>
                </c:pt>
                <c:pt idx="37">
                  <c:v>2055</c:v>
                </c:pt>
                <c:pt idx="38">
                  <c:v>2056</c:v>
                </c:pt>
                <c:pt idx="39">
                  <c:v>2057</c:v>
                </c:pt>
                <c:pt idx="40">
                  <c:v>2058</c:v>
                </c:pt>
                <c:pt idx="41">
                  <c:v>2059</c:v>
                </c:pt>
                <c:pt idx="42">
                  <c:v>2060</c:v>
                </c:pt>
              </c:numCache>
            </c:numRef>
          </c:cat>
          <c:val>
            <c:numRef>
              <c:f>中情景!$F$33:$AV$33</c:f>
              <c:numCache>
                <c:formatCode>General</c:formatCode>
                <c:ptCount val="43"/>
                <c:pt idx="0">
                  <c:v>137.54</c:v>
                </c:pt>
                <c:pt idx="1">
                  <c:v>140.04</c:v>
                </c:pt>
                <c:pt idx="2">
                  <c:v>155.71</c:v>
                </c:pt>
                <c:pt idx="3">
                  <c:v>189</c:v>
                </c:pt>
                <c:pt idx="4" formatCode="0">
                  <c:v>199.25</c:v>
                </c:pt>
                <c:pt idx="5" formatCode="0">
                  <c:v>209.5</c:v>
                </c:pt>
                <c:pt idx="6" formatCode="0">
                  <c:v>219.75</c:v>
                </c:pt>
                <c:pt idx="7">
                  <c:v>230</c:v>
                </c:pt>
                <c:pt idx="8" formatCode="0">
                  <c:v>232.22222222222223</c:v>
                </c:pt>
                <c:pt idx="9" formatCode="0">
                  <c:v>234.44444444444446</c:v>
                </c:pt>
                <c:pt idx="10" formatCode="0">
                  <c:v>236.66666666666669</c:v>
                </c:pt>
                <c:pt idx="11" formatCode="0">
                  <c:v>238.88888888888891</c:v>
                </c:pt>
                <c:pt idx="12" formatCode="0">
                  <c:v>241.11111111111114</c:v>
                </c:pt>
                <c:pt idx="13" formatCode="0">
                  <c:v>243.33333333333337</c:v>
                </c:pt>
                <c:pt idx="14" formatCode="0">
                  <c:v>245.5555555555556</c:v>
                </c:pt>
                <c:pt idx="15" formatCode="0">
                  <c:v>247.77777777777783</c:v>
                </c:pt>
                <c:pt idx="16">
                  <c:v>250</c:v>
                </c:pt>
                <c:pt idx="17" formatCode="0">
                  <c:v>248.18181818181819</c:v>
                </c:pt>
                <c:pt idx="18" formatCode="0">
                  <c:v>246.36363636363637</c:v>
                </c:pt>
                <c:pt idx="19" formatCode="0">
                  <c:v>244.54545454545456</c:v>
                </c:pt>
                <c:pt idx="20" formatCode="0">
                  <c:v>242.72727272727275</c:v>
                </c:pt>
                <c:pt idx="21" formatCode="0">
                  <c:v>240.90909090909093</c:v>
                </c:pt>
                <c:pt idx="22" formatCode="0">
                  <c:v>239.09090909090912</c:v>
                </c:pt>
                <c:pt idx="23" formatCode="0">
                  <c:v>237.27272727272731</c:v>
                </c:pt>
                <c:pt idx="24" formatCode="0">
                  <c:v>235.4545454545455</c:v>
                </c:pt>
                <c:pt idx="25" formatCode="0">
                  <c:v>233.63636363636368</c:v>
                </c:pt>
                <c:pt idx="26" formatCode="0">
                  <c:v>231.81818181818187</c:v>
                </c:pt>
                <c:pt idx="27">
                  <c:v>230</c:v>
                </c:pt>
                <c:pt idx="28" formatCode="0">
                  <c:v>227</c:v>
                </c:pt>
                <c:pt idx="29" formatCode="0">
                  <c:v>224</c:v>
                </c:pt>
                <c:pt idx="30" formatCode="0">
                  <c:v>221</c:v>
                </c:pt>
                <c:pt idx="31" formatCode="0">
                  <c:v>218</c:v>
                </c:pt>
                <c:pt idx="32" formatCode="0">
                  <c:v>215</c:v>
                </c:pt>
                <c:pt idx="33" formatCode="0">
                  <c:v>212</c:v>
                </c:pt>
                <c:pt idx="34" formatCode="0">
                  <c:v>209</c:v>
                </c:pt>
                <c:pt idx="35" formatCode="0">
                  <c:v>206</c:v>
                </c:pt>
                <c:pt idx="36" formatCode="0">
                  <c:v>203</c:v>
                </c:pt>
                <c:pt idx="37" formatCode="0">
                  <c:v>200</c:v>
                </c:pt>
                <c:pt idx="38" formatCode="0">
                  <c:v>197</c:v>
                </c:pt>
                <c:pt idx="39" formatCode="0">
                  <c:v>194</c:v>
                </c:pt>
                <c:pt idx="40" formatCode="0">
                  <c:v>191</c:v>
                </c:pt>
                <c:pt idx="41" formatCode="0">
                  <c:v>188</c:v>
                </c:pt>
                <c:pt idx="42">
                  <c:v>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B0-4BEE-BD3A-8DBE24CCB599}"/>
            </c:ext>
          </c:extLst>
        </c:ser>
        <c:ser>
          <c:idx val="2"/>
          <c:order val="2"/>
          <c:tx>
            <c:strRef>
              <c:f>中情景!$C$34</c:f>
              <c:strCache>
                <c:ptCount val="1"/>
                <c:pt idx="0">
                  <c:v>浓硝酸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中情景!$F$26:$AV$26</c:f>
              <c:numCache>
                <c:formatCode>General</c:formatCode>
                <c:ptCount val="4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  <c:pt idx="28">
                  <c:v>2046</c:v>
                </c:pt>
                <c:pt idx="29">
                  <c:v>2047</c:v>
                </c:pt>
                <c:pt idx="30">
                  <c:v>2048</c:v>
                </c:pt>
                <c:pt idx="31">
                  <c:v>2049</c:v>
                </c:pt>
                <c:pt idx="32">
                  <c:v>2050</c:v>
                </c:pt>
                <c:pt idx="33">
                  <c:v>2051</c:v>
                </c:pt>
                <c:pt idx="34">
                  <c:v>2052</c:v>
                </c:pt>
                <c:pt idx="35">
                  <c:v>2053</c:v>
                </c:pt>
                <c:pt idx="36">
                  <c:v>2054</c:v>
                </c:pt>
                <c:pt idx="37">
                  <c:v>2055</c:v>
                </c:pt>
                <c:pt idx="38">
                  <c:v>2056</c:v>
                </c:pt>
                <c:pt idx="39">
                  <c:v>2057</c:v>
                </c:pt>
                <c:pt idx="40">
                  <c:v>2058</c:v>
                </c:pt>
                <c:pt idx="41">
                  <c:v>2059</c:v>
                </c:pt>
                <c:pt idx="42">
                  <c:v>2060</c:v>
                </c:pt>
              </c:numCache>
            </c:numRef>
          </c:cat>
          <c:val>
            <c:numRef>
              <c:f>中情景!$F$34:$AV$34</c:f>
              <c:numCache>
                <c:formatCode>General</c:formatCode>
                <c:ptCount val="43"/>
                <c:pt idx="0">
                  <c:v>246.85</c:v>
                </c:pt>
                <c:pt idx="1">
                  <c:v>244.17</c:v>
                </c:pt>
                <c:pt idx="2">
                  <c:v>232.31</c:v>
                </c:pt>
                <c:pt idx="3">
                  <c:v>224.95</c:v>
                </c:pt>
                <c:pt idx="4">
                  <c:v>201.43</c:v>
                </c:pt>
                <c:pt idx="5" formatCode="0">
                  <c:v>194.28666666666666</c:v>
                </c:pt>
                <c:pt idx="6" formatCode="0">
                  <c:v>187.14333333333332</c:v>
                </c:pt>
                <c:pt idx="7">
                  <c:v>180</c:v>
                </c:pt>
                <c:pt idx="8">
                  <c:v>176.5</c:v>
                </c:pt>
                <c:pt idx="9">
                  <c:v>173</c:v>
                </c:pt>
                <c:pt idx="10">
                  <c:v>169.5</c:v>
                </c:pt>
                <c:pt idx="11">
                  <c:v>166</c:v>
                </c:pt>
                <c:pt idx="12">
                  <c:v>162.5</c:v>
                </c:pt>
                <c:pt idx="13">
                  <c:v>159</c:v>
                </c:pt>
                <c:pt idx="14">
                  <c:v>155.5</c:v>
                </c:pt>
                <c:pt idx="15">
                  <c:v>152</c:v>
                </c:pt>
                <c:pt idx="16">
                  <c:v>148.5</c:v>
                </c:pt>
                <c:pt idx="17">
                  <c:v>145</c:v>
                </c:pt>
                <c:pt idx="18">
                  <c:v>142.80000000000001</c:v>
                </c:pt>
                <c:pt idx="19">
                  <c:v>140.60000000000002</c:v>
                </c:pt>
                <c:pt idx="20">
                  <c:v>138.40000000000003</c:v>
                </c:pt>
                <c:pt idx="21">
                  <c:v>136.20000000000005</c:v>
                </c:pt>
                <c:pt idx="22">
                  <c:v>134.00000000000006</c:v>
                </c:pt>
                <c:pt idx="23">
                  <c:v>131.80000000000007</c:v>
                </c:pt>
                <c:pt idx="24">
                  <c:v>129.60000000000008</c:v>
                </c:pt>
                <c:pt idx="25">
                  <c:v>127.40000000000008</c:v>
                </c:pt>
                <c:pt idx="26">
                  <c:v>125.20000000000007</c:v>
                </c:pt>
                <c:pt idx="27">
                  <c:v>123.00000000000007</c:v>
                </c:pt>
                <c:pt idx="28">
                  <c:v>120.80000000000007</c:v>
                </c:pt>
                <c:pt idx="29">
                  <c:v>118.60000000000007</c:v>
                </c:pt>
                <c:pt idx="30">
                  <c:v>116.40000000000006</c:v>
                </c:pt>
                <c:pt idx="31">
                  <c:v>114.20000000000006</c:v>
                </c:pt>
                <c:pt idx="32">
                  <c:v>112.00000000000006</c:v>
                </c:pt>
                <c:pt idx="33">
                  <c:v>109.80000000000005</c:v>
                </c:pt>
                <c:pt idx="34">
                  <c:v>107.60000000000005</c:v>
                </c:pt>
                <c:pt idx="35">
                  <c:v>105.40000000000005</c:v>
                </c:pt>
                <c:pt idx="36">
                  <c:v>103.20000000000005</c:v>
                </c:pt>
                <c:pt idx="37">
                  <c:v>101.00000000000004</c:v>
                </c:pt>
                <c:pt idx="38">
                  <c:v>98.80000000000004</c:v>
                </c:pt>
                <c:pt idx="39">
                  <c:v>96.600000000000037</c:v>
                </c:pt>
                <c:pt idx="40">
                  <c:v>94.400000000000034</c:v>
                </c:pt>
                <c:pt idx="41">
                  <c:v>92.200000000000031</c:v>
                </c:pt>
                <c:pt idx="42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B0-4BEE-BD3A-8DBE24CCB599}"/>
            </c:ext>
          </c:extLst>
        </c:ser>
        <c:ser>
          <c:idx val="3"/>
          <c:order val="3"/>
          <c:tx>
            <c:strRef>
              <c:f>中情景!$C$35</c:f>
              <c:strCache>
                <c:ptCount val="1"/>
                <c:pt idx="0">
                  <c:v>HCFCs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中情景!$F$26:$AV$26</c:f>
              <c:numCache>
                <c:formatCode>General</c:formatCode>
                <c:ptCount val="4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  <c:pt idx="28">
                  <c:v>2046</c:v>
                </c:pt>
                <c:pt idx="29">
                  <c:v>2047</c:v>
                </c:pt>
                <c:pt idx="30">
                  <c:v>2048</c:v>
                </c:pt>
                <c:pt idx="31">
                  <c:v>2049</c:v>
                </c:pt>
                <c:pt idx="32">
                  <c:v>2050</c:v>
                </c:pt>
                <c:pt idx="33">
                  <c:v>2051</c:v>
                </c:pt>
                <c:pt idx="34">
                  <c:v>2052</c:v>
                </c:pt>
                <c:pt idx="35">
                  <c:v>2053</c:v>
                </c:pt>
                <c:pt idx="36">
                  <c:v>2054</c:v>
                </c:pt>
                <c:pt idx="37">
                  <c:v>2055</c:v>
                </c:pt>
                <c:pt idx="38">
                  <c:v>2056</c:v>
                </c:pt>
                <c:pt idx="39">
                  <c:v>2057</c:v>
                </c:pt>
                <c:pt idx="40">
                  <c:v>2058</c:v>
                </c:pt>
                <c:pt idx="41">
                  <c:v>2059</c:v>
                </c:pt>
                <c:pt idx="42">
                  <c:v>2060</c:v>
                </c:pt>
              </c:numCache>
            </c:numRef>
          </c:cat>
          <c:val>
            <c:numRef>
              <c:f>中情景!$F$35:$AV$35</c:f>
              <c:numCache>
                <c:formatCode>General</c:formatCode>
                <c:ptCount val="43"/>
                <c:pt idx="0">
                  <c:v>85.17</c:v>
                </c:pt>
                <c:pt idx="1">
                  <c:v>88.95</c:v>
                </c:pt>
                <c:pt idx="2">
                  <c:v>86.69</c:v>
                </c:pt>
                <c:pt idx="3">
                  <c:v>93.16</c:v>
                </c:pt>
                <c:pt idx="4">
                  <c:v>97.37</c:v>
                </c:pt>
                <c:pt idx="5">
                  <c:v>101.58000000000001</c:v>
                </c:pt>
                <c:pt idx="6">
                  <c:v>105.79000000000002</c:v>
                </c:pt>
                <c:pt idx="7">
                  <c:v>110</c:v>
                </c:pt>
                <c:pt idx="8" formatCode="0">
                  <c:v>111.875</c:v>
                </c:pt>
                <c:pt idx="9" formatCode="0">
                  <c:v>113.75</c:v>
                </c:pt>
                <c:pt idx="10" formatCode="0">
                  <c:v>115.625</c:v>
                </c:pt>
                <c:pt idx="11" formatCode="0">
                  <c:v>117.5</c:v>
                </c:pt>
                <c:pt idx="12" formatCode="0">
                  <c:v>119.375</c:v>
                </c:pt>
                <c:pt idx="13" formatCode="0">
                  <c:v>121.25</c:v>
                </c:pt>
                <c:pt idx="14" formatCode="0">
                  <c:v>123.125</c:v>
                </c:pt>
                <c:pt idx="15">
                  <c:v>125</c:v>
                </c:pt>
                <c:pt idx="16" formatCode="0">
                  <c:v>123.75</c:v>
                </c:pt>
                <c:pt idx="17" formatCode="0">
                  <c:v>122.5</c:v>
                </c:pt>
                <c:pt idx="18" formatCode="0">
                  <c:v>121.25</c:v>
                </c:pt>
                <c:pt idx="19" formatCode="0">
                  <c:v>120</c:v>
                </c:pt>
                <c:pt idx="20" formatCode="0">
                  <c:v>118.75</c:v>
                </c:pt>
                <c:pt idx="21" formatCode="0">
                  <c:v>117.5</c:v>
                </c:pt>
                <c:pt idx="22" formatCode="0">
                  <c:v>116.25</c:v>
                </c:pt>
                <c:pt idx="23" formatCode="0">
                  <c:v>115</c:v>
                </c:pt>
                <c:pt idx="24" formatCode="0">
                  <c:v>113.75</c:v>
                </c:pt>
                <c:pt idx="25" formatCode="0">
                  <c:v>112.5</c:v>
                </c:pt>
                <c:pt idx="26" formatCode="0">
                  <c:v>111.25</c:v>
                </c:pt>
                <c:pt idx="27">
                  <c:v>110</c:v>
                </c:pt>
                <c:pt idx="28" formatCode="0">
                  <c:v>108.66666666666667</c:v>
                </c:pt>
                <c:pt idx="29" formatCode="0">
                  <c:v>107.33333333333334</c:v>
                </c:pt>
                <c:pt idx="30" formatCode="0">
                  <c:v>106.00000000000001</c:v>
                </c:pt>
                <c:pt idx="31" formatCode="0">
                  <c:v>104.66666666666669</c:v>
                </c:pt>
                <c:pt idx="32" formatCode="0">
                  <c:v>103.33333333333336</c:v>
                </c:pt>
                <c:pt idx="33" formatCode="0">
                  <c:v>102.00000000000003</c:v>
                </c:pt>
                <c:pt idx="34" formatCode="0">
                  <c:v>100.6666666666667</c:v>
                </c:pt>
                <c:pt idx="35" formatCode="0">
                  <c:v>99.333333333333371</c:v>
                </c:pt>
                <c:pt idx="36" formatCode="0">
                  <c:v>98.000000000000043</c:v>
                </c:pt>
                <c:pt idx="37" formatCode="0">
                  <c:v>96.666666666666714</c:v>
                </c:pt>
                <c:pt idx="38" formatCode="0">
                  <c:v>95.333333333333385</c:v>
                </c:pt>
                <c:pt idx="39" formatCode="0">
                  <c:v>94.000000000000057</c:v>
                </c:pt>
                <c:pt idx="40" formatCode="0">
                  <c:v>92.666666666666728</c:v>
                </c:pt>
                <c:pt idx="41" formatCode="0">
                  <c:v>91.3333333333334</c:v>
                </c:pt>
                <c:pt idx="42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CB0-4BEE-BD3A-8DBE24CCB5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4555040"/>
        <c:axId val="50455552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中情景!$C$32</c15:sqref>
                        </c15:formulaRef>
                      </c:ext>
                    </c:extLst>
                    <c:strCache>
                      <c:ptCount val="1"/>
                      <c:pt idx="0">
                        <c:v>电石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中情景!$F$26:$AV$26</c15:sqref>
                        </c15:formulaRef>
                      </c:ext>
                    </c:extLst>
                    <c:numCache>
                      <c:formatCode>General</c:formatCode>
                      <c:ptCount val="43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  <c:pt idx="7">
                        <c:v>2025</c:v>
                      </c:pt>
                      <c:pt idx="8">
                        <c:v>2026</c:v>
                      </c:pt>
                      <c:pt idx="9">
                        <c:v>2027</c:v>
                      </c:pt>
                      <c:pt idx="10">
                        <c:v>2028</c:v>
                      </c:pt>
                      <c:pt idx="11">
                        <c:v>2029</c:v>
                      </c:pt>
                      <c:pt idx="12">
                        <c:v>2030</c:v>
                      </c:pt>
                      <c:pt idx="13">
                        <c:v>2031</c:v>
                      </c:pt>
                      <c:pt idx="14">
                        <c:v>2032</c:v>
                      </c:pt>
                      <c:pt idx="15">
                        <c:v>2033</c:v>
                      </c:pt>
                      <c:pt idx="16">
                        <c:v>2034</c:v>
                      </c:pt>
                      <c:pt idx="17">
                        <c:v>2035</c:v>
                      </c:pt>
                      <c:pt idx="18">
                        <c:v>2036</c:v>
                      </c:pt>
                      <c:pt idx="19">
                        <c:v>2037</c:v>
                      </c:pt>
                      <c:pt idx="20">
                        <c:v>2038</c:v>
                      </c:pt>
                      <c:pt idx="21">
                        <c:v>2039</c:v>
                      </c:pt>
                      <c:pt idx="22">
                        <c:v>2040</c:v>
                      </c:pt>
                      <c:pt idx="23">
                        <c:v>2041</c:v>
                      </c:pt>
                      <c:pt idx="24">
                        <c:v>2042</c:v>
                      </c:pt>
                      <c:pt idx="25">
                        <c:v>2043</c:v>
                      </c:pt>
                      <c:pt idx="26">
                        <c:v>2044</c:v>
                      </c:pt>
                      <c:pt idx="27">
                        <c:v>2045</c:v>
                      </c:pt>
                      <c:pt idx="28">
                        <c:v>2046</c:v>
                      </c:pt>
                      <c:pt idx="29">
                        <c:v>2047</c:v>
                      </c:pt>
                      <c:pt idx="30">
                        <c:v>2048</c:v>
                      </c:pt>
                      <c:pt idx="31">
                        <c:v>2049</c:v>
                      </c:pt>
                      <c:pt idx="32">
                        <c:v>2050</c:v>
                      </c:pt>
                      <c:pt idx="33">
                        <c:v>2051</c:v>
                      </c:pt>
                      <c:pt idx="34">
                        <c:v>2052</c:v>
                      </c:pt>
                      <c:pt idx="35">
                        <c:v>2053</c:v>
                      </c:pt>
                      <c:pt idx="36">
                        <c:v>2054</c:v>
                      </c:pt>
                      <c:pt idx="37">
                        <c:v>2055</c:v>
                      </c:pt>
                      <c:pt idx="38">
                        <c:v>2056</c:v>
                      </c:pt>
                      <c:pt idx="39">
                        <c:v>2057</c:v>
                      </c:pt>
                      <c:pt idx="40">
                        <c:v>2058</c:v>
                      </c:pt>
                      <c:pt idx="41">
                        <c:v>2059</c:v>
                      </c:pt>
                      <c:pt idx="42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中情景!$F$32:$AV$32</c15:sqref>
                        </c15:formulaRef>
                      </c:ext>
                    </c:extLst>
                    <c:numCache>
                      <c:formatCode>General</c:formatCode>
                      <c:ptCount val="43"/>
                      <c:pt idx="0">
                        <c:v>2688.48</c:v>
                      </c:pt>
                      <c:pt idx="1">
                        <c:v>2522.4899999999998</c:v>
                      </c:pt>
                      <c:pt idx="2">
                        <c:v>2795</c:v>
                      </c:pt>
                      <c:pt idx="3">
                        <c:v>2820</c:v>
                      </c:pt>
                      <c:pt idx="4">
                        <c:v>2850</c:v>
                      </c:pt>
                      <c:pt idx="5">
                        <c:v>2900</c:v>
                      </c:pt>
                      <c:pt idx="6">
                        <c:v>2950</c:v>
                      </c:pt>
                      <c:pt idx="7">
                        <c:v>3000</c:v>
                      </c:pt>
                      <c:pt idx="8">
                        <c:v>3025</c:v>
                      </c:pt>
                      <c:pt idx="9">
                        <c:v>3050</c:v>
                      </c:pt>
                      <c:pt idx="10">
                        <c:v>3075</c:v>
                      </c:pt>
                      <c:pt idx="11">
                        <c:v>3100</c:v>
                      </c:pt>
                      <c:pt idx="12">
                        <c:v>3125</c:v>
                      </c:pt>
                      <c:pt idx="13">
                        <c:v>3150</c:v>
                      </c:pt>
                      <c:pt idx="14">
                        <c:v>3175</c:v>
                      </c:pt>
                      <c:pt idx="15">
                        <c:v>3200</c:v>
                      </c:pt>
                      <c:pt idx="16" formatCode="0">
                        <c:v>3179.1666666666665</c:v>
                      </c:pt>
                      <c:pt idx="17" formatCode="0">
                        <c:v>3158.333333333333</c:v>
                      </c:pt>
                      <c:pt idx="18" formatCode="0">
                        <c:v>3137.4999999999995</c:v>
                      </c:pt>
                      <c:pt idx="19" formatCode="0">
                        <c:v>3116.6666666666661</c:v>
                      </c:pt>
                      <c:pt idx="20" formatCode="0">
                        <c:v>3095.8333333333326</c:v>
                      </c:pt>
                      <c:pt idx="21" formatCode="0">
                        <c:v>3074.9999999999991</c:v>
                      </c:pt>
                      <c:pt idx="22" formatCode="0">
                        <c:v>3054.1666666666656</c:v>
                      </c:pt>
                      <c:pt idx="23" formatCode="0">
                        <c:v>3033.3333333333321</c:v>
                      </c:pt>
                      <c:pt idx="24" formatCode="0">
                        <c:v>3012.4999999999986</c:v>
                      </c:pt>
                      <c:pt idx="25" formatCode="0">
                        <c:v>2991.6666666666652</c:v>
                      </c:pt>
                      <c:pt idx="26" formatCode="0">
                        <c:v>2970.8333333333317</c:v>
                      </c:pt>
                      <c:pt idx="27">
                        <c:v>2950</c:v>
                      </c:pt>
                      <c:pt idx="28" formatCode="0">
                        <c:v>2932</c:v>
                      </c:pt>
                      <c:pt idx="29" formatCode="0">
                        <c:v>2914</c:v>
                      </c:pt>
                      <c:pt idx="30">
                        <c:v>2896</c:v>
                      </c:pt>
                      <c:pt idx="31" formatCode="0">
                        <c:v>2878</c:v>
                      </c:pt>
                      <c:pt idx="32" formatCode="0">
                        <c:v>2860</c:v>
                      </c:pt>
                      <c:pt idx="33" formatCode="0">
                        <c:v>2842</c:v>
                      </c:pt>
                      <c:pt idx="34" formatCode="0">
                        <c:v>2824</c:v>
                      </c:pt>
                      <c:pt idx="35" formatCode="0">
                        <c:v>2806</c:v>
                      </c:pt>
                      <c:pt idx="36" formatCode="0">
                        <c:v>2788</c:v>
                      </c:pt>
                      <c:pt idx="37" formatCode="0">
                        <c:v>2770</c:v>
                      </c:pt>
                      <c:pt idx="38" formatCode="0">
                        <c:v>2752</c:v>
                      </c:pt>
                      <c:pt idx="39" formatCode="0">
                        <c:v>2734</c:v>
                      </c:pt>
                      <c:pt idx="40" formatCode="0">
                        <c:v>2716</c:v>
                      </c:pt>
                      <c:pt idx="41" formatCode="0">
                        <c:v>2698</c:v>
                      </c:pt>
                      <c:pt idx="42">
                        <c:v>2680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BCB0-4BEE-BD3A-8DBE24CCB599}"/>
                  </c:ext>
                </c:extLst>
              </c15:ser>
            </c15:filteredLineSeries>
          </c:ext>
        </c:extLst>
      </c:lineChart>
      <c:catAx>
        <c:axId val="50455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4555520"/>
        <c:crosses val="autoZero"/>
        <c:auto val="1"/>
        <c:lblAlgn val="ctr"/>
        <c:lblOffset val="100"/>
        <c:noMultiLvlLbl val="0"/>
      </c:catAx>
      <c:valAx>
        <c:axId val="50455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4555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低情景!$C$33</c:f>
              <c:strCache>
                <c:ptCount val="1"/>
                <c:pt idx="0">
                  <c:v>己二酸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低情景!$F$26:$AV$26</c:f>
              <c:numCache>
                <c:formatCode>General</c:formatCode>
                <c:ptCount val="4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  <c:pt idx="28">
                  <c:v>2046</c:v>
                </c:pt>
                <c:pt idx="29">
                  <c:v>2047</c:v>
                </c:pt>
                <c:pt idx="30">
                  <c:v>2048</c:v>
                </c:pt>
                <c:pt idx="31">
                  <c:v>2049</c:v>
                </c:pt>
                <c:pt idx="32">
                  <c:v>2050</c:v>
                </c:pt>
                <c:pt idx="33">
                  <c:v>2051</c:v>
                </c:pt>
                <c:pt idx="34">
                  <c:v>2052</c:v>
                </c:pt>
                <c:pt idx="35">
                  <c:v>2053</c:v>
                </c:pt>
                <c:pt idx="36">
                  <c:v>2054</c:v>
                </c:pt>
                <c:pt idx="37">
                  <c:v>2055</c:v>
                </c:pt>
                <c:pt idx="38">
                  <c:v>2056</c:v>
                </c:pt>
                <c:pt idx="39">
                  <c:v>2057</c:v>
                </c:pt>
                <c:pt idx="40">
                  <c:v>2058</c:v>
                </c:pt>
                <c:pt idx="41">
                  <c:v>2059</c:v>
                </c:pt>
                <c:pt idx="42">
                  <c:v>2060</c:v>
                </c:pt>
              </c:numCache>
            </c:numRef>
          </c:cat>
          <c:val>
            <c:numRef>
              <c:f>低情景!$F$33:$AV$33</c:f>
              <c:numCache>
                <c:formatCode>General</c:formatCode>
                <c:ptCount val="43"/>
                <c:pt idx="0">
                  <c:v>137.54</c:v>
                </c:pt>
                <c:pt idx="1">
                  <c:v>140.04</c:v>
                </c:pt>
                <c:pt idx="2">
                  <c:v>155.71</c:v>
                </c:pt>
                <c:pt idx="3">
                  <c:v>189</c:v>
                </c:pt>
                <c:pt idx="4" formatCode="0">
                  <c:v>199.25</c:v>
                </c:pt>
                <c:pt idx="5" formatCode="0">
                  <c:v>209.5</c:v>
                </c:pt>
                <c:pt idx="6" formatCode="0">
                  <c:v>219.75</c:v>
                </c:pt>
                <c:pt idx="7">
                  <c:v>230</c:v>
                </c:pt>
                <c:pt idx="8">
                  <c:v>234</c:v>
                </c:pt>
                <c:pt idx="9">
                  <c:v>238</c:v>
                </c:pt>
                <c:pt idx="10">
                  <c:v>242</c:v>
                </c:pt>
                <c:pt idx="11">
                  <c:v>246</c:v>
                </c:pt>
                <c:pt idx="12">
                  <c:v>250</c:v>
                </c:pt>
                <c:pt idx="13">
                  <c:v>248</c:v>
                </c:pt>
                <c:pt idx="14">
                  <c:v>246</c:v>
                </c:pt>
                <c:pt idx="15">
                  <c:v>244</c:v>
                </c:pt>
                <c:pt idx="16">
                  <c:v>242</c:v>
                </c:pt>
                <c:pt idx="17">
                  <c:v>240</c:v>
                </c:pt>
                <c:pt idx="18">
                  <c:v>238</c:v>
                </c:pt>
                <c:pt idx="19">
                  <c:v>236</c:v>
                </c:pt>
                <c:pt idx="20">
                  <c:v>234</c:v>
                </c:pt>
                <c:pt idx="21">
                  <c:v>232</c:v>
                </c:pt>
                <c:pt idx="22" formatCode="0">
                  <c:v>230</c:v>
                </c:pt>
                <c:pt idx="23" formatCode="0">
                  <c:v>227</c:v>
                </c:pt>
                <c:pt idx="24" formatCode="0">
                  <c:v>224</c:v>
                </c:pt>
                <c:pt idx="25" formatCode="0">
                  <c:v>221</c:v>
                </c:pt>
                <c:pt idx="26" formatCode="0">
                  <c:v>218</c:v>
                </c:pt>
                <c:pt idx="27">
                  <c:v>215</c:v>
                </c:pt>
                <c:pt idx="28" formatCode="0">
                  <c:v>212</c:v>
                </c:pt>
                <c:pt idx="29" formatCode="0">
                  <c:v>209</c:v>
                </c:pt>
                <c:pt idx="30" formatCode="0">
                  <c:v>206</c:v>
                </c:pt>
                <c:pt idx="31" formatCode="0">
                  <c:v>203</c:v>
                </c:pt>
                <c:pt idx="32" formatCode="0">
                  <c:v>200</c:v>
                </c:pt>
                <c:pt idx="33" formatCode="0">
                  <c:v>197</c:v>
                </c:pt>
                <c:pt idx="34" formatCode="0">
                  <c:v>194</c:v>
                </c:pt>
                <c:pt idx="35" formatCode="0">
                  <c:v>191</c:v>
                </c:pt>
                <c:pt idx="36" formatCode="0">
                  <c:v>188</c:v>
                </c:pt>
                <c:pt idx="37" formatCode="0">
                  <c:v>185</c:v>
                </c:pt>
                <c:pt idx="38" formatCode="0">
                  <c:v>182</c:v>
                </c:pt>
                <c:pt idx="39" formatCode="0">
                  <c:v>179</c:v>
                </c:pt>
                <c:pt idx="40" formatCode="0">
                  <c:v>176</c:v>
                </c:pt>
                <c:pt idx="41" formatCode="0">
                  <c:v>173</c:v>
                </c:pt>
                <c:pt idx="42">
                  <c:v>170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7F-4EEC-AD57-136F6C1B19E8}"/>
            </c:ext>
          </c:extLst>
        </c:ser>
        <c:ser>
          <c:idx val="2"/>
          <c:order val="2"/>
          <c:tx>
            <c:strRef>
              <c:f>低情景!$C$34</c:f>
              <c:strCache>
                <c:ptCount val="1"/>
                <c:pt idx="0">
                  <c:v>浓硝酸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低情景!$F$26:$AV$26</c:f>
              <c:numCache>
                <c:formatCode>General</c:formatCode>
                <c:ptCount val="4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  <c:pt idx="28">
                  <c:v>2046</c:v>
                </c:pt>
                <c:pt idx="29">
                  <c:v>2047</c:v>
                </c:pt>
                <c:pt idx="30">
                  <c:v>2048</c:v>
                </c:pt>
                <c:pt idx="31">
                  <c:v>2049</c:v>
                </c:pt>
                <c:pt idx="32">
                  <c:v>2050</c:v>
                </c:pt>
                <c:pt idx="33">
                  <c:v>2051</c:v>
                </c:pt>
                <c:pt idx="34">
                  <c:v>2052</c:v>
                </c:pt>
                <c:pt idx="35">
                  <c:v>2053</c:v>
                </c:pt>
                <c:pt idx="36">
                  <c:v>2054</c:v>
                </c:pt>
                <c:pt idx="37">
                  <c:v>2055</c:v>
                </c:pt>
                <c:pt idx="38">
                  <c:v>2056</c:v>
                </c:pt>
                <c:pt idx="39">
                  <c:v>2057</c:v>
                </c:pt>
                <c:pt idx="40">
                  <c:v>2058</c:v>
                </c:pt>
                <c:pt idx="41">
                  <c:v>2059</c:v>
                </c:pt>
                <c:pt idx="42">
                  <c:v>2060</c:v>
                </c:pt>
              </c:numCache>
            </c:numRef>
          </c:cat>
          <c:val>
            <c:numRef>
              <c:f>低情景!$F$34:$AV$34</c:f>
              <c:numCache>
                <c:formatCode>General</c:formatCode>
                <c:ptCount val="43"/>
                <c:pt idx="0">
                  <c:v>246.85</c:v>
                </c:pt>
                <c:pt idx="1">
                  <c:v>244.17</c:v>
                </c:pt>
                <c:pt idx="2">
                  <c:v>232.31</c:v>
                </c:pt>
                <c:pt idx="3">
                  <c:v>224.95</c:v>
                </c:pt>
                <c:pt idx="4">
                  <c:v>201.43</c:v>
                </c:pt>
                <c:pt idx="5" formatCode="0">
                  <c:v>194.28666666666666</c:v>
                </c:pt>
                <c:pt idx="6" formatCode="0">
                  <c:v>187.14333333333332</c:v>
                </c:pt>
                <c:pt idx="7">
                  <c:v>180</c:v>
                </c:pt>
                <c:pt idx="8">
                  <c:v>176</c:v>
                </c:pt>
                <c:pt idx="9">
                  <c:v>172</c:v>
                </c:pt>
                <c:pt idx="10">
                  <c:v>168</c:v>
                </c:pt>
                <c:pt idx="11">
                  <c:v>164</c:v>
                </c:pt>
                <c:pt idx="12">
                  <c:v>160</c:v>
                </c:pt>
                <c:pt idx="13">
                  <c:v>156</c:v>
                </c:pt>
                <c:pt idx="14">
                  <c:v>152</c:v>
                </c:pt>
                <c:pt idx="15">
                  <c:v>148</c:v>
                </c:pt>
                <c:pt idx="16">
                  <c:v>144</c:v>
                </c:pt>
                <c:pt idx="17">
                  <c:v>140</c:v>
                </c:pt>
                <c:pt idx="18">
                  <c:v>137.6</c:v>
                </c:pt>
                <c:pt idx="19">
                  <c:v>135.19999999999999</c:v>
                </c:pt>
                <c:pt idx="20">
                  <c:v>132.79999999999998</c:v>
                </c:pt>
                <c:pt idx="21">
                  <c:v>130.39999999999998</c:v>
                </c:pt>
                <c:pt idx="22">
                  <c:v>127.99999999999997</c:v>
                </c:pt>
                <c:pt idx="23">
                  <c:v>125.59999999999997</c:v>
                </c:pt>
                <c:pt idx="24">
                  <c:v>123.19999999999996</c:v>
                </c:pt>
                <c:pt idx="25">
                  <c:v>120.79999999999995</c:v>
                </c:pt>
                <c:pt idx="26">
                  <c:v>118.39999999999995</c:v>
                </c:pt>
                <c:pt idx="27">
                  <c:v>115.99999999999994</c:v>
                </c:pt>
                <c:pt idx="28">
                  <c:v>113.59999999999994</c:v>
                </c:pt>
                <c:pt idx="29">
                  <c:v>111.19999999999993</c:v>
                </c:pt>
                <c:pt idx="30">
                  <c:v>108.79999999999993</c:v>
                </c:pt>
                <c:pt idx="31">
                  <c:v>106.39999999999992</c:v>
                </c:pt>
                <c:pt idx="32">
                  <c:v>103.99999999999991</c:v>
                </c:pt>
                <c:pt idx="33">
                  <c:v>101.59999999999991</c:v>
                </c:pt>
                <c:pt idx="34">
                  <c:v>99.199999999999903</c:v>
                </c:pt>
                <c:pt idx="35">
                  <c:v>96.799999999999898</c:v>
                </c:pt>
                <c:pt idx="36">
                  <c:v>94.399999999999892</c:v>
                </c:pt>
                <c:pt idx="37">
                  <c:v>91.999999999999886</c:v>
                </c:pt>
                <c:pt idx="38">
                  <c:v>89.599999999999881</c:v>
                </c:pt>
                <c:pt idx="39">
                  <c:v>87.199999999999875</c:v>
                </c:pt>
                <c:pt idx="40">
                  <c:v>84.799999999999869</c:v>
                </c:pt>
                <c:pt idx="41">
                  <c:v>82.399999999999864</c:v>
                </c:pt>
                <c:pt idx="42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7F-4EEC-AD57-136F6C1B19E8}"/>
            </c:ext>
          </c:extLst>
        </c:ser>
        <c:ser>
          <c:idx val="3"/>
          <c:order val="3"/>
          <c:tx>
            <c:strRef>
              <c:f>低情景!$C$35</c:f>
              <c:strCache>
                <c:ptCount val="1"/>
                <c:pt idx="0">
                  <c:v>HCFCs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低情景!$F$26:$AV$26</c:f>
              <c:numCache>
                <c:formatCode>General</c:formatCode>
                <c:ptCount val="4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  <c:pt idx="28">
                  <c:v>2046</c:v>
                </c:pt>
                <c:pt idx="29">
                  <c:v>2047</c:v>
                </c:pt>
                <c:pt idx="30">
                  <c:v>2048</c:v>
                </c:pt>
                <c:pt idx="31">
                  <c:v>2049</c:v>
                </c:pt>
                <c:pt idx="32">
                  <c:v>2050</c:v>
                </c:pt>
                <c:pt idx="33">
                  <c:v>2051</c:v>
                </c:pt>
                <c:pt idx="34">
                  <c:v>2052</c:v>
                </c:pt>
                <c:pt idx="35">
                  <c:v>2053</c:v>
                </c:pt>
                <c:pt idx="36">
                  <c:v>2054</c:v>
                </c:pt>
                <c:pt idx="37">
                  <c:v>2055</c:v>
                </c:pt>
                <c:pt idx="38">
                  <c:v>2056</c:v>
                </c:pt>
                <c:pt idx="39">
                  <c:v>2057</c:v>
                </c:pt>
                <c:pt idx="40">
                  <c:v>2058</c:v>
                </c:pt>
                <c:pt idx="41">
                  <c:v>2059</c:v>
                </c:pt>
                <c:pt idx="42">
                  <c:v>2060</c:v>
                </c:pt>
              </c:numCache>
            </c:numRef>
          </c:cat>
          <c:val>
            <c:numRef>
              <c:f>低情景!$F$35:$AV$35</c:f>
              <c:numCache>
                <c:formatCode>General</c:formatCode>
                <c:ptCount val="43"/>
                <c:pt idx="0">
                  <c:v>85.17</c:v>
                </c:pt>
                <c:pt idx="1">
                  <c:v>88.95</c:v>
                </c:pt>
                <c:pt idx="2">
                  <c:v>86.69</c:v>
                </c:pt>
                <c:pt idx="3">
                  <c:v>93.16</c:v>
                </c:pt>
                <c:pt idx="4">
                  <c:v>97.37</c:v>
                </c:pt>
                <c:pt idx="5">
                  <c:v>101.58000000000001</c:v>
                </c:pt>
                <c:pt idx="6">
                  <c:v>105.79000000000002</c:v>
                </c:pt>
                <c:pt idx="7">
                  <c:v>110</c:v>
                </c:pt>
                <c:pt idx="8">
                  <c:v>112</c:v>
                </c:pt>
                <c:pt idx="9">
                  <c:v>114</c:v>
                </c:pt>
                <c:pt idx="10">
                  <c:v>116</c:v>
                </c:pt>
                <c:pt idx="11">
                  <c:v>118</c:v>
                </c:pt>
                <c:pt idx="12">
                  <c:v>120</c:v>
                </c:pt>
                <c:pt idx="13">
                  <c:v>118</c:v>
                </c:pt>
                <c:pt idx="14">
                  <c:v>116</c:v>
                </c:pt>
                <c:pt idx="15">
                  <c:v>114</c:v>
                </c:pt>
                <c:pt idx="16">
                  <c:v>112</c:v>
                </c:pt>
                <c:pt idx="17">
                  <c:v>110</c:v>
                </c:pt>
                <c:pt idx="18">
                  <c:v>108</c:v>
                </c:pt>
                <c:pt idx="19">
                  <c:v>106</c:v>
                </c:pt>
                <c:pt idx="20">
                  <c:v>104</c:v>
                </c:pt>
                <c:pt idx="21">
                  <c:v>102</c:v>
                </c:pt>
                <c:pt idx="22">
                  <c:v>100</c:v>
                </c:pt>
                <c:pt idx="23">
                  <c:v>99</c:v>
                </c:pt>
                <c:pt idx="24">
                  <c:v>98</c:v>
                </c:pt>
                <c:pt idx="25">
                  <c:v>97</c:v>
                </c:pt>
                <c:pt idx="26">
                  <c:v>96</c:v>
                </c:pt>
                <c:pt idx="27">
                  <c:v>95</c:v>
                </c:pt>
                <c:pt idx="28">
                  <c:v>94</c:v>
                </c:pt>
                <c:pt idx="29">
                  <c:v>93</c:v>
                </c:pt>
                <c:pt idx="30">
                  <c:v>92</c:v>
                </c:pt>
                <c:pt idx="31">
                  <c:v>91</c:v>
                </c:pt>
                <c:pt idx="32">
                  <c:v>90</c:v>
                </c:pt>
                <c:pt idx="33">
                  <c:v>89</c:v>
                </c:pt>
                <c:pt idx="34">
                  <c:v>88</c:v>
                </c:pt>
                <c:pt idx="35">
                  <c:v>87</c:v>
                </c:pt>
                <c:pt idx="36">
                  <c:v>86</c:v>
                </c:pt>
                <c:pt idx="37">
                  <c:v>85</c:v>
                </c:pt>
                <c:pt idx="38">
                  <c:v>84</c:v>
                </c:pt>
                <c:pt idx="39">
                  <c:v>83</c:v>
                </c:pt>
                <c:pt idx="40">
                  <c:v>82</c:v>
                </c:pt>
                <c:pt idx="41">
                  <c:v>81</c:v>
                </c:pt>
                <c:pt idx="42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07F-4EEC-AD57-136F6C1B19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4572320"/>
        <c:axId val="504552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低情景!$C$32</c15:sqref>
                        </c15:formulaRef>
                      </c:ext>
                    </c:extLst>
                    <c:strCache>
                      <c:ptCount val="1"/>
                      <c:pt idx="0">
                        <c:v>电石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低情景!$F$26:$AV$26</c15:sqref>
                        </c15:formulaRef>
                      </c:ext>
                    </c:extLst>
                    <c:numCache>
                      <c:formatCode>General</c:formatCode>
                      <c:ptCount val="43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  <c:pt idx="7">
                        <c:v>2025</c:v>
                      </c:pt>
                      <c:pt idx="8">
                        <c:v>2026</c:v>
                      </c:pt>
                      <c:pt idx="9">
                        <c:v>2027</c:v>
                      </c:pt>
                      <c:pt idx="10">
                        <c:v>2028</c:v>
                      </c:pt>
                      <c:pt idx="11">
                        <c:v>2029</c:v>
                      </c:pt>
                      <c:pt idx="12">
                        <c:v>2030</c:v>
                      </c:pt>
                      <c:pt idx="13">
                        <c:v>2031</c:v>
                      </c:pt>
                      <c:pt idx="14">
                        <c:v>2032</c:v>
                      </c:pt>
                      <c:pt idx="15">
                        <c:v>2033</c:v>
                      </c:pt>
                      <c:pt idx="16">
                        <c:v>2034</c:v>
                      </c:pt>
                      <c:pt idx="17">
                        <c:v>2035</c:v>
                      </c:pt>
                      <c:pt idx="18">
                        <c:v>2036</c:v>
                      </c:pt>
                      <c:pt idx="19">
                        <c:v>2037</c:v>
                      </c:pt>
                      <c:pt idx="20">
                        <c:v>2038</c:v>
                      </c:pt>
                      <c:pt idx="21">
                        <c:v>2039</c:v>
                      </c:pt>
                      <c:pt idx="22">
                        <c:v>2040</c:v>
                      </c:pt>
                      <c:pt idx="23">
                        <c:v>2041</c:v>
                      </c:pt>
                      <c:pt idx="24">
                        <c:v>2042</c:v>
                      </c:pt>
                      <c:pt idx="25">
                        <c:v>2043</c:v>
                      </c:pt>
                      <c:pt idx="26">
                        <c:v>2044</c:v>
                      </c:pt>
                      <c:pt idx="27">
                        <c:v>2045</c:v>
                      </c:pt>
                      <c:pt idx="28">
                        <c:v>2046</c:v>
                      </c:pt>
                      <c:pt idx="29">
                        <c:v>2047</c:v>
                      </c:pt>
                      <c:pt idx="30">
                        <c:v>2048</c:v>
                      </c:pt>
                      <c:pt idx="31">
                        <c:v>2049</c:v>
                      </c:pt>
                      <c:pt idx="32">
                        <c:v>2050</c:v>
                      </c:pt>
                      <c:pt idx="33">
                        <c:v>2051</c:v>
                      </c:pt>
                      <c:pt idx="34">
                        <c:v>2052</c:v>
                      </c:pt>
                      <c:pt idx="35">
                        <c:v>2053</c:v>
                      </c:pt>
                      <c:pt idx="36">
                        <c:v>2054</c:v>
                      </c:pt>
                      <c:pt idx="37">
                        <c:v>2055</c:v>
                      </c:pt>
                      <c:pt idx="38">
                        <c:v>2056</c:v>
                      </c:pt>
                      <c:pt idx="39">
                        <c:v>2057</c:v>
                      </c:pt>
                      <c:pt idx="40">
                        <c:v>2058</c:v>
                      </c:pt>
                      <c:pt idx="41">
                        <c:v>2059</c:v>
                      </c:pt>
                      <c:pt idx="42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低情景!$F$32:$AV$32</c15:sqref>
                        </c15:formulaRef>
                      </c:ext>
                    </c:extLst>
                    <c:numCache>
                      <c:formatCode>General</c:formatCode>
                      <c:ptCount val="43"/>
                      <c:pt idx="0">
                        <c:v>2688.48</c:v>
                      </c:pt>
                      <c:pt idx="1">
                        <c:v>2522.4899999999998</c:v>
                      </c:pt>
                      <c:pt idx="2">
                        <c:v>2795</c:v>
                      </c:pt>
                      <c:pt idx="3">
                        <c:v>2820</c:v>
                      </c:pt>
                      <c:pt idx="4">
                        <c:v>2850</c:v>
                      </c:pt>
                      <c:pt idx="5" formatCode="0">
                        <c:v>2883.3333333333335</c:v>
                      </c:pt>
                      <c:pt idx="6" formatCode="0">
                        <c:v>2916.666666666667</c:v>
                      </c:pt>
                      <c:pt idx="7">
                        <c:v>2950</c:v>
                      </c:pt>
                      <c:pt idx="8">
                        <c:v>2970</c:v>
                      </c:pt>
                      <c:pt idx="9">
                        <c:v>2990</c:v>
                      </c:pt>
                      <c:pt idx="10">
                        <c:v>3010</c:v>
                      </c:pt>
                      <c:pt idx="11">
                        <c:v>3030</c:v>
                      </c:pt>
                      <c:pt idx="12">
                        <c:v>3050</c:v>
                      </c:pt>
                      <c:pt idx="13">
                        <c:v>3040</c:v>
                      </c:pt>
                      <c:pt idx="14">
                        <c:v>3030</c:v>
                      </c:pt>
                      <c:pt idx="15">
                        <c:v>3020</c:v>
                      </c:pt>
                      <c:pt idx="16">
                        <c:v>3010</c:v>
                      </c:pt>
                      <c:pt idx="17">
                        <c:v>3000</c:v>
                      </c:pt>
                      <c:pt idx="18">
                        <c:v>2980</c:v>
                      </c:pt>
                      <c:pt idx="19">
                        <c:v>2960</c:v>
                      </c:pt>
                      <c:pt idx="20">
                        <c:v>2940</c:v>
                      </c:pt>
                      <c:pt idx="21">
                        <c:v>2920</c:v>
                      </c:pt>
                      <c:pt idx="22">
                        <c:v>2900</c:v>
                      </c:pt>
                      <c:pt idx="23">
                        <c:v>2880</c:v>
                      </c:pt>
                      <c:pt idx="24">
                        <c:v>2860</c:v>
                      </c:pt>
                      <c:pt idx="25">
                        <c:v>2840</c:v>
                      </c:pt>
                      <c:pt idx="26">
                        <c:v>2820</c:v>
                      </c:pt>
                      <c:pt idx="27">
                        <c:v>2800</c:v>
                      </c:pt>
                      <c:pt idx="28">
                        <c:v>2780</c:v>
                      </c:pt>
                      <c:pt idx="29">
                        <c:v>2760</c:v>
                      </c:pt>
                      <c:pt idx="30">
                        <c:v>2740</c:v>
                      </c:pt>
                      <c:pt idx="31">
                        <c:v>2720</c:v>
                      </c:pt>
                      <c:pt idx="32">
                        <c:v>2700</c:v>
                      </c:pt>
                      <c:pt idx="33">
                        <c:v>2680</c:v>
                      </c:pt>
                      <c:pt idx="34">
                        <c:v>2660</c:v>
                      </c:pt>
                      <c:pt idx="35">
                        <c:v>2640</c:v>
                      </c:pt>
                      <c:pt idx="36">
                        <c:v>2620</c:v>
                      </c:pt>
                      <c:pt idx="37">
                        <c:v>2600</c:v>
                      </c:pt>
                      <c:pt idx="38">
                        <c:v>2580</c:v>
                      </c:pt>
                      <c:pt idx="39">
                        <c:v>2560</c:v>
                      </c:pt>
                      <c:pt idx="40">
                        <c:v>2540</c:v>
                      </c:pt>
                      <c:pt idx="41">
                        <c:v>2520</c:v>
                      </c:pt>
                      <c:pt idx="42">
                        <c:v>2500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407F-4EEC-AD57-136F6C1B19E8}"/>
                  </c:ext>
                </c:extLst>
              </c15:ser>
            </c15:filteredLineSeries>
          </c:ext>
        </c:extLst>
      </c:lineChart>
      <c:catAx>
        <c:axId val="50457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4552640"/>
        <c:crosses val="autoZero"/>
        <c:auto val="1"/>
        <c:lblAlgn val="ctr"/>
        <c:lblOffset val="100"/>
        <c:noMultiLvlLbl val="0"/>
      </c:catAx>
      <c:valAx>
        <c:axId val="50455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457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40</xdr:row>
      <xdr:rowOff>169333</xdr:rowOff>
    </xdr:from>
    <xdr:to>
      <xdr:col>3</xdr:col>
      <xdr:colOff>1397001</xdr:colOff>
      <xdr:row>57</xdr:row>
      <xdr:rowOff>137581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61C7A20-B491-DB7C-4E26-6DFDAD0405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1662111</xdr:colOff>
      <xdr:row>42</xdr:row>
      <xdr:rowOff>38100</xdr:rowOff>
    </xdr:from>
    <xdr:to>
      <xdr:col>5</xdr:col>
      <xdr:colOff>304799</xdr:colOff>
      <xdr:row>58</xdr:row>
      <xdr:rowOff>57150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F0CA025-90E3-2C7D-4A09-E107A2DC35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52387</xdr:colOff>
      <xdr:row>43</xdr:row>
      <xdr:rowOff>19050</xdr:rowOff>
    </xdr:from>
    <xdr:to>
      <xdr:col>10</xdr:col>
      <xdr:colOff>509587</xdr:colOff>
      <xdr:row>58</xdr:row>
      <xdr:rowOff>47625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657DF69-1191-98A4-E576-EB54E36E95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sohu.com/a/716515038_121388092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ww.sohu.com/a/716515038_121388092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www.sohu.com/a/716515038_1213880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CE933-A4CA-459F-A59D-88449EAE4437}">
  <dimension ref="A1:AV47"/>
  <sheetViews>
    <sheetView zoomScale="90" zoomScaleNormal="90" workbookViewId="0">
      <selection activeCell="A26" sqref="A26:AV40"/>
    </sheetView>
  </sheetViews>
  <sheetFormatPr defaultRowHeight="14.25" x14ac:dyDescent="0.2"/>
  <cols>
    <col min="1" max="1" width="22.5" customWidth="1"/>
    <col min="4" max="4" width="20.375" customWidth="1"/>
    <col min="5" max="5" width="11.125" customWidth="1"/>
  </cols>
  <sheetData>
    <row r="1" spans="1:45" x14ac:dyDescent="0.2">
      <c r="A1" s="1" t="s">
        <v>0</v>
      </c>
      <c r="B1" s="1" t="s">
        <v>1</v>
      </c>
      <c r="C1" s="2" t="s">
        <v>2</v>
      </c>
      <c r="D1" s="1" t="s">
        <v>3</v>
      </c>
      <c r="E1" s="3">
        <v>2020</v>
      </c>
      <c r="F1" s="2">
        <v>2021</v>
      </c>
      <c r="G1" s="4">
        <v>2022</v>
      </c>
      <c r="H1" s="4">
        <v>2023</v>
      </c>
      <c r="I1" s="4">
        <v>2024</v>
      </c>
      <c r="J1" s="3">
        <v>2025</v>
      </c>
      <c r="K1" s="5">
        <v>2026</v>
      </c>
      <c r="L1" s="6">
        <v>2027</v>
      </c>
      <c r="M1" s="6">
        <v>2028</v>
      </c>
      <c r="N1" s="6">
        <v>2029</v>
      </c>
      <c r="O1" s="3">
        <v>2030</v>
      </c>
      <c r="P1" s="2">
        <v>2031</v>
      </c>
      <c r="Q1" s="4">
        <v>2032</v>
      </c>
      <c r="R1" s="4">
        <v>2033</v>
      </c>
      <c r="S1" s="4">
        <v>2034</v>
      </c>
      <c r="T1" s="3">
        <v>2035</v>
      </c>
      <c r="U1" s="2">
        <v>2036</v>
      </c>
      <c r="V1" s="4">
        <v>2037</v>
      </c>
      <c r="W1" s="4">
        <v>2038</v>
      </c>
      <c r="X1" s="4">
        <v>2039</v>
      </c>
      <c r="Y1" s="3">
        <v>2040</v>
      </c>
      <c r="Z1" s="2">
        <v>2041</v>
      </c>
      <c r="AA1" s="4">
        <v>2042</v>
      </c>
      <c r="AB1" s="4">
        <v>2043</v>
      </c>
      <c r="AC1" s="4">
        <v>2044</v>
      </c>
      <c r="AD1" s="3">
        <v>2045</v>
      </c>
      <c r="AE1" s="2">
        <v>2046</v>
      </c>
      <c r="AF1" s="4">
        <v>2047</v>
      </c>
      <c r="AG1" s="4">
        <v>2048</v>
      </c>
      <c r="AH1" s="4">
        <v>2049</v>
      </c>
      <c r="AI1" s="3">
        <v>2050</v>
      </c>
      <c r="AJ1" s="2">
        <v>2051</v>
      </c>
      <c r="AK1" s="4">
        <v>2052</v>
      </c>
      <c r="AL1" s="4">
        <v>2053</v>
      </c>
      <c r="AM1" s="4">
        <v>2054</v>
      </c>
      <c r="AN1" s="3">
        <v>2055</v>
      </c>
      <c r="AO1" s="2">
        <v>2056</v>
      </c>
      <c r="AP1" s="4">
        <v>2057</v>
      </c>
      <c r="AQ1" s="4">
        <v>2058</v>
      </c>
      <c r="AR1" s="4">
        <v>2059</v>
      </c>
      <c r="AS1" s="3">
        <v>2060</v>
      </c>
    </row>
    <row r="2" spans="1:45" x14ac:dyDescent="0.2">
      <c r="A2" s="7" t="s">
        <v>4</v>
      </c>
      <c r="B2" s="8" t="s">
        <v>5</v>
      </c>
      <c r="C2" s="9" t="s">
        <v>6</v>
      </c>
      <c r="D2" s="8" t="s">
        <v>7</v>
      </c>
      <c r="E2" s="33">
        <v>39.020000000000003</v>
      </c>
      <c r="F2" s="31">
        <v>41.26</v>
      </c>
      <c r="G2" s="27">
        <v>45.59</v>
      </c>
      <c r="H2" s="37">
        <f>G2+($J2-$G2)/3</f>
        <v>46.56</v>
      </c>
      <c r="I2" s="12">
        <f>H2+($J2-$G2)/3</f>
        <v>47.53</v>
      </c>
      <c r="J2" s="10">
        <v>48.5</v>
      </c>
      <c r="K2" s="11">
        <f>J2+($O2-$J2)/5</f>
        <v>49</v>
      </c>
      <c r="L2" s="12">
        <f>K2+($O2-$J2)/5</f>
        <v>49.5</v>
      </c>
      <c r="M2" s="12">
        <f t="shared" ref="M2:N2" si="0">L2+($O2-$J2)/5</f>
        <v>50</v>
      </c>
      <c r="N2" s="12">
        <f t="shared" si="0"/>
        <v>50.5</v>
      </c>
      <c r="O2" s="13">
        <v>51</v>
      </c>
      <c r="P2" s="11">
        <f>O2+($T2-$O2)/5</f>
        <v>51.2</v>
      </c>
      <c r="Q2" s="12">
        <f t="shared" ref="Q2:S2" si="1">P2+($T2-$O2)/5</f>
        <v>51.400000000000006</v>
      </c>
      <c r="R2" s="12">
        <f t="shared" si="1"/>
        <v>51.600000000000009</v>
      </c>
      <c r="S2" s="12">
        <f t="shared" si="1"/>
        <v>51.800000000000011</v>
      </c>
      <c r="T2" s="14">
        <f>52</f>
        <v>52</v>
      </c>
      <c r="U2" s="11">
        <f>T2+($Y2-$T2)/5</f>
        <v>51.6</v>
      </c>
      <c r="V2" s="12">
        <f t="shared" ref="V2:X2" si="2">U2+($Y2-$T2)/5</f>
        <v>51.2</v>
      </c>
      <c r="W2" s="12">
        <f t="shared" si="2"/>
        <v>50.800000000000004</v>
      </c>
      <c r="X2" s="12">
        <f t="shared" si="2"/>
        <v>50.400000000000006</v>
      </c>
      <c r="Y2" s="15">
        <v>50</v>
      </c>
      <c r="Z2" s="11">
        <f>Y2+($AD2-$Y2)/5</f>
        <v>49</v>
      </c>
      <c r="AA2" s="12">
        <f t="shared" ref="AA2:AC2" si="3">Z2+($AD2-$Y2)/5</f>
        <v>48</v>
      </c>
      <c r="AB2" s="12">
        <f t="shared" si="3"/>
        <v>47</v>
      </c>
      <c r="AC2" s="12">
        <f t="shared" si="3"/>
        <v>46</v>
      </c>
      <c r="AD2" s="16">
        <v>45</v>
      </c>
      <c r="AE2" s="11">
        <f>AD2+($AI2-$AD2)/5</f>
        <v>44</v>
      </c>
      <c r="AF2" s="12">
        <f t="shared" ref="AF2:AH2" si="4">AE2+($AI2-$AD2)/5</f>
        <v>43</v>
      </c>
      <c r="AG2" s="12">
        <f t="shared" si="4"/>
        <v>42</v>
      </c>
      <c r="AH2" s="12">
        <f t="shared" si="4"/>
        <v>41</v>
      </c>
      <c r="AI2" s="16">
        <v>40</v>
      </c>
      <c r="AJ2" s="11">
        <f>AI2+($AN2-$AI2)/5</f>
        <v>39.200000000000003</v>
      </c>
      <c r="AK2" s="12">
        <f t="shared" ref="AK2:AM2" si="5">AJ2+($AN2-$AI2)/5</f>
        <v>38.400000000000006</v>
      </c>
      <c r="AL2" s="12">
        <f t="shared" si="5"/>
        <v>37.600000000000009</v>
      </c>
      <c r="AM2" s="12">
        <f t="shared" si="5"/>
        <v>36.800000000000011</v>
      </c>
      <c r="AN2" s="16">
        <v>36</v>
      </c>
      <c r="AO2" s="11">
        <f>AN2+($AS2-$AN2)/5</f>
        <v>35</v>
      </c>
      <c r="AP2" s="12">
        <f t="shared" ref="AP2:AR2" si="6">AO2+($AS2-$AN2)/5</f>
        <v>34</v>
      </c>
      <c r="AQ2" s="12">
        <f t="shared" si="6"/>
        <v>33</v>
      </c>
      <c r="AR2" s="12">
        <f t="shared" si="6"/>
        <v>32</v>
      </c>
      <c r="AS2" s="16">
        <v>31</v>
      </c>
    </row>
    <row r="3" spans="1:45" x14ac:dyDescent="0.2">
      <c r="A3" s="17" t="s">
        <v>8</v>
      </c>
      <c r="B3" s="8" t="s">
        <v>9</v>
      </c>
      <c r="C3" s="9" t="s">
        <v>6</v>
      </c>
      <c r="D3" s="8" t="s">
        <v>10</v>
      </c>
      <c r="E3" s="34">
        <v>1.9477</v>
      </c>
      <c r="F3" s="32">
        <v>1.9887999999999999</v>
      </c>
      <c r="G3" s="28">
        <v>2.0472000000000001</v>
      </c>
      <c r="H3" s="38">
        <f t="shared" ref="H3:I21" si="7">G3+($J3-$G3)/3</f>
        <v>2.0881333333333334</v>
      </c>
      <c r="I3" s="38">
        <f t="shared" si="7"/>
        <v>2.1290666666666667</v>
      </c>
      <c r="J3" s="10">
        <v>2.17</v>
      </c>
      <c r="K3" s="11">
        <f t="shared" ref="K3:N18" si="8">J3+($O3-$J3)/5</f>
        <v>2.1760000000000002</v>
      </c>
      <c r="L3" s="12">
        <f t="shared" si="8"/>
        <v>2.1820000000000004</v>
      </c>
      <c r="M3" s="12">
        <f t="shared" si="8"/>
        <v>2.1880000000000006</v>
      </c>
      <c r="N3" s="12">
        <f t="shared" si="8"/>
        <v>2.1940000000000008</v>
      </c>
      <c r="O3" s="10">
        <v>2.2000000000000002</v>
      </c>
      <c r="P3" s="11">
        <f t="shared" ref="P3:S18" si="9">O3+($T3-$O3)/5</f>
        <v>2.2160000000000002</v>
      </c>
      <c r="Q3" s="12">
        <f t="shared" si="9"/>
        <v>2.2320000000000002</v>
      </c>
      <c r="R3" s="12">
        <f t="shared" si="9"/>
        <v>2.2480000000000002</v>
      </c>
      <c r="S3" s="12">
        <f t="shared" si="9"/>
        <v>2.2640000000000002</v>
      </c>
      <c r="T3" s="10">
        <v>2.2799999999999998</v>
      </c>
      <c r="U3" s="11">
        <f t="shared" ref="U3:X18" si="10">T3+($Y3-$T3)/5</f>
        <v>2.2839999999999998</v>
      </c>
      <c r="V3" s="12">
        <f t="shared" si="10"/>
        <v>2.2879999999999998</v>
      </c>
      <c r="W3" s="12">
        <f t="shared" si="10"/>
        <v>2.2919999999999998</v>
      </c>
      <c r="X3" s="12">
        <f t="shared" si="10"/>
        <v>2.2959999999999998</v>
      </c>
      <c r="Y3" s="10">
        <v>2.2999999999999998</v>
      </c>
      <c r="Z3" s="11">
        <f t="shared" ref="Z3:AC18" si="11">Y3+($AD3-$Y3)/5</f>
        <v>2.2799999999999998</v>
      </c>
      <c r="AA3" s="12">
        <f t="shared" si="11"/>
        <v>2.2599999999999998</v>
      </c>
      <c r="AB3" s="12">
        <f t="shared" si="11"/>
        <v>2.2399999999999998</v>
      </c>
      <c r="AC3" s="12">
        <f t="shared" si="11"/>
        <v>2.2199999999999998</v>
      </c>
      <c r="AD3" s="10">
        <v>2.2000000000000002</v>
      </c>
      <c r="AE3" s="11">
        <f t="shared" ref="AE3:AH18" si="12">AD3+($AI3-$AD3)/5</f>
        <v>2.1800000000000002</v>
      </c>
      <c r="AF3" s="12">
        <f t="shared" si="12"/>
        <v>2.16</v>
      </c>
      <c r="AG3" s="12">
        <f t="shared" si="12"/>
        <v>2.14</v>
      </c>
      <c r="AH3" s="12">
        <f t="shared" si="12"/>
        <v>2.12</v>
      </c>
      <c r="AI3" s="10">
        <v>2.1</v>
      </c>
      <c r="AJ3" s="11">
        <f t="shared" ref="AJ3:AM18" si="13">AI3+($AN3-$AI3)/5</f>
        <v>2.0700000000000003</v>
      </c>
      <c r="AK3" s="12">
        <f t="shared" si="13"/>
        <v>2.04</v>
      </c>
      <c r="AL3" s="12">
        <f t="shared" si="13"/>
        <v>2.0099999999999998</v>
      </c>
      <c r="AM3" s="12">
        <f t="shared" si="13"/>
        <v>1.9799999999999998</v>
      </c>
      <c r="AN3" s="10">
        <v>1.95</v>
      </c>
      <c r="AO3" s="11">
        <f t="shared" ref="AO3:AR18" si="14">AN3+($AS3-$AN3)/5</f>
        <v>1.9379999999999999</v>
      </c>
      <c r="AP3" s="12">
        <f t="shared" si="14"/>
        <v>1.9259999999999999</v>
      </c>
      <c r="AQ3" s="12">
        <f t="shared" si="14"/>
        <v>1.9139999999999999</v>
      </c>
      <c r="AR3" s="12">
        <f t="shared" si="14"/>
        <v>1.9019999999999999</v>
      </c>
      <c r="AS3" s="10">
        <v>1.89</v>
      </c>
    </row>
    <row r="4" spans="1:45" x14ac:dyDescent="0.2">
      <c r="A4" s="17" t="s">
        <v>8</v>
      </c>
      <c r="B4" s="8" t="s">
        <v>11</v>
      </c>
      <c r="C4" s="9" t="s">
        <v>12</v>
      </c>
      <c r="D4" s="8" t="s">
        <v>10</v>
      </c>
      <c r="E4" s="35">
        <v>1924.95</v>
      </c>
      <c r="F4" s="11">
        <v>2075.84</v>
      </c>
      <c r="G4" s="29">
        <v>2201.1</v>
      </c>
      <c r="H4" s="12">
        <f t="shared" si="7"/>
        <v>2298.4</v>
      </c>
      <c r="I4" s="12">
        <f t="shared" si="7"/>
        <v>2395.7000000000003</v>
      </c>
      <c r="J4" s="10">
        <v>2493</v>
      </c>
      <c r="K4" s="11">
        <f t="shared" si="8"/>
        <v>2554.4</v>
      </c>
      <c r="L4" s="12">
        <f t="shared" si="8"/>
        <v>2615.8000000000002</v>
      </c>
      <c r="M4" s="12">
        <f t="shared" si="8"/>
        <v>2677.2000000000003</v>
      </c>
      <c r="N4" s="12">
        <f t="shared" si="8"/>
        <v>2738.6000000000004</v>
      </c>
      <c r="O4" s="10">
        <v>2800</v>
      </c>
      <c r="P4" s="11">
        <f t="shared" si="9"/>
        <v>2840</v>
      </c>
      <c r="Q4" s="12">
        <f t="shared" si="9"/>
        <v>2880</v>
      </c>
      <c r="R4" s="12">
        <f t="shared" si="9"/>
        <v>2920</v>
      </c>
      <c r="S4" s="12">
        <f t="shared" si="9"/>
        <v>2960</v>
      </c>
      <c r="T4" s="10">
        <v>3000</v>
      </c>
      <c r="U4" s="11">
        <f t="shared" si="10"/>
        <v>3040</v>
      </c>
      <c r="V4" s="12">
        <f t="shared" si="10"/>
        <v>3080</v>
      </c>
      <c r="W4" s="12">
        <f t="shared" si="10"/>
        <v>3120</v>
      </c>
      <c r="X4" s="12">
        <f t="shared" si="10"/>
        <v>3160</v>
      </c>
      <c r="Y4" s="10">
        <v>3200</v>
      </c>
      <c r="Z4" s="11">
        <f t="shared" si="11"/>
        <v>3220</v>
      </c>
      <c r="AA4" s="12">
        <f t="shared" si="11"/>
        <v>3240</v>
      </c>
      <c r="AB4" s="12">
        <f t="shared" si="11"/>
        <v>3260</v>
      </c>
      <c r="AC4" s="12">
        <f t="shared" si="11"/>
        <v>3280</v>
      </c>
      <c r="AD4" s="10">
        <v>3300</v>
      </c>
      <c r="AE4" s="11">
        <f t="shared" si="12"/>
        <v>3320</v>
      </c>
      <c r="AF4" s="12">
        <f t="shared" si="12"/>
        <v>3340</v>
      </c>
      <c r="AG4" s="12">
        <f t="shared" si="12"/>
        <v>3360</v>
      </c>
      <c r="AH4" s="12">
        <f t="shared" si="12"/>
        <v>3380</v>
      </c>
      <c r="AI4" s="10">
        <v>3400</v>
      </c>
      <c r="AJ4" s="11">
        <f t="shared" si="13"/>
        <v>3420</v>
      </c>
      <c r="AK4" s="12">
        <f t="shared" si="13"/>
        <v>3440</v>
      </c>
      <c r="AL4" s="12">
        <f t="shared" si="13"/>
        <v>3460</v>
      </c>
      <c r="AM4" s="12">
        <f t="shared" si="13"/>
        <v>3480</v>
      </c>
      <c r="AN4" s="10">
        <v>3500</v>
      </c>
      <c r="AO4" s="11">
        <f t="shared" si="14"/>
        <v>3500</v>
      </c>
      <c r="AP4" s="12">
        <f t="shared" si="14"/>
        <v>3500</v>
      </c>
      <c r="AQ4" s="12">
        <f t="shared" si="14"/>
        <v>3500</v>
      </c>
      <c r="AR4" s="12">
        <f t="shared" si="14"/>
        <v>3500</v>
      </c>
      <c r="AS4" s="10">
        <v>3500</v>
      </c>
    </row>
    <row r="5" spans="1:45" x14ac:dyDescent="0.2">
      <c r="A5" s="18" t="s">
        <v>13</v>
      </c>
      <c r="B5" s="8" t="s">
        <v>14</v>
      </c>
      <c r="C5" s="9" t="s">
        <v>6</v>
      </c>
      <c r="D5" s="8" t="s">
        <v>15</v>
      </c>
      <c r="E5" s="34">
        <v>8.6671999999999993</v>
      </c>
      <c r="F5" s="32">
        <v>9.8053000000000008</v>
      </c>
      <c r="G5" s="28">
        <v>9.6786999999999992</v>
      </c>
      <c r="H5" s="12">
        <f t="shared" si="7"/>
        <v>9.9387138206941525</v>
      </c>
      <c r="I5" s="12">
        <f t="shared" si="7"/>
        <v>10.198727641388306</v>
      </c>
      <c r="J5" s="16">
        <f>J18/G18*G5</f>
        <v>10.458741462082459</v>
      </c>
      <c r="K5" s="11">
        <f t="shared" si="8"/>
        <v>10.591852717054419</v>
      </c>
      <c r="L5" s="12">
        <f t="shared" si="8"/>
        <v>10.724963972026378</v>
      </c>
      <c r="M5" s="12">
        <f t="shared" si="8"/>
        <v>10.858075226998338</v>
      </c>
      <c r="N5" s="12">
        <f t="shared" si="8"/>
        <v>10.991186481970297</v>
      </c>
      <c r="O5" s="16">
        <f>O18/J18*J5</f>
        <v>11.124297736942253</v>
      </c>
      <c r="P5" s="11">
        <f t="shared" si="9"/>
        <v>11.086265949807409</v>
      </c>
      <c r="Q5" s="12">
        <f t="shared" si="9"/>
        <v>11.048234162672564</v>
      </c>
      <c r="R5" s="12">
        <f t="shared" si="9"/>
        <v>11.01020237553772</v>
      </c>
      <c r="S5" s="12">
        <f t="shared" si="9"/>
        <v>10.972170588402875</v>
      </c>
      <c r="T5" s="16">
        <f>T18/O18*O5</f>
        <v>10.934138801268027</v>
      </c>
      <c r="U5" s="11">
        <f t="shared" si="10"/>
        <v>10.743979865593801</v>
      </c>
      <c r="V5" s="12">
        <f t="shared" si="10"/>
        <v>10.553820929919574</v>
      </c>
      <c r="W5" s="12">
        <f t="shared" si="10"/>
        <v>10.363661994245348</v>
      </c>
      <c r="X5" s="12">
        <f t="shared" si="10"/>
        <v>10.173503058571121</v>
      </c>
      <c r="Y5" s="16">
        <f>Y18/T18*T5</f>
        <v>9.9833441228968933</v>
      </c>
      <c r="Z5" s="11">
        <f t="shared" si="11"/>
        <v>9.7551534000878206</v>
      </c>
      <c r="AA5" s="12">
        <f t="shared" si="11"/>
        <v>9.5269626772787479</v>
      </c>
      <c r="AB5" s="12">
        <f t="shared" si="11"/>
        <v>9.2987719544696752</v>
      </c>
      <c r="AC5" s="12">
        <f t="shared" si="11"/>
        <v>9.0705812316606025</v>
      </c>
      <c r="AD5" s="16">
        <f>AD18/Y18*Y5</f>
        <v>8.8423905088515333</v>
      </c>
      <c r="AE5" s="11">
        <f t="shared" si="12"/>
        <v>8.652231573177307</v>
      </c>
      <c r="AF5" s="12">
        <f t="shared" si="12"/>
        <v>8.4620726375030806</v>
      </c>
      <c r="AG5" s="12">
        <f t="shared" si="12"/>
        <v>8.2719137018288542</v>
      </c>
      <c r="AH5" s="12">
        <f t="shared" si="12"/>
        <v>8.0817547661546278</v>
      </c>
      <c r="AI5" s="16">
        <f>AI18/AD18*AD5</f>
        <v>7.8915958304804006</v>
      </c>
      <c r="AJ5" s="11">
        <f t="shared" si="13"/>
        <v>7.682421001238751</v>
      </c>
      <c r="AK5" s="12">
        <f t="shared" si="13"/>
        <v>7.4732461719971015</v>
      </c>
      <c r="AL5" s="12">
        <f t="shared" si="13"/>
        <v>7.264071342755452</v>
      </c>
      <c r="AM5" s="12">
        <f t="shared" si="13"/>
        <v>7.0548965135138024</v>
      </c>
      <c r="AN5" s="16">
        <f>AN18/AI18*AI5</f>
        <v>6.8457216842721547</v>
      </c>
      <c r="AO5" s="11">
        <f t="shared" si="14"/>
        <v>6.7316263228676183</v>
      </c>
      <c r="AP5" s="12">
        <f t="shared" si="14"/>
        <v>6.617530961463082</v>
      </c>
      <c r="AQ5" s="12">
        <f t="shared" si="14"/>
        <v>6.5034356000585456</v>
      </c>
      <c r="AR5" s="12">
        <f t="shared" si="14"/>
        <v>6.3893402386540092</v>
      </c>
      <c r="AS5" s="16">
        <f>AS18/AN18*AN5</f>
        <v>6.2752448772494747</v>
      </c>
    </row>
    <row r="6" spans="1:45" x14ac:dyDescent="0.2">
      <c r="A6" s="17" t="s">
        <v>16</v>
      </c>
      <c r="B6" s="39" t="s">
        <v>17</v>
      </c>
      <c r="C6" s="9" t="s">
        <v>18</v>
      </c>
      <c r="D6" s="8" t="s">
        <v>52</v>
      </c>
      <c r="E6" s="33">
        <v>172</v>
      </c>
      <c r="F6" s="11">
        <v>191</v>
      </c>
      <c r="G6" s="29">
        <v>194</v>
      </c>
      <c r="H6" s="12">
        <f t="shared" si="7"/>
        <v>219.50933697995856</v>
      </c>
      <c r="I6" s="12">
        <f t="shared" si="7"/>
        <v>245.01867395991712</v>
      </c>
      <c r="J6" s="19">
        <f>J20/G20*G6</f>
        <v>270.52801093987568</v>
      </c>
      <c r="K6" s="11">
        <f t="shared" si="8"/>
        <v>282.7454049823217</v>
      </c>
      <c r="L6" s="12">
        <f t="shared" si="8"/>
        <v>294.96279902476772</v>
      </c>
      <c r="M6" s="12">
        <f t="shared" si="8"/>
        <v>307.18019306721374</v>
      </c>
      <c r="N6" s="12">
        <f t="shared" si="8"/>
        <v>319.39758710965975</v>
      </c>
      <c r="O6" s="19">
        <f>O20/J20*J6</f>
        <v>331.61498115210566</v>
      </c>
      <c r="P6" s="11">
        <f t="shared" si="9"/>
        <v>338.59634917636055</v>
      </c>
      <c r="Q6" s="12">
        <f t="shared" si="9"/>
        <v>345.57771720061544</v>
      </c>
      <c r="R6" s="12">
        <f t="shared" si="9"/>
        <v>352.55908522487033</v>
      </c>
      <c r="S6" s="12">
        <f t="shared" si="9"/>
        <v>359.54045324912522</v>
      </c>
      <c r="T6" s="19">
        <f>T20/O20*O6</f>
        <v>366.52182127338</v>
      </c>
      <c r="U6" s="11">
        <f t="shared" si="10"/>
        <v>370.01250528550742</v>
      </c>
      <c r="V6" s="12">
        <f t="shared" si="10"/>
        <v>373.50318929763483</v>
      </c>
      <c r="W6" s="12">
        <f t="shared" si="10"/>
        <v>376.99387330976225</v>
      </c>
      <c r="X6" s="12">
        <f t="shared" si="10"/>
        <v>380.48455732188967</v>
      </c>
      <c r="Y6" s="19">
        <f>Y20/T20*T6</f>
        <v>383.97524133401714</v>
      </c>
      <c r="Z6" s="11">
        <f t="shared" si="11"/>
        <v>385.72058334008085</v>
      </c>
      <c r="AA6" s="12">
        <f t="shared" si="11"/>
        <v>387.46592534614456</v>
      </c>
      <c r="AB6" s="12">
        <f t="shared" si="11"/>
        <v>389.21126735220827</v>
      </c>
      <c r="AC6" s="12">
        <f t="shared" si="11"/>
        <v>390.95660935827198</v>
      </c>
      <c r="AD6" s="19">
        <f>AD20/Y20*Y6</f>
        <v>392.70195136433568</v>
      </c>
      <c r="AE6" s="11">
        <f t="shared" si="12"/>
        <v>394.44729337039939</v>
      </c>
      <c r="AF6" s="12">
        <f t="shared" si="12"/>
        <v>396.1926353764631</v>
      </c>
      <c r="AG6" s="12">
        <f t="shared" si="12"/>
        <v>397.93797738252681</v>
      </c>
      <c r="AH6" s="12">
        <f t="shared" si="12"/>
        <v>399.68331938859052</v>
      </c>
      <c r="AI6" s="19">
        <f>AI20/AD20*AD6</f>
        <v>401.42866139465423</v>
      </c>
      <c r="AJ6" s="11">
        <f t="shared" si="13"/>
        <v>403.17400340071794</v>
      </c>
      <c r="AK6" s="12">
        <f t="shared" si="13"/>
        <v>404.91934540678164</v>
      </c>
      <c r="AL6" s="12">
        <f t="shared" si="13"/>
        <v>406.66468741284535</v>
      </c>
      <c r="AM6" s="12">
        <f t="shared" si="13"/>
        <v>408.41002941890906</v>
      </c>
      <c r="AN6" s="19">
        <f>AN20/AI20*AI6</f>
        <v>410.15537142497283</v>
      </c>
      <c r="AO6" s="11">
        <f t="shared" si="14"/>
        <v>411.55164502982382</v>
      </c>
      <c r="AP6" s="12">
        <f t="shared" si="14"/>
        <v>412.94791863467481</v>
      </c>
      <c r="AQ6" s="12">
        <f t="shared" si="14"/>
        <v>414.3441922395258</v>
      </c>
      <c r="AR6" s="12">
        <f t="shared" si="14"/>
        <v>415.74046584437679</v>
      </c>
      <c r="AS6" s="19">
        <f>AS20/AN20*AN6</f>
        <v>417.13673944922772</v>
      </c>
    </row>
    <row r="7" spans="1:45" x14ac:dyDescent="0.2">
      <c r="A7" s="17" t="s">
        <v>16</v>
      </c>
      <c r="B7" s="8" t="s">
        <v>20</v>
      </c>
      <c r="C7" s="9" t="s">
        <v>18</v>
      </c>
      <c r="D7" s="8" t="s">
        <v>51</v>
      </c>
      <c r="E7" s="33">
        <v>9269</v>
      </c>
      <c r="F7" s="11">
        <v>8500</v>
      </c>
      <c r="G7" s="29">
        <v>9000</v>
      </c>
      <c r="H7" s="12">
        <f t="shared" si="7"/>
        <v>9362.868452059196</v>
      </c>
      <c r="I7" s="12">
        <f t="shared" si="7"/>
        <v>9725.736904118392</v>
      </c>
      <c r="J7" s="19">
        <f>J19/G19*G7</f>
        <v>10088.605356177588</v>
      </c>
      <c r="K7" s="11">
        <f t="shared" si="8"/>
        <v>10245.539217273683</v>
      </c>
      <c r="L7" s="12">
        <f t="shared" si="8"/>
        <v>10402.473078369778</v>
      </c>
      <c r="M7" s="12">
        <f t="shared" si="8"/>
        <v>10559.406939465873</v>
      </c>
      <c r="N7" s="12">
        <f t="shared" si="8"/>
        <v>10716.340800561968</v>
      </c>
      <c r="O7" s="19">
        <f>O19/J19*J7</f>
        <v>10873.274661658066</v>
      </c>
      <c r="P7" s="11">
        <f t="shared" si="9"/>
        <v>10985.370276726706</v>
      </c>
      <c r="Q7" s="12">
        <f t="shared" si="9"/>
        <v>11097.465891795346</v>
      </c>
      <c r="R7" s="12">
        <f t="shared" si="9"/>
        <v>11209.561506863985</v>
      </c>
      <c r="S7" s="12">
        <f t="shared" si="9"/>
        <v>11321.657121932625</v>
      </c>
      <c r="T7" s="19">
        <f>T19/O19*O7</f>
        <v>11433.752737001267</v>
      </c>
      <c r="U7" s="11">
        <f t="shared" si="10"/>
        <v>11388.914490973812</v>
      </c>
      <c r="V7" s="12">
        <f t="shared" si="10"/>
        <v>11344.076244946356</v>
      </c>
      <c r="W7" s="12">
        <f t="shared" si="10"/>
        <v>11299.237998918901</v>
      </c>
      <c r="X7" s="12">
        <f t="shared" si="10"/>
        <v>11254.399752891446</v>
      </c>
      <c r="Y7" s="19">
        <f>Y19/T19*T7</f>
        <v>11209.561506863987</v>
      </c>
      <c r="Z7" s="11">
        <f t="shared" si="11"/>
        <v>11119.885014809075</v>
      </c>
      <c r="AA7" s="12">
        <f t="shared" si="11"/>
        <v>11030.208522754163</v>
      </c>
      <c r="AB7" s="12">
        <f t="shared" si="11"/>
        <v>10940.532030699251</v>
      </c>
      <c r="AC7" s="12">
        <f t="shared" si="11"/>
        <v>10850.855538644339</v>
      </c>
      <c r="AD7" s="19">
        <f>AD19/Y19*Y7</f>
        <v>10761.179046589428</v>
      </c>
      <c r="AE7" s="11">
        <f t="shared" si="12"/>
        <v>10626.664308507061</v>
      </c>
      <c r="AF7" s="12">
        <f t="shared" si="12"/>
        <v>10492.149570424694</v>
      </c>
      <c r="AG7" s="12">
        <f t="shared" si="12"/>
        <v>10357.634832342326</v>
      </c>
      <c r="AH7" s="12">
        <f t="shared" si="12"/>
        <v>10223.120094259959</v>
      </c>
      <c r="AI7" s="19">
        <f>AI19/AD19*AD7</f>
        <v>10088.60535617759</v>
      </c>
      <c r="AJ7" s="11">
        <f t="shared" si="13"/>
        <v>9954.0906180952225</v>
      </c>
      <c r="AK7" s="12">
        <f t="shared" si="13"/>
        <v>9819.5758800128551</v>
      </c>
      <c r="AL7" s="12">
        <f t="shared" si="13"/>
        <v>9685.0611419304878</v>
      </c>
      <c r="AM7" s="12">
        <f t="shared" si="13"/>
        <v>9550.5464038481205</v>
      </c>
      <c r="AN7" s="19">
        <f>AN19/AI19*AI7</f>
        <v>9416.0316657657513</v>
      </c>
      <c r="AO7" s="11">
        <f t="shared" si="14"/>
        <v>9236.678681655927</v>
      </c>
      <c r="AP7" s="12">
        <f t="shared" si="14"/>
        <v>9057.3256975461027</v>
      </c>
      <c r="AQ7" s="12">
        <f t="shared" si="14"/>
        <v>8877.9727134362784</v>
      </c>
      <c r="AR7" s="12">
        <f t="shared" si="14"/>
        <v>8698.619729326454</v>
      </c>
      <c r="AS7" s="19">
        <f>AS19/AN19*AN7</f>
        <v>8519.2667452166315</v>
      </c>
    </row>
    <row r="8" spans="1:45" x14ac:dyDescent="0.2">
      <c r="A8" s="18" t="s">
        <v>21</v>
      </c>
      <c r="B8" s="8" t="s">
        <v>22</v>
      </c>
      <c r="C8" s="9" t="s">
        <v>6</v>
      </c>
      <c r="D8" s="26" t="s">
        <v>23</v>
      </c>
      <c r="E8" s="34">
        <v>31.55</v>
      </c>
      <c r="F8" s="11">
        <v>31.4</v>
      </c>
      <c r="G8" s="27">
        <v>28.79</v>
      </c>
      <c r="H8" s="12">
        <f t="shared" si="7"/>
        <v>28.85491368809582</v>
      </c>
      <c r="I8" s="12">
        <f t="shared" si="7"/>
        <v>28.919827376191641</v>
      </c>
      <c r="J8" s="16">
        <f>J16/E16*E8</f>
        <v>28.984741064287459</v>
      </c>
      <c r="K8" s="11">
        <f t="shared" si="8"/>
        <v>28.721243418248481</v>
      </c>
      <c r="L8" s="12">
        <f t="shared" si="8"/>
        <v>28.457745772209503</v>
      </c>
      <c r="M8" s="12">
        <f t="shared" si="8"/>
        <v>28.194248126170525</v>
      </c>
      <c r="N8" s="12">
        <f t="shared" si="8"/>
        <v>27.930750480131547</v>
      </c>
      <c r="O8" s="16">
        <f>O16/J16*J8</f>
        <v>27.667252834092576</v>
      </c>
      <c r="P8" s="11">
        <f t="shared" si="9"/>
        <v>27.272006365034109</v>
      </c>
      <c r="Q8" s="12">
        <f t="shared" si="9"/>
        <v>26.876759895975642</v>
      </c>
      <c r="R8" s="12">
        <f t="shared" si="9"/>
        <v>26.481513426917175</v>
      </c>
      <c r="S8" s="12">
        <f t="shared" si="9"/>
        <v>26.086266957858708</v>
      </c>
      <c r="T8" s="16">
        <f>T16/O16*O8</f>
        <v>25.691020488800248</v>
      </c>
      <c r="U8" s="11">
        <f t="shared" si="10"/>
        <v>25.164025196722296</v>
      </c>
      <c r="V8" s="12">
        <f t="shared" si="10"/>
        <v>24.637029904644344</v>
      </c>
      <c r="W8" s="12">
        <f t="shared" si="10"/>
        <v>24.110034612566391</v>
      </c>
      <c r="X8" s="12">
        <f t="shared" si="10"/>
        <v>23.583039320488439</v>
      </c>
      <c r="Y8" s="16">
        <f>Y16/T16*T8</f>
        <v>23.056044028410479</v>
      </c>
      <c r="Z8" s="11">
        <f t="shared" si="11"/>
        <v>22.529048736332527</v>
      </c>
      <c r="AA8" s="12">
        <f t="shared" si="11"/>
        <v>22.002053444254575</v>
      </c>
      <c r="AB8" s="12">
        <f t="shared" si="11"/>
        <v>21.475058152176622</v>
      </c>
      <c r="AC8" s="12">
        <f t="shared" si="11"/>
        <v>20.94806286009867</v>
      </c>
      <c r="AD8" s="16">
        <f>AD16/Y16*Y8</f>
        <v>20.42106756802071</v>
      </c>
      <c r="AE8" s="11">
        <f t="shared" si="12"/>
        <v>19.894072275942758</v>
      </c>
      <c r="AF8" s="12">
        <f t="shared" si="12"/>
        <v>19.367076983864806</v>
      </c>
      <c r="AG8" s="12">
        <f t="shared" si="12"/>
        <v>18.840081691786853</v>
      </c>
      <c r="AH8" s="12">
        <f t="shared" si="12"/>
        <v>18.313086399708901</v>
      </c>
      <c r="AI8" s="16">
        <f>AI16/AD16*AD8</f>
        <v>17.786091107630941</v>
      </c>
      <c r="AJ8" s="11">
        <f t="shared" si="13"/>
        <v>17.390844638572474</v>
      </c>
      <c r="AK8" s="12">
        <f t="shared" si="13"/>
        <v>16.995598169514007</v>
      </c>
      <c r="AL8" s="12">
        <f t="shared" si="13"/>
        <v>16.600351700455541</v>
      </c>
      <c r="AM8" s="12">
        <f t="shared" si="13"/>
        <v>16.205105231397074</v>
      </c>
      <c r="AN8" s="16">
        <f>AN16/AI16*AI8</f>
        <v>15.809858762338614</v>
      </c>
      <c r="AO8" s="11">
        <f t="shared" si="14"/>
        <v>15.546361116299638</v>
      </c>
      <c r="AP8" s="12">
        <f t="shared" si="14"/>
        <v>15.282863470260661</v>
      </c>
      <c r="AQ8" s="12">
        <f t="shared" si="14"/>
        <v>15.019365824221685</v>
      </c>
      <c r="AR8" s="12">
        <f t="shared" si="14"/>
        <v>14.755868178182709</v>
      </c>
      <c r="AS8" s="16">
        <f>AS16/AN16*AN8</f>
        <v>14.492370532143729</v>
      </c>
    </row>
    <row r="9" spans="1:45" x14ac:dyDescent="0.2">
      <c r="A9" s="18" t="s">
        <v>24</v>
      </c>
      <c r="B9" s="8" t="s">
        <v>25</v>
      </c>
      <c r="C9" s="9" t="s">
        <v>18</v>
      </c>
      <c r="D9" s="8" t="s">
        <v>26</v>
      </c>
      <c r="E9" s="35">
        <v>12700.63</v>
      </c>
      <c r="F9" s="11">
        <v>13583.87</v>
      </c>
      <c r="G9" s="29">
        <v>13691.4</v>
      </c>
      <c r="H9" s="12">
        <f t="shared" si="7"/>
        <v>14194.266666666666</v>
      </c>
      <c r="I9" s="12">
        <f t="shared" si="7"/>
        <v>14697.133333333333</v>
      </c>
      <c r="J9" s="10">
        <v>15200</v>
      </c>
      <c r="K9" s="11">
        <f t="shared" si="8"/>
        <v>15560</v>
      </c>
      <c r="L9" s="12">
        <f t="shared" si="8"/>
        <v>15920</v>
      </c>
      <c r="M9" s="12">
        <f t="shared" si="8"/>
        <v>16280</v>
      </c>
      <c r="N9" s="12">
        <f t="shared" si="8"/>
        <v>16640</v>
      </c>
      <c r="O9" s="10">
        <v>17000</v>
      </c>
      <c r="P9" s="11">
        <f t="shared" si="9"/>
        <v>17120</v>
      </c>
      <c r="Q9" s="12">
        <f t="shared" si="9"/>
        <v>17240</v>
      </c>
      <c r="R9" s="12">
        <f t="shared" si="9"/>
        <v>17360</v>
      </c>
      <c r="S9" s="12">
        <f t="shared" si="9"/>
        <v>17480</v>
      </c>
      <c r="T9" s="10">
        <v>17600</v>
      </c>
      <c r="U9" s="11">
        <f t="shared" si="10"/>
        <v>17580</v>
      </c>
      <c r="V9" s="12">
        <f t="shared" si="10"/>
        <v>17560</v>
      </c>
      <c r="W9" s="12">
        <f t="shared" si="10"/>
        <v>17540</v>
      </c>
      <c r="X9" s="12">
        <f t="shared" si="10"/>
        <v>17520</v>
      </c>
      <c r="Y9" s="10">
        <v>17500</v>
      </c>
      <c r="Z9" s="11">
        <f t="shared" si="11"/>
        <v>17380</v>
      </c>
      <c r="AA9" s="12">
        <f t="shared" si="11"/>
        <v>17260</v>
      </c>
      <c r="AB9" s="12">
        <f t="shared" si="11"/>
        <v>17140</v>
      </c>
      <c r="AC9" s="12">
        <f t="shared" si="11"/>
        <v>17020</v>
      </c>
      <c r="AD9" s="10">
        <v>16900</v>
      </c>
      <c r="AE9" s="11">
        <f t="shared" si="12"/>
        <v>16680</v>
      </c>
      <c r="AF9" s="12">
        <f t="shared" si="12"/>
        <v>16460</v>
      </c>
      <c r="AG9" s="12">
        <f t="shared" si="12"/>
        <v>16240</v>
      </c>
      <c r="AH9" s="12">
        <f t="shared" si="12"/>
        <v>16020</v>
      </c>
      <c r="AI9" s="10">
        <v>15800</v>
      </c>
      <c r="AJ9" s="11">
        <f t="shared" si="13"/>
        <v>15540</v>
      </c>
      <c r="AK9" s="12">
        <f t="shared" si="13"/>
        <v>15280</v>
      </c>
      <c r="AL9" s="12">
        <f t="shared" si="13"/>
        <v>15020</v>
      </c>
      <c r="AM9" s="12">
        <f t="shared" si="13"/>
        <v>14760</v>
      </c>
      <c r="AN9" s="10">
        <v>14500</v>
      </c>
      <c r="AO9" s="11">
        <f t="shared" si="14"/>
        <v>14200</v>
      </c>
      <c r="AP9" s="12">
        <f t="shared" si="14"/>
        <v>13900</v>
      </c>
      <c r="AQ9" s="12">
        <f t="shared" si="14"/>
        <v>13600</v>
      </c>
      <c r="AR9" s="12">
        <f t="shared" si="14"/>
        <v>13300</v>
      </c>
      <c r="AS9" s="10">
        <v>13000</v>
      </c>
    </row>
    <row r="10" spans="1:45" x14ac:dyDescent="0.2">
      <c r="A10" s="17" t="s">
        <v>27</v>
      </c>
      <c r="B10" s="8" t="s">
        <v>28</v>
      </c>
      <c r="C10" s="9" t="s">
        <v>6</v>
      </c>
      <c r="D10" s="8" t="s">
        <v>29</v>
      </c>
      <c r="E10" s="34">
        <v>6.7441000000000004</v>
      </c>
      <c r="F10" s="11">
        <v>7</v>
      </c>
      <c r="G10" s="28">
        <v>6.7590000000000003</v>
      </c>
      <c r="H10" s="12">
        <f t="shared" si="7"/>
        <v>6.8941447831184055</v>
      </c>
      <c r="I10" s="12">
        <f t="shared" si="7"/>
        <v>7.0292895662368107</v>
      </c>
      <c r="J10" s="16">
        <f>J3/G3*G10</f>
        <v>7.1644343493552158</v>
      </c>
      <c r="K10" s="11">
        <f t="shared" si="8"/>
        <v>7.184243845252051</v>
      </c>
      <c r="L10" s="12">
        <f t="shared" si="8"/>
        <v>7.2040533411488861</v>
      </c>
      <c r="M10" s="12">
        <f t="shared" si="8"/>
        <v>7.2238628370457212</v>
      </c>
      <c r="N10" s="12">
        <f t="shared" si="8"/>
        <v>7.2436723329425563</v>
      </c>
      <c r="O10" s="16">
        <f>O3/J3*J10</f>
        <v>7.2634818288393896</v>
      </c>
      <c r="P10" s="11">
        <f t="shared" si="9"/>
        <v>7.3163071512309488</v>
      </c>
      <c r="Q10" s="12">
        <f t="shared" si="9"/>
        <v>7.3691324736225079</v>
      </c>
      <c r="R10" s="12">
        <f t="shared" si="9"/>
        <v>7.421957796014067</v>
      </c>
      <c r="S10" s="12">
        <f t="shared" si="9"/>
        <v>7.4747831184056261</v>
      </c>
      <c r="T10" s="16">
        <f>T3/O3*O10</f>
        <v>7.5276084407971844</v>
      </c>
      <c r="U10" s="11">
        <f t="shared" si="10"/>
        <v>7.5408147713950742</v>
      </c>
      <c r="V10" s="12">
        <f t="shared" si="10"/>
        <v>7.5540211019929639</v>
      </c>
      <c r="W10" s="12">
        <f t="shared" si="10"/>
        <v>7.5672274325908537</v>
      </c>
      <c r="X10" s="12">
        <f t="shared" si="10"/>
        <v>7.5804337631887435</v>
      </c>
      <c r="Y10" s="16">
        <f>Y3/T3*T10</f>
        <v>7.5936400937866333</v>
      </c>
      <c r="Z10" s="11">
        <f t="shared" si="11"/>
        <v>7.5276084407971844</v>
      </c>
      <c r="AA10" s="12">
        <f t="shared" si="11"/>
        <v>7.4615767878077355</v>
      </c>
      <c r="AB10" s="12">
        <f t="shared" si="11"/>
        <v>7.3955451348182866</v>
      </c>
      <c r="AC10" s="12">
        <f t="shared" si="11"/>
        <v>7.3295134818288377</v>
      </c>
      <c r="AD10" s="16">
        <f>AD3/Y3*Y10</f>
        <v>7.2634818288393896</v>
      </c>
      <c r="AE10" s="11">
        <f t="shared" si="12"/>
        <v>7.1974501758499407</v>
      </c>
      <c r="AF10" s="12">
        <f t="shared" si="12"/>
        <v>7.1314185228604918</v>
      </c>
      <c r="AG10" s="12">
        <f t="shared" si="12"/>
        <v>7.0653868698710429</v>
      </c>
      <c r="AH10" s="12">
        <f t="shared" si="12"/>
        <v>6.999355216881594</v>
      </c>
      <c r="AI10" s="16">
        <f>AI3/AD3*AD10</f>
        <v>6.9333235638921442</v>
      </c>
      <c r="AJ10" s="11">
        <f t="shared" si="13"/>
        <v>6.8342760844079704</v>
      </c>
      <c r="AK10" s="12">
        <f t="shared" si="13"/>
        <v>6.7352286049237966</v>
      </c>
      <c r="AL10" s="12">
        <f t="shared" si="13"/>
        <v>6.6361811254396228</v>
      </c>
      <c r="AM10" s="12">
        <f t="shared" si="13"/>
        <v>6.537133645955449</v>
      </c>
      <c r="AN10" s="16">
        <f>AN3/AI3*AI10</f>
        <v>6.4380861664712761</v>
      </c>
      <c r="AO10" s="11">
        <f t="shared" si="14"/>
        <v>6.3984671746776067</v>
      </c>
      <c r="AP10" s="12">
        <f t="shared" si="14"/>
        <v>6.3588481828839374</v>
      </c>
      <c r="AQ10" s="12">
        <f t="shared" si="14"/>
        <v>6.319229191090268</v>
      </c>
      <c r="AR10" s="12">
        <f t="shared" si="14"/>
        <v>6.2796101992965987</v>
      </c>
      <c r="AS10" s="16">
        <f>AS3/AN3*AN10</f>
        <v>6.2399912075029293</v>
      </c>
    </row>
    <row r="11" spans="1:45" x14ac:dyDescent="0.2">
      <c r="A11" s="17" t="s">
        <v>27</v>
      </c>
      <c r="B11" s="8" t="s">
        <v>30</v>
      </c>
      <c r="C11" s="9" t="s">
        <v>18</v>
      </c>
      <c r="D11" s="8" t="s">
        <v>31</v>
      </c>
      <c r="E11" s="33">
        <v>47116</v>
      </c>
      <c r="F11" s="11">
        <v>46400</v>
      </c>
      <c r="G11" s="29">
        <v>47300</v>
      </c>
      <c r="H11" s="12">
        <f t="shared" si="7"/>
        <v>48570.692729274953</v>
      </c>
      <c r="I11" s="12">
        <f t="shared" si="7"/>
        <v>49841.385458549907</v>
      </c>
      <c r="J11" s="19">
        <f>J18/G18*G11</f>
        <v>51112.078187824853</v>
      </c>
      <c r="K11" s="11">
        <f t="shared" si="8"/>
        <v>51762.595546578988</v>
      </c>
      <c r="L11" s="12">
        <f t="shared" si="8"/>
        <v>52413.112905333124</v>
      </c>
      <c r="M11" s="12">
        <f t="shared" si="8"/>
        <v>53063.63026408726</v>
      </c>
      <c r="N11" s="12">
        <f t="shared" si="8"/>
        <v>53714.147622841396</v>
      </c>
      <c r="O11" s="19">
        <f>O18/J18*J11</f>
        <v>54364.664981595532</v>
      </c>
      <c r="P11" s="11">
        <f t="shared" si="9"/>
        <v>54178.80287909435</v>
      </c>
      <c r="Q11" s="12">
        <f t="shared" si="9"/>
        <v>53992.940776593168</v>
      </c>
      <c r="R11" s="12">
        <f t="shared" si="9"/>
        <v>53807.078674091987</v>
      </c>
      <c r="S11" s="12">
        <f t="shared" si="9"/>
        <v>53621.216571590805</v>
      </c>
      <c r="T11" s="19">
        <f>T18/O18*O11</f>
        <v>53435.354469089623</v>
      </c>
      <c r="U11" s="11">
        <f t="shared" si="10"/>
        <v>52506.043956583715</v>
      </c>
      <c r="V11" s="12">
        <f t="shared" si="10"/>
        <v>51576.733444077807</v>
      </c>
      <c r="W11" s="12">
        <f t="shared" si="10"/>
        <v>50647.422931571899</v>
      </c>
      <c r="X11" s="12">
        <f t="shared" si="10"/>
        <v>49718.11241906599</v>
      </c>
      <c r="Y11" s="19">
        <f>Y18/T18*T11</f>
        <v>48788.801906560089</v>
      </c>
      <c r="Z11" s="11">
        <f t="shared" si="11"/>
        <v>47673.629291552999</v>
      </c>
      <c r="AA11" s="12">
        <f t="shared" si="11"/>
        <v>46558.456676545909</v>
      </c>
      <c r="AB11" s="12">
        <f t="shared" si="11"/>
        <v>45443.28406153882</v>
      </c>
      <c r="AC11" s="12">
        <f t="shared" si="11"/>
        <v>44328.11144653173</v>
      </c>
      <c r="AD11" s="19">
        <f>AD18/Y18*Y11</f>
        <v>43212.938831524647</v>
      </c>
      <c r="AE11" s="11">
        <f t="shared" si="12"/>
        <v>42283.628319018739</v>
      </c>
      <c r="AF11" s="12">
        <f t="shared" si="12"/>
        <v>41354.31780651283</v>
      </c>
      <c r="AG11" s="12">
        <f t="shared" si="12"/>
        <v>40425.007294006922</v>
      </c>
      <c r="AH11" s="12">
        <f t="shared" si="12"/>
        <v>39495.696781501014</v>
      </c>
      <c r="AI11" s="19">
        <f>AI18/AD18*AD11</f>
        <v>38566.386268995113</v>
      </c>
      <c r="AJ11" s="11">
        <f t="shared" si="13"/>
        <v>37544.144705238614</v>
      </c>
      <c r="AK11" s="12">
        <f t="shared" si="13"/>
        <v>36521.903141482115</v>
      </c>
      <c r="AL11" s="12">
        <f t="shared" si="13"/>
        <v>35499.661577725616</v>
      </c>
      <c r="AM11" s="12">
        <f t="shared" si="13"/>
        <v>34477.420013969117</v>
      </c>
      <c r="AN11" s="19">
        <f>AN18/AI18*AI11</f>
        <v>33455.178450212632</v>
      </c>
      <c r="AO11" s="11">
        <f t="shared" si="14"/>
        <v>32897.592142709087</v>
      </c>
      <c r="AP11" s="12">
        <f t="shared" si="14"/>
        <v>32340.005835205542</v>
      </c>
      <c r="AQ11" s="12">
        <f t="shared" si="14"/>
        <v>31782.419527701997</v>
      </c>
      <c r="AR11" s="12">
        <f t="shared" si="14"/>
        <v>31224.833220198452</v>
      </c>
      <c r="AS11" s="19">
        <f>AS18/AN18*AN11</f>
        <v>30667.246912694911</v>
      </c>
    </row>
    <row r="12" spans="1:45" x14ac:dyDescent="0.2">
      <c r="A12" s="17" t="s">
        <v>32</v>
      </c>
      <c r="B12" s="8" t="s">
        <v>33</v>
      </c>
      <c r="C12" s="9" t="s">
        <v>18</v>
      </c>
      <c r="D12" s="8" t="s">
        <v>26</v>
      </c>
      <c r="E12" s="35">
        <v>3673.87</v>
      </c>
      <c r="F12" s="11">
        <v>3891.31</v>
      </c>
      <c r="G12" s="29">
        <v>3463.08</v>
      </c>
      <c r="H12" s="12">
        <f>G12+($J12-$G12)/3</f>
        <v>3742.0533333333333</v>
      </c>
      <c r="I12" s="12">
        <f t="shared" si="7"/>
        <v>4021.0266666666666</v>
      </c>
      <c r="J12" s="10">
        <v>4300</v>
      </c>
      <c r="K12" s="11">
        <f t="shared" si="8"/>
        <v>4380</v>
      </c>
      <c r="L12" s="12">
        <f t="shared" si="8"/>
        <v>4460</v>
      </c>
      <c r="M12" s="12">
        <f t="shared" si="8"/>
        <v>4540</v>
      </c>
      <c r="N12" s="12">
        <f t="shared" si="8"/>
        <v>4620</v>
      </c>
      <c r="O12" s="10">
        <v>4700</v>
      </c>
      <c r="P12" s="11">
        <f t="shared" si="9"/>
        <v>4740</v>
      </c>
      <c r="Q12" s="12">
        <f t="shared" si="9"/>
        <v>4780</v>
      </c>
      <c r="R12" s="12">
        <f t="shared" si="9"/>
        <v>4820</v>
      </c>
      <c r="S12" s="12">
        <f t="shared" si="9"/>
        <v>4860</v>
      </c>
      <c r="T12" s="10">
        <v>4900</v>
      </c>
      <c r="U12" s="11">
        <f t="shared" si="10"/>
        <v>4890</v>
      </c>
      <c r="V12" s="12">
        <f t="shared" si="10"/>
        <v>4880</v>
      </c>
      <c r="W12" s="12">
        <f t="shared" si="10"/>
        <v>4870</v>
      </c>
      <c r="X12" s="12">
        <f t="shared" si="10"/>
        <v>4860</v>
      </c>
      <c r="Y12" s="10">
        <v>4850</v>
      </c>
      <c r="Z12" s="11">
        <f t="shared" si="11"/>
        <v>4800</v>
      </c>
      <c r="AA12" s="12">
        <f t="shared" si="11"/>
        <v>4750</v>
      </c>
      <c r="AB12" s="12">
        <f t="shared" si="11"/>
        <v>4700</v>
      </c>
      <c r="AC12" s="12">
        <f t="shared" si="11"/>
        <v>4650</v>
      </c>
      <c r="AD12" s="10">
        <v>4600</v>
      </c>
      <c r="AE12" s="11">
        <f t="shared" si="12"/>
        <v>4540</v>
      </c>
      <c r="AF12" s="12">
        <f t="shared" si="12"/>
        <v>4480</v>
      </c>
      <c r="AG12" s="12">
        <f t="shared" si="12"/>
        <v>4420</v>
      </c>
      <c r="AH12" s="12">
        <f t="shared" si="12"/>
        <v>4360</v>
      </c>
      <c r="AI12" s="10">
        <v>4300</v>
      </c>
      <c r="AJ12" s="11">
        <f t="shared" si="13"/>
        <v>4240</v>
      </c>
      <c r="AK12" s="12">
        <f t="shared" si="13"/>
        <v>4180</v>
      </c>
      <c r="AL12" s="12">
        <f t="shared" si="13"/>
        <v>4120</v>
      </c>
      <c r="AM12" s="12">
        <f t="shared" si="13"/>
        <v>4060</v>
      </c>
      <c r="AN12" s="10">
        <v>4000</v>
      </c>
      <c r="AO12" s="11">
        <f t="shared" si="14"/>
        <v>3960</v>
      </c>
      <c r="AP12" s="12">
        <f t="shared" si="14"/>
        <v>3920</v>
      </c>
      <c r="AQ12" s="12">
        <f t="shared" si="14"/>
        <v>3880</v>
      </c>
      <c r="AR12" s="12">
        <f t="shared" si="14"/>
        <v>3840</v>
      </c>
      <c r="AS12" s="10">
        <v>3800</v>
      </c>
    </row>
    <row r="13" spans="1:45" x14ac:dyDescent="0.2">
      <c r="A13" s="17" t="s">
        <v>32</v>
      </c>
      <c r="B13" s="8" t="s">
        <v>34</v>
      </c>
      <c r="C13" s="9" t="s">
        <v>18</v>
      </c>
      <c r="D13" s="8" t="s">
        <v>26</v>
      </c>
      <c r="E13" s="35">
        <v>2812.37</v>
      </c>
      <c r="F13" s="11">
        <v>2913.25</v>
      </c>
      <c r="G13" s="29">
        <v>2920.2</v>
      </c>
      <c r="H13" s="12">
        <f t="shared" si="7"/>
        <v>3080.1333333333332</v>
      </c>
      <c r="I13" s="12">
        <f t="shared" si="7"/>
        <v>3240.0666666666666</v>
      </c>
      <c r="J13" s="10">
        <v>3400</v>
      </c>
      <c r="K13" s="11">
        <f t="shared" si="8"/>
        <v>3470</v>
      </c>
      <c r="L13" s="12">
        <f t="shared" si="8"/>
        <v>3540</v>
      </c>
      <c r="M13" s="12">
        <f t="shared" si="8"/>
        <v>3610</v>
      </c>
      <c r="N13" s="12">
        <f t="shared" si="8"/>
        <v>3680</v>
      </c>
      <c r="O13" s="10">
        <v>3750</v>
      </c>
      <c r="P13" s="11">
        <f t="shared" si="9"/>
        <v>3780</v>
      </c>
      <c r="Q13" s="12">
        <f t="shared" si="9"/>
        <v>3810</v>
      </c>
      <c r="R13" s="12">
        <f t="shared" si="9"/>
        <v>3840</v>
      </c>
      <c r="S13" s="12">
        <f t="shared" si="9"/>
        <v>3870</v>
      </c>
      <c r="T13" s="10">
        <v>3900</v>
      </c>
      <c r="U13" s="11">
        <f t="shared" si="10"/>
        <v>3920</v>
      </c>
      <c r="V13" s="12">
        <f t="shared" si="10"/>
        <v>3940</v>
      </c>
      <c r="W13" s="12">
        <f t="shared" si="10"/>
        <v>3960</v>
      </c>
      <c r="X13" s="12">
        <f t="shared" si="10"/>
        <v>3980</v>
      </c>
      <c r="Y13" s="10">
        <v>4000</v>
      </c>
      <c r="Z13" s="11">
        <f t="shared" si="11"/>
        <v>3970</v>
      </c>
      <c r="AA13" s="12">
        <f t="shared" si="11"/>
        <v>3940</v>
      </c>
      <c r="AB13" s="12">
        <f t="shared" si="11"/>
        <v>3910</v>
      </c>
      <c r="AC13" s="12">
        <f t="shared" si="11"/>
        <v>3880</v>
      </c>
      <c r="AD13" s="10">
        <v>3850</v>
      </c>
      <c r="AE13" s="11">
        <f t="shared" si="12"/>
        <v>3800</v>
      </c>
      <c r="AF13" s="12">
        <f t="shared" si="12"/>
        <v>3750</v>
      </c>
      <c r="AG13" s="12">
        <f t="shared" si="12"/>
        <v>3700</v>
      </c>
      <c r="AH13" s="12">
        <f t="shared" si="12"/>
        <v>3650</v>
      </c>
      <c r="AI13" s="10">
        <v>3600</v>
      </c>
      <c r="AJ13" s="11">
        <f t="shared" si="13"/>
        <v>3540</v>
      </c>
      <c r="AK13" s="12">
        <f t="shared" si="13"/>
        <v>3480</v>
      </c>
      <c r="AL13" s="12">
        <f t="shared" si="13"/>
        <v>3420</v>
      </c>
      <c r="AM13" s="12">
        <f t="shared" si="13"/>
        <v>3360</v>
      </c>
      <c r="AN13" s="10">
        <v>3300</v>
      </c>
      <c r="AO13" s="11">
        <f t="shared" si="14"/>
        <v>3230</v>
      </c>
      <c r="AP13" s="12">
        <f t="shared" si="14"/>
        <v>3160</v>
      </c>
      <c r="AQ13" s="12">
        <f t="shared" si="14"/>
        <v>3090</v>
      </c>
      <c r="AR13" s="12">
        <f t="shared" si="14"/>
        <v>3020</v>
      </c>
      <c r="AS13" s="10">
        <v>2950</v>
      </c>
    </row>
    <row r="14" spans="1:45" x14ac:dyDescent="0.2">
      <c r="A14" s="17" t="s">
        <v>32</v>
      </c>
      <c r="B14" s="8" t="s">
        <v>35</v>
      </c>
      <c r="C14" s="9" t="s">
        <v>18</v>
      </c>
      <c r="D14" s="8" t="s">
        <v>26</v>
      </c>
      <c r="E14" s="35">
        <v>2159.96</v>
      </c>
      <c r="F14" s="11">
        <v>2825.67</v>
      </c>
      <c r="G14" s="29">
        <v>2897.51</v>
      </c>
      <c r="H14" s="12">
        <f t="shared" si="7"/>
        <v>3231.6733333333336</v>
      </c>
      <c r="I14" s="12">
        <f t="shared" si="7"/>
        <v>3565.836666666667</v>
      </c>
      <c r="J14" s="10">
        <v>3900</v>
      </c>
      <c r="K14" s="11">
        <f t="shared" si="8"/>
        <v>4120</v>
      </c>
      <c r="L14" s="12">
        <f t="shared" si="8"/>
        <v>4340</v>
      </c>
      <c r="M14" s="12">
        <f t="shared" si="8"/>
        <v>4560</v>
      </c>
      <c r="N14" s="12">
        <f t="shared" si="8"/>
        <v>4780</v>
      </c>
      <c r="O14" s="10">
        <v>5000</v>
      </c>
      <c r="P14" s="11">
        <f t="shared" si="9"/>
        <v>5080</v>
      </c>
      <c r="Q14" s="12">
        <f t="shared" si="9"/>
        <v>5160</v>
      </c>
      <c r="R14" s="12">
        <f t="shared" si="9"/>
        <v>5240</v>
      </c>
      <c r="S14" s="12">
        <f t="shared" si="9"/>
        <v>5320</v>
      </c>
      <c r="T14" s="10">
        <v>5400</v>
      </c>
      <c r="U14" s="11">
        <f t="shared" si="10"/>
        <v>5430</v>
      </c>
      <c r="V14" s="12">
        <f t="shared" si="10"/>
        <v>5460</v>
      </c>
      <c r="W14" s="12">
        <f t="shared" si="10"/>
        <v>5490</v>
      </c>
      <c r="X14" s="12">
        <f t="shared" si="10"/>
        <v>5520</v>
      </c>
      <c r="Y14" s="10">
        <v>5550</v>
      </c>
      <c r="Z14" s="11">
        <f t="shared" si="11"/>
        <v>5520</v>
      </c>
      <c r="AA14" s="12">
        <f t="shared" si="11"/>
        <v>5490</v>
      </c>
      <c r="AB14" s="12">
        <f t="shared" si="11"/>
        <v>5460</v>
      </c>
      <c r="AC14" s="12">
        <f t="shared" si="11"/>
        <v>5430</v>
      </c>
      <c r="AD14" s="10">
        <v>5400</v>
      </c>
      <c r="AE14" s="11">
        <f t="shared" si="12"/>
        <v>5360</v>
      </c>
      <c r="AF14" s="12">
        <f t="shared" si="12"/>
        <v>5320</v>
      </c>
      <c r="AG14" s="12">
        <f t="shared" si="12"/>
        <v>5280</v>
      </c>
      <c r="AH14" s="12">
        <f t="shared" si="12"/>
        <v>5240</v>
      </c>
      <c r="AI14" s="10">
        <v>5200</v>
      </c>
      <c r="AJ14" s="11">
        <f t="shared" si="13"/>
        <v>5130</v>
      </c>
      <c r="AK14" s="12">
        <f t="shared" si="13"/>
        <v>5060</v>
      </c>
      <c r="AL14" s="12">
        <f t="shared" si="13"/>
        <v>4990</v>
      </c>
      <c r="AM14" s="12">
        <f t="shared" si="13"/>
        <v>4920</v>
      </c>
      <c r="AN14" s="10">
        <v>4850</v>
      </c>
      <c r="AO14" s="11">
        <f t="shared" si="14"/>
        <v>4780</v>
      </c>
      <c r="AP14" s="12">
        <f t="shared" si="14"/>
        <v>4710</v>
      </c>
      <c r="AQ14" s="12">
        <f t="shared" si="14"/>
        <v>4640</v>
      </c>
      <c r="AR14" s="12">
        <f t="shared" si="14"/>
        <v>4570</v>
      </c>
      <c r="AS14" s="10">
        <v>4500</v>
      </c>
    </row>
    <row r="15" spans="1:45" x14ac:dyDescent="0.2">
      <c r="A15" s="17" t="s">
        <v>32</v>
      </c>
      <c r="B15" s="8" t="s">
        <v>36</v>
      </c>
      <c r="C15" s="9" t="s">
        <v>18</v>
      </c>
      <c r="D15" s="8" t="s">
        <v>26</v>
      </c>
      <c r="E15" s="35">
        <v>5117.13</v>
      </c>
      <c r="F15" s="11">
        <v>5189.38</v>
      </c>
      <c r="G15" s="29">
        <v>5321.01</v>
      </c>
      <c r="H15" s="12">
        <f t="shared" si="7"/>
        <v>5547.34</v>
      </c>
      <c r="I15" s="12">
        <f t="shared" si="7"/>
        <v>5773.67</v>
      </c>
      <c r="J15" s="10">
        <v>6000</v>
      </c>
      <c r="K15" s="11">
        <f t="shared" si="8"/>
        <v>6140</v>
      </c>
      <c r="L15" s="12">
        <f t="shared" si="8"/>
        <v>6280</v>
      </c>
      <c r="M15" s="12">
        <f t="shared" si="8"/>
        <v>6420</v>
      </c>
      <c r="N15" s="12">
        <f t="shared" si="8"/>
        <v>6560</v>
      </c>
      <c r="O15" s="10">
        <v>6700</v>
      </c>
      <c r="P15" s="11">
        <f t="shared" si="9"/>
        <v>6780</v>
      </c>
      <c r="Q15" s="12">
        <f t="shared" si="9"/>
        <v>6860</v>
      </c>
      <c r="R15" s="12">
        <f t="shared" si="9"/>
        <v>6940</v>
      </c>
      <c r="S15" s="12">
        <f t="shared" si="9"/>
        <v>7020</v>
      </c>
      <c r="T15" s="10">
        <v>7100</v>
      </c>
      <c r="U15" s="11">
        <f t="shared" si="10"/>
        <v>7140</v>
      </c>
      <c r="V15" s="12">
        <f t="shared" si="10"/>
        <v>7180</v>
      </c>
      <c r="W15" s="12">
        <f t="shared" si="10"/>
        <v>7220</v>
      </c>
      <c r="X15" s="12">
        <f t="shared" si="10"/>
        <v>7260</v>
      </c>
      <c r="Y15" s="10">
        <v>7300</v>
      </c>
      <c r="Z15" s="11">
        <f t="shared" si="11"/>
        <v>7330</v>
      </c>
      <c r="AA15" s="12">
        <f t="shared" si="11"/>
        <v>7360</v>
      </c>
      <c r="AB15" s="12">
        <f t="shared" si="11"/>
        <v>7390</v>
      </c>
      <c r="AC15" s="12">
        <f t="shared" si="11"/>
        <v>7420</v>
      </c>
      <c r="AD15" s="10">
        <v>7450</v>
      </c>
      <c r="AE15" s="11">
        <f t="shared" si="12"/>
        <v>7480</v>
      </c>
      <c r="AF15" s="12">
        <f t="shared" si="12"/>
        <v>7510</v>
      </c>
      <c r="AG15" s="12">
        <f t="shared" si="12"/>
        <v>7540</v>
      </c>
      <c r="AH15" s="12">
        <f t="shared" si="12"/>
        <v>7570</v>
      </c>
      <c r="AI15" s="10">
        <v>7600</v>
      </c>
      <c r="AJ15" s="11">
        <f t="shared" si="13"/>
        <v>7630</v>
      </c>
      <c r="AK15" s="12">
        <f t="shared" si="13"/>
        <v>7660</v>
      </c>
      <c r="AL15" s="12">
        <f t="shared" si="13"/>
        <v>7690</v>
      </c>
      <c r="AM15" s="12">
        <f t="shared" si="13"/>
        <v>7720</v>
      </c>
      <c r="AN15" s="10">
        <v>7750</v>
      </c>
      <c r="AO15" s="11">
        <f t="shared" si="14"/>
        <v>7780</v>
      </c>
      <c r="AP15" s="12">
        <f t="shared" si="14"/>
        <v>7810</v>
      </c>
      <c r="AQ15" s="12">
        <f t="shared" si="14"/>
        <v>7840</v>
      </c>
      <c r="AR15" s="12">
        <f t="shared" si="14"/>
        <v>7870</v>
      </c>
      <c r="AS15" s="10">
        <v>7900</v>
      </c>
    </row>
    <row r="16" spans="1:45" x14ac:dyDescent="0.2">
      <c r="A16" s="17" t="s">
        <v>100</v>
      </c>
      <c r="B16" s="8" t="s">
        <v>38</v>
      </c>
      <c r="C16" s="9" t="s">
        <v>18</v>
      </c>
      <c r="D16" s="8" t="s">
        <v>26</v>
      </c>
      <c r="E16" s="35">
        <v>239470.83</v>
      </c>
      <c r="F16" s="11">
        <v>237724.49</v>
      </c>
      <c r="G16" s="29">
        <v>212927.18</v>
      </c>
      <c r="H16" s="12">
        <f t="shared" si="7"/>
        <v>215284.78666666665</v>
      </c>
      <c r="I16" s="12">
        <f t="shared" si="7"/>
        <v>217642.39333333331</v>
      </c>
      <c r="J16" s="10">
        <v>220000</v>
      </c>
      <c r="K16" s="11">
        <f t="shared" si="8"/>
        <v>218000</v>
      </c>
      <c r="L16" s="12">
        <f t="shared" si="8"/>
        <v>216000</v>
      </c>
      <c r="M16" s="12">
        <f t="shared" si="8"/>
        <v>214000</v>
      </c>
      <c r="N16" s="12">
        <f t="shared" si="8"/>
        <v>212000</v>
      </c>
      <c r="O16" s="10">
        <v>210000</v>
      </c>
      <c r="P16" s="11">
        <f t="shared" si="9"/>
        <v>207000</v>
      </c>
      <c r="Q16" s="12">
        <f t="shared" si="9"/>
        <v>204000</v>
      </c>
      <c r="R16" s="12">
        <f t="shared" si="9"/>
        <v>201000</v>
      </c>
      <c r="S16" s="12">
        <f t="shared" si="9"/>
        <v>198000</v>
      </c>
      <c r="T16" s="10">
        <v>195000</v>
      </c>
      <c r="U16" s="11">
        <f t="shared" si="10"/>
        <v>191000</v>
      </c>
      <c r="V16" s="12">
        <f t="shared" si="10"/>
        <v>187000</v>
      </c>
      <c r="W16" s="12">
        <f t="shared" si="10"/>
        <v>183000</v>
      </c>
      <c r="X16" s="12">
        <f t="shared" si="10"/>
        <v>179000</v>
      </c>
      <c r="Y16" s="10">
        <v>175000</v>
      </c>
      <c r="Z16" s="11">
        <f t="shared" si="11"/>
        <v>171000</v>
      </c>
      <c r="AA16" s="12">
        <f t="shared" si="11"/>
        <v>167000</v>
      </c>
      <c r="AB16" s="12">
        <f t="shared" si="11"/>
        <v>163000</v>
      </c>
      <c r="AC16" s="12">
        <f t="shared" si="11"/>
        <v>159000</v>
      </c>
      <c r="AD16" s="10">
        <v>155000</v>
      </c>
      <c r="AE16" s="11">
        <f t="shared" si="12"/>
        <v>151000</v>
      </c>
      <c r="AF16" s="12">
        <f t="shared" si="12"/>
        <v>147000</v>
      </c>
      <c r="AG16" s="12">
        <f t="shared" si="12"/>
        <v>143000</v>
      </c>
      <c r="AH16" s="12">
        <f t="shared" si="12"/>
        <v>139000</v>
      </c>
      <c r="AI16" s="10">
        <v>135000</v>
      </c>
      <c r="AJ16" s="11">
        <f t="shared" si="13"/>
        <v>132000</v>
      </c>
      <c r="AK16" s="12">
        <f t="shared" si="13"/>
        <v>129000</v>
      </c>
      <c r="AL16" s="12">
        <f t="shared" si="13"/>
        <v>126000</v>
      </c>
      <c r="AM16" s="12">
        <f t="shared" si="13"/>
        <v>123000</v>
      </c>
      <c r="AN16" s="10">
        <v>120000</v>
      </c>
      <c r="AO16" s="11">
        <f t="shared" si="14"/>
        <v>118000</v>
      </c>
      <c r="AP16" s="12">
        <f t="shared" si="14"/>
        <v>116000</v>
      </c>
      <c r="AQ16" s="12">
        <f t="shared" si="14"/>
        <v>114000</v>
      </c>
      <c r="AR16" s="12">
        <f t="shared" si="14"/>
        <v>112000</v>
      </c>
      <c r="AS16" s="10">
        <v>110000</v>
      </c>
    </row>
    <row r="17" spans="1:48" x14ac:dyDescent="0.2">
      <c r="A17" s="17" t="s">
        <v>37</v>
      </c>
      <c r="B17" s="8" t="s">
        <v>39</v>
      </c>
      <c r="C17" s="9" t="s">
        <v>40</v>
      </c>
      <c r="D17" s="8" t="s">
        <v>26</v>
      </c>
      <c r="E17" s="35">
        <v>95227.79</v>
      </c>
      <c r="F17" s="11">
        <v>101727.37</v>
      </c>
      <c r="G17" s="29">
        <v>101668.65</v>
      </c>
      <c r="H17" s="12">
        <f t="shared" si="7"/>
        <v>105445.76666666666</v>
      </c>
      <c r="I17" s="12">
        <f t="shared" si="7"/>
        <v>109222.88333333333</v>
      </c>
      <c r="J17" s="10">
        <v>113000</v>
      </c>
      <c r="K17" s="11">
        <f t="shared" si="8"/>
        <v>113400</v>
      </c>
      <c r="L17" s="12">
        <f t="shared" si="8"/>
        <v>113800</v>
      </c>
      <c r="M17" s="12">
        <f t="shared" si="8"/>
        <v>114200</v>
      </c>
      <c r="N17" s="12">
        <f t="shared" si="8"/>
        <v>114600</v>
      </c>
      <c r="O17" s="10">
        <v>115000</v>
      </c>
      <c r="P17" s="11">
        <f t="shared" si="9"/>
        <v>114000</v>
      </c>
      <c r="Q17" s="12">
        <f t="shared" si="9"/>
        <v>113000</v>
      </c>
      <c r="R17" s="12">
        <f t="shared" si="9"/>
        <v>112000</v>
      </c>
      <c r="S17" s="12">
        <f t="shared" si="9"/>
        <v>111000</v>
      </c>
      <c r="T17" s="10">
        <v>110000</v>
      </c>
      <c r="U17" s="11">
        <f t="shared" si="10"/>
        <v>108400</v>
      </c>
      <c r="V17" s="12">
        <f t="shared" si="10"/>
        <v>106800</v>
      </c>
      <c r="W17" s="12">
        <f t="shared" si="10"/>
        <v>105200</v>
      </c>
      <c r="X17" s="12">
        <f t="shared" si="10"/>
        <v>103600</v>
      </c>
      <c r="Y17" s="10">
        <v>102000</v>
      </c>
      <c r="Z17" s="11">
        <f t="shared" si="11"/>
        <v>100000</v>
      </c>
      <c r="AA17" s="12">
        <f t="shared" si="11"/>
        <v>98000</v>
      </c>
      <c r="AB17" s="12">
        <f t="shared" si="11"/>
        <v>96000</v>
      </c>
      <c r="AC17" s="12">
        <f t="shared" si="11"/>
        <v>94000</v>
      </c>
      <c r="AD17" s="10">
        <v>92000</v>
      </c>
      <c r="AE17" s="11">
        <f t="shared" si="12"/>
        <v>90600</v>
      </c>
      <c r="AF17" s="12">
        <f t="shared" si="12"/>
        <v>89200</v>
      </c>
      <c r="AG17" s="12">
        <f t="shared" si="12"/>
        <v>87800</v>
      </c>
      <c r="AH17" s="12">
        <f t="shared" si="12"/>
        <v>86400</v>
      </c>
      <c r="AI17" s="10">
        <v>85000</v>
      </c>
      <c r="AJ17" s="11">
        <f t="shared" si="13"/>
        <v>84000</v>
      </c>
      <c r="AK17" s="12">
        <f t="shared" si="13"/>
        <v>83000</v>
      </c>
      <c r="AL17" s="12">
        <f t="shared" si="13"/>
        <v>82000</v>
      </c>
      <c r="AM17" s="12">
        <f t="shared" si="13"/>
        <v>81000</v>
      </c>
      <c r="AN17" s="10">
        <v>80000</v>
      </c>
      <c r="AO17" s="11">
        <f t="shared" si="14"/>
        <v>79600</v>
      </c>
      <c r="AP17" s="12">
        <f t="shared" si="14"/>
        <v>79200</v>
      </c>
      <c r="AQ17" s="12">
        <f t="shared" si="14"/>
        <v>78800</v>
      </c>
      <c r="AR17" s="12">
        <f t="shared" si="14"/>
        <v>78400</v>
      </c>
      <c r="AS17" s="10">
        <v>78000</v>
      </c>
    </row>
    <row r="18" spans="1:48" x14ac:dyDescent="0.2">
      <c r="A18" s="18" t="s">
        <v>41</v>
      </c>
      <c r="B18" s="8" t="s">
        <v>42</v>
      </c>
      <c r="C18" s="9" t="s">
        <v>18</v>
      </c>
      <c r="D18" s="8" t="s">
        <v>26</v>
      </c>
      <c r="E18" s="35">
        <v>106476.68</v>
      </c>
      <c r="F18" s="11">
        <v>103524.26</v>
      </c>
      <c r="G18" s="29">
        <v>101795.9</v>
      </c>
      <c r="H18" s="12">
        <f t="shared" si="7"/>
        <v>104530.59999999999</v>
      </c>
      <c r="I18" s="12">
        <f t="shared" si="7"/>
        <v>107265.29999999999</v>
      </c>
      <c r="J18" s="10">
        <v>110000</v>
      </c>
      <c r="K18" s="11">
        <f t="shared" si="8"/>
        <v>111400</v>
      </c>
      <c r="L18" s="12">
        <f t="shared" si="8"/>
        <v>112800</v>
      </c>
      <c r="M18" s="12">
        <f t="shared" si="8"/>
        <v>114200</v>
      </c>
      <c r="N18" s="12">
        <f t="shared" si="8"/>
        <v>115600</v>
      </c>
      <c r="O18" s="10">
        <v>117000</v>
      </c>
      <c r="P18" s="11">
        <f t="shared" si="9"/>
        <v>116600</v>
      </c>
      <c r="Q18" s="12">
        <f t="shared" si="9"/>
        <v>116200</v>
      </c>
      <c r="R18" s="12">
        <f t="shared" si="9"/>
        <v>115800</v>
      </c>
      <c r="S18" s="12">
        <f t="shared" si="9"/>
        <v>115400</v>
      </c>
      <c r="T18" s="10">
        <v>115000</v>
      </c>
      <c r="U18" s="11">
        <f t="shared" si="10"/>
        <v>113000</v>
      </c>
      <c r="V18" s="12">
        <f t="shared" si="10"/>
        <v>111000</v>
      </c>
      <c r="W18" s="12">
        <f t="shared" si="10"/>
        <v>109000</v>
      </c>
      <c r="X18" s="12">
        <f t="shared" si="10"/>
        <v>107000</v>
      </c>
      <c r="Y18" s="10">
        <v>105000</v>
      </c>
      <c r="Z18" s="11">
        <f t="shared" si="11"/>
        <v>102600</v>
      </c>
      <c r="AA18" s="12">
        <f t="shared" si="11"/>
        <v>100200</v>
      </c>
      <c r="AB18" s="12">
        <f t="shared" si="11"/>
        <v>97800</v>
      </c>
      <c r="AC18" s="12">
        <f t="shared" si="11"/>
        <v>95400</v>
      </c>
      <c r="AD18" s="10">
        <v>93000</v>
      </c>
      <c r="AE18" s="11">
        <f t="shared" si="12"/>
        <v>91000</v>
      </c>
      <c r="AF18" s="12">
        <f t="shared" si="12"/>
        <v>89000</v>
      </c>
      <c r="AG18" s="12">
        <f t="shared" si="12"/>
        <v>87000</v>
      </c>
      <c r="AH18" s="12">
        <f t="shared" si="12"/>
        <v>85000</v>
      </c>
      <c r="AI18" s="10">
        <v>83000</v>
      </c>
      <c r="AJ18" s="11">
        <f t="shared" si="13"/>
        <v>80800</v>
      </c>
      <c r="AK18" s="12">
        <f t="shared" si="13"/>
        <v>78600</v>
      </c>
      <c r="AL18" s="12">
        <f t="shared" si="13"/>
        <v>76400</v>
      </c>
      <c r="AM18" s="12">
        <f t="shared" si="13"/>
        <v>74200</v>
      </c>
      <c r="AN18" s="10">
        <v>72000</v>
      </c>
      <c r="AO18" s="11">
        <f t="shared" si="14"/>
        <v>70800</v>
      </c>
      <c r="AP18" s="12">
        <f t="shared" si="14"/>
        <v>69600</v>
      </c>
      <c r="AQ18" s="12">
        <f t="shared" si="14"/>
        <v>68400</v>
      </c>
      <c r="AR18" s="12">
        <f t="shared" si="14"/>
        <v>67200</v>
      </c>
      <c r="AS18" s="10">
        <v>66000</v>
      </c>
    </row>
    <row r="19" spans="1:48" x14ac:dyDescent="0.2">
      <c r="A19" s="17" t="s">
        <v>43</v>
      </c>
      <c r="B19" s="8" t="s">
        <v>44</v>
      </c>
      <c r="C19" s="9" t="s">
        <v>18</v>
      </c>
      <c r="D19" s="8" t="s">
        <v>26</v>
      </c>
      <c r="E19" s="33">
        <v>3708.04</v>
      </c>
      <c r="F19" s="11">
        <v>3850.32</v>
      </c>
      <c r="G19" s="29">
        <v>4014.43</v>
      </c>
      <c r="H19" s="12">
        <f t="shared" si="7"/>
        <v>4176.2866666666669</v>
      </c>
      <c r="I19" s="12">
        <f t="shared" si="7"/>
        <v>4338.1433333333334</v>
      </c>
      <c r="J19" s="10">
        <v>4500</v>
      </c>
      <c r="K19" s="11">
        <f t="shared" ref="K19:N21" si="15">J19+($O19-$J19)/5</f>
        <v>4570</v>
      </c>
      <c r="L19" s="12">
        <f t="shared" si="15"/>
        <v>4640</v>
      </c>
      <c r="M19" s="12">
        <f t="shared" si="15"/>
        <v>4710</v>
      </c>
      <c r="N19" s="12">
        <f t="shared" si="15"/>
        <v>4780</v>
      </c>
      <c r="O19" s="10">
        <v>4850</v>
      </c>
      <c r="P19" s="11">
        <f t="shared" ref="P19:S21" si="16">O19+($T19-$O19)/5</f>
        <v>4900</v>
      </c>
      <c r="Q19" s="12">
        <f t="shared" si="16"/>
        <v>4950</v>
      </c>
      <c r="R19" s="12">
        <f t="shared" si="16"/>
        <v>5000</v>
      </c>
      <c r="S19" s="12">
        <f t="shared" si="16"/>
        <v>5050</v>
      </c>
      <c r="T19" s="10">
        <v>5100</v>
      </c>
      <c r="U19" s="11">
        <f t="shared" ref="U19:X21" si="17">T19+($Y19-$T19)/5</f>
        <v>5080</v>
      </c>
      <c r="V19" s="12">
        <f t="shared" si="17"/>
        <v>5060</v>
      </c>
      <c r="W19" s="12">
        <f t="shared" si="17"/>
        <v>5040</v>
      </c>
      <c r="X19" s="12">
        <f t="shared" si="17"/>
        <v>5020</v>
      </c>
      <c r="Y19" s="10">
        <v>5000</v>
      </c>
      <c r="Z19" s="11">
        <f t="shared" ref="Z19:AC21" si="18">Y19+($AD19-$Y19)/5</f>
        <v>4960</v>
      </c>
      <c r="AA19" s="12">
        <f t="shared" si="18"/>
        <v>4920</v>
      </c>
      <c r="AB19" s="12">
        <f t="shared" si="18"/>
        <v>4880</v>
      </c>
      <c r="AC19" s="12">
        <f t="shared" si="18"/>
        <v>4840</v>
      </c>
      <c r="AD19" s="10">
        <v>4800</v>
      </c>
      <c r="AE19" s="11">
        <f t="shared" ref="AE19:AH21" si="19">AD19+($AI19-$AD19)/5</f>
        <v>4740</v>
      </c>
      <c r="AF19" s="12">
        <f t="shared" si="19"/>
        <v>4680</v>
      </c>
      <c r="AG19" s="12">
        <f t="shared" si="19"/>
        <v>4620</v>
      </c>
      <c r="AH19" s="12">
        <f t="shared" si="19"/>
        <v>4560</v>
      </c>
      <c r="AI19" s="10">
        <v>4500</v>
      </c>
      <c r="AJ19" s="11">
        <f t="shared" ref="AJ19:AM21" si="20">AI19+($AN19-$AI19)/5</f>
        <v>4440</v>
      </c>
      <c r="AK19" s="12">
        <f t="shared" si="20"/>
        <v>4380</v>
      </c>
      <c r="AL19" s="12">
        <f t="shared" si="20"/>
        <v>4320</v>
      </c>
      <c r="AM19" s="12">
        <f t="shared" si="20"/>
        <v>4260</v>
      </c>
      <c r="AN19" s="10">
        <v>4200</v>
      </c>
      <c r="AO19" s="11">
        <f t="shared" ref="AO19:AR21" si="21">AN19+($AS19-$AN19)/5</f>
        <v>4120</v>
      </c>
      <c r="AP19" s="12">
        <f t="shared" si="21"/>
        <v>4040</v>
      </c>
      <c r="AQ19" s="12">
        <f t="shared" si="21"/>
        <v>3960</v>
      </c>
      <c r="AR19" s="12">
        <f t="shared" si="21"/>
        <v>3880</v>
      </c>
      <c r="AS19" s="10">
        <v>3800</v>
      </c>
    </row>
    <row r="20" spans="1:48" x14ac:dyDescent="0.2">
      <c r="A20" s="17" t="s">
        <v>43</v>
      </c>
      <c r="B20" s="39" t="s">
        <v>45</v>
      </c>
      <c r="C20" s="9" t="s">
        <v>18</v>
      </c>
      <c r="D20" s="8" t="s">
        <v>46</v>
      </c>
      <c r="E20" s="33">
        <v>1002.51</v>
      </c>
      <c r="F20" s="11">
        <v>1048.67</v>
      </c>
      <c r="G20" s="29">
        <v>1111.53</v>
      </c>
      <c r="H20" s="12">
        <f t="shared" si="7"/>
        <v>1257.6866666666667</v>
      </c>
      <c r="I20" s="12">
        <f t="shared" si="7"/>
        <v>1403.8433333333335</v>
      </c>
      <c r="J20" s="10">
        <v>1550</v>
      </c>
      <c r="K20" s="11">
        <f t="shared" si="15"/>
        <v>1620</v>
      </c>
      <c r="L20" s="12">
        <f t="shared" si="15"/>
        <v>1690</v>
      </c>
      <c r="M20" s="12">
        <f t="shared" si="15"/>
        <v>1760</v>
      </c>
      <c r="N20" s="12">
        <f t="shared" si="15"/>
        <v>1830</v>
      </c>
      <c r="O20" s="10">
        <v>1900</v>
      </c>
      <c r="P20" s="11">
        <f t="shared" si="16"/>
        <v>1940</v>
      </c>
      <c r="Q20" s="12">
        <f t="shared" si="16"/>
        <v>1980</v>
      </c>
      <c r="R20" s="12">
        <f t="shared" si="16"/>
        <v>2020</v>
      </c>
      <c r="S20" s="12">
        <f t="shared" si="16"/>
        <v>2060</v>
      </c>
      <c r="T20" s="10">
        <v>2100</v>
      </c>
      <c r="U20" s="11">
        <f t="shared" si="17"/>
        <v>2120</v>
      </c>
      <c r="V20" s="12">
        <f t="shared" si="17"/>
        <v>2140</v>
      </c>
      <c r="W20" s="12">
        <f t="shared" si="17"/>
        <v>2160</v>
      </c>
      <c r="X20" s="12">
        <f t="shared" si="17"/>
        <v>2180</v>
      </c>
      <c r="Y20" s="10">
        <v>2200</v>
      </c>
      <c r="Z20" s="11">
        <f t="shared" si="18"/>
        <v>2210</v>
      </c>
      <c r="AA20" s="12">
        <f t="shared" si="18"/>
        <v>2220</v>
      </c>
      <c r="AB20" s="12">
        <f t="shared" si="18"/>
        <v>2230</v>
      </c>
      <c r="AC20" s="12">
        <f t="shared" si="18"/>
        <v>2240</v>
      </c>
      <c r="AD20" s="10">
        <v>2250</v>
      </c>
      <c r="AE20" s="11">
        <f t="shared" si="19"/>
        <v>2260</v>
      </c>
      <c r="AF20" s="12">
        <f t="shared" si="19"/>
        <v>2270</v>
      </c>
      <c r="AG20" s="12">
        <f t="shared" si="19"/>
        <v>2280</v>
      </c>
      <c r="AH20" s="12">
        <f t="shared" si="19"/>
        <v>2290</v>
      </c>
      <c r="AI20" s="10">
        <v>2300</v>
      </c>
      <c r="AJ20" s="11">
        <f t="shared" si="20"/>
        <v>2310</v>
      </c>
      <c r="AK20" s="12">
        <f t="shared" si="20"/>
        <v>2320</v>
      </c>
      <c r="AL20" s="12">
        <f t="shared" si="20"/>
        <v>2330</v>
      </c>
      <c r="AM20" s="12">
        <f t="shared" si="20"/>
        <v>2340</v>
      </c>
      <c r="AN20" s="10">
        <v>2350</v>
      </c>
      <c r="AO20" s="11">
        <f t="shared" si="21"/>
        <v>2358</v>
      </c>
      <c r="AP20" s="12">
        <f t="shared" si="21"/>
        <v>2366</v>
      </c>
      <c r="AQ20" s="12">
        <f t="shared" si="21"/>
        <v>2374</v>
      </c>
      <c r="AR20" s="12">
        <f t="shared" si="21"/>
        <v>2382</v>
      </c>
      <c r="AS20" s="10">
        <v>2390</v>
      </c>
    </row>
    <row r="21" spans="1:48" x14ac:dyDescent="0.2">
      <c r="A21" s="20" t="s">
        <v>47</v>
      </c>
      <c r="B21" s="21" t="s">
        <v>48</v>
      </c>
      <c r="C21" s="22" t="s">
        <v>49</v>
      </c>
      <c r="D21" s="21" t="s">
        <v>50</v>
      </c>
      <c r="E21" s="36">
        <v>2532.4899999999998</v>
      </c>
      <c r="F21" s="24">
        <v>2625.7</v>
      </c>
      <c r="G21" s="30">
        <v>2713.63</v>
      </c>
      <c r="H21" s="25">
        <f t="shared" si="7"/>
        <v>2948.7071666666666</v>
      </c>
      <c r="I21" s="25">
        <f t="shared" si="7"/>
        <v>3183.7843333333331</v>
      </c>
      <c r="J21" s="23">
        <f>E21*(2700/2000)</f>
        <v>3418.8615</v>
      </c>
      <c r="K21" s="24">
        <f t="shared" si="15"/>
        <v>3520.1610999999998</v>
      </c>
      <c r="L21" s="25">
        <f t="shared" si="15"/>
        <v>3621.4606999999996</v>
      </c>
      <c r="M21" s="25">
        <f t="shared" si="15"/>
        <v>3722.7602999999995</v>
      </c>
      <c r="N21" s="25">
        <f t="shared" si="15"/>
        <v>3824.0598999999993</v>
      </c>
      <c r="O21" s="23">
        <f>J21*(3100/2700)</f>
        <v>3925.3595</v>
      </c>
      <c r="P21" s="24">
        <f t="shared" si="16"/>
        <v>3976.0092999999997</v>
      </c>
      <c r="Q21" s="25">
        <f t="shared" si="16"/>
        <v>4026.6590999999994</v>
      </c>
      <c r="R21" s="25">
        <f t="shared" si="16"/>
        <v>4077.3088999999991</v>
      </c>
      <c r="S21" s="25">
        <f t="shared" si="16"/>
        <v>4127.9586999999992</v>
      </c>
      <c r="T21" s="23">
        <f>O21*(3300/3100)</f>
        <v>4178.6084999999994</v>
      </c>
      <c r="U21" s="24">
        <f t="shared" si="17"/>
        <v>4165.9460499999996</v>
      </c>
      <c r="V21" s="25">
        <f t="shared" si="17"/>
        <v>4153.2835999999998</v>
      </c>
      <c r="W21" s="25">
        <f t="shared" si="17"/>
        <v>4140.6211499999999</v>
      </c>
      <c r="X21" s="25">
        <f t="shared" si="17"/>
        <v>4127.9587000000001</v>
      </c>
      <c r="Y21" s="23">
        <f>T21*(3250/3300)</f>
        <v>4115.2962499999994</v>
      </c>
      <c r="Z21" s="24">
        <f t="shared" si="18"/>
        <v>4102.6337999999996</v>
      </c>
      <c r="AA21" s="25">
        <f t="shared" si="18"/>
        <v>4089.9713499999998</v>
      </c>
      <c r="AB21" s="25">
        <f t="shared" si="18"/>
        <v>4077.3089</v>
      </c>
      <c r="AC21" s="25">
        <f t="shared" si="18"/>
        <v>4064.6464500000002</v>
      </c>
      <c r="AD21" s="23">
        <f>Y21*(3200/3250)</f>
        <v>4051.9839999999995</v>
      </c>
      <c r="AE21" s="24">
        <f t="shared" si="19"/>
        <v>4039.3215499999997</v>
      </c>
      <c r="AF21" s="25">
        <f t="shared" si="19"/>
        <v>4026.6590999999999</v>
      </c>
      <c r="AG21" s="25">
        <f t="shared" si="19"/>
        <v>4013.99665</v>
      </c>
      <c r="AH21" s="25">
        <f t="shared" si="19"/>
        <v>4001.3342000000002</v>
      </c>
      <c r="AI21" s="23">
        <f>AD21*(3150/3200)</f>
        <v>3988.6717499999995</v>
      </c>
      <c r="AJ21" s="24">
        <f t="shared" si="20"/>
        <v>3983.6067699999994</v>
      </c>
      <c r="AK21" s="25">
        <f t="shared" si="20"/>
        <v>3978.5417899999993</v>
      </c>
      <c r="AL21" s="25">
        <f t="shared" si="20"/>
        <v>3973.4768099999992</v>
      </c>
      <c r="AM21" s="25">
        <f t="shared" si="20"/>
        <v>3968.4118299999991</v>
      </c>
      <c r="AN21" s="23">
        <f>AI21*(3130/3150)</f>
        <v>3963.3468499999994</v>
      </c>
      <c r="AO21" s="24">
        <f t="shared" si="21"/>
        <v>3955.7493799999993</v>
      </c>
      <c r="AP21" s="25">
        <f t="shared" si="21"/>
        <v>3948.1519099999991</v>
      </c>
      <c r="AQ21" s="25">
        <f t="shared" si="21"/>
        <v>3940.554439999999</v>
      </c>
      <c r="AR21" s="25">
        <f t="shared" si="21"/>
        <v>3932.9569699999988</v>
      </c>
      <c r="AS21" s="23">
        <f>AN21*(3100/3130)</f>
        <v>3925.3594999999996</v>
      </c>
    </row>
    <row r="25" spans="1:48" ht="15" x14ac:dyDescent="0.25">
      <c r="A25" s="77" t="s">
        <v>99</v>
      </c>
    </row>
    <row r="26" spans="1:48" x14ac:dyDescent="0.2">
      <c r="A26" s="54" t="s">
        <v>53</v>
      </c>
      <c r="B26" s="54" t="s">
        <v>54</v>
      </c>
      <c r="C26" s="55" t="s">
        <v>55</v>
      </c>
      <c r="D26" s="56" t="s">
        <v>56</v>
      </c>
      <c r="E26" s="56" t="s">
        <v>57</v>
      </c>
      <c r="F26" s="41">
        <v>2018</v>
      </c>
      <c r="G26" s="42">
        <v>2019</v>
      </c>
      <c r="H26" s="42">
        <v>2020</v>
      </c>
      <c r="I26" s="42">
        <v>2021</v>
      </c>
      <c r="J26" s="42">
        <v>2022</v>
      </c>
      <c r="K26" s="42">
        <v>2023</v>
      </c>
      <c r="L26" s="42">
        <v>2024</v>
      </c>
      <c r="M26" s="42">
        <v>2025</v>
      </c>
      <c r="N26" s="42">
        <v>2026</v>
      </c>
      <c r="O26" s="42">
        <v>2027</v>
      </c>
      <c r="P26" s="42">
        <v>2028</v>
      </c>
      <c r="Q26" s="42">
        <v>2029</v>
      </c>
      <c r="R26" s="42">
        <v>2030</v>
      </c>
      <c r="S26" s="42">
        <v>2031</v>
      </c>
      <c r="T26" s="42">
        <v>2032</v>
      </c>
      <c r="U26" s="42">
        <v>2033</v>
      </c>
      <c r="V26" s="42">
        <v>2034</v>
      </c>
      <c r="W26" s="42">
        <v>2035</v>
      </c>
      <c r="X26" s="42">
        <v>2036</v>
      </c>
      <c r="Y26" s="42">
        <v>2037</v>
      </c>
      <c r="Z26" s="42">
        <v>2038</v>
      </c>
      <c r="AA26" s="42">
        <v>2039</v>
      </c>
      <c r="AB26" s="42">
        <v>2040</v>
      </c>
      <c r="AC26" s="42">
        <v>2041</v>
      </c>
      <c r="AD26" s="42">
        <v>2042</v>
      </c>
      <c r="AE26" s="42">
        <v>2043</v>
      </c>
      <c r="AF26" s="42">
        <v>2044</v>
      </c>
      <c r="AG26" s="42">
        <v>2045</v>
      </c>
      <c r="AH26" s="42">
        <v>2046</v>
      </c>
      <c r="AI26" s="42">
        <v>2047</v>
      </c>
      <c r="AJ26" s="42">
        <v>2048</v>
      </c>
      <c r="AK26" s="42">
        <v>2049</v>
      </c>
      <c r="AL26" s="42">
        <v>2050</v>
      </c>
      <c r="AM26" s="42">
        <v>2051</v>
      </c>
      <c r="AN26" s="42">
        <v>2052</v>
      </c>
      <c r="AO26" s="42">
        <v>2053</v>
      </c>
      <c r="AP26" s="42">
        <v>2054</v>
      </c>
      <c r="AQ26" s="42">
        <v>2055</v>
      </c>
      <c r="AR26" s="42">
        <v>2056</v>
      </c>
      <c r="AS26" s="42">
        <v>2057</v>
      </c>
      <c r="AT26" s="42">
        <v>2058</v>
      </c>
      <c r="AU26" s="42">
        <v>2059</v>
      </c>
      <c r="AV26" s="43">
        <v>2060</v>
      </c>
    </row>
    <row r="27" spans="1:48" x14ac:dyDescent="0.2">
      <c r="A27" s="57" t="s">
        <v>58</v>
      </c>
      <c r="B27" s="57" t="s">
        <v>59</v>
      </c>
      <c r="C27" s="58" t="s">
        <v>60</v>
      </c>
      <c r="D27" s="59" t="s">
        <v>61</v>
      </c>
      <c r="E27" s="60" t="s">
        <v>62</v>
      </c>
      <c r="F27" s="93">
        <f>F40</f>
        <v>13.953799999999999</v>
      </c>
      <c r="G27" s="94">
        <f t="shared" ref="G27:AV27" si="22">G40</f>
        <v>14.007930999999999</v>
      </c>
      <c r="H27" s="94">
        <f t="shared" si="22"/>
        <v>14.131351629999999</v>
      </c>
      <c r="I27" s="94">
        <f t="shared" si="22"/>
        <v>14.16016011</v>
      </c>
      <c r="J27" s="94">
        <f t="shared" si="22"/>
        <v>14.188968259999999</v>
      </c>
      <c r="K27" s="94">
        <f t="shared" si="22"/>
        <v>14.21777659</v>
      </c>
      <c r="L27" s="94">
        <f t="shared" si="22"/>
        <v>14.246584739999999</v>
      </c>
      <c r="M27" s="94">
        <f t="shared" si="22"/>
        <v>14.27539322</v>
      </c>
      <c r="N27" s="94">
        <f t="shared" si="22"/>
        <v>14.27109347</v>
      </c>
      <c r="O27" s="94">
        <f t="shared" si="22"/>
        <v>14.2667936</v>
      </c>
      <c r="P27" s="94">
        <f t="shared" si="22"/>
        <v>14.26249434</v>
      </c>
      <c r="Q27" s="94">
        <f t="shared" si="22"/>
        <v>14.258194469999999</v>
      </c>
      <c r="R27" s="94">
        <f t="shared" si="22"/>
        <v>14.25389472</v>
      </c>
      <c r="S27" s="94">
        <f t="shared" si="22"/>
        <v>14.234383210000001</v>
      </c>
      <c r="T27" s="94">
        <f t="shared" si="22"/>
        <v>14.21487207</v>
      </c>
      <c r="U27" s="94">
        <f t="shared" si="22"/>
        <v>14.19536108</v>
      </c>
      <c r="V27" s="94">
        <f t="shared" si="22"/>
        <v>14.175849940000001</v>
      </c>
      <c r="W27" s="94">
        <f t="shared" si="22"/>
        <v>14.15633843</v>
      </c>
      <c r="X27" s="94">
        <f t="shared" si="22"/>
        <v>14.120965379999999</v>
      </c>
      <c r="Y27" s="94">
        <f t="shared" si="22"/>
        <v>14.08559209</v>
      </c>
      <c r="Z27" s="94">
        <f t="shared" si="22"/>
        <v>14.050218709999999</v>
      </c>
      <c r="AA27" s="94">
        <f t="shared" si="22"/>
        <v>14.01484542</v>
      </c>
      <c r="AB27" s="94">
        <f t="shared" si="22"/>
        <v>13.97947237</v>
      </c>
      <c r="AC27" s="94">
        <f t="shared" si="22"/>
        <v>13.93101401</v>
      </c>
      <c r="AD27" s="94">
        <f t="shared" si="22"/>
        <v>13.882555740000001</v>
      </c>
      <c r="AE27" s="94">
        <f t="shared" si="22"/>
        <v>13.83409724</v>
      </c>
      <c r="AF27" s="94">
        <f t="shared" si="22"/>
        <v>13.785638970000001</v>
      </c>
      <c r="AG27" s="94">
        <f t="shared" si="22"/>
        <v>13.737180609999999</v>
      </c>
      <c r="AH27" s="94">
        <f t="shared" si="22"/>
        <v>13.66731802</v>
      </c>
      <c r="AI27" s="94">
        <f t="shared" si="22"/>
        <v>13.597455719999999</v>
      </c>
      <c r="AJ27" s="94">
        <f t="shared" si="22"/>
        <v>13.52759292</v>
      </c>
      <c r="AK27" s="94">
        <f t="shared" si="22"/>
        <v>13.45773062</v>
      </c>
      <c r="AL27" s="94">
        <f t="shared" si="22"/>
        <v>13.38786803</v>
      </c>
      <c r="AM27" s="94">
        <f t="shared" si="22"/>
        <v>13.29363728</v>
      </c>
      <c r="AN27" s="94">
        <f t="shared" si="22"/>
        <v>13.19940598</v>
      </c>
      <c r="AO27" s="94">
        <f t="shared" si="22"/>
        <v>13.105175389999999</v>
      </c>
      <c r="AP27" s="94">
        <f t="shared" si="22"/>
        <v>13.010944090000001</v>
      </c>
      <c r="AQ27" s="94">
        <f t="shared" si="22"/>
        <v>12.916713339999999</v>
      </c>
      <c r="AR27" s="94">
        <f t="shared" si="22"/>
        <v>12.803761980000001</v>
      </c>
      <c r="AS27" s="94">
        <f t="shared" si="22"/>
        <v>12.690810539999999</v>
      </c>
      <c r="AT27" s="94">
        <f t="shared" si="22"/>
        <v>12.577859249999999</v>
      </c>
      <c r="AU27" s="94">
        <f t="shared" si="22"/>
        <v>12.46490781</v>
      </c>
      <c r="AV27" s="95">
        <f t="shared" si="22"/>
        <v>12.351956449999999</v>
      </c>
    </row>
    <row r="28" spans="1:48" x14ac:dyDescent="0.2">
      <c r="A28" s="61" t="s">
        <v>63</v>
      </c>
      <c r="B28" s="62" t="s">
        <v>64</v>
      </c>
      <c r="C28" s="63" t="s">
        <v>65</v>
      </c>
      <c r="D28" s="64" t="s">
        <v>66</v>
      </c>
      <c r="E28" s="65" t="s">
        <v>67</v>
      </c>
      <c r="F28" s="78">
        <v>36.979999999999997</v>
      </c>
      <c r="G28" s="79">
        <v>38.46</v>
      </c>
      <c r="H28" s="80">
        <f>E2</f>
        <v>39.020000000000003</v>
      </c>
      <c r="I28" s="80">
        <f t="shared" ref="I28:AV28" si="23">F2</f>
        <v>41.26</v>
      </c>
      <c r="J28" s="80">
        <f t="shared" si="23"/>
        <v>45.59</v>
      </c>
      <c r="K28" s="80">
        <f t="shared" si="23"/>
        <v>46.56</v>
      </c>
      <c r="L28" s="80">
        <f t="shared" si="23"/>
        <v>47.53</v>
      </c>
      <c r="M28" s="80">
        <f t="shared" si="23"/>
        <v>48.5</v>
      </c>
      <c r="N28" s="80">
        <f t="shared" si="23"/>
        <v>49</v>
      </c>
      <c r="O28" s="80">
        <f t="shared" si="23"/>
        <v>49.5</v>
      </c>
      <c r="P28" s="80">
        <f t="shared" si="23"/>
        <v>50</v>
      </c>
      <c r="Q28" s="80">
        <f t="shared" si="23"/>
        <v>50.5</v>
      </c>
      <c r="R28" s="80">
        <f t="shared" si="23"/>
        <v>51</v>
      </c>
      <c r="S28" s="80">
        <f t="shared" si="23"/>
        <v>51.2</v>
      </c>
      <c r="T28" s="80">
        <f t="shared" si="23"/>
        <v>51.400000000000006</v>
      </c>
      <c r="U28" s="80">
        <f t="shared" si="23"/>
        <v>51.600000000000009</v>
      </c>
      <c r="V28" s="80">
        <f t="shared" si="23"/>
        <v>51.800000000000011</v>
      </c>
      <c r="W28" s="80">
        <f t="shared" si="23"/>
        <v>52</v>
      </c>
      <c r="X28" s="80">
        <f t="shared" si="23"/>
        <v>51.6</v>
      </c>
      <c r="Y28" s="80">
        <f t="shared" si="23"/>
        <v>51.2</v>
      </c>
      <c r="Z28" s="80">
        <f t="shared" si="23"/>
        <v>50.800000000000004</v>
      </c>
      <c r="AA28" s="80">
        <f t="shared" si="23"/>
        <v>50.400000000000006</v>
      </c>
      <c r="AB28" s="80">
        <f t="shared" si="23"/>
        <v>50</v>
      </c>
      <c r="AC28" s="80">
        <f t="shared" si="23"/>
        <v>49</v>
      </c>
      <c r="AD28" s="80">
        <f t="shared" si="23"/>
        <v>48</v>
      </c>
      <c r="AE28" s="80">
        <f t="shared" si="23"/>
        <v>47</v>
      </c>
      <c r="AF28" s="80">
        <f t="shared" si="23"/>
        <v>46</v>
      </c>
      <c r="AG28" s="80">
        <f t="shared" si="23"/>
        <v>45</v>
      </c>
      <c r="AH28" s="80">
        <f t="shared" si="23"/>
        <v>44</v>
      </c>
      <c r="AI28" s="80">
        <f t="shared" si="23"/>
        <v>43</v>
      </c>
      <c r="AJ28" s="80">
        <f t="shared" si="23"/>
        <v>42</v>
      </c>
      <c r="AK28" s="80">
        <f t="shared" si="23"/>
        <v>41</v>
      </c>
      <c r="AL28" s="80">
        <f t="shared" si="23"/>
        <v>40</v>
      </c>
      <c r="AM28" s="80">
        <f t="shared" si="23"/>
        <v>39.200000000000003</v>
      </c>
      <c r="AN28" s="80">
        <f t="shared" si="23"/>
        <v>38.400000000000006</v>
      </c>
      <c r="AO28" s="80">
        <f t="shared" si="23"/>
        <v>37.600000000000009</v>
      </c>
      <c r="AP28" s="80">
        <f t="shared" si="23"/>
        <v>36.800000000000011</v>
      </c>
      <c r="AQ28" s="80">
        <f t="shared" si="23"/>
        <v>36</v>
      </c>
      <c r="AR28" s="80">
        <f t="shared" si="23"/>
        <v>35</v>
      </c>
      <c r="AS28" s="80">
        <f t="shared" si="23"/>
        <v>34</v>
      </c>
      <c r="AT28" s="80">
        <f t="shared" si="23"/>
        <v>33</v>
      </c>
      <c r="AU28" s="80">
        <f t="shared" si="23"/>
        <v>32</v>
      </c>
      <c r="AV28" s="81">
        <f t="shared" si="23"/>
        <v>31</v>
      </c>
    </row>
    <row r="29" spans="1:48" x14ac:dyDescent="0.2">
      <c r="A29" s="66" t="s">
        <v>68</v>
      </c>
      <c r="B29" s="67" t="s">
        <v>64</v>
      </c>
      <c r="C29" s="68" t="s">
        <v>69</v>
      </c>
      <c r="D29" s="64" t="s">
        <v>66</v>
      </c>
      <c r="E29" s="65" t="s">
        <v>70</v>
      </c>
      <c r="F29" s="78">
        <v>1.8932</v>
      </c>
      <c r="G29" s="79">
        <v>1.9100999999999999</v>
      </c>
      <c r="H29" s="82">
        <f>E3</f>
        <v>1.9477</v>
      </c>
      <c r="I29" s="82">
        <f t="shared" ref="I29:AV29" si="24">F3</f>
        <v>1.9887999999999999</v>
      </c>
      <c r="J29" s="82">
        <f t="shared" si="24"/>
        <v>2.0472000000000001</v>
      </c>
      <c r="K29" s="82">
        <f t="shared" si="24"/>
        <v>2.0881333333333334</v>
      </c>
      <c r="L29" s="82">
        <f t="shared" si="24"/>
        <v>2.1290666666666667</v>
      </c>
      <c r="M29" s="82">
        <f t="shared" si="24"/>
        <v>2.17</v>
      </c>
      <c r="N29" s="82">
        <f t="shared" si="24"/>
        <v>2.1760000000000002</v>
      </c>
      <c r="O29" s="82">
        <f t="shared" si="24"/>
        <v>2.1820000000000004</v>
      </c>
      <c r="P29" s="82">
        <f t="shared" si="24"/>
        <v>2.1880000000000006</v>
      </c>
      <c r="Q29" s="82">
        <f t="shared" si="24"/>
        <v>2.1940000000000008</v>
      </c>
      <c r="R29" s="82">
        <f t="shared" si="24"/>
        <v>2.2000000000000002</v>
      </c>
      <c r="S29" s="82">
        <f t="shared" si="24"/>
        <v>2.2160000000000002</v>
      </c>
      <c r="T29" s="82">
        <f t="shared" si="24"/>
        <v>2.2320000000000002</v>
      </c>
      <c r="U29" s="82">
        <f t="shared" si="24"/>
        <v>2.2480000000000002</v>
      </c>
      <c r="V29" s="82">
        <f t="shared" si="24"/>
        <v>2.2640000000000002</v>
      </c>
      <c r="W29" s="82">
        <f t="shared" si="24"/>
        <v>2.2799999999999998</v>
      </c>
      <c r="X29" s="82">
        <f t="shared" si="24"/>
        <v>2.2839999999999998</v>
      </c>
      <c r="Y29" s="82">
        <f t="shared" si="24"/>
        <v>2.2879999999999998</v>
      </c>
      <c r="Z29" s="82">
        <f t="shared" si="24"/>
        <v>2.2919999999999998</v>
      </c>
      <c r="AA29" s="82">
        <f t="shared" si="24"/>
        <v>2.2959999999999998</v>
      </c>
      <c r="AB29" s="82">
        <f t="shared" si="24"/>
        <v>2.2999999999999998</v>
      </c>
      <c r="AC29" s="82">
        <f t="shared" si="24"/>
        <v>2.2799999999999998</v>
      </c>
      <c r="AD29" s="82">
        <f t="shared" si="24"/>
        <v>2.2599999999999998</v>
      </c>
      <c r="AE29" s="82">
        <f t="shared" si="24"/>
        <v>2.2399999999999998</v>
      </c>
      <c r="AF29" s="82">
        <f t="shared" si="24"/>
        <v>2.2199999999999998</v>
      </c>
      <c r="AG29" s="82">
        <f t="shared" si="24"/>
        <v>2.2000000000000002</v>
      </c>
      <c r="AH29" s="82">
        <f t="shared" si="24"/>
        <v>2.1800000000000002</v>
      </c>
      <c r="AI29" s="82">
        <f t="shared" si="24"/>
        <v>2.16</v>
      </c>
      <c r="AJ29" s="82">
        <f t="shared" si="24"/>
        <v>2.14</v>
      </c>
      <c r="AK29" s="82">
        <f t="shared" si="24"/>
        <v>2.12</v>
      </c>
      <c r="AL29" s="82">
        <f t="shared" si="24"/>
        <v>2.1</v>
      </c>
      <c r="AM29" s="82">
        <f t="shared" si="24"/>
        <v>2.0700000000000003</v>
      </c>
      <c r="AN29" s="82">
        <f t="shared" si="24"/>
        <v>2.04</v>
      </c>
      <c r="AO29" s="82">
        <f t="shared" si="24"/>
        <v>2.0099999999999998</v>
      </c>
      <c r="AP29" s="82">
        <f t="shared" si="24"/>
        <v>1.9799999999999998</v>
      </c>
      <c r="AQ29" s="82">
        <f t="shared" si="24"/>
        <v>1.95</v>
      </c>
      <c r="AR29" s="82">
        <f t="shared" si="24"/>
        <v>1.9379999999999999</v>
      </c>
      <c r="AS29" s="82">
        <f t="shared" si="24"/>
        <v>1.9259999999999999</v>
      </c>
      <c r="AT29" s="82">
        <f t="shared" si="24"/>
        <v>1.9139999999999999</v>
      </c>
      <c r="AU29" s="82">
        <f t="shared" si="24"/>
        <v>1.9019999999999999</v>
      </c>
      <c r="AV29" s="83">
        <f t="shared" si="24"/>
        <v>1.89</v>
      </c>
    </row>
    <row r="30" spans="1:48" x14ac:dyDescent="0.2">
      <c r="A30" s="66" t="s">
        <v>68</v>
      </c>
      <c r="B30" s="67" t="s">
        <v>64</v>
      </c>
      <c r="C30" s="68" t="s">
        <v>71</v>
      </c>
      <c r="D30" s="64" t="s">
        <v>72</v>
      </c>
      <c r="E30" s="65" t="s">
        <v>70</v>
      </c>
      <c r="F30" s="78">
        <v>1601.59</v>
      </c>
      <c r="G30" s="79">
        <v>1761.74</v>
      </c>
      <c r="H30" s="84">
        <f>E4</f>
        <v>1924.95</v>
      </c>
      <c r="I30" s="84">
        <f t="shared" ref="I30:AV30" si="25">F4</f>
        <v>2075.84</v>
      </c>
      <c r="J30" s="84">
        <f t="shared" si="25"/>
        <v>2201.1</v>
      </c>
      <c r="K30" s="84">
        <f t="shared" si="25"/>
        <v>2298.4</v>
      </c>
      <c r="L30" s="84">
        <f t="shared" si="25"/>
        <v>2395.7000000000003</v>
      </c>
      <c r="M30" s="84">
        <f t="shared" si="25"/>
        <v>2493</v>
      </c>
      <c r="N30" s="84">
        <f t="shared" si="25"/>
        <v>2554.4</v>
      </c>
      <c r="O30" s="84">
        <f t="shared" si="25"/>
        <v>2615.8000000000002</v>
      </c>
      <c r="P30" s="84">
        <f t="shared" si="25"/>
        <v>2677.2000000000003</v>
      </c>
      <c r="Q30" s="84">
        <f t="shared" si="25"/>
        <v>2738.6000000000004</v>
      </c>
      <c r="R30" s="84">
        <f t="shared" si="25"/>
        <v>2800</v>
      </c>
      <c r="S30" s="84">
        <f t="shared" si="25"/>
        <v>2840</v>
      </c>
      <c r="T30" s="84">
        <f t="shared" si="25"/>
        <v>2880</v>
      </c>
      <c r="U30" s="84">
        <f t="shared" si="25"/>
        <v>2920</v>
      </c>
      <c r="V30" s="84">
        <f t="shared" si="25"/>
        <v>2960</v>
      </c>
      <c r="W30" s="84">
        <f t="shared" si="25"/>
        <v>3000</v>
      </c>
      <c r="X30" s="84">
        <f t="shared" si="25"/>
        <v>3040</v>
      </c>
      <c r="Y30" s="84">
        <f t="shared" si="25"/>
        <v>3080</v>
      </c>
      <c r="Z30" s="84">
        <f t="shared" si="25"/>
        <v>3120</v>
      </c>
      <c r="AA30" s="84">
        <f t="shared" si="25"/>
        <v>3160</v>
      </c>
      <c r="AB30" s="84">
        <f t="shared" si="25"/>
        <v>3200</v>
      </c>
      <c r="AC30" s="84">
        <f t="shared" si="25"/>
        <v>3220</v>
      </c>
      <c r="AD30" s="84">
        <f t="shared" si="25"/>
        <v>3240</v>
      </c>
      <c r="AE30" s="84">
        <f t="shared" si="25"/>
        <v>3260</v>
      </c>
      <c r="AF30" s="84">
        <f t="shared" si="25"/>
        <v>3280</v>
      </c>
      <c r="AG30" s="84">
        <f t="shared" si="25"/>
        <v>3300</v>
      </c>
      <c r="AH30" s="84">
        <f t="shared" si="25"/>
        <v>3320</v>
      </c>
      <c r="AI30" s="84">
        <f t="shared" si="25"/>
        <v>3340</v>
      </c>
      <c r="AJ30" s="84">
        <f t="shared" si="25"/>
        <v>3360</v>
      </c>
      <c r="AK30" s="84">
        <f t="shared" si="25"/>
        <v>3380</v>
      </c>
      <c r="AL30" s="84">
        <f t="shared" si="25"/>
        <v>3400</v>
      </c>
      <c r="AM30" s="84">
        <f t="shared" si="25"/>
        <v>3420</v>
      </c>
      <c r="AN30" s="84">
        <f t="shared" si="25"/>
        <v>3440</v>
      </c>
      <c r="AO30" s="84">
        <f t="shared" si="25"/>
        <v>3460</v>
      </c>
      <c r="AP30" s="84">
        <f t="shared" si="25"/>
        <v>3480</v>
      </c>
      <c r="AQ30" s="84">
        <f t="shared" si="25"/>
        <v>3500</v>
      </c>
      <c r="AR30" s="84">
        <f t="shared" si="25"/>
        <v>3500</v>
      </c>
      <c r="AS30" s="84">
        <f t="shared" si="25"/>
        <v>3500</v>
      </c>
      <c r="AT30" s="84">
        <f t="shared" si="25"/>
        <v>3500</v>
      </c>
      <c r="AU30" s="84">
        <f t="shared" si="25"/>
        <v>3500</v>
      </c>
      <c r="AV30" s="85">
        <f t="shared" si="25"/>
        <v>3500</v>
      </c>
    </row>
    <row r="31" spans="1:48" x14ac:dyDescent="0.2">
      <c r="A31" s="66" t="s">
        <v>73</v>
      </c>
      <c r="B31" s="67" t="s">
        <v>74</v>
      </c>
      <c r="C31" s="68" t="s">
        <v>75</v>
      </c>
      <c r="D31" s="64" t="s">
        <v>66</v>
      </c>
      <c r="E31" s="65" t="s">
        <v>76</v>
      </c>
      <c r="F31" s="78">
        <v>6</v>
      </c>
      <c r="G31" s="79">
        <v>6.5</v>
      </c>
      <c r="H31" s="82">
        <f>E10</f>
        <v>6.7441000000000004</v>
      </c>
      <c r="I31" s="82">
        <f t="shared" ref="I31:AV31" si="26">F10</f>
        <v>7</v>
      </c>
      <c r="J31" s="82">
        <f t="shared" si="26"/>
        <v>6.7590000000000003</v>
      </c>
      <c r="K31" s="82">
        <f t="shared" si="26"/>
        <v>6.8941447831184055</v>
      </c>
      <c r="L31" s="82">
        <f t="shared" si="26"/>
        <v>7.0292895662368107</v>
      </c>
      <c r="M31" s="82">
        <f t="shared" si="26"/>
        <v>7.1644343493552158</v>
      </c>
      <c r="N31" s="82">
        <f t="shared" si="26"/>
        <v>7.184243845252051</v>
      </c>
      <c r="O31" s="82">
        <f t="shared" si="26"/>
        <v>7.2040533411488861</v>
      </c>
      <c r="P31" s="82">
        <f t="shared" si="26"/>
        <v>7.2238628370457212</v>
      </c>
      <c r="Q31" s="82">
        <f t="shared" si="26"/>
        <v>7.2436723329425563</v>
      </c>
      <c r="R31" s="82">
        <f t="shared" si="26"/>
        <v>7.2634818288393896</v>
      </c>
      <c r="S31" s="82">
        <f t="shared" si="26"/>
        <v>7.3163071512309488</v>
      </c>
      <c r="T31" s="82">
        <f t="shared" si="26"/>
        <v>7.3691324736225079</v>
      </c>
      <c r="U31" s="82">
        <f t="shared" si="26"/>
        <v>7.421957796014067</v>
      </c>
      <c r="V31" s="82">
        <f t="shared" si="26"/>
        <v>7.4747831184056261</v>
      </c>
      <c r="W31" s="82">
        <f t="shared" si="26"/>
        <v>7.5276084407971844</v>
      </c>
      <c r="X31" s="82">
        <f t="shared" si="26"/>
        <v>7.5408147713950742</v>
      </c>
      <c r="Y31" s="82">
        <f t="shared" si="26"/>
        <v>7.5540211019929639</v>
      </c>
      <c r="Z31" s="82">
        <f t="shared" si="26"/>
        <v>7.5672274325908537</v>
      </c>
      <c r="AA31" s="82">
        <f t="shared" si="26"/>
        <v>7.5804337631887435</v>
      </c>
      <c r="AB31" s="82">
        <f t="shared" si="26"/>
        <v>7.5936400937866333</v>
      </c>
      <c r="AC31" s="82">
        <f t="shared" si="26"/>
        <v>7.5276084407971844</v>
      </c>
      <c r="AD31" s="82">
        <f t="shared" si="26"/>
        <v>7.4615767878077355</v>
      </c>
      <c r="AE31" s="82">
        <f t="shared" si="26"/>
        <v>7.3955451348182866</v>
      </c>
      <c r="AF31" s="82">
        <f t="shared" si="26"/>
        <v>7.3295134818288377</v>
      </c>
      <c r="AG31" s="82">
        <f t="shared" si="26"/>
        <v>7.2634818288393896</v>
      </c>
      <c r="AH31" s="82">
        <f t="shared" si="26"/>
        <v>7.1974501758499407</v>
      </c>
      <c r="AI31" s="82">
        <f t="shared" si="26"/>
        <v>7.1314185228604918</v>
      </c>
      <c r="AJ31" s="82">
        <f t="shared" si="26"/>
        <v>7.0653868698710429</v>
      </c>
      <c r="AK31" s="82">
        <f t="shared" si="26"/>
        <v>6.999355216881594</v>
      </c>
      <c r="AL31" s="82">
        <f t="shared" si="26"/>
        <v>6.9333235638921442</v>
      </c>
      <c r="AM31" s="82">
        <f t="shared" si="26"/>
        <v>6.8342760844079704</v>
      </c>
      <c r="AN31" s="82">
        <f t="shared" si="26"/>
        <v>6.7352286049237966</v>
      </c>
      <c r="AO31" s="82">
        <f t="shared" si="26"/>
        <v>6.6361811254396228</v>
      </c>
      <c r="AP31" s="82">
        <f t="shared" si="26"/>
        <v>6.537133645955449</v>
      </c>
      <c r="AQ31" s="82">
        <f t="shared" si="26"/>
        <v>6.4380861664712761</v>
      </c>
      <c r="AR31" s="82">
        <f t="shared" si="26"/>
        <v>6.3984671746776067</v>
      </c>
      <c r="AS31" s="82">
        <f t="shared" si="26"/>
        <v>6.3588481828839374</v>
      </c>
      <c r="AT31" s="82">
        <f t="shared" si="26"/>
        <v>6.319229191090268</v>
      </c>
      <c r="AU31" s="82">
        <f t="shared" si="26"/>
        <v>6.2796101992965987</v>
      </c>
      <c r="AV31" s="83">
        <f t="shared" si="26"/>
        <v>6.2399912075029293</v>
      </c>
    </row>
    <row r="32" spans="1:48" x14ac:dyDescent="0.2">
      <c r="A32" s="66" t="s">
        <v>77</v>
      </c>
      <c r="B32" s="67" t="s">
        <v>74</v>
      </c>
      <c r="C32" s="68" t="s">
        <v>78</v>
      </c>
      <c r="D32" s="64" t="s">
        <v>79</v>
      </c>
      <c r="E32" s="69" t="s">
        <v>80</v>
      </c>
      <c r="F32" s="78">
        <v>2688.48</v>
      </c>
      <c r="G32" s="79">
        <v>2522.4899999999998</v>
      </c>
      <c r="H32" s="79">
        <v>2795</v>
      </c>
      <c r="I32" s="79">
        <v>2820</v>
      </c>
      <c r="J32" s="79">
        <v>2850</v>
      </c>
      <c r="K32" s="79">
        <f>J32+($M32-$J32)/3</f>
        <v>2966.6666666666665</v>
      </c>
      <c r="L32" s="79">
        <f>K32+($M32-$J32)/3</f>
        <v>3083.333333333333</v>
      </c>
      <c r="M32" s="79">
        <v>3200</v>
      </c>
      <c r="N32" s="79">
        <f>M32+($R32-$M32)/5</f>
        <v>3280</v>
      </c>
      <c r="O32" s="79">
        <f t="shared" ref="O32:Q32" si="27">N32+($R32-$M32)/5</f>
        <v>3360</v>
      </c>
      <c r="P32" s="79">
        <f t="shared" si="27"/>
        <v>3440</v>
      </c>
      <c r="Q32" s="79">
        <f t="shared" si="27"/>
        <v>3520</v>
      </c>
      <c r="R32" s="79">
        <v>3600</v>
      </c>
      <c r="S32" s="79">
        <f>R32+($W32-$R32)/5</f>
        <v>3630</v>
      </c>
      <c r="T32" s="79">
        <f t="shared" ref="T32:V32" si="28">S32+($W32-$R32)/5</f>
        <v>3660</v>
      </c>
      <c r="U32" s="79">
        <f t="shared" si="28"/>
        <v>3690</v>
      </c>
      <c r="V32" s="79">
        <f t="shared" si="28"/>
        <v>3720</v>
      </c>
      <c r="W32" s="79">
        <v>3750</v>
      </c>
      <c r="X32" s="79">
        <f>W32+($AG32-$W32)/10</f>
        <v>3735</v>
      </c>
      <c r="Y32" s="79">
        <f t="shared" ref="Y32:AF32" si="29">X32+($AG32-$W32)/10</f>
        <v>3720</v>
      </c>
      <c r="Z32" s="79">
        <f t="shared" si="29"/>
        <v>3705</v>
      </c>
      <c r="AA32" s="79">
        <f t="shared" si="29"/>
        <v>3690</v>
      </c>
      <c r="AB32" s="79">
        <f t="shared" si="29"/>
        <v>3675</v>
      </c>
      <c r="AC32" s="79">
        <f t="shared" si="29"/>
        <v>3660</v>
      </c>
      <c r="AD32" s="79">
        <f t="shared" si="29"/>
        <v>3645</v>
      </c>
      <c r="AE32" s="79">
        <f t="shared" si="29"/>
        <v>3630</v>
      </c>
      <c r="AF32" s="79">
        <f t="shared" si="29"/>
        <v>3615</v>
      </c>
      <c r="AG32" s="79">
        <v>3600</v>
      </c>
      <c r="AH32" s="79">
        <f>AG32+($AV32-$AG32)/15</f>
        <v>3573.3333333333335</v>
      </c>
      <c r="AI32" s="79">
        <f t="shared" ref="AI32:AU32" si="30">AH32+($AV32-$AG32)/15</f>
        <v>3546.666666666667</v>
      </c>
      <c r="AJ32" s="79">
        <f t="shared" si="30"/>
        <v>3520.0000000000005</v>
      </c>
      <c r="AK32" s="79">
        <f t="shared" si="30"/>
        <v>3493.3333333333339</v>
      </c>
      <c r="AL32" s="79">
        <f t="shared" si="30"/>
        <v>3466.6666666666674</v>
      </c>
      <c r="AM32" s="79">
        <f t="shared" si="30"/>
        <v>3440.0000000000009</v>
      </c>
      <c r="AN32" s="79">
        <f t="shared" si="30"/>
        <v>3413.3333333333344</v>
      </c>
      <c r="AO32" s="79">
        <f t="shared" si="30"/>
        <v>3386.6666666666679</v>
      </c>
      <c r="AP32" s="79">
        <f t="shared" si="30"/>
        <v>3360.0000000000014</v>
      </c>
      <c r="AQ32" s="79">
        <f t="shared" si="30"/>
        <v>3333.3333333333348</v>
      </c>
      <c r="AR32" s="79">
        <f t="shared" si="30"/>
        <v>3306.6666666666683</v>
      </c>
      <c r="AS32" s="79">
        <f t="shared" si="30"/>
        <v>3280.0000000000018</v>
      </c>
      <c r="AT32" s="79">
        <f t="shared" si="30"/>
        <v>3253.3333333333353</v>
      </c>
      <c r="AU32" s="79">
        <f t="shared" si="30"/>
        <v>3226.6666666666688</v>
      </c>
      <c r="AV32" s="86">
        <v>3200</v>
      </c>
    </row>
    <row r="33" spans="1:48" x14ac:dyDescent="0.2">
      <c r="A33" s="66" t="s">
        <v>77</v>
      </c>
      <c r="B33" s="67" t="s">
        <v>81</v>
      </c>
      <c r="C33" s="68" t="s">
        <v>82</v>
      </c>
      <c r="D33" s="64" t="s">
        <v>79</v>
      </c>
      <c r="E33" s="69" t="s">
        <v>80</v>
      </c>
      <c r="F33" s="78">
        <v>137.54</v>
      </c>
      <c r="G33" s="79">
        <v>140.04</v>
      </c>
      <c r="H33" s="79">
        <v>155.71</v>
      </c>
      <c r="I33" s="79">
        <v>189</v>
      </c>
      <c r="J33" s="84">
        <f>I33+($M33-$I33)/4</f>
        <v>204.25</v>
      </c>
      <c r="K33" s="84">
        <f>J33+($M33-$I33)/4</f>
        <v>219.5</v>
      </c>
      <c r="L33" s="84">
        <f>K33+($M33-$I33)/4</f>
        <v>234.75</v>
      </c>
      <c r="M33" s="79">
        <v>250</v>
      </c>
      <c r="N33" s="79">
        <f>M33+($W33-$M33)/10</f>
        <v>254</v>
      </c>
      <c r="O33" s="79">
        <f t="shared" ref="O33:V33" si="31">N33+($W33-$M33)/10</f>
        <v>258</v>
      </c>
      <c r="P33" s="79">
        <f t="shared" si="31"/>
        <v>262</v>
      </c>
      <c r="Q33" s="79">
        <f t="shared" si="31"/>
        <v>266</v>
      </c>
      <c r="R33" s="79">
        <f t="shared" si="31"/>
        <v>270</v>
      </c>
      <c r="S33" s="79">
        <f t="shared" si="31"/>
        <v>274</v>
      </c>
      <c r="T33" s="79">
        <f t="shared" si="31"/>
        <v>278</v>
      </c>
      <c r="U33" s="79">
        <f t="shared" si="31"/>
        <v>282</v>
      </c>
      <c r="V33" s="79">
        <f t="shared" si="31"/>
        <v>286</v>
      </c>
      <c r="W33" s="79">
        <v>290</v>
      </c>
      <c r="X33" s="84">
        <f>W33+($AG33-$W33)/10</f>
        <v>288</v>
      </c>
      <c r="Y33" s="84">
        <f t="shared" ref="Y33:AF33" si="32">X33+($AG33-$W33)/10</f>
        <v>286</v>
      </c>
      <c r="Z33" s="84">
        <f t="shared" si="32"/>
        <v>284</v>
      </c>
      <c r="AA33" s="84">
        <f t="shared" si="32"/>
        <v>282</v>
      </c>
      <c r="AB33" s="84">
        <f t="shared" si="32"/>
        <v>280</v>
      </c>
      <c r="AC33" s="84">
        <f t="shared" si="32"/>
        <v>278</v>
      </c>
      <c r="AD33" s="84">
        <f t="shared" si="32"/>
        <v>276</v>
      </c>
      <c r="AE33" s="84">
        <f t="shared" si="32"/>
        <v>274</v>
      </c>
      <c r="AF33" s="84">
        <f t="shared" si="32"/>
        <v>272</v>
      </c>
      <c r="AG33" s="79">
        <v>270</v>
      </c>
      <c r="AH33" s="84">
        <f>AG33+($AV33-$AG33)/15</f>
        <v>266.66666666666669</v>
      </c>
      <c r="AI33" s="84">
        <f t="shared" ref="AI33:AU33" si="33">AH33+($AV33-$AG33)/15</f>
        <v>263.33333333333337</v>
      </c>
      <c r="AJ33" s="84">
        <f t="shared" si="33"/>
        <v>260.00000000000006</v>
      </c>
      <c r="AK33" s="84">
        <f t="shared" si="33"/>
        <v>256.66666666666674</v>
      </c>
      <c r="AL33" s="84">
        <f t="shared" si="33"/>
        <v>253.3333333333334</v>
      </c>
      <c r="AM33" s="84">
        <f t="shared" si="33"/>
        <v>250.00000000000006</v>
      </c>
      <c r="AN33" s="84">
        <f t="shared" si="33"/>
        <v>246.66666666666671</v>
      </c>
      <c r="AO33" s="84">
        <f t="shared" si="33"/>
        <v>243.33333333333337</v>
      </c>
      <c r="AP33" s="84">
        <f t="shared" si="33"/>
        <v>240.00000000000003</v>
      </c>
      <c r="AQ33" s="84">
        <f t="shared" si="33"/>
        <v>236.66666666666669</v>
      </c>
      <c r="AR33" s="84">
        <f t="shared" si="33"/>
        <v>233.33333333333334</v>
      </c>
      <c r="AS33" s="84">
        <f t="shared" si="33"/>
        <v>230</v>
      </c>
      <c r="AT33" s="84">
        <f t="shared" si="33"/>
        <v>226.66666666666666</v>
      </c>
      <c r="AU33" s="84">
        <f t="shared" si="33"/>
        <v>223.33333333333331</v>
      </c>
      <c r="AV33" s="86">
        <v>220</v>
      </c>
    </row>
    <row r="34" spans="1:48" x14ac:dyDescent="0.2">
      <c r="A34" s="66" t="s">
        <v>77</v>
      </c>
      <c r="B34" s="67" t="s">
        <v>81</v>
      </c>
      <c r="C34" s="68" t="s">
        <v>83</v>
      </c>
      <c r="D34" s="64" t="s">
        <v>79</v>
      </c>
      <c r="E34" s="69" t="s">
        <v>80</v>
      </c>
      <c r="F34" s="78">
        <v>246.85</v>
      </c>
      <c r="G34" s="79">
        <v>244.17</v>
      </c>
      <c r="H34" s="79">
        <v>232.31</v>
      </c>
      <c r="I34" s="79">
        <v>224.95</v>
      </c>
      <c r="J34" s="79">
        <v>201.43</v>
      </c>
      <c r="K34" s="84">
        <f t="shared" ref="K34:L34" si="34">J34+($M34-$J34)/3</f>
        <v>209.28666666666666</v>
      </c>
      <c r="L34" s="84">
        <f t="shared" si="34"/>
        <v>217.14333333333332</v>
      </c>
      <c r="M34" s="79">
        <v>225</v>
      </c>
      <c r="N34" s="79">
        <f>M34+($W34-$M34)/10</f>
        <v>223.5</v>
      </c>
      <c r="O34" s="79">
        <f t="shared" ref="O34:V34" si="35">N34+($W34-$M34)/10</f>
        <v>222</v>
      </c>
      <c r="P34" s="79">
        <f t="shared" si="35"/>
        <v>220.5</v>
      </c>
      <c r="Q34" s="79">
        <f t="shared" si="35"/>
        <v>219</v>
      </c>
      <c r="R34" s="79">
        <f t="shared" si="35"/>
        <v>217.5</v>
      </c>
      <c r="S34" s="79">
        <f t="shared" si="35"/>
        <v>216</v>
      </c>
      <c r="T34" s="79">
        <f t="shared" si="35"/>
        <v>214.5</v>
      </c>
      <c r="U34" s="79">
        <f t="shared" si="35"/>
        <v>213</v>
      </c>
      <c r="V34" s="79">
        <f t="shared" si="35"/>
        <v>211.5</v>
      </c>
      <c r="W34" s="79">
        <v>210</v>
      </c>
      <c r="X34" s="79">
        <f>W34+($AV34-$W34)/25</f>
        <v>207.2</v>
      </c>
      <c r="Y34" s="79">
        <f t="shared" ref="Y34:AU34" si="36">X34+($AV34-$W34)/25</f>
        <v>204.39999999999998</v>
      </c>
      <c r="Z34" s="79">
        <f t="shared" si="36"/>
        <v>201.59999999999997</v>
      </c>
      <c r="AA34" s="79">
        <f t="shared" si="36"/>
        <v>198.79999999999995</v>
      </c>
      <c r="AB34" s="79">
        <f t="shared" si="36"/>
        <v>195.99999999999994</v>
      </c>
      <c r="AC34" s="79">
        <f t="shared" si="36"/>
        <v>193.19999999999993</v>
      </c>
      <c r="AD34" s="79">
        <f t="shared" si="36"/>
        <v>190.39999999999992</v>
      </c>
      <c r="AE34" s="79">
        <f t="shared" si="36"/>
        <v>187.59999999999991</v>
      </c>
      <c r="AF34" s="79">
        <f t="shared" si="36"/>
        <v>184.7999999999999</v>
      </c>
      <c r="AG34" s="79">
        <f t="shared" si="36"/>
        <v>181.99999999999989</v>
      </c>
      <c r="AH34" s="79">
        <f t="shared" si="36"/>
        <v>179.19999999999987</v>
      </c>
      <c r="AI34" s="79">
        <f t="shared" si="36"/>
        <v>176.39999999999986</v>
      </c>
      <c r="AJ34" s="79">
        <f t="shared" si="36"/>
        <v>173.59999999999985</v>
      </c>
      <c r="AK34" s="79">
        <f t="shared" si="36"/>
        <v>170.79999999999984</v>
      </c>
      <c r="AL34" s="79">
        <f t="shared" si="36"/>
        <v>167.99999999999983</v>
      </c>
      <c r="AM34" s="79">
        <f t="shared" si="36"/>
        <v>165.19999999999982</v>
      </c>
      <c r="AN34" s="79">
        <f t="shared" si="36"/>
        <v>162.39999999999981</v>
      </c>
      <c r="AO34" s="79">
        <f t="shared" si="36"/>
        <v>159.5999999999998</v>
      </c>
      <c r="AP34" s="79">
        <f t="shared" si="36"/>
        <v>156.79999999999978</v>
      </c>
      <c r="AQ34" s="79">
        <f t="shared" si="36"/>
        <v>153.99999999999977</v>
      </c>
      <c r="AR34" s="79">
        <f t="shared" si="36"/>
        <v>151.19999999999976</v>
      </c>
      <c r="AS34" s="79">
        <f t="shared" si="36"/>
        <v>148.39999999999975</v>
      </c>
      <c r="AT34" s="79">
        <f t="shared" si="36"/>
        <v>145.59999999999974</v>
      </c>
      <c r="AU34" s="79">
        <f t="shared" si="36"/>
        <v>142.79999999999973</v>
      </c>
      <c r="AV34" s="86">
        <v>140</v>
      </c>
    </row>
    <row r="35" spans="1:48" x14ac:dyDescent="0.2">
      <c r="A35" s="66" t="s">
        <v>77</v>
      </c>
      <c r="B35" s="67" t="s">
        <v>84</v>
      </c>
      <c r="C35" s="68" t="s">
        <v>85</v>
      </c>
      <c r="D35" s="64" t="s">
        <v>79</v>
      </c>
      <c r="E35" s="69" t="s">
        <v>80</v>
      </c>
      <c r="F35" s="78">
        <v>85.17</v>
      </c>
      <c r="G35" s="79">
        <v>88.95</v>
      </c>
      <c r="H35" s="79">
        <v>86.69</v>
      </c>
      <c r="I35" s="79">
        <v>93.16</v>
      </c>
      <c r="J35" s="79">
        <f>I35+($M35-$I35)/4</f>
        <v>99.87</v>
      </c>
      <c r="K35" s="79">
        <f t="shared" ref="K35:L35" si="37">J35+($M35-$I35)/4</f>
        <v>106.58000000000001</v>
      </c>
      <c r="L35" s="79">
        <f t="shared" si="37"/>
        <v>113.29000000000002</v>
      </c>
      <c r="M35" s="79">
        <v>120</v>
      </c>
      <c r="N35" s="79">
        <f>M35+($W35-$M35)/10</f>
        <v>123</v>
      </c>
      <c r="O35" s="79">
        <f t="shared" ref="O35:V35" si="38">N35+($W35-$M35)/10</f>
        <v>126</v>
      </c>
      <c r="P35" s="79">
        <f t="shared" si="38"/>
        <v>129</v>
      </c>
      <c r="Q35" s="79">
        <f t="shared" si="38"/>
        <v>132</v>
      </c>
      <c r="R35" s="79">
        <f t="shared" si="38"/>
        <v>135</v>
      </c>
      <c r="S35" s="79">
        <f t="shared" si="38"/>
        <v>138</v>
      </c>
      <c r="T35" s="79">
        <f t="shared" si="38"/>
        <v>141</v>
      </c>
      <c r="U35" s="79">
        <f t="shared" si="38"/>
        <v>144</v>
      </c>
      <c r="V35" s="79">
        <f t="shared" si="38"/>
        <v>147</v>
      </c>
      <c r="W35" s="79">
        <v>150</v>
      </c>
      <c r="X35" s="79">
        <f>W35+($AV35-$W35)/25</f>
        <v>149</v>
      </c>
      <c r="Y35" s="79">
        <f t="shared" ref="Y35:AU35" si="39">X35+($AV35-$W35)/25</f>
        <v>148</v>
      </c>
      <c r="Z35" s="79">
        <f t="shared" si="39"/>
        <v>147</v>
      </c>
      <c r="AA35" s="79">
        <f t="shared" si="39"/>
        <v>146</v>
      </c>
      <c r="AB35" s="79">
        <f t="shared" si="39"/>
        <v>145</v>
      </c>
      <c r="AC35" s="79">
        <f t="shared" si="39"/>
        <v>144</v>
      </c>
      <c r="AD35" s="79">
        <f t="shared" si="39"/>
        <v>143</v>
      </c>
      <c r="AE35" s="79">
        <f t="shared" si="39"/>
        <v>142</v>
      </c>
      <c r="AF35" s="79">
        <f t="shared" si="39"/>
        <v>141</v>
      </c>
      <c r="AG35" s="79">
        <f t="shared" si="39"/>
        <v>140</v>
      </c>
      <c r="AH35" s="79">
        <f t="shared" si="39"/>
        <v>139</v>
      </c>
      <c r="AI35" s="79">
        <f t="shared" si="39"/>
        <v>138</v>
      </c>
      <c r="AJ35" s="79">
        <f t="shared" si="39"/>
        <v>137</v>
      </c>
      <c r="AK35" s="79">
        <f t="shared" si="39"/>
        <v>136</v>
      </c>
      <c r="AL35" s="79">
        <f t="shared" si="39"/>
        <v>135</v>
      </c>
      <c r="AM35" s="79">
        <f t="shared" si="39"/>
        <v>134</v>
      </c>
      <c r="AN35" s="79">
        <f t="shared" si="39"/>
        <v>133</v>
      </c>
      <c r="AO35" s="79">
        <f t="shared" si="39"/>
        <v>132</v>
      </c>
      <c r="AP35" s="79">
        <f t="shared" si="39"/>
        <v>131</v>
      </c>
      <c r="AQ35" s="79">
        <f t="shared" si="39"/>
        <v>130</v>
      </c>
      <c r="AR35" s="79">
        <f t="shared" si="39"/>
        <v>129</v>
      </c>
      <c r="AS35" s="79">
        <f t="shared" si="39"/>
        <v>128</v>
      </c>
      <c r="AT35" s="79">
        <f>AS35+($AV35-$W35)/25</f>
        <v>127</v>
      </c>
      <c r="AU35" s="79">
        <f t="shared" si="39"/>
        <v>126</v>
      </c>
      <c r="AV35" s="86">
        <v>125</v>
      </c>
    </row>
    <row r="36" spans="1:48" x14ac:dyDescent="0.2">
      <c r="A36" s="66" t="s">
        <v>86</v>
      </c>
      <c r="B36" s="67" t="s">
        <v>74</v>
      </c>
      <c r="C36" s="68" t="s">
        <v>87</v>
      </c>
      <c r="D36" s="64" t="s">
        <v>79</v>
      </c>
      <c r="E36" s="65" t="s">
        <v>88</v>
      </c>
      <c r="F36" s="78">
        <v>223609.62</v>
      </c>
      <c r="G36" s="79">
        <v>234430.62</v>
      </c>
      <c r="H36" s="84">
        <f>E16</f>
        <v>239470.83</v>
      </c>
      <c r="I36" s="84">
        <f t="shared" ref="I36:AV36" si="40">F16</f>
        <v>237724.49</v>
      </c>
      <c r="J36" s="84">
        <f t="shared" si="40"/>
        <v>212927.18</v>
      </c>
      <c r="K36" s="84">
        <f t="shared" si="40"/>
        <v>215284.78666666665</v>
      </c>
      <c r="L36" s="84">
        <f t="shared" si="40"/>
        <v>217642.39333333331</v>
      </c>
      <c r="M36" s="84">
        <f t="shared" si="40"/>
        <v>220000</v>
      </c>
      <c r="N36" s="84">
        <f t="shared" si="40"/>
        <v>218000</v>
      </c>
      <c r="O36" s="84">
        <f t="shared" si="40"/>
        <v>216000</v>
      </c>
      <c r="P36" s="84">
        <f t="shared" si="40"/>
        <v>214000</v>
      </c>
      <c r="Q36" s="84">
        <f t="shared" si="40"/>
        <v>212000</v>
      </c>
      <c r="R36" s="84">
        <f t="shared" si="40"/>
        <v>210000</v>
      </c>
      <c r="S36" s="84">
        <f t="shared" si="40"/>
        <v>207000</v>
      </c>
      <c r="T36" s="84">
        <f t="shared" si="40"/>
        <v>204000</v>
      </c>
      <c r="U36" s="84">
        <f t="shared" si="40"/>
        <v>201000</v>
      </c>
      <c r="V36" s="84">
        <f t="shared" si="40"/>
        <v>198000</v>
      </c>
      <c r="W36" s="84">
        <f t="shared" si="40"/>
        <v>195000</v>
      </c>
      <c r="X36" s="84">
        <f t="shared" si="40"/>
        <v>191000</v>
      </c>
      <c r="Y36" s="84">
        <f t="shared" si="40"/>
        <v>187000</v>
      </c>
      <c r="Z36" s="84">
        <f t="shared" si="40"/>
        <v>183000</v>
      </c>
      <c r="AA36" s="84">
        <f t="shared" si="40"/>
        <v>179000</v>
      </c>
      <c r="AB36" s="84">
        <f t="shared" si="40"/>
        <v>175000</v>
      </c>
      <c r="AC36" s="84">
        <f t="shared" si="40"/>
        <v>171000</v>
      </c>
      <c r="AD36" s="84">
        <f t="shared" si="40"/>
        <v>167000</v>
      </c>
      <c r="AE36" s="84">
        <f t="shared" si="40"/>
        <v>163000</v>
      </c>
      <c r="AF36" s="84">
        <f t="shared" si="40"/>
        <v>159000</v>
      </c>
      <c r="AG36" s="84">
        <f t="shared" si="40"/>
        <v>155000</v>
      </c>
      <c r="AH36" s="84">
        <f t="shared" si="40"/>
        <v>151000</v>
      </c>
      <c r="AI36" s="84">
        <f t="shared" si="40"/>
        <v>147000</v>
      </c>
      <c r="AJ36" s="84">
        <f t="shared" si="40"/>
        <v>143000</v>
      </c>
      <c r="AK36" s="84">
        <f t="shared" si="40"/>
        <v>139000</v>
      </c>
      <c r="AL36" s="84">
        <f t="shared" si="40"/>
        <v>135000</v>
      </c>
      <c r="AM36" s="84">
        <f t="shared" si="40"/>
        <v>132000</v>
      </c>
      <c r="AN36" s="84">
        <f t="shared" si="40"/>
        <v>129000</v>
      </c>
      <c r="AO36" s="84">
        <f t="shared" si="40"/>
        <v>126000</v>
      </c>
      <c r="AP36" s="84">
        <f t="shared" si="40"/>
        <v>123000</v>
      </c>
      <c r="AQ36" s="84">
        <f t="shared" si="40"/>
        <v>120000</v>
      </c>
      <c r="AR36" s="84">
        <f t="shared" si="40"/>
        <v>118000</v>
      </c>
      <c r="AS36" s="84">
        <f t="shared" si="40"/>
        <v>116000</v>
      </c>
      <c r="AT36" s="84">
        <f t="shared" si="40"/>
        <v>114000</v>
      </c>
      <c r="AU36" s="84">
        <f t="shared" si="40"/>
        <v>112000</v>
      </c>
      <c r="AV36" s="85">
        <f t="shared" si="40"/>
        <v>110000</v>
      </c>
    </row>
    <row r="37" spans="1:48" x14ac:dyDescent="0.2">
      <c r="A37" s="66" t="s">
        <v>89</v>
      </c>
      <c r="B37" s="67" t="s">
        <v>90</v>
      </c>
      <c r="C37" s="68" t="s">
        <v>91</v>
      </c>
      <c r="D37" s="64" t="s">
        <v>79</v>
      </c>
      <c r="E37" s="65" t="s">
        <v>88</v>
      </c>
      <c r="F37" s="78">
        <v>92903.84</v>
      </c>
      <c r="G37" s="79">
        <v>99541.89</v>
      </c>
      <c r="H37" s="84">
        <f>E18</f>
        <v>106476.68</v>
      </c>
      <c r="I37" s="84">
        <f t="shared" ref="I37:AV37" si="41">F18</f>
        <v>103524.26</v>
      </c>
      <c r="J37" s="84">
        <f t="shared" si="41"/>
        <v>101795.9</v>
      </c>
      <c r="K37" s="84">
        <f t="shared" si="41"/>
        <v>104530.59999999999</v>
      </c>
      <c r="L37" s="84">
        <f t="shared" si="41"/>
        <v>107265.29999999999</v>
      </c>
      <c r="M37" s="84">
        <f t="shared" si="41"/>
        <v>110000</v>
      </c>
      <c r="N37" s="84">
        <f t="shared" si="41"/>
        <v>111400</v>
      </c>
      <c r="O37" s="84">
        <f t="shared" si="41"/>
        <v>112800</v>
      </c>
      <c r="P37" s="84">
        <f t="shared" si="41"/>
        <v>114200</v>
      </c>
      <c r="Q37" s="84">
        <f t="shared" si="41"/>
        <v>115600</v>
      </c>
      <c r="R37" s="84">
        <f t="shared" si="41"/>
        <v>117000</v>
      </c>
      <c r="S37" s="84">
        <f t="shared" si="41"/>
        <v>116600</v>
      </c>
      <c r="T37" s="84">
        <f t="shared" si="41"/>
        <v>116200</v>
      </c>
      <c r="U37" s="84">
        <f t="shared" si="41"/>
        <v>115800</v>
      </c>
      <c r="V37" s="84">
        <f t="shared" si="41"/>
        <v>115400</v>
      </c>
      <c r="W37" s="84">
        <f t="shared" si="41"/>
        <v>115000</v>
      </c>
      <c r="X37" s="84">
        <f t="shared" si="41"/>
        <v>113000</v>
      </c>
      <c r="Y37" s="84">
        <f t="shared" si="41"/>
        <v>111000</v>
      </c>
      <c r="Z37" s="84">
        <f t="shared" si="41"/>
        <v>109000</v>
      </c>
      <c r="AA37" s="84">
        <f t="shared" si="41"/>
        <v>107000</v>
      </c>
      <c r="AB37" s="84">
        <f t="shared" si="41"/>
        <v>105000</v>
      </c>
      <c r="AC37" s="84">
        <f t="shared" si="41"/>
        <v>102600</v>
      </c>
      <c r="AD37" s="84">
        <f t="shared" si="41"/>
        <v>100200</v>
      </c>
      <c r="AE37" s="84">
        <f t="shared" si="41"/>
        <v>97800</v>
      </c>
      <c r="AF37" s="84">
        <f t="shared" si="41"/>
        <v>95400</v>
      </c>
      <c r="AG37" s="84">
        <f t="shared" si="41"/>
        <v>93000</v>
      </c>
      <c r="AH37" s="84">
        <f t="shared" si="41"/>
        <v>91000</v>
      </c>
      <c r="AI37" s="84">
        <f t="shared" si="41"/>
        <v>89000</v>
      </c>
      <c r="AJ37" s="84">
        <f t="shared" si="41"/>
        <v>87000</v>
      </c>
      <c r="AK37" s="84">
        <f t="shared" si="41"/>
        <v>85000</v>
      </c>
      <c r="AL37" s="84">
        <f t="shared" si="41"/>
        <v>83000</v>
      </c>
      <c r="AM37" s="84">
        <f t="shared" si="41"/>
        <v>80800</v>
      </c>
      <c r="AN37" s="84">
        <f t="shared" si="41"/>
        <v>78600</v>
      </c>
      <c r="AO37" s="84">
        <f t="shared" si="41"/>
        <v>76400</v>
      </c>
      <c r="AP37" s="84">
        <f t="shared" si="41"/>
        <v>74200</v>
      </c>
      <c r="AQ37" s="84">
        <f t="shared" si="41"/>
        <v>72000</v>
      </c>
      <c r="AR37" s="84">
        <f t="shared" si="41"/>
        <v>70800</v>
      </c>
      <c r="AS37" s="84">
        <f t="shared" si="41"/>
        <v>69600</v>
      </c>
      <c r="AT37" s="84">
        <f t="shared" si="41"/>
        <v>68400</v>
      </c>
      <c r="AU37" s="84">
        <f t="shared" si="41"/>
        <v>67200</v>
      </c>
      <c r="AV37" s="85">
        <f t="shared" si="41"/>
        <v>66000</v>
      </c>
    </row>
    <row r="38" spans="1:48" x14ac:dyDescent="0.2">
      <c r="A38" s="66" t="s">
        <v>92</v>
      </c>
      <c r="B38" s="67" t="s">
        <v>84</v>
      </c>
      <c r="C38" s="68" t="s">
        <v>93</v>
      </c>
      <c r="D38" s="64" t="s">
        <v>79</v>
      </c>
      <c r="E38" s="65" t="s">
        <v>88</v>
      </c>
      <c r="F38" s="78">
        <v>3683.1</v>
      </c>
      <c r="G38" s="79">
        <v>3512.96</v>
      </c>
      <c r="H38" s="79">
        <f>E19</f>
        <v>3708.04</v>
      </c>
      <c r="I38" s="79">
        <f t="shared" ref="I38:AV38" si="42">F19</f>
        <v>3850.32</v>
      </c>
      <c r="J38" s="79">
        <f t="shared" si="42"/>
        <v>4014.43</v>
      </c>
      <c r="K38" s="79">
        <f t="shared" si="42"/>
        <v>4176.2866666666669</v>
      </c>
      <c r="L38" s="79">
        <f t="shared" si="42"/>
        <v>4338.1433333333334</v>
      </c>
      <c r="M38" s="79">
        <f t="shared" si="42"/>
        <v>4500</v>
      </c>
      <c r="N38" s="79">
        <f t="shared" si="42"/>
        <v>4570</v>
      </c>
      <c r="O38" s="79">
        <f t="shared" si="42"/>
        <v>4640</v>
      </c>
      <c r="P38" s="79">
        <f t="shared" si="42"/>
        <v>4710</v>
      </c>
      <c r="Q38" s="79">
        <f t="shared" si="42"/>
        <v>4780</v>
      </c>
      <c r="R38" s="79">
        <f t="shared" si="42"/>
        <v>4850</v>
      </c>
      <c r="S38" s="79">
        <f t="shared" si="42"/>
        <v>4900</v>
      </c>
      <c r="T38" s="79">
        <f t="shared" si="42"/>
        <v>4950</v>
      </c>
      <c r="U38" s="79">
        <f t="shared" si="42"/>
        <v>5000</v>
      </c>
      <c r="V38" s="79">
        <f t="shared" si="42"/>
        <v>5050</v>
      </c>
      <c r="W38" s="79">
        <f t="shared" si="42"/>
        <v>5100</v>
      </c>
      <c r="X38" s="79">
        <f t="shared" si="42"/>
        <v>5080</v>
      </c>
      <c r="Y38" s="79">
        <f t="shared" si="42"/>
        <v>5060</v>
      </c>
      <c r="Z38" s="79">
        <f t="shared" si="42"/>
        <v>5040</v>
      </c>
      <c r="AA38" s="79">
        <f t="shared" si="42"/>
        <v>5020</v>
      </c>
      <c r="AB38" s="79">
        <f t="shared" si="42"/>
        <v>5000</v>
      </c>
      <c r="AC38" s="79">
        <f t="shared" si="42"/>
        <v>4960</v>
      </c>
      <c r="AD38" s="79">
        <f t="shared" si="42"/>
        <v>4920</v>
      </c>
      <c r="AE38" s="79">
        <f t="shared" si="42"/>
        <v>4880</v>
      </c>
      <c r="AF38" s="79">
        <f t="shared" si="42"/>
        <v>4840</v>
      </c>
      <c r="AG38" s="79">
        <f t="shared" si="42"/>
        <v>4800</v>
      </c>
      <c r="AH38" s="79">
        <f t="shared" si="42"/>
        <v>4740</v>
      </c>
      <c r="AI38" s="79">
        <f t="shared" si="42"/>
        <v>4680</v>
      </c>
      <c r="AJ38" s="79">
        <f t="shared" si="42"/>
        <v>4620</v>
      </c>
      <c r="AK38" s="79">
        <f t="shared" si="42"/>
        <v>4560</v>
      </c>
      <c r="AL38" s="79">
        <f t="shared" si="42"/>
        <v>4500</v>
      </c>
      <c r="AM38" s="79">
        <f t="shared" si="42"/>
        <v>4440</v>
      </c>
      <c r="AN38" s="79">
        <f t="shared" si="42"/>
        <v>4380</v>
      </c>
      <c r="AO38" s="79">
        <f t="shared" si="42"/>
        <v>4320</v>
      </c>
      <c r="AP38" s="79">
        <f t="shared" si="42"/>
        <v>4260</v>
      </c>
      <c r="AQ38" s="79">
        <f t="shared" si="42"/>
        <v>4200</v>
      </c>
      <c r="AR38" s="79">
        <f t="shared" si="42"/>
        <v>4120</v>
      </c>
      <c r="AS38" s="79">
        <f t="shared" si="42"/>
        <v>4040</v>
      </c>
      <c r="AT38" s="79">
        <f t="shared" si="42"/>
        <v>3960</v>
      </c>
      <c r="AU38" s="79">
        <f t="shared" si="42"/>
        <v>3880</v>
      </c>
      <c r="AV38" s="86">
        <f t="shared" si="42"/>
        <v>3800</v>
      </c>
    </row>
    <row r="39" spans="1:48" x14ac:dyDescent="0.2">
      <c r="A39" s="66" t="s">
        <v>94</v>
      </c>
      <c r="B39" s="67" t="s">
        <v>84</v>
      </c>
      <c r="C39" s="70" t="s">
        <v>95</v>
      </c>
      <c r="D39" s="64" t="s">
        <v>96</v>
      </c>
      <c r="E39" s="71" t="s">
        <v>62</v>
      </c>
      <c r="F39" s="78">
        <v>68449</v>
      </c>
      <c r="G39" s="79">
        <v>72255</v>
      </c>
      <c r="H39" s="79">
        <v>75110</v>
      </c>
      <c r="I39" s="79">
        <v>83128</v>
      </c>
      <c r="J39" s="79">
        <v>86372</v>
      </c>
      <c r="K39" s="79">
        <v>92908</v>
      </c>
      <c r="L39" s="79">
        <v>98236</v>
      </c>
      <c r="M39" s="79">
        <v>103441</v>
      </c>
      <c r="N39" s="79">
        <v>108529</v>
      </c>
      <c r="O39" s="79">
        <v>113482</v>
      </c>
      <c r="P39" s="79">
        <v>118298</v>
      </c>
      <c r="Q39" s="79">
        <v>122964</v>
      </c>
      <c r="R39" s="79">
        <v>127474</v>
      </c>
      <c r="S39" s="79">
        <v>131817</v>
      </c>
      <c r="T39" s="79">
        <v>135982</v>
      </c>
      <c r="U39" s="79">
        <v>139961</v>
      </c>
      <c r="V39" s="79">
        <v>143743</v>
      </c>
      <c r="W39" s="79">
        <v>147316</v>
      </c>
      <c r="X39" s="79">
        <v>150667</v>
      </c>
      <c r="Y39" s="79">
        <v>153788</v>
      </c>
      <c r="Z39" s="79">
        <v>156673</v>
      </c>
      <c r="AA39" s="79">
        <v>159316</v>
      </c>
      <c r="AB39" s="79">
        <v>161710</v>
      </c>
      <c r="AC39" s="79">
        <v>163854</v>
      </c>
      <c r="AD39" s="79">
        <v>165743</v>
      </c>
      <c r="AE39" s="79">
        <v>167375</v>
      </c>
      <c r="AF39" s="79">
        <v>168754</v>
      </c>
      <c r="AG39" s="79">
        <v>169877</v>
      </c>
      <c r="AH39" s="79">
        <v>170749</v>
      </c>
      <c r="AI39" s="79">
        <v>171374</v>
      </c>
      <c r="AJ39" s="79">
        <v>171758</v>
      </c>
      <c r="AK39" s="79">
        <v>171907</v>
      </c>
      <c r="AL39" s="79">
        <v>171827</v>
      </c>
      <c r="AM39" s="79">
        <v>171527</v>
      </c>
      <c r="AN39" s="79">
        <v>171015</v>
      </c>
      <c r="AO39" s="79">
        <v>170299</v>
      </c>
      <c r="AP39" s="79">
        <v>169391</v>
      </c>
      <c r="AQ39" s="79">
        <v>168299</v>
      </c>
      <c r="AR39" s="79">
        <v>167033</v>
      </c>
      <c r="AS39" s="79">
        <v>165602</v>
      </c>
      <c r="AT39" s="79">
        <v>164017</v>
      </c>
      <c r="AU39" s="79">
        <v>162290</v>
      </c>
      <c r="AV39" s="86">
        <v>160429</v>
      </c>
    </row>
    <row r="40" spans="1:48" x14ac:dyDescent="0.2">
      <c r="A40" s="72" t="s">
        <v>97</v>
      </c>
      <c r="B40" s="73" t="s">
        <v>98</v>
      </c>
      <c r="C40" s="74" t="s">
        <v>60</v>
      </c>
      <c r="D40" s="75" t="s">
        <v>61</v>
      </c>
      <c r="E40" s="76" t="s">
        <v>62</v>
      </c>
      <c r="F40" s="96">
        <v>13.953799999999999</v>
      </c>
      <c r="G40" s="97">
        <v>14.007930999999999</v>
      </c>
      <c r="H40" s="97">
        <v>14.131351629999999</v>
      </c>
      <c r="I40" s="97">
        <v>14.16016011</v>
      </c>
      <c r="J40" s="97">
        <v>14.188968259999999</v>
      </c>
      <c r="K40" s="97">
        <v>14.21777659</v>
      </c>
      <c r="L40" s="97">
        <v>14.246584739999999</v>
      </c>
      <c r="M40" s="97">
        <v>14.27539322</v>
      </c>
      <c r="N40" s="97">
        <v>14.27109347</v>
      </c>
      <c r="O40" s="97">
        <v>14.2667936</v>
      </c>
      <c r="P40" s="97">
        <v>14.26249434</v>
      </c>
      <c r="Q40" s="97">
        <v>14.258194469999999</v>
      </c>
      <c r="R40" s="97">
        <v>14.25389472</v>
      </c>
      <c r="S40" s="97">
        <v>14.234383210000001</v>
      </c>
      <c r="T40" s="97">
        <v>14.21487207</v>
      </c>
      <c r="U40" s="97">
        <v>14.19536108</v>
      </c>
      <c r="V40" s="97">
        <v>14.175849940000001</v>
      </c>
      <c r="W40" s="97">
        <v>14.15633843</v>
      </c>
      <c r="X40" s="97">
        <v>14.120965379999999</v>
      </c>
      <c r="Y40" s="97">
        <v>14.08559209</v>
      </c>
      <c r="Z40" s="97">
        <v>14.050218709999999</v>
      </c>
      <c r="AA40" s="97">
        <v>14.01484542</v>
      </c>
      <c r="AB40" s="97">
        <v>13.97947237</v>
      </c>
      <c r="AC40" s="97">
        <v>13.93101401</v>
      </c>
      <c r="AD40" s="97">
        <v>13.882555740000001</v>
      </c>
      <c r="AE40" s="97">
        <v>13.83409724</v>
      </c>
      <c r="AF40" s="97">
        <v>13.785638970000001</v>
      </c>
      <c r="AG40" s="97">
        <v>13.737180609999999</v>
      </c>
      <c r="AH40" s="97">
        <v>13.66731802</v>
      </c>
      <c r="AI40" s="97">
        <v>13.597455719999999</v>
      </c>
      <c r="AJ40" s="97">
        <v>13.52759292</v>
      </c>
      <c r="AK40" s="97">
        <v>13.45773062</v>
      </c>
      <c r="AL40" s="97">
        <v>13.38786803</v>
      </c>
      <c r="AM40" s="97">
        <v>13.29363728</v>
      </c>
      <c r="AN40" s="97">
        <v>13.19940598</v>
      </c>
      <c r="AO40" s="97">
        <v>13.105175389999999</v>
      </c>
      <c r="AP40" s="97">
        <v>13.010944090000001</v>
      </c>
      <c r="AQ40" s="97">
        <v>12.916713339999999</v>
      </c>
      <c r="AR40" s="97">
        <v>12.803761980000001</v>
      </c>
      <c r="AS40" s="97">
        <v>12.690810539999999</v>
      </c>
      <c r="AT40" s="97">
        <v>12.577859249999999</v>
      </c>
      <c r="AU40" s="97">
        <v>12.46490781</v>
      </c>
      <c r="AV40" s="98">
        <v>12.351956449999999</v>
      </c>
    </row>
    <row r="41" spans="1:48" x14ac:dyDescent="0.2"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</row>
    <row r="42" spans="1:48" x14ac:dyDescent="0.2"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</row>
    <row r="43" spans="1:48" x14ac:dyDescent="0.2"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</row>
    <row r="44" spans="1:48" x14ac:dyDescent="0.2"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</row>
    <row r="45" spans="1:48" x14ac:dyDescent="0.2"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</row>
    <row r="46" spans="1:48" x14ac:dyDescent="0.2"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</row>
    <row r="47" spans="1:48" x14ac:dyDescent="0.2"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</row>
  </sheetData>
  <phoneticPr fontId="3" type="noConversion"/>
  <hyperlinks>
    <hyperlink ref="D8" r:id="rId1" display="https://www.sohu.com/a/716515038_121388092" xr:uid="{9744F58D-3E20-419C-9852-6F9FCA0CF2B8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F1286-3949-44B6-854C-DDC05655524D}">
  <dimension ref="A1:AV40"/>
  <sheetViews>
    <sheetView tabSelected="1" topLeftCell="AH13" workbookViewId="0">
      <selection activeCell="AR24" sqref="AR24"/>
    </sheetView>
  </sheetViews>
  <sheetFormatPr defaultRowHeight="13.5" x14ac:dyDescent="0.15"/>
  <cols>
    <col min="1" max="1" width="21.875" style="40" customWidth="1"/>
    <col min="2" max="3" width="10.375" style="40" customWidth="1"/>
    <col min="4" max="4" width="23.625" style="40" customWidth="1"/>
    <col min="5" max="36" width="11.625" style="40" bestFit="1" customWidth="1"/>
    <col min="37" max="45" width="11.75" style="40" bestFit="1" customWidth="1"/>
    <col min="46" max="47" width="10.25" style="40" bestFit="1" customWidth="1"/>
    <col min="48" max="16384" width="9" style="40"/>
  </cols>
  <sheetData>
    <row r="1" spans="1:45" x14ac:dyDescent="0.15">
      <c r="A1" s="1" t="s">
        <v>0</v>
      </c>
      <c r="B1" s="1" t="s">
        <v>1</v>
      </c>
      <c r="C1" s="2" t="s">
        <v>2</v>
      </c>
      <c r="D1" s="1" t="s">
        <v>3</v>
      </c>
      <c r="E1" s="41">
        <v>2020</v>
      </c>
      <c r="F1" s="42">
        <v>2021</v>
      </c>
      <c r="G1" s="42">
        <v>2022</v>
      </c>
      <c r="H1" s="42">
        <v>2023</v>
      </c>
      <c r="I1" s="42">
        <v>2024</v>
      </c>
      <c r="J1" s="42">
        <v>2025</v>
      </c>
      <c r="K1" s="42">
        <v>2026</v>
      </c>
      <c r="L1" s="42">
        <v>2027</v>
      </c>
      <c r="M1" s="42">
        <v>2028</v>
      </c>
      <c r="N1" s="42">
        <v>2029</v>
      </c>
      <c r="O1" s="42">
        <v>2030</v>
      </c>
      <c r="P1" s="42">
        <v>2031</v>
      </c>
      <c r="Q1" s="42">
        <v>2032</v>
      </c>
      <c r="R1" s="42">
        <v>2033</v>
      </c>
      <c r="S1" s="42">
        <v>2034</v>
      </c>
      <c r="T1" s="42">
        <v>2035</v>
      </c>
      <c r="U1" s="42">
        <v>2036</v>
      </c>
      <c r="V1" s="42">
        <v>2037</v>
      </c>
      <c r="W1" s="42">
        <v>2038</v>
      </c>
      <c r="X1" s="42">
        <v>2039</v>
      </c>
      <c r="Y1" s="42">
        <v>2040</v>
      </c>
      <c r="Z1" s="42">
        <v>2041</v>
      </c>
      <c r="AA1" s="42">
        <v>2042</v>
      </c>
      <c r="AB1" s="42">
        <v>2043</v>
      </c>
      <c r="AC1" s="42">
        <v>2044</v>
      </c>
      <c r="AD1" s="42">
        <v>2045</v>
      </c>
      <c r="AE1" s="42">
        <v>2046</v>
      </c>
      <c r="AF1" s="42">
        <v>2047</v>
      </c>
      <c r="AG1" s="42">
        <v>2048</v>
      </c>
      <c r="AH1" s="42">
        <v>2049</v>
      </c>
      <c r="AI1" s="42">
        <v>2050</v>
      </c>
      <c r="AJ1" s="42">
        <v>2051</v>
      </c>
      <c r="AK1" s="42">
        <v>2052</v>
      </c>
      <c r="AL1" s="42">
        <v>2053</v>
      </c>
      <c r="AM1" s="42">
        <v>2054</v>
      </c>
      <c r="AN1" s="42">
        <v>2055</v>
      </c>
      <c r="AO1" s="42">
        <v>2056</v>
      </c>
      <c r="AP1" s="42">
        <v>2057</v>
      </c>
      <c r="AQ1" s="42">
        <v>2058</v>
      </c>
      <c r="AR1" s="42">
        <v>2059</v>
      </c>
      <c r="AS1" s="43">
        <v>2060</v>
      </c>
    </row>
    <row r="2" spans="1:45" x14ac:dyDescent="0.15">
      <c r="A2" s="7" t="s">
        <v>4</v>
      </c>
      <c r="B2" s="8" t="s">
        <v>5</v>
      </c>
      <c r="C2" s="9" t="s">
        <v>6</v>
      </c>
      <c r="D2" s="8" t="s">
        <v>7</v>
      </c>
      <c r="E2" s="45">
        <f>高情景!E2*0.5+低情景!E2*0.5</f>
        <v>39.020000000000003</v>
      </c>
      <c r="F2" s="46">
        <f>高情景!F2*0.5+低情景!F2*0.5</f>
        <v>41.26</v>
      </c>
      <c r="G2" s="46">
        <f>高情景!G2*0.5+低情景!G2*0.5</f>
        <v>45.59</v>
      </c>
      <c r="H2" s="46">
        <f>高情景!H2*0.5+低情景!H2*0.5</f>
        <v>46.476666666666674</v>
      </c>
      <c r="I2" s="46">
        <f>高情景!I2*0.45+低情景!I2*0.55</f>
        <v>47.346666666666671</v>
      </c>
      <c r="J2" s="46">
        <f>高情景!J2*0.37+低情景!J2*0.63</f>
        <v>48.185000000000002</v>
      </c>
      <c r="K2" s="46">
        <f>高情景!K2*0.7+低情景!K2*0.3</f>
        <v>48.58</v>
      </c>
      <c r="L2" s="46">
        <f>高情景!L2*0.8+低情景!L2*0.2</f>
        <v>49.040000000000006</v>
      </c>
      <c r="M2" s="46">
        <f>高情景!M2*0.65+低情景!M2*0.35</f>
        <v>48.879999999999995</v>
      </c>
      <c r="N2" s="46">
        <f>高情景!N2*0.55+低情景!N2*0.45</f>
        <v>48.655000000000001</v>
      </c>
      <c r="O2" s="46">
        <f>高情景!O2*0.5+低情景!O2*0.5</f>
        <v>48.5</v>
      </c>
      <c r="P2" s="46">
        <f>(高情景!P2+低情景!P2)/2</f>
        <v>48.3</v>
      </c>
      <c r="Q2" s="46">
        <f>(高情景!Q2+低情景!Q2)/2</f>
        <v>48.1</v>
      </c>
      <c r="R2" s="46">
        <f>(高情景!R2+低情景!R2)/2</f>
        <v>47.900000000000006</v>
      </c>
      <c r="S2" s="46">
        <f>(高情景!S2+低情景!S2)/2</f>
        <v>47.7</v>
      </c>
      <c r="T2" s="46">
        <f>(高情景!T2+低情景!T2)/2</f>
        <v>47.5</v>
      </c>
      <c r="U2" s="46">
        <f>(高情景!U2+低情景!U2)/2</f>
        <v>47</v>
      </c>
      <c r="V2" s="46">
        <f>(高情景!V2+低情景!V2)/2</f>
        <v>46.5</v>
      </c>
      <c r="W2" s="46">
        <f>(高情景!W2+低情景!W2)/2</f>
        <v>46</v>
      </c>
      <c r="X2" s="46">
        <f>(高情景!X2+低情景!X2)/2</f>
        <v>45.5</v>
      </c>
      <c r="Y2" s="46">
        <f>(高情景!Y2+低情景!Y2)/2</f>
        <v>45</v>
      </c>
      <c r="Z2" s="46">
        <f>(高情景!Z2+低情景!Z2)/2</f>
        <v>44.2</v>
      </c>
      <c r="AA2" s="46">
        <f>(高情景!AA2+低情景!AA2)/2</f>
        <v>43.4</v>
      </c>
      <c r="AB2" s="46">
        <f>(高情景!AB2+低情景!AB2)/2</f>
        <v>42.599999999999994</v>
      </c>
      <c r="AC2" s="46">
        <f>(高情景!AC2+低情景!AC2)/2</f>
        <v>41.8</v>
      </c>
      <c r="AD2" s="46">
        <f>(高情景!AD2+低情景!AD2)/2</f>
        <v>41</v>
      </c>
      <c r="AE2" s="46">
        <f>(高情景!AE2+低情景!AE2)/2</f>
        <v>40.25</v>
      </c>
      <c r="AF2" s="46">
        <f>(高情景!AF2+低情景!AF2)/2</f>
        <v>39.5</v>
      </c>
      <c r="AG2" s="46">
        <f>(高情景!AG2+低情景!AG2)/2</f>
        <v>38.75</v>
      </c>
      <c r="AH2" s="46">
        <f>(高情景!AH2+低情景!AH2)/2</f>
        <v>38</v>
      </c>
      <c r="AI2" s="46">
        <f>(高情景!AI2+低情景!AI2)/2</f>
        <v>37.25</v>
      </c>
      <c r="AJ2" s="46">
        <f>(高情景!AJ2+低情景!AJ2)/2</f>
        <v>36.549999999999997</v>
      </c>
      <c r="AK2" s="46">
        <f>(高情景!AK2+低情景!AK2)/2</f>
        <v>35.85</v>
      </c>
      <c r="AL2" s="46">
        <f>(高情景!AL2+低情景!AL2)/2</f>
        <v>35.150000000000006</v>
      </c>
      <c r="AM2" s="46">
        <f>(高情景!AM2+低情景!AM2)/2</f>
        <v>34.450000000000003</v>
      </c>
      <c r="AN2" s="46">
        <f>(高情景!AN2+低情景!AN2)/2</f>
        <v>33.75</v>
      </c>
      <c r="AO2" s="46">
        <f>(高情景!AO2+低情景!AO2)/2</f>
        <v>32.9</v>
      </c>
      <c r="AP2" s="46">
        <f>(高情景!AP2+低情景!AP2)/2</f>
        <v>32.049999999999997</v>
      </c>
      <c r="AQ2" s="46">
        <f>(高情景!AQ2+低情景!AQ2)/2</f>
        <v>31.200000000000003</v>
      </c>
      <c r="AR2" s="46">
        <f>(高情景!AR2+低情景!AR2)/2</f>
        <v>30.35</v>
      </c>
      <c r="AS2" s="47">
        <f>(高情景!AS2+低情景!AS2)/2</f>
        <v>29.5</v>
      </c>
    </row>
    <row r="3" spans="1:45" x14ac:dyDescent="0.15">
      <c r="A3" s="17" t="s">
        <v>8</v>
      </c>
      <c r="B3" s="8" t="s">
        <v>9</v>
      </c>
      <c r="C3" s="9" t="s">
        <v>6</v>
      </c>
      <c r="D3" s="8" t="s">
        <v>10</v>
      </c>
      <c r="E3" s="48">
        <f>高情景!E3*0.5+低情景!E3*0.5</f>
        <v>1.9477</v>
      </c>
      <c r="F3" s="49">
        <f>高情景!F3*0.5+低情景!F3*0.5</f>
        <v>1.9887999999999999</v>
      </c>
      <c r="G3" s="49">
        <f>高情景!G3*0.5+低情景!G3*0.5</f>
        <v>2.0472000000000001</v>
      </c>
      <c r="H3" s="49">
        <f>高情景!H3*0.5+低情景!H3*0.5</f>
        <v>2.0898000000000003</v>
      </c>
      <c r="I3" s="49">
        <f>高情景!I3*0.45+低情景!I3*0.55</f>
        <v>2.1327333333333334</v>
      </c>
      <c r="J3" s="49">
        <f>高情景!J3*0.37+低情景!J3*0.63</f>
        <v>2.1763000000000003</v>
      </c>
      <c r="K3" s="49">
        <f>高情景!K3*0.7+低情景!K3*0.3</f>
        <v>2.1832000000000003</v>
      </c>
      <c r="L3" s="49">
        <f>高情景!L3*0.8+低情景!L3*0.2</f>
        <v>2.1896000000000004</v>
      </c>
      <c r="M3" s="49">
        <f>高情景!M3*0.65+低情景!M3*0.35</f>
        <v>2.2062000000000004</v>
      </c>
      <c r="N3" s="49">
        <f>高情景!N3*0.55+低情景!N3*0.45</f>
        <v>2.2237000000000009</v>
      </c>
      <c r="O3" s="49">
        <f>高情景!O3*0.5+低情景!O3*0.5</f>
        <v>2.2400000000000002</v>
      </c>
      <c r="P3" s="49">
        <f>(高情景!P3+低情景!P3)/2</f>
        <v>2.2519999999999998</v>
      </c>
      <c r="Q3" s="49">
        <f>(高情景!Q3+低情景!Q3)/2</f>
        <v>2.2640000000000002</v>
      </c>
      <c r="R3" s="49">
        <f>(高情景!R3+低情景!R3)/2</f>
        <v>2.2759999999999998</v>
      </c>
      <c r="S3" s="49">
        <f>(高情景!S3+低情景!S3)/2</f>
        <v>2.2880000000000003</v>
      </c>
      <c r="T3" s="49">
        <f>(高情景!T3+低情景!T3)/2</f>
        <v>2.2999999999999998</v>
      </c>
      <c r="U3" s="49">
        <f>(高情景!U3+低情景!U3)/2</f>
        <v>2.306</v>
      </c>
      <c r="V3" s="49">
        <f>(高情景!V3+低情景!V3)/2</f>
        <v>2.3119999999999998</v>
      </c>
      <c r="W3" s="49">
        <f>(高情景!W3+低情景!W3)/2</f>
        <v>2.3179999999999996</v>
      </c>
      <c r="X3" s="49">
        <f>(高情景!X3+低情景!X3)/2</f>
        <v>2.3239999999999998</v>
      </c>
      <c r="Y3" s="49">
        <f>(高情景!Y3+低情景!Y3)/2</f>
        <v>2.33</v>
      </c>
      <c r="Z3" s="49">
        <f>(高情景!Z3+低情景!Z3)/2</f>
        <v>2.3119999999999998</v>
      </c>
      <c r="AA3" s="49">
        <f>(高情景!AA3+低情景!AA3)/2</f>
        <v>2.2939999999999996</v>
      </c>
      <c r="AB3" s="49">
        <f>(高情景!AB3+低情景!AB3)/2</f>
        <v>2.2759999999999998</v>
      </c>
      <c r="AC3" s="49">
        <f>(高情景!AC3+低情景!AC3)/2</f>
        <v>2.258</v>
      </c>
      <c r="AD3" s="49">
        <f>(高情景!AD3+低情景!AD3)/2</f>
        <v>2.2400000000000002</v>
      </c>
      <c r="AE3" s="49">
        <f>(高情景!AE3+低情景!AE3)/2</f>
        <v>2.2119999999999997</v>
      </c>
      <c r="AF3" s="49">
        <f>(高情景!AF3+低情景!AF3)/2</f>
        <v>2.1840000000000002</v>
      </c>
      <c r="AG3" s="49">
        <f>(高情景!AG3+低情景!AG3)/2</f>
        <v>2.1559999999999997</v>
      </c>
      <c r="AH3" s="49">
        <f>(高情景!AH3+低情景!AH3)/2</f>
        <v>2.1280000000000001</v>
      </c>
      <c r="AI3" s="49">
        <f>(高情景!AI3+低情景!AI3)/2</f>
        <v>2.1</v>
      </c>
      <c r="AJ3" s="49">
        <f>(高情景!AJ3+低情景!AJ3)/2</f>
        <v>2.0600000000000005</v>
      </c>
      <c r="AK3" s="49">
        <f>(高情景!AK3+低情景!AK3)/2</f>
        <v>2.0200000000000005</v>
      </c>
      <c r="AL3" s="49">
        <f>(高情景!AL3+低情景!AL3)/2</f>
        <v>1.98</v>
      </c>
      <c r="AM3" s="49">
        <f>(高情景!AM3+低情景!AM3)/2</f>
        <v>1.94</v>
      </c>
      <c r="AN3" s="49">
        <f>(高情景!AN3+低情景!AN3)/2</f>
        <v>1.9</v>
      </c>
      <c r="AO3" s="49">
        <f>(高情景!AO3+低情景!AO3)/2</f>
        <v>1.8740000000000001</v>
      </c>
      <c r="AP3" s="49">
        <f>(高情景!AP3+低情景!AP3)/2</f>
        <v>1.8479999999999999</v>
      </c>
      <c r="AQ3" s="49">
        <f>(高情景!AQ3+低情景!AQ3)/2</f>
        <v>1.8220000000000001</v>
      </c>
      <c r="AR3" s="49">
        <f>(高情景!AR3+低情景!AR3)/2</f>
        <v>1.7959999999999998</v>
      </c>
      <c r="AS3" s="50">
        <f>(高情景!AS3+低情景!AS3)/2</f>
        <v>1.77</v>
      </c>
    </row>
    <row r="4" spans="1:45" x14ac:dyDescent="0.15">
      <c r="A4" s="17" t="s">
        <v>8</v>
      </c>
      <c r="B4" s="8" t="s">
        <v>11</v>
      </c>
      <c r="C4" s="9" t="s">
        <v>12</v>
      </c>
      <c r="D4" s="8" t="s">
        <v>10</v>
      </c>
      <c r="E4" s="48">
        <f>高情景!E4*0.5+低情景!E4*0.5</f>
        <v>1924.95</v>
      </c>
      <c r="F4" s="49">
        <f>高情景!F4*0.5+低情景!F4*0.5</f>
        <v>2075.84</v>
      </c>
      <c r="G4" s="49">
        <f>高情景!G4*0.5+低情景!G4*0.5</f>
        <v>2201.1</v>
      </c>
      <c r="H4" s="49">
        <f>高情景!H4*0.5+低情景!H4*0.5</f>
        <v>2307.9</v>
      </c>
      <c r="I4" s="49">
        <f>高情景!I4*0.45+低情景!I4*0.55</f>
        <v>2416.6000000000004</v>
      </c>
      <c r="J4" s="49">
        <f>高情景!J4*0.37+低情景!J4*0.63</f>
        <v>2528.91</v>
      </c>
      <c r="K4" s="49">
        <f>高情景!K4*0.7+低情景!K4*0.3</f>
        <v>2574.08</v>
      </c>
      <c r="L4" s="49">
        <f>高情景!L4*0.8+低情景!L4*0.2</f>
        <v>2630.6400000000003</v>
      </c>
      <c r="M4" s="49">
        <f>高情景!M4*0.65+低情景!M4*0.35</f>
        <v>2706.1800000000003</v>
      </c>
      <c r="N4" s="49">
        <f>高情景!N4*0.55+低情景!N4*0.45</f>
        <v>2779.7300000000005</v>
      </c>
      <c r="O4" s="49">
        <f>高情景!O4*0.5+低情景!O4*0.5</f>
        <v>2850</v>
      </c>
      <c r="P4" s="49">
        <f>(高情景!P4+低情景!P4)/2</f>
        <v>2895</v>
      </c>
      <c r="Q4" s="49">
        <f>(高情景!Q4+低情景!Q4)/2</f>
        <v>2940</v>
      </c>
      <c r="R4" s="49">
        <f>(高情景!R4+低情景!R4)/2</f>
        <v>2985</v>
      </c>
      <c r="S4" s="49">
        <f>(高情景!S4+低情景!S4)/2</f>
        <v>3030</v>
      </c>
      <c r="T4" s="49">
        <f>(高情景!T4+低情景!T4)/2</f>
        <v>3075</v>
      </c>
      <c r="U4" s="49">
        <f>(高情景!U4+低情景!U4)/2</f>
        <v>3108</v>
      </c>
      <c r="V4" s="49">
        <f>(高情景!V4+低情景!V4)/2</f>
        <v>3141</v>
      </c>
      <c r="W4" s="49">
        <f>(高情景!W4+低情景!W4)/2</f>
        <v>3174</v>
      </c>
      <c r="X4" s="49">
        <f>(高情景!X4+低情景!X4)/2</f>
        <v>3207</v>
      </c>
      <c r="Y4" s="49">
        <f>(高情景!Y4+低情景!Y4)/2</f>
        <v>3240</v>
      </c>
      <c r="Z4" s="49">
        <f>(高情景!Z4+低情景!Z4)/2</f>
        <v>3261</v>
      </c>
      <c r="AA4" s="49">
        <f>(高情景!AA4+低情景!AA4)/2</f>
        <v>3282</v>
      </c>
      <c r="AB4" s="49">
        <f>(高情景!AB4+低情景!AB4)/2</f>
        <v>3303</v>
      </c>
      <c r="AC4" s="49">
        <f>(高情景!AC4+低情景!AC4)/2</f>
        <v>3324</v>
      </c>
      <c r="AD4" s="49">
        <f>(高情景!AD4+低情景!AD4)/2</f>
        <v>3345</v>
      </c>
      <c r="AE4" s="49">
        <f>(高情景!AE4+低情景!AE4)/2</f>
        <v>3363</v>
      </c>
      <c r="AF4" s="49">
        <f>(高情景!AF4+低情景!AF4)/2</f>
        <v>3381</v>
      </c>
      <c r="AG4" s="49">
        <f>(高情景!AG4+低情景!AG4)/2</f>
        <v>3399</v>
      </c>
      <c r="AH4" s="49">
        <f>(高情景!AH4+低情景!AH4)/2</f>
        <v>3417</v>
      </c>
      <c r="AI4" s="49">
        <f>(高情景!AI4+低情景!AI4)/2</f>
        <v>3435</v>
      </c>
      <c r="AJ4" s="49">
        <f>(高情景!AJ4+低情景!AJ4)/2</f>
        <v>3452</v>
      </c>
      <c r="AK4" s="49">
        <f>(高情景!AK4+低情景!AK4)/2</f>
        <v>3469</v>
      </c>
      <c r="AL4" s="49">
        <f>(高情景!AL4+低情景!AL4)/2</f>
        <v>3486</v>
      </c>
      <c r="AM4" s="49">
        <f>(高情景!AM4+低情景!AM4)/2</f>
        <v>3503</v>
      </c>
      <c r="AN4" s="49">
        <f>(高情景!AN4+低情景!AN4)/2</f>
        <v>3520</v>
      </c>
      <c r="AO4" s="49">
        <f>(高情景!AO4+低情景!AO4)/2</f>
        <v>3527</v>
      </c>
      <c r="AP4" s="49">
        <f>(高情景!AP4+低情景!AP4)/2</f>
        <v>3534</v>
      </c>
      <c r="AQ4" s="49">
        <f>(高情景!AQ4+低情景!AQ4)/2</f>
        <v>3541</v>
      </c>
      <c r="AR4" s="49">
        <f>(高情景!AR4+低情景!AR4)/2</f>
        <v>3548</v>
      </c>
      <c r="AS4" s="50">
        <f>(高情景!AS4+低情景!AS4)/2</f>
        <v>3555</v>
      </c>
    </row>
    <row r="5" spans="1:45" x14ac:dyDescent="0.15">
      <c r="A5" s="18" t="s">
        <v>13</v>
      </c>
      <c r="B5" s="8" t="s">
        <v>14</v>
      </c>
      <c r="C5" s="9" t="s">
        <v>6</v>
      </c>
      <c r="D5" s="8" t="s">
        <v>15</v>
      </c>
      <c r="E5" s="48">
        <f>高情景!E5*0.5+低情景!E5*0.5</f>
        <v>8.6671999999999993</v>
      </c>
      <c r="F5" s="49">
        <f>高情景!F5*0.5+低情景!F5*0.5</f>
        <v>9.8053000000000008</v>
      </c>
      <c r="G5" s="49">
        <f>高情景!G5*0.5+低情景!G5*0.5</f>
        <v>9.6786999999999992</v>
      </c>
      <c r="H5" s="49">
        <f>高情景!H5*0.5+低情景!H5*0.5</f>
        <v>9.813655796647998</v>
      </c>
      <c r="I5" s="49">
        <f>高情景!I5*0.45+低情景!I5*0.55</f>
        <v>9.8187981696659694</v>
      </c>
      <c r="J5" s="49">
        <f>高情景!J5*0.37+低情景!J5*0.63</f>
        <v>10.279041267870316</v>
      </c>
      <c r="K5" s="49">
        <f>高情景!K5*0.7+低情景!K5*0.3</f>
        <v>10.506281196001016</v>
      </c>
      <c r="L5" s="49">
        <f>高情景!L5*0.8+低情景!L5*0.2</f>
        <v>10.66791629132411</v>
      </c>
      <c r="M5" s="49">
        <f>高情景!M5*0.65+低情景!M5*0.35</f>
        <v>10.758241785769368</v>
      </c>
      <c r="N5" s="49">
        <f>高情景!N5*0.55+低情景!N5*0.45</f>
        <v>10.862829200390191</v>
      </c>
      <c r="O5" s="49">
        <f>高情景!O5*0.5+低情景!O5*0.5</f>
        <v>10.981678535186582</v>
      </c>
      <c r="P5" s="49">
        <f>(高情景!P5+低情景!P5)/2</f>
        <v>10.934138801268027</v>
      </c>
      <c r="Q5" s="49">
        <f>(高情景!Q5+低情景!Q5)/2</f>
        <v>10.886599067349469</v>
      </c>
      <c r="R5" s="49">
        <f>(高情景!R5+低情景!R5)/2</f>
        <v>10.839059333430914</v>
      </c>
      <c r="S5" s="49">
        <f>(高情景!S5+低情景!S5)/2</f>
        <v>10.791519599512355</v>
      </c>
      <c r="T5" s="49">
        <f>(高情景!T5+低情景!T5)/2</f>
        <v>10.743979865593801</v>
      </c>
      <c r="U5" s="49">
        <f>(高情景!U5+低情景!U5)/2</f>
        <v>10.563328876703284</v>
      </c>
      <c r="V5" s="49">
        <f>(高情景!V5+低情景!V5)/2</f>
        <v>10.382677887812768</v>
      </c>
      <c r="W5" s="49">
        <f>(高情景!W5+低情景!W5)/2</f>
        <v>10.202026898922254</v>
      </c>
      <c r="X5" s="49">
        <f>(高情景!X5+低情景!X5)/2</f>
        <v>10.02137591003174</v>
      </c>
      <c r="Y5" s="49">
        <f>(高情景!Y5+低情景!Y5)/2</f>
        <v>9.8407249211412235</v>
      </c>
      <c r="Z5" s="49">
        <f>(高情景!Z5+低情景!Z5)/2</f>
        <v>9.6125341983321508</v>
      </c>
      <c r="AA5" s="49">
        <f>(高情景!AA5+低情景!AA5)/2</f>
        <v>9.3843434755230781</v>
      </c>
      <c r="AB5" s="49">
        <f>(高情景!AB5+低情景!AB5)/2</f>
        <v>9.1561527527140054</v>
      </c>
      <c r="AC5" s="49">
        <f>(高情景!AC5+低情景!AC5)/2</f>
        <v>8.9279620299049327</v>
      </c>
      <c r="AD5" s="49">
        <f>(高情景!AD5+低情景!AD5)/2</f>
        <v>8.6997713070958635</v>
      </c>
      <c r="AE5" s="49">
        <f>(高情景!AE5+低情景!AE5)/2</f>
        <v>8.5096123714216372</v>
      </c>
      <c r="AF5" s="49">
        <f>(高情景!AF5+低情景!AF5)/2</f>
        <v>8.3194534357474108</v>
      </c>
      <c r="AG5" s="49">
        <f>(高情景!AG5+低情景!AG5)/2</f>
        <v>8.1292945000731844</v>
      </c>
      <c r="AH5" s="49">
        <f>(高情景!AH5+低情景!AH5)/2</f>
        <v>7.9391355643989581</v>
      </c>
      <c r="AI5" s="49">
        <f>(高情景!AI5+低情景!AI5)/2</f>
        <v>7.7489766287247308</v>
      </c>
      <c r="AJ5" s="49">
        <f>(高情景!AJ5+低情景!AJ5)/2</f>
        <v>7.5398017994830813</v>
      </c>
      <c r="AK5" s="49">
        <f>(高情景!AK5+低情景!AK5)/2</f>
        <v>7.3306269702414317</v>
      </c>
      <c r="AL5" s="49">
        <f>(高情景!AL5+低情景!AL5)/2</f>
        <v>7.1214521409997822</v>
      </c>
      <c r="AM5" s="49">
        <f>(高情景!AM5+低情景!AM5)/2</f>
        <v>6.9122773117581326</v>
      </c>
      <c r="AN5" s="49">
        <f>(高情景!AN5+低情景!AN5)/2</f>
        <v>6.7031024825164849</v>
      </c>
      <c r="AO5" s="49">
        <f>(高情景!AO5+低情景!AO5)/2</f>
        <v>6.5604832807608151</v>
      </c>
      <c r="AP5" s="49">
        <f>(高情景!AP5+低情景!AP5)/2</f>
        <v>6.4178640790051444</v>
      </c>
      <c r="AQ5" s="49">
        <f>(高情景!AQ5+低情景!AQ5)/2</f>
        <v>6.2752448772494738</v>
      </c>
      <c r="AR5" s="49">
        <f>(高情景!AR5+低情景!AR5)/2</f>
        <v>6.132625675493804</v>
      </c>
      <c r="AS5" s="50">
        <f>(高情景!AS5+低情景!AS5)/2</f>
        <v>5.9900064737381351</v>
      </c>
    </row>
    <row r="6" spans="1:45" x14ac:dyDescent="0.15">
      <c r="A6" s="17" t="s">
        <v>16</v>
      </c>
      <c r="B6" s="39" t="s">
        <v>17</v>
      </c>
      <c r="C6" s="9" t="s">
        <v>18</v>
      </c>
      <c r="D6" s="8" t="s">
        <v>52</v>
      </c>
      <c r="E6" s="48">
        <f>高情景!E6*0.5+低情景!E6*0.5</f>
        <v>172</v>
      </c>
      <c r="F6" s="49">
        <f>高情景!F6*0.5+低情景!F6*0.5</f>
        <v>191</v>
      </c>
      <c r="G6" s="49">
        <f>高情景!G6*0.5+低情景!G6*0.5</f>
        <v>194</v>
      </c>
      <c r="H6" s="49">
        <f>高情景!H6*0.5+低情景!H6*0.5</f>
        <v>219.50933697995856</v>
      </c>
      <c r="I6" s="49">
        <f>高情景!I6*0.45+低情景!I6*0.55</f>
        <v>245.01867395991712</v>
      </c>
      <c r="J6" s="49">
        <f>高情景!J6*0.37+低情景!J6*0.63</f>
        <v>270.52801093987568</v>
      </c>
      <c r="K6" s="49">
        <f>高情景!K6*0.7+低情景!K6*0.3</f>
        <v>283.05956654341315</v>
      </c>
      <c r="L6" s="49">
        <f>高情景!L6*0.8+低情景!L6*0.2</f>
        <v>295.38168110622303</v>
      </c>
      <c r="M6" s="49">
        <f>高情景!M6*0.65+低情景!M6*0.35</f>
        <v>308.27975853103385</v>
      </c>
      <c r="N6" s="49">
        <f>高情景!N6*0.55+低情景!N6*0.45</f>
        <v>321.28255647620858</v>
      </c>
      <c r="O6" s="49">
        <f>高情景!O6*0.5+低情景!O6*0.5</f>
        <v>334.23299416120119</v>
      </c>
      <c r="P6" s="49">
        <f>(高情景!P6+低情景!P6)/2</f>
        <v>341.38889638606247</v>
      </c>
      <c r="Q6" s="49">
        <f>(高情景!Q6+低情景!Q6)/2</f>
        <v>348.54479861092375</v>
      </c>
      <c r="R6" s="49">
        <f>(高情景!R6+低情景!R6)/2</f>
        <v>355.70070083578497</v>
      </c>
      <c r="S6" s="49">
        <f>(高情景!S6+低情景!S6)/2</f>
        <v>362.85660306064619</v>
      </c>
      <c r="T6" s="49">
        <f>(高情景!T6+低情景!T6)/2</f>
        <v>370.01250528550736</v>
      </c>
      <c r="U6" s="49">
        <f>(高情景!U6+低情景!U6)/2</f>
        <v>374.20132610006033</v>
      </c>
      <c r="V6" s="49">
        <f>(高情景!V6+低情景!V6)/2</f>
        <v>378.39014691461318</v>
      </c>
      <c r="W6" s="49">
        <f>(高情景!W6+低情景!W6)/2</f>
        <v>382.57896772916615</v>
      </c>
      <c r="X6" s="49">
        <f>(高情景!X6+低情景!X6)/2</f>
        <v>386.76778854371901</v>
      </c>
      <c r="Y6" s="49">
        <f>(高情景!Y6+低情景!Y6)/2</f>
        <v>390.95660935827198</v>
      </c>
      <c r="Z6" s="49">
        <f>(高情景!Z6+低情景!Z6)/2</f>
        <v>392.35288296312291</v>
      </c>
      <c r="AA6" s="49">
        <f>(高情景!AA6+低情景!AA6)/2</f>
        <v>393.74915656797384</v>
      </c>
      <c r="AB6" s="49">
        <f>(高情景!AB6+低情景!AB6)/2</f>
        <v>395.14543017282483</v>
      </c>
      <c r="AC6" s="49">
        <f>(高情景!AC6+低情景!AC6)/2</f>
        <v>396.54170377767582</v>
      </c>
      <c r="AD6" s="49">
        <f>(高情景!AD6+低情景!AD6)/2</f>
        <v>397.93797738252681</v>
      </c>
      <c r="AE6" s="49">
        <f>(高情景!AE6+低情景!AE6)/2</f>
        <v>399.50878518798413</v>
      </c>
      <c r="AF6" s="49">
        <f>(高情景!AF6+低情景!AF6)/2</f>
        <v>401.07959299344145</v>
      </c>
      <c r="AG6" s="49">
        <f>(高情景!AG6+低情景!AG6)/2</f>
        <v>402.65040079889883</v>
      </c>
      <c r="AH6" s="49">
        <f>(高情景!AH6+低情景!AH6)/2</f>
        <v>404.22120860435621</v>
      </c>
      <c r="AI6" s="49">
        <f>(高情景!AI6+低情景!AI6)/2</f>
        <v>405.79201640981353</v>
      </c>
      <c r="AJ6" s="49">
        <f>(高情景!AJ6+低情景!AJ6)/2</f>
        <v>407.53735841587718</v>
      </c>
      <c r="AK6" s="49">
        <f>(高情景!AK6+低情景!AK6)/2</f>
        <v>409.28270042194094</v>
      </c>
      <c r="AL6" s="49">
        <f>(高情景!AL6+低情景!AL6)/2</f>
        <v>411.0280424280046</v>
      </c>
      <c r="AM6" s="49">
        <f>(高情景!AM6+低情景!AM6)/2</f>
        <v>412.77338443406836</v>
      </c>
      <c r="AN6" s="49">
        <f>(高情景!AN6+低情景!AN6)/2</f>
        <v>414.51872644013207</v>
      </c>
      <c r="AO6" s="49">
        <f>(高情景!AO6+低情景!AO6)/2</f>
        <v>416.08953424558945</v>
      </c>
      <c r="AP6" s="49">
        <f>(高情景!AP6+低情景!AP6)/2</f>
        <v>417.66034205104677</v>
      </c>
      <c r="AQ6" s="49">
        <f>(高情景!AQ6+低情景!AQ6)/2</f>
        <v>419.23114985650409</v>
      </c>
      <c r="AR6" s="49">
        <f>(高情景!AR6+低情景!AR6)/2</f>
        <v>420.80195766196147</v>
      </c>
      <c r="AS6" s="50">
        <f>(高情景!AS6+低情景!AS6)/2</f>
        <v>422.37276546741879</v>
      </c>
    </row>
    <row r="7" spans="1:45" x14ac:dyDescent="0.15">
      <c r="A7" s="17" t="s">
        <v>16</v>
      </c>
      <c r="B7" s="8" t="s">
        <v>20</v>
      </c>
      <c r="C7" s="9" t="s">
        <v>18</v>
      </c>
      <c r="D7" s="8" t="s">
        <v>51</v>
      </c>
      <c r="E7" s="48">
        <f>高情景!E7*0.5+低情景!E7*0.5</f>
        <v>9269</v>
      </c>
      <c r="F7" s="49">
        <f>高情景!F7*0.5+低情景!F7*0.5</f>
        <v>8500</v>
      </c>
      <c r="G7" s="49">
        <f>高情景!G7*0.5+低情景!G7*0.5</f>
        <v>9000</v>
      </c>
      <c r="H7" s="49">
        <f>高情景!H7*0.5+低情景!H7*0.5</f>
        <v>9344.1858495477572</v>
      </c>
      <c r="I7" s="49">
        <f>高情景!I7*0.45+低情景!I7*0.55</f>
        <v>9684.6351785932256</v>
      </c>
      <c r="J7" s="49">
        <f>高情景!J7*0.37+低情景!J7*0.63</f>
        <v>10017.985118684346</v>
      </c>
      <c r="K7" s="49">
        <f>高情景!K7*0.7+低情景!K7*0.3</f>
        <v>10209.220237991445</v>
      </c>
      <c r="L7" s="49">
        <f>高情景!L7*0.8+低情景!L7*0.2</f>
        <v>10376.466895673855</v>
      </c>
      <c r="M7" s="49">
        <f>高情景!M7*0.65+低情景!M7*0.35</f>
        <v>10510.757442526086</v>
      </c>
      <c r="N7" s="49">
        <f>高情景!N7*0.55+低情景!N7*0.45</f>
        <v>10649.756005211198</v>
      </c>
      <c r="O7" s="49">
        <f>高情景!O7*0.5+低情景!O7*0.5</f>
        <v>10794.807731110021</v>
      </c>
      <c r="P7" s="49">
        <f>(高情景!P7+低情景!P7)/2</f>
        <v>10866.548924753948</v>
      </c>
      <c r="Q7" s="49">
        <f>(高情景!Q7+低情景!Q7)/2</f>
        <v>10938.290118397879</v>
      </c>
      <c r="R7" s="49">
        <f>(高情景!R7+低情景!R7)/2</f>
        <v>11010.031312041807</v>
      </c>
      <c r="S7" s="49">
        <f>(高情景!S7+低情景!S7)/2</f>
        <v>11081.772505685738</v>
      </c>
      <c r="T7" s="49">
        <f>(高情景!T7+低情景!T7)/2</f>
        <v>11153.513699329669</v>
      </c>
      <c r="U7" s="49">
        <f>(高情景!U7+低情景!U7)/2</f>
        <v>11108.675453302214</v>
      </c>
      <c r="V7" s="49">
        <f>(高情景!V7+低情景!V7)/2</f>
        <v>11063.837207274759</v>
      </c>
      <c r="W7" s="49">
        <f>(高情景!W7+低情景!W7)/2</f>
        <v>11018.998961247304</v>
      </c>
      <c r="X7" s="49">
        <f>(高情景!X7+低情景!X7)/2</f>
        <v>10974.160715219848</v>
      </c>
      <c r="Y7" s="49">
        <f>(高情景!Y7+低情景!Y7)/2</f>
        <v>10929.32246919239</v>
      </c>
      <c r="Z7" s="49">
        <f>(高情景!Z7+低情景!Z7)/2</f>
        <v>10839.645977137476</v>
      </c>
      <c r="AA7" s="49">
        <f>(高情景!AA7+低情景!AA7)/2</f>
        <v>10749.969485082565</v>
      </c>
      <c r="AB7" s="49">
        <f>(高情景!AB7+低情景!AB7)/2</f>
        <v>10660.292993027651</v>
      </c>
      <c r="AC7" s="49">
        <f>(高情景!AC7+低情景!AC7)/2</f>
        <v>10570.616500972741</v>
      </c>
      <c r="AD7" s="49">
        <f>(高情景!AD7+低情景!AD7)/2</f>
        <v>10480.940008917831</v>
      </c>
      <c r="AE7" s="49">
        <f>(高情景!AE7+低情景!AE7)/2</f>
        <v>10335.215709328599</v>
      </c>
      <c r="AF7" s="49">
        <f>(高情景!AF7+低情景!AF7)/2</f>
        <v>10189.491409739367</v>
      </c>
      <c r="AG7" s="49">
        <f>(高情景!AG7+低情景!AG7)/2</f>
        <v>10043.767110150136</v>
      </c>
      <c r="AH7" s="49">
        <f>(高情景!AH7+低情景!AH7)/2</f>
        <v>9898.0428105609062</v>
      </c>
      <c r="AI7" s="49">
        <f>(高情景!AI7+低情景!AI7)/2</f>
        <v>9752.3185109716724</v>
      </c>
      <c r="AJ7" s="49">
        <f>(高情景!AJ7+低情景!AJ7)/2</f>
        <v>9606.5942113824385</v>
      </c>
      <c r="AK7" s="49">
        <f>(高情景!AK7+低情景!AK7)/2</f>
        <v>9460.8699117932083</v>
      </c>
      <c r="AL7" s="49">
        <f>(高情景!AL7+低情景!AL7)/2</f>
        <v>9315.1456122039745</v>
      </c>
      <c r="AM7" s="49">
        <f>(高情景!AM7+低情景!AM7)/2</f>
        <v>9169.4213126147442</v>
      </c>
      <c r="AN7" s="49">
        <f>(高情景!AN7+低情景!AN7)/2</f>
        <v>9023.6970130255122</v>
      </c>
      <c r="AO7" s="49">
        <f>(高情景!AO7+低情景!AO7)/2</f>
        <v>8877.9727134362802</v>
      </c>
      <c r="AP7" s="49">
        <f>(高情景!AP7+低情景!AP7)/2</f>
        <v>8732.2484138470481</v>
      </c>
      <c r="AQ7" s="49">
        <f>(高情景!AQ7+低情景!AQ7)/2</f>
        <v>8586.5241142578161</v>
      </c>
      <c r="AR7" s="49">
        <f>(高情景!AR7+低情景!AR7)/2</f>
        <v>8440.7998146685841</v>
      </c>
      <c r="AS7" s="50">
        <f>(高情景!AS7+低情景!AS7)/2</f>
        <v>8295.075515079352</v>
      </c>
    </row>
    <row r="8" spans="1:45" x14ac:dyDescent="0.15">
      <c r="A8" s="18" t="s">
        <v>21</v>
      </c>
      <c r="B8" s="8" t="s">
        <v>22</v>
      </c>
      <c r="C8" s="9" t="s">
        <v>6</v>
      </c>
      <c r="D8" s="44" t="s">
        <v>23</v>
      </c>
      <c r="E8" s="48">
        <f>高情景!E8*0.5+低情景!E8*0.5</f>
        <v>31.55</v>
      </c>
      <c r="F8" s="49">
        <f>高情景!F8*0.5+低情景!F8*0.5</f>
        <v>31.4</v>
      </c>
      <c r="G8" s="49">
        <f>高情景!G8*0.5+低情景!G8*0.5</f>
        <v>28.79</v>
      </c>
      <c r="H8" s="49">
        <f>高情景!H8*0.5+低情景!H8*0.5</f>
        <v>28.756492576984087</v>
      </c>
      <c r="I8" s="49">
        <f>高情景!I8*0.45+低情景!I8*0.55</f>
        <v>28.703300931745829</v>
      </c>
      <c r="J8" s="49">
        <f>高情景!J8*0.37+低情景!J8*0.63</f>
        <v>28.612709264285108</v>
      </c>
      <c r="K8" s="49">
        <f>高情景!K8*0.7+低情景!K8*0.3</f>
        <v>28.550121017893751</v>
      </c>
      <c r="L8" s="49">
        <f>高情景!L8*0.8+低情景!L8*0.2</f>
        <v>28.347687905070615</v>
      </c>
      <c r="M8" s="49">
        <f>高情景!M8*0.65+低情景!M8*0.35</f>
        <v>28.008688391598255</v>
      </c>
      <c r="N8" s="49">
        <f>高情景!N8*0.55+低情景!N8*0.45</f>
        <v>27.701227078008223</v>
      </c>
      <c r="O8" s="49">
        <f>高情景!O8*0.5+低情景!O8*0.5</f>
        <v>27.422286164477313</v>
      </c>
      <c r="P8" s="49">
        <f>(高情景!P8+低情景!P8)/2</f>
        <v>27.048889221772352</v>
      </c>
      <c r="Q8" s="49">
        <f>(高情景!Q8+低情景!Q8)/2</f>
        <v>26.675492279067392</v>
      </c>
      <c r="R8" s="49">
        <f>(高情景!R8+低情景!R8)/2</f>
        <v>26.302095336362434</v>
      </c>
      <c r="S8" s="49">
        <f>(高情景!S8+低情景!S8)/2</f>
        <v>25.928698393657477</v>
      </c>
      <c r="T8" s="49">
        <f>(高情景!T8+低情景!T8)/2</f>
        <v>25.555301450952523</v>
      </c>
      <c r="U8" s="49">
        <f>(高情景!U8+低情景!U8)/2</f>
        <v>25.048424824362542</v>
      </c>
      <c r="V8" s="49">
        <f>(高情景!V8+低情景!V8)/2</f>
        <v>24.541548197772563</v>
      </c>
      <c r="W8" s="49">
        <f>(高情景!W8+低情景!W8)/2</f>
        <v>24.034671571182585</v>
      </c>
      <c r="X8" s="49">
        <f>(高情景!X8+低情景!X8)/2</f>
        <v>23.527794944592603</v>
      </c>
      <c r="Y8" s="49">
        <f>(高情景!Y8+低情景!Y8)/2</f>
        <v>23.020918318002622</v>
      </c>
      <c r="Z8" s="49">
        <f>(高情景!Z8+低情景!Z8)/2</f>
        <v>22.486999582462531</v>
      </c>
      <c r="AA8" s="49">
        <f>(高情景!AA8+低情景!AA8)/2</f>
        <v>21.95308084692244</v>
      </c>
      <c r="AB8" s="49">
        <f>(高情景!AB8+低情景!AB8)/2</f>
        <v>21.419162111382349</v>
      </c>
      <c r="AC8" s="49">
        <f>(高情景!AC8+低情景!AC8)/2</f>
        <v>20.885243375842258</v>
      </c>
      <c r="AD8" s="49">
        <f>(高情景!AD8+低情景!AD8)/2</f>
        <v>20.351324640302163</v>
      </c>
      <c r="AE8" s="49">
        <f>(高情景!AE8+低情景!AE8)/2</f>
        <v>19.817405904762072</v>
      </c>
      <c r="AF8" s="49">
        <f>(高情景!AF8+低情景!AF8)/2</f>
        <v>19.283487169221981</v>
      </c>
      <c r="AG8" s="49">
        <f>(高情景!AG8+低情景!AG8)/2</f>
        <v>18.74956843368189</v>
      </c>
      <c r="AH8" s="49">
        <f>(高情景!AH8+低情景!AH8)/2</f>
        <v>18.215649698141799</v>
      </c>
      <c r="AI8" s="49">
        <f>(高情景!AI8+低情景!AI8)/2</f>
        <v>17.681730962601705</v>
      </c>
      <c r="AJ8" s="49">
        <f>(高情景!AJ8+低情景!AJ8)/2</f>
        <v>17.281291910946635</v>
      </c>
      <c r="AK8" s="49">
        <f>(高情景!AK8+低情景!AK8)/2</f>
        <v>16.880852859291565</v>
      </c>
      <c r="AL8" s="49">
        <f>(高情景!AL8+低情景!AL8)/2</f>
        <v>16.480413807636495</v>
      </c>
      <c r="AM8" s="49">
        <f>(高情景!AM8+低情景!AM8)/2</f>
        <v>16.079974755981425</v>
      </c>
      <c r="AN8" s="49">
        <f>(高情景!AN8+低情景!AN8)/2</f>
        <v>15.67953570432636</v>
      </c>
      <c r="AO8" s="49">
        <f>(高情景!AO8+低情景!AO8)/2</f>
        <v>15.39905528208126</v>
      </c>
      <c r="AP8" s="49">
        <f>(高情景!AP8+低情景!AP8)/2</f>
        <v>15.118574859836158</v>
      </c>
      <c r="AQ8" s="49">
        <f>(高情景!AQ8+低情景!AQ8)/2</f>
        <v>14.838094437591057</v>
      </c>
      <c r="AR8" s="49">
        <f>(高情景!AR8+低情景!AR8)/2</f>
        <v>14.557614015345957</v>
      </c>
      <c r="AS8" s="50">
        <f>(高情景!AS8+低情景!AS8)/2</f>
        <v>14.277133593100853</v>
      </c>
    </row>
    <row r="9" spans="1:45" x14ac:dyDescent="0.15">
      <c r="A9" s="18" t="s">
        <v>24</v>
      </c>
      <c r="B9" s="8" t="s">
        <v>25</v>
      </c>
      <c r="C9" s="9" t="s">
        <v>18</v>
      </c>
      <c r="D9" s="8" t="s">
        <v>26</v>
      </c>
      <c r="E9" s="48">
        <f>高情景!E9*0.5+低情景!E9*0.5</f>
        <v>12700.63</v>
      </c>
      <c r="F9" s="49">
        <f>高情景!F9*0.5+低情景!F9*0.5</f>
        <v>13583.87</v>
      </c>
      <c r="G9" s="49">
        <f>高情景!G9*0.5+低情景!G9*0.5</f>
        <v>13691.4</v>
      </c>
      <c r="H9" s="49">
        <f>高情景!H9*0.5+低情景!H9*0.5</f>
        <v>14144.266666666666</v>
      </c>
      <c r="I9" s="49">
        <f>高情景!I9*0.45+低情景!I9*0.55</f>
        <v>14587.133333333335</v>
      </c>
      <c r="J9" s="49">
        <f>高情景!J9*0.37+低情景!J9*0.63</f>
        <v>15011</v>
      </c>
      <c r="K9" s="49">
        <f>高情景!K9*0.7+低情景!K9*0.3</f>
        <v>15458</v>
      </c>
      <c r="L9" s="49">
        <f>高情景!L9*0.8+低情景!L9*0.2</f>
        <v>15844</v>
      </c>
      <c r="M9" s="49">
        <f>高情景!M9*0.65+低情景!M9*0.35</f>
        <v>16133</v>
      </c>
      <c r="N9" s="49">
        <f>高情景!N9*0.55+低情景!N9*0.45</f>
        <v>16433</v>
      </c>
      <c r="O9" s="49">
        <f>高情景!O9*0.5+低情景!O9*0.5</f>
        <v>16750</v>
      </c>
      <c r="P9" s="49">
        <f>(高情景!P9+低情景!P9)/2</f>
        <v>16870</v>
      </c>
      <c r="Q9" s="49">
        <f>(高情景!Q9+低情景!Q9)/2</f>
        <v>16990</v>
      </c>
      <c r="R9" s="49">
        <f>(高情景!R9+低情景!R9)/2</f>
        <v>17110</v>
      </c>
      <c r="S9" s="49">
        <f>(高情景!S9+低情景!S9)/2</f>
        <v>17230</v>
      </c>
      <c r="T9" s="49">
        <f>(高情景!T9+低情景!T9)/2</f>
        <v>17350</v>
      </c>
      <c r="U9" s="49">
        <f>(高情景!U9+低情景!U9)/2</f>
        <v>17310</v>
      </c>
      <c r="V9" s="49">
        <f>(高情景!V9+低情景!V9)/2</f>
        <v>17270</v>
      </c>
      <c r="W9" s="49">
        <f>(高情景!W9+低情景!W9)/2</f>
        <v>17230</v>
      </c>
      <c r="X9" s="49">
        <f>(高情景!X9+低情景!X9)/2</f>
        <v>17190</v>
      </c>
      <c r="Y9" s="49">
        <f>(高情景!Y9+低情景!Y9)/2</f>
        <v>17150</v>
      </c>
      <c r="Z9" s="49">
        <f>(高情景!Z9+低情景!Z9)/2</f>
        <v>17010</v>
      </c>
      <c r="AA9" s="49">
        <f>(高情景!AA9+低情景!AA9)/2</f>
        <v>16870</v>
      </c>
      <c r="AB9" s="49">
        <f>(高情景!AB9+低情景!AB9)/2</f>
        <v>16730</v>
      </c>
      <c r="AC9" s="49">
        <f>(高情景!AC9+低情景!AC9)/2</f>
        <v>16590</v>
      </c>
      <c r="AD9" s="49">
        <f>(高情景!AD9+低情景!AD9)/2</f>
        <v>16450</v>
      </c>
      <c r="AE9" s="49">
        <f>(高情景!AE9+低情景!AE9)/2</f>
        <v>16260</v>
      </c>
      <c r="AF9" s="49">
        <f>(高情景!AF9+低情景!AF9)/2</f>
        <v>16070</v>
      </c>
      <c r="AG9" s="49">
        <f>(高情景!AG9+低情景!AG9)/2</f>
        <v>15880</v>
      </c>
      <c r="AH9" s="49">
        <f>(高情景!AH9+低情景!AH9)/2</f>
        <v>15690</v>
      </c>
      <c r="AI9" s="49">
        <f>(高情景!AI9+低情景!AI9)/2</f>
        <v>15500</v>
      </c>
      <c r="AJ9" s="49">
        <f>(高情景!AJ9+低情景!AJ9)/2</f>
        <v>15250</v>
      </c>
      <c r="AK9" s="49">
        <f>(高情景!AK9+低情景!AK9)/2</f>
        <v>15000</v>
      </c>
      <c r="AL9" s="49">
        <f>(高情景!AL9+低情景!AL9)/2</f>
        <v>14750</v>
      </c>
      <c r="AM9" s="49">
        <f>(高情景!AM9+低情景!AM9)/2</f>
        <v>14500</v>
      </c>
      <c r="AN9" s="49">
        <f>(高情景!AN9+低情景!AN9)/2</f>
        <v>14250</v>
      </c>
      <c r="AO9" s="49">
        <f>(高情景!AO9+低情景!AO9)/2</f>
        <v>13950</v>
      </c>
      <c r="AP9" s="49">
        <f>(高情景!AP9+低情景!AP9)/2</f>
        <v>13650</v>
      </c>
      <c r="AQ9" s="49">
        <f>(高情景!AQ9+低情景!AQ9)/2</f>
        <v>13350</v>
      </c>
      <c r="AR9" s="49">
        <f>(高情景!AR9+低情景!AR9)/2</f>
        <v>13050</v>
      </c>
      <c r="AS9" s="50">
        <f>(高情景!AS9+低情景!AS9)/2</f>
        <v>12750</v>
      </c>
    </row>
    <row r="10" spans="1:45" x14ac:dyDescent="0.15">
      <c r="A10" s="17" t="s">
        <v>27</v>
      </c>
      <c r="B10" s="8" t="s">
        <v>28</v>
      </c>
      <c r="C10" s="9" t="s">
        <v>6</v>
      </c>
      <c r="D10" s="8" t="s">
        <v>29</v>
      </c>
      <c r="E10" s="48">
        <f>高情景!E10*0.5+低情景!E10*0.5</f>
        <v>6.7441000000000004</v>
      </c>
      <c r="F10" s="49">
        <f>高情景!F10*0.5+低情景!F10*0.5</f>
        <v>7</v>
      </c>
      <c r="G10" s="49">
        <f>高情景!G10*0.5+低情景!G10*0.5</f>
        <v>6.7590000000000003</v>
      </c>
      <c r="H10" s="49">
        <f>高情景!H10*0.5+低情景!H10*0.5</f>
        <v>6.8996474208675265</v>
      </c>
      <c r="I10" s="49">
        <f>高情景!I10*0.45+低情景!I10*0.55</f>
        <v>7.0413953692848779</v>
      </c>
      <c r="J10" s="49">
        <f>高情景!J10*0.37+低情景!J10*0.63</f>
        <v>7.1852343200468933</v>
      </c>
      <c r="K10" s="49">
        <f>高情景!K10*0.7+低情景!K10*0.3</f>
        <v>7.2080152403282529</v>
      </c>
      <c r="L10" s="49">
        <f>高情景!L10*0.8+低情景!L10*0.2</f>
        <v>7.2291453692848773</v>
      </c>
      <c r="M10" s="49">
        <f>高情景!M10*0.65+低情景!M10*0.35</f>
        <v>7.2839516412661194</v>
      </c>
      <c r="N10" s="49">
        <f>高情景!N10*0.55+低情景!N10*0.45</f>
        <v>7.3417293376318877</v>
      </c>
      <c r="O10" s="49">
        <f>高情景!O10*0.5+低情景!O10*0.5</f>
        <v>7.3955451348182866</v>
      </c>
      <c r="P10" s="49">
        <f>(高情景!P10+低情景!P10)/2</f>
        <v>7.4351641266119568</v>
      </c>
      <c r="Q10" s="49">
        <f>(高情景!Q10+低情景!Q10)/2</f>
        <v>7.4747831184056253</v>
      </c>
      <c r="R10" s="49">
        <f>(高情景!R10+低情景!R10)/2</f>
        <v>7.5144021101992955</v>
      </c>
      <c r="S10" s="49">
        <f>(高情景!S10+低情景!S10)/2</f>
        <v>7.5540211019929639</v>
      </c>
      <c r="T10" s="49">
        <f>(高情景!T10+低情景!T10)/2</f>
        <v>7.5936400937866342</v>
      </c>
      <c r="U10" s="49">
        <f>(高情景!U10+低情景!U10)/2</f>
        <v>7.6134495896834684</v>
      </c>
      <c r="V10" s="49">
        <f>(高情景!V10+低情景!V10)/2</f>
        <v>7.6332590855803026</v>
      </c>
      <c r="W10" s="49">
        <f>(高情景!W10+低情景!W10)/2</f>
        <v>7.6530685814771378</v>
      </c>
      <c r="X10" s="49">
        <f>(高情景!X10+低情景!X10)/2</f>
        <v>7.6728780773739729</v>
      </c>
      <c r="Y10" s="49">
        <f>(高情景!Y10+低情景!Y10)/2</f>
        <v>7.6926875732708071</v>
      </c>
      <c r="Z10" s="49">
        <f>(高情景!Z10+低情景!Z10)/2</f>
        <v>7.6332590855803026</v>
      </c>
      <c r="AA10" s="49">
        <f>(高情景!AA10+低情景!AA10)/2</f>
        <v>7.5738305978897991</v>
      </c>
      <c r="AB10" s="49">
        <f>(高情景!AB10+低情景!AB10)/2</f>
        <v>7.5144021101992955</v>
      </c>
      <c r="AC10" s="49">
        <f>(高情景!AC10+低情景!AC10)/2</f>
        <v>7.454973622508791</v>
      </c>
      <c r="AD10" s="49">
        <f>(高情景!AD10+低情景!AD10)/2</f>
        <v>7.3955451348182866</v>
      </c>
      <c r="AE10" s="49">
        <f>(高情景!AE10+低情景!AE10)/2</f>
        <v>7.303100820633059</v>
      </c>
      <c r="AF10" s="49">
        <f>(高情景!AF10+低情景!AF10)/2</f>
        <v>7.2106565064478296</v>
      </c>
      <c r="AG10" s="49">
        <f>(高情景!AG10+低情景!AG10)/2</f>
        <v>7.118212192262602</v>
      </c>
      <c r="AH10" s="49">
        <f>(高情景!AH10+低情景!AH10)/2</f>
        <v>7.0257678780773727</v>
      </c>
      <c r="AI10" s="49">
        <f>(高情景!AI10+低情景!AI10)/2</f>
        <v>6.9333235638921442</v>
      </c>
      <c r="AJ10" s="49">
        <f>(高情景!AJ10+低情景!AJ10)/2</f>
        <v>6.8012602579132455</v>
      </c>
      <c r="AK10" s="49">
        <f>(高情景!AK10+低情景!AK10)/2</f>
        <v>6.6691969519343477</v>
      </c>
      <c r="AL10" s="49">
        <f>(高情景!AL10+低情景!AL10)/2</f>
        <v>6.5371336459554499</v>
      </c>
      <c r="AM10" s="49">
        <f>(高情景!AM10+低情景!AM10)/2</f>
        <v>6.4050703399765512</v>
      </c>
      <c r="AN10" s="49">
        <f>(高情景!AN10+低情景!AN10)/2</f>
        <v>6.2730070339976542</v>
      </c>
      <c r="AO10" s="49">
        <f>(高情景!AO10+低情景!AO10)/2</f>
        <v>6.1871658851113702</v>
      </c>
      <c r="AP10" s="49">
        <f>(高情景!AP10+低情景!AP10)/2</f>
        <v>6.1013247362250862</v>
      </c>
      <c r="AQ10" s="49">
        <f>(高情景!AQ10+低情景!AQ10)/2</f>
        <v>6.0154835873388031</v>
      </c>
      <c r="AR10" s="49">
        <f>(高情景!AR10+低情景!AR10)/2</f>
        <v>5.9296424384525199</v>
      </c>
      <c r="AS10" s="50">
        <f>(高情景!AS10+低情景!AS10)/2</f>
        <v>5.843801289566235</v>
      </c>
    </row>
    <row r="11" spans="1:45" x14ac:dyDescent="0.15">
      <c r="A11" s="17" t="s">
        <v>27</v>
      </c>
      <c r="B11" s="8" t="s">
        <v>30</v>
      </c>
      <c r="C11" s="9" t="s">
        <v>18</v>
      </c>
      <c r="D11" s="8" t="s">
        <v>31</v>
      </c>
      <c r="E11" s="48">
        <f>高情景!E11*0.5+低情景!E11*0.5</f>
        <v>47116</v>
      </c>
      <c r="F11" s="49">
        <f>高情景!F11*0.5+低情景!F11*0.5</f>
        <v>46400</v>
      </c>
      <c r="G11" s="49">
        <f>高情景!G11*0.5+低情景!G11*0.5</f>
        <v>47300</v>
      </c>
      <c r="H11" s="49">
        <f>高情景!H11*0.5+低情景!H11*0.5</f>
        <v>48338.365101148476</v>
      </c>
      <c r="I11" s="49">
        <f>高情景!I11*0.45+低情景!I11*0.55</f>
        <v>49330.264676671657</v>
      </c>
      <c r="J11" s="49">
        <f>高情景!J11*0.37+低情景!J11*0.63</f>
        <v>50233.879753506772</v>
      </c>
      <c r="K11" s="49">
        <f>高情景!K11*0.7+低情景!K11*0.3</f>
        <v>51344.405815951322</v>
      </c>
      <c r="L11" s="49">
        <f>高情景!L11*0.8+低情景!L11*0.2</f>
        <v>52134.319751581352</v>
      </c>
      <c r="M11" s="49">
        <f>高情景!M11*0.65+低情景!M11*0.35</f>
        <v>52575.742245021655</v>
      </c>
      <c r="N11" s="49">
        <f>高情景!N11*0.55+低情景!N11*0.45</f>
        <v>53086.863026899911</v>
      </c>
      <c r="O11" s="49">
        <f>高情景!O11*0.5+低情景!O11*0.5</f>
        <v>53667.682097216093</v>
      </c>
      <c r="P11" s="49">
        <f>(高情景!P11+低情景!P11)/2</f>
        <v>53435.354469089616</v>
      </c>
      <c r="Q11" s="49">
        <f>(高情景!Q11+低情景!Q11)/2</f>
        <v>53203.026840963139</v>
      </c>
      <c r="R11" s="49">
        <f>(高情景!R11+低情景!R11)/2</f>
        <v>52970.699212836662</v>
      </c>
      <c r="S11" s="49">
        <f>(高情景!S11+低情景!S11)/2</f>
        <v>52738.371584710185</v>
      </c>
      <c r="T11" s="49">
        <f>(高情景!T11+低情景!T11)/2</f>
        <v>52506.043956583715</v>
      </c>
      <c r="U11" s="49">
        <f>(高情景!U11+低情景!U11)/2</f>
        <v>51623.198969703095</v>
      </c>
      <c r="V11" s="49">
        <f>(高情景!V11+低情景!V11)/2</f>
        <v>50740.353982822489</v>
      </c>
      <c r="W11" s="49">
        <f>(高情景!W11+低情景!W11)/2</f>
        <v>49857.508995941869</v>
      </c>
      <c r="X11" s="49">
        <f>(高情景!X11+低情景!X11)/2</f>
        <v>48974.664009061264</v>
      </c>
      <c r="Y11" s="49">
        <f>(高情景!Y11+低情景!Y11)/2</f>
        <v>48091.819022180658</v>
      </c>
      <c r="Z11" s="49">
        <f>(高情景!Z11+低情景!Z11)/2</f>
        <v>46976.646407173568</v>
      </c>
      <c r="AA11" s="49">
        <f>(高情景!AA11+低情景!AA11)/2</f>
        <v>45861.473792166478</v>
      </c>
      <c r="AB11" s="49">
        <f>(高情景!AB11+低情景!AB11)/2</f>
        <v>44746.301177159388</v>
      </c>
      <c r="AC11" s="49">
        <f>(高情景!AC11+低情景!AC11)/2</f>
        <v>43631.128562152298</v>
      </c>
      <c r="AD11" s="49">
        <f>(高情景!AD11+低情景!AD11)/2</f>
        <v>42515.955947145216</v>
      </c>
      <c r="AE11" s="49">
        <f>(高情景!AE11+低情景!AE11)/2</f>
        <v>41586.645434639307</v>
      </c>
      <c r="AF11" s="49">
        <f>(高情景!AF11+低情景!AF11)/2</f>
        <v>40657.334922133399</v>
      </c>
      <c r="AG11" s="49">
        <f>(高情景!AG11+低情景!AG11)/2</f>
        <v>39728.024409627491</v>
      </c>
      <c r="AH11" s="49">
        <f>(高情景!AH11+低情景!AH11)/2</f>
        <v>38798.713897121583</v>
      </c>
      <c r="AI11" s="49">
        <f>(高情景!AI11+低情景!AI11)/2</f>
        <v>37869.403384615682</v>
      </c>
      <c r="AJ11" s="49">
        <f>(高情景!AJ11+低情景!AJ11)/2</f>
        <v>36847.161820859183</v>
      </c>
      <c r="AK11" s="49">
        <f>(高情景!AK11+低情景!AK11)/2</f>
        <v>35824.920257102684</v>
      </c>
      <c r="AL11" s="49">
        <f>(高情景!AL11+低情景!AL11)/2</f>
        <v>34802.678693346184</v>
      </c>
      <c r="AM11" s="49">
        <f>(高情景!AM11+低情景!AM11)/2</f>
        <v>33780.437129589685</v>
      </c>
      <c r="AN11" s="49">
        <f>(高情景!AN11+低情景!AN11)/2</f>
        <v>32758.195565833201</v>
      </c>
      <c r="AO11" s="49">
        <f>(高情景!AO11+低情景!AO11)/2</f>
        <v>32061.21268145377</v>
      </c>
      <c r="AP11" s="49">
        <f>(高情景!AP11+低情景!AP11)/2</f>
        <v>31364.229797074338</v>
      </c>
      <c r="AQ11" s="49">
        <f>(高情景!AQ11+低情景!AQ11)/2</f>
        <v>30667.246912694907</v>
      </c>
      <c r="AR11" s="49">
        <f>(高情景!AR11+低情景!AR11)/2</f>
        <v>29970.264028315476</v>
      </c>
      <c r="AS11" s="50">
        <f>(高情景!AS11+低情景!AS11)/2</f>
        <v>29273.281143936048</v>
      </c>
    </row>
    <row r="12" spans="1:45" x14ac:dyDescent="0.15">
      <c r="A12" s="17" t="s">
        <v>32</v>
      </c>
      <c r="B12" s="8" t="s">
        <v>33</v>
      </c>
      <c r="C12" s="9" t="s">
        <v>18</v>
      </c>
      <c r="D12" s="8" t="s">
        <v>26</v>
      </c>
      <c r="E12" s="48">
        <f>高情景!E12*0.5+低情景!E12*0.5</f>
        <v>3673.87</v>
      </c>
      <c r="F12" s="49">
        <f>高情景!F12*0.5+低情景!F12*0.5</f>
        <v>3891.31</v>
      </c>
      <c r="G12" s="49">
        <f>高情景!G12*0.5+低情景!G12*0.5</f>
        <v>3463.08</v>
      </c>
      <c r="H12" s="49">
        <f>高情景!H12*0.5+低情景!H12*0.5</f>
        <v>3742.0533333333333</v>
      </c>
      <c r="I12" s="49">
        <f>高情景!I12*0.45+低情景!I12*0.55</f>
        <v>4021.0266666666666</v>
      </c>
      <c r="J12" s="49">
        <f>高情景!J12*0.37+低情景!J12*0.63</f>
        <v>4300</v>
      </c>
      <c r="K12" s="49">
        <f>高情景!K12*0.7+低情景!K12*0.3</f>
        <v>4386</v>
      </c>
      <c r="L12" s="49">
        <f>高情景!L12*0.8+低情景!L12*0.2</f>
        <v>4468</v>
      </c>
      <c r="M12" s="49">
        <f>高情景!M12*0.65+低情景!M12*0.35</f>
        <v>4561</v>
      </c>
      <c r="N12" s="49">
        <f>高情景!N12*0.55+低情景!N12*0.45</f>
        <v>4656</v>
      </c>
      <c r="O12" s="49">
        <f>高情景!O12*0.5+低情景!O12*0.5</f>
        <v>4750</v>
      </c>
      <c r="P12" s="49">
        <f>(高情景!P12+低情景!P12)/2</f>
        <v>4790</v>
      </c>
      <c r="Q12" s="49">
        <f>(高情景!Q12+低情景!Q12)/2</f>
        <v>4830</v>
      </c>
      <c r="R12" s="49">
        <f>(高情景!R12+低情景!R12)/2</f>
        <v>4870</v>
      </c>
      <c r="S12" s="49">
        <f>(高情景!S12+低情景!S12)/2</f>
        <v>4910</v>
      </c>
      <c r="T12" s="49">
        <f>(高情景!T12+低情景!T12)/2</f>
        <v>4950</v>
      </c>
      <c r="U12" s="49">
        <f>(高情景!U12+低情景!U12)/2</f>
        <v>4925</v>
      </c>
      <c r="V12" s="49">
        <f>(高情景!V12+低情景!V12)/2</f>
        <v>4900</v>
      </c>
      <c r="W12" s="49">
        <f>(高情景!W12+低情景!W12)/2</f>
        <v>4875</v>
      </c>
      <c r="X12" s="49">
        <f>(高情景!X12+低情景!X12)/2</f>
        <v>4850</v>
      </c>
      <c r="Y12" s="49">
        <f>(高情景!Y12+低情景!Y12)/2</f>
        <v>4825</v>
      </c>
      <c r="Z12" s="49">
        <f>(高情景!Z12+低情景!Z12)/2</f>
        <v>4770</v>
      </c>
      <c r="AA12" s="49">
        <f>(高情景!AA12+低情景!AA12)/2</f>
        <v>4715</v>
      </c>
      <c r="AB12" s="49">
        <f>(高情景!AB12+低情景!AB12)/2</f>
        <v>4660</v>
      </c>
      <c r="AC12" s="49">
        <f>(高情景!AC12+低情景!AC12)/2</f>
        <v>4605</v>
      </c>
      <c r="AD12" s="49">
        <f>(高情景!AD12+低情景!AD12)/2</f>
        <v>4550</v>
      </c>
      <c r="AE12" s="49">
        <f>(高情景!AE12+低情景!AE12)/2</f>
        <v>4485</v>
      </c>
      <c r="AF12" s="49">
        <f>(高情景!AF12+低情景!AF12)/2</f>
        <v>4420</v>
      </c>
      <c r="AG12" s="49">
        <f>(高情景!AG12+低情景!AG12)/2</f>
        <v>4355</v>
      </c>
      <c r="AH12" s="49">
        <f>(高情景!AH12+低情景!AH12)/2</f>
        <v>4290</v>
      </c>
      <c r="AI12" s="49">
        <f>(高情景!AI12+低情景!AI12)/2</f>
        <v>4225</v>
      </c>
      <c r="AJ12" s="49">
        <f>(高情景!AJ12+低情景!AJ12)/2</f>
        <v>4160</v>
      </c>
      <c r="AK12" s="49">
        <f>(高情景!AK12+低情景!AK12)/2</f>
        <v>4095</v>
      </c>
      <c r="AL12" s="49">
        <f>(高情景!AL12+低情景!AL12)/2</f>
        <v>4030</v>
      </c>
      <c r="AM12" s="49">
        <f>(高情景!AM12+低情景!AM12)/2</f>
        <v>3965</v>
      </c>
      <c r="AN12" s="49">
        <f>(高情景!AN12+低情景!AN12)/2</f>
        <v>3900</v>
      </c>
      <c r="AO12" s="49">
        <f>(高情景!AO12+低情景!AO12)/2</f>
        <v>3850</v>
      </c>
      <c r="AP12" s="49">
        <f>(高情景!AP12+低情景!AP12)/2</f>
        <v>3800</v>
      </c>
      <c r="AQ12" s="49">
        <f>(高情景!AQ12+低情景!AQ12)/2</f>
        <v>3750</v>
      </c>
      <c r="AR12" s="49">
        <f>(高情景!AR12+低情景!AR12)/2</f>
        <v>3700</v>
      </c>
      <c r="AS12" s="50">
        <f>(高情景!AS12+低情景!AS12)/2</f>
        <v>3650</v>
      </c>
    </row>
    <row r="13" spans="1:45" x14ac:dyDescent="0.15">
      <c r="A13" s="17" t="s">
        <v>32</v>
      </c>
      <c r="B13" s="8" t="s">
        <v>34</v>
      </c>
      <c r="C13" s="9" t="s">
        <v>18</v>
      </c>
      <c r="D13" s="8" t="s">
        <v>26</v>
      </c>
      <c r="E13" s="48">
        <f>高情景!E13*0.5+低情景!E13*0.5</f>
        <v>2812.37</v>
      </c>
      <c r="F13" s="49">
        <f>高情景!F13*0.5+低情景!F13*0.5</f>
        <v>2913.25</v>
      </c>
      <c r="G13" s="49">
        <f>高情景!G13*0.5+低情景!G13*0.5</f>
        <v>2920.2</v>
      </c>
      <c r="H13" s="49">
        <f>高情景!H13*0.5+低情景!H13*0.5</f>
        <v>3088.4666666666662</v>
      </c>
      <c r="I13" s="49">
        <f>高情景!I13*0.45+低情景!I13*0.55</f>
        <v>3258.3999999999996</v>
      </c>
      <c r="J13" s="49">
        <f>高情景!J13*0.37+低情景!J13*0.63</f>
        <v>3431.5</v>
      </c>
      <c r="K13" s="49">
        <f>高情景!K13*0.7+低情景!K13*0.3</f>
        <v>3490.3999999999996</v>
      </c>
      <c r="L13" s="49">
        <f>高情景!L13*0.8+低情景!L13*0.2</f>
        <v>3557.2</v>
      </c>
      <c r="M13" s="49">
        <f>高情景!M13*0.65+低情景!M13*0.35</f>
        <v>3646.3999999999996</v>
      </c>
      <c r="N13" s="49">
        <f>高情景!N13*0.55+低情景!N13*0.45</f>
        <v>3734.9000000000005</v>
      </c>
      <c r="O13" s="49">
        <f>高情景!O13*0.5+低情景!O13*0.5</f>
        <v>3820</v>
      </c>
      <c r="P13" s="49">
        <f>(高情景!P13+低情景!P13)/2</f>
        <v>3849</v>
      </c>
      <c r="Q13" s="49">
        <f>(高情景!Q13+低情景!Q13)/2</f>
        <v>3878</v>
      </c>
      <c r="R13" s="49">
        <f>(高情景!R13+低情景!R13)/2</f>
        <v>3907</v>
      </c>
      <c r="S13" s="49">
        <f>(高情景!S13+低情景!S13)/2</f>
        <v>3936</v>
      </c>
      <c r="T13" s="49">
        <f>(高情景!T13+低情景!T13)/2</f>
        <v>3965</v>
      </c>
      <c r="U13" s="49">
        <f>(高情景!U13+低情景!U13)/2</f>
        <v>3967</v>
      </c>
      <c r="V13" s="49">
        <f>(高情景!V13+低情景!V13)/2</f>
        <v>3969</v>
      </c>
      <c r="W13" s="49">
        <f>(高情景!W13+低情景!W13)/2</f>
        <v>3971</v>
      </c>
      <c r="X13" s="49">
        <f>(高情景!X13+低情景!X13)/2</f>
        <v>3973</v>
      </c>
      <c r="Y13" s="49">
        <f>(高情景!Y13+低情景!Y13)/2</f>
        <v>3975</v>
      </c>
      <c r="Z13" s="49">
        <f>(高情景!Z13+低情景!Z13)/2</f>
        <v>3943</v>
      </c>
      <c r="AA13" s="49">
        <f>(高情景!AA13+低情景!AA13)/2</f>
        <v>3911</v>
      </c>
      <c r="AB13" s="49">
        <f>(高情景!AB13+低情景!AB13)/2</f>
        <v>3879</v>
      </c>
      <c r="AC13" s="49">
        <f>(高情景!AC13+低情景!AC13)/2</f>
        <v>3847</v>
      </c>
      <c r="AD13" s="49">
        <f>(高情景!AD13+低情景!AD13)/2</f>
        <v>3815</v>
      </c>
      <c r="AE13" s="49">
        <f>(高情景!AE13+低情景!AE13)/2</f>
        <v>3762</v>
      </c>
      <c r="AF13" s="49">
        <f>(高情景!AF13+低情景!AF13)/2</f>
        <v>3709</v>
      </c>
      <c r="AG13" s="49">
        <f>(高情景!AG13+低情景!AG13)/2</f>
        <v>3656</v>
      </c>
      <c r="AH13" s="49">
        <f>(高情景!AH13+低情景!AH13)/2</f>
        <v>3603</v>
      </c>
      <c r="AI13" s="49">
        <f>(高情景!AI13+低情景!AI13)/2</f>
        <v>3550</v>
      </c>
      <c r="AJ13" s="49">
        <f>(高情景!AJ13+低情景!AJ13)/2</f>
        <v>3498</v>
      </c>
      <c r="AK13" s="49">
        <f>(高情景!AK13+低情景!AK13)/2</f>
        <v>3446</v>
      </c>
      <c r="AL13" s="49">
        <f>(高情景!AL13+低情景!AL13)/2</f>
        <v>3394</v>
      </c>
      <c r="AM13" s="49">
        <f>(高情景!AM13+低情景!AM13)/2</f>
        <v>3342</v>
      </c>
      <c r="AN13" s="49">
        <f>(高情景!AN13+低情景!AN13)/2</f>
        <v>3290</v>
      </c>
      <c r="AO13" s="49">
        <f>(高情景!AO13+低情景!AO13)/2</f>
        <v>3220</v>
      </c>
      <c r="AP13" s="49">
        <f>(高情景!AP13+低情景!AP13)/2</f>
        <v>3150</v>
      </c>
      <c r="AQ13" s="49">
        <f>(高情景!AQ13+低情景!AQ13)/2</f>
        <v>3080</v>
      </c>
      <c r="AR13" s="49">
        <f>(高情景!AR13+低情景!AR13)/2</f>
        <v>3010</v>
      </c>
      <c r="AS13" s="50">
        <f>(高情景!AS13+低情景!AS13)/2</f>
        <v>2940</v>
      </c>
    </row>
    <row r="14" spans="1:45" x14ac:dyDescent="0.15">
      <c r="A14" s="17" t="s">
        <v>32</v>
      </c>
      <c r="B14" s="8" t="s">
        <v>35</v>
      </c>
      <c r="C14" s="9" t="s">
        <v>18</v>
      </c>
      <c r="D14" s="8" t="s">
        <v>26</v>
      </c>
      <c r="E14" s="48">
        <f>高情景!E14*0.5+低情景!E14*0.5</f>
        <v>2159.96</v>
      </c>
      <c r="F14" s="49">
        <f>高情景!F14*0.5+低情景!F14*0.5</f>
        <v>2825.67</v>
      </c>
      <c r="G14" s="49">
        <f>高情景!G14*0.5+低情景!G14*0.5</f>
        <v>2897.51</v>
      </c>
      <c r="H14" s="49">
        <f>高情景!H14*0.5+低情景!H14*0.5</f>
        <v>3215.0066666666671</v>
      </c>
      <c r="I14" s="49">
        <f>高情景!I14*0.45+低情景!I14*0.55</f>
        <v>3529.1700000000005</v>
      </c>
      <c r="J14" s="49">
        <f>高情景!J14*0.37+低情景!J14*0.63</f>
        <v>3837</v>
      </c>
      <c r="K14" s="49">
        <f>高情景!K14*0.7+低情景!K14*0.3</f>
        <v>4084</v>
      </c>
      <c r="L14" s="49">
        <f>高情景!L14*0.8+低情景!L14*0.2</f>
        <v>4312</v>
      </c>
      <c r="M14" s="49">
        <f>高情景!M14*0.65+低情景!M14*0.35</f>
        <v>4504</v>
      </c>
      <c r="N14" s="49">
        <f>高情景!N14*0.55+低情景!N14*0.45</f>
        <v>4699</v>
      </c>
      <c r="O14" s="49">
        <f>高情景!O14*0.5+低情景!O14*0.5</f>
        <v>4900</v>
      </c>
      <c r="P14" s="49">
        <f>(高情景!P14+低情景!P14)/2</f>
        <v>4970</v>
      </c>
      <c r="Q14" s="49">
        <f>(高情景!Q14+低情景!Q14)/2</f>
        <v>5040</v>
      </c>
      <c r="R14" s="49">
        <f>(高情景!R14+低情景!R14)/2</f>
        <v>5110</v>
      </c>
      <c r="S14" s="49">
        <f>(高情景!S14+低情景!S14)/2</f>
        <v>5180</v>
      </c>
      <c r="T14" s="49">
        <f>(高情景!T14+低情景!T14)/2</f>
        <v>5250</v>
      </c>
      <c r="U14" s="49">
        <f>(高情景!U14+低情景!U14)/2</f>
        <v>5275</v>
      </c>
      <c r="V14" s="49">
        <f>(高情景!V14+低情景!V14)/2</f>
        <v>5300</v>
      </c>
      <c r="W14" s="49">
        <f>(高情景!W14+低情景!W14)/2</f>
        <v>5325</v>
      </c>
      <c r="X14" s="49">
        <f>(高情景!X14+低情景!X14)/2</f>
        <v>5350</v>
      </c>
      <c r="Y14" s="49">
        <f>(高情景!Y14+低情景!Y14)/2</f>
        <v>5375</v>
      </c>
      <c r="Z14" s="49">
        <f>(高情景!Z14+低情景!Z14)/2</f>
        <v>5350</v>
      </c>
      <c r="AA14" s="49">
        <f>(高情景!AA14+低情景!AA14)/2</f>
        <v>5325</v>
      </c>
      <c r="AB14" s="49">
        <f>(高情景!AB14+低情景!AB14)/2</f>
        <v>5300</v>
      </c>
      <c r="AC14" s="49">
        <f>(高情景!AC14+低情景!AC14)/2</f>
        <v>5275</v>
      </c>
      <c r="AD14" s="49">
        <f>(高情景!AD14+低情景!AD14)/2</f>
        <v>5250</v>
      </c>
      <c r="AE14" s="49">
        <f>(高情景!AE14+低情景!AE14)/2</f>
        <v>5215</v>
      </c>
      <c r="AF14" s="49">
        <f>(高情景!AF14+低情景!AF14)/2</f>
        <v>5180</v>
      </c>
      <c r="AG14" s="49">
        <f>(高情景!AG14+低情景!AG14)/2</f>
        <v>5145</v>
      </c>
      <c r="AH14" s="49">
        <f>(高情景!AH14+低情景!AH14)/2</f>
        <v>5110</v>
      </c>
      <c r="AI14" s="49">
        <f>(高情景!AI14+低情景!AI14)/2</f>
        <v>5075</v>
      </c>
      <c r="AJ14" s="49">
        <f>(高情景!AJ14+低情景!AJ14)/2</f>
        <v>5020</v>
      </c>
      <c r="AK14" s="49">
        <f>(高情景!AK14+低情景!AK14)/2</f>
        <v>4965</v>
      </c>
      <c r="AL14" s="49">
        <f>(高情景!AL14+低情景!AL14)/2</f>
        <v>4910</v>
      </c>
      <c r="AM14" s="49">
        <f>(高情景!AM14+低情景!AM14)/2</f>
        <v>4855</v>
      </c>
      <c r="AN14" s="49">
        <f>(高情景!AN14+低情景!AN14)/2</f>
        <v>4800</v>
      </c>
      <c r="AO14" s="49">
        <f>(高情景!AO14+低情景!AO14)/2</f>
        <v>4750</v>
      </c>
      <c r="AP14" s="49">
        <f>(高情景!AP14+低情景!AP14)/2</f>
        <v>4700</v>
      </c>
      <c r="AQ14" s="49">
        <f>(高情景!AQ14+低情景!AQ14)/2</f>
        <v>4650</v>
      </c>
      <c r="AR14" s="49">
        <f>(高情景!AR14+低情景!AR14)/2</f>
        <v>4600</v>
      </c>
      <c r="AS14" s="50">
        <f>(高情景!AS14+低情景!AS14)/2</f>
        <v>4550</v>
      </c>
    </row>
    <row r="15" spans="1:45" x14ac:dyDescent="0.15">
      <c r="A15" s="17" t="s">
        <v>32</v>
      </c>
      <c r="B15" s="8" t="s">
        <v>36</v>
      </c>
      <c r="C15" s="9" t="s">
        <v>18</v>
      </c>
      <c r="D15" s="8" t="s">
        <v>26</v>
      </c>
      <c r="E15" s="48">
        <f>高情景!E15*0.5+低情景!E15*0.5</f>
        <v>5117.13</v>
      </c>
      <c r="F15" s="49">
        <f>高情景!F15*0.5+低情景!F15*0.5</f>
        <v>5189.38</v>
      </c>
      <c r="G15" s="49">
        <f>高情景!G15*0.5+低情景!G15*0.5</f>
        <v>5321.01</v>
      </c>
      <c r="H15" s="49">
        <f>高情景!H15*0.5+低情景!H15*0.5</f>
        <v>5530.6733333333341</v>
      </c>
      <c r="I15" s="49">
        <f>高情景!I15*0.45+低情景!I15*0.55</f>
        <v>5737.003333333334</v>
      </c>
      <c r="J15" s="49">
        <f>高情景!J15*0.37+低情景!J15*0.63</f>
        <v>5937</v>
      </c>
      <c r="K15" s="49">
        <f>高情景!K15*0.7+低情景!K15*0.3</f>
        <v>6113</v>
      </c>
      <c r="L15" s="49">
        <f>高情景!L15*0.8+低情景!L15*0.2</f>
        <v>6264</v>
      </c>
      <c r="M15" s="49">
        <f>高情景!M15*0.65+低情景!M15*0.35</f>
        <v>6395.5</v>
      </c>
      <c r="N15" s="49">
        <f>高情景!N15*0.55+低情景!N15*0.45</f>
        <v>6533</v>
      </c>
      <c r="O15" s="49">
        <f>高情景!O15*0.5+低情景!O15*0.5</f>
        <v>6675</v>
      </c>
      <c r="P15" s="49">
        <f>(高情景!P15+低情景!P15)/2</f>
        <v>6750</v>
      </c>
      <c r="Q15" s="49">
        <f>(高情景!Q15+低情景!Q15)/2</f>
        <v>6825</v>
      </c>
      <c r="R15" s="49">
        <f>(高情景!R15+低情景!R15)/2</f>
        <v>6900</v>
      </c>
      <c r="S15" s="49">
        <f>(高情景!S15+低情景!S15)/2</f>
        <v>6975</v>
      </c>
      <c r="T15" s="49">
        <f>(高情景!T15+低情景!T15)/2</f>
        <v>7050</v>
      </c>
      <c r="U15" s="49">
        <f>(高情景!U15+低情景!U15)/2</f>
        <v>7085</v>
      </c>
      <c r="V15" s="49">
        <f>(高情景!V15+低情景!V15)/2</f>
        <v>7120</v>
      </c>
      <c r="W15" s="49">
        <f>(高情景!W15+低情景!W15)/2</f>
        <v>7155</v>
      </c>
      <c r="X15" s="49">
        <f>(高情景!X15+低情景!X15)/2</f>
        <v>7190</v>
      </c>
      <c r="Y15" s="49">
        <f>(高情景!Y15+低情景!Y15)/2</f>
        <v>7225</v>
      </c>
      <c r="Z15" s="49">
        <f>(高情景!Z15+低情景!Z15)/2</f>
        <v>7245</v>
      </c>
      <c r="AA15" s="49">
        <f>(高情景!AA15+低情景!AA15)/2</f>
        <v>7265</v>
      </c>
      <c r="AB15" s="49">
        <f>(高情景!AB15+低情景!AB15)/2</f>
        <v>7285</v>
      </c>
      <c r="AC15" s="49">
        <f>(高情景!AC15+低情景!AC15)/2</f>
        <v>7305</v>
      </c>
      <c r="AD15" s="49">
        <f>(高情景!AD15+低情景!AD15)/2</f>
        <v>7325</v>
      </c>
      <c r="AE15" s="49">
        <f>(高情景!AE15+低情景!AE15)/2</f>
        <v>7330</v>
      </c>
      <c r="AF15" s="49">
        <f>(高情景!AF15+低情景!AF15)/2</f>
        <v>7335</v>
      </c>
      <c r="AG15" s="49">
        <f>(高情景!AG15+低情景!AG15)/2</f>
        <v>7340</v>
      </c>
      <c r="AH15" s="49">
        <f>(高情景!AH15+低情景!AH15)/2</f>
        <v>7345</v>
      </c>
      <c r="AI15" s="49">
        <f>(高情景!AI15+低情景!AI15)/2</f>
        <v>7350</v>
      </c>
      <c r="AJ15" s="49">
        <f>(高情景!AJ15+低情景!AJ15)/2</f>
        <v>7355</v>
      </c>
      <c r="AK15" s="49">
        <f>(高情景!AK15+低情景!AK15)/2</f>
        <v>7360</v>
      </c>
      <c r="AL15" s="49">
        <f>(高情景!AL15+低情景!AL15)/2</f>
        <v>7365</v>
      </c>
      <c r="AM15" s="49">
        <f>(高情景!AM15+低情景!AM15)/2</f>
        <v>7370</v>
      </c>
      <c r="AN15" s="49">
        <f>(高情景!AN15+低情景!AN15)/2</f>
        <v>7375</v>
      </c>
      <c r="AO15" s="49">
        <f>(高情景!AO15+低情景!AO15)/2</f>
        <v>7375</v>
      </c>
      <c r="AP15" s="49">
        <f>(高情景!AP15+低情景!AP15)/2</f>
        <v>7375</v>
      </c>
      <c r="AQ15" s="49">
        <f>(高情景!AQ15+低情景!AQ15)/2</f>
        <v>7375</v>
      </c>
      <c r="AR15" s="49">
        <f>(高情景!AR15+低情景!AR15)/2</f>
        <v>7375</v>
      </c>
      <c r="AS15" s="50">
        <f>(高情景!AS15+低情景!AS15)/2</f>
        <v>7375</v>
      </c>
    </row>
    <row r="16" spans="1:45" x14ac:dyDescent="0.15">
      <c r="A16" s="17" t="s">
        <v>37</v>
      </c>
      <c r="B16" s="8" t="s">
        <v>38</v>
      </c>
      <c r="C16" s="9" t="s">
        <v>18</v>
      </c>
      <c r="D16" s="8" t="s">
        <v>26</v>
      </c>
      <c r="E16" s="48">
        <f>高情景!E16*0.5+低情景!E16*0.5</f>
        <v>239470.83</v>
      </c>
      <c r="F16" s="49">
        <f>高情景!F16*0.5+低情景!F16*0.5</f>
        <v>237724.49</v>
      </c>
      <c r="G16" s="49">
        <f>高情景!G16*0.5+低情景!G16*0.5</f>
        <v>212927.18</v>
      </c>
      <c r="H16" s="49">
        <f>高情景!H16*0.5+低情景!H16*0.5</f>
        <v>213618.12</v>
      </c>
      <c r="I16" s="49">
        <f>高情景!I16*0.45+低情景!I16*0.55</f>
        <v>213975.72666666668</v>
      </c>
      <c r="J16" s="49">
        <f>高情景!J16*0.37+低情景!J16*0.63</f>
        <v>213700</v>
      </c>
      <c r="K16" s="49">
        <f>高情景!K16*0.7+低情景!K16*0.3</f>
        <v>215060</v>
      </c>
      <c r="L16" s="49">
        <f>高情景!L16*0.8+低情景!L16*0.2</f>
        <v>214080</v>
      </c>
      <c r="M16" s="49">
        <f>高情景!M16*0.65+低情景!M16*0.35</f>
        <v>210710</v>
      </c>
      <c r="N16" s="49">
        <f>高情景!N16*0.55+低情景!N16*0.45</f>
        <v>207860</v>
      </c>
      <c r="O16" s="49">
        <f>高情景!O16*0.5+低情景!O16*0.5</f>
        <v>205500</v>
      </c>
      <c r="P16" s="49">
        <f>(高情景!P16+低情景!P16)/2</f>
        <v>202700</v>
      </c>
      <c r="Q16" s="49">
        <f>(高情景!Q16+低情景!Q16)/2</f>
        <v>199900</v>
      </c>
      <c r="R16" s="49">
        <f>(高情景!R16+低情景!R16)/2</f>
        <v>197100</v>
      </c>
      <c r="S16" s="49">
        <f>(高情景!S16+低情景!S16)/2</f>
        <v>194300</v>
      </c>
      <c r="T16" s="49">
        <f>(高情景!T16+低情景!T16)/2</f>
        <v>191500</v>
      </c>
      <c r="U16" s="49">
        <f>(高情景!U16+低情景!U16)/2</f>
        <v>187700</v>
      </c>
      <c r="V16" s="49">
        <f>(高情景!V16+低情景!V16)/2</f>
        <v>183900</v>
      </c>
      <c r="W16" s="49">
        <f>(高情景!W16+低情景!W16)/2</f>
        <v>180100</v>
      </c>
      <c r="X16" s="49">
        <f>(高情景!X16+低情景!X16)/2</f>
        <v>176300</v>
      </c>
      <c r="Y16" s="49">
        <f>(高情景!Y16+低情景!Y16)/2</f>
        <v>172500</v>
      </c>
      <c r="Z16" s="49">
        <f>(高情景!Z16+低情景!Z16)/2</f>
        <v>168500</v>
      </c>
      <c r="AA16" s="49">
        <f>(高情景!AA16+低情景!AA16)/2</f>
        <v>164500</v>
      </c>
      <c r="AB16" s="49">
        <f>(高情景!AB16+低情景!AB16)/2</f>
        <v>160500</v>
      </c>
      <c r="AC16" s="49">
        <f>(高情景!AC16+低情景!AC16)/2</f>
        <v>156500</v>
      </c>
      <c r="AD16" s="49">
        <f>(高情景!AD16+低情景!AD16)/2</f>
        <v>152500</v>
      </c>
      <c r="AE16" s="49">
        <f>(高情景!AE16+低情景!AE16)/2</f>
        <v>148500</v>
      </c>
      <c r="AF16" s="49">
        <f>(高情景!AF16+低情景!AF16)/2</f>
        <v>144500</v>
      </c>
      <c r="AG16" s="49">
        <f>(高情景!AG16+低情景!AG16)/2</f>
        <v>140500</v>
      </c>
      <c r="AH16" s="49">
        <f>(高情景!AH16+低情景!AH16)/2</f>
        <v>136500</v>
      </c>
      <c r="AI16" s="49">
        <f>(高情景!AI16+低情景!AI16)/2</f>
        <v>132500</v>
      </c>
      <c r="AJ16" s="49">
        <f>(高情景!AJ16+低情景!AJ16)/2</f>
        <v>129500</v>
      </c>
      <c r="AK16" s="49">
        <f>(高情景!AK16+低情景!AK16)/2</f>
        <v>126500</v>
      </c>
      <c r="AL16" s="49">
        <f>(高情景!AL16+低情景!AL16)/2</f>
        <v>123500</v>
      </c>
      <c r="AM16" s="49">
        <f>(高情景!AM16+低情景!AM16)/2</f>
        <v>120500</v>
      </c>
      <c r="AN16" s="49">
        <f>(高情景!AN16+低情景!AN16)/2</f>
        <v>117500</v>
      </c>
      <c r="AO16" s="49">
        <f>(高情景!AO16+低情景!AO16)/2</f>
        <v>115400</v>
      </c>
      <c r="AP16" s="49">
        <f>(高情景!AP16+低情景!AP16)/2</f>
        <v>113300</v>
      </c>
      <c r="AQ16" s="49">
        <f>(高情景!AQ16+低情景!AQ16)/2</f>
        <v>111200</v>
      </c>
      <c r="AR16" s="49">
        <f>(高情景!AR16+低情景!AR16)/2</f>
        <v>109100</v>
      </c>
      <c r="AS16" s="50">
        <f>(高情景!AS16+低情景!AS16)/2</f>
        <v>107000</v>
      </c>
    </row>
    <row r="17" spans="1:48" x14ac:dyDescent="0.15">
      <c r="A17" s="17" t="s">
        <v>37</v>
      </c>
      <c r="B17" s="8" t="s">
        <v>39</v>
      </c>
      <c r="C17" s="9" t="s">
        <v>40</v>
      </c>
      <c r="D17" s="8" t="s">
        <v>26</v>
      </c>
      <c r="E17" s="48">
        <f>高情景!E17*0.5+低情景!E17*0.5</f>
        <v>95227.79</v>
      </c>
      <c r="F17" s="49">
        <f>高情景!F17*0.5+低情景!F17*0.5</f>
        <v>101727.37</v>
      </c>
      <c r="G17" s="49">
        <f>高情景!G17*0.5+低情景!G17*0.5</f>
        <v>101668.65</v>
      </c>
      <c r="H17" s="49">
        <f>高情景!H17*0.5+低情景!H17*0.5</f>
        <v>104612.43333333332</v>
      </c>
      <c r="I17" s="49">
        <f>高情景!I17*0.45+低情景!I17*0.55</f>
        <v>107389.54999999999</v>
      </c>
      <c r="J17" s="49">
        <f>高情景!J17*0.37+低情景!J17*0.63</f>
        <v>109850</v>
      </c>
      <c r="K17" s="49">
        <f>高情景!K17*0.7+低情景!K17*0.3</f>
        <v>111900</v>
      </c>
      <c r="L17" s="49">
        <f>高情景!L17*0.8+低情景!L17*0.2</f>
        <v>112800</v>
      </c>
      <c r="M17" s="49">
        <f>高情景!M17*0.65+低情景!M17*0.35</f>
        <v>112450</v>
      </c>
      <c r="N17" s="49">
        <f>高情景!N17*0.55+低情景!N17*0.45</f>
        <v>112350</v>
      </c>
      <c r="O17" s="49">
        <f>高情景!O17*0.5+低情景!O17*0.5</f>
        <v>112500</v>
      </c>
      <c r="P17" s="49">
        <f>(高情景!P17+低情景!P17)/2</f>
        <v>111700</v>
      </c>
      <c r="Q17" s="49">
        <f>(高情景!Q17+低情景!Q17)/2</f>
        <v>110900</v>
      </c>
      <c r="R17" s="49">
        <f>(高情景!R17+低情景!R17)/2</f>
        <v>110100</v>
      </c>
      <c r="S17" s="49">
        <f>(高情景!S17+低情景!S17)/2</f>
        <v>109300</v>
      </c>
      <c r="T17" s="49">
        <f>(高情景!T17+低情景!T17)/2</f>
        <v>108500</v>
      </c>
      <c r="U17" s="49">
        <f>(高情景!U17+低情景!U17)/2</f>
        <v>106900</v>
      </c>
      <c r="V17" s="49">
        <f>(高情景!V17+低情景!V17)/2</f>
        <v>105300</v>
      </c>
      <c r="W17" s="49">
        <f>(高情景!W17+低情景!W17)/2</f>
        <v>103700</v>
      </c>
      <c r="X17" s="49">
        <f>(高情景!X17+低情景!X17)/2</f>
        <v>102100</v>
      </c>
      <c r="Y17" s="49">
        <f>(高情景!Y17+低情景!Y17)/2</f>
        <v>100500</v>
      </c>
      <c r="Z17" s="49">
        <f>(高情景!Z17+低情景!Z17)/2</f>
        <v>98500</v>
      </c>
      <c r="AA17" s="49">
        <f>(高情景!AA17+低情景!AA17)/2</f>
        <v>96500</v>
      </c>
      <c r="AB17" s="49">
        <f>(高情景!AB17+低情景!AB17)/2</f>
        <v>94500</v>
      </c>
      <c r="AC17" s="49">
        <f>(高情景!AC17+低情景!AC17)/2</f>
        <v>92500</v>
      </c>
      <c r="AD17" s="49">
        <f>(高情景!AD17+低情景!AD17)/2</f>
        <v>90500</v>
      </c>
      <c r="AE17" s="49">
        <f>(高情景!AE17+低情景!AE17)/2</f>
        <v>89200</v>
      </c>
      <c r="AF17" s="49">
        <f>(高情景!AF17+低情景!AF17)/2</f>
        <v>87900</v>
      </c>
      <c r="AG17" s="49">
        <f>(高情景!AG17+低情景!AG17)/2</f>
        <v>86600</v>
      </c>
      <c r="AH17" s="49">
        <f>(高情景!AH17+低情景!AH17)/2</f>
        <v>85300</v>
      </c>
      <c r="AI17" s="49">
        <f>(高情景!AI17+低情景!AI17)/2</f>
        <v>84000</v>
      </c>
      <c r="AJ17" s="49">
        <f>(高情景!AJ17+低情景!AJ17)/2</f>
        <v>83000</v>
      </c>
      <c r="AK17" s="49">
        <f>(高情景!AK17+低情景!AK17)/2</f>
        <v>82000</v>
      </c>
      <c r="AL17" s="49">
        <f>(高情景!AL17+低情景!AL17)/2</f>
        <v>81000</v>
      </c>
      <c r="AM17" s="49">
        <f>(高情景!AM17+低情景!AM17)/2</f>
        <v>80000</v>
      </c>
      <c r="AN17" s="49">
        <f>(高情景!AN17+低情景!AN17)/2</f>
        <v>79000</v>
      </c>
      <c r="AO17" s="49">
        <f>(高情景!AO17+低情景!AO17)/2</f>
        <v>78300</v>
      </c>
      <c r="AP17" s="49">
        <f>(高情景!AP17+低情景!AP17)/2</f>
        <v>77600</v>
      </c>
      <c r="AQ17" s="49">
        <f>(高情景!AQ17+低情景!AQ17)/2</f>
        <v>76900</v>
      </c>
      <c r="AR17" s="49">
        <f>(高情景!AR17+低情景!AR17)/2</f>
        <v>76200</v>
      </c>
      <c r="AS17" s="50">
        <f>(高情景!AS17+低情景!AS17)/2</f>
        <v>75500</v>
      </c>
    </row>
    <row r="18" spans="1:48" x14ac:dyDescent="0.15">
      <c r="A18" s="18" t="s">
        <v>41</v>
      </c>
      <c r="B18" s="8" t="s">
        <v>42</v>
      </c>
      <c r="C18" s="9" t="s">
        <v>18</v>
      </c>
      <c r="D18" s="8" t="s">
        <v>26</v>
      </c>
      <c r="E18" s="48">
        <f>高情景!E18*0.5+低情景!E18*0.5</f>
        <v>106476.68</v>
      </c>
      <c r="F18" s="49">
        <f>高情景!F18*0.5+低情景!F18*0.5</f>
        <v>103524.26</v>
      </c>
      <c r="G18" s="49">
        <f>高情景!G18*0.5+低情景!G18*0.5</f>
        <v>101795.9</v>
      </c>
      <c r="H18" s="49">
        <f>高情景!H18*0.5+低情景!H18*0.5</f>
        <v>103215.29999999999</v>
      </c>
      <c r="I18" s="49">
        <f>高情景!I18*0.45+低情景!I18*0.55</f>
        <v>103269.38500000001</v>
      </c>
      <c r="J18" s="49">
        <f>高情景!J18*0.37+低情景!J18*0.63</f>
        <v>108110</v>
      </c>
      <c r="K18" s="49">
        <f>高情景!K18*0.7+低情景!K18*0.3</f>
        <v>110500</v>
      </c>
      <c r="L18" s="49">
        <f>高情景!L18*0.8+低情景!L18*0.2</f>
        <v>112200</v>
      </c>
      <c r="M18" s="49">
        <f>高情景!M18*0.65+低情景!M18*0.35</f>
        <v>113150</v>
      </c>
      <c r="N18" s="49">
        <f>高情景!N18*0.55+低情景!N18*0.45</f>
        <v>114250</v>
      </c>
      <c r="O18" s="49">
        <f>高情景!O18*0.5+低情景!O18*0.5</f>
        <v>115500</v>
      </c>
      <c r="P18" s="49">
        <f>(高情景!P18+低情景!P18)/2</f>
        <v>115000</v>
      </c>
      <c r="Q18" s="49">
        <f>(高情景!Q18+低情景!Q18)/2</f>
        <v>114500</v>
      </c>
      <c r="R18" s="49">
        <f>(高情景!R18+低情景!R18)/2</f>
        <v>114000</v>
      </c>
      <c r="S18" s="49">
        <f>(高情景!S18+低情景!S18)/2</f>
        <v>113500</v>
      </c>
      <c r="T18" s="49">
        <f>(高情景!T18+低情景!T18)/2</f>
        <v>113000</v>
      </c>
      <c r="U18" s="49">
        <f>(高情景!U18+低情景!U18)/2</f>
        <v>111100</v>
      </c>
      <c r="V18" s="49">
        <f>(高情景!V18+低情景!V18)/2</f>
        <v>109200</v>
      </c>
      <c r="W18" s="49">
        <f>(高情景!W18+低情景!W18)/2</f>
        <v>107300</v>
      </c>
      <c r="X18" s="49">
        <f>(高情景!X18+低情景!X18)/2</f>
        <v>105400</v>
      </c>
      <c r="Y18" s="49">
        <f>(高情景!Y18+低情景!Y18)/2</f>
        <v>103500</v>
      </c>
      <c r="Z18" s="49">
        <f>(高情景!Z18+低情景!Z18)/2</f>
        <v>101100</v>
      </c>
      <c r="AA18" s="49">
        <f>(高情景!AA18+低情景!AA18)/2</f>
        <v>98700</v>
      </c>
      <c r="AB18" s="49">
        <f>(高情景!AB18+低情景!AB18)/2</f>
        <v>96300</v>
      </c>
      <c r="AC18" s="49">
        <f>(高情景!AC18+低情景!AC18)/2</f>
        <v>93900</v>
      </c>
      <c r="AD18" s="49">
        <f>(高情景!AD18+低情景!AD18)/2</f>
        <v>91500</v>
      </c>
      <c r="AE18" s="49">
        <f>(高情景!AE18+低情景!AE18)/2</f>
        <v>89500</v>
      </c>
      <c r="AF18" s="49">
        <f>(高情景!AF18+低情景!AF18)/2</f>
        <v>87500</v>
      </c>
      <c r="AG18" s="49">
        <f>(高情景!AG18+低情景!AG18)/2</f>
        <v>85500</v>
      </c>
      <c r="AH18" s="49">
        <f>(高情景!AH18+低情景!AH18)/2</f>
        <v>83500</v>
      </c>
      <c r="AI18" s="49">
        <f>(高情景!AI18+低情景!AI18)/2</f>
        <v>81500</v>
      </c>
      <c r="AJ18" s="49">
        <f>(高情景!AJ18+低情景!AJ18)/2</f>
        <v>79300</v>
      </c>
      <c r="AK18" s="49">
        <f>(高情景!AK18+低情景!AK18)/2</f>
        <v>77100</v>
      </c>
      <c r="AL18" s="49">
        <f>(高情景!AL18+低情景!AL18)/2</f>
        <v>74900</v>
      </c>
      <c r="AM18" s="49">
        <f>(高情景!AM18+低情景!AM18)/2</f>
        <v>72700</v>
      </c>
      <c r="AN18" s="49">
        <f>(高情景!AN18+低情景!AN18)/2</f>
        <v>70500</v>
      </c>
      <c r="AO18" s="49">
        <f>(高情景!AO18+低情景!AO18)/2</f>
        <v>69000</v>
      </c>
      <c r="AP18" s="49">
        <f>(高情景!AP18+低情景!AP18)/2</f>
        <v>67500</v>
      </c>
      <c r="AQ18" s="49">
        <f>(高情景!AQ18+低情景!AQ18)/2</f>
        <v>66000</v>
      </c>
      <c r="AR18" s="49">
        <f>(高情景!AR18+低情景!AR18)/2</f>
        <v>64500</v>
      </c>
      <c r="AS18" s="50">
        <f>(高情景!AS18+低情景!AS18)/2</f>
        <v>63000</v>
      </c>
    </row>
    <row r="19" spans="1:48" x14ac:dyDescent="0.15">
      <c r="A19" s="17" t="s">
        <v>43</v>
      </c>
      <c r="B19" s="8" t="s">
        <v>44</v>
      </c>
      <c r="C19" s="9" t="s">
        <v>18</v>
      </c>
      <c r="D19" s="8" t="s">
        <v>26</v>
      </c>
      <c r="E19" s="48">
        <f>高情景!E19*0.5+低情景!E19*0.5</f>
        <v>3708.04</v>
      </c>
      <c r="F19" s="49">
        <f>高情景!F19*0.5+低情景!F19*0.5</f>
        <v>3850.32</v>
      </c>
      <c r="G19" s="49">
        <f>高情景!G19*0.5+低情景!G19*0.5</f>
        <v>4014.43</v>
      </c>
      <c r="H19" s="49">
        <f>高情景!H19*0.5+低情景!H19*0.5</f>
        <v>4167.9533333333329</v>
      </c>
      <c r="I19" s="49">
        <f>高情景!I19*0.45+低情景!I19*0.55</f>
        <v>4319.8100000000004</v>
      </c>
      <c r="J19" s="49">
        <f>高情景!J19*0.37+低情景!J19*0.63</f>
        <v>4468.5</v>
      </c>
      <c r="K19" s="49">
        <f>高情景!K19*0.7+低情景!K19*0.3</f>
        <v>4553.8</v>
      </c>
      <c r="L19" s="49">
        <f>高情景!L19*0.8+低情景!L19*0.2</f>
        <v>4628.3999999999996</v>
      </c>
      <c r="M19" s="49">
        <f>高情景!M19*0.65+低情景!M19*0.35</f>
        <v>4688.3</v>
      </c>
      <c r="N19" s="49">
        <f>高情景!N19*0.55+低情景!N19*0.45</f>
        <v>4750.3</v>
      </c>
      <c r="O19" s="49">
        <f>高情景!O19*0.5+低情景!O19*0.5</f>
        <v>4815</v>
      </c>
      <c r="P19" s="49">
        <f>(高情景!P19+低情景!P19)/2</f>
        <v>4847</v>
      </c>
      <c r="Q19" s="49">
        <f>(高情景!Q19+低情景!Q19)/2</f>
        <v>4879</v>
      </c>
      <c r="R19" s="49">
        <f>(高情景!R19+低情景!R19)/2</f>
        <v>4911</v>
      </c>
      <c r="S19" s="49">
        <f>(高情景!S19+低情景!S19)/2</f>
        <v>4943</v>
      </c>
      <c r="T19" s="49">
        <f>(高情景!T19+低情景!T19)/2</f>
        <v>4975</v>
      </c>
      <c r="U19" s="49">
        <f>(高情景!U19+低情景!U19)/2</f>
        <v>4955</v>
      </c>
      <c r="V19" s="49">
        <f>(高情景!V19+低情景!V19)/2</f>
        <v>4935</v>
      </c>
      <c r="W19" s="49">
        <f>(高情景!W19+低情景!W19)/2</f>
        <v>4915</v>
      </c>
      <c r="X19" s="49">
        <f>(高情景!X19+低情景!X19)/2</f>
        <v>4895</v>
      </c>
      <c r="Y19" s="49">
        <f>(高情景!Y19+低情景!Y19)/2</f>
        <v>4875</v>
      </c>
      <c r="Z19" s="49">
        <f>(高情景!Z19+低情景!Z19)/2</f>
        <v>4835</v>
      </c>
      <c r="AA19" s="49">
        <f>(高情景!AA19+低情景!AA19)/2</f>
        <v>4795</v>
      </c>
      <c r="AB19" s="49">
        <f>(高情景!AB19+低情景!AB19)/2</f>
        <v>4755</v>
      </c>
      <c r="AC19" s="49">
        <f>(高情景!AC19+低情景!AC19)/2</f>
        <v>4715</v>
      </c>
      <c r="AD19" s="49">
        <f>(高情景!AD19+低情景!AD19)/2</f>
        <v>4675</v>
      </c>
      <c r="AE19" s="49">
        <f>(高情景!AE19+低情景!AE19)/2</f>
        <v>4610</v>
      </c>
      <c r="AF19" s="49">
        <f>(高情景!AF19+低情景!AF19)/2</f>
        <v>4545</v>
      </c>
      <c r="AG19" s="49">
        <f>(高情景!AG19+低情景!AG19)/2</f>
        <v>4480</v>
      </c>
      <c r="AH19" s="49">
        <f>(高情景!AH19+低情景!AH19)/2</f>
        <v>4415</v>
      </c>
      <c r="AI19" s="49">
        <f>(高情景!AI19+低情景!AI19)/2</f>
        <v>4350</v>
      </c>
      <c r="AJ19" s="49">
        <f>(高情景!AJ19+低情景!AJ19)/2</f>
        <v>4285</v>
      </c>
      <c r="AK19" s="49">
        <f>(高情景!AK19+低情景!AK19)/2</f>
        <v>4220</v>
      </c>
      <c r="AL19" s="49">
        <f>(高情景!AL19+低情景!AL19)/2</f>
        <v>4155</v>
      </c>
      <c r="AM19" s="49">
        <f>(高情景!AM19+低情景!AM19)/2</f>
        <v>4090</v>
      </c>
      <c r="AN19" s="49">
        <f>(高情景!AN19+低情景!AN19)/2</f>
        <v>4025</v>
      </c>
      <c r="AO19" s="49">
        <f>(高情景!AO19+低情景!AO19)/2</f>
        <v>3960</v>
      </c>
      <c r="AP19" s="49">
        <f>(高情景!AP19+低情景!AP19)/2</f>
        <v>3895</v>
      </c>
      <c r="AQ19" s="49">
        <f>(高情景!AQ19+低情景!AQ19)/2</f>
        <v>3830</v>
      </c>
      <c r="AR19" s="49">
        <f>(高情景!AR19+低情景!AR19)/2</f>
        <v>3765</v>
      </c>
      <c r="AS19" s="50">
        <f>(高情景!AS19+低情景!AS19)/2</f>
        <v>3700</v>
      </c>
    </row>
    <row r="20" spans="1:48" x14ac:dyDescent="0.15">
      <c r="A20" s="17" t="s">
        <v>43</v>
      </c>
      <c r="B20" s="39" t="s">
        <v>45</v>
      </c>
      <c r="C20" s="9" t="s">
        <v>18</v>
      </c>
      <c r="D20" s="8" t="s">
        <v>46</v>
      </c>
      <c r="E20" s="48">
        <f>高情景!E20*0.5+低情景!E20*0.5</f>
        <v>1002.51</v>
      </c>
      <c r="F20" s="49">
        <f>高情景!F20*0.5+低情景!F20*0.5</f>
        <v>1048.67</v>
      </c>
      <c r="G20" s="49">
        <f>高情景!G20*0.5+低情景!G20*0.5</f>
        <v>1111.53</v>
      </c>
      <c r="H20" s="49">
        <f>高情景!H20*0.5+低情景!H20*0.5</f>
        <v>1257.6866666666667</v>
      </c>
      <c r="I20" s="49">
        <f>高情景!I20*0.45+低情景!I20*0.55</f>
        <v>1403.8433333333335</v>
      </c>
      <c r="J20" s="49">
        <f>高情景!J20*0.37+低情景!J20*0.63</f>
        <v>1550</v>
      </c>
      <c r="K20" s="49">
        <f>高情景!K20*0.7+低情景!K20*0.3</f>
        <v>1621.8</v>
      </c>
      <c r="L20" s="49">
        <f>高情景!L20*0.8+低情景!L20*0.2</f>
        <v>1692.4</v>
      </c>
      <c r="M20" s="49">
        <f>高情景!M20*0.65+低情景!M20*0.35</f>
        <v>1766.3</v>
      </c>
      <c r="N20" s="49">
        <f>高情景!N20*0.55+低情景!N20*0.45</f>
        <v>1840.8000000000002</v>
      </c>
      <c r="O20" s="49">
        <f>高情景!O20*0.5+低情景!O20*0.5</f>
        <v>1915</v>
      </c>
      <c r="P20" s="49">
        <f>(高情景!P20+低情景!P20)/2</f>
        <v>1956</v>
      </c>
      <c r="Q20" s="49">
        <f>(高情景!Q20+低情景!Q20)/2</f>
        <v>1997</v>
      </c>
      <c r="R20" s="49">
        <f>(高情景!R20+低情景!R20)/2</f>
        <v>2038</v>
      </c>
      <c r="S20" s="49">
        <f>(高情景!S20+低情景!S20)/2</f>
        <v>2079</v>
      </c>
      <c r="T20" s="49">
        <f>(高情景!T20+低情景!T20)/2</f>
        <v>2120</v>
      </c>
      <c r="U20" s="49">
        <f>(高情景!U20+低情景!U20)/2</f>
        <v>2144</v>
      </c>
      <c r="V20" s="49">
        <f>(高情景!V20+低情景!V20)/2</f>
        <v>2168</v>
      </c>
      <c r="W20" s="49">
        <f>(高情景!W20+低情景!W20)/2</f>
        <v>2192</v>
      </c>
      <c r="X20" s="49">
        <f>(高情景!X20+低情景!X20)/2</f>
        <v>2216</v>
      </c>
      <c r="Y20" s="49">
        <f>(高情景!Y20+低情景!Y20)/2</f>
        <v>2240</v>
      </c>
      <c r="Z20" s="49">
        <f>(高情景!Z20+低情景!Z20)/2</f>
        <v>2248</v>
      </c>
      <c r="AA20" s="49">
        <f>(高情景!AA20+低情景!AA20)/2</f>
        <v>2256</v>
      </c>
      <c r="AB20" s="49">
        <f>(高情景!AB20+低情景!AB20)/2</f>
        <v>2264</v>
      </c>
      <c r="AC20" s="49">
        <f>(高情景!AC20+低情景!AC20)/2</f>
        <v>2272</v>
      </c>
      <c r="AD20" s="49">
        <f>(高情景!AD20+低情景!AD20)/2</f>
        <v>2280</v>
      </c>
      <c r="AE20" s="49">
        <f>(高情景!AE20+低情景!AE20)/2</f>
        <v>2289</v>
      </c>
      <c r="AF20" s="49">
        <f>(高情景!AF20+低情景!AF20)/2</f>
        <v>2298</v>
      </c>
      <c r="AG20" s="49">
        <f>(高情景!AG20+低情景!AG20)/2</f>
        <v>2307</v>
      </c>
      <c r="AH20" s="49">
        <f>(高情景!AH20+低情景!AH20)/2</f>
        <v>2316</v>
      </c>
      <c r="AI20" s="49">
        <f>(高情景!AI20+低情景!AI20)/2</f>
        <v>2325</v>
      </c>
      <c r="AJ20" s="49">
        <f>(高情景!AJ20+低情景!AJ20)/2</f>
        <v>2335</v>
      </c>
      <c r="AK20" s="49">
        <f>(高情景!AK20+低情景!AK20)/2</f>
        <v>2345</v>
      </c>
      <c r="AL20" s="49">
        <f>(高情景!AL20+低情景!AL20)/2</f>
        <v>2355</v>
      </c>
      <c r="AM20" s="49">
        <f>(高情景!AM20+低情景!AM20)/2</f>
        <v>2365</v>
      </c>
      <c r="AN20" s="49">
        <f>(高情景!AN20+低情景!AN20)/2</f>
        <v>2375</v>
      </c>
      <c r="AO20" s="49">
        <f>(高情景!AO20+低情景!AO20)/2</f>
        <v>2384</v>
      </c>
      <c r="AP20" s="49">
        <f>(高情景!AP20+低情景!AP20)/2</f>
        <v>2393</v>
      </c>
      <c r="AQ20" s="49">
        <f>(高情景!AQ20+低情景!AQ20)/2</f>
        <v>2402</v>
      </c>
      <c r="AR20" s="49">
        <f>(高情景!AR20+低情景!AR20)/2</f>
        <v>2411</v>
      </c>
      <c r="AS20" s="50">
        <f>(高情景!AS20+低情景!AS20)/2</f>
        <v>2420</v>
      </c>
    </row>
    <row r="21" spans="1:48" x14ac:dyDescent="0.15">
      <c r="A21" s="20" t="s">
        <v>47</v>
      </c>
      <c r="B21" s="21" t="s">
        <v>48</v>
      </c>
      <c r="C21" s="22" t="s">
        <v>49</v>
      </c>
      <c r="D21" s="21" t="s">
        <v>50</v>
      </c>
      <c r="E21" s="51">
        <f>高情景!E21*0.5+低情景!E21*0.5</f>
        <v>2532.4899999999998</v>
      </c>
      <c r="F21" s="52">
        <f>高情景!F21*0.5+低情景!F21*0.5</f>
        <v>2625.7</v>
      </c>
      <c r="G21" s="52">
        <f>高情景!G21*0.5+低情景!G21*0.5</f>
        <v>2713.63</v>
      </c>
      <c r="H21" s="52">
        <f>高情景!H21*0.5+低情景!H21*0.5</f>
        <v>2969.8112499999997</v>
      </c>
      <c r="I21" s="52">
        <f>高情景!I21*0.45+低情景!I21*0.55</f>
        <v>3230.2133166666667</v>
      </c>
      <c r="J21" s="52">
        <f>高情景!J21*0.37+低情景!J21*0.63</f>
        <v>3498.6349349999991</v>
      </c>
      <c r="K21" s="52">
        <f>高情景!K21*0.7+低情景!K21*0.3</f>
        <v>3559.2740011111109</v>
      </c>
      <c r="L21" s="52">
        <f>高情景!L21*0.8+低情景!L21*0.2</f>
        <v>3648.2863348148148</v>
      </c>
      <c r="M21" s="52">
        <f>高情景!M21*0.65+低情景!M21*0.35</f>
        <v>3771.0183038888886</v>
      </c>
      <c r="N21" s="52">
        <f>高情景!N21*0.55+低情景!N21*0.45</f>
        <v>3887.7942316666658</v>
      </c>
      <c r="O21" s="52">
        <f>高情景!O21*0.5+低情景!O21*0.5</f>
        <v>3998.0513425925919</v>
      </c>
      <c r="P21" s="52">
        <f>(高情景!P21+低情景!P21)/2</f>
        <v>4049.6391018518511</v>
      </c>
      <c r="Q21" s="52">
        <f>(高情景!Q21+低情景!Q21)/2</f>
        <v>4101.2268611111103</v>
      </c>
      <c r="R21" s="52">
        <f>(高情景!R21+低情景!R21)/2</f>
        <v>4152.8146203703691</v>
      </c>
      <c r="S21" s="52">
        <f>(高情景!S21+低情景!S21)/2</f>
        <v>4204.4023796296278</v>
      </c>
      <c r="T21" s="52">
        <f>(高情景!T21+低情景!T21)/2</f>
        <v>4255.9901388888884</v>
      </c>
      <c r="U21" s="52">
        <f>(高情景!U21+低情景!U21)/2</f>
        <v>4269.3560583333328</v>
      </c>
      <c r="V21" s="52">
        <f>(高情景!V21+低情景!V21)/2</f>
        <v>4282.7219777777773</v>
      </c>
      <c r="W21" s="52">
        <f>(高情景!W21+低情景!W21)/2</f>
        <v>4296.0878972222217</v>
      </c>
      <c r="X21" s="52">
        <f>(高情景!X21+低情景!X21)/2</f>
        <v>4309.4538166666662</v>
      </c>
      <c r="Y21" s="52">
        <f>(高情景!Y21+低情景!Y21)/2</f>
        <v>4322.8197361111106</v>
      </c>
      <c r="Z21" s="52">
        <f>(高情景!Z21+低情景!Z21)/2</f>
        <v>4323.4582699145285</v>
      </c>
      <c r="AA21" s="52">
        <f>(高情景!AA21+低情景!AA21)/2</f>
        <v>4324.0968037179482</v>
      </c>
      <c r="AB21" s="52">
        <f>(高情景!AB21+低情景!AB21)/2</f>
        <v>4324.7353375213661</v>
      </c>
      <c r="AC21" s="52">
        <f>(高情景!AC21+低情景!AC21)/2</f>
        <v>4325.3738713247858</v>
      </c>
      <c r="AD21" s="52">
        <f>(高情景!AD21+低情景!AD21)/2</f>
        <v>4326.0124051282037</v>
      </c>
      <c r="AE21" s="52">
        <f>(高情景!AE21+低情景!AE21)/2</f>
        <v>4312.4936163621787</v>
      </c>
      <c r="AF21" s="52">
        <f>(高情景!AF21+低情景!AF21)/2</f>
        <v>4298.9748275961538</v>
      </c>
      <c r="AG21" s="52">
        <f>(高情景!AG21+低情景!AG21)/2</f>
        <v>4285.4560388301279</v>
      </c>
      <c r="AH21" s="52">
        <f>(高情景!AH21+低情景!AH21)/2</f>
        <v>4271.937250064102</v>
      </c>
      <c r="AI21" s="52">
        <f>(高情景!AI21+低情景!AI21)/2</f>
        <v>4258.4184612980762</v>
      </c>
      <c r="AJ21" s="52">
        <f>(高情景!AJ21+低情景!AJ21)/2</f>
        <v>4253.010945791666</v>
      </c>
      <c r="AK21" s="52">
        <f>(高情景!AK21+低情景!AK21)/2</f>
        <v>4247.6034302852559</v>
      </c>
      <c r="AL21" s="52">
        <f>(高情景!AL21+低情景!AL21)/2</f>
        <v>4242.1959147788457</v>
      </c>
      <c r="AM21" s="52">
        <f>(高情景!AM21+低情景!AM21)/2</f>
        <v>4236.7883992724355</v>
      </c>
      <c r="AN21" s="52">
        <f>(高情景!AN21+低情景!AN21)/2</f>
        <v>4231.3808837660254</v>
      </c>
      <c r="AO21" s="52">
        <f>(高情景!AO21+低情景!AO21)/2</f>
        <v>4223.2696105064097</v>
      </c>
      <c r="AP21" s="52">
        <f>(高情景!AP21+低情景!AP21)/2</f>
        <v>4215.158337246794</v>
      </c>
      <c r="AQ21" s="52">
        <f>(高情景!AQ21+低情景!AQ21)/2</f>
        <v>4207.0470639871783</v>
      </c>
      <c r="AR21" s="52">
        <f>(高情景!AR21+低情景!AR21)/2</f>
        <v>4198.9357907275635</v>
      </c>
      <c r="AS21" s="53">
        <f>(高情景!AS21+低情景!AS21)/2</f>
        <v>4190.8245174679487</v>
      </c>
    </row>
    <row r="25" spans="1:48" ht="15" x14ac:dyDescent="0.25">
      <c r="A25" s="77" t="s">
        <v>99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</row>
    <row r="26" spans="1:48" x14ac:dyDescent="0.15">
      <c r="A26" s="54" t="s">
        <v>53</v>
      </c>
      <c r="B26" s="54" t="s">
        <v>54</v>
      </c>
      <c r="C26" s="55" t="s">
        <v>55</v>
      </c>
      <c r="D26" s="56" t="s">
        <v>56</v>
      </c>
      <c r="E26" s="56" t="s">
        <v>57</v>
      </c>
      <c r="F26" s="41">
        <v>2018</v>
      </c>
      <c r="G26" s="42">
        <v>2019</v>
      </c>
      <c r="H26" s="42">
        <v>2020</v>
      </c>
      <c r="I26" s="42">
        <v>2021</v>
      </c>
      <c r="J26" s="42">
        <v>2022</v>
      </c>
      <c r="K26" s="42">
        <v>2023</v>
      </c>
      <c r="L26" s="42">
        <v>2024</v>
      </c>
      <c r="M26" s="42">
        <v>2025</v>
      </c>
      <c r="N26" s="42">
        <v>2026</v>
      </c>
      <c r="O26" s="42">
        <v>2027</v>
      </c>
      <c r="P26" s="42">
        <v>2028</v>
      </c>
      <c r="Q26" s="42">
        <v>2029</v>
      </c>
      <c r="R26" s="42">
        <v>2030</v>
      </c>
      <c r="S26" s="42">
        <v>2031</v>
      </c>
      <c r="T26" s="42">
        <v>2032</v>
      </c>
      <c r="U26" s="42">
        <v>2033</v>
      </c>
      <c r="V26" s="42">
        <v>2034</v>
      </c>
      <c r="W26" s="42">
        <v>2035</v>
      </c>
      <c r="X26" s="42">
        <v>2036</v>
      </c>
      <c r="Y26" s="42">
        <v>2037</v>
      </c>
      <c r="Z26" s="42">
        <v>2038</v>
      </c>
      <c r="AA26" s="42">
        <v>2039</v>
      </c>
      <c r="AB26" s="42">
        <v>2040</v>
      </c>
      <c r="AC26" s="42">
        <v>2041</v>
      </c>
      <c r="AD26" s="42">
        <v>2042</v>
      </c>
      <c r="AE26" s="42">
        <v>2043</v>
      </c>
      <c r="AF26" s="42">
        <v>2044</v>
      </c>
      <c r="AG26" s="42">
        <v>2045</v>
      </c>
      <c r="AH26" s="42">
        <v>2046</v>
      </c>
      <c r="AI26" s="42">
        <v>2047</v>
      </c>
      <c r="AJ26" s="42">
        <v>2048</v>
      </c>
      <c r="AK26" s="42">
        <v>2049</v>
      </c>
      <c r="AL26" s="42">
        <v>2050</v>
      </c>
      <c r="AM26" s="42">
        <v>2051</v>
      </c>
      <c r="AN26" s="42">
        <v>2052</v>
      </c>
      <c r="AO26" s="42">
        <v>2053</v>
      </c>
      <c r="AP26" s="42">
        <v>2054</v>
      </c>
      <c r="AQ26" s="42">
        <v>2055</v>
      </c>
      <c r="AR26" s="42">
        <v>2056</v>
      </c>
      <c r="AS26" s="42">
        <v>2057</v>
      </c>
      <c r="AT26" s="42">
        <v>2058</v>
      </c>
      <c r="AU26" s="42">
        <v>2059</v>
      </c>
      <c r="AV26" s="43">
        <v>2060</v>
      </c>
    </row>
    <row r="27" spans="1:48" ht="14.25" x14ac:dyDescent="0.2">
      <c r="A27" s="57" t="s">
        <v>58</v>
      </c>
      <c r="B27" s="57" t="s">
        <v>59</v>
      </c>
      <c r="C27" s="58" t="s">
        <v>60</v>
      </c>
      <c r="D27" s="59" t="s">
        <v>61</v>
      </c>
      <c r="E27" s="60" t="s">
        <v>62</v>
      </c>
      <c r="F27" s="93">
        <f>F40</f>
        <v>13.953799999999999</v>
      </c>
      <c r="G27" s="94">
        <f t="shared" ref="G27:AV27" si="0">G40</f>
        <v>14.007930999999999</v>
      </c>
      <c r="H27" s="94">
        <f t="shared" si="0"/>
        <v>14.131351629999999</v>
      </c>
      <c r="I27" s="94">
        <f t="shared" si="0"/>
        <v>14.16016011</v>
      </c>
      <c r="J27" s="94">
        <f t="shared" si="0"/>
        <v>14.188968259999999</v>
      </c>
      <c r="K27" s="94">
        <f t="shared" si="0"/>
        <v>14.21777659</v>
      </c>
      <c r="L27" s="94">
        <f t="shared" si="0"/>
        <v>14.246584739999999</v>
      </c>
      <c r="M27" s="94">
        <f t="shared" si="0"/>
        <v>14.27539322</v>
      </c>
      <c r="N27" s="94">
        <f t="shared" si="0"/>
        <v>14.27109347</v>
      </c>
      <c r="O27" s="94">
        <f t="shared" si="0"/>
        <v>14.2667936</v>
      </c>
      <c r="P27" s="94">
        <f t="shared" si="0"/>
        <v>14.26249434</v>
      </c>
      <c r="Q27" s="94">
        <f t="shared" si="0"/>
        <v>14.258194469999999</v>
      </c>
      <c r="R27" s="94">
        <f t="shared" si="0"/>
        <v>14.25389472</v>
      </c>
      <c r="S27" s="94">
        <f t="shared" si="0"/>
        <v>14.234383210000001</v>
      </c>
      <c r="T27" s="94">
        <f t="shared" si="0"/>
        <v>14.21487207</v>
      </c>
      <c r="U27" s="94">
        <f t="shared" si="0"/>
        <v>14.19536108</v>
      </c>
      <c r="V27" s="94">
        <f t="shared" si="0"/>
        <v>14.175849940000001</v>
      </c>
      <c r="W27" s="94">
        <f t="shared" si="0"/>
        <v>14.15633843</v>
      </c>
      <c r="X27" s="94">
        <f t="shared" si="0"/>
        <v>14.120965379999999</v>
      </c>
      <c r="Y27" s="94">
        <f t="shared" si="0"/>
        <v>14.08559209</v>
      </c>
      <c r="Z27" s="94">
        <f t="shared" si="0"/>
        <v>14.050218709999999</v>
      </c>
      <c r="AA27" s="94">
        <f t="shared" si="0"/>
        <v>14.01484542</v>
      </c>
      <c r="AB27" s="94">
        <f t="shared" si="0"/>
        <v>13.97947237</v>
      </c>
      <c r="AC27" s="94">
        <f t="shared" si="0"/>
        <v>13.93101401</v>
      </c>
      <c r="AD27" s="94">
        <f t="shared" si="0"/>
        <v>13.882555740000001</v>
      </c>
      <c r="AE27" s="94">
        <f t="shared" si="0"/>
        <v>13.83409724</v>
      </c>
      <c r="AF27" s="94">
        <f t="shared" si="0"/>
        <v>13.785638970000001</v>
      </c>
      <c r="AG27" s="94">
        <f t="shared" si="0"/>
        <v>13.737180609999999</v>
      </c>
      <c r="AH27" s="94">
        <f t="shared" si="0"/>
        <v>13.66731802</v>
      </c>
      <c r="AI27" s="94">
        <f t="shared" si="0"/>
        <v>13.597455719999999</v>
      </c>
      <c r="AJ27" s="94">
        <f t="shared" si="0"/>
        <v>13.52759292</v>
      </c>
      <c r="AK27" s="94">
        <f t="shared" si="0"/>
        <v>13.45773062</v>
      </c>
      <c r="AL27" s="94">
        <f t="shared" si="0"/>
        <v>13.38786803</v>
      </c>
      <c r="AM27" s="94">
        <f t="shared" si="0"/>
        <v>13.29363728</v>
      </c>
      <c r="AN27" s="94">
        <f t="shared" si="0"/>
        <v>13.19940598</v>
      </c>
      <c r="AO27" s="94">
        <f t="shared" si="0"/>
        <v>13.105175389999999</v>
      </c>
      <c r="AP27" s="94">
        <f t="shared" si="0"/>
        <v>13.010944090000001</v>
      </c>
      <c r="AQ27" s="94">
        <f t="shared" si="0"/>
        <v>12.916713339999999</v>
      </c>
      <c r="AR27" s="94">
        <f t="shared" si="0"/>
        <v>12.803761980000001</v>
      </c>
      <c r="AS27" s="94">
        <f t="shared" si="0"/>
        <v>12.690810539999999</v>
      </c>
      <c r="AT27" s="94">
        <f t="shared" si="0"/>
        <v>12.577859249999999</v>
      </c>
      <c r="AU27" s="94">
        <f t="shared" si="0"/>
        <v>12.46490781</v>
      </c>
      <c r="AV27" s="95">
        <f t="shared" si="0"/>
        <v>12.351956449999999</v>
      </c>
    </row>
    <row r="28" spans="1:48" x14ac:dyDescent="0.15">
      <c r="A28" s="61" t="s">
        <v>63</v>
      </c>
      <c r="B28" s="62" t="s">
        <v>64</v>
      </c>
      <c r="C28" s="63" t="s">
        <v>65</v>
      </c>
      <c r="D28" s="64" t="s">
        <v>66</v>
      </c>
      <c r="E28" s="65" t="s">
        <v>67</v>
      </c>
      <c r="F28" s="78">
        <v>36.979999999999997</v>
      </c>
      <c r="G28" s="79">
        <v>38.46</v>
      </c>
      <c r="H28" s="80">
        <f>E2</f>
        <v>39.020000000000003</v>
      </c>
      <c r="I28" s="80">
        <f t="shared" ref="I28:AV30" si="1">F2</f>
        <v>41.26</v>
      </c>
      <c r="J28" s="80">
        <f t="shared" si="1"/>
        <v>45.59</v>
      </c>
      <c r="K28" s="80">
        <f t="shared" si="1"/>
        <v>46.476666666666674</v>
      </c>
      <c r="L28" s="80">
        <f t="shared" si="1"/>
        <v>47.346666666666671</v>
      </c>
      <c r="M28" s="80">
        <f t="shared" si="1"/>
        <v>48.185000000000002</v>
      </c>
      <c r="N28" s="80">
        <f t="shared" si="1"/>
        <v>48.58</v>
      </c>
      <c r="O28" s="80">
        <f t="shared" si="1"/>
        <v>49.040000000000006</v>
      </c>
      <c r="P28" s="80">
        <f t="shared" si="1"/>
        <v>48.879999999999995</v>
      </c>
      <c r="Q28" s="80">
        <f t="shared" si="1"/>
        <v>48.655000000000001</v>
      </c>
      <c r="R28" s="80">
        <f t="shared" si="1"/>
        <v>48.5</v>
      </c>
      <c r="S28" s="80">
        <f t="shared" si="1"/>
        <v>48.3</v>
      </c>
      <c r="T28" s="80">
        <f t="shared" si="1"/>
        <v>48.1</v>
      </c>
      <c r="U28" s="80">
        <f t="shared" si="1"/>
        <v>47.900000000000006</v>
      </c>
      <c r="V28" s="80">
        <f t="shared" si="1"/>
        <v>47.7</v>
      </c>
      <c r="W28" s="80">
        <f t="shared" si="1"/>
        <v>47.5</v>
      </c>
      <c r="X28" s="80">
        <f t="shared" si="1"/>
        <v>47</v>
      </c>
      <c r="Y28" s="80">
        <f t="shared" si="1"/>
        <v>46.5</v>
      </c>
      <c r="Z28" s="80">
        <f t="shared" si="1"/>
        <v>46</v>
      </c>
      <c r="AA28" s="80">
        <f t="shared" si="1"/>
        <v>45.5</v>
      </c>
      <c r="AB28" s="80">
        <f t="shared" si="1"/>
        <v>45</v>
      </c>
      <c r="AC28" s="80">
        <f t="shared" si="1"/>
        <v>44.2</v>
      </c>
      <c r="AD28" s="80">
        <f t="shared" si="1"/>
        <v>43.4</v>
      </c>
      <c r="AE28" s="80">
        <f t="shared" si="1"/>
        <v>42.599999999999994</v>
      </c>
      <c r="AF28" s="80">
        <f t="shared" si="1"/>
        <v>41.8</v>
      </c>
      <c r="AG28" s="80">
        <f t="shared" si="1"/>
        <v>41</v>
      </c>
      <c r="AH28" s="80">
        <f t="shared" si="1"/>
        <v>40.25</v>
      </c>
      <c r="AI28" s="80">
        <f t="shared" si="1"/>
        <v>39.5</v>
      </c>
      <c r="AJ28" s="80">
        <f t="shared" si="1"/>
        <v>38.75</v>
      </c>
      <c r="AK28" s="80">
        <f t="shared" si="1"/>
        <v>38</v>
      </c>
      <c r="AL28" s="80">
        <f t="shared" si="1"/>
        <v>37.25</v>
      </c>
      <c r="AM28" s="80">
        <f t="shared" si="1"/>
        <v>36.549999999999997</v>
      </c>
      <c r="AN28" s="80">
        <f t="shared" si="1"/>
        <v>35.85</v>
      </c>
      <c r="AO28" s="80">
        <f t="shared" si="1"/>
        <v>35.150000000000006</v>
      </c>
      <c r="AP28" s="80">
        <f t="shared" si="1"/>
        <v>34.450000000000003</v>
      </c>
      <c r="AQ28" s="80">
        <f t="shared" si="1"/>
        <v>33.75</v>
      </c>
      <c r="AR28" s="80">
        <f t="shared" si="1"/>
        <v>32.9</v>
      </c>
      <c r="AS28" s="80">
        <f t="shared" si="1"/>
        <v>32.049999999999997</v>
      </c>
      <c r="AT28" s="80">
        <f t="shared" si="1"/>
        <v>31.200000000000003</v>
      </c>
      <c r="AU28" s="80">
        <f t="shared" si="1"/>
        <v>30.35</v>
      </c>
      <c r="AV28" s="81">
        <f t="shared" si="1"/>
        <v>29.5</v>
      </c>
    </row>
    <row r="29" spans="1:48" x14ac:dyDescent="0.15">
      <c r="A29" s="66" t="s">
        <v>68</v>
      </c>
      <c r="B29" s="67" t="s">
        <v>64</v>
      </c>
      <c r="C29" s="68" t="s">
        <v>69</v>
      </c>
      <c r="D29" s="64" t="s">
        <v>66</v>
      </c>
      <c r="E29" s="65" t="s">
        <v>70</v>
      </c>
      <c r="F29" s="78">
        <v>1.8932</v>
      </c>
      <c r="G29" s="79">
        <v>1.9100999999999999</v>
      </c>
      <c r="H29" s="82">
        <f>E3</f>
        <v>1.9477</v>
      </c>
      <c r="I29" s="82">
        <f t="shared" si="1"/>
        <v>1.9887999999999999</v>
      </c>
      <c r="J29" s="82">
        <f t="shared" si="1"/>
        <v>2.0472000000000001</v>
      </c>
      <c r="K29" s="82">
        <f t="shared" si="1"/>
        <v>2.0898000000000003</v>
      </c>
      <c r="L29" s="82">
        <f t="shared" si="1"/>
        <v>2.1327333333333334</v>
      </c>
      <c r="M29" s="82">
        <f t="shared" si="1"/>
        <v>2.1763000000000003</v>
      </c>
      <c r="N29" s="82">
        <f t="shared" si="1"/>
        <v>2.1832000000000003</v>
      </c>
      <c r="O29" s="82">
        <f t="shared" si="1"/>
        <v>2.1896000000000004</v>
      </c>
      <c r="P29" s="82">
        <f t="shared" si="1"/>
        <v>2.2062000000000004</v>
      </c>
      <c r="Q29" s="82">
        <f t="shared" si="1"/>
        <v>2.2237000000000009</v>
      </c>
      <c r="R29" s="82">
        <f t="shared" si="1"/>
        <v>2.2400000000000002</v>
      </c>
      <c r="S29" s="82">
        <f t="shared" si="1"/>
        <v>2.2519999999999998</v>
      </c>
      <c r="T29" s="82">
        <f t="shared" si="1"/>
        <v>2.2640000000000002</v>
      </c>
      <c r="U29" s="82">
        <f t="shared" si="1"/>
        <v>2.2759999999999998</v>
      </c>
      <c r="V29" s="82">
        <f t="shared" si="1"/>
        <v>2.2880000000000003</v>
      </c>
      <c r="W29" s="82">
        <f t="shared" si="1"/>
        <v>2.2999999999999998</v>
      </c>
      <c r="X29" s="82">
        <f t="shared" si="1"/>
        <v>2.306</v>
      </c>
      <c r="Y29" s="82">
        <f t="shared" si="1"/>
        <v>2.3119999999999998</v>
      </c>
      <c r="Z29" s="82">
        <f t="shared" si="1"/>
        <v>2.3179999999999996</v>
      </c>
      <c r="AA29" s="82">
        <f t="shared" si="1"/>
        <v>2.3239999999999998</v>
      </c>
      <c r="AB29" s="82">
        <f t="shared" si="1"/>
        <v>2.33</v>
      </c>
      <c r="AC29" s="82">
        <f t="shared" si="1"/>
        <v>2.3119999999999998</v>
      </c>
      <c r="AD29" s="82">
        <f t="shared" si="1"/>
        <v>2.2939999999999996</v>
      </c>
      <c r="AE29" s="82">
        <f t="shared" si="1"/>
        <v>2.2759999999999998</v>
      </c>
      <c r="AF29" s="82">
        <f t="shared" si="1"/>
        <v>2.258</v>
      </c>
      <c r="AG29" s="82">
        <f t="shared" si="1"/>
        <v>2.2400000000000002</v>
      </c>
      <c r="AH29" s="82">
        <f t="shared" si="1"/>
        <v>2.2119999999999997</v>
      </c>
      <c r="AI29" s="82">
        <f t="shared" si="1"/>
        <v>2.1840000000000002</v>
      </c>
      <c r="AJ29" s="82">
        <f t="shared" si="1"/>
        <v>2.1559999999999997</v>
      </c>
      <c r="AK29" s="82">
        <f t="shared" si="1"/>
        <v>2.1280000000000001</v>
      </c>
      <c r="AL29" s="82">
        <f t="shared" si="1"/>
        <v>2.1</v>
      </c>
      <c r="AM29" s="82">
        <f t="shared" si="1"/>
        <v>2.0600000000000005</v>
      </c>
      <c r="AN29" s="82">
        <f t="shared" si="1"/>
        <v>2.0200000000000005</v>
      </c>
      <c r="AO29" s="82">
        <f t="shared" si="1"/>
        <v>1.98</v>
      </c>
      <c r="AP29" s="82">
        <f t="shared" si="1"/>
        <v>1.94</v>
      </c>
      <c r="AQ29" s="82">
        <f t="shared" si="1"/>
        <v>1.9</v>
      </c>
      <c r="AR29" s="82">
        <f t="shared" si="1"/>
        <v>1.8740000000000001</v>
      </c>
      <c r="AS29" s="82">
        <f t="shared" si="1"/>
        <v>1.8479999999999999</v>
      </c>
      <c r="AT29" s="82">
        <f t="shared" si="1"/>
        <v>1.8220000000000001</v>
      </c>
      <c r="AU29" s="82">
        <f t="shared" si="1"/>
        <v>1.7959999999999998</v>
      </c>
      <c r="AV29" s="83">
        <f t="shared" si="1"/>
        <v>1.77</v>
      </c>
    </row>
    <row r="30" spans="1:48" x14ac:dyDescent="0.15">
      <c r="A30" s="66" t="s">
        <v>68</v>
      </c>
      <c r="B30" s="67" t="s">
        <v>64</v>
      </c>
      <c r="C30" s="68" t="s">
        <v>71</v>
      </c>
      <c r="D30" s="64" t="s">
        <v>72</v>
      </c>
      <c r="E30" s="65" t="s">
        <v>70</v>
      </c>
      <c r="F30" s="78">
        <v>1601.59</v>
      </c>
      <c r="G30" s="79">
        <v>1761.74</v>
      </c>
      <c r="H30" s="84">
        <f>E4</f>
        <v>1924.95</v>
      </c>
      <c r="I30" s="84">
        <f t="shared" si="1"/>
        <v>2075.84</v>
      </c>
      <c r="J30" s="84">
        <f t="shared" si="1"/>
        <v>2201.1</v>
      </c>
      <c r="K30" s="84">
        <f t="shared" si="1"/>
        <v>2307.9</v>
      </c>
      <c r="L30" s="84">
        <f t="shared" si="1"/>
        <v>2416.6000000000004</v>
      </c>
      <c r="M30" s="84">
        <f t="shared" si="1"/>
        <v>2528.91</v>
      </c>
      <c r="N30" s="84">
        <f t="shared" si="1"/>
        <v>2574.08</v>
      </c>
      <c r="O30" s="84">
        <f t="shared" si="1"/>
        <v>2630.6400000000003</v>
      </c>
      <c r="P30" s="84">
        <f t="shared" si="1"/>
        <v>2706.1800000000003</v>
      </c>
      <c r="Q30" s="84">
        <f t="shared" si="1"/>
        <v>2779.7300000000005</v>
      </c>
      <c r="R30" s="84">
        <f t="shared" si="1"/>
        <v>2850</v>
      </c>
      <c r="S30" s="84">
        <f t="shared" si="1"/>
        <v>2895</v>
      </c>
      <c r="T30" s="84">
        <f t="shared" si="1"/>
        <v>2940</v>
      </c>
      <c r="U30" s="84">
        <f t="shared" si="1"/>
        <v>2985</v>
      </c>
      <c r="V30" s="84">
        <f t="shared" si="1"/>
        <v>3030</v>
      </c>
      <c r="W30" s="84">
        <f t="shared" si="1"/>
        <v>3075</v>
      </c>
      <c r="X30" s="84">
        <f t="shared" si="1"/>
        <v>3108</v>
      </c>
      <c r="Y30" s="84">
        <f t="shared" si="1"/>
        <v>3141</v>
      </c>
      <c r="Z30" s="84">
        <f t="shared" si="1"/>
        <v>3174</v>
      </c>
      <c r="AA30" s="84">
        <f t="shared" si="1"/>
        <v>3207</v>
      </c>
      <c r="AB30" s="84">
        <f t="shared" si="1"/>
        <v>3240</v>
      </c>
      <c r="AC30" s="84">
        <f t="shared" si="1"/>
        <v>3261</v>
      </c>
      <c r="AD30" s="84">
        <f t="shared" si="1"/>
        <v>3282</v>
      </c>
      <c r="AE30" s="84">
        <f t="shared" si="1"/>
        <v>3303</v>
      </c>
      <c r="AF30" s="84">
        <f t="shared" si="1"/>
        <v>3324</v>
      </c>
      <c r="AG30" s="84">
        <f t="shared" si="1"/>
        <v>3345</v>
      </c>
      <c r="AH30" s="84">
        <f t="shared" si="1"/>
        <v>3363</v>
      </c>
      <c r="AI30" s="84">
        <f t="shared" si="1"/>
        <v>3381</v>
      </c>
      <c r="AJ30" s="84">
        <f t="shared" si="1"/>
        <v>3399</v>
      </c>
      <c r="AK30" s="84">
        <f t="shared" si="1"/>
        <v>3417</v>
      </c>
      <c r="AL30" s="84">
        <f t="shared" si="1"/>
        <v>3435</v>
      </c>
      <c r="AM30" s="84">
        <f t="shared" si="1"/>
        <v>3452</v>
      </c>
      <c r="AN30" s="84">
        <f t="shared" si="1"/>
        <v>3469</v>
      </c>
      <c r="AO30" s="84">
        <f t="shared" si="1"/>
        <v>3486</v>
      </c>
      <c r="AP30" s="84">
        <f t="shared" si="1"/>
        <v>3503</v>
      </c>
      <c r="AQ30" s="84">
        <f t="shared" si="1"/>
        <v>3520</v>
      </c>
      <c r="AR30" s="84">
        <f t="shared" si="1"/>
        <v>3527</v>
      </c>
      <c r="AS30" s="84">
        <f t="shared" si="1"/>
        <v>3534</v>
      </c>
      <c r="AT30" s="84">
        <f t="shared" si="1"/>
        <v>3541</v>
      </c>
      <c r="AU30" s="84">
        <f t="shared" si="1"/>
        <v>3548</v>
      </c>
      <c r="AV30" s="85">
        <f t="shared" si="1"/>
        <v>3555</v>
      </c>
    </row>
    <row r="31" spans="1:48" x14ac:dyDescent="0.15">
      <c r="A31" s="66" t="s">
        <v>73</v>
      </c>
      <c r="B31" s="67" t="s">
        <v>74</v>
      </c>
      <c r="C31" s="68" t="s">
        <v>75</v>
      </c>
      <c r="D31" s="64" t="s">
        <v>66</v>
      </c>
      <c r="E31" s="65" t="s">
        <v>76</v>
      </c>
      <c r="F31" s="78">
        <v>6</v>
      </c>
      <c r="G31" s="79">
        <v>6.5</v>
      </c>
      <c r="H31" s="82">
        <f>E10</f>
        <v>6.7441000000000004</v>
      </c>
      <c r="I31" s="82">
        <f t="shared" ref="I31:AV31" si="2">F10</f>
        <v>7</v>
      </c>
      <c r="J31" s="82">
        <f t="shared" si="2"/>
        <v>6.7590000000000003</v>
      </c>
      <c r="K31" s="82">
        <f t="shared" si="2"/>
        <v>6.8996474208675265</v>
      </c>
      <c r="L31" s="82">
        <f t="shared" si="2"/>
        <v>7.0413953692848779</v>
      </c>
      <c r="M31" s="82">
        <f t="shared" si="2"/>
        <v>7.1852343200468933</v>
      </c>
      <c r="N31" s="82">
        <f t="shared" si="2"/>
        <v>7.2080152403282529</v>
      </c>
      <c r="O31" s="82">
        <f t="shared" si="2"/>
        <v>7.2291453692848773</v>
      </c>
      <c r="P31" s="82">
        <f t="shared" si="2"/>
        <v>7.2839516412661194</v>
      </c>
      <c r="Q31" s="82">
        <f t="shared" si="2"/>
        <v>7.3417293376318877</v>
      </c>
      <c r="R31" s="82">
        <f t="shared" si="2"/>
        <v>7.3955451348182866</v>
      </c>
      <c r="S31" s="82">
        <f t="shared" si="2"/>
        <v>7.4351641266119568</v>
      </c>
      <c r="T31" s="82">
        <f t="shared" si="2"/>
        <v>7.4747831184056253</v>
      </c>
      <c r="U31" s="82">
        <f t="shared" si="2"/>
        <v>7.5144021101992955</v>
      </c>
      <c r="V31" s="82">
        <f t="shared" si="2"/>
        <v>7.5540211019929639</v>
      </c>
      <c r="W31" s="82">
        <f t="shared" si="2"/>
        <v>7.5936400937866342</v>
      </c>
      <c r="X31" s="82">
        <f t="shared" si="2"/>
        <v>7.6134495896834684</v>
      </c>
      <c r="Y31" s="82">
        <f t="shared" si="2"/>
        <v>7.6332590855803026</v>
      </c>
      <c r="Z31" s="82">
        <f t="shared" si="2"/>
        <v>7.6530685814771378</v>
      </c>
      <c r="AA31" s="82">
        <f t="shared" si="2"/>
        <v>7.6728780773739729</v>
      </c>
      <c r="AB31" s="82">
        <f t="shared" si="2"/>
        <v>7.6926875732708071</v>
      </c>
      <c r="AC31" s="82">
        <f t="shared" si="2"/>
        <v>7.6332590855803026</v>
      </c>
      <c r="AD31" s="82">
        <f t="shared" si="2"/>
        <v>7.5738305978897991</v>
      </c>
      <c r="AE31" s="82">
        <f t="shared" si="2"/>
        <v>7.5144021101992955</v>
      </c>
      <c r="AF31" s="82">
        <f t="shared" si="2"/>
        <v>7.454973622508791</v>
      </c>
      <c r="AG31" s="82">
        <f t="shared" si="2"/>
        <v>7.3955451348182866</v>
      </c>
      <c r="AH31" s="82">
        <f t="shared" si="2"/>
        <v>7.303100820633059</v>
      </c>
      <c r="AI31" s="82">
        <f t="shared" si="2"/>
        <v>7.2106565064478296</v>
      </c>
      <c r="AJ31" s="82">
        <f t="shared" si="2"/>
        <v>7.118212192262602</v>
      </c>
      <c r="AK31" s="82">
        <f t="shared" si="2"/>
        <v>7.0257678780773727</v>
      </c>
      <c r="AL31" s="82">
        <f t="shared" si="2"/>
        <v>6.9333235638921442</v>
      </c>
      <c r="AM31" s="82">
        <f t="shared" si="2"/>
        <v>6.8012602579132455</v>
      </c>
      <c r="AN31" s="82">
        <f t="shared" si="2"/>
        <v>6.6691969519343477</v>
      </c>
      <c r="AO31" s="82">
        <f t="shared" si="2"/>
        <v>6.5371336459554499</v>
      </c>
      <c r="AP31" s="82">
        <f t="shared" si="2"/>
        <v>6.4050703399765512</v>
      </c>
      <c r="AQ31" s="82">
        <f t="shared" si="2"/>
        <v>6.2730070339976542</v>
      </c>
      <c r="AR31" s="82">
        <f t="shared" si="2"/>
        <v>6.1871658851113702</v>
      </c>
      <c r="AS31" s="82">
        <f t="shared" si="2"/>
        <v>6.1013247362250862</v>
      </c>
      <c r="AT31" s="82">
        <f t="shared" si="2"/>
        <v>6.0154835873388031</v>
      </c>
      <c r="AU31" s="82">
        <f t="shared" si="2"/>
        <v>5.9296424384525199</v>
      </c>
      <c r="AV31" s="83">
        <f t="shared" si="2"/>
        <v>5.843801289566235</v>
      </c>
    </row>
    <row r="32" spans="1:48" x14ac:dyDescent="0.15">
      <c r="A32" s="66" t="s">
        <v>77</v>
      </c>
      <c r="B32" s="67" t="s">
        <v>74</v>
      </c>
      <c r="C32" s="68" t="s">
        <v>78</v>
      </c>
      <c r="D32" s="64" t="s">
        <v>79</v>
      </c>
      <c r="E32" s="69" t="s">
        <v>80</v>
      </c>
      <c r="F32" s="78">
        <v>2688.48</v>
      </c>
      <c r="G32" s="79">
        <v>2522.4899999999998</v>
      </c>
      <c r="H32" s="79">
        <v>2795</v>
      </c>
      <c r="I32" s="79">
        <v>2820</v>
      </c>
      <c r="J32" s="79">
        <v>2850</v>
      </c>
      <c r="K32" s="79">
        <f>J32+($M32-$J32)/3</f>
        <v>2900</v>
      </c>
      <c r="L32" s="79">
        <f>K32+($M32-$J32)/3</f>
        <v>2950</v>
      </c>
      <c r="M32" s="79">
        <v>3000</v>
      </c>
      <c r="N32" s="79">
        <f>M32+($U32-$M32)/8</f>
        <v>3025</v>
      </c>
      <c r="O32" s="79">
        <f t="shared" ref="O32:T32" si="3">N32+($U32-$M32)/8</f>
        <v>3050</v>
      </c>
      <c r="P32" s="79">
        <f t="shared" si="3"/>
        <v>3075</v>
      </c>
      <c r="Q32" s="79">
        <f t="shared" si="3"/>
        <v>3100</v>
      </c>
      <c r="R32" s="79">
        <f t="shared" si="3"/>
        <v>3125</v>
      </c>
      <c r="S32" s="79">
        <f t="shared" si="3"/>
        <v>3150</v>
      </c>
      <c r="T32" s="79">
        <f t="shared" si="3"/>
        <v>3175</v>
      </c>
      <c r="U32" s="79">
        <v>3200</v>
      </c>
      <c r="V32" s="84">
        <f>U32+($AG32-$U32)/12</f>
        <v>3179.1666666666665</v>
      </c>
      <c r="W32" s="84">
        <f t="shared" ref="W32:AF32" si="4">V32+($AG32-$U32)/12</f>
        <v>3158.333333333333</v>
      </c>
      <c r="X32" s="84">
        <f t="shared" si="4"/>
        <v>3137.4999999999995</v>
      </c>
      <c r="Y32" s="84">
        <f t="shared" si="4"/>
        <v>3116.6666666666661</v>
      </c>
      <c r="Z32" s="84">
        <f t="shared" si="4"/>
        <v>3095.8333333333326</v>
      </c>
      <c r="AA32" s="84">
        <f t="shared" si="4"/>
        <v>3074.9999999999991</v>
      </c>
      <c r="AB32" s="84">
        <f t="shared" si="4"/>
        <v>3054.1666666666656</v>
      </c>
      <c r="AC32" s="84">
        <f t="shared" si="4"/>
        <v>3033.3333333333321</v>
      </c>
      <c r="AD32" s="84">
        <f t="shared" si="4"/>
        <v>3012.4999999999986</v>
      </c>
      <c r="AE32" s="84">
        <f t="shared" si="4"/>
        <v>2991.6666666666652</v>
      </c>
      <c r="AF32" s="84">
        <f t="shared" si="4"/>
        <v>2970.8333333333317</v>
      </c>
      <c r="AG32" s="79">
        <v>2950</v>
      </c>
      <c r="AH32" s="84">
        <f>AG32+($AV32-$AG32)/15</f>
        <v>2932</v>
      </c>
      <c r="AI32" s="84">
        <f t="shared" ref="AI32:AU32" si="5">AH32+($AV32-$AG32)/15</f>
        <v>2914</v>
      </c>
      <c r="AJ32" s="79">
        <f t="shared" si="5"/>
        <v>2896</v>
      </c>
      <c r="AK32" s="84">
        <f t="shared" si="5"/>
        <v>2878</v>
      </c>
      <c r="AL32" s="84">
        <f t="shared" si="5"/>
        <v>2860</v>
      </c>
      <c r="AM32" s="84">
        <f t="shared" si="5"/>
        <v>2842</v>
      </c>
      <c r="AN32" s="84">
        <f t="shared" si="5"/>
        <v>2824</v>
      </c>
      <c r="AO32" s="84">
        <f t="shared" si="5"/>
        <v>2806</v>
      </c>
      <c r="AP32" s="84">
        <f t="shared" si="5"/>
        <v>2788</v>
      </c>
      <c r="AQ32" s="84">
        <f t="shared" si="5"/>
        <v>2770</v>
      </c>
      <c r="AR32" s="84">
        <f t="shared" si="5"/>
        <v>2752</v>
      </c>
      <c r="AS32" s="84">
        <f t="shared" si="5"/>
        <v>2734</v>
      </c>
      <c r="AT32" s="84">
        <f t="shared" si="5"/>
        <v>2716</v>
      </c>
      <c r="AU32" s="84">
        <f t="shared" si="5"/>
        <v>2698</v>
      </c>
      <c r="AV32" s="86">
        <v>2680</v>
      </c>
    </row>
    <row r="33" spans="1:48" x14ac:dyDescent="0.15">
      <c r="A33" s="66" t="s">
        <v>77</v>
      </c>
      <c r="B33" s="67" t="s">
        <v>81</v>
      </c>
      <c r="C33" s="68" t="s">
        <v>82</v>
      </c>
      <c r="D33" s="64" t="s">
        <v>79</v>
      </c>
      <c r="E33" s="69" t="s">
        <v>80</v>
      </c>
      <c r="F33" s="78">
        <v>137.54</v>
      </c>
      <c r="G33" s="79">
        <v>140.04</v>
      </c>
      <c r="H33" s="79">
        <v>155.71</v>
      </c>
      <c r="I33" s="79">
        <v>189</v>
      </c>
      <c r="J33" s="84">
        <f>I33+($M33-$I33)/4</f>
        <v>199.25</v>
      </c>
      <c r="K33" s="84">
        <f>J33+($M33-$I33)/4</f>
        <v>209.5</v>
      </c>
      <c r="L33" s="84">
        <f>K33+($M33-$I33)/4</f>
        <v>219.75</v>
      </c>
      <c r="M33" s="79">
        <v>230</v>
      </c>
      <c r="N33" s="84">
        <f>M33+($V33-$M33)/9</f>
        <v>232.22222222222223</v>
      </c>
      <c r="O33" s="84">
        <f t="shared" ref="O33:U33" si="6">N33+($V33-$M33)/9</f>
        <v>234.44444444444446</v>
      </c>
      <c r="P33" s="84">
        <f t="shared" si="6"/>
        <v>236.66666666666669</v>
      </c>
      <c r="Q33" s="84">
        <f t="shared" si="6"/>
        <v>238.88888888888891</v>
      </c>
      <c r="R33" s="84">
        <f t="shared" si="6"/>
        <v>241.11111111111114</v>
      </c>
      <c r="S33" s="84">
        <f t="shared" si="6"/>
        <v>243.33333333333337</v>
      </c>
      <c r="T33" s="84">
        <f t="shared" si="6"/>
        <v>245.5555555555556</v>
      </c>
      <c r="U33" s="84">
        <f t="shared" si="6"/>
        <v>247.77777777777783</v>
      </c>
      <c r="V33" s="79">
        <v>250</v>
      </c>
      <c r="W33" s="84">
        <f>V33+($AG33-$V33)/11</f>
        <v>248.18181818181819</v>
      </c>
      <c r="X33" s="84">
        <f t="shared" ref="X33:AF33" si="7">W33+($AG33-$V33)/11</f>
        <v>246.36363636363637</v>
      </c>
      <c r="Y33" s="84">
        <f t="shared" si="7"/>
        <v>244.54545454545456</v>
      </c>
      <c r="Z33" s="84">
        <f t="shared" si="7"/>
        <v>242.72727272727275</v>
      </c>
      <c r="AA33" s="84">
        <f t="shared" si="7"/>
        <v>240.90909090909093</v>
      </c>
      <c r="AB33" s="84">
        <f t="shared" si="7"/>
        <v>239.09090909090912</v>
      </c>
      <c r="AC33" s="84">
        <f t="shared" si="7"/>
        <v>237.27272727272731</v>
      </c>
      <c r="AD33" s="84">
        <f t="shared" si="7"/>
        <v>235.4545454545455</v>
      </c>
      <c r="AE33" s="84">
        <f t="shared" si="7"/>
        <v>233.63636363636368</v>
      </c>
      <c r="AF33" s="84">
        <f t="shared" si="7"/>
        <v>231.81818181818187</v>
      </c>
      <c r="AG33" s="79">
        <v>230</v>
      </c>
      <c r="AH33" s="84">
        <f>AG33+($AV33-$AG33)/15</f>
        <v>227</v>
      </c>
      <c r="AI33" s="84">
        <f t="shared" ref="AI33:AU33" si="8">AH33+($AV33-$AG33)/15</f>
        <v>224</v>
      </c>
      <c r="AJ33" s="84">
        <f t="shared" si="8"/>
        <v>221</v>
      </c>
      <c r="AK33" s="84">
        <f t="shared" si="8"/>
        <v>218</v>
      </c>
      <c r="AL33" s="84">
        <f t="shared" si="8"/>
        <v>215</v>
      </c>
      <c r="AM33" s="84">
        <f t="shared" si="8"/>
        <v>212</v>
      </c>
      <c r="AN33" s="84">
        <f t="shared" si="8"/>
        <v>209</v>
      </c>
      <c r="AO33" s="84">
        <f t="shared" si="8"/>
        <v>206</v>
      </c>
      <c r="AP33" s="84">
        <f t="shared" si="8"/>
        <v>203</v>
      </c>
      <c r="AQ33" s="84">
        <f t="shared" si="8"/>
        <v>200</v>
      </c>
      <c r="AR33" s="84">
        <f t="shared" si="8"/>
        <v>197</v>
      </c>
      <c r="AS33" s="84">
        <f t="shared" si="8"/>
        <v>194</v>
      </c>
      <c r="AT33" s="84">
        <f t="shared" si="8"/>
        <v>191</v>
      </c>
      <c r="AU33" s="84">
        <f t="shared" si="8"/>
        <v>188</v>
      </c>
      <c r="AV33" s="86">
        <v>185</v>
      </c>
    </row>
    <row r="34" spans="1:48" x14ac:dyDescent="0.15">
      <c r="A34" s="66" t="s">
        <v>77</v>
      </c>
      <c r="B34" s="67" t="s">
        <v>81</v>
      </c>
      <c r="C34" s="68" t="s">
        <v>83</v>
      </c>
      <c r="D34" s="64" t="s">
        <v>79</v>
      </c>
      <c r="E34" s="69" t="s">
        <v>80</v>
      </c>
      <c r="F34" s="78">
        <v>246.85</v>
      </c>
      <c r="G34" s="79">
        <v>244.17</v>
      </c>
      <c r="H34" s="79">
        <v>232.31</v>
      </c>
      <c r="I34" s="79">
        <v>224.95</v>
      </c>
      <c r="J34" s="79">
        <v>201.43</v>
      </c>
      <c r="K34" s="84">
        <f t="shared" ref="K34:L34" si="9">J34+($M34-$J34)/3</f>
        <v>194.28666666666666</v>
      </c>
      <c r="L34" s="84">
        <f t="shared" si="9"/>
        <v>187.14333333333332</v>
      </c>
      <c r="M34" s="79">
        <v>180</v>
      </c>
      <c r="N34" s="79">
        <f>M34+($W34-$M34)/10</f>
        <v>176.5</v>
      </c>
      <c r="O34" s="79">
        <f>N34+($W34-$M34)/10</f>
        <v>173</v>
      </c>
      <c r="P34" s="79">
        <f t="shared" ref="P34:V34" si="10">O34+($W34-$M34)/10</f>
        <v>169.5</v>
      </c>
      <c r="Q34" s="79">
        <f t="shared" si="10"/>
        <v>166</v>
      </c>
      <c r="R34" s="79">
        <f t="shared" si="10"/>
        <v>162.5</v>
      </c>
      <c r="S34" s="79">
        <f t="shared" si="10"/>
        <v>159</v>
      </c>
      <c r="T34" s="79">
        <f t="shared" si="10"/>
        <v>155.5</v>
      </c>
      <c r="U34" s="79">
        <f t="shared" si="10"/>
        <v>152</v>
      </c>
      <c r="V34" s="79">
        <f t="shared" si="10"/>
        <v>148.5</v>
      </c>
      <c r="W34" s="79">
        <v>145</v>
      </c>
      <c r="X34" s="79">
        <f>W34+($AV34-$W34)/25</f>
        <v>142.80000000000001</v>
      </c>
      <c r="Y34" s="79">
        <f t="shared" ref="Y34:AU34" si="11">X34+($AV34-$W34)/25</f>
        <v>140.60000000000002</v>
      </c>
      <c r="Z34" s="79">
        <f t="shared" si="11"/>
        <v>138.40000000000003</v>
      </c>
      <c r="AA34" s="79">
        <f t="shared" si="11"/>
        <v>136.20000000000005</v>
      </c>
      <c r="AB34" s="79">
        <f t="shared" si="11"/>
        <v>134.00000000000006</v>
      </c>
      <c r="AC34" s="79">
        <f t="shared" si="11"/>
        <v>131.80000000000007</v>
      </c>
      <c r="AD34" s="79">
        <f t="shared" si="11"/>
        <v>129.60000000000008</v>
      </c>
      <c r="AE34" s="79">
        <f t="shared" si="11"/>
        <v>127.40000000000008</v>
      </c>
      <c r="AF34" s="79">
        <f t="shared" si="11"/>
        <v>125.20000000000007</v>
      </c>
      <c r="AG34" s="79">
        <f t="shared" si="11"/>
        <v>123.00000000000007</v>
      </c>
      <c r="AH34" s="79">
        <f t="shared" si="11"/>
        <v>120.80000000000007</v>
      </c>
      <c r="AI34" s="79">
        <f t="shared" si="11"/>
        <v>118.60000000000007</v>
      </c>
      <c r="AJ34" s="79">
        <f t="shared" si="11"/>
        <v>116.40000000000006</v>
      </c>
      <c r="AK34" s="79">
        <f t="shared" si="11"/>
        <v>114.20000000000006</v>
      </c>
      <c r="AL34" s="79">
        <f t="shared" si="11"/>
        <v>112.00000000000006</v>
      </c>
      <c r="AM34" s="79">
        <f t="shared" si="11"/>
        <v>109.80000000000005</v>
      </c>
      <c r="AN34" s="79">
        <f t="shared" si="11"/>
        <v>107.60000000000005</v>
      </c>
      <c r="AO34" s="79">
        <f t="shared" si="11"/>
        <v>105.40000000000005</v>
      </c>
      <c r="AP34" s="79">
        <f t="shared" si="11"/>
        <v>103.20000000000005</v>
      </c>
      <c r="AQ34" s="79">
        <f t="shared" si="11"/>
        <v>101.00000000000004</v>
      </c>
      <c r="AR34" s="79">
        <f t="shared" si="11"/>
        <v>98.80000000000004</v>
      </c>
      <c r="AS34" s="79">
        <f t="shared" si="11"/>
        <v>96.600000000000037</v>
      </c>
      <c r="AT34" s="79">
        <f t="shared" si="11"/>
        <v>94.400000000000034</v>
      </c>
      <c r="AU34" s="79">
        <f t="shared" si="11"/>
        <v>92.200000000000031</v>
      </c>
      <c r="AV34" s="86">
        <v>90</v>
      </c>
    </row>
    <row r="35" spans="1:48" x14ac:dyDescent="0.15">
      <c r="A35" s="66" t="s">
        <v>77</v>
      </c>
      <c r="B35" s="67" t="s">
        <v>84</v>
      </c>
      <c r="C35" s="68" t="s">
        <v>85</v>
      </c>
      <c r="D35" s="64" t="s">
        <v>79</v>
      </c>
      <c r="E35" s="69" t="s">
        <v>80</v>
      </c>
      <c r="F35" s="78">
        <v>85.17</v>
      </c>
      <c r="G35" s="79">
        <v>88.95</v>
      </c>
      <c r="H35" s="79">
        <v>86.69</v>
      </c>
      <c r="I35" s="79">
        <v>93.16</v>
      </c>
      <c r="J35" s="79">
        <f>I35+($M35-$I35)/4</f>
        <v>97.37</v>
      </c>
      <c r="K35" s="79">
        <f t="shared" ref="K35:L35" si="12">J35+($M35-$I35)/4</f>
        <v>101.58000000000001</v>
      </c>
      <c r="L35" s="79">
        <f t="shared" si="12"/>
        <v>105.79000000000002</v>
      </c>
      <c r="M35" s="79">
        <v>110</v>
      </c>
      <c r="N35" s="84">
        <f>M35+($U35-$M35)/8</f>
        <v>111.875</v>
      </c>
      <c r="O35" s="84">
        <f t="shared" ref="O35:T35" si="13">N35+($U35-$M35)/8</f>
        <v>113.75</v>
      </c>
      <c r="P35" s="84">
        <f t="shared" si="13"/>
        <v>115.625</v>
      </c>
      <c r="Q35" s="84">
        <f t="shared" si="13"/>
        <v>117.5</v>
      </c>
      <c r="R35" s="84">
        <f t="shared" si="13"/>
        <v>119.375</v>
      </c>
      <c r="S35" s="84">
        <f t="shared" si="13"/>
        <v>121.25</v>
      </c>
      <c r="T35" s="84">
        <f t="shared" si="13"/>
        <v>123.125</v>
      </c>
      <c r="U35" s="79">
        <v>125</v>
      </c>
      <c r="V35" s="84">
        <f>U35+($AG35-$U35)/12</f>
        <v>123.75</v>
      </c>
      <c r="W35" s="84">
        <f t="shared" ref="W35:AF35" si="14">V35+($AG35-$U35)/12</f>
        <v>122.5</v>
      </c>
      <c r="X35" s="84">
        <f t="shared" si="14"/>
        <v>121.25</v>
      </c>
      <c r="Y35" s="84">
        <f t="shared" si="14"/>
        <v>120</v>
      </c>
      <c r="Z35" s="84">
        <f t="shared" si="14"/>
        <v>118.75</v>
      </c>
      <c r="AA35" s="84">
        <f t="shared" si="14"/>
        <v>117.5</v>
      </c>
      <c r="AB35" s="84">
        <f t="shared" si="14"/>
        <v>116.25</v>
      </c>
      <c r="AC35" s="84">
        <f t="shared" si="14"/>
        <v>115</v>
      </c>
      <c r="AD35" s="84">
        <f t="shared" si="14"/>
        <v>113.75</v>
      </c>
      <c r="AE35" s="84">
        <f t="shared" si="14"/>
        <v>112.5</v>
      </c>
      <c r="AF35" s="84">
        <f t="shared" si="14"/>
        <v>111.25</v>
      </c>
      <c r="AG35" s="79">
        <v>110</v>
      </c>
      <c r="AH35" s="84">
        <f>AG35+($AV35-$AG35)/15</f>
        <v>108.66666666666667</v>
      </c>
      <c r="AI35" s="84">
        <f t="shared" ref="AI35:AU35" si="15">AH35+($AV35-$AG35)/15</f>
        <v>107.33333333333334</v>
      </c>
      <c r="AJ35" s="84">
        <f t="shared" si="15"/>
        <v>106.00000000000001</v>
      </c>
      <c r="AK35" s="84">
        <f t="shared" si="15"/>
        <v>104.66666666666669</v>
      </c>
      <c r="AL35" s="84">
        <f t="shared" si="15"/>
        <v>103.33333333333336</v>
      </c>
      <c r="AM35" s="84">
        <f t="shared" si="15"/>
        <v>102.00000000000003</v>
      </c>
      <c r="AN35" s="84">
        <f t="shared" si="15"/>
        <v>100.6666666666667</v>
      </c>
      <c r="AO35" s="84">
        <f t="shared" si="15"/>
        <v>99.333333333333371</v>
      </c>
      <c r="AP35" s="84">
        <f t="shared" si="15"/>
        <v>98.000000000000043</v>
      </c>
      <c r="AQ35" s="84">
        <f t="shared" si="15"/>
        <v>96.666666666666714</v>
      </c>
      <c r="AR35" s="84">
        <f t="shared" si="15"/>
        <v>95.333333333333385</v>
      </c>
      <c r="AS35" s="84">
        <f t="shared" si="15"/>
        <v>94.000000000000057</v>
      </c>
      <c r="AT35" s="84">
        <f t="shared" si="15"/>
        <v>92.666666666666728</v>
      </c>
      <c r="AU35" s="84">
        <f t="shared" si="15"/>
        <v>91.3333333333334</v>
      </c>
      <c r="AV35" s="86">
        <v>90</v>
      </c>
    </row>
    <row r="36" spans="1:48" x14ac:dyDescent="0.15">
      <c r="A36" s="66" t="s">
        <v>86</v>
      </c>
      <c r="B36" s="67" t="s">
        <v>74</v>
      </c>
      <c r="C36" s="68" t="s">
        <v>87</v>
      </c>
      <c r="D36" s="64" t="s">
        <v>79</v>
      </c>
      <c r="E36" s="65" t="s">
        <v>88</v>
      </c>
      <c r="F36" s="78">
        <v>223609.62</v>
      </c>
      <c r="G36" s="79">
        <v>234430.62</v>
      </c>
      <c r="H36" s="84">
        <f>E16</f>
        <v>239470.83</v>
      </c>
      <c r="I36" s="84">
        <f t="shared" ref="I36:AV36" si="16">F16</f>
        <v>237724.49</v>
      </c>
      <c r="J36" s="84">
        <f t="shared" si="16"/>
        <v>212927.18</v>
      </c>
      <c r="K36" s="84">
        <f t="shared" si="16"/>
        <v>213618.12</v>
      </c>
      <c r="L36" s="84">
        <f t="shared" si="16"/>
        <v>213975.72666666668</v>
      </c>
      <c r="M36" s="84">
        <f t="shared" si="16"/>
        <v>213700</v>
      </c>
      <c r="N36" s="84">
        <f t="shared" si="16"/>
        <v>215060</v>
      </c>
      <c r="O36" s="84">
        <f t="shared" si="16"/>
        <v>214080</v>
      </c>
      <c r="P36" s="84">
        <f t="shared" si="16"/>
        <v>210710</v>
      </c>
      <c r="Q36" s="84">
        <f t="shared" si="16"/>
        <v>207860</v>
      </c>
      <c r="R36" s="84">
        <f t="shared" si="16"/>
        <v>205500</v>
      </c>
      <c r="S36" s="84">
        <f t="shared" si="16"/>
        <v>202700</v>
      </c>
      <c r="T36" s="84">
        <f t="shared" si="16"/>
        <v>199900</v>
      </c>
      <c r="U36" s="84">
        <f t="shared" si="16"/>
        <v>197100</v>
      </c>
      <c r="V36" s="84">
        <f t="shared" si="16"/>
        <v>194300</v>
      </c>
      <c r="W36" s="84">
        <f t="shared" si="16"/>
        <v>191500</v>
      </c>
      <c r="X36" s="84">
        <f t="shared" si="16"/>
        <v>187700</v>
      </c>
      <c r="Y36" s="84">
        <f t="shared" si="16"/>
        <v>183900</v>
      </c>
      <c r="Z36" s="84">
        <f t="shared" si="16"/>
        <v>180100</v>
      </c>
      <c r="AA36" s="84">
        <f t="shared" si="16"/>
        <v>176300</v>
      </c>
      <c r="AB36" s="84">
        <f t="shared" si="16"/>
        <v>172500</v>
      </c>
      <c r="AC36" s="84">
        <f t="shared" si="16"/>
        <v>168500</v>
      </c>
      <c r="AD36" s="84">
        <f t="shared" si="16"/>
        <v>164500</v>
      </c>
      <c r="AE36" s="84">
        <f t="shared" si="16"/>
        <v>160500</v>
      </c>
      <c r="AF36" s="84">
        <f t="shared" si="16"/>
        <v>156500</v>
      </c>
      <c r="AG36" s="84">
        <f t="shared" si="16"/>
        <v>152500</v>
      </c>
      <c r="AH36" s="84">
        <f t="shared" si="16"/>
        <v>148500</v>
      </c>
      <c r="AI36" s="84">
        <f t="shared" si="16"/>
        <v>144500</v>
      </c>
      <c r="AJ36" s="84">
        <f t="shared" si="16"/>
        <v>140500</v>
      </c>
      <c r="AK36" s="84">
        <f t="shared" si="16"/>
        <v>136500</v>
      </c>
      <c r="AL36" s="84">
        <f t="shared" si="16"/>
        <v>132500</v>
      </c>
      <c r="AM36" s="84">
        <f t="shared" si="16"/>
        <v>129500</v>
      </c>
      <c r="AN36" s="84">
        <f t="shared" si="16"/>
        <v>126500</v>
      </c>
      <c r="AO36" s="84">
        <f t="shared" si="16"/>
        <v>123500</v>
      </c>
      <c r="AP36" s="84">
        <f t="shared" si="16"/>
        <v>120500</v>
      </c>
      <c r="AQ36" s="84">
        <f t="shared" si="16"/>
        <v>117500</v>
      </c>
      <c r="AR36" s="84">
        <f t="shared" si="16"/>
        <v>115400</v>
      </c>
      <c r="AS36" s="84">
        <f t="shared" si="16"/>
        <v>113300</v>
      </c>
      <c r="AT36" s="84">
        <f t="shared" si="16"/>
        <v>111200</v>
      </c>
      <c r="AU36" s="84">
        <f t="shared" si="16"/>
        <v>109100</v>
      </c>
      <c r="AV36" s="85">
        <f t="shared" si="16"/>
        <v>107000</v>
      </c>
    </row>
    <row r="37" spans="1:48" x14ac:dyDescent="0.15">
      <c r="A37" s="66" t="s">
        <v>89</v>
      </c>
      <c r="B37" s="67" t="s">
        <v>90</v>
      </c>
      <c r="C37" s="68" t="s">
        <v>91</v>
      </c>
      <c r="D37" s="64" t="s">
        <v>79</v>
      </c>
      <c r="E37" s="65" t="s">
        <v>88</v>
      </c>
      <c r="F37" s="78">
        <v>92903.84</v>
      </c>
      <c r="G37" s="79">
        <v>99541.89</v>
      </c>
      <c r="H37" s="84">
        <f>E18</f>
        <v>106476.68</v>
      </c>
      <c r="I37" s="84">
        <f t="shared" ref="I37:AV38" si="17">F18</f>
        <v>103524.26</v>
      </c>
      <c r="J37" s="84">
        <f t="shared" si="17"/>
        <v>101795.9</v>
      </c>
      <c r="K37" s="84">
        <f>H18</f>
        <v>103215.29999999999</v>
      </c>
      <c r="L37" s="84">
        <f t="shared" si="17"/>
        <v>103269.38500000001</v>
      </c>
      <c r="M37" s="84">
        <f t="shared" si="17"/>
        <v>108110</v>
      </c>
      <c r="N37" s="84">
        <f t="shared" si="17"/>
        <v>110500</v>
      </c>
      <c r="O37" s="84">
        <f t="shared" si="17"/>
        <v>112200</v>
      </c>
      <c r="P37" s="84">
        <f t="shared" si="17"/>
        <v>113150</v>
      </c>
      <c r="Q37" s="84">
        <f t="shared" si="17"/>
        <v>114250</v>
      </c>
      <c r="R37" s="84">
        <f t="shared" si="17"/>
        <v>115500</v>
      </c>
      <c r="S37" s="84">
        <f t="shared" si="17"/>
        <v>115000</v>
      </c>
      <c r="T37" s="84">
        <f t="shared" si="17"/>
        <v>114500</v>
      </c>
      <c r="U37" s="84">
        <f t="shared" si="17"/>
        <v>114000</v>
      </c>
      <c r="V37" s="84">
        <f t="shared" si="17"/>
        <v>113500</v>
      </c>
      <c r="W37" s="84">
        <f t="shared" si="17"/>
        <v>113000</v>
      </c>
      <c r="X37" s="84">
        <f t="shared" si="17"/>
        <v>111100</v>
      </c>
      <c r="Y37" s="84">
        <f t="shared" si="17"/>
        <v>109200</v>
      </c>
      <c r="Z37" s="84">
        <f t="shared" si="17"/>
        <v>107300</v>
      </c>
      <c r="AA37" s="84">
        <f t="shared" si="17"/>
        <v>105400</v>
      </c>
      <c r="AB37" s="84">
        <f t="shared" si="17"/>
        <v>103500</v>
      </c>
      <c r="AC37" s="84">
        <f t="shared" si="17"/>
        <v>101100</v>
      </c>
      <c r="AD37" s="84">
        <f t="shared" si="17"/>
        <v>98700</v>
      </c>
      <c r="AE37" s="84">
        <f t="shared" si="17"/>
        <v>96300</v>
      </c>
      <c r="AF37" s="84">
        <f t="shared" si="17"/>
        <v>93900</v>
      </c>
      <c r="AG37" s="84">
        <f t="shared" si="17"/>
        <v>91500</v>
      </c>
      <c r="AH37" s="84">
        <f t="shared" si="17"/>
        <v>89500</v>
      </c>
      <c r="AI37" s="84">
        <f t="shared" si="17"/>
        <v>87500</v>
      </c>
      <c r="AJ37" s="84">
        <f t="shared" si="17"/>
        <v>85500</v>
      </c>
      <c r="AK37" s="84">
        <f t="shared" si="17"/>
        <v>83500</v>
      </c>
      <c r="AL37" s="84">
        <f t="shared" si="17"/>
        <v>81500</v>
      </c>
      <c r="AM37" s="84">
        <f t="shared" si="17"/>
        <v>79300</v>
      </c>
      <c r="AN37" s="84">
        <f t="shared" si="17"/>
        <v>77100</v>
      </c>
      <c r="AO37" s="84">
        <f t="shared" si="17"/>
        <v>74900</v>
      </c>
      <c r="AP37" s="84">
        <f t="shared" si="17"/>
        <v>72700</v>
      </c>
      <c r="AQ37" s="84">
        <f t="shared" si="17"/>
        <v>70500</v>
      </c>
      <c r="AR37" s="84">
        <f t="shared" si="17"/>
        <v>69000</v>
      </c>
      <c r="AS37" s="84">
        <f t="shared" si="17"/>
        <v>67500</v>
      </c>
      <c r="AT37" s="84">
        <f t="shared" si="17"/>
        <v>66000</v>
      </c>
      <c r="AU37" s="84">
        <f t="shared" si="17"/>
        <v>64500</v>
      </c>
      <c r="AV37" s="85">
        <f t="shared" si="17"/>
        <v>63000</v>
      </c>
    </row>
    <row r="38" spans="1:48" x14ac:dyDescent="0.15">
      <c r="A38" s="66" t="s">
        <v>92</v>
      </c>
      <c r="B38" s="67" t="s">
        <v>84</v>
      </c>
      <c r="C38" s="68" t="s">
        <v>93</v>
      </c>
      <c r="D38" s="64" t="s">
        <v>79</v>
      </c>
      <c r="E38" s="65" t="s">
        <v>88</v>
      </c>
      <c r="F38" s="78">
        <v>3683.1</v>
      </c>
      <c r="G38" s="79">
        <v>3512.96</v>
      </c>
      <c r="H38" s="79">
        <f>E19</f>
        <v>3708.04</v>
      </c>
      <c r="I38" s="79">
        <f t="shared" si="17"/>
        <v>3850.32</v>
      </c>
      <c r="J38" s="79">
        <f t="shared" si="17"/>
        <v>4014.43</v>
      </c>
      <c r="K38" s="79">
        <f t="shared" si="17"/>
        <v>4167.9533333333329</v>
      </c>
      <c r="L38" s="79">
        <f t="shared" si="17"/>
        <v>4319.8100000000004</v>
      </c>
      <c r="M38" s="79">
        <f t="shared" si="17"/>
        <v>4468.5</v>
      </c>
      <c r="N38" s="79">
        <f t="shared" si="17"/>
        <v>4553.8</v>
      </c>
      <c r="O38" s="79">
        <f t="shared" si="17"/>
        <v>4628.3999999999996</v>
      </c>
      <c r="P38" s="79">
        <f t="shared" si="17"/>
        <v>4688.3</v>
      </c>
      <c r="Q38" s="79">
        <f t="shared" si="17"/>
        <v>4750.3</v>
      </c>
      <c r="R38" s="79">
        <f t="shared" si="17"/>
        <v>4815</v>
      </c>
      <c r="S38" s="79">
        <f t="shared" si="17"/>
        <v>4847</v>
      </c>
      <c r="T38" s="79">
        <f t="shared" si="17"/>
        <v>4879</v>
      </c>
      <c r="U38" s="79">
        <f t="shared" si="17"/>
        <v>4911</v>
      </c>
      <c r="V38" s="79">
        <f t="shared" si="17"/>
        <v>4943</v>
      </c>
      <c r="W38" s="79">
        <f t="shared" si="17"/>
        <v>4975</v>
      </c>
      <c r="X38" s="79">
        <f t="shared" si="17"/>
        <v>4955</v>
      </c>
      <c r="Y38" s="79">
        <f t="shared" si="17"/>
        <v>4935</v>
      </c>
      <c r="Z38" s="79">
        <f t="shared" si="17"/>
        <v>4915</v>
      </c>
      <c r="AA38" s="79">
        <f t="shared" si="17"/>
        <v>4895</v>
      </c>
      <c r="AB38" s="79">
        <f t="shared" si="17"/>
        <v>4875</v>
      </c>
      <c r="AC38" s="79">
        <f t="shared" si="17"/>
        <v>4835</v>
      </c>
      <c r="AD38" s="79">
        <f t="shared" si="17"/>
        <v>4795</v>
      </c>
      <c r="AE38" s="79">
        <f t="shared" si="17"/>
        <v>4755</v>
      </c>
      <c r="AF38" s="79">
        <f t="shared" si="17"/>
        <v>4715</v>
      </c>
      <c r="AG38" s="79">
        <f t="shared" si="17"/>
        <v>4675</v>
      </c>
      <c r="AH38" s="79">
        <f t="shared" si="17"/>
        <v>4610</v>
      </c>
      <c r="AI38" s="79">
        <f t="shared" si="17"/>
        <v>4545</v>
      </c>
      <c r="AJ38" s="79">
        <f t="shared" si="17"/>
        <v>4480</v>
      </c>
      <c r="AK38" s="79">
        <f t="shared" si="17"/>
        <v>4415</v>
      </c>
      <c r="AL38" s="79">
        <f t="shared" si="17"/>
        <v>4350</v>
      </c>
      <c r="AM38" s="79">
        <f t="shared" si="17"/>
        <v>4285</v>
      </c>
      <c r="AN38" s="79">
        <f t="shared" si="17"/>
        <v>4220</v>
      </c>
      <c r="AO38" s="79">
        <f t="shared" si="17"/>
        <v>4155</v>
      </c>
      <c r="AP38" s="79">
        <f t="shared" si="17"/>
        <v>4090</v>
      </c>
      <c r="AQ38" s="79">
        <f t="shared" si="17"/>
        <v>4025</v>
      </c>
      <c r="AR38" s="79">
        <f t="shared" si="17"/>
        <v>3960</v>
      </c>
      <c r="AS38" s="79">
        <f t="shared" si="17"/>
        <v>3895</v>
      </c>
      <c r="AT38" s="79">
        <f t="shared" si="17"/>
        <v>3830</v>
      </c>
      <c r="AU38" s="79">
        <f t="shared" si="17"/>
        <v>3765</v>
      </c>
      <c r="AV38" s="86">
        <f t="shared" si="17"/>
        <v>3700</v>
      </c>
    </row>
    <row r="39" spans="1:48" ht="14.25" x14ac:dyDescent="0.2">
      <c r="A39" s="66" t="s">
        <v>94</v>
      </c>
      <c r="B39" s="67" t="s">
        <v>84</v>
      </c>
      <c r="C39" s="70" t="s">
        <v>95</v>
      </c>
      <c r="D39" s="64" t="s">
        <v>96</v>
      </c>
      <c r="E39" s="71" t="s">
        <v>62</v>
      </c>
      <c r="F39" s="99">
        <v>68449</v>
      </c>
      <c r="G39" s="84">
        <v>72255</v>
      </c>
      <c r="H39" s="84">
        <v>75110</v>
      </c>
      <c r="I39" s="84">
        <v>83128</v>
      </c>
      <c r="J39" s="84">
        <v>86372</v>
      </c>
      <c r="K39" s="84">
        <v>92908</v>
      </c>
      <c r="L39" s="84">
        <v>98236</v>
      </c>
      <c r="M39" s="84">
        <v>103441</v>
      </c>
      <c r="N39" s="84">
        <v>108529</v>
      </c>
      <c r="O39" s="84">
        <v>113482</v>
      </c>
      <c r="P39" s="84">
        <v>118298</v>
      </c>
      <c r="Q39" s="84">
        <v>122964</v>
      </c>
      <c r="R39" s="84">
        <v>127474</v>
      </c>
      <c r="S39" s="84">
        <v>131817</v>
      </c>
      <c r="T39" s="84">
        <v>135982</v>
      </c>
      <c r="U39" s="84">
        <v>139961</v>
      </c>
      <c r="V39" s="84">
        <v>143743</v>
      </c>
      <c r="W39" s="84">
        <v>147316</v>
      </c>
      <c r="X39" s="84">
        <v>150667</v>
      </c>
      <c r="Y39" s="84">
        <v>153788</v>
      </c>
      <c r="Z39" s="84">
        <v>156673</v>
      </c>
      <c r="AA39" s="84">
        <v>159316</v>
      </c>
      <c r="AB39" s="84">
        <v>161710</v>
      </c>
      <c r="AC39" s="84">
        <v>163854</v>
      </c>
      <c r="AD39" s="84">
        <v>165743</v>
      </c>
      <c r="AE39" s="84">
        <v>167375</v>
      </c>
      <c r="AF39" s="84">
        <v>168754</v>
      </c>
      <c r="AG39" s="84">
        <v>169877</v>
      </c>
      <c r="AH39" s="84">
        <v>170749</v>
      </c>
      <c r="AI39" s="84">
        <v>171374</v>
      </c>
      <c r="AJ39" s="84">
        <v>171758</v>
      </c>
      <c r="AK39" s="84">
        <v>171907</v>
      </c>
      <c r="AL39" s="84">
        <v>171827</v>
      </c>
      <c r="AM39" s="84">
        <v>171527</v>
      </c>
      <c r="AN39" s="84">
        <v>171015</v>
      </c>
      <c r="AO39" s="84">
        <v>170299</v>
      </c>
      <c r="AP39" s="84">
        <v>169391</v>
      </c>
      <c r="AQ39" s="84">
        <v>168299</v>
      </c>
      <c r="AR39" s="84">
        <v>167033</v>
      </c>
      <c r="AS39" s="84">
        <v>165602</v>
      </c>
      <c r="AT39" s="84">
        <v>164017</v>
      </c>
      <c r="AU39" s="84">
        <v>162290</v>
      </c>
      <c r="AV39" s="85">
        <v>160429</v>
      </c>
    </row>
    <row r="40" spans="1:48" ht="14.25" x14ac:dyDescent="0.2">
      <c r="A40" s="72" t="s">
        <v>97</v>
      </c>
      <c r="B40" s="73" t="s">
        <v>98</v>
      </c>
      <c r="C40" s="74" t="s">
        <v>60</v>
      </c>
      <c r="D40" s="75" t="s">
        <v>61</v>
      </c>
      <c r="E40" s="76" t="s">
        <v>62</v>
      </c>
      <c r="F40" s="100">
        <v>13.953799999999999</v>
      </c>
      <c r="G40" s="101">
        <v>14.007930999999999</v>
      </c>
      <c r="H40" s="101">
        <v>14.131351629999999</v>
      </c>
      <c r="I40" s="101">
        <v>14.16016011</v>
      </c>
      <c r="J40" s="101">
        <v>14.188968259999999</v>
      </c>
      <c r="K40" s="101">
        <v>14.21777659</v>
      </c>
      <c r="L40" s="101">
        <v>14.246584739999999</v>
      </c>
      <c r="M40" s="101">
        <v>14.27539322</v>
      </c>
      <c r="N40" s="101">
        <v>14.27109347</v>
      </c>
      <c r="O40" s="101">
        <v>14.2667936</v>
      </c>
      <c r="P40" s="101">
        <v>14.26249434</v>
      </c>
      <c r="Q40" s="101">
        <v>14.258194469999999</v>
      </c>
      <c r="R40" s="101">
        <v>14.25389472</v>
      </c>
      <c r="S40" s="101">
        <v>14.234383210000001</v>
      </c>
      <c r="T40" s="101">
        <v>14.21487207</v>
      </c>
      <c r="U40" s="101">
        <v>14.19536108</v>
      </c>
      <c r="V40" s="101">
        <v>14.175849940000001</v>
      </c>
      <c r="W40" s="101">
        <v>14.15633843</v>
      </c>
      <c r="X40" s="101">
        <v>14.120965379999999</v>
      </c>
      <c r="Y40" s="101">
        <v>14.08559209</v>
      </c>
      <c r="Z40" s="101">
        <v>14.050218709999999</v>
      </c>
      <c r="AA40" s="101">
        <v>14.01484542</v>
      </c>
      <c r="AB40" s="101">
        <v>13.97947237</v>
      </c>
      <c r="AC40" s="101">
        <v>13.93101401</v>
      </c>
      <c r="AD40" s="101">
        <v>13.882555740000001</v>
      </c>
      <c r="AE40" s="101">
        <v>13.83409724</v>
      </c>
      <c r="AF40" s="101">
        <v>13.785638970000001</v>
      </c>
      <c r="AG40" s="101">
        <v>13.737180609999999</v>
      </c>
      <c r="AH40" s="101">
        <v>13.66731802</v>
      </c>
      <c r="AI40" s="101">
        <v>13.597455719999999</v>
      </c>
      <c r="AJ40" s="101">
        <v>13.52759292</v>
      </c>
      <c r="AK40" s="101">
        <v>13.45773062</v>
      </c>
      <c r="AL40" s="101">
        <v>13.38786803</v>
      </c>
      <c r="AM40" s="101">
        <v>13.29363728</v>
      </c>
      <c r="AN40" s="101">
        <v>13.19940598</v>
      </c>
      <c r="AO40" s="101">
        <v>13.105175389999999</v>
      </c>
      <c r="AP40" s="101">
        <v>13.010944090000001</v>
      </c>
      <c r="AQ40" s="101">
        <v>12.916713339999999</v>
      </c>
      <c r="AR40" s="101">
        <v>12.803761980000001</v>
      </c>
      <c r="AS40" s="101">
        <v>12.690810539999999</v>
      </c>
      <c r="AT40" s="101">
        <v>12.577859249999999</v>
      </c>
      <c r="AU40" s="101">
        <v>12.46490781</v>
      </c>
      <c r="AV40" s="102">
        <v>12.351956449999999</v>
      </c>
    </row>
  </sheetData>
  <phoneticPr fontId="3" type="noConversion"/>
  <hyperlinks>
    <hyperlink ref="D8" r:id="rId1" display="https://www.sohu.com/a/716515038_121388092" xr:uid="{1166C550-C5A6-4F3C-8D25-0A5973C9CBB9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0"/>
  <sheetViews>
    <sheetView topLeftCell="AC19" zoomScale="80" zoomScaleNormal="80" workbookViewId="0">
      <selection activeCell="A26" sqref="A26:AV40"/>
    </sheetView>
  </sheetViews>
  <sheetFormatPr defaultRowHeight="14.25" x14ac:dyDescent="0.2"/>
  <cols>
    <col min="1" max="1" width="22.5" customWidth="1"/>
    <col min="4" max="4" width="20.375" customWidth="1"/>
  </cols>
  <sheetData>
    <row r="1" spans="1:45" x14ac:dyDescent="0.2">
      <c r="A1" s="1" t="s">
        <v>0</v>
      </c>
      <c r="B1" s="1" t="s">
        <v>1</v>
      </c>
      <c r="C1" s="2" t="s">
        <v>2</v>
      </c>
      <c r="D1" s="1" t="s">
        <v>3</v>
      </c>
      <c r="E1" s="3">
        <v>2020</v>
      </c>
      <c r="F1" s="2">
        <v>2021</v>
      </c>
      <c r="G1" s="4">
        <v>2022</v>
      </c>
      <c r="H1" s="4">
        <v>2023</v>
      </c>
      <c r="I1" s="4">
        <v>2024</v>
      </c>
      <c r="J1" s="3">
        <v>2025</v>
      </c>
      <c r="K1" s="5">
        <v>2026</v>
      </c>
      <c r="L1" s="6">
        <v>2027</v>
      </c>
      <c r="M1" s="6">
        <v>2028</v>
      </c>
      <c r="N1" s="6">
        <v>2029</v>
      </c>
      <c r="O1" s="3">
        <v>2030</v>
      </c>
      <c r="P1" s="2">
        <v>2031</v>
      </c>
      <c r="Q1" s="4">
        <v>2032</v>
      </c>
      <c r="R1" s="4">
        <v>2033</v>
      </c>
      <c r="S1" s="4">
        <v>2034</v>
      </c>
      <c r="T1" s="3">
        <v>2035</v>
      </c>
      <c r="U1" s="2">
        <v>2036</v>
      </c>
      <c r="V1" s="4">
        <v>2037</v>
      </c>
      <c r="W1" s="4">
        <v>2038</v>
      </c>
      <c r="X1" s="4">
        <v>2039</v>
      </c>
      <c r="Y1" s="3">
        <v>2040</v>
      </c>
      <c r="Z1" s="2">
        <v>2041</v>
      </c>
      <c r="AA1" s="4">
        <v>2042</v>
      </c>
      <c r="AB1" s="4">
        <v>2043</v>
      </c>
      <c r="AC1" s="4">
        <v>2044</v>
      </c>
      <c r="AD1" s="3">
        <v>2045</v>
      </c>
      <c r="AE1" s="2">
        <v>2046</v>
      </c>
      <c r="AF1" s="4">
        <v>2047</v>
      </c>
      <c r="AG1" s="4">
        <v>2048</v>
      </c>
      <c r="AH1" s="4">
        <v>2049</v>
      </c>
      <c r="AI1" s="3">
        <v>2050</v>
      </c>
      <c r="AJ1" s="2">
        <v>2051</v>
      </c>
      <c r="AK1" s="4">
        <v>2052</v>
      </c>
      <c r="AL1" s="4">
        <v>2053</v>
      </c>
      <c r="AM1" s="4">
        <v>2054</v>
      </c>
      <c r="AN1" s="3">
        <v>2055</v>
      </c>
      <c r="AO1" s="2">
        <v>2056</v>
      </c>
      <c r="AP1" s="4">
        <v>2057</v>
      </c>
      <c r="AQ1" s="4">
        <v>2058</v>
      </c>
      <c r="AR1" s="4">
        <v>2059</v>
      </c>
      <c r="AS1" s="3">
        <v>2060</v>
      </c>
    </row>
    <row r="2" spans="1:45" x14ac:dyDescent="0.2">
      <c r="A2" s="7" t="s">
        <v>4</v>
      </c>
      <c r="B2" s="8" t="s">
        <v>5</v>
      </c>
      <c r="C2" s="9" t="s">
        <v>6</v>
      </c>
      <c r="D2" s="8" t="s">
        <v>7</v>
      </c>
      <c r="E2" s="33">
        <v>39.020000000000003</v>
      </c>
      <c r="F2" s="31">
        <v>41.26</v>
      </c>
      <c r="G2" s="27">
        <v>45.59</v>
      </c>
      <c r="H2" s="12">
        <f>G2+($J2-$G2)/3</f>
        <v>46.393333333333338</v>
      </c>
      <c r="I2" s="12">
        <f>H2+($J2-$G2)/3</f>
        <v>47.196666666666673</v>
      </c>
      <c r="J2" s="10">
        <v>48</v>
      </c>
      <c r="K2" s="11">
        <f>J2+($O2-$J2)/5</f>
        <v>47.6</v>
      </c>
      <c r="L2" s="12">
        <f>K2+($O2-$J2)/5</f>
        <v>47.2</v>
      </c>
      <c r="M2" s="12">
        <f t="shared" ref="M2:N2" si="0">L2+($O2-$J2)/5</f>
        <v>46.800000000000004</v>
      </c>
      <c r="N2" s="12">
        <f t="shared" si="0"/>
        <v>46.400000000000006</v>
      </c>
      <c r="O2" s="13">
        <v>46</v>
      </c>
      <c r="P2" s="11">
        <f>O2+($T2-$O2)/5</f>
        <v>45.4</v>
      </c>
      <c r="Q2" s="12">
        <f t="shared" ref="Q2:S2" si="1">P2+($T2-$O2)/5</f>
        <v>44.8</v>
      </c>
      <c r="R2" s="12">
        <f t="shared" si="1"/>
        <v>44.199999999999996</v>
      </c>
      <c r="S2" s="12">
        <f t="shared" si="1"/>
        <v>43.599999999999994</v>
      </c>
      <c r="T2" s="14">
        <v>43</v>
      </c>
      <c r="U2" s="11">
        <f>T2+($Y2-$T2)/5</f>
        <v>42.4</v>
      </c>
      <c r="V2" s="12">
        <f t="shared" ref="V2:X2" si="2">U2+($Y2-$T2)/5</f>
        <v>41.8</v>
      </c>
      <c r="W2" s="12">
        <f t="shared" si="2"/>
        <v>41.199999999999996</v>
      </c>
      <c r="X2" s="12">
        <f t="shared" si="2"/>
        <v>40.599999999999994</v>
      </c>
      <c r="Y2" s="15">
        <v>40</v>
      </c>
      <c r="Z2" s="11">
        <f>Y2+($AD2-$Y2)/5</f>
        <v>39.4</v>
      </c>
      <c r="AA2" s="12">
        <f t="shared" ref="AA2:AC2" si="3">Z2+($AD2-$Y2)/5</f>
        <v>38.799999999999997</v>
      </c>
      <c r="AB2" s="12">
        <f t="shared" si="3"/>
        <v>38.199999999999996</v>
      </c>
      <c r="AC2" s="12">
        <f t="shared" si="3"/>
        <v>37.599999999999994</v>
      </c>
      <c r="AD2" s="16">
        <v>37</v>
      </c>
      <c r="AE2" s="11">
        <f>AD2+($AI2-$AD2)/5</f>
        <v>36.5</v>
      </c>
      <c r="AF2" s="12">
        <f t="shared" ref="AF2:AH2" si="4">AE2+($AI2-$AD2)/5</f>
        <v>36</v>
      </c>
      <c r="AG2" s="12">
        <f t="shared" si="4"/>
        <v>35.5</v>
      </c>
      <c r="AH2" s="12">
        <f t="shared" si="4"/>
        <v>35</v>
      </c>
      <c r="AI2" s="16">
        <v>34.5</v>
      </c>
      <c r="AJ2" s="11">
        <f>AI2+($AN2-$AI2)/5</f>
        <v>33.9</v>
      </c>
      <c r="AK2" s="12">
        <f t="shared" ref="AK2:AM2" si="5">AJ2+($AN2-$AI2)/5</f>
        <v>33.299999999999997</v>
      </c>
      <c r="AL2" s="12">
        <f t="shared" si="5"/>
        <v>32.699999999999996</v>
      </c>
      <c r="AM2" s="12">
        <f t="shared" si="5"/>
        <v>32.099999999999994</v>
      </c>
      <c r="AN2" s="16">
        <v>31.5</v>
      </c>
      <c r="AO2" s="11">
        <f>AN2+($AS2-$AN2)/5</f>
        <v>30.8</v>
      </c>
      <c r="AP2" s="12">
        <f t="shared" ref="AP2:AR2" si="6">AO2+($AS2-$AN2)/5</f>
        <v>30.1</v>
      </c>
      <c r="AQ2" s="12">
        <f t="shared" si="6"/>
        <v>29.400000000000002</v>
      </c>
      <c r="AR2" s="12">
        <f t="shared" si="6"/>
        <v>28.700000000000003</v>
      </c>
      <c r="AS2" s="16">
        <v>28</v>
      </c>
    </row>
    <row r="3" spans="1:45" x14ac:dyDescent="0.2">
      <c r="A3" s="17" t="s">
        <v>8</v>
      </c>
      <c r="B3" s="8" t="s">
        <v>9</v>
      </c>
      <c r="C3" s="9" t="s">
        <v>6</v>
      </c>
      <c r="D3" s="8" t="s">
        <v>10</v>
      </c>
      <c r="E3" s="34">
        <v>1.9477</v>
      </c>
      <c r="F3" s="32">
        <v>1.9887999999999999</v>
      </c>
      <c r="G3" s="28">
        <v>2.0472000000000001</v>
      </c>
      <c r="H3" s="12">
        <f t="shared" ref="H3:I3" si="7">G3+($J3-$G3)/3</f>
        <v>2.0914666666666668</v>
      </c>
      <c r="I3" s="12">
        <f t="shared" si="7"/>
        <v>2.1357333333333335</v>
      </c>
      <c r="J3" s="10">
        <v>2.1800000000000002</v>
      </c>
      <c r="K3" s="11">
        <f t="shared" ref="K3:N18" si="8">J3+($O3-$J3)/5</f>
        <v>2.2000000000000002</v>
      </c>
      <c r="L3" s="12">
        <f t="shared" si="8"/>
        <v>2.2200000000000002</v>
      </c>
      <c r="M3" s="12">
        <f t="shared" si="8"/>
        <v>2.2400000000000002</v>
      </c>
      <c r="N3" s="12">
        <f t="shared" si="8"/>
        <v>2.2600000000000002</v>
      </c>
      <c r="O3" s="10">
        <v>2.2799999999999998</v>
      </c>
      <c r="P3" s="11">
        <f t="shared" ref="P3:S18" si="9">O3+($T3-$O3)/5</f>
        <v>2.2879999999999998</v>
      </c>
      <c r="Q3" s="12">
        <f t="shared" si="9"/>
        <v>2.2959999999999998</v>
      </c>
      <c r="R3" s="12">
        <f t="shared" si="9"/>
        <v>2.3039999999999998</v>
      </c>
      <c r="S3" s="12">
        <f t="shared" si="9"/>
        <v>2.3119999999999998</v>
      </c>
      <c r="T3" s="10">
        <v>2.3199999999999998</v>
      </c>
      <c r="U3" s="11">
        <f t="shared" ref="U3:X18" si="10">T3+($Y3-$T3)/5</f>
        <v>2.3279999999999998</v>
      </c>
      <c r="V3" s="12">
        <f t="shared" si="10"/>
        <v>2.3359999999999999</v>
      </c>
      <c r="W3" s="12">
        <f t="shared" si="10"/>
        <v>2.3439999999999999</v>
      </c>
      <c r="X3" s="12">
        <f t="shared" si="10"/>
        <v>2.3519999999999999</v>
      </c>
      <c r="Y3" s="10">
        <v>2.36</v>
      </c>
      <c r="Z3" s="11">
        <f t="shared" ref="Z3:AC18" si="11">Y3+($AD3-$Y3)/5</f>
        <v>2.3439999999999999</v>
      </c>
      <c r="AA3" s="12">
        <f t="shared" si="11"/>
        <v>2.3279999999999998</v>
      </c>
      <c r="AB3" s="12">
        <f t="shared" si="11"/>
        <v>2.3119999999999998</v>
      </c>
      <c r="AC3" s="12">
        <f t="shared" si="11"/>
        <v>2.2959999999999998</v>
      </c>
      <c r="AD3" s="10">
        <v>2.2799999999999998</v>
      </c>
      <c r="AE3" s="11">
        <f t="shared" ref="AE3:AH18" si="12">AD3+($AI3-$AD3)/5</f>
        <v>2.2439999999999998</v>
      </c>
      <c r="AF3" s="12">
        <f t="shared" si="12"/>
        <v>2.2079999999999997</v>
      </c>
      <c r="AG3" s="12">
        <f t="shared" si="12"/>
        <v>2.1719999999999997</v>
      </c>
      <c r="AH3" s="12">
        <f t="shared" si="12"/>
        <v>2.1359999999999997</v>
      </c>
      <c r="AI3" s="10">
        <v>2.1</v>
      </c>
      <c r="AJ3" s="11">
        <f t="shared" ref="AJ3:AM18" si="13">AI3+($AN3-$AI3)/5</f>
        <v>2.0500000000000003</v>
      </c>
      <c r="AK3" s="12">
        <f t="shared" si="13"/>
        <v>2.0000000000000004</v>
      </c>
      <c r="AL3" s="12">
        <f t="shared" si="13"/>
        <v>1.9500000000000004</v>
      </c>
      <c r="AM3" s="12">
        <f t="shared" si="13"/>
        <v>1.9000000000000004</v>
      </c>
      <c r="AN3" s="10">
        <v>1.85</v>
      </c>
      <c r="AO3" s="11">
        <f t="shared" ref="AO3:AR18" si="14">AN3+($AS3-$AN3)/5</f>
        <v>1.81</v>
      </c>
      <c r="AP3" s="12">
        <f t="shared" si="14"/>
        <v>1.77</v>
      </c>
      <c r="AQ3" s="12">
        <f t="shared" si="14"/>
        <v>1.73</v>
      </c>
      <c r="AR3" s="12">
        <f t="shared" si="14"/>
        <v>1.69</v>
      </c>
      <c r="AS3" s="10">
        <v>1.65</v>
      </c>
    </row>
    <row r="4" spans="1:45" x14ac:dyDescent="0.2">
      <c r="A4" s="17" t="s">
        <v>8</v>
      </c>
      <c r="B4" s="8" t="s">
        <v>11</v>
      </c>
      <c r="C4" s="9" t="s">
        <v>12</v>
      </c>
      <c r="D4" s="8" t="s">
        <v>10</v>
      </c>
      <c r="E4" s="35">
        <v>1924.95</v>
      </c>
      <c r="F4" s="11">
        <v>2075.84</v>
      </c>
      <c r="G4" s="29">
        <v>2201.1</v>
      </c>
      <c r="H4" s="12">
        <f t="shared" ref="H4:I4" si="15">G4+($J4-$G4)/3</f>
        <v>2317.4</v>
      </c>
      <c r="I4" s="12">
        <f t="shared" si="15"/>
        <v>2433.7000000000003</v>
      </c>
      <c r="J4" s="10">
        <v>2550</v>
      </c>
      <c r="K4" s="11">
        <f t="shared" si="8"/>
        <v>2620</v>
      </c>
      <c r="L4" s="12">
        <f t="shared" si="8"/>
        <v>2690</v>
      </c>
      <c r="M4" s="12">
        <f t="shared" si="8"/>
        <v>2760</v>
      </c>
      <c r="N4" s="12">
        <f t="shared" si="8"/>
        <v>2830</v>
      </c>
      <c r="O4" s="10">
        <v>2900</v>
      </c>
      <c r="P4" s="11">
        <f t="shared" si="9"/>
        <v>2950</v>
      </c>
      <c r="Q4" s="12">
        <f t="shared" si="9"/>
        <v>3000</v>
      </c>
      <c r="R4" s="12">
        <f t="shared" si="9"/>
        <v>3050</v>
      </c>
      <c r="S4" s="12">
        <f t="shared" si="9"/>
        <v>3100</v>
      </c>
      <c r="T4" s="10">
        <v>3150</v>
      </c>
      <c r="U4" s="11">
        <f t="shared" si="10"/>
        <v>3176</v>
      </c>
      <c r="V4" s="12">
        <f t="shared" si="10"/>
        <v>3202</v>
      </c>
      <c r="W4" s="12">
        <f t="shared" si="10"/>
        <v>3228</v>
      </c>
      <c r="X4" s="12">
        <f t="shared" si="10"/>
        <v>3254</v>
      </c>
      <c r="Y4" s="10">
        <v>3280</v>
      </c>
      <c r="Z4" s="11">
        <f t="shared" si="11"/>
        <v>3302</v>
      </c>
      <c r="AA4" s="12">
        <f t="shared" si="11"/>
        <v>3324</v>
      </c>
      <c r="AB4" s="12">
        <f t="shared" si="11"/>
        <v>3346</v>
      </c>
      <c r="AC4" s="12">
        <f t="shared" si="11"/>
        <v>3368</v>
      </c>
      <c r="AD4" s="10">
        <v>3390</v>
      </c>
      <c r="AE4" s="11">
        <f t="shared" si="12"/>
        <v>3406</v>
      </c>
      <c r="AF4" s="12">
        <f t="shared" si="12"/>
        <v>3422</v>
      </c>
      <c r="AG4" s="12">
        <f t="shared" si="12"/>
        <v>3438</v>
      </c>
      <c r="AH4" s="12">
        <f t="shared" si="12"/>
        <v>3454</v>
      </c>
      <c r="AI4" s="10">
        <v>3470</v>
      </c>
      <c r="AJ4" s="11">
        <f t="shared" si="13"/>
        <v>3484</v>
      </c>
      <c r="AK4" s="12">
        <f t="shared" si="13"/>
        <v>3498</v>
      </c>
      <c r="AL4" s="12">
        <f t="shared" si="13"/>
        <v>3512</v>
      </c>
      <c r="AM4" s="12">
        <f t="shared" si="13"/>
        <v>3526</v>
      </c>
      <c r="AN4" s="10">
        <v>3540</v>
      </c>
      <c r="AO4" s="11">
        <f t="shared" si="14"/>
        <v>3554</v>
      </c>
      <c r="AP4" s="12">
        <f t="shared" si="14"/>
        <v>3568</v>
      </c>
      <c r="AQ4" s="12">
        <f t="shared" si="14"/>
        <v>3582</v>
      </c>
      <c r="AR4" s="12">
        <f t="shared" si="14"/>
        <v>3596</v>
      </c>
      <c r="AS4" s="10">
        <v>3610</v>
      </c>
    </row>
    <row r="5" spans="1:45" x14ac:dyDescent="0.2">
      <c r="A5" s="18" t="s">
        <v>13</v>
      </c>
      <c r="B5" s="8" t="s">
        <v>14</v>
      </c>
      <c r="C5" s="9" t="s">
        <v>6</v>
      </c>
      <c r="D5" s="8" t="s">
        <v>15</v>
      </c>
      <c r="E5" s="34">
        <v>8.6671999999999993</v>
      </c>
      <c r="F5" s="32">
        <v>9.8053000000000008</v>
      </c>
      <c r="G5" s="28">
        <v>9.6786999999999992</v>
      </c>
      <c r="H5" s="12">
        <f>H18/G18*G5</f>
        <v>9.6885977726018435</v>
      </c>
      <c r="I5" s="12">
        <f>I18/H18*H5</f>
        <v>9.5079467837113292</v>
      </c>
      <c r="J5" s="16">
        <f>J18/G18*G5</f>
        <v>10.17350305857112</v>
      </c>
      <c r="K5" s="11">
        <f t="shared" si="8"/>
        <v>10.306614313543077</v>
      </c>
      <c r="L5" s="12">
        <f t="shared" si="8"/>
        <v>10.439725568515035</v>
      </c>
      <c r="M5" s="12">
        <f t="shared" si="8"/>
        <v>10.572836823486993</v>
      </c>
      <c r="N5" s="12">
        <f t="shared" si="8"/>
        <v>10.705948078458951</v>
      </c>
      <c r="O5" s="16">
        <f>O18/J18*J5</f>
        <v>10.839059333430912</v>
      </c>
      <c r="P5" s="11">
        <f t="shared" si="9"/>
        <v>10.782011652728643</v>
      </c>
      <c r="Q5" s="12">
        <f t="shared" si="9"/>
        <v>10.724963972026375</v>
      </c>
      <c r="R5" s="12">
        <f t="shared" si="9"/>
        <v>10.667916291324106</v>
      </c>
      <c r="S5" s="12">
        <f t="shared" si="9"/>
        <v>10.610868610621838</v>
      </c>
      <c r="T5" s="16">
        <f>T18/O18*O5</f>
        <v>10.553820929919572</v>
      </c>
      <c r="U5" s="11">
        <f t="shared" si="10"/>
        <v>10.382677887812768</v>
      </c>
      <c r="V5" s="12">
        <f t="shared" si="10"/>
        <v>10.211534845705964</v>
      </c>
      <c r="W5" s="12">
        <f t="shared" si="10"/>
        <v>10.04039180359916</v>
      </c>
      <c r="X5" s="12">
        <f t="shared" si="10"/>
        <v>9.8692487614923561</v>
      </c>
      <c r="Y5" s="16">
        <f>Y18/T18*T5</f>
        <v>9.6981057193855538</v>
      </c>
      <c r="Z5" s="11">
        <f t="shared" si="11"/>
        <v>9.4699149965764811</v>
      </c>
      <c r="AA5" s="12">
        <f t="shared" si="11"/>
        <v>9.2417242737674083</v>
      </c>
      <c r="AB5" s="12">
        <f t="shared" si="11"/>
        <v>9.0135335509583356</v>
      </c>
      <c r="AC5" s="12">
        <f t="shared" si="11"/>
        <v>8.7853428281492629</v>
      </c>
      <c r="AD5" s="16">
        <f>AD18/Y18*Y5</f>
        <v>8.5571521053401938</v>
      </c>
      <c r="AE5" s="11">
        <f t="shared" si="12"/>
        <v>8.3669931696659674</v>
      </c>
      <c r="AF5" s="12">
        <f t="shared" si="12"/>
        <v>8.176834233991741</v>
      </c>
      <c r="AG5" s="12">
        <f t="shared" si="12"/>
        <v>7.9866752983175147</v>
      </c>
      <c r="AH5" s="12">
        <f t="shared" si="12"/>
        <v>7.7965163626432883</v>
      </c>
      <c r="AI5" s="16">
        <f>AI18/AD18*AD5</f>
        <v>7.606357426969061</v>
      </c>
      <c r="AJ5" s="11">
        <f t="shared" si="13"/>
        <v>7.3971825977274115</v>
      </c>
      <c r="AK5" s="12">
        <f t="shared" si="13"/>
        <v>7.188007768485762</v>
      </c>
      <c r="AL5" s="12">
        <f t="shared" si="13"/>
        <v>6.9788329392441124</v>
      </c>
      <c r="AM5" s="12">
        <f t="shared" si="13"/>
        <v>6.7696581100024629</v>
      </c>
      <c r="AN5" s="16">
        <f>AN18/AI18*AI5</f>
        <v>6.5604832807608151</v>
      </c>
      <c r="AO5" s="11">
        <f t="shared" si="14"/>
        <v>6.389340238654011</v>
      </c>
      <c r="AP5" s="12">
        <f t="shared" si="14"/>
        <v>6.2181971965472069</v>
      </c>
      <c r="AQ5" s="12">
        <f t="shared" si="14"/>
        <v>6.0470541544404028</v>
      </c>
      <c r="AR5" s="12">
        <f t="shared" si="14"/>
        <v>5.8759111123335988</v>
      </c>
      <c r="AS5" s="16">
        <f>AS18/AN18*AN5</f>
        <v>5.7047680702267956</v>
      </c>
    </row>
    <row r="6" spans="1:45" x14ac:dyDescent="0.2">
      <c r="A6" s="17" t="s">
        <v>16</v>
      </c>
      <c r="B6" s="8" t="s">
        <v>17</v>
      </c>
      <c r="C6" s="9" t="s">
        <v>18</v>
      </c>
      <c r="D6" s="8" t="s">
        <v>19</v>
      </c>
      <c r="E6" s="33">
        <v>172</v>
      </c>
      <c r="F6" s="11">
        <v>191</v>
      </c>
      <c r="G6" s="29">
        <v>194</v>
      </c>
      <c r="H6" s="12">
        <f t="shared" ref="H6:I6" si="16">G6+($J6-$G6)/3</f>
        <v>219.50933697995856</v>
      </c>
      <c r="I6" s="12">
        <f t="shared" si="16"/>
        <v>245.01867395991712</v>
      </c>
      <c r="J6" s="19">
        <f>J20/G20*G6</f>
        <v>270.52801093987568</v>
      </c>
      <c r="K6" s="11">
        <f t="shared" si="8"/>
        <v>283.79261018595992</v>
      </c>
      <c r="L6" s="12">
        <f t="shared" si="8"/>
        <v>297.05720943204415</v>
      </c>
      <c r="M6" s="12">
        <f t="shared" si="8"/>
        <v>310.32180867812838</v>
      </c>
      <c r="N6" s="12">
        <f t="shared" si="8"/>
        <v>323.58640792421261</v>
      </c>
      <c r="O6" s="19">
        <f>O20/J20*J6</f>
        <v>336.85100717029678</v>
      </c>
      <c r="P6" s="11">
        <f t="shared" si="9"/>
        <v>344.18144359576439</v>
      </c>
      <c r="Q6" s="12">
        <f t="shared" si="9"/>
        <v>351.511880021232</v>
      </c>
      <c r="R6" s="12">
        <f t="shared" si="9"/>
        <v>358.84231644669961</v>
      </c>
      <c r="S6" s="12">
        <f t="shared" si="9"/>
        <v>366.17275287216722</v>
      </c>
      <c r="T6" s="19">
        <f>T20/O20*O6</f>
        <v>373.50318929763478</v>
      </c>
      <c r="U6" s="11">
        <f t="shared" si="10"/>
        <v>378.39014691461318</v>
      </c>
      <c r="V6" s="12">
        <f t="shared" si="10"/>
        <v>383.27710453159159</v>
      </c>
      <c r="W6" s="12">
        <f t="shared" si="10"/>
        <v>388.16406214857</v>
      </c>
      <c r="X6" s="12">
        <f t="shared" si="10"/>
        <v>393.0510197655484</v>
      </c>
      <c r="Y6" s="19">
        <f>Y20/T20*T6</f>
        <v>397.93797738252675</v>
      </c>
      <c r="Z6" s="11">
        <f t="shared" si="11"/>
        <v>398.98518258616497</v>
      </c>
      <c r="AA6" s="12">
        <f t="shared" si="11"/>
        <v>400.03238778980318</v>
      </c>
      <c r="AB6" s="12">
        <f t="shared" si="11"/>
        <v>401.07959299344139</v>
      </c>
      <c r="AC6" s="12">
        <f t="shared" si="11"/>
        <v>402.12679819707961</v>
      </c>
      <c r="AD6" s="19">
        <f>AD20/Y20*Y6</f>
        <v>403.17400340071788</v>
      </c>
      <c r="AE6" s="11">
        <f t="shared" si="12"/>
        <v>404.57027700556887</v>
      </c>
      <c r="AF6" s="12">
        <f t="shared" si="12"/>
        <v>405.96655061041986</v>
      </c>
      <c r="AG6" s="12">
        <f t="shared" si="12"/>
        <v>407.36282421527085</v>
      </c>
      <c r="AH6" s="12">
        <f t="shared" si="12"/>
        <v>408.75909782012184</v>
      </c>
      <c r="AI6" s="19">
        <f>AI20/AD20*AD6</f>
        <v>410.15537142497277</v>
      </c>
      <c r="AJ6" s="11">
        <f t="shared" si="13"/>
        <v>411.90071343103648</v>
      </c>
      <c r="AK6" s="12">
        <f t="shared" si="13"/>
        <v>413.64605543710019</v>
      </c>
      <c r="AL6" s="12">
        <f t="shared" si="13"/>
        <v>415.3913974431639</v>
      </c>
      <c r="AM6" s="12">
        <f t="shared" si="13"/>
        <v>417.1367394492276</v>
      </c>
      <c r="AN6" s="19">
        <f>AN20/AI20*AI6</f>
        <v>418.88208145529131</v>
      </c>
      <c r="AO6" s="11">
        <f t="shared" si="14"/>
        <v>420.62742346135502</v>
      </c>
      <c r="AP6" s="12">
        <f t="shared" si="14"/>
        <v>422.37276546741873</v>
      </c>
      <c r="AQ6" s="12">
        <f t="shared" si="14"/>
        <v>424.11810747348244</v>
      </c>
      <c r="AR6" s="12">
        <f t="shared" si="14"/>
        <v>425.86344947954615</v>
      </c>
      <c r="AS6" s="19">
        <f>AS20/AN20*AN6</f>
        <v>427.60879148560986</v>
      </c>
    </row>
    <row r="7" spans="1:45" x14ac:dyDescent="0.2">
      <c r="A7" s="17" t="s">
        <v>16</v>
      </c>
      <c r="B7" s="8" t="s">
        <v>20</v>
      </c>
      <c r="C7" s="9" t="s">
        <v>18</v>
      </c>
      <c r="D7" s="8" t="s">
        <v>51</v>
      </c>
      <c r="E7" s="33">
        <v>9269</v>
      </c>
      <c r="F7" s="11">
        <v>8500</v>
      </c>
      <c r="G7" s="29">
        <v>9000</v>
      </c>
      <c r="H7" s="12">
        <f t="shared" ref="H7:I7" si="17">G7+($J7-$G7)/3</f>
        <v>9325.5032470363167</v>
      </c>
      <c r="I7" s="12">
        <f t="shared" si="17"/>
        <v>9651.0064940726334</v>
      </c>
      <c r="J7" s="19">
        <f>J19/G19*G7</f>
        <v>9976.50974110895</v>
      </c>
      <c r="K7" s="11">
        <f t="shared" si="8"/>
        <v>10124.475952999555</v>
      </c>
      <c r="L7" s="12">
        <f t="shared" si="8"/>
        <v>10272.442164890161</v>
      </c>
      <c r="M7" s="12">
        <f t="shared" si="8"/>
        <v>10420.408376780766</v>
      </c>
      <c r="N7" s="12">
        <f t="shared" si="8"/>
        <v>10568.374588671371</v>
      </c>
      <c r="O7" s="19">
        <f>O19/J19*J7</f>
        <v>10716.340800561973</v>
      </c>
      <c r="P7" s="11">
        <f t="shared" si="9"/>
        <v>10747.727572781192</v>
      </c>
      <c r="Q7" s="12">
        <f t="shared" si="9"/>
        <v>10779.114345000411</v>
      </c>
      <c r="R7" s="12">
        <f t="shared" si="9"/>
        <v>10810.50111721963</v>
      </c>
      <c r="S7" s="12">
        <f t="shared" si="9"/>
        <v>10841.887889438849</v>
      </c>
      <c r="T7" s="19">
        <f>T19/O19*O7</f>
        <v>10873.27466165807</v>
      </c>
      <c r="U7" s="11">
        <f t="shared" si="10"/>
        <v>10828.436415630615</v>
      </c>
      <c r="V7" s="12">
        <f t="shared" si="10"/>
        <v>10783.598169603159</v>
      </c>
      <c r="W7" s="12">
        <f t="shared" si="10"/>
        <v>10738.759923575704</v>
      </c>
      <c r="X7" s="12">
        <f t="shared" si="10"/>
        <v>10693.921677548249</v>
      </c>
      <c r="Y7" s="19">
        <f>Y19/T19*T7</f>
        <v>10649.08343152079</v>
      </c>
      <c r="Z7" s="11">
        <f t="shared" si="11"/>
        <v>10559.406939465878</v>
      </c>
      <c r="AA7" s="12">
        <f t="shared" si="11"/>
        <v>10469.730447410966</v>
      </c>
      <c r="AB7" s="12">
        <f t="shared" si="11"/>
        <v>10380.053955356054</v>
      </c>
      <c r="AC7" s="12">
        <f t="shared" si="11"/>
        <v>10290.377463301142</v>
      </c>
      <c r="AD7" s="19">
        <f>AD19/Y19*Y7</f>
        <v>10200.700971246231</v>
      </c>
      <c r="AE7" s="11">
        <f t="shared" si="12"/>
        <v>10043.767110150136</v>
      </c>
      <c r="AF7" s="12">
        <f t="shared" si="12"/>
        <v>9886.8332490540415</v>
      </c>
      <c r="AG7" s="12">
        <f t="shared" si="12"/>
        <v>9729.8993879579466</v>
      </c>
      <c r="AH7" s="12">
        <f t="shared" si="12"/>
        <v>9572.9655268618517</v>
      </c>
      <c r="AI7" s="19">
        <f>AI19/AD19*AD7</f>
        <v>9416.0316657657531</v>
      </c>
      <c r="AJ7" s="11">
        <f t="shared" si="13"/>
        <v>9259.0978046696564</v>
      </c>
      <c r="AK7" s="12">
        <f t="shared" si="13"/>
        <v>9102.1639435735597</v>
      </c>
      <c r="AL7" s="12">
        <f t="shared" si="13"/>
        <v>8945.2300824774629</v>
      </c>
      <c r="AM7" s="12">
        <f t="shared" si="13"/>
        <v>8788.2962213813662</v>
      </c>
      <c r="AN7" s="19">
        <f>AN19/AI19*AI7</f>
        <v>8631.3623602852731</v>
      </c>
      <c r="AO7" s="11">
        <f t="shared" si="14"/>
        <v>8519.2667452166334</v>
      </c>
      <c r="AP7" s="12">
        <f t="shared" si="14"/>
        <v>8407.1711301479936</v>
      </c>
      <c r="AQ7" s="12">
        <f t="shared" si="14"/>
        <v>8295.0755150793539</v>
      </c>
      <c r="AR7" s="12">
        <f t="shared" si="14"/>
        <v>8182.9799000107141</v>
      </c>
      <c r="AS7" s="19">
        <f>AS19/AN19*AN7</f>
        <v>8070.8842849420735</v>
      </c>
    </row>
    <row r="8" spans="1:45" x14ac:dyDescent="0.2">
      <c r="A8" s="18" t="s">
        <v>21</v>
      </c>
      <c r="B8" s="8" t="s">
        <v>22</v>
      </c>
      <c r="C8" s="9" t="s">
        <v>6</v>
      </c>
      <c r="D8" s="26" t="s">
        <v>23</v>
      </c>
      <c r="E8" s="34">
        <v>31.55</v>
      </c>
      <c r="F8" s="11">
        <v>31.4</v>
      </c>
      <c r="G8" s="27">
        <v>28.79</v>
      </c>
      <c r="H8" s="12">
        <f t="shared" ref="H8:I8" si="18">G8+($J8-$G8)/3</f>
        <v>28.658071465872354</v>
      </c>
      <c r="I8" s="12">
        <f t="shared" si="18"/>
        <v>28.526142931744708</v>
      </c>
      <c r="J8" s="16">
        <f>J16/G16*G8</f>
        <v>28.394214397617063</v>
      </c>
      <c r="K8" s="11">
        <f t="shared" si="8"/>
        <v>28.150835417066059</v>
      </c>
      <c r="L8" s="12">
        <f t="shared" si="8"/>
        <v>27.907456436515055</v>
      </c>
      <c r="M8" s="12">
        <f t="shared" si="8"/>
        <v>27.664077455964051</v>
      </c>
      <c r="N8" s="12">
        <f t="shared" si="8"/>
        <v>27.420698475413047</v>
      </c>
      <c r="O8" s="16">
        <f>O16/J16*J8</f>
        <v>27.177319494862047</v>
      </c>
      <c r="P8" s="11">
        <f t="shared" si="9"/>
        <v>26.825772078510596</v>
      </c>
      <c r="Q8" s="12">
        <f t="shared" si="9"/>
        <v>26.474224662159145</v>
      </c>
      <c r="R8" s="12">
        <f t="shared" si="9"/>
        <v>26.122677245807694</v>
      </c>
      <c r="S8" s="12">
        <f t="shared" si="9"/>
        <v>25.771129829456243</v>
      </c>
      <c r="T8" s="16">
        <f>T16/O16*O8</f>
        <v>25.419582413104798</v>
      </c>
      <c r="U8" s="11">
        <f t="shared" si="10"/>
        <v>24.932824452002791</v>
      </c>
      <c r="V8" s="12">
        <f t="shared" si="10"/>
        <v>24.446066490900783</v>
      </c>
      <c r="W8" s="12">
        <f t="shared" si="10"/>
        <v>23.959308529798776</v>
      </c>
      <c r="X8" s="12">
        <f t="shared" si="10"/>
        <v>23.472550568696768</v>
      </c>
      <c r="Y8" s="16">
        <f>Y16/T16*T8</f>
        <v>22.985792607594764</v>
      </c>
      <c r="Z8" s="11">
        <f t="shared" si="11"/>
        <v>22.444950428592534</v>
      </c>
      <c r="AA8" s="12">
        <f t="shared" si="11"/>
        <v>21.904108249590305</v>
      </c>
      <c r="AB8" s="12">
        <f t="shared" si="11"/>
        <v>21.363266070588075</v>
      </c>
      <c r="AC8" s="12">
        <f t="shared" si="11"/>
        <v>20.822423891585846</v>
      </c>
      <c r="AD8" s="16">
        <f>AD16/Y16*Y8</f>
        <v>20.281581712583616</v>
      </c>
      <c r="AE8" s="11">
        <f t="shared" si="12"/>
        <v>19.740739533581387</v>
      </c>
      <c r="AF8" s="12">
        <f t="shared" si="12"/>
        <v>19.199897354579157</v>
      </c>
      <c r="AG8" s="12">
        <f t="shared" si="12"/>
        <v>18.659055175576928</v>
      </c>
      <c r="AH8" s="12">
        <f t="shared" si="12"/>
        <v>18.118212996574698</v>
      </c>
      <c r="AI8" s="16">
        <f>AI16/AD16*AD8</f>
        <v>17.577370817572469</v>
      </c>
      <c r="AJ8" s="11">
        <f t="shared" si="13"/>
        <v>17.171739183320796</v>
      </c>
      <c r="AK8" s="12">
        <f t="shared" si="13"/>
        <v>16.766107549069122</v>
      </c>
      <c r="AL8" s="12">
        <f t="shared" si="13"/>
        <v>16.360475914817449</v>
      </c>
      <c r="AM8" s="12">
        <f t="shared" si="13"/>
        <v>15.954844280565776</v>
      </c>
      <c r="AN8" s="16">
        <f>AN16/AI16*AI8</f>
        <v>15.549212646314107</v>
      </c>
      <c r="AO8" s="11">
        <f t="shared" si="14"/>
        <v>15.251749447862881</v>
      </c>
      <c r="AP8" s="12">
        <f t="shared" si="14"/>
        <v>14.954286249411656</v>
      </c>
      <c r="AQ8" s="12">
        <f t="shared" si="14"/>
        <v>14.65682305096043</v>
      </c>
      <c r="AR8" s="12">
        <f t="shared" si="14"/>
        <v>14.359359852509204</v>
      </c>
      <c r="AS8" s="16">
        <f>AS16/AN16*AN8</f>
        <v>14.061896654057975</v>
      </c>
    </row>
    <row r="9" spans="1:45" x14ac:dyDescent="0.2">
      <c r="A9" s="18" t="s">
        <v>24</v>
      </c>
      <c r="B9" s="8" t="s">
        <v>25</v>
      </c>
      <c r="C9" s="9" t="s">
        <v>18</v>
      </c>
      <c r="D9" s="8" t="s">
        <v>26</v>
      </c>
      <c r="E9" s="35">
        <v>12700.63</v>
      </c>
      <c r="F9" s="11">
        <v>13583.87</v>
      </c>
      <c r="G9" s="29">
        <v>13691.4</v>
      </c>
      <c r="H9" s="12">
        <f t="shared" ref="H9:I9" si="19">G9+($J9-$G9)/3</f>
        <v>14094.266666666666</v>
      </c>
      <c r="I9" s="12">
        <f t="shared" si="19"/>
        <v>14497.133333333333</v>
      </c>
      <c r="J9" s="10">
        <v>14900</v>
      </c>
      <c r="K9" s="11">
        <f t="shared" si="8"/>
        <v>15220</v>
      </c>
      <c r="L9" s="12">
        <f t="shared" si="8"/>
        <v>15540</v>
      </c>
      <c r="M9" s="12">
        <f t="shared" si="8"/>
        <v>15860</v>
      </c>
      <c r="N9" s="12">
        <f t="shared" si="8"/>
        <v>16180</v>
      </c>
      <c r="O9" s="10">
        <v>16500</v>
      </c>
      <c r="P9" s="11">
        <f t="shared" si="9"/>
        <v>16620</v>
      </c>
      <c r="Q9" s="12">
        <f t="shared" si="9"/>
        <v>16740</v>
      </c>
      <c r="R9" s="12">
        <f t="shared" si="9"/>
        <v>16860</v>
      </c>
      <c r="S9" s="12">
        <f t="shared" si="9"/>
        <v>16980</v>
      </c>
      <c r="T9" s="10">
        <v>17100</v>
      </c>
      <c r="U9" s="11">
        <f t="shared" si="10"/>
        <v>17040</v>
      </c>
      <c r="V9" s="12">
        <f t="shared" si="10"/>
        <v>16980</v>
      </c>
      <c r="W9" s="12">
        <f t="shared" si="10"/>
        <v>16920</v>
      </c>
      <c r="X9" s="12">
        <f t="shared" si="10"/>
        <v>16860</v>
      </c>
      <c r="Y9" s="10">
        <v>16800</v>
      </c>
      <c r="Z9" s="11">
        <f t="shared" si="11"/>
        <v>16640</v>
      </c>
      <c r="AA9" s="12">
        <f t="shared" si="11"/>
        <v>16480</v>
      </c>
      <c r="AB9" s="12">
        <f t="shared" si="11"/>
        <v>16320</v>
      </c>
      <c r="AC9" s="12">
        <f t="shared" si="11"/>
        <v>16160</v>
      </c>
      <c r="AD9" s="10">
        <v>16000</v>
      </c>
      <c r="AE9" s="11">
        <f t="shared" si="12"/>
        <v>15840</v>
      </c>
      <c r="AF9" s="12">
        <f t="shared" si="12"/>
        <v>15680</v>
      </c>
      <c r="AG9" s="12">
        <f t="shared" si="12"/>
        <v>15520</v>
      </c>
      <c r="AH9" s="12">
        <f t="shared" si="12"/>
        <v>15360</v>
      </c>
      <c r="AI9" s="10">
        <v>15200</v>
      </c>
      <c r="AJ9" s="11">
        <f t="shared" si="13"/>
        <v>14960</v>
      </c>
      <c r="AK9" s="12">
        <f t="shared" si="13"/>
        <v>14720</v>
      </c>
      <c r="AL9" s="12">
        <f t="shared" si="13"/>
        <v>14480</v>
      </c>
      <c r="AM9" s="12">
        <f t="shared" si="13"/>
        <v>14240</v>
      </c>
      <c r="AN9" s="10">
        <v>14000</v>
      </c>
      <c r="AO9" s="11">
        <f t="shared" si="14"/>
        <v>13700</v>
      </c>
      <c r="AP9" s="12">
        <f t="shared" si="14"/>
        <v>13400</v>
      </c>
      <c r="AQ9" s="12">
        <f t="shared" si="14"/>
        <v>13100</v>
      </c>
      <c r="AR9" s="12">
        <f t="shared" si="14"/>
        <v>12800</v>
      </c>
      <c r="AS9" s="10">
        <v>12500</v>
      </c>
    </row>
    <row r="10" spans="1:45" x14ac:dyDescent="0.2">
      <c r="A10" s="17" t="s">
        <v>27</v>
      </c>
      <c r="B10" s="8" t="s">
        <v>28</v>
      </c>
      <c r="C10" s="9" t="s">
        <v>6</v>
      </c>
      <c r="D10" s="8" t="s">
        <v>29</v>
      </c>
      <c r="E10" s="34">
        <v>6.7441000000000004</v>
      </c>
      <c r="F10" s="11">
        <v>7</v>
      </c>
      <c r="G10" s="28">
        <v>6.7590000000000003</v>
      </c>
      <c r="H10" s="12">
        <f t="shared" ref="H10:I10" si="20">G10+($J10-$G10)/3</f>
        <v>6.9051500586166474</v>
      </c>
      <c r="I10" s="12">
        <f t="shared" si="20"/>
        <v>7.0513001172332945</v>
      </c>
      <c r="J10" s="16">
        <f>J3/G3*G10</f>
        <v>7.1974501758499416</v>
      </c>
      <c r="K10" s="11">
        <f t="shared" si="8"/>
        <v>7.2634818288393905</v>
      </c>
      <c r="L10" s="12">
        <f t="shared" si="8"/>
        <v>7.3295134818288394</v>
      </c>
      <c r="M10" s="12">
        <f t="shared" si="8"/>
        <v>7.3955451348182883</v>
      </c>
      <c r="N10" s="12">
        <f t="shared" si="8"/>
        <v>7.4615767878077373</v>
      </c>
      <c r="O10" s="16">
        <f>O3/J3*J10</f>
        <v>7.5276084407971844</v>
      </c>
      <c r="P10" s="11">
        <f t="shared" si="9"/>
        <v>7.5540211019929639</v>
      </c>
      <c r="Q10" s="12">
        <f t="shared" si="9"/>
        <v>7.5804337631887435</v>
      </c>
      <c r="R10" s="12">
        <f t="shared" si="9"/>
        <v>7.6068464243845231</v>
      </c>
      <c r="S10" s="12">
        <f t="shared" si="9"/>
        <v>7.6332590855803026</v>
      </c>
      <c r="T10" s="16">
        <f>T3/O3*O10</f>
        <v>7.6596717467760831</v>
      </c>
      <c r="U10" s="11">
        <f t="shared" si="10"/>
        <v>7.6860844079718627</v>
      </c>
      <c r="V10" s="12">
        <f t="shared" si="10"/>
        <v>7.7124970691676422</v>
      </c>
      <c r="W10" s="12">
        <f t="shared" si="10"/>
        <v>7.7389097303634218</v>
      </c>
      <c r="X10" s="12">
        <f t="shared" si="10"/>
        <v>7.7653223915592013</v>
      </c>
      <c r="Y10" s="16">
        <f>Y3/T3*T10</f>
        <v>7.7917350527549809</v>
      </c>
      <c r="Z10" s="11">
        <f t="shared" si="11"/>
        <v>7.7389097303634218</v>
      </c>
      <c r="AA10" s="12">
        <f t="shared" si="11"/>
        <v>7.6860844079718627</v>
      </c>
      <c r="AB10" s="12">
        <f t="shared" si="11"/>
        <v>7.6332590855803035</v>
      </c>
      <c r="AC10" s="12">
        <f t="shared" si="11"/>
        <v>7.5804337631887444</v>
      </c>
      <c r="AD10" s="16">
        <f>AD3/Y3*Y10</f>
        <v>7.5276084407971844</v>
      </c>
      <c r="AE10" s="11">
        <f t="shared" si="12"/>
        <v>7.4087514654161764</v>
      </c>
      <c r="AF10" s="12">
        <f t="shared" si="12"/>
        <v>7.2898944900351683</v>
      </c>
      <c r="AG10" s="12">
        <f t="shared" si="12"/>
        <v>7.1710375146541603</v>
      </c>
      <c r="AH10" s="12">
        <f t="shared" si="12"/>
        <v>7.0521805392731522</v>
      </c>
      <c r="AI10" s="16">
        <f>AI3/AD3*AD10</f>
        <v>6.9333235638921442</v>
      </c>
      <c r="AJ10" s="11">
        <f t="shared" si="13"/>
        <v>6.7682444314185215</v>
      </c>
      <c r="AK10" s="12">
        <f t="shared" si="13"/>
        <v>6.6031652989448988</v>
      </c>
      <c r="AL10" s="12">
        <f t="shared" si="13"/>
        <v>6.4380861664712761</v>
      </c>
      <c r="AM10" s="12">
        <f t="shared" si="13"/>
        <v>6.2730070339976534</v>
      </c>
      <c r="AN10" s="16">
        <f>AN3/AI3*AI10</f>
        <v>6.1079279015240315</v>
      </c>
      <c r="AO10" s="11">
        <f t="shared" si="14"/>
        <v>5.9758645955451337</v>
      </c>
      <c r="AP10" s="12">
        <f t="shared" si="14"/>
        <v>5.8438012895662359</v>
      </c>
      <c r="AQ10" s="12">
        <f t="shared" si="14"/>
        <v>5.7117379835873381</v>
      </c>
      <c r="AR10" s="12">
        <f t="shared" si="14"/>
        <v>5.5796746776084403</v>
      </c>
      <c r="AS10" s="16">
        <f>AS3/AN3*AN10</f>
        <v>5.4476113716295407</v>
      </c>
    </row>
    <row r="11" spans="1:45" x14ac:dyDescent="0.2">
      <c r="A11" s="17" t="s">
        <v>27</v>
      </c>
      <c r="B11" s="8" t="s">
        <v>30</v>
      </c>
      <c r="C11" s="9" t="s">
        <v>18</v>
      </c>
      <c r="D11" s="8" t="s">
        <v>31</v>
      </c>
      <c r="E11" s="33">
        <v>47116</v>
      </c>
      <c r="F11" s="11">
        <v>46400</v>
      </c>
      <c r="G11" s="29">
        <v>47300</v>
      </c>
      <c r="H11" s="12">
        <f t="shared" ref="H11:I11" si="21">G11+($J11-$G11)/3</f>
        <v>48106.037473021999</v>
      </c>
      <c r="I11" s="12">
        <f t="shared" si="21"/>
        <v>48912.074946043998</v>
      </c>
      <c r="J11" s="19">
        <f>J18/G18*G11</f>
        <v>49718.11241906599</v>
      </c>
      <c r="K11" s="11">
        <f t="shared" si="8"/>
        <v>50368.629777820126</v>
      </c>
      <c r="L11" s="12">
        <f t="shared" si="8"/>
        <v>51019.147136574262</v>
      </c>
      <c r="M11" s="12">
        <f t="shared" si="8"/>
        <v>51669.664495328398</v>
      </c>
      <c r="N11" s="12">
        <f t="shared" si="8"/>
        <v>52320.181854082533</v>
      </c>
      <c r="O11" s="19">
        <f>O18/J18*J11</f>
        <v>52970.699212836655</v>
      </c>
      <c r="P11" s="11">
        <f t="shared" si="9"/>
        <v>52691.906059084882</v>
      </c>
      <c r="Q11" s="12">
        <f t="shared" si="9"/>
        <v>52413.11290533311</v>
      </c>
      <c r="R11" s="12">
        <f t="shared" si="9"/>
        <v>52134.319751581337</v>
      </c>
      <c r="S11" s="12">
        <f t="shared" si="9"/>
        <v>51855.526597829565</v>
      </c>
      <c r="T11" s="19">
        <f>T18/O18*O11</f>
        <v>51576.7334440778</v>
      </c>
      <c r="U11" s="11">
        <f t="shared" si="10"/>
        <v>50740.353982822482</v>
      </c>
      <c r="V11" s="12">
        <f t="shared" si="10"/>
        <v>49903.974521567165</v>
      </c>
      <c r="W11" s="12">
        <f t="shared" si="10"/>
        <v>49067.595060311847</v>
      </c>
      <c r="X11" s="12">
        <f t="shared" si="10"/>
        <v>48231.21559905653</v>
      </c>
      <c r="Y11" s="19">
        <f>Y18/T18*T11</f>
        <v>47394.836137801227</v>
      </c>
      <c r="Z11" s="11">
        <f t="shared" si="11"/>
        <v>46279.663522794137</v>
      </c>
      <c r="AA11" s="12">
        <f t="shared" si="11"/>
        <v>45164.490907787047</v>
      </c>
      <c r="AB11" s="12">
        <f t="shared" si="11"/>
        <v>44049.318292779957</v>
      </c>
      <c r="AC11" s="12">
        <f t="shared" si="11"/>
        <v>42934.145677772867</v>
      </c>
      <c r="AD11" s="19">
        <f>AD18/Y18*Y11</f>
        <v>41818.973062765785</v>
      </c>
      <c r="AE11" s="11">
        <f t="shared" si="12"/>
        <v>40889.662550259876</v>
      </c>
      <c r="AF11" s="12">
        <f t="shared" si="12"/>
        <v>39960.352037753968</v>
      </c>
      <c r="AG11" s="12">
        <f t="shared" si="12"/>
        <v>39031.04152524806</v>
      </c>
      <c r="AH11" s="12">
        <f t="shared" si="12"/>
        <v>38101.731012742152</v>
      </c>
      <c r="AI11" s="19">
        <f>AI18/AD18*AD11</f>
        <v>37172.420500236251</v>
      </c>
      <c r="AJ11" s="11">
        <f t="shared" si="13"/>
        <v>36150.178936479751</v>
      </c>
      <c r="AK11" s="12">
        <f t="shared" si="13"/>
        <v>35127.937372723252</v>
      </c>
      <c r="AL11" s="12">
        <f t="shared" si="13"/>
        <v>34105.695808966753</v>
      </c>
      <c r="AM11" s="12">
        <f t="shared" si="13"/>
        <v>33083.454245210254</v>
      </c>
      <c r="AN11" s="19">
        <f>AN18/AI18*AI11</f>
        <v>32061.212681453766</v>
      </c>
      <c r="AO11" s="11">
        <f t="shared" si="14"/>
        <v>31224.833220198449</v>
      </c>
      <c r="AP11" s="12">
        <f t="shared" si="14"/>
        <v>30388.453758943131</v>
      </c>
      <c r="AQ11" s="12">
        <f t="shared" si="14"/>
        <v>29552.074297687814</v>
      </c>
      <c r="AR11" s="12">
        <f t="shared" si="14"/>
        <v>28715.694836432496</v>
      </c>
      <c r="AS11" s="19">
        <f>AS18/AN18*AN11</f>
        <v>27879.315375177186</v>
      </c>
    </row>
    <row r="12" spans="1:45" x14ac:dyDescent="0.2">
      <c r="A12" s="17" t="s">
        <v>32</v>
      </c>
      <c r="B12" s="8" t="s">
        <v>33</v>
      </c>
      <c r="C12" s="9" t="s">
        <v>18</v>
      </c>
      <c r="D12" s="8" t="s">
        <v>26</v>
      </c>
      <c r="E12" s="35">
        <v>3673.87</v>
      </c>
      <c r="F12" s="11">
        <v>3891.31</v>
      </c>
      <c r="G12" s="29">
        <v>3463.08</v>
      </c>
      <c r="H12" s="12">
        <f t="shared" ref="H12:I12" si="22">G12+($J12-$G12)/3</f>
        <v>3742.0533333333333</v>
      </c>
      <c r="I12" s="12">
        <f t="shared" si="22"/>
        <v>4021.0266666666666</v>
      </c>
      <c r="J12" s="10">
        <v>4300</v>
      </c>
      <c r="K12" s="11">
        <f t="shared" si="8"/>
        <v>4400</v>
      </c>
      <c r="L12" s="12">
        <f t="shared" si="8"/>
        <v>4500</v>
      </c>
      <c r="M12" s="12">
        <f t="shared" si="8"/>
        <v>4600</v>
      </c>
      <c r="N12" s="12">
        <f t="shared" si="8"/>
        <v>4700</v>
      </c>
      <c r="O12" s="10">
        <v>4800</v>
      </c>
      <c r="P12" s="11">
        <f t="shared" si="9"/>
        <v>4840</v>
      </c>
      <c r="Q12" s="12">
        <f t="shared" si="9"/>
        <v>4880</v>
      </c>
      <c r="R12" s="12">
        <f t="shared" si="9"/>
        <v>4920</v>
      </c>
      <c r="S12" s="12">
        <f t="shared" si="9"/>
        <v>4960</v>
      </c>
      <c r="T12" s="10">
        <v>5000</v>
      </c>
      <c r="U12" s="11">
        <f t="shared" si="10"/>
        <v>4960</v>
      </c>
      <c r="V12" s="12">
        <f t="shared" si="10"/>
        <v>4920</v>
      </c>
      <c r="W12" s="12">
        <f t="shared" si="10"/>
        <v>4880</v>
      </c>
      <c r="X12" s="12">
        <f t="shared" si="10"/>
        <v>4840</v>
      </c>
      <c r="Y12" s="10">
        <v>4800</v>
      </c>
      <c r="Z12" s="11">
        <f t="shared" si="11"/>
        <v>4740</v>
      </c>
      <c r="AA12" s="12">
        <f t="shared" si="11"/>
        <v>4680</v>
      </c>
      <c r="AB12" s="12">
        <f t="shared" si="11"/>
        <v>4620</v>
      </c>
      <c r="AC12" s="12">
        <f t="shared" si="11"/>
        <v>4560</v>
      </c>
      <c r="AD12" s="10">
        <v>4500</v>
      </c>
      <c r="AE12" s="11">
        <f t="shared" si="12"/>
        <v>4430</v>
      </c>
      <c r="AF12" s="12">
        <f t="shared" si="12"/>
        <v>4360</v>
      </c>
      <c r="AG12" s="12">
        <f t="shared" si="12"/>
        <v>4290</v>
      </c>
      <c r="AH12" s="12">
        <f t="shared" si="12"/>
        <v>4220</v>
      </c>
      <c r="AI12" s="10">
        <v>4150</v>
      </c>
      <c r="AJ12" s="11">
        <f t="shared" si="13"/>
        <v>4080</v>
      </c>
      <c r="AK12" s="12">
        <f t="shared" si="13"/>
        <v>4010</v>
      </c>
      <c r="AL12" s="12">
        <f t="shared" si="13"/>
        <v>3940</v>
      </c>
      <c r="AM12" s="12">
        <f t="shared" si="13"/>
        <v>3870</v>
      </c>
      <c r="AN12" s="10">
        <v>3800</v>
      </c>
      <c r="AO12" s="11">
        <f t="shared" si="14"/>
        <v>3740</v>
      </c>
      <c r="AP12" s="12">
        <f t="shared" si="14"/>
        <v>3680</v>
      </c>
      <c r="AQ12" s="12">
        <f t="shared" si="14"/>
        <v>3620</v>
      </c>
      <c r="AR12" s="12">
        <f t="shared" si="14"/>
        <v>3560</v>
      </c>
      <c r="AS12" s="10">
        <v>3500</v>
      </c>
    </row>
    <row r="13" spans="1:45" x14ac:dyDescent="0.2">
      <c r="A13" s="17" t="s">
        <v>32</v>
      </c>
      <c r="B13" s="8" t="s">
        <v>34</v>
      </c>
      <c r="C13" s="9" t="s">
        <v>18</v>
      </c>
      <c r="D13" s="8" t="s">
        <v>26</v>
      </c>
      <c r="E13" s="35">
        <v>2812.37</v>
      </c>
      <c r="F13" s="11">
        <v>2913.25</v>
      </c>
      <c r="G13" s="29">
        <v>2920.2</v>
      </c>
      <c r="H13" s="12">
        <f t="shared" ref="H13:I13" si="23">G13+($J13-$G13)/3</f>
        <v>3096.7999999999997</v>
      </c>
      <c r="I13" s="12">
        <f t="shared" si="23"/>
        <v>3273.3999999999996</v>
      </c>
      <c r="J13" s="10">
        <v>3450</v>
      </c>
      <c r="K13" s="11">
        <f t="shared" si="8"/>
        <v>3538</v>
      </c>
      <c r="L13" s="12">
        <f t="shared" si="8"/>
        <v>3626</v>
      </c>
      <c r="M13" s="12">
        <f t="shared" si="8"/>
        <v>3714</v>
      </c>
      <c r="N13" s="12">
        <f t="shared" si="8"/>
        <v>3802</v>
      </c>
      <c r="O13" s="10">
        <v>3890</v>
      </c>
      <c r="P13" s="11">
        <f t="shared" si="9"/>
        <v>3918</v>
      </c>
      <c r="Q13" s="12">
        <f t="shared" si="9"/>
        <v>3946</v>
      </c>
      <c r="R13" s="12">
        <f t="shared" si="9"/>
        <v>3974</v>
      </c>
      <c r="S13" s="12">
        <f t="shared" si="9"/>
        <v>4002</v>
      </c>
      <c r="T13" s="10">
        <v>4030</v>
      </c>
      <c r="U13" s="11">
        <f t="shared" si="10"/>
        <v>4014</v>
      </c>
      <c r="V13" s="12">
        <f t="shared" si="10"/>
        <v>3998</v>
      </c>
      <c r="W13" s="12">
        <f t="shared" si="10"/>
        <v>3982</v>
      </c>
      <c r="X13" s="12">
        <f t="shared" si="10"/>
        <v>3966</v>
      </c>
      <c r="Y13" s="10">
        <v>3950</v>
      </c>
      <c r="Z13" s="11">
        <f t="shared" si="11"/>
        <v>3916</v>
      </c>
      <c r="AA13" s="12">
        <f t="shared" si="11"/>
        <v>3882</v>
      </c>
      <c r="AB13" s="12">
        <f t="shared" si="11"/>
        <v>3848</v>
      </c>
      <c r="AC13" s="12">
        <f t="shared" si="11"/>
        <v>3814</v>
      </c>
      <c r="AD13" s="10">
        <v>3780</v>
      </c>
      <c r="AE13" s="11">
        <f t="shared" si="12"/>
        <v>3724</v>
      </c>
      <c r="AF13" s="12">
        <f t="shared" si="12"/>
        <v>3668</v>
      </c>
      <c r="AG13" s="12">
        <f t="shared" si="12"/>
        <v>3612</v>
      </c>
      <c r="AH13" s="12">
        <f t="shared" si="12"/>
        <v>3556</v>
      </c>
      <c r="AI13" s="10">
        <v>3500</v>
      </c>
      <c r="AJ13" s="11">
        <f t="shared" si="13"/>
        <v>3456</v>
      </c>
      <c r="AK13" s="12">
        <f t="shared" si="13"/>
        <v>3412</v>
      </c>
      <c r="AL13" s="12">
        <f t="shared" si="13"/>
        <v>3368</v>
      </c>
      <c r="AM13" s="12">
        <f t="shared" si="13"/>
        <v>3324</v>
      </c>
      <c r="AN13" s="10">
        <v>3280</v>
      </c>
      <c r="AO13" s="11">
        <f t="shared" si="14"/>
        <v>3210</v>
      </c>
      <c r="AP13" s="12">
        <f t="shared" si="14"/>
        <v>3140</v>
      </c>
      <c r="AQ13" s="12">
        <f t="shared" si="14"/>
        <v>3070</v>
      </c>
      <c r="AR13" s="12">
        <f t="shared" si="14"/>
        <v>3000</v>
      </c>
      <c r="AS13" s="10">
        <v>2930</v>
      </c>
    </row>
    <row r="14" spans="1:45" x14ac:dyDescent="0.2">
      <c r="A14" s="17" t="s">
        <v>32</v>
      </c>
      <c r="B14" s="8" t="s">
        <v>35</v>
      </c>
      <c r="C14" s="9" t="s">
        <v>18</v>
      </c>
      <c r="D14" s="8" t="s">
        <v>26</v>
      </c>
      <c r="E14" s="35">
        <v>2159.96</v>
      </c>
      <c r="F14" s="11">
        <v>2825.67</v>
      </c>
      <c r="G14" s="29">
        <v>2897.51</v>
      </c>
      <c r="H14" s="12">
        <f t="shared" ref="H14:I14" si="24">G14+($J14-$G14)/3</f>
        <v>3198.34</v>
      </c>
      <c r="I14" s="12">
        <f t="shared" si="24"/>
        <v>3499.17</v>
      </c>
      <c r="J14" s="10">
        <v>3800</v>
      </c>
      <c r="K14" s="11">
        <f t="shared" si="8"/>
        <v>4000</v>
      </c>
      <c r="L14" s="12">
        <f t="shared" si="8"/>
        <v>4200</v>
      </c>
      <c r="M14" s="12">
        <f t="shared" si="8"/>
        <v>4400</v>
      </c>
      <c r="N14" s="12">
        <f t="shared" si="8"/>
        <v>4600</v>
      </c>
      <c r="O14" s="10">
        <v>4800</v>
      </c>
      <c r="P14" s="11">
        <f t="shared" si="9"/>
        <v>4860</v>
      </c>
      <c r="Q14" s="12">
        <f t="shared" si="9"/>
        <v>4920</v>
      </c>
      <c r="R14" s="12">
        <f t="shared" si="9"/>
        <v>4980</v>
      </c>
      <c r="S14" s="12">
        <f t="shared" si="9"/>
        <v>5040</v>
      </c>
      <c r="T14" s="10">
        <v>5100</v>
      </c>
      <c r="U14" s="11">
        <f t="shared" si="10"/>
        <v>5120</v>
      </c>
      <c r="V14" s="12">
        <f t="shared" si="10"/>
        <v>5140</v>
      </c>
      <c r="W14" s="12">
        <f t="shared" si="10"/>
        <v>5160</v>
      </c>
      <c r="X14" s="12">
        <f t="shared" si="10"/>
        <v>5180</v>
      </c>
      <c r="Y14" s="10">
        <v>5200</v>
      </c>
      <c r="Z14" s="11">
        <f t="shared" si="11"/>
        <v>5180</v>
      </c>
      <c r="AA14" s="12">
        <f t="shared" si="11"/>
        <v>5160</v>
      </c>
      <c r="AB14" s="12">
        <f t="shared" si="11"/>
        <v>5140</v>
      </c>
      <c r="AC14" s="12">
        <f t="shared" si="11"/>
        <v>5120</v>
      </c>
      <c r="AD14" s="10">
        <v>5100</v>
      </c>
      <c r="AE14" s="11">
        <f t="shared" si="12"/>
        <v>5070</v>
      </c>
      <c r="AF14" s="12">
        <f t="shared" si="12"/>
        <v>5040</v>
      </c>
      <c r="AG14" s="12">
        <f t="shared" si="12"/>
        <v>5010</v>
      </c>
      <c r="AH14" s="12">
        <f t="shared" si="12"/>
        <v>4980</v>
      </c>
      <c r="AI14" s="10">
        <v>4950</v>
      </c>
      <c r="AJ14" s="11">
        <f t="shared" si="13"/>
        <v>4910</v>
      </c>
      <c r="AK14" s="12">
        <f t="shared" si="13"/>
        <v>4870</v>
      </c>
      <c r="AL14" s="12">
        <f t="shared" si="13"/>
        <v>4830</v>
      </c>
      <c r="AM14" s="12">
        <f t="shared" si="13"/>
        <v>4790</v>
      </c>
      <c r="AN14" s="10">
        <v>4750</v>
      </c>
      <c r="AO14" s="11">
        <f t="shared" si="14"/>
        <v>4720</v>
      </c>
      <c r="AP14" s="12">
        <f t="shared" si="14"/>
        <v>4690</v>
      </c>
      <c r="AQ14" s="12">
        <f t="shared" si="14"/>
        <v>4660</v>
      </c>
      <c r="AR14" s="12">
        <f t="shared" si="14"/>
        <v>4630</v>
      </c>
      <c r="AS14" s="10">
        <v>4600</v>
      </c>
    </row>
    <row r="15" spans="1:45" x14ac:dyDescent="0.2">
      <c r="A15" s="17" t="s">
        <v>32</v>
      </c>
      <c r="B15" s="8" t="s">
        <v>36</v>
      </c>
      <c r="C15" s="9" t="s">
        <v>18</v>
      </c>
      <c r="D15" s="8" t="s">
        <v>26</v>
      </c>
      <c r="E15" s="35">
        <v>5117.13</v>
      </c>
      <c r="F15" s="11">
        <v>5189.38</v>
      </c>
      <c r="G15" s="29">
        <v>5321.01</v>
      </c>
      <c r="H15" s="12">
        <f t="shared" ref="H15:I16" si="25">G15+($J15-$G15)/3</f>
        <v>5514.0066666666671</v>
      </c>
      <c r="I15" s="12">
        <f t="shared" si="25"/>
        <v>5707.003333333334</v>
      </c>
      <c r="J15" s="10">
        <v>5900</v>
      </c>
      <c r="K15" s="11">
        <f t="shared" si="8"/>
        <v>6050</v>
      </c>
      <c r="L15" s="12">
        <f t="shared" si="8"/>
        <v>6200</v>
      </c>
      <c r="M15" s="12">
        <f t="shared" si="8"/>
        <v>6350</v>
      </c>
      <c r="N15" s="12">
        <f t="shared" si="8"/>
        <v>6500</v>
      </c>
      <c r="O15" s="10">
        <v>6650</v>
      </c>
      <c r="P15" s="11">
        <f t="shared" si="9"/>
        <v>6720</v>
      </c>
      <c r="Q15" s="12">
        <f t="shared" si="9"/>
        <v>6790</v>
      </c>
      <c r="R15" s="12">
        <f t="shared" si="9"/>
        <v>6860</v>
      </c>
      <c r="S15" s="12">
        <f t="shared" si="9"/>
        <v>6930</v>
      </c>
      <c r="T15" s="10">
        <v>7000</v>
      </c>
      <c r="U15" s="11">
        <f t="shared" si="10"/>
        <v>7030</v>
      </c>
      <c r="V15" s="12">
        <f t="shared" si="10"/>
        <v>7060</v>
      </c>
      <c r="W15" s="12">
        <f t="shared" si="10"/>
        <v>7090</v>
      </c>
      <c r="X15" s="12">
        <f t="shared" si="10"/>
        <v>7120</v>
      </c>
      <c r="Y15" s="10">
        <v>7150</v>
      </c>
      <c r="Z15" s="11">
        <f t="shared" si="11"/>
        <v>7160</v>
      </c>
      <c r="AA15" s="12">
        <f t="shared" si="11"/>
        <v>7170</v>
      </c>
      <c r="AB15" s="12">
        <f t="shared" si="11"/>
        <v>7180</v>
      </c>
      <c r="AC15" s="12">
        <f t="shared" si="11"/>
        <v>7190</v>
      </c>
      <c r="AD15" s="10">
        <v>7200</v>
      </c>
      <c r="AE15" s="11">
        <f t="shared" si="12"/>
        <v>7180</v>
      </c>
      <c r="AF15" s="12">
        <f t="shared" si="12"/>
        <v>7160</v>
      </c>
      <c r="AG15" s="12">
        <f t="shared" si="12"/>
        <v>7140</v>
      </c>
      <c r="AH15" s="12">
        <f t="shared" si="12"/>
        <v>7120</v>
      </c>
      <c r="AI15" s="10">
        <v>7100</v>
      </c>
      <c r="AJ15" s="11">
        <f t="shared" si="13"/>
        <v>7080</v>
      </c>
      <c r="AK15" s="12">
        <f t="shared" si="13"/>
        <v>7060</v>
      </c>
      <c r="AL15" s="12">
        <f t="shared" si="13"/>
        <v>7040</v>
      </c>
      <c r="AM15" s="12">
        <f t="shared" si="13"/>
        <v>7020</v>
      </c>
      <c r="AN15" s="10">
        <v>7000</v>
      </c>
      <c r="AO15" s="11">
        <f t="shared" si="14"/>
        <v>6970</v>
      </c>
      <c r="AP15" s="12">
        <f t="shared" si="14"/>
        <v>6940</v>
      </c>
      <c r="AQ15" s="12">
        <f t="shared" si="14"/>
        <v>6910</v>
      </c>
      <c r="AR15" s="12">
        <f t="shared" si="14"/>
        <v>6880</v>
      </c>
      <c r="AS15" s="10">
        <v>6850</v>
      </c>
    </row>
    <row r="16" spans="1:45" x14ac:dyDescent="0.2">
      <c r="A16" s="17" t="s">
        <v>37</v>
      </c>
      <c r="B16" s="8" t="s">
        <v>38</v>
      </c>
      <c r="C16" s="9" t="s">
        <v>18</v>
      </c>
      <c r="D16" s="8" t="s">
        <v>26</v>
      </c>
      <c r="E16" s="35">
        <v>239470.83</v>
      </c>
      <c r="F16" s="11">
        <v>237724.49</v>
      </c>
      <c r="G16" s="29">
        <v>212927.18</v>
      </c>
      <c r="H16" s="12">
        <f t="shared" si="25"/>
        <v>211951.45333333334</v>
      </c>
      <c r="I16" s="12">
        <f t="shared" si="25"/>
        <v>210975.72666666668</v>
      </c>
      <c r="J16" s="10">
        <v>210000</v>
      </c>
      <c r="K16" s="11">
        <f t="shared" si="8"/>
        <v>208200</v>
      </c>
      <c r="L16" s="12">
        <f t="shared" si="8"/>
        <v>206400</v>
      </c>
      <c r="M16" s="12">
        <f t="shared" si="8"/>
        <v>204600</v>
      </c>
      <c r="N16" s="12">
        <f t="shared" si="8"/>
        <v>202800</v>
      </c>
      <c r="O16" s="10">
        <v>201000</v>
      </c>
      <c r="P16" s="11">
        <f t="shared" si="9"/>
        <v>198400</v>
      </c>
      <c r="Q16" s="12">
        <f t="shared" si="9"/>
        <v>195800</v>
      </c>
      <c r="R16" s="12">
        <f t="shared" si="9"/>
        <v>193200</v>
      </c>
      <c r="S16" s="12">
        <f t="shared" si="9"/>
        <v>190600</v>
      </c>
      <c r="T16" s="10">
        <v>188000</v>
      </c>
      <c r="U16" s="11">
        <f t="shared" si="10"/>
        <v>184400</v>
      </c>
      <c r="V16" s="12">
        <f t="shared" si="10"/>
        <v>180800</v>
      </c>
      <c r="W16" s="12">
        <f t="shared" si="10"/>
        <v>177200</v>
      </c>
      <c r="X16" s="12">
        <f t="shared" si="10"/>
        <v>173600</v>
      </c>
      <c r="Y16" s="10">
        <v>170000</v>
      </c>
      <c r="Z16" s="11">
        <f t="shared" si="11"/>
        <v>166000</v>
      </c>
      <c r="AA16" s="12">
        <f t="shared" si="11"/>
        <v>162000</v>
      </c>
      <c r="AB16" s="12">
        <f t="shared" si="11"/>
        <v>158000</v>
      </c>
      <c r="AC16" s="12">
        <f t="shared" si="11"/>
        <v>154000</v>
      </c>
      <c r="AD16" s="10">
        <v>150000</v>
      </c>
      <c r="AE16" s="11">
        <f t="shared" si="12"/>
        <v>146000</v>
      </c>
      <c r="AF16" s="12">
        <f t="shared" si="12"/>
        <v>142000</v>
      </c>
      <c r="AG16" s="12">
        <f t="shared" si="12"/>
        <v>138000</v>
      </c>
      <c r="AH16" s="12">
        <f t="shared" si="12"/>
        <v>134000</v>
      </c>
      <c r="AI16" s="10">
        <v>130000</v>
      </c>
      <c r="AJ16" s="11">
        <f t="shared" si="13"/>
        <v>127000</v>
      </c>
      <c r="AK16" s="12">
        <f t="shared" si="13"/>
        <v>124000</v>
      </c>
      <c r="AL16" s="12">
        <f t="shared" si="13"/>
        <v>121000</v>
      </c>
      <c r="AM16" s="12">
        <f t="shared" si="13"/>
        <v>118000</v>
      </c>
      <c r="AN16" s="10">
        <v>115000</v>
      </c>
      <c r="AO16" s="11">
        <f t="shared" si="14"/>
        <v>112800</v>
      </c>
      <c r="AP16" s="12">
        <f t="shared" si="14"/>
        <v>110600</v>
      </c>
      <c r="AQ16" s="12">
        <f t="shared" si="14"/>
        <v>108400</v>
      </c>
      <c r="AR16" s="12">
        <f t="shared" si="14"/>
        <v>106200</v>
      </c>
      <c r="AS16" s="10">
        <v>104000</v>
      </c>
    </row>
    <row r="17" spans="1:48" x14ac:dyDescent="0.2">
      <c r="A17" s="17" t="s">
        <v>37</v>
      </c>
      <c r="B17" s="8" t="s">
        <v>39</v>
      </c>
      <c r="C17" s="9" t="s">
        <v>40</v>
      </c>
      <c r="D17" s="8" t="s">
        <v>26</v>
      </c>
      <c r="E17" s="35">
        <v>95227.79</v>
      </c>
      <c r="F17" s="11">
        <v>101727.37</v>
      </c>
      <c r="G17" s="29">
        <v>101668.65</v>
      </c>
      <c r="H17" s="12">
        <f t="shared" ref="H17:I17" si="26">G17+($J17-$G17)/3</f>
        <v>103779.09999999999</v>
      </c>
      <c r="I17" s="12">
        <f t="shared" si="26"/>
        <v>105889.54999999999</v>
      </c>
      <c r="J17" s="10">
        <v>108000</v>
      </c>
      <c r="K17" s="11">
        <f t="shared" si="8"/>
        <v>108400</v>
      </c>
      <c r="L17" s="12">
        <f t="shared" si="8"/>
        <v>108800</v>
      </c>
      <c r="M17" s="12">
        <f t="shared" si="8"/>
        <v>109200</v>
      </c>
      <c r="N17" s="12">
        <f t="shared" si="8"/>
        <v>109600</v>
      </c>
      <c r="O17" s="10">
        <v>110000</v>
      </c>
      <c r="P17" s="11">
        <f t="shared" si="9"/>
        <v>109400</v>
      </c>
      <c r="Q17" s="12">
        <f t="shared" si="9"/>
        <v>108800</v>
      </c>
      <c r="R17" s="12">
        <f t="shared" si="9"/>
        <v>108200</v>
      </c>
      <c r="S17" s="12">
        <f t="shared" si="9"/>
        <v>107600</v>
      </c>
      <c r="T17" s="10">
        <v>107000</v>
      </c>
      <c r="U17" s="11">
        <f t="shared" si="10"/>
        <v>105400</v>
      </c>
      <c r="V17" s="12">
        <f t="shared" si="10"/>
        <v>103800</v>
      </c>
      <c r="W17" s="12">
        <f t="shared" si="10"/>
        <v>102200</v>
      </c>
      <c r="X17" s="12">
        <f t="shared" si="10"/>
        <v>100600</v>
      </c>
      <c r="Y17" s="10">
        <v>99000</v>
      </c>
      <c r="Z17" s="11">
        <f t="shared" si="11"/>
        <v>97000</v>
      </c>
      <c r="AA17" s="12">
        <f t="shared" si="11"/>
        <v>95000</v>
      </c>
      <c r="AB17" s="12">
        <f t="shared" si="11"/>
        <v>93000</v>
      </c>
      <c r="AC17" s="12">
        <f t="shared" si="11"/>
        <v>91000</v>
      </c>
      <c r="AD17" s="10">
        <v>89000</v>
      </c>
      <c r="AE17" s="11">
        <f t="shared" si="12"/>
        <v>87800</v>
      </c>
      <c r="AF17" s="12">
        <f t="shared" si="12"/>
        <v>86600</v>
      </c>
      <c r="AG17" s="12">
        <f t="shared" si="12"/>
        <v>85400</v>
      </c>
      <c r="AH17" s="12">
        <f t="shared" si="12"/>
        <v>84200</v>
      </c>
      <c r="AI17" s="10">
        <v>83000</v>
      </c>
      <c r="AJ17" s="11">
        <f t="shared" si="13"/>
        <v>82000</v>
      </c>
      <c r="AK17" s="12">
        <f t="shared" si="13"/>
        <v>81000</v>
      </c>
      <c r="AL17" s="12">
        <f t="shared" si="13"/>
        <v>80000</v>
      </c>
      <c r="AM17" s="12">
        <f t="shared" si="13"/>
        <v>79000</v>
      </c>
      <c r="AN17" s="10">
        <v>78000</v>
      </c>
      <c r="AO17" s="11">
        <f t="shared" si="14"/>
        <v>77000</v>
      </c>
      <c r="AP17" s="12">
        <f t="shared" si="14"/>
        <v>76000</v>
      </c>
      <c r="AQ17" s="12">
        <f t="shared" si="14"/>
        <v>75000</v>
      </c>
      <c r="AR17" s="12">
        <f t="shared" si="14"/>
        <v>74000</v>
      </c>
      <c r="AS17" s="10">
        <v>73000</v>
      </c>
    </row>
    <row r="18" spans="1:48" x14ac:dyDescent="0.2">
      <c r="A18" s="18" t="s">
        <v>41</v>
      </c>
      <c r="B18" s="8" t="s">
        <v>42</v>
      </c>
      <c r="C18" s="9" t="s">
        <v>18</v>
      </c>
      <c r="D18" s="8" t="s">
        <v>26</v>
      </c>
      <c r="E18" s="35">
        <v>106476.68</v>
      </c>
      <c r="F18" s="11">
        <v>103524.26</v>
      </c>
      <c r="G18" s="29">
        <v>101795.9</v>
      </c>
      <c r="H18" s="12">
        <v>101900</v>
      </c>
      <c r="I18" s="12">
        <v>100000</v>
      </c>
      <c r="J18" s="10">
        <v>107000</v>
      </c>
      <c r="K18" s="11">
        <f t="shared" si="8"/>
        <v>108400</v>
      </c>
      <c r="L18" s="12">
        <f t="shared" si="8"/>
        <v>109800</v>
      </c>
      <c r="M18" s="12">
        <f t="shared" si="8"/>
        <v>111200</v>
      </c>
      <c r="N18" s="12">
        <f t="shared" si="8"/>
        <v>112600</v>
      </c>
      <c r="O18" s="10">
        <v>114000</v>
      </c>
      <c r="P18" s="11">
        <f t="shared" si="9"/>
        <v>113400</v>
      </c>
      <c r="Q18" s="12">
        <f t="shared" si="9"/>
        <v>112800</v>
      </c>
      <c r="R18" s="12">
        <f t="shared" si="9"/>
        <v>112200</v>
      </c>
      <c r="S18" s="12">
        <f t="shared" si="9"/>
        <v>111600</v>
      </c>
      <c r="T18" s="10">
        <v>111000</v>
      </c>
      <c r="U18" s="11">
        <f t="shared" si="10"/>
        <v>109200</v>
      </c>
      <c r="V18" s="12">
        <f t="shared" si="10"/>
        <v>107400</v>
      </c>
      <c r="W18" s="12">
        <f t="shared" si="10"/>
        <v>105600</v>
      </c>
      <c r="X18" s="12">
        <f t="shared" si="10"/>
        <v>103800</v>
      </c>
      <c r="Y18" s="10">
        <v>102000</v>
      </c>
      <c r="Z18" s="11">
        <f t="shared" si="11"/>
        <v>99600</v>
      </c>
      <c r="AA18" s="12">
        <f t="shared" si="11"/>
        <v>97200</v>
      </c>
      <c r="AB18" s="12">
        <f t="shared" si="11"/>
        <v>94800</v>
      </c>
      <c r="AC18" s="12">
        <f t="shared" si="11"/>
        <v>92400</v>
      </c>
      <c r="AD18" s="10">
        <v>90000</v>
      </c>
      <c r="AE18" s="11">
        <f t="shared" si="12"/>
        <v>88000</v>
      </c>
      <c r="AF18" s="12">
        <f t="shared" si="12"/>
        <v>86000</v>
      </c>
      <c r="AG18" s="12">
        <f t="shared" si="12"/>
        <v>84000</v>
      </c>
      <c r="AH18" s="12">
        <f t="shared" si="12"/>
        <v>82000</v>
      </c>
      <c r="AI18" s="10">
        <v>80000</v>
      </c>
      <c r="AJ18" s="11">
        <f t="shared" si="13"/>
        <v>77800</v>
      </c>
      <c r="AK18" s="12">
        <f t="shared" si="13"/>
        <v>75600</v>
      </c>
      <c r="AL18" s="12">
        <f t="shared" si="13"/>
        <v>73400</v>
      </c>
      <c r="AM18" s="12">
        <f t="shared" si="13"/>
        <v>71200</v>
      </c>
      <c r="AN18" s="10">
        <v>69000</v>
      </c>
      <c r="AO18" s="11">
        <f t="shared" si="14"/>
        <v>67200</v>
      </c>
      <c r="AP18" s="12">
        <f t="shared" si="14"/>
        <v>65400</v>
      </c>
      <c r="AQ18" s="12">
        <f t="shared" si="14"/>
        <v>63600</v>
      </c>
      <c r="AR18" s="12">
        <f t="shared" si="14"/>
        <v>61800</v>
      </c>
      <c r="AS18" s="10">
        <v>60000</v>
      </c>
    </row>
    <row r="19" spans="1:48" x14ac:dyDescent="0.2">
      <c r="A19" s="17" t="s">
        <v>43</v>
      </c>
      <c r="B19" s="8" t="s">
        <v>44</v>
      </c>
      <c r="C19" s="9" t="s">
        <v>18</v>
      </c>
      <c r="D19" s="8" t="s">
        <v>26</v>
      </c>
      <c r="E19" s="33">
        <v>3708.04</v>
      </c>
      <c r="F19" s="11">
        <v>3850.32</v>
      </c>
      <c r="G19" s="29">
        <v>4014.43</v>
      </c>
      <c r="H19" s="12">
        <f t="shared" ref="H19:I19" si="27">G19+($J19-$G19)/3</f>
        <v>4159.62</v>
      </c>
      <c r="I19" s="12">
        <f t="shared" si="27"/>
        <v>4304.8099999999995</v>
      </c>
      <c r="J19" s="10">
        <v>4450</v>
      </c>
      <c r="K19" s="11">
        <f t="shared" ref="K19:N21" si="28">J19+($O19-$J19)/5</f>
        <v>4516</v>
      </c>
      <c r="L19" s="12">
        <f t="shared" si="28"/>
        <v>4582</v>
      </c>
      <c r="M19" s="12">
        <f t="shared" si="28"/>
        <v>4648</v>
      </c>
      <c r="N19" s="12">
        <f t="shared" si="28"/>
        <v>4714</v>
      </c>
      <c r="O19" s="10">
        <v>4780</v>
      </c>
      <c r="P19" s="11">
        <f t="shared" ref="P19:S21" si="29">O19+($T19-$O19)/5</f>
        <v>4794</v>
      </c>
      <c r="Q19" s="12">
        <f t="shared" si="29"/>
        <v>4808</v>
      </c>
      <c r="R19" s="12">
        <f t="shared" si="29"/>
        <v>4822</v>
      </c>
      <c r="S19" s="12">
        <f t="shared" si="29"/>
        <v>4836</v>
      </c>
      <c r="T19" s="10">
        <v>4850</v>
      </c>
      <c r="U19" s="11">
        <f t="shared" ref="U19:X21" si="30">T19+($Y19-$T19)/5</f>
        <v>4830</v>
      </c>
      <c r="V19" s="12">
        <f t="shared" si="30"/>
        <v>4810</v>
      </c>
      <c r="W19" s="12">
        <f t="shared" si="30"/>
        <v>4790</v>
      </c>
      <c r="X19" s="12">
        <f t="shared" si="30"/>
        <v>4770</v>
      </c>
      <c r="Y19" s="10">
        <v>4750</v>
      </c>
      <c r="Z19" s="11">
        <f t="shared" ref="Z19:AC21" si="31">Y19+($AD19-$Y19)/5</f>
        <v>4710</v>
      </c>
      <c r="AA19" s="12">
        <f t="shared" si="31"/>
        <v>4670</v>
      </c>
      <c r="AB19" s="12">
        <f t="shared" si="31"/>
        <v>4630</v>
      </c>
      <c r="AC19" s="12">
        <f t="shared" si="31"/>
        <v>4590</v>
      </c>
      <c r="AD19" s="10">
        <v>4550</v>
      </c>
      <c r="AE19" s="11">
        <f t="shared" ref="AE19:AH21" si="32">AD19+($AI19-$AD19)/5</f>
        <v>4480</v>
      </c>
      <c r="AF19" s="12">
        <f t="shared" si="32"/>
        <v>4410</v>
      </c>
      <c r="AG19" s="12">
        <f t="shared" si="32"/>
        <v>4340</v>
      </c>
      <c r="AH19" s="12">
        <f t="shared" si="32"/>
        <v>4270</v>
      </c>
      <c r="AI19" s="10">
        <v>4200</v>
      </c>
      <c r="AJ19" s="11">
        <f t="shared" ref="AJ19:AM21" si="33">AI19+($AN19-$AI19)/5</f>
        <v>4130</v>
      </c>
      <c r="AK19" s="12">
        <f t="shared" si="33"/>
        <v>4060</v>
      </c>
      <c r="AL19" s="12">
        <f t="shared" si="33"/>
        <v>3990</v>
      </c>
      <c r="AM19" s="12">
        <f t="shared" si="33"/>
        <v>3920</v>
      </c>
      <c r="AN19" s="10">
        <v>3850</v>
      </c>
      <c r="AO19" s="11">
        <f t="shared" ref="AO19:AR21" si="34">AN19+($AS19-$AN19)/5</f>
        <v>3800</v>
      </c>
      <c r="AP19" s="12">
        <f t="shared" si="34"/>
        <v>3750</v>
      </c>
      <c r="AQ19" s="12">
        <f t="shared" si="34"/>
        <v>3700</v>
      </c>
      <c r="AR19" s="12">
        <f t="shared" si="34"/>
        <v>3650</v>
      </c>
      <c r="AS19" s="10">
        <v>3600</v>
      </c>
    </row>
    <row r="20" spans="1:48" x14ac:dyDescent="0.2">
      <c r="A20" s="17" t="s">
        <v>43</v>
      </c>
      <c r="B20" s="8" t="s">
        <v>45</v>
      </c>
      <c r="C20" s="9" t="s">
        <v>18</v>
      </c>
      <c r="D20" s="8" t="s">
        <v>46</v>
      </c>
      <c r="E20" s="33">
        <v>1002.51</v>
      </c>
      <c r="F20" s="11">
        <v>1048.67</v>
      </c>
      <c r="G20" s="29">
        <v>1111.53</v>
      </c>
      <c r="H20" s="12">
        <f t="shared" ref="H20:I20" si="35">G20+($J20-$G20)/3</f>
        <v>1257.6866666666667</v>
      </c>
      <c r="I20" s="12">
        <f t="shared" si="35"/>
        <v>1403.8433333333335</v>
      </c>
      <c r="J20" s="10">
        <v>1550</v>
      </c>
      <c r="K20" s="11">
        <f t="shared" si="28"/>
        <v>1626</v>
      </c>
      <c r="L20" s="12">
        <f t="shared" si="28"/>
        <v>1702</v>
      </c>
      <c r="M20" s="12">
        <f t="shared" si="28"/>
        <v>1778</v>
      </c>
      <c r="N20" s="12">
        <f t="shared" si="28"/>
        <v>1854</v>
      </c>
      <c r="O20" s="10">
        <v>1930</v>
      </c>
      <c r="P20" s="11">
        <f t="shared" si="29"/>
        <v>1972</v>
      </c>
      <c r="Q20" s="12">
        <f t="shared" si="29"/>
        <v>2014</v>
      </c>
      <c r="R20" s="12">
        <f t="shared" si="29"/>
        <v>2056</v>
      </c>
      <c r="S20" s="12">
        <f t="shared" si="29"/>
        <v>2098</v>
      </c>
      <c r="T20" s="10">
        <v>2140</v>
      </c>
      <c r="U20" s="11">
        <f t="shared" si="30"/>
        <v>2168</v>
      </c>
      <c r="V20" s="12">
        <f t="shared" si="30"/>
        <v>2196</v>
      </c>
      <c r="W20" s="12">
        <f t="shared" si="30"/>
        <v>2224</v>
      </c>
      <c r="X20" s="12">
        <f t="shared" si="30"/>
        <v>2252</v>
      </c>
      <c r="Y20" s="10">
        <v>2280</v>
      </c>
      <c r="Z20" s="11">
        <f t="shared" si="31"/>
        <v>2286</v>
      </c>
      <c r="AA20" s="12">
        <f t="shared" si="31"/>
        <v>2292</v>
      </c>
      <c r="AB20" s="12">
        <f t="shared" si="31"/>
        <v>2298</v>
      </c>
      <c r="AC20" s="12">
        <f t="shared" si="31"/>
        <v>2304</v>
      </c>
      <c r="AD20" s="10">
        <v>2310</v>
      </c>
      <c r="AE20" s="11">
        <f t="shared" si="32"/>
        <v>2318</v>
      </c>
      <c r="AF20" s="12">
        <f t="shared" si="32"/>
        <v>2326</v>
      </c>
      <c r="AG20" s="12">
        <f t="shared" si="32"/>
        <v>2334</v>
      </c>
      <c r="AH20" s="12">
        <f t="shared" si="32"/>
        <v>2342</v>
      </c>
      <c r="AI20" s="10">
        <v>2350</v>
      </c>
      <c r="AJ20" s="11">
        <f t="shared" si="33"/>
        <v>2360</v>
      </c>
      <c r="AK20" s="12">
        <f t="shared" si="33"/>
        <v>2370</v>
      </c>
      <c r="AL20" s="12">
        <f t="shared" si="33"/>
        <v>2380</v>
      </c>
      <c r="AM20" s="12">
        <f t="shared" si="33"/>
        <v>2390</v>
      </c>
      <c r="AN20" s="10">
        <v>2400</v>
      </c>
      <c r="AO20" s="11">
        <f t="shared" si="34"/>
        <v>2410</v>
      </c>
      <c r="AP20" s="12">
        <f t="shared" si="34"/>
        <v>2420</v>
      </c>
      <c r="AQ20" s="12">
        <f t="shared" si="34"/>
        <v>2430</v>
      </c>
      <c r="AR20" s="12">
        <f t="shared" si="34"/>
        <v>2440</v>
      </c>
      <c r="AS20" s="10">
        <v>2450</v>
      </c>
    </row>
    <row r="21" spans="1:48" x14ac:dyDescent="0.2">
      <c r="A21" s="20" t="s">
        <v>47</v>
      </c>
      <c r="B21" s="21" t="s">
        <v>48</v>
      </c>
      <c r="C21" s="22" t="s">
        <v>49</v>
      </c>
      <c r="D21" s="21" t="s">
        <v>50</v>
      </c>
      <c r="E21" s="36">
        <v>2532.4899999999998</v>
      </c>
      <c r="F21" s="24">
        <v>2625.7</v>
      </c>
      <c r="G21" s="30">
        <v>2713.63</v>
      </c>
      <c r="H21" s="25">
        <f t="shared" ref="H21:I21" si="36">G21+($J21-$G21)/3</f>
        <v>2990.9153333333334</v>
      </c>
      <c r="I21" s="25">
        <f t="shared" si="36"/>
        <v>3268.2006666666666</v>
      </c>
      <c r="J21" s="23">
        <f>E21*(2800/2000)</f>
        <v>3545.4859999999994</v>
      </c>
      <c r="K21" s="24">
        <f t="shared" si="28"/>
        <v>3650.5374370370364</v>
      </c>
      <c r="L21" s="25">
        <f t="shared" si="28"/>
        <v>3755.5888740740734</v>
      </c>
      <c r="M21" s="25">
        <f t="shared" si="28"/>
        <v>3860.6403111111103</v>
      </c>
      <c r="N21" s="25">
        <f t="shared" si="28"/>
        <v>3965.6917481481473</v>
      </c>
      <c r="O21" s="23">
        <f>J21*(3100/2700)</f>
        <v>4070.7431851851843</v>
      </c>
      <c r="P21" s="24">
        <f t="shared" si="29"/>
        <v>4123.2689037037026</v>
      </c>
      <c r="Q21" s="25">
        <f t="shared" si="29"/>
        <v>4175.7946222222208</v>
      </c>
      <c r="R21" s="25">
        <f t="shared" si="29"/>
        <v>4228.3203407407391</v>
      </c>
      <c r="S21" s="25">
        <f t="shared" si="29"/>
        <v>4280.8460592592573</v>
      </c>
      <c r="T21" s="23">
        <f>O21*(3300/3100)</f>
        <v>4333.3717777777765</v>
      </c>
      <c r="U21" s="24">
        <f t="shared" si="30"/>
        <v>4372.7660666666652</v>
      </c>
      <c r="V21" s="25">
        <f t="shared" si="30"/>
        <v>4412.1603555555539</v>
      </c>
      <c r="W21" s="25">
        <f t="shared" si="30"/>
        <v>4451.5546444444426</v>
      </c>
      <c r="X21" s="25">
        <f t="shared" si="30"/>
        <v>4490.9489333333313</v>
      </c>
      <c r="Y21" s="23">
        <f>T21*(3450/3300)</f>
        <v>4530.3432222222209</v>
      </c>
      <c r="Z21" s="24">
        <f t="shared" si="31"/>
        <v>4544.2827398290583</v>
      </c>
      <c r="AA21" s="25">
        <f t="shared" si="31"/>
        <v>4558.2222574358957</v>
      </c>
      <c r="AB21" s="25">
        <f t="shared" si="31"/>
        <v>4572.1617750427331</v>
      </c>
      <c r="AC21" s="25">
        <f t="shared" si="31"/>
        <v>4586.1012926495705</v>
      </c>
      <c r="AD21" s="23">
        <f>Y21*(3300/3250)</f>
        <v>4600.0408102564088</v>
      </c>
      <c r="AE21" s="24">
        <f t="shared" si="32"/>
        <v>4585.6656827243578</v>
      </c>
      <c r="AF21" s="25">
        <f t="shared" si="32"/>
        <v>4571.2905551923068</v>
      </c>
      <c r="AG21" s="25">
        <f t="shared" si="32"/>
        <v>4556.9154276602558</v>
      </c>
      <c r="AH21" s="25">
        <f t="shared" si="32"/>
        <v>4542.5403001282048</v>
      </c>
      <c r="AI21" s="23">
        <f>AD21*(3150/3200)</f>
        <v>4528.1651725961528</v>
      </c>
      <c r="AJ21" s="24">
        <f t="shared" si="33"/>
        <v>4522.4151215833326</v>
      </c>
      <c r="AK21" s="25">
        <f t="shared" si="33"/>
        <v>4516.6650705705124</v>
      </c>
      <c r="AL21" s="25">
        <f t="shared" si="33"/>
        <v>4510.9150195576922</v>
      </c>
      <c r="AM21" s="25">
        <f t="shared" si="33"/>
        <v>4505.164968544872</v>
      </c>
      <c r="AN21" s="23">
        <f>AI21*(3130/3150)</f>
        <v>4499.4149175320508</v>
      </c>
      <c r="AO21" s="24">
        <f t="shared" si="34"/>
        <v>4490.78984101282</v>
      </c>
      <c r="AP21" s="25">
        <f t="shared" si="34"/>
        <v>4482.1647644935892</v>
      </c>
      <c r="AQ21" s="25">
        <f t="shared" si="34"/>
        <v>4473.5396879743585</v>
      </c>
      <c r="AR21" s="25">
        <f t="shared" si="34"/>
        <v>4464.9146114551277</v>
      </c>
      <c r="AS21" s="23">
        <f>AN21*(3100/3130)</f>
        <v>4456.2895349358969</v>
      </c>
    </row>
    <row r="25" spans="1:48" ht="15" x14ac:dyDescent="0.25">
      <c r="A25" s="77" t="s">
        <v>99</v>
      </c>
    </row>
    <row r="26" spans="1:48" x14ac:dyDescent="0.2">
      <c r="A26" s="54" t="s">
        <v>53</v>
      </c>
      <c r="B26" s="54" t="s">
        <v>54</v>
      </c>
      <c r="C26" s="55" t="s">
        <v>55</v>
      </c>
      <c r="D26" s="56" t="s">
        <v>56</v>
      </c>
      <c r="E26" s="56" t="s">
        <v>57</v>
      </c>
      <c r="F26" s="41">
        <v>2018</v>
      </c>
      <c r="G26" s="42">
        <v>2019</v>
      </c>
      <c r="H26" s="42">
        <v>2020</v>
      </c>
      <c r="I26" s="42">
        <v>2021</v>
      </c>
      <c r="J26" s="42">
        <v>2022</v>
      </c>
      <c r="K26" s="42">
        <v>2023</v>
      </c>
      <c r="L26" s="42">
        <v>2024</v>
      </c>
      <c r="M26" s="42">
        <v>2025</v>
      </c>
      <c r="N26" s="42">
        <v>2026</v>
      </c>
      <c r="O26" s="42">
        <v>2027</v>
      </c>
      <c r="P26" s="42">
        <v>2028</v>
      </c>
      <c r="Q26" s="42">
        <v>2029</v>
      </c>
      <c r="R26" s="42">
        <v>2030</v>
      </c>
      <c r="S26" s="42">
        <v>2031</v>
      </c>
      <c r="T26" s="42">
        <v>2032</v>
      </c>
      <c r="U26" s="42">
        <v>2033</v>
      </c>
      <c r="V26" s="42">
        <v>2034</v>
      </c>
      <c r="W26" s="42">
        <v>2035</v>
      </c>
      <c r="X26" s="42">
        <v>2036</v>
      </c>
      <c r="Y26" s="42">
        <v>2037</v>
      </c>
      <c r="Z26" s="42">
        <v>2038</v>
      </c>
      <c r="AA26" s="42">
        <v>2039</v>
      </c>
      <c r="AB26" s="42">
        <v>2040</v>
      </c>
      <c r="AC26" s="42">
        <v>2041</v>
      </c>
      <c r="AD26" s="42">
        <v>2042</v>
      </c>
      <c r="AE26" s="42">
        <v>2043</v>
      </c>
      <c r="AF26" s="42">
        <v>2044</v>
      </c>
      <c r="AG26" s="42">
        <v>2045</v>
      </c>
      <c r="AH26" s="42">
        <v>2046</v>
      </c>
      <c r="AI26" s="42">
        <v>2047</v>
      </c>
      <c r="AJ26" s="42">
        <v>2048</v>
      </c>
      <c r="AK26" s="42">
        <v>2049</v>
      </c>
      <c r="AL26" s="42">
        <v>2050</v>
      </c>
      <c r="AM26" s="42">
        <v>2051</v>
      </c>
      <c r="AN26" s="42">
        <v>2052</v>
      </c>
      <c r="AO26" s="42">
        <v>2053</v>
      </c>
      <c r="AP26" s="42">
        <v>2054</v>
      </c>
      <c r="AQ26" s="42">
        <v>2055</v>
      </c>
      <c r="AR26" s="42">
        <v>2056</v>
      </c>
      <c r="AS26" s="42">
        <v>2057</v>
      </c>
      <c r="AT26" s="42">
        <v>2058</v>
      </c>
      <c r="AU26" s="42">
        <v>2059</v>
      </c>
      <c r="AV26" s="43">
        <v>2060</v>
      </c>
    </row>
    <row r="27" spans="1:48" x14ac:dyDescent="0.2">
      <c r="A27" s="57" t="s">
        <v>58</v>
      </c>
      <c r="B27" s="57" t="s">
        <v>59</v>
      </c>
      <c r="C27" s="58" t="s">
        <v>60</v>
      </c>
      <c r="D27" s="59" t="s">
        <v>61</v>
      </c>
      <c r="E27" s="60" t="s">
        <v>62</v>
      </c>
      <c r="F27" s="90">
        <f>F40</f>
        <v>13.953799999999999</v>
      </c>
      <c r="G27" s="91">
        <f t="shared" ref="G27:AV27" si="37">G40</f>
        <v>14.007930999999999</v>
      </c>
      <c r="H27" s="91">
        <f t="shared" si="37"/>
        <v>14.131351629999999</v>
      </c>
      <c r="I27" s="91">
        <f t="shared" si="37"/>
        <v>14.16016011</v>
      </c>
      <c r="J27" s="91">
        <f t="shared" si="37"/>
        <v>14.188968259999999</v>
      </c>
      <c r="K27" s="91">
        <f t="shared" si="37"/>
        <v>14.21777659</v>
      </c>
      <c r="L27" s="91">
        <f t="shared" si="37"/>
        <v>14.246584739999999</v>
      </c>
      <c r="M27" s="91">
        <f t="shared" si="37"/>
        <v>14.27539322</v>
      </c>
      <c r="N27" s="91">
        <f t="shared" si="37"/>
        <v>14.27109347</v>
      </c>
      <c r="O27" s="91">
        <f t="shared" si="37"/>
        <v>14.2667936</v>
      </c>
      <c r="P27" s="91">
        <f t="shared" si="37"/>
        <v>14.26249434</v>
      </c>
      <c r="Q27" s="91">
        <f t="shared" si="37"/>
        <v>14.258194469999999</v>
      </c>
      <c r="R27" s="91">
        <f t="shared" si="37"/>
        <v>14.25389472</v>
      </c>
      <c r="S27" s="91">
        <f t="shared" si="37"/>
        <v>14.234383210000001</v>
      </c>
      <c r="T27" s="91">
        <f t="shared" si="37"/>
        <v>14.21487207</v>
      </c>
      <c r="U27" s="91">
        <f t="shared" si="37"/>
        <v>14.19536108</v>
      </c>
      <c r="V27" s="91">
        <f t="shared" si="37"/>
        <v>14.175849940000001</v>
      </c>
      <c r="W27" s="91">
        <f t="shared" si="37"/>
        <v>14.15633843</v>
      </c>
      <c r="X27" s="91">
        <f t="shared" si="37"/>
        <v>14.120965379999999</v>
      </c>
      <c r="Y27" s="91">
        <f t="shared" si="37"/>
        <v>14.08559209</v>
      </c>
      <c r="Z27" s="91">
        <f t="shared" si="37"/>
        <v>14.050218709999999</v>
      </c>
      <c r="AA27" s="91">
        <f t="shared" si="37"/>
        <v>14.01484542</v>
      </c>
      <c r="AB27" s="91">
        <f t="shared" si="37"/>
        <v>13.97947237</v>
      </c>
      <c r="AC27" s="91">
        <f t="shared" si="37"/>
        <v>13.93101401</v>
      </c>
      <c r="AD27" s="91">
        <f t="shared" si="37"/>
        <v>13.882555740000001</v>
      </c>
      <c r="AE27" s="91">
        <f t="shared" si="37"/>
        <v>13.83409724</v>
      </c>
      <c r="AF27" s="91">
        <f t="shared" si="37"/>
        <v>13.785638970000001</v>
      </c>
      <c r="AG27" s="91">
        <f t="shared" si="37"/>
        <v>13.737180609999999</v>
      </c>
      <c r="AH27" s="91">
        <f t="shared" si="37"/>
        <v>13.66731802</v>
      </c>
      <c r="AI27" s="91">
        <f t="shared" si="37"/>
        <v>13.597455719999999</v>
      </c>
      <c r="AJ27" s="91">
        <f t="shared" si="37"/>
        <v>13.52759292</v>
      </c>
      <c r="AK27" s="91">
        <f t="shared" si="37"/>
        <v>13.45773062</v>
      </c>
      <c r="AL27" s="91">
        <f t="shared" si="37"/>
        <v>13.38786803</v>
      </c>
      <c r="AM27" s="91">
        <f t="shared" si="37"/>
        <v>13.29363728</v>
      </c>
      <c r="AN27" s="91">
        <f t="shared" si="37"/>
        <v>13.19940598</v>
      </c>
      <c r="AO27" s="91">
        <f t="shared" si="37"/>
        <v>13.105175389999999</v>
      </c>
      <c r="AP27" s="91">
        <f t="shared" si="37"/>
        <v>13.010944090000001</v>
      </c>
      <c r="AQ27" s="91">
        <f t="shared" si="37"/>
        <v>12.916713339999999</v>
      </c>
      <c r="AR27" s="91">
        <f t="shared" si="37"/>
        <v>12.803761980000001</v>
      </c>
      <c r="AS27" s="91">
        <f t="shared" si="37"/>
        <v>12.690810539999999</v>
      </c>
      <c r="AT27" s="91">
        <f t="shared" si="37"/>
        <v>12.577859249999999</v>
      </c>
      <c r="AU27" s="91">
        <f t="shared" si="37"/>
        <v>12.46490781</v>
      </c>
      <c r="AV27" s="92">
        <f t="shared" si="37"/>
        <v>12.351956449999999</v>
      </c>
    </row>
    <row r="28" spans="1:48" x14ac:dyDescent="0.2">
      <c r="A28" s="61" t="s">
        <v>63</v>
      </c>
      <c r="B28" s="62" t="s">
        <v>64</v>
      </c>
      <c r="C28" s="63" t="s">
        <v>65</v>
      </c>
      <c r="D28" s="64" t="s">
        <v>66</v>
      </c>
      <c r="E28" s="65" t="s">
        <v>67</v>
      </c>
      <c r="F28" s="78">
        <v>36.979999999999997</v>
      </c>
      <c r="G28" s="79">
        <v>38.46</v>
      </c>
      <c r="H28" s="80">
        <f>E2</f>
        <v>39.020000000000003</v>
      </c>
      <c r="I28" s="80">
        <f t="shared" ref="I28:AV30" si="38">F2</f>
        <v>41.26</v>
      </c>
      <c r="J28" s="80">
        <f t="shared" si="38"/>
        <v>45.59</v>
      </c>
      <c r="K28" s="80">
        <f t="shared" si="38"/>
        <v>46.393333333333338</v>
      </c>
      <c r="L28" s="80">
        <f t="shared" si="38"/>
        <v>47.196666666666673</v>
      </c>
      <c r="M28" s="80">
        <f t="shared" si="38"/>
        <v>48</v>
      </c>
      <c r="N28" s="80">
        <f t="shared" si="38"/>
        <v>47.6</v>
      </c>
      <c r="O28" s="80">
        <f t="shared" si="38"/>
        <v>47.2</v>
      </c>
      <c r="P28" s="80">
        <f t="shared" si="38"/>
        <v>46.800000000000004</v>
      </c>
      <c r="Q28" s="80">
        <f t="shared" si="38"/>
        <v>46.400000000000006</v>
      </c>
      <c r="R28" s="80">
        <f t="shared" si="38"/>
        <v>46</v>
      </c>
      <c r="S28" s="80">
        <f t="shared" si="38"/>
        <v>45.4</v>
      </c>
      <c r="T28" s="80">
        <f t="shared" si="38"/>
        <v>44.8</v>
      </c>
      <c r="U28" s="80">
        <f t="shared" si="38"/>
        <v>44.199999999999996</v>
      </c>
      <c r="V28" s="80">
        <f t="shared" si="38"/>
        <v>43.599999999999994</v>
      </c>
      <c r="W28" s="80">
        <f t="shared" si="38"/>
        <v>43</v>
      </c>
      <c r="X28" s="80">
        <f t="shared" si="38"/>
        <v>42.4</v>
      </c>
      <c r="Y28" s="80">
        <f t="shared" si="38"/>
        <v>41.8</v>
      </c>
      <c r="Z28" s="80">
        <f t="shared" si="38"/>
        <v>41.199999999999996</v>
      </c>
      <c r="AA28" s="80">
        <f t="shared" si="38"/>
        <v>40.599999999999994</v>
      </c>
      <c r="AB28" s="80">
        <f t="shared" si="38"/>
        <v>40</v>
      </c>
      <c r="AC28" s="80">
        <f t="shared" si="38"/>
        <v>39.4</v>
      </c>
      <c r="AD28" s="80">
        <f t="shared" si="38"/>
        <v>38.799999999999997</v>
      </c>
      <c r="AE28" s="80">
        <f t="shared" si="38"/>
        <v>38.199999999999996</v>
      </c>
      <c r="AF28" s="80">
        <f t="shared" si="38"/>
        <v>37.599999999999994</v>
      </c>
      <c r="AG28" s="80">
        <f t="shared" si="38"/>
        <v>37</v>
      </c>
      <c r="AH28" s="80">
        <f t="shared" si="38"/>
        <v>36.5</v>
      </c>
      <c r="AI28" s="80">
        <f t="shared" si="38"/>
        <v>36</v>
      </c>
      <c r="AJ28" s="80">
        <f t="shared" si="38"/>
        <v>35.5</v>
      </c>
      <c r="AK28" s="80">
        <f t="shared" si="38"/>
        <v>35</v>
      </c>
      <c r="AL28" s="80">
        <f t="shared" si="38"/>
        <v>34.5</v>
      </c>
      <c r="AM28" s="80">
        <f t="shared" si="38"/>
        <v>33.9</v>
      </c>
      <c r="AN28" s="80">
        <f t="shared" si="38"/>
        <v>33.299999999999997</v>
      </c>
      <c r="AO28" s="80">
        <f t="shared" si="38"/>
        <v>32.699999999999996</v>
      </c>
      <c r="AP28" s="80">
        <f t="shared" si="38"/>
        <v>32.099999999999994</v>
      </c>
      <c r="AQ28" s="80">
        <f t="shared" si="38"/>
        <v>31.5</v>
      </c>
      <c r="AR28" s="80">
        <f t="shared" si="38"/>
        <v>30.8</v>
      </c>
      <c r="AS28" s="80">
        <f t="shared" si="38"/>
        <v>30.1</v>
      </c>
      <c r="AT28" s="80">
        <f t="shared" si="38"/>
        <v>29.400000000000002</v>
      </c>
      <c r="AU28" s="80">
        <f t="shared" si="38"/>
        <v>28.700000000000003</v>
      </c>
      <c r="AV28" s="81">
        <f t="shared" si="38"/>
        <v>28</v>
      </c>
    </row>
    <row r="29" spans="1:48" x14ac:dyDescent="0.2">
      <c r="A29" s="66" t="s">
        <v>68</v>
      </c>
      <c r="B29" s="67" t="s">
        <v>64</v>
      </c>
      <c r="C29" s="68" t="s">
        <v>69</v>
      </c>
      <c r="D29" s="64" t="s">
        <v>66</v>
      </c>
      <c r="E29" s="65" t="s">
        <v>70</v>
      </c>
      <c r="F29" s="78">
        <v>1.8932</v>
      </c>
      <c r="G29" s="79">
        <v>1.9100999999999999</v>
      </c>
      <c r="H29" s="82">
        <f>E3</f>
        <v>1.9477</v>
      </c>
      <c r="I29" s="82">
        <f t="shared" si="38"/>
        <v>1.9887999999999999</v>
      </c>
      <c r="J29" s="82">
        <f t="shared" si="38"/>
        <v>2.0472000000000001</v>
      </c>
      <c r="K29" s="82">
        <f t="shared" si="38"/>
        <v>2.0914666666666668</v>
      </c>
      <c r="L29" s="82">
        <f t="shared" si="38"/>
        <v>2.1357333333333335</v>
      </c>
      <c r="M29" s="82">
        <f t="shared" si="38"/>
        <v>2.1800000000000002</v>
      </c>
      <c r="N29" s="82">
        <f t="shared" si="38"/>
        <v>2.2000000000000002</v>
      </c>
      <c r="O29" s="82">
        <f t="shared" si="38"/>
        <v>2.2200000000000002</v>
      </c>
      <c r="P29" s="82">
        <f t="shared" si="38"/>
        <v>2.2400000000000002</v>
      </c>
      <c r="Q29" s="82">
        <f t="shared" si="38"/>
        <v>2.2600000000000002</v>
      </c>
      <c r="R29" s="82">
        <f t="shared" si="38"/>
        <v>2.2799999999999998</v>
      </c>
      <c r="S29" s="82">
        <f t="shared" si="38"/>
        <v>2.2879999999999998</v>
      </c>
      <c r="T29" s="82">
        <f t="shared" si="38"/>
        <v>2.2959999999999998</v>
      </c>
      <c r="U29" s="82">
        <f t="shared" si="38"/>
        <v>2.3039999999999998</v>
      </c>
      <c r="V29" s="82">
        <f t="shared" si="38"/>
        <v>2.3119999999999998</v>
      </c>
      <c r="W29" s="82">
        <f t="shared" si="38"/>
        <v>2.3199999999999998</v>
      </c>
      <c r="X29" s="82">
        <f t="shared" si="38"/>
        <v>2.3279999999999998</v>
      </c>
      <c r="Y29" s="82">
        <f t="shared" si="38"/>
        <v>2.3359999999999999</v>
      </c>
      <c r="Z29" s="82">
        <f t="shared" si="38"/>
        <v>2.3439999999999999</v>
      </c>
      <c r="AA29" s="82">
        <f t="shared" si="38"/>
        <v>2.3519999999999999</v>
      </c>
      <c r="AB29" s="82">
        <f t="shared" si="38"/>
        <v>2.36</v>
      </c>
      <c r="AC29" s="82">
        <f t="shared" si="38"/>
        <v>2.3439999999999999</v>
      </c>
      <c r="AD29" s="82">
        <f t="shared" si="38"/>
        <v>2.3279999999999998</v>
      </c>
      <c r="AE29" s="82">
        <f t="shared" si="38"/>
        <v>2.3119999999999998</v>
      </c>
      <c r="AF29" s="82">
        <f t="shared" si="38"/>
        <v>2.2959999999999998</v>
      </c>
      <c r="AG29" s="82">
        <f t="shared" si="38"/>
        <v>2.2799999999999998</v>
      </c>
      <c r="AH29" s="82">
        <f t="shared" si="38"/>
        <v>2.2439999999999998</v>
      </c>
      <c r="AI29" s="82">
        <f t="shared" si="38"/>
        <v>2.2079999999999997</v>
      </c>
      <c r="AJ29" s="82">
        <f t="shared" si="38"/>
        <v>2.1719999999999997</v>
      </c>
      <c r="AK29" s="82">
        <f t="shared" si="38"/>
        <v>2.1359999999999997</v>
      </c>
      <c r="AL29" s="82">
        <f t="shared" si="38"/>
        <v>2.1</v>
      </c>
      <c r="AM29" s="82">
        <f t="shared" si="38"/>
        <v>2.0500000000000003</v>
      </c>
      <c r="AN29" s="82">
        <f t="shared" si="38"/>
        <v>2.0000000000000004</v>
      </c>
      <c r="AO29" s="82">
        <f t="shared" si="38"/>
        <v>1.9500000000000004</v>
      </c>
      <c r="AP29" s="82">
        <f t="shared" si="38"/>
        <v>1.9000000000000004</v>
      </c>
      <c r="AQ29" s="82">
        <f t="shared" si="38"/>
        <v>1.85</v>
      </c>
      <c r="AR29" s="82">
        <f t="shared" si="38"/>
        <v>1.81</v>
      </c>
      <c r="AS29" s="82">
        <f t="shared" si="38"/>
        <v>1.77</v>
      </c>
      <c r="AT29" s="82">
        <f t="shared" si="38"/>
        <v>1.73</v>
      </c>
      <c r="AU29" s="82">
        <f t="shared" si="38"/>
        <v>1.69</v>
      </c>
      <c r="AV29" s="83">
        <f t="shared" si="38"/>
        <v>1.65</v>
      </c>
    </row>
    <row r="30" spans="1:48" x14ac:dyDescent="0.2">
      <c r="A30" s="66" t="s">
        <v>68</v>
      </c>
      <c r="B30" s="67" t="s">
        <v>64</v>
      </c>
      <c r="C30" s="68" t="s">
        <v>71</v>
      </c>
      <c r="D30" s="64" t="s">
        <v>72</v>
      </c>
      <c r="E30" s="65" t="s">
        <v>70</v>
      </c>
      <c r="F30" s="78">
        <v>1601.59</v>
      </c>
      <c r="G30" s="79">
        <v>1761.74</v>
      </c>
      <c r="H30" s="84">
        <f>E4</f>
        <v>1924.95</v>
      </c>
      <c r="I30" s="84">
        <f t="shared" si="38"/>
        <v>2075.84</v>
      </c>
      <c r="J30" s="84">
        <f t="shared" si="38"/>
        <v>2201.1</v>
      </c>
      <c r="K30" s="84">
        <f t="shared" si="38"/>
        <v>2317.4</v>
      </c>
      <c r="L30" s="84">
        <f t="shared" si="38"/>
        <v>2433.7000000000003</v>
      </c>
      <c r="M30" s="84">
        <f t="shared" si="38"/>
        <v>2550</v>
      </c>
      <c r="N30" s="84">
        <f t="shared" si="38"/>
        <v>2620</v>
      </c>
      <c r="O30" s="84">
        <f t="shared" si="38"/>
        <v>2690</v>
      </c>
      <c r="P30" s="84">
        <f t="shared" si="38"/>
        <v>2760</v>
      </c>
      <c r="Q30" s="84">
        <f t="shared" si="38"/>
        <v>2830</v>
      </c>
      <c r="R30" s="84">
        <f t="shared" si="38"/>
        <v>2900</v>
      </c>
      <c r="S30" s="84">
        <f t="shared" si="38"/>
        <v>2950</v>
      </c>
      <c r="T30" s="84">
        <f t="shared" si="38"/>
        <v>3000</v>
      </c>
      <c r="U30" s="84">
        <f t="shared" si="38"/>
        <v>3050</v>
      </c>
      <c r="V30" s="84">
        <f t="shared" si="38"/>
        <v>3100</v>
      </c>
      <c r="W30" s="84">
        <f t="shared" si="38"/>
        <v>3150</v>
      </c>
      <c r="X30" s="84">
        <f t="shared" si="38"/>
        <v>3176</v>
      </c>
      <c r="Y30" s="84">
        <f t="shared" si="38"/>
        <v>3202</v>
      </c>
      <c r="Z30" s="84">
        <f t="shared" si="38"/>
        <v>3228</v>
      </c>
      <c r="AA30" s="84">
        <f t="shared" si="38"/>
        <v>3254</v>
      </c>
      <c r="AB30" s="84">
        <f t="shared" si="38"/>
        <v>3280</v>
      </c>
      <c r="AC30" s="84">
        <f t="shared" si="38"/>
        <v>3302</v>
      </c>
      <c r="AD30" s="84">
        <f t="shared" si="38"/>
        <v>3324</v>
      </c>
      <c r="AE30" s="84">
        <f t="shared" si="38"/>
        <v>3346</v>
      </c>
      <c r="AF30" s="84">
        <f t="shared" si="38"/>
        <v>3368</v>
      </c>
      <c r="AG30" s="84">
        <f t="shared" si="38"/>
        <v>3390</v>
      </c>
      <c r="AH30" s="84">
        <f t="shared" si="38"/>
        <v>3406</v>
      </c>
      <c r="AI30" s="84">
        <f t="shared" si="38"/>
        <v>3422</v>
      </c>
      <c r="AJ30" s="84">
        <f t="shared" si="38"/>
        <v>3438</v>
      </c>
      <c r="AK30" s="84">
        <f t="shared" si="38"/>
        <v>3454</v>
      </c>
      <c r="AL30" s="84">
        <f t="shared" si="38"/>
        <v>3470</v>
      </c>
      <c r="AM30" s="84">
        <f t="shared" si="38"/>
        <v>3484</v>
      </c>
      <c r="AN30" s="84">
        <f t="shared" si="38"/>
        <v>3498</v>
      </c>
      <c r="AO30" s="84">
        <f t="shared" si="38"/>
        <v>3512</v>
      </c>
      <c r="AP30" s="84">
        <f t="shared" si="38"/>
        <v>3526</v>
      </c>
      <c r="AQ30" s="84">
        <f t="shared" si="38"/>
        <v>3540</v>
      </c>
      <c r="AR30" s="84">
        <f t="shared" si="38"/>
        <v>3554</v>
      </c>
      <c r="AS30" s="84">
        <f t="shared" si="38"/>
        <v>3568</v>
      </c>
      <c r="AT30" s="84">
        <f t="shared" si="38"/>
        <v>3582</v>
      </c>
      <c r="AU30" s="84">
        <f t="shared" si="38"/>
        <v>3596</v>
      </c>
      <c r="AV30" s="85">
        <f t="shared" si="38"/>
        <v>3610</v>
      </c>
    </row>
    <row r="31" spans="1:48" x14ac:dyDescent="0.2">
      <c r="A31" s="66" t="s">
        <v>73</v>
      </c>
      <c r="B31" s="67" t="s">
        <v>74</v>
      </c>
      <c r="C31" s="68" t="s">
        <v>75</v>
      </c>
      <c r="D31" s="64" t="s">
        <v>66</v>
      </c>
      <c r="E31" s="65" t="s">
        <v>76</v>
      </c>
      <c r="F31" s="78">
        <v>6</v>
      </c>
      <c r="G31" s="79">
        <v>6.5</v>
      </c>
      <c r="H31" s="82">
        <f>E10</f>
        <v>6.7441000000000004</v>
      </c>
      <c r="I31" s="82">
        <f t="shared" ref="I31:AV31" si="39">F10</f>
        <v>7</v>
      </c>
      <c r="J31" s="82">
        <f t="shared" si="39"/>
        <v>6.7590000000000003</v>
      </c>
      <c r="K31" s="82">
        <f t="shared" si="39"/>
        <v>6.9051500586166474</v>
      </c>
      <c r="L31" s="82">
        <f t="shared" si="39"/>
        <v>7.0513001172332945</v>
      </c>
      <c r="M31" s="82">
        <f t="shared" si="39"/>
        <v>7.1974501758499416</v>
      </c>
      <c r="N31" s="82">
        <f t="shared" si="39"/>
        <v>7.2634818288393905</v>
      </c>
      <c r="O31" s="82">
        <f t="shared" si="39"/>
        <v>7.3295134818288394</v>
      </c>
      <c r="P31" s="82">
        <f t="shared" si="39"/>
        <v>7.3955451348182883</v>
      </c>
      <c r="Q31" s="82">
        <f t="shared" si="39"/>
        <v>7.4615767878077373</v>
      </c>
      <c r="R31" s="82">
        <f t="shared" si="39"/>
        <v>7.5276084407971844</v>
      </c>
      <c r="S31" s="82">
        <f t="shared" si="39"/>
        <v>7.5540211019929639</v>
      </c>
      <c r="T31" s="82">
        <f t="shared" si="39"/>
        <v>7.5804337631887435</v>
      </c>
      <c r="U31" s="82">
        <f t="shared" si="39"/>
        <v>7.6068464243845231</v>
      </c>
      <c r="V31" s="82">
        <f t="shared" si="39"/>
        <v>7.6332590855803026</v>
      </c>
      <c r="W31" s="82">
        <f t="shared" si="39"/>
        <v>7.6596717467760831</v>
      </c>
      <c r="X31" s="82">
        <f t="shared" si="39"/>
        <v>7.6860844079718627</v>
      </c>
      <c r="Y31" s="82">
        <f t="shared" si="39"/>
        <v>7.7124970691676422</v>
      </c>
      <c r="Z31" s="82">
        <f t="shared" si="39"/>
        <v>7.7389097303634218</v>
      </c>
      <c r="AA31" s="82">
        <f t="shared" si="39"/>
        <v>7.7653223915592013</v>
      </c>
      <c r="AB31" s="82">
        <f t="shared" si="39"/>
        <v>7.7917350527549809</v>
      </c>
      <c r="AC31" s="82">
        <f t="shared" si="39"/>
        <v>7.7389097303634218</v>
      </c>
      <c r="AD31" s="82">
        <f t="shared" si="39"/>
        <v>7.6860844079718627</v>
      </c>
      <c r="AE31" s="82">
        <f t="shared" si="39"/>
        <v>7.6332590855803035</v>
      </c>
      <c r="AF31" s="82">
        <f t="shared" si="39"/>
        <v>7.5804337631887444</v>
      </c>
      <c r="AG31" s="82">
        <f t="shared" si="39"/>
        <v>7.5276084407971844</v>
      </c>
      <c r="AH31" s="82">
        <f t="shared" si="39"/>
        <v>7.4087514654161764</v>
      </c>
      <c r="AI31" s="82">
        <f t="shared" si="39"/>
        <v>7.2898944900351683</v>
      </c>
      <c r="AJ31" s="82">
        <f t="shared" si="39"/>
        <v>7.1710375146541603</v>
      </c>
      <c r="AK31" s="82">
        <f t="shared" si="39"/>
        <v>7.0521805392731522</v>
      </c>
      <c r="AL31" s="82">
        <f t="shared" si="39"/>
        <v>6.9333235638921442</v>
      </c>
      <c r="AM31" s="82">
        <f t="shared" si="39"/>
        <v>6.7682444314185215</v>
      </c>
      <c r="AN31" s="82">
        <f t="shared" si="39"/>
        <v>6.6031652989448988</v>
      </c>
      <c r="AO31" s="82">
        <f t="shared" si="39"/>
        <v>6.4380861664712761</v>
      </c>
      <c r="AP31" s="82">
        <f t="shared" si="39"/>
        <v>6.2730070339976534</v>
      </c>
      <c r="AQ31" s="82">
        <f t="shared" si="39"/>
        <v>6.1079279015240315</v>
      </c>
      <c r="AR31" s="82">
        <f t="shared" si="39"/>
        <v>5.9758645955451337</v>
      </c>
      <c r="AS31" s="82">
        <f t="shared" si="39"/>
        <v>5.8438012895662359</v>
      </c>
      <c r="AT31" s="82">
        <f t="shared" si="39"/>
        <v>5.7117379835873381</v>
      </c>
      <c r="AU31" s="82">
        <f t="shared" si="39"/>
        <v>5.5796746776084403</v>
      </c>
      <c r="AV31" s="83">
        <f t="shared" si="39"/>
        <v>5.4476113716295407</v>
      </c>
    </row>
    <row r="32" spans="1:48" x14ac:dyDescent="0.2">
      <c r="A32" s="66" t="s">
        <v>77</v>
      </c>
      <c r="B32" s="67" t="s">
        <v>74</v>
      </c>
      <c r="C32" s="68" t="s">
        <v>78</v>
      </c>
      <c r="D32" s="64" t="s">
        <v>79</v>
      </c>
      <c r="E32" s="69" t="s">
        <v>80</v>
      </c>
      <c r="F32" s="78">
        <v>2688.48</v>
      </c>
      <c r="G32" s="79">
        <v>2522.4899999999998</v>
      </c>
      <c r="H32" s="79">
        <v>2795</v>
      </c>
      <c r="I32" s="79">
        <v>2820</v>
      </c>
      <c r="J32" s="79">
        <v>2850</v>
      </c>
      <c r="K32" s="84">
        <f>J32+($M32-$J32)/3</f>
        <v>2883.3333333333335</v>
      </c>
      <c r="L32" s="84">
        <f>K32+($M32-$J32)/3</f>
        <v>2916.666666666667</v>
      </c>
      <c r="M32" s="79">
        <v>2950</v>
      </c>
      <c r="N32" s="79">
        <f>M32+($R32-$M32)/5</f>
        <v>2970</v>
      </c>
      <c r="O32" s="79">
        <f t="shared" ref="O32:Q32" si="40">N32+($R32-$M32)/5</f>
        <v>2990</v>
      </c>
      <c r="P32" s="79">
        <f t="shared" si="40"/>
        <v>3010</v>
      </c>
      <c r="Q32" s="79">
        <f t="shared" si="40"/>
        <v>3030</v>
      </c>
      <c r="R32" s="79">
        <v>3050</v>
      </c>
      <c r="S32" s="79">
        <f>R32+($W32-$R32)/5</f>
        <v>3040</v>
      </c>
      <c r="T32" s="79">
        <f t="shared" ref="T32:V32" si="41">S32+($W32-$R32)/5</f>
        <v>3030</v>
      </c>
      <c r="U32" s="79">
        <f t="shared" si="41"/>
        <v>3020</v>
      </c>
      <c r="V32" s="79">
        <f t="shared" si="41"/>
        <v>3010</v>
      </c>
      <c r="W32" s="79">
        <v>3000</v>
      </c>
      <c r="X32" s="79">
        <f>W32+($AG32-$W32)/10</f>
        <v>2980</v>
      </c>
      <c r="Y32" s="79">
        <f t="shared" ref="Y32:AF32" si="42">X32+($AG32-$W32)/10</f>
        <v>2960</v>
      </c>
      <c r="Z32" s="79">
        <f t="shared" si="42"/>
        <v>2940</v>
      </c>
      <c r="AA32" s="79">
        <f t="shared" si="42"/>
        <v>2920</v>
      </c>
      <c r="AB32" s="79">
        <f t="shared" si="42"/>
        <v>2900</v>
      </c>
      <c r="AC32" s="79">
        <f t="shared" si="42"/>
        <v>2880</v>
      </c>
      <c r="AD32" s="79">
        <f t="shared" si="42"/>
        <v>2860</v>
      </c>
      <c r="AE32" s="79">
        <f t="shared" si="42"/>
        <v>2840</v>
      </c>
      <c r="AF32" s="79">
        <f t="shared" si="42"/>
        <v>2820</v>
      </c>
      <c r="AG32" s="79">
        <v>2800</v>
      </c>
      <c r="AH32" s="79">
        <f>AG32+($AV32-$AG32)/15</f>
        <v>2780</v>
      </c>
      <c r="AI32" s="79">
        <f t="shared" ref="AI32:AU32" si="43">AH32+($AV32-$AG32)/15</f>
        <v>2760</v>
      </c>
      <c r="AJ32" s="79">
        <f t="shared" si="43"/>
        <v>2740</v>
      </c>
      <c r="AK32" s="79">
        <f t="shared" si="43"/>
        <v>2720</v>
      </c>
      <c r="AL32" s="79">
        <f t="shared" si="43"/>
        <v>2700</v>
      </c>
      <c r="AM32" s="79">
        <f t="shared" si="43"/>
        <v>2680</v>
      </c>
      <c r="AN32" s="79">
        <f t="shared" si="43"/>
        <v>2660</v>
      </c>
      <c r="AO32" s="79">
        <f t="shared" si="43"/>
        <v>2640</v>
      </c>
      <c r="AP32" s="79">
        <f t="shared" si="43"/>
        <v>2620</v>
      </c>
      <c r="AQ32" s="79">
        <f t="shared" si="43"/>
        <v>2600</v>
      </c>
      <c r="AR32" s="79">
        <f t="shared" si="43"/>
        <v>2580</v>
      </c>
      <c r="AS32" s="79">
        <f t="shared" si="43"/>
        <v>2560</v>
      </c>
      <c r="AT32" s="79">
        <f t="shared" si="43"/>
        <v>2540</v>
      </c>
      <c r="AU32" s="79">
        <f t="shared" si="43"/>
        <v>2520</v>
      </c>
      <c r="AV32" s="86">
        <v>2500</v>
      </c>
    </row>
    <row r="33" spans="1:48" x14ac:dyDescent="0.2">
      <c r="A33" s="66" t="s">
        <v>77</v>
      </c>
      <c r="B33" s="67" t="s">
        <v>81</v>
      </c>
      <c r="C33" s="68" t="s">
        <v>82</v>
      </c>
      <c r="D33" s="64" t="s">
        <v>79</v>
      </c>
      <c r="E33" s="69" t="s">
        <v>80</v>
      </c>
      <c r="F33" s="78">
        <v>137.54</v>
      </c>
      <c r="G33" s="79">
        <v>140.04</v>
      </c>
      <c r="H33" s="79">
        <v>155.71</v>
      </c>
      <c r="I33" s="79">
        <v>189</v>
      </c>
      <c r="J33" s="84">
        <f>I33+($M33-$I33)/4</f>
        <v>199.25</v>
      </c>
      <c r="K33" s="84">
        <f>J33+($M33-$I33)/4</f>
        <v>209.5</v>
      </c>
      <c r="L33" s="84">
        <f>K33+($M33-$I33)/4</f>
        <v>219.75</v>
      </c>
      <c r="M33" s="79">
        <v>230</v>
      </c>
      <c r="N33" s="79">
        <f>M33+($R33-$M33)/5</f>
        <v>234</v>
      </c>
      <c r="O33" s="79">
        <f t="shared" ref="O33:Q33" si="44">N33+($R33-$M33)/5</f>
        <v>238</v>
      </c>
      <c r="P33" s="79">
        <f t="shared" si="44"/>
        <v>242</v>
      </c>
      <c r="Q33" s="79">
        <f t="shared" si="44"/>
        <v>246</v>
      </c>
      <c r="R33" s="79">
        <v>250</v>
      </c>
      <c r="S33" s="79">
        <f>R33+($AB33-$R33)/10</f>
        <v>248</v>
      </c>
      <c r="T33" s="79">
        <f t="shared" ref="T33:AA33" si="45">S33+($AB33-$R33)/10</f>
        <v>246</v>
      </c>
      <c r="U33" s="79">
        <f t="shared" si="45"/>
        <v>244</v>
      </c>
      <c r="V33" s="79">
        <f t="shared" si="45"/>
        <v>242</v>
      </c>
      <c r="W33" s="79">
        <f t="shared" si="45"/>
        <v>240</v>
      </c>
      <c r="X33" s="79">
        <f t="shared" si="45"/>
        <v>238</v>
      </c>
      <c r="Y33" s="79">
        <f t="shared" si="45"/>
        <v>236</v>
      </c>
      <c r="Z33" s="79">
        <f t="shared" si="45"/>
        <v>234</v>
      </c>
      <c r="AA33" s="79">
        <f t="shared" si="45"/>
        <v>232</v>
      </c>
      <c r="AB33" s="84">
        <f>230</f>
        <v>230</v>
      </c>
      <c r="AC33" s="84">
        <f>AB33+($AV33-$AB33)/20</f>
        <v>227</v>
      </c>
      <c r="AD33" s="84">
        <f t="shared" ref="AD33:AU33" si="46">AC33+($AV33-$AB33)/20</f>
        <v>224</v>
      </c>
      <c r="AE33" s="84">
        <f t="shared" si="46"/>
        <v>221</v>
      </c>
      <c r="AF33" s="84">
        <f t="shared" si="46"/>
        <v>218</v>
      </c>
      <c r="AG33" s="79">
        <f t="shared" si="46"/>
        <v>215</v>
      </c>
      <c r="AH33" s="84">
        <f t="shared" si="46"/>
        <v>212</v>
      </c>
      <c r="AI33" s="84">
        <f t="shared" si="46"/>
        <v>209</v>
      </c>
      <c r="AJ33" s="84">
        <f t="shared" si="46"/>
        <v>206</v>
      </c>
      <c r="AK33" s="84">
        <f t="shared" si="46"/>
        <v>203</v>
      </c>
      <c r="AL33" s="84">
        <f t="shared" si="46"/>
        <v>200</v>
      </c>
      <c r="AM33" s="84">
        <f t="shared" si="46"/>
        <v>197</v>
      </c>
      <c r="AN33" s="84">
        <f t="shared" si="46"/>
        <v>194</v>
      </c>
      <c r="AO33" s="84">
        <f t="shared" si="46"/>
        <v>191</v>
      </c>
      <c r="AP33" s="84">
        <f t="shared" si="46"/>
        <v>188</v>
      </c>
      <c r="AQ33" s="84">
        <f t="shared" si="46"/>
        <v>185</v>
      </c>
      <c r="AR33" s="84">
        <f t="shared" si="46"/>
        <v>182</v>
      </c>
      <c r="AS33" s="84">
        <f t="shared" si="46"/>
        <v>179</v>
      </c>
      <c r="AT33" s="84">
        <f t="shared" si="46"/>
        <v>176</v>
      </c>
      <c r="AU33" s="84">
        <f t="shared" si="46"/>
        <v>173</v>
      </c>
      <c r="AV33" s="86">
        <v>170</v>
      </c>
    </row>
    <row r="34" spans="1:48" x14ac:dyDescent="0.2">
      <c r="A34" s="66" t="s">
        <v>77</v>
      </c>
      <c r="B34" s="67" t="s">
        <v>81</v>
      </c>
      <c r="C34" s="68" t="s">
        <v>83</v>
      </c>
      <c r="D34" s="64" t="s">
        <v>79</v>
      </c>
      <c r="E34" s="69" t="s">
        <v>80</v>
      </c>
      <c r="F34" s="78">
        <v>246.85</v>
      </c>
      <c r="G34" s="79">
        <v>244.17</v>
      </c>
      <c r="H34" s="79">
        <v>232.31</v>
      </c>
      <c r="I34" s="79">
        <v>224.95</v>
      </c>
      <c r="J34" s="79">
        <v>201.43</v>
      </c>
      <c r="K34" s="84">
        <f t="shared" ref="K34:L34" si="47">J34+($M34-$J34)/3</f>
        <v>194.28666666666666</v>
      </c>
      <c r="L34" s="84">
        <f t="shared" si="47"/>
        <v>187.14333333333332</v>
      </c>
      <c r="M34" s="79">
        <v>180</v>
      </c>
      <c r="N34" s="79">
        <f>M34+($W34-$M34)/10</f>
        <v>176</v>
      </c>
      <c r="O34" s="79">
        <f t="shared" ref="O34:V34" si="48">N34+($W34-$M34)/10</f>
        <v>172</v>
      </c>
      <c r="P34" s="79">
        <f t="shared" si="48"/>
        <v>168</v>
      </c>
      <c r="Q34" s="79">
        <f t="shared" si="48"/>
        <v>164</v>
      </c>
      <c r="R34" s="79">
        <f t="shared" si="48"/>
        <v>160</v>
      </c>
      <c r="S34" s="79">
        <f t="shared" si="48"/>
        <v>156</v>
      </c>
      <c r="T34" s="79">
        <f t="shared" si="48"/>
        <v>152</v>
      </c>
      <c r="U34" s="79">
        <f t="shared" si="48"/>
        <v>148</v>
      </c>
      <c r="V34" s="79">
        <f t="shared" si="48"/>
        <v>144</v>
      </c>
      <c r="W34" s="79">
        <v>140</v>
      </c>
      <c r="X34" s="79">
        <f>W34+($AV34-$W34)/25</f>
        <v>137.6</v>
      </c>
      <c r="Y34" s="79">
        <f t="shared" ref="Y34:AU34" si="49">X34+($AV34-$W34)/25</f>
        <v>135.19999999999999</v>
      </c>
      <c r="Z34" s="79">
        <f t="shared" si="49"/>
        <v>132.79999999999998</v>
      </c>
      <c r="AA34" s="79">
        <f t="shared" si="49"/>
        <v>130.39999999999998</v>
      </c>
      <c r="AB34" s="79">
        <f t="shared" si="49"/>
        <v>127.99999999999997</v>
      </c>
      <c r="AC34" s="79">
        <f t="shared" si="49"/>
        <v>125.59999999999997</v>
      </c>
      <c r="AD34" s="79">
        <f t="shared" si="49"/>
        <v>123.19999999999996</v>
      </c>
      <c r="AE34" s="79">
        <f t="shared" si="49"/>
        <v>120.79999999999995</v>
      </c>
      <c r="AF34" s="79">
        <f t="shared" si="49"/>
        <v>118.39999999999995</v>
      </c>
      <c r="AG34" s="79">
        <f t="shared" si="49"/>
        <v>115.99999999999994</v>
      </c>
      <c r="AH34" s="79">
        <f t="shared" si="49"/>
        <v>113.59999999999994</v>
      </c>
      <c r="AI34" s="79">
        <f t="shared" si="49"/>
        <v>111.19999999999993</v>
      </c>
      <c r="AJ34" s="79">
        <f t="shared" si="49"/>
        <v>108.79999999999993</v>
      </c>
      <c r="AK34" s="79">
        <f t="shared" si="49"/>
        <v>106.39999999999992</v>
      </c>
      <c r="AL34" s="79">
        <f t="shared" si="49"/>
        <v>103.99999999999991</v>
      </c>
      <c r="AM34" s="79">
        <f t="shared" si="49"/>
        <v>101.59999999999991</v>
      </c>
      <c r="AN34" s="79">
        <f t="shared" si="49"/>
        <v>99.199999999999903</v>
      </c>
      <c r="AO34" s="79">
        <f t="shared" si="49"/>
        <v>96.799999999999898</v>
      </c>
      <c r="AP34" s="79">
        <f t="shared" si="49"/>
        <v>94.399999999999892</v>
      </c>
      <c r="AQ34" s="79">
        <f t="shared" si="49"/>
        <v>91.999999999999886</v>
      </c>
      <c r="AR34" s="79">
        <f t="shared" si="49"/>
        <v>89.599999999999881</v>
      </c>
      <c r="AS34" s="79">
        <f t="shared" si="49"/>
        <v>87.199999999999875</v>
      </c>
      <c r="AT34" s="79">
        <f t="shared" si="49"/>
        <v>84.799999999999869</v>
      </c>
      <c r="AU34" s="79">
        <f t="shared" si="49"/>
        <v>82.399999999999864</v>
      </c>
      <c r="AV34" s="86">
        <v>80</v>
      </c>
    </row>
    <row r="35" spans="1:48" x14ac:dyDescent="0.2">
      <c r="A35" s="66" t="s">
        <v>77</v>
      </c>
      <c r="B35" s="67" t="s">
        <v>84</v>
      </c>
      <c r="C35" s="68" t="s">
        <v>85</v>
      </c>
      <c r="D35" s="64" t="s">
        <v>79</v>
      </c>
      <c r="E35" s="69" t="s">
        <v>80</v>
      </c>
      <c r="F35" s="78">
        <v>85.17</v>
      </c>
      <c r="G35" s="79">
        <v>88.95</v>
      </c>
      <c r="H35" s="79">
        <v>86.69</v>
      </c>
      <c r="I35" s="79">
        <v>93.16</v>
      </c>
      <c r="J35" s="79">
        <f>I35+($M35-$I35)/4</f>
        <v>97.37</v>
      </c>
      <c r="K35" s="79">
        <f t="shared" ref="K35:L35" si="50">J35+($M35-$I35)/4</f>
        <v>101.58000000000001</v>
      </c>
      <c r="L35" s="79">
        <f t="shared" si="50"/>
        <v>105.79000000000002</v>
      </c>
      <c r="M35" s="79">
        <v>110</v>
      </c>
      <c r="N35" s="79">
        <f>M35+($R35-$M35)/5</f>
        <v>112</v>
      </c>
      <c r="O35" s="79">
        <f t="shared" ref="O35:Q35" si="51">N35+($R35-$M35)/5</f>
        <v>114</v>
      </c>
      <c r="P35" s="79">
        <f t="shared" si="51"/>
        <v>116</v>
      </c>
      <c r="Q35" s="79">
        <f t="shared" si="51"/>
        <v>118</v>
      </c>
      <c r="R35" s="79">
        <f>120</f>
        <v>120</v>
      </c>
      <c r="S35" s="79">
        <f>R35+($AB35-$R35)/10</f>
        <v>118</v>
      </c>
      <c r="T35" s="79">
        <f t="shared" ref="T35:AA35" si="52">S35+($AB35-$R35)/10</f>
        <v>116</v>
      </c>
      <c r="U35" s="79">
        <f>T35+($AB35-$R35)/10</f>
        <v>114</v>
      </c>
      <c r="V35" s="79">
        <f t="shared" si="52"/>
        <v>112</v>
      </c>
      <c r="W35" s="79">
        <f t="shared" si="52"/>
        <v>110</v>
      </c>
      <c r="X35" s="79">
        <f t="shared" si="52"/>
        <v>108</v>
      </c>
      <c r="Y35" s="79">
        <f t="shared" si="52"/>
        <v>106</v>
      </c>
      <c r="Z35" s="79">
        <f t="shared" si="52"/>
        <v>104</v>
      </c>
      <c r="AA35" s="79">
        <f t="shared" si="52"/>
        <v>102</v>
      </c>
      <c r="AB35" s="79">
        <v>100</v>
      </c>
      <c r="AC35" s="79">
        <f>AB35+($AV35-$AB35)/20</f>
        <v>99</v>
      </c>
      <c r="AD35" s="79">
        <f t="shared" ref="AD35:AU35" si="53">AC35+($AV35-$AB35)/20</f>
        <v>98</v>
      </c>
      <c r="AE35" s="79">
        <f t="shared" si="53"/>
        <v>97</v>
      </c>
      <c r="AF35" s="79">
        <f t="shared" si="53"/>
        <v>96</v>
      </c>
      <c r="AG35" s="79">
        <f t="shared" si="53"/>
        <v>95</v>
      </c>
      <c r="AH35" s="79">
        <f t="shared" si="53"/>
        <v>94</v>
      </c>
      <c r="AI35" s="79">
        <f t="shared" si="53"/>
        <v>93</v>
      </c>
      <c r="AJ35" s="79">
        <f t="shared" si="53"/>
        <v>92</v>
      </c>
      <c r="AK35" s="79">
        <f t="shared" si="53"/>
        <v>91</v>
      </c>
      <c r="AL35" s="79">
        <f t="shared" si="53"/>
        <v>90</v>
      </c>
      <c r="AM35" s="79">
        <f t="shared" si="53"/>
        <v>89</v>
      </c>
      <c r="AN35" s="79">
        <f t="shared" si="53"/>
        <v>88</v>
      </c>
      <c r="AO35" s="79">
        <f t="shared" si="53"/>
        <v>87</v>
      </c>
      <c r="AP35" s="79">
        <f t="shared" si="53"/>
        <v>86</v>
      </c>
      <c r="AQ35" s="79">
        <f t="shared" si="53"/>
        <v>85</v>
      </c>
      <c r="AR35" s="79">
        <f t="shared" si="53"/>
        <v>84</v>
      </c>
      <c r="AS35" s="79">
        <f t="shared" si="53"/>
        <v>83</v>
      </c>
      <c r="AT35" s="79">
        <f t="shared" si="53"/>
        <v>82</v>
      </c>
      <c r="AU35" s="79">
        <f t="shared" si="53"/>
        <v>81</v>
      </c>
      <c r="AV35" s="86">
        <v>80</v>
      </c>
    </row>
    <row r="36" spans="1:48" x14ac:dyDescent="0.2">
      <c r="A36" s="66" t="s">
        <v>86</v>
      </c>
      <c r="B36" s="67" t="s">
        <v>74</v>
      </c>
      <c r="C36" s="68" t="s">
        <v>87</v>
      </c>
      <c r="D36" s="64" t="s">
        <v>79</v>
      </c>
      <c r="E36" s="65" t="s">
        <v>88</v>
      </c>
      <c r="F36" s="78">
        <v>223609.62</v>
      </c>
      <c r="G36" s="79">
        <v>234430.62</v>
      </c>
      <c r="H36" s="84">
        <f>E16</f>
        <v>239470.83</v>
      </c>
      <c r="I36" s="84">
        <f t="shared" ref="I36:AV36" si="54">F16</f>
        <v>237724.49</v>
      </c>
      <c r="J36" s="84">
        <f t="shared" si="54"/>
        <v>212927.18</v>
      </c>
      <c r="K36" s="84">
        <f t="shared" si="54"/>
        <v>211951.45333333334</v>
      </c>
      <c r="L36" s="84">
        <f t="shared" si="54"/>
        <v>210975.72666666668</v>
      </c>
      <c r="M36" s="84">
        <f t="shared" si="54"/>
        <v>210000</v>
      </c>
      <c r="N36" s="84">
        <f t="shared" si="54"/>
        <v>208200</v>
      </c>
      <c r="O36" s="84">
        <f t="shared" si="54"/>
        <v>206400</v>
      </c>
      <c r="P36" s="84">
        <f t="shared" si="54"/>
        <v>204600</v>
      </c>
      <c r="Q36" s="84">
        <f t="shared" si="54"/>
        <v>202800</v>
      </c>
      <c r="R36" s="84">
        <f t="shared" si="54"/>
        <v>201000</v>
      </c>
      <c r="S36" s="84">
        <f t="shared" si="54"/>
        <v>198400</v>
      </c>
      <c r="T36" s="84">
        <f t="shared" si="54"/>
        <v>195800</v>
      </c>
      <c r="U36" s="84">
        <f t="shared" si="54"/>
        <v>193200</v>
      </c>
      <c r="V36" s="84">
        <f t="shared" si="54"/>
        <v>190600</v>
      </c>
      <c r="W36" s="84">
        <f t="shared" si="54"/>
        <v>188000</v>
      </c>
      <c r="X36" s="84">
        <f t="shared" si="54"/>
        <v>184400</v>
      </c>
      <c r="Y36" s="84">
        <f t="shared" si="54"/>
        <v>180800</v>
      </c>
      <c r="Z36" s="84">
        <f t="shared" si="54"/>
        <v>177200</v>
      </c>
      <c r="AA36" s="84">
        <f t="shared" si="54"/>
        <v>173600</v>
      </c>
      <c r="AB36" s="84">
        <f t="shared" si="54"/>
        <v>170000</v>
      </c>
      <c r="AC36" s="84">
        <f t="shared" si="54"/>
        <v>166000</v>
      </c>
      <c r="AD36" s="84">
        <f t="shared" si="54"/>
        <v>162000</v>
      </c>
      <c r="AE36" s="84">
        <f t="shared" si="54"/>
        <v>158000</v>
      </c>
      <c r="AF36" s="84">
        <f t="shared" si="54"/>
        <v>154000</v>
      </c>
      <c r="AG36" s="84">
        <f t="shared" si="54"/>
        <v>150000</v>
      </c>
      <c r="AH36" s="84">
        <f t="shared" si="54"/>
        <v>146000</v>
      </c>
      <c r="AI36" s="84">
        <f t="shared" si="54"/>
        <v>142000</v>
      </c>
      <c r="AJ36" s="84">
        <f t="shared" si="54"/>
        <v>138000</v>
      </c>
      <c r="AK36" s="84">
        <f t="shared" si="54"/>
        <v>134000</v>
      </c>
      <c r="AL36" s="84">
        <f t="shared" si="54"/>
        <v>130000</v>
      </c>
      <c r="AM36" s="84">
        <f t="shared" si="54"/>
        <v>127000</v>
      </c>
      <c r="AN36" s="84">
        <f t="shared" si="54"/>
        <v>124000</v>
      </c>
      <c r="AO36" s="84">
        <f t="shared" si="54"/>
        <v>121000</v>
      </c>
      <c r="AP36" s="84">
        <f t="shared" si="54"/>
        <v>118000</v>
      </c>
      <c r="AQ36" s="84">
        <f t="shared" si="54"/>
        <v>115000</v>
      </c>
      <c r="AR36" s="84">
        <f t="shared" si="54"/>
        <v>112800</v>
      </c>
      <c r="AS36" s="84">
        <f t="shared" si="54"/>
        <v>110600</v>
      </c>
      <c r="AT36" s="84">
        <f t="shared" si="54"/>
        <v>108400</v>
      </c>
      <c r="AU36" s="84">
        <f t="shared" si="54"/>
        <v>106200</v>
      </c>
      <c r="AV36" s="85">
        <f t="shared" si="54"/>
        <v>104000</v>
      </c>
    </row>
    <row r="37" spans="1:48" x14ac:dyDescent="0.2">
      <c r="A37" s="66" t="s">
        <v>89</v>
      </c>
      <c r="B37" s="67" t="s">
        <v>90</v>
      </c>
      <c r="C37" s="68" t="s">
        <v>91</v>
      </c>
      <c r="D37" s="64" t="s">
        <v>79</v>
      </c>
      <c r="E37" s="65" t="s">
        <v>88</v>
      </c>
      <c r="F37" s="78">
        <v>92903.84</v>
      </c>
      <c r="G37" s="79">
        <v>99541.89</v>
      </c>
      <c r="H37" s="84">
        <f>E18</f>
        <v>106476.68</v>
      </c>
      <c r="I37" s="84">
        <f t="shared" ref="I37:AV38" si="55">F18</f>
        <v>103524.26</v>
      </c>
      <c r="J37" s="84">
        <f t="shared" si="55"/>
        <v>101795.9</v>
      </c>
      <c r="K37" s="84">
        <f>H18</f>
        <v>101900</v>
      </c>
      <c r="L37" s="84">
        <f t="shared" si="55"/>
        <v>100000</v>
      </c>
      <c r="M37" s="84">
        <f t="shared" si="55"/>
        <v>107000</v>
      </c>
      <c r="N37" s="84">
        <f t="shared" si="55"/>
        <v>108400</v>
      </c>
      <c r="O37" s="84">
        <f t="shared" si="55"/>
        <v>109800</v>
      </c>
      <c r="P37" s="84">
        <f t="shared" si="55"/>
        <v>111200</v>
      </c>
      <c r="Q37" s="84">
        <f t="shared" si="55"/>
        <v>112600</v>
      </c>
      <c r="R37" s="84">
        <f t="shared" si="55"/>
        <v>114000</v>
      </c>
      <c r="S37" s="84">
        <f t="shared" si="55"/>
        <v>113400</v>
      </c>
      <c r="T37" s="84">
        <f t="shared" si="55"/>
        <v>112800</v>
      </c>
      <c r="U37" s="84">
        <f t="shared" si="55"/>
        <v>112200</v>
      </c>
      <c r="V37" s="84">
        <f t="shared" si="55"/>
        <v>111600</v>
      </c>
      <c r="W37" s="84">
        <f t="shared" si="55"/>
        <v>111000</v>
      </c>
      <c r="X37" s="84">
        <f t="shared" si="55"/>
        <v>109200</v>
      </c>
      <c r="Y37" s="84">
        <f t="shared" si="55"/>
        <v>107400</v>
      </c>
      <c r="Z37" s="84">
        <f t="shared" si="55"/>
        <v>105600</v>
      </c>
      <c r="AA37" s="84">
        <f t="shared" si="55"/>
        <v>103800</v>
      </c>
      <c r="AB37" s="84">
        <f t="shared" si="55"/>
        <v>102000</v>
      </c>
      <c r="AC37" s="84">
        <f t="shared" si="55"/>
        <v>99600</v>
      </c>
      <c r="AD37" s="84">
        <f t="shared" si="55"/>
        <v>97200</v>
      </c>
      <c r="AE37" s="84">
        <f t="shared" si="55"/>
        <v>94800</v>
      </c>
      <c r="AF37" s="84">
        <f t="shared" si="55"/>
        <v>92400</v>
      </c>
      <c r="AG37" s="84">
        <f t="shared" si="55"/>
        <v>90000</v>
      </c>
      <c r="AH37" s="84">
        <f t="shared" si="55"/>
        <v>88000</v>
      </c>
      <c r="AI37" s="84">
        <f t="shared" si="55"/>
        <v>86000</v>
      </c>
      <c r="AJ37" s="84">
        <f t="shared" si="55"/>
        <v>84000</v>
      </c>
      <c r="AK37" s="84">
        <f t="shared" si="55"/>
        <v>82000</v>
      </c>
      <c r="AL37" s="84">
        <f t="shared" si="55"/>
        <v>80000</v>
      </c>
      <c r="AM37" s="84">
        <f t="shared" si="55"/>
        <v>77800</v>
      </c>
      <c r="AN37" s="84">
        <f t="shared" si="55"/>
        <v>75600</v>
      </c>
      <c r="AO37" s="84">
        <f t="shared" si="55"/>
        <v>73400</v>
      </c>
      <c r="AP37" s="84">
        <f t="shared" si="55"/>
        <v>71200</v>
      </c>
      <c r="AQ37" s="84">
        <f t="shared" si="55"/>
        <v>69000</v>
      </c>
      <c r="AR37" s="84">
        <f t="shared" si="55"/>
        <v>67200</v>
      </c>
      <c r="AS37" s="84">
        <f t="shared" si="55"/>
        <v>65400</v>
      </c>
      <c r="AT37" s="84">
        <f t="shared" si="55"/>
        <v>63600</v>
      </c>
      <c r="AU37" s="84">
        <f t="shared" si="55"/>
        <v>61800</v>
      </c>
      <c r="AV37" s="85">
        <f t="shared" si="55"/>
        <v>60000</v>
      </c>
    </row>
    <row r="38" spans="1:48" x14ac:dyDescent="0.2">
      <c r="A38" s="66" t="s">
        <v>92</v>
      </c>
      <c r="B38" s="67" t="s">
        <v>84</v>
      </c>
      <c r="C38" s="68" t="s">
        <v>93</v>
      </c>
      <c r="D38" s="64" t="s">
        <v>79</v>
      </c>
      <c r="E38" s="65" t="s">
        <v>88</v>
      </c>
      <c r="F38" s="78">
        <v>3683.1</v>
      </c>
      <c r="G38" s="79">
        <v>3512.96</v>
      </c>
      <c r="H38" s="79">
        <f>E19</f>
        <v>3708.04</v>
      </c>
      <c r="I38" s="79">
        <f t="shared" si="55"/>
        <v>3850.32</v>
      </c>
      <c r="J38" s="79">
        <f t="shared" si="55"/>
        <v>4014.43</v>
      </c>
      <c r="K38" s="79">
        <f t="shared" si="55"/>
        <v>4159.62</v>
      </c>
      <c r="L38" s="79">
        <f t="shared" si="55"/>
        <v>4304.8099999999995</v>
      </c>
      <c r="M38" s="79">
        <f t="shared" si="55"/>
        <v>4450</v>
      </c>
      <c r="N38" s="79">
        <f t="shared" si="55"/>
        <v>4516</v>
      </c>
      <c r="O38" s="79">
        <f t="shared" si="55"/>
        <v>4582</v>
      </c>
      <c r="P38" s="79">
        <f t="shared" si="55"/>
        <v>4648</v>
      </c>
      <c r="Q38" s="79">
        <f t="shared" si="55"/>
        <v>4714</v>
      </c>
      <c r="R38" s="79">
        <f t="shared" si="55"/>
        <v>4780</v>
      </c>
      <c r="S38" s="79">
        <f t="shared" si="55"/>
        <v>4794</v>
      </c>
      <c r="T38" s="79">
        <f t="shared" si="55"/>
        <v>4808</v>
      </c>
      <c r="U38" s="79">
        <f t="shared" si="55"/>
        <v>4822</v>
      </c>
      <c r="V38" s="79">
        <f t="shared" si="55"/>
        <v>4836</v>
      </c>
      <c r="W38" s="79">
        <f t="shared" si="55"/>
        <v>4850</v>
      </c>
      <c r="X38" s="79">
        <f t="shared" si="55"/>
        <v>4830</v>
      </c>
      <c r="Y38" s="79">
        <f t="shared" si="55"/>
        <v>4810</v>
      </c>
      <c r="Z38" s="79">
        <f t="shared" si="55"/>
        <v>4790</v>
      </c>
      <c r="AA38" s="79">
        <f t="shared" si="55"/>
        <v>4770</v>
      </c>
      <c r="AB38" s="79">
        <f t="shared" si="55"/>
        <v>4750</v>
      </c>
      <c r="AC38" s="79">
        <f t="shared" si="55"/>
        <v>4710</v>
      </c>
      <c r="AD38" s="79">
        <f t="shared" si="55"/>
        <v>4670</v>
      </c>
      <c r="AE38" s="79">
        <f t="shared" si="55"/>
        <v>4630</v>
      </c>
      <c r="AF38" s="79">
        <f t="shared" si="55"/>
        <v>4590</v>
      </c>
      <c r="AG38" s="79">
        <f t="shared" si="55"/>
        <v>4550</v>
      </c>
      <c r="AH38" s="79">
        <f t="shared" si="55"/>
        <v>4480</v>
      </c>
      <c r="AI38" s="79">
        <f t="shared" si="55"/>
        <v>4410</v>
      </c>
      <c r="AJ38" s="79">
        <f t="shared" si="55"/>
        <v>4340</v>
      </c>
      <c r="AK38" s="79">
        <f t="shared" si="55"/>
        <v>4270</v>
      </c>
      <c r="AL38" s="79">
        <f t="shared" si="55"/>
        <v>4200</v>
      </c>
      <c r="AM38" s="79">
        <f t="shared" si="55"/>
        <v>4130</v>
      </c>
      <c r="AN38" s="79">
        <f t="shared" si="55"/>
        <v>4060</v>
      </c>
      <c r="AO38" s="79">
        <f t="shared" si="55"/>
        <v>3990</v>
      </c>
      <c r="AP38" s="79">
        <f t="shared" si="55"/>
        <v>3920</v>
      </c>
      <c r="AQ38" s="79">
        <f t="shared" si="55"/>
        <v>3850</v>
      </c>
      <c r="AR38" s="79">
        <f t="shared" si="55"/>
        <v>3800</v>
      </c>
      <c r="AS38" s="79">
        <f t="shared" si="55"/>
        <v>3750</v>
      </c>
      <c r="AT38" s="79">
        <f t="shared" si="55"/>
        <v>3700</v>
      </c>
      <c r="AU38" s="79">
        <f t="shared" si="55"/>
        <v>3650</v>
      </c>
      <c r="AV38" s="86">
        <f t="shared" si="55"/>
        <v>3600</v>
      </c>
    </row>
    <row r="39" spans="1:48" x14ac:dyDescent="0.2">
      <c r="A39" s="66" t="s">
        <v>94</v>
      </c>
      <c r="B39" s="67" t="s">
        <v>84</v>
      </c>
      <c r="C39" s="70" t="s">
        <v>95</v>
      </c>
      <c r="D39" s="64" t="s">
        <v>96</v>
      </c>
      <c r="E39" s="71" t="s">
        <v>62</v>
      </c>
      <c r="F39" s="78">
        <v>68449</v>
      </c>
      <c r="G39" s="79">
        <v>72255</v>
      </c>
      <c r="H39" s="79">
        <v>75110</v>
      </c>
      <c r="I39" s="79">
        <v>83128</v>
      </c>
      <c r="J39" s="79">
        <v>86372</v>
      </c>
      <c r="K39" s="79">
        <v>92908</v>
      </c>
      <c r="L39" s="79">
        <v>98236</v>
      </c>
      <c r="M39" s="79">
        <v>103441</v>
      </c>
      <c r="N39" s="79">
        <v>108529</v>
      </c>
      <c r="O39" s="79">
        <v>113482</v>
      </c>
      <c r="P39" s="79">
        <v>118298</v>
      </c>
      <c r="Q39" s="79">
        <v>122964</v>
      </c>
      <c r="R39" s="79">
        <v>127474</v>
      </c>
      <c r="S39" s="79">
        <v>131817</v>
      </c>
      <c r="T39" s="79">
        <v>135982</v>
      </c>
      <c r="U39" s="79">
        <v>139961</v>
      </c>
      <c r="V39" s="79">
        <v>143743</v>
      </c>
      <c r="W39" s="79">
        <v>147316</v>
      </c>
      <c r="X39" s="79">
        <v>150667</v>
      </c>
      <c r="Y39" s="79">
        <v>153788</v>
      </c>
      <c r="Z39" s="79">
        <v>156673</v>
      </c>
      <c r="AA39" s="79">
        <v>159316</v>
      </c>
      <c r="AB39" s="79">
        <v>161710</v>
      </c>
      <c r="AC39" s="79">
        <v>163854</v>
      </c>
      <c r="AD39" s="79">
        <v>165743</v>
      </c>
      <c r="AE39" s="79">
        <v>167375</v>
      </c>
      <c r="AF39" s="79">
        <v>168754</v>
      </c>
      <c r="AG39" s="79">
        <v>169877</v>
      </c>
      <c r="AH39" s="79">
        <v>170749</v>
      </c>
      <c r="AI39" s="79">
        <v>171374</v>
      </c>
      <c r="AJ39" s="79">
        <v>171758</v>
      </c>
      <c r="AK39" s="79">
        <v>171907</v>
      </c>
      <c r="AL39" s="79">
        <v>171827</v>
      </c>
      <c r="AM39" s="79">
        <v>171527</v>
      </c>
      <c r="AN39" s="79">
        <v>171015</v>
      </c>
      <c r="AO39" s="79">
        <v>170299</v>
      </c>
      <c r="AP39" s="79">
        <v>169391</v>
      </c>
      <c r="AQ39" s="79">
        <v>168299</v>
      </c>
      <c r="AR39" s="79">
        <v>167033</v>
      </c>
      <c r="AS39" s="79">
        <v>165602</v>
      </c>
      <c r="AT39" s="79">
        <v>164017</v>
      </c>
      <c r="AU39" s="79">
        <v>162290</v>
      </c>
      <c r="AV39" s="86">
        <v>160429</v>
      </c>
    </row>
    <row r="40" spans="1:48" x14ac:dyDescent="0.2">
      <c r="A40" s="72" t="s">
        <v>97</v>
      </c>
      <c r="B40" s="73" t="s">
        <v>98</v>
      </c>
      <c r="C40" s="74" t="s">
        <v>60</v>
      </c>
      <c r="D40" s="75" t="s">
        <v>61</v>
      </c>
      <c r="E40" s="76" t="s">
        <v>62</v>
      </c>
      <c r="F40" s="87">
        <v>13.953799999999999</v>
      </c>
      <c r="G40" s="88">
        <v>14.007930999999999</v>
      </c>
      <c r="H40" s="88">
        <v>14.131351629999999</v>
      </c>
      <c r="I40" s="88">
        <v>14.16016011</v>
      </c>
      <c r="J40" s="88">
        <v>14.188968259999999</v>
      </c>
      <c r="K40" s="88">
        <v>14.21777659</v>
      </c>
      <c r="L40" s="88">
        <v>14.246584739999999</v>
      </c>
      <c r="M40" s="88">
        <v>14.27539322</v>
      </c>
      <c r="N40" s="88">
        <v>14.27109347</v>
      </c>
      <c r="O40" s="88">
        <v>14.2667936</v>
      </c>
      <c r="P40" s="88">
        <v>14.26249434</v>
      </c>
      <c r="Q40" s="88">
        <v>14.258194469999999</v>
      </c>
      <c r="R40" s="88">
        <v>14.25389472</v>
      </c>
      <c r="S40" s="88">
        <v>14.234383210000001</v>
      </c>
      <c r="T40" s="88">
        <v>14.21487207</v>
      </c>
      <c r="U40" s="88">
        <v>14.19536108</v>
      </c>
      <c r="V40" s="88">
        <v>14.175849940000001</v>
      </c>
      <c r="W40" s="88">
        <v>14.15633843</v>
      </c>
      <c r="X40" s="88">
        <v>14.120965379999999</v>
      </c>
      <c r="Y40" s="88">
        <v>14.08559209</v>
      </c>
      <c r="Z40" s="88">
        <v>14.050218709999999</v>
      </c>
      <c r="AA40" s="88">
        <v>14.01484542</v>
      </c>
      <c r="AB40" s="88">
        <v>13.97947237</v>
      </c>
      <c r="AC40" s="88">
        <v>13.93101401</v>
      </c>
      <c r="AD40" s="88">
        <v>13.882555740000001</v>
      </c>
      <c r="AE40" s="88">
        <v>13.83409724</v>
      </c>
      <c r="AF40" s="88">
        <v>13.785638970000001</v>
      </c>
      <c r="AG40" s="88">
        <v>13.737180609999999</v>
      </c>
      <c r="AH40" s="88">
        <v>13.66731802</v>
      </c>
      <c r="AI40" s="88">
        <v>13.597455719999999</v>
      </c>
      <c r="AJ40" s="88">
        <v>13.52759292</v>
      </c>
      <c r="AK40" s="88">
        <v>13.45773062</v>
      </c>
      <c r="AL40" s="88">
        <v>13.38786803</v>
      </c>
      <c r="AM40" s="88">
        <v>13.29363728</v>
      </c>
      <c r="AN40" s="88">
        <v>13.19940598</v>
      </c>
      <c r="AO40" s="88">
        <v>13.105175389999999</v>
      </c>
      <c r="AP40" s="88">
        <v>13.010944090000001</v>
      </c>
      <c r="AQ40" s="88">
        <v>12.916713339999999</v>
      </c>
      <c r="AR40" s="88">
        <v>12.803761980000001</v>
      </c>
      <c r="AS40" s="88">
        <v>12.690810539999999</v>
      </c>
      <c r="AT40" s="88">
        <v>12.577859249999999</v>
      </c>
      <c r="AU40" s="88">
        <v>12.46490781</v>
      </c>
      <c r="AV40" s="89">
        <v>12.351956449999999</v>
      </c>
    </row>
  </sheetData>
  <phoneticPr fontId="3" type="noConversion"/>
  <hyperlinks>
    <hyperlink ref="D8" r:id="rId1" display="https://www.sohu.com/a/716515038_121388092" xr:uid="{05814994-DCB2-4B62-9387-3E63C3A86E65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高情景</vt:lpstr>
      <vt:lpstr>中情景</vt:lpstr>
      <vt:lpstr>低情景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cjwdl</dc:creator>
  <cp:lastModifiedBy>cjwdllj@163.com</cp:lastModifiedBy>
  <dcterms:created xsi:type="dcterms:W3CDTF">2015-06-05T18:19:34Z</dcterms:created>
  <dcterms:modified xsi:type="dcterms:W3CDTF">2024-08-22T12:47:06Z</dcterms:modified>
</cp:coreProperties>
</file>