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"/>
    </mc:Choice>
  </mc:AlternateContent>
  <xr:revisionPtr revIDLastSave="0" documentId="13_ncr:1_{CE45A662-B0AC-4EEC-8254-5BCF556D89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结果比较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C7" i="2"/>
  <c r="C8" i="2"/>
  <c r="C6" i="2"/>
  <c r="Q6" i="1"/>
  <c r="P6" i="1"/>
  <c r="O6" i="1"/>
  <c r="N6" i="1"/>
  <c r="M6" i="1"/>
  <c r="L6" i="1"/>
  <c r="Q5" i="1"/>
  <c r="P5" i="1"/>
  <c r="O5" i="1"/>
  <c r="N5" i="1"/>
  <c r="M5" i="1"/>
  <c r="L5" i="1"/>
  <c r="Q4" i="1" l="1"/>
  <c r="P4" i="1"/>
  <c r="O4" i="1"/>
  <c r="N4" i="1"/>
  <c r="M4" i="1"/>
  <c r="L4" i="1"/>
</calcChain>
</file>

<file path=xl/sharedStrings.xml><?xml version="1.0" encoding="utf-8"?>
<sst xmlns="http://schemas.openxmlformats.org/spreadsheetml/2006/main" count="103" uniqueCount="97">
  <si>
    <r>
      <rPr>
        <b/>
        <sz val="11"/>
        <color theme="1"/>
        <rFont val="宋体"/>
        <family val="3"/>
        <charset val="134"/>
      </rPr>
      <t>情景设定及说明</t>
    </r>
    <phoneticPr fontId="1" type="noConversion"/>
  </si>
  <si>
    <r>
      <rPr>
        <sz val="11"/>
        <color theme="1"/>
        <rFont val="宋体"/>
        <family val="3"/>
        <charset val="134"/>
      </rPr>
      <t>经济发展假设</t>
    </r>
    <phoneticPr fontId="1" type="noConversion"/>
  </si>
  <si>
    <r>
      <rPr>
        <sz val="11"/>
        <color theme="1"/>
        <rFont val="宋体"/>
        <family val="3"/>
        <charset val="134"/>
      </rPr>
      <t>十四五</t>
    </r>
    <phoneticPr fontId="1" type="noConversion"/>
  </si>
  <si>
    <r>
      <rPr>
        <sz val="11"/>
        <color theme="1"/>
        <rFont val="宋体"/>
        <family val="3"/>
        <charset val="134"/>
      </rPr>
      <t>十五五</t>
    </r>
    <phoneticPr fontId="1" type="noConversion"/>
  </si>
  <si>
    <r>
      <rPr>
        <sz val="11"/>
        <color theme="1"/>
        <rFont val="宋体"/>
        <family val="3"/>
        <charset val="134"/>
      </rPr>
      <t>十六五</t>
    </r>
    <phoneticPr fontId="1" type="noConversion"/>
  </si>
  <si>
    <r>
      <rPr>
        <sz val="11"/>
        <color theme="1"/>
        <rFont val="宋体"/>
        <family val="3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</si>
  <si>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</si>
  <si>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低情景</t>
    </r>
    <phoneticPr fontId="1" type="noConversion"/>
  </si>
  <si>
    <r>
      <t>2035</t>
    </r>
    <r>
      <rPr>
        <sz val="11"/>
        <color theme="1"/>
        <rFont val="宋体"/>
        <family val="1"/>
        <charset val="134"/>
      </rPr>
      <t>年</t>
    </r>
    <r>
      <rPr>
        <sz val="11"/>
        <color theme="1"/>
        <rFont val="Times New Roman"/>
        <family val="1"/>
      </rPr>
      <t>GDP</t>
    </r>
    <phoneticPr fontId="1" type="noConversion"/>
  </si>
  <si>
    <r>
      <t>2035</t>
    </r>
    <r>
      <rPr>
        <sz val="11"/>
        <color theme="1"/>
        <rFont val="宋体"/>
        <family val="1"/>
        <charset val="134"/>
      </rPr>
      <t>年</t>
    </r>
    <r>
      <rPr>
        <sz val="11"/>
        <color theme="1"/>
        <rFont val="Times New Roman"/>
        <family val="1"/>
      </rPr>
      <t>GDP</t>
    </r>
    <r>
      <rPr>
        <sz val="11"/>
        <color theme="1"/>
        <rFont val="宋体"/>
        <family val="1"/>
        <charset val="134"/>
      </rPr>
      <t xml:space="preserve">增长
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相较于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1"/>
        <charset val="134"/>
      </rPr>
      <t>年</t>
    </r>
    <r>
      <rPr>
        <sz val="11"/>
        <color theme="1"/>
        <rFont val="Times New Roman"/>
        <family val="1"/>
      </rPr>
      <t>)</t>
    </r>
    <phoneticPr fontId="1" type="noConversion"/>
  </si>
  <si>
    <t>经济发展目标</t>
    <phoneticPr fontId="1" type="noConversion"/>
  </si>
  <si>
    <t>工业</t>
    <phoneticPr fontId="1" type="noConversion"/>
  </si>
  <si>
    <t>第三产业</t>
    <phoneticPr fontId="1" type="noConversion"/>
  </si>
  <si>
    <t>三次产业</t>
    <phoneticPr fontId="1" type="noConversion"/>
  </si>
  <si>
    <t>大类部门</t>
    <phoneticPr fontId="1" type="noConversion"/>
  </si>
  <si>
    <t>第一产业</t>
    <phoneticPr fontId="1" type="noConversion"/>
  </si>
  <si>
    <t>农业</t>
    <phoneticPr fontId="1" type="noConversion"/>
  </si>
  <si>
    <t>农、林、牧、渔业</t>
    <phoneticPr fontId="1" type="noConversion"/>
  </si>
  <si>
    <t>第二产业</t>
    <phoneticPr fontId="1" type="noConversion"/>
  </si>
  <si>
    <t>煤炭开采和洗选业</t>
    <phoneticPr fontId="1" type="noConversion"/>
  </si>
  <si>
    <t>石油和天然气开采业</t>
    <phoneticPr fontId="1" type="noConversion"/>
  </si>
  <si>
    <t>电力、热力的生产和供应业</t>
    <phoneticPr fontId="1" type="noConversion"/>
  </si>
  <si>
    <t>燃气生产和供应业</t>
    <phoneticPr fontId="1" type="noConversion"/>
  </si>
  <si>
    <t>水的生产和供应业</t>
    <phoneticPr fontId="1" type="noConversion"/>
  </si>
  <si>
    <t>传统高载能产业</t>
    <phoneticPr fontId="1" type="noConversion"/>
  </si>
  <si>
    <t>造纸和纸制品业</t>
    <phoneticPr fontId="1" type="noConversion"/>
  </si>
  <si>
    <t>石油、煤炭及其他燃料加工业</t>
    <phoneticPr fontId="1" type="noConversion"/>
  </si>
  <si>
    <t>化学原料和化学制品制造业</t>
    <phoneticPr fontId="1" type="noConversion"/>
  </si>
  <si>
    <t>非金属矿物制品业</t>
    <phoneticPr fontId="1" type="noConversion"/>
  </si>
  <si>
    <t>黑色金属冶炼和压延加工业</t>
    <phoneticPr fontId="1" type="noConversion"/>
  </si>
  <si>
    <t>有色金属冶炼和压延加工业</t>
    <phoneticPr fontId="1" type="noConversion"/>
  </si>
  <si>
    <t>纺织业</t>
    <phoneticPr fontId="1" type="noConversion"/>
  </si>
  <si>
    <t>纺织服装、服饰业</t>
    <phoneticPr fontId="1" type="noConversion"/>
  </si>
  <si>
    <t>能源产业</t>
    <phoneticPr fontId="1" type="noConversion"/>
  </si>
  <si>
    <t>装备制造</t>
    <phoneticPr fontId="1" type="noConversion"/>
  </si>
  <si>
    <t>轻工业</t>
    <phoneticPr fontId="1" type="noConversion"/>
  </si>
  <si>
    <t>农副食品加工业</t>
    <phoneticPr fontId="1" type="noConversion"/>
  </si>
  <si>
    <t>食品制造业</t>
    <phoneticPr fontId="1" type="noConversion"/>
  </si>
  <si>
    <t>酒、饮料和精制茶制造业</t>
    <phoneticPr fontId="1" type="noConversion"/>
  </si>
  <si>
    <t>烟草制品业</t>
    <phoneticPr fontId="1" type="noConversion"/>
  </si>
  <si>
    <t>皮革、毛皮、羽毛及其制品和制鞋业</t>
    <phoneticPr fontId="1" type="noConversion"/>
  </si>
  <si>
    <t>木材加工和木、竹、藤、棕、草制品业</t>
    <phoneticPr fontId="1" type="noConversion"/>
  </si>
  <si>
    <t>家具制造业</t>
    <phoneticPr fontId="1" type="noConversion"/>
  </si>
  <si>
    <t>印刷和记录媒介复制业</t>
    <phoneticPr fontId="1" type="noConversion"/>
  </si>
  <si>
    <t>文教、工美、体育和娱乐用品制造业</t>
    <phoneticPr fontId="1" type="noConversion"/>
  </si>
  <si>
    <t>金属制品业</t>
    <phoneticPr fontId="1" type="noConversion"/>
  </si>
  <si>
    <t>通用设备制造业</t>
    <phoneticPr fontId="1" type="noConversion"/>
  </si>
  <si>
    <t>专用设备制造业</t>
    <phoneticPr fontId="1" type="noConversion"/>
  </si>
  <si>
    <t>汽车制造业</t>
    <phoneticPr fontId="1" type="noConversion"/>
  </si>
  <si>
    <t>铁路、船舶、航空航天和其他运输设备制造业</t>
    <phoneticPr fontId="1" type="noConversion"/>
  </si>
  <si>
    <t>电气机械和器材制造业</t>
    <phoneticPr fontId="1" type="noConversion"/>
  </si>
  <si>
    <t>行业</t>
    <phoneticPr fontId="1" type="noConversion"/>
  </si>
  <si>
    <t>计算机、通信和其他电子设备制造业</t>
    <phoneticPr fontId="1" type="noConversion"/>
  </si>
  <si>
    <t>仪器仪表制造业</t>
  </si>
  <si>
    <t>化学纤维制造业</t>
    <phoneticPr fontId="1" type="noConversion"/>
  </si>
  <si>
    <t>医药制造业</t>
    <phoneticPr fontId="1" type="noConversion"/>
  </si>
  <si>
    <t>高技术产业</t>
    <phoneticPr fontId="1" type="noConversion"/>
  </si>
  <si>
    <t>其他行业</t>
    <phoneticPr fontId="1" type="noConversion"/>
  </si>
  <si>
    <t>黑色金属采矿业</t>
    <phoneticPr fontId="1" type="noConversion"/>
  </si>
  <si>
    <t>有色金属采矿业</t>
    <phoneticPr fontId="1" type="noConversion"/>
  </si>
  <si>
    <t>非金属采矿业</t>
    <phoneticPr fontId="1" type="noConversion"/>
  </si>
  <si>
    <t>开采专业及辅助性活动</t>
    <phoneticPr fontId="1" type="noConversion"/>
  </si>
  <si>
    <t>其他采矿业</t>
    <phoneticPr fontId="1" type="noConversion"/>
  </si>
  <si>
    <t>橡胶和塑料制品业</t>
    <phoneticPr fontId="1" type="noConversion"/>
  </si>
  <si>
    <t>其他制造业</t>
    <phoneticPr fontId="1" type="noConversion"/>
  </si>
  <si>
    <t>废弃资源综合利用业</t>
    <phoneticPr fontId="1" type="noConversion"/>
  </si>
  <si>
    <t>金属制品、机械和设备修理业</t>
    <phoneticPr fontId="1" type="noConversion"/>
  </si>
  <si>
    <t>传统服务业</t>
    <phoneticPr fontId="1" type="noConversion"/>
  </si>
  <si>
    <t>现代服务业</t>
    <phoneticPr fontId="1" type="noConversion"/>
  </si>
  <si>
    <t>信息传输、软件和信息技术服务</t>
    <phoneticPr fontId="1" type="noConversion"/>
  </si>
  <si>
    <t>科学研究和技术服务</t>
    <phoneticPr fontId="1" type="noConversion"/>
  </si>
  <si>
    <t>金融业</t>
    <phoneticPr fontId="1" type="noConversion"/>
  </si>
  <si>
    <t>交运仓邮</t>
    <phoneticPr fontId="1" type="noConversion"/>
  </si>
  <si>
    <t>租赁和商务服务业</t>
    <phoneticPr fontId="1" type="noConversion"/>
  </si>
  <si>
    <t>批发零售</t>
    <phoneticPr fontId="1" type="noConversion"/>
  </si>
  <si>
    <t>餐饮住宿</t>
    <phoneticPr fontId="1" type="noConversion"/>
  </si>
  <si>
    <t>居民服务、修理和其他服务</t>
    <phoneticPr fontId="1" type="noConversion"/>
  </si>
  <si>
    <t>水利、环境和公共设施管理</t>
    <phoneticPr fontId="1" type="noConversion"/>
  </si>
  <si>
    <t>教育</t>
    <phoneticPr fontId="1" type="noConversion"/>
  </si>
  <si>
    <t>卫生和社会工作</t>
    <phoneticPr fontId="1" type="noConversion"/>
  </si>
  <si>
    <t>文化、体育和娱乐</t>
    <phoneticPr fontId="1" type="noConversion"/>
  </si>
  <si>
    <t>公共管理、社会保障和社会组织</t>
    <phoneticPr fontId="1" type="noConversion"/>
  </si>
  <si>
    <t>传统高载能行业、能源产业短期仍增长，进入较长平台期</t>
    <phoneticPr fontId="1" type="noConversion"/>
  </si>
  <si>
    <t>传统服务业仍有增长</t>
    <phoneticPr fontId="1" type="noConversion"/>
  </si>
  <si>
    <t>装备制造、高技术产业快速增长</t>
    <phoneticPr fontId="1" type="noConversion"/>
  </si>
  <si>
    <t>产业结构调整假设</t>
    <phoneticPr fontId="1" type="noConversion"/>
  </si>
  <si>
    <t>现代服务业快速增长</t>
    <phoneticPr fontId="1" type="noConversion"/>
  </si>
  <si>
    <t>折中情景</t>
    <phoneticPr fontId="1" type="noConversion"/>
  </si>
  <si>
    <r>
      <t>42</t>
    </r>
    <r>
      <rPr>
        <b/>
        <sz val="11"/>
        <color theme="1"/>
        <rFont val="宋体"/>
        <family val="1"/>
        <charset val="134"/>
      </rPr>
      <t>国民经济行业对应关系</t>
    </r>
    <phoneticPr fontId="1" type="noConversion"/>
  </si>
  <si>
    <t>情景比较</t>
    <phoneticPr fontId="1" type="noConversion"/>
  </si>
  <si>
    <t>高情景</t>
    <phoneticPr fontId="1" type="noConversion"/>
  </si>
  <si>
    <t>低情景</t>
    <phoneticPr fontId="1" type="noConversion"/>
  </si>
  <si>
    <t>中情景</t>
    <phoneticPr fontId="1" type="noConversion"/>
  </si>
  <si>
    <r>
      <t>GDP(</t>
    </r>
    <r>
      <rPr>
        <sz val="11"/>
        <color theme="1"/>
        <rFont val="宋体"/>
        <family val="1"/>
        <charset val="134"/>
      </rPr>
      <t>亿元，2020年不变价）</t>
    </r>
    <phoneticPr fontId="1" type="noConversion"/>
  </si>
  <si>
    <t>高情景年均增速</t>
    <phoneticPr fontId="1" type="noConversion"/>
  </si>
  <si>
    <t>中情景年均增速</t>
    <phoneticPr fontId="1" type="noConversion"/>
  </si>
  <si>
    <t>低情景年均增速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</si>
</sst>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等线"/>
      <family val="2"/>
      <scheme val="minor"/>
    </font>
    <font>
      <b/>
      <sz val="11"/>
      <color theme="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5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176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0" fillId="0" borderId="2" xfId="0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/>
    </xf>
    <xf numFmtId="0" fontId="5" fillId="3" borderId="0" xfId="0" applyFont="1" applyFill="1"/>
    <xf numFmtId="0" fontId="4" fillId="3" borderId="0" xfId="0" applyFont="1" applyFill="1"/>
    <xf numFmtId="0" fontId="3" fillId="3" borderId="0" xfId="0" applyFont="1" applyFill="1"/>
    <xf numFmtId="1" fontId="5" fillId="0" borderId="1" xfId="0" applyNumberFormat="1" applyFont="1" applyBorder="1"/>
    <xf numFmtId="0" fontId="0" fillId="0" borderId="1" xfId="0" applyBorder="1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en-US" altLang="zh-CN" sz="1200" b="1">
                <a:latin typeface="宋体" panose="02010600030101010101" pitchFamily="2" charset="-122"/>
                <a:ea typeface="宋体" panose="02010600030101010101" pitchFamily="2" charset="-122"/>
              </a:rPr>
              <a:t>GDP</a:t>
            </a:r>
            <a:r>
              <a:rPr lang="zh-CN" altLang="en-US" sz="1200" b="1">
                <a:latin typeface="宋体" panose="02010600030101010101" pitchFamily="2" charset="-122"/>
                <a:ea typeface="宋体" panose="02010600030101010101" pitchFamily="2" charset="-122"/>
              </a:rPr>
              <a:t>（亿元，</a:t>
            </a:r>
            <a:r>
              <a:rPr lang="en-US" altLang="zh-CN" sz="1200" b="1">
                <a:latin typeface="宋体" panose="02010600030101010101" pitchFamily="2" charset="-122"/>
                <a:ea typeface="宋体" panose="02010600030101010101" pitchFamily="2" charset="-122"/>
              </a:rPr>
              <a:t>2020</a:t>
            </a:r>
            <a:r>
              <a:rPr lang="zh-CN" altLang="en-US" sz="1200" b="1">
                <a:latin typeface="宋体" panose="02010600030101010101" pitchFamily="2" charset="-122"/>
                <a:ea typeface="宋体" panose="02010600030101010101" pitchFamily="2" charset="-122"/>
              </a:rPr>
              <a:t>年不变价）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结果比较!$A$3</c:f>
              <c:strCache>
                <c:ptCount val="1"/>
                <c:pt idx="0">
                  <c:v>高情景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结果比较!$B$2:$Q$2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结果比较!$B$3:$Q$3</c:f>
              <c:numCache>
                <c:formatCode>General</c:formatCode>
                <c:ptCount val="16"/>
                <c:pt idx="0">
                  <c:v>1013567</c:v>
                </c:pt>
                <c:pt idx="1">
                  <c:v>1098706.628</c:v>
                </c:pt>
                <c:pt idx="2">
                  <c:v>1131667.8268400002</c:v>
                </c:pt>
                <c:pt idx="3">
                  <c:v>1194946.682123038</c:v>
                </c:pt>
                <c:pt idx="4">
                  <c:v>1258876.1374553761</c:v>
                </c:pt>
                <c:pt idx="5">
                  <c:v>1321308.0553953971</c:v>
                </c:pt>
                <c:pt idx="6">
                  <c:v>1390951.477014533</c:v>
                </c:pt>
                <c:pt idx="7">
                  <c:v>1458883.776336109</c:v>
                </c:pt>
                <c:pt idx="8">
                  <c:v>1527925.68473769</c:v>
                </c:pt>
                <c:pt idx="9">
                  <c:v>1597954.3081960401</c:v>
                </c:pt>
                <c:pt idx="10">
                  <c:v>1686361.1094838742</c:v>
                </c:pt>
                <c:pt idx="11">
                  <c:v>1740451.502755638</c:v>
                </c:pt>
                <c:pt idx="12">
                  <c:v>1812646.781462668</c:v>
                </c:pt>
                <c:pt idx="13">
                  <c:v>1885282.9702124549</c:v>
                </c:pt>
                <c:pt idx="14">
                  <c:v>1958212.0227333191</c:v>
                </c:pt>
                <c:pt idx="15">
                  <c:v>2012562.4019724375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3-41DF-86F4-042FA61196E3}"/>
            </c:ext>
          </c:extLst>
        </c:ser>
        <c:ser>
          <c:idx val="1"/>
          <c:order val="1"/>
          <c:tx>
            <c:strRef>
              <c:f>结果比较!$A$4</c:f>
              <c:strCache>
                <c:ptCount val="1"/>
                <c:pt idx="0">
                  <c:v>中情景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结果比较!$B$2:$Q$2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结果比较!$B$4:$Q$4</c:f>
              <c:numCache>
                <c:formatCode>General</c:formatCode>
                <c:ptCount val="16"/>
                <c:pt idx="0">
                  <c:v>1013567</c:v>
                </c:pt>
                <c:pt idx="1">
                  <c:v>1098706.628</c:v>
                </c:pt>
                <c:pt idx="2">
                  <c:v>1131667.8268400002</c:v>
                </c:pt>
                <c:pt idx="3">
                  <c:v>1195889.273885892</c:v>
                </c:pt>
                <c:pt idx="4">
                  <c:v>1260292.373240015</c:v>
                </c:pt>
                <c:pt idx="5">
                  <c:v>1325076.0418799622</c:v>
                </c:pt>
                <c:pt idx="6">
                  <c:v>1394585.79487069</c:v>
                </c:pt>
                <c:pt idx="7">
                  <c:v>1464289.886745634</c:v>
                </c:pt>
                <c:pt idx="8">
                  <c:v>1535553.6334731751</c:v>
                </c:pt>
                <c:pt idx="9">
                  <c:v>1608252.1847457001</c:v>
                </c:pt>
                <c:pt idx="10">
                  <c:v>1699238.6662424763</c:v>
                </c:pt>
                <c:pt idx="11">
                  <c:v>1757391.3077970131</c:v>
                </c:pt>
                <c:pt idx="12">
                  <c:v>1833519.8868326771</c:v>
                </c:pt>
                <c:pt idx="13">
                  <c:v>1910460.0303554209</c:v>
                </c:pt>
                <c:pt idx="14">
                  <c:v>1988026.8466750011</c:v>
                </c:pt>
                <c:pt idx="15">
                  <c:v>2047581.2757680682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3-41DF-86F4-042FA61196E3}"/>
            </c:ext>
          </c:extLst>
        </c:ser>
        <c:ser>
          <c:idx val="2"/>
          <c:order val="2"/>
          <c:tx>
            <c:strRef>
              <c:f>结果比较!$A$5</c:f>
              <c:strCache>
                <c:ptCount val="1"/>
                <c:pt idx="0">
                  <c:v>低情景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结果比较!$B$2:$Q$2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结果比较!$B$5:$Q$5</c:f>
              <c:numCache>
                <c:formatCode>General</c:formatCode>
                <c:ptCount val="16"/>
                <c:pt idx="0">
                  <c:v>1013567</c:v>
                </c:pt>
                <c:pt idx="1">
                  <c:v>1098706.628</c:v>
                </c:pt>
                <c:pt idx="2">
                  <c:v>1131667.8268400002</c:v>
                </c:pt>
                <c:pt idx="3">
                  <c:v>1195105.8112884599</c:v>
                </c:pt>
                <c:pt idx="4">
                  <c:v>1260628.9837821859</c:v>
                </c:pt>
                <c:pt idx="5">
                  <c:v>1325076.0418799622</c:v>
                </c:pt>
                <c:pt idx="6">
                  <c:v>1397994.9490674289</c:v>
                </c:pt>
                <c:pt idx="7">
                  <c:v>1469667.617725923</c:v>
                </c:pt>
                <c:pt idx="8">
                  <c:v>1543195.5711821071</c:v>
                </c:pt>
                <c:pt idx="9">
                  <c:v>1618456.791702548</c:v>
                </c:pt>
                <c:pt idx="10">
                  <c:v>1707337.9778973525</c:v>
                </c:pt>
                <c:pt idx="11">
                  <c:v>1773616.0286169399</c:v>
                </c:pt>
                <c:pt idx="12">
                  <c:v>1853195.4492017899</c:v>
                </c:pt>
                <c:pt idx="13">
                  <c:v>1933871.5409989911</c:v>
                </c:pt>
                <c:pt idx="14">
                  <c:v>2015449.5333713931</c:v>
                </c:pt>
                <c:pt idx="15">
                  <c:v>2087243.649633561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73-41DF-86F4-042FA6119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929696"/>
        <c:axId val="867914336"/>
      </c:lineChart>
      <c:catAx>
        <c:axId val="8679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914336"/>
        <c:crosses val="autoZero"/>
        <c:auto val="1"/>
        <c:lblAlgn val="ctr"/>
        <c:lblOffset val="100"/>
        <c:noMultiLvlLbl val="0"/>
      </c:catAx>
      <c:valAx>
        <c:axId val="867914336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92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14285</xdr:colOff>
      <xdr:row>11</xdr:row>
      <xdr:rowOff>9523</xdr:rowOff>
    </xdr:from>
    <xdr:to>
      <xdr:col>9</xdr:col>
      <xdr:colOff>123824</xdr:colOff>
      <xdr:row>30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B1C50FE-B98B-39A6-333D-6743011DC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PS%20in%20github\Github%20China\eps-china2022-smart-trans\Scenario%20Setting\High%20Scenario\&#39640;&#24773;&#26223;_&#20840;&#22269;2020-2060&#20998;&#34892;&#19994;&#22686;&#21152;&#20540;.xlsx" TargetMode="External"/><Relationship Id="rId1" Type="http://schemas.openxmlformats.org/officeDocument/2006/relationships/externalLinkPath" Target="High%20Scenario/&#39640;&#24773;&#26223;_&#20840;&#22269;2020-2060&#20998;&#34892;&#19994;&#22686;&#21152;&#2054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PS%20in%20github\Github%20China\eps-china2022-smart-trans\Scenario%20Setting\Medium%20Scenario\&#20013;&#24773;&#26223;_&#20840;&#22269;2020-2060&#20998;&#34892;&#19994;&#22686;&#21152;&#20540;.xlsx" TargetMode="External"/><Relationship Id="rId1" Type="http://schemas.openxmlformats.org/officeDocument/2006/relationships/externalLinkPath" Target="Medium%20Scenario/&#20013;&#24773;&#26223;_&#20840;&#22269;2020-2060&#20998;&#34892;&#19994;&#22686;&#21152;&#20540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PS%20in%20github\Github%20China\eps-china2022-smart-trans\Scenario%20Setting\Low%20Scenario\&#20302;&#24773;&#26223;_&#20840;&#22269;2020-2060&#20998;&#34892;&#19994;&#22686;&#21152;&#20540;.xlsx" TargetMode="External"/><Relationship Id="rId1" Type="http://schemas.openxmlformats.org/officeDocument/2006/relationships/externalLinkPath" Target="Low%20Scenario/&#20302;&#24773;&#26223;_&#20840;&#22269;2020-2060&#20998;&#34892;&#19994;&#22686;&#21152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增加值 (2001-2060, 2012USD)"/>
      <sheetName val="增加值 (2001-2060, 2020RMB)"/>
      <sheetName val="情景假设"/>
      <sheetName val="增加值 (2001-2022, 当年价) "/>
      <sheetName val="平滑数据导入"/>
      <sheetName val="统计资料"/>
    </sheetNames>
    <sheetDataSet>
      <sheetData sheetId="0"/>
      <sheetData sheetId="1">
        <row r="2">
          <cell r="U2">
            <v>1013567</v>
          </cell>
          <cell r="Z2">
            <v>1321308.0553953971</v>
          </cell>
          <cell r="AE2">
            <v>1686361.1094838742</v>
          </cell>
          <cell r="AJ2">
            <v>2012562.4019724375</v>
          </cell>
          <cell r="AY2">
            <v>3045412.1423118901</v>
          </cell>
          <cell r="BI2">
            <v>3467542.1593422336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增加值 (2001-2060, 2012USD)"/>
      <sheetName val="增加值 (2001-2060, 2020RMB)"/>
      <sheetName val="增加值 (2001-2022, 当年价) "/>
      <sheetName val="情景假设"/>
      <sheetName val="平滑数据导入"/>
      <sheetName val="统计资料"/>
    </sheetNames>
    <sheetDataSet>
      <sheetData sheetId="0"/>
      <sheetData sheetId="1">
        <row r="2">
          <cell r="U2">
            <v>1013567</v>
          </cell>
          <cell r="Z2">
            <v>1325076.0418799622</v>
          </cell>
          <cell r="AE2">
            <v>1699238.6662424763</v>
          </cell>
          <cell r="AJ2">
            <v>2047581.2757680682</v>
          </cell>
          <cell r="AY2">
            <v>3143922.0589858303</v>
          </cell>
          <cell r="BI2">
            <v>3527877.8891263264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增加值 (2001-2060, 2012USD)"/>
      <sheetName val="增加值 (2001-2060, 2020RMB)"/>
      <sheetName val="增加值 (2001-2022, 当年价) "/>
      <sheetName val="情景假设"/>
      <sheetName val="平滑数据导入"/>
      <sheetName val="统计资料"/>
    </sheetNames>
    <sheetDataSet>
      <sheetData sheetId="0"/>
      <sheetData sheetId="1">
        <row r="2">
          <cell r="U2">
            <v>1013567</v>
          </cell>
          <cell r="Z2">
            <v>1325076.0418799622</v>
          </cell>
          <cell r="AE2">
            <v>1707337.9778973525</v>
          </cell>
          <cell r="AJ2">
            <v>2087243.649633561</v>
          </cell>
          <cell r="AY2">
            <v>3251857.5966359503</v>
          </cell>
          <cell r="BI2">
            <v>3685224.8516569789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workbookViewId="0">
      <selection activeCell="K3" sqref="K3:K6"/>
    </sheetView>
  </sheetViews>
  <sheetFormatPr defaultRowHeight="15" x14ac:dyDescent="0.25"/>
  <cols>
    <col min="1" max="1" width="18.375" style="1" customWidth="1"/>
    <col min="2" max="2" width="15.75" style="1" customWidth="1"/>
    <col min="3" max="6" width="14.125" style="1" customWidth="1"/>
    <col min="7" max="7" width="26" style="1" customWidth="1"/>
    <col min="8" max="8" width="18.375" style="1" customWidth="1"/>
    <col min="9" max="16384" width="9" style="1"/>
  </cols>
  <sheetData>
    <row r="1" spans="1:17" x14ac:dyDescent="0.25">
      <c r="A1" s="22" t="s">
        <v>0</v>
      </c>
      <c r="B1" s="22"/>
      <c r="C1" s="22"/>
      <c r="D1" s="22"/>
      <c r="E1" s="22"/>
      <c r="F1" s="22"/>
      <c r="G1" s="22"/>
      <c r="H1" s="22"/>
      <c r="K1" s="25" t="s">
        <v>89</v>
      </c>
    </row>
    <row r="2" spans="1:17" x14ac:dyDescent="0.25">
      <c r="A2" s="2"/>
      <c r="B2" s="20" t="s">
        <v>1</v>
      </c>
      <c r="C2" s="20"/>
      <c r="D2" s="20"/>
      <c r="E2" s="21" t="s">
        <v>10</v>
      </c>
      <c r="F2" s="20"/>
      <c r="G2" s="18" t="s">
        <v>85</v>
      </c>
      <c r="H2" s="19"/>
      <c r="K2" s="1" t="s">
        <v>93</v>
      </c>
    </row>
    <row r="3" spans="1:17" ht="29.25" customHeight="1" x14ac:dyDescent="0.25">
      <c r="A3" s="2"/>
      <c r="B3" s="3" t="s">
        <v>2</v>
      </c>
      <c r="C3" s="3" t="s">
        <v>3</v>
      </c>
      <c r="D3" s="3" t="s">
        <v>4</v>
      </c>
      <c r="E3" s="3" t="s">
        <v>8</v>
      </c>
      <c r="F3" s="4" t="s">
        <v>9</v>
      </c>
      <c r="G3" s="9" t="s">
        <v>11</v>
      </c>
      <c r="H3" s="9" t="s">
        <v>12</v>
      </c>
      <c r="K3" s="5"/>
      <c r="L3" s="5">
        <v>2020</v>
      </c>
      <c r="M3" s="5">
        <v>2025</v>
      </c>
      <c r="N3" s="5">
        <v>2030</v>
      </c>
      <c r="O3" s="5">
        <v>2035</v>
      </c>
      <c r="P3" s="5">
        <v>2050</v>
      </c>
      <c r="Q3" s="5">
        <v>2060</v>
      </c>
    </row>
    <row r="4" spans="1:17" ht="28.5" x14ac:dyDescent="0.25">
      <c r="A4" s="5" t="s">
        <v>5</v>
      </c>
      <c r="B4" s="6">
        <v>5.2999999999999999E-2</v>
      </c>
      <c r="C4" s="6">
        <v>0.05</v>
      </c>
      <c r="D4" s="6">
        <v>3.5999999999999997E-2</v>
      </c>
      <c r="E4" s="5"/>
      <c r="F4" s="5"/>
      <c r="G4" s="12" t="s">
        <v>82</v>
      </c>
      <c r="H4" s="8" t="s">
        <v>83</v>
      </c>
      <c r="K4" s="8" t="s">
        <v>90</v>
      </c>
      <c r="L4" s="26">
        <f>'[1]增加值 (2001-2060, 2020RMB)'!$U$2</f>
        <v>1013567</v>
      </c>
      <c r="M4" s="26">
        <f>'[1]增加值 (2001-2060, 2020RMB)'!$Z$2</f>
        <v>1321308.0553953971</v>
      </c>
      <c r="N4" s="26">
        <f>'[1]增加值 (2001-2060, 2020RMB)'!$AE$2</f>
        <v>1686361.1094838742</v>
      </c>
      <c r="O4" s="26">
        <f>'[1]增加值 (2001-2060, 2020RMB)'!$AJ$2</f>
        <v>2012562.4019724375</v>
      </c>
      <c r="P4" s="26">
        <f>'[1]增加值 (2001-2060, 2020RMB)'!$AY$2</f>
        <v>3045412.1423118901</v>
      </c>
      <c r="Q4" s="26">
        <f>'[1]增加值 (2001-2060, 2020RMB)'!$BI$2</f>
        <v>3467542.1593422336</v>
      </c>
    </row>
    <row r="5" spans="1:17" x14ac:dyDescent="0.25">
      <c r="A5" s="5" t="s">
        <v>6</v>
      </c>
      <c r="B5" s="6">
        <v>5.3999999999999999E-2</v>
      </c>
      <c r="C5" s="6">
        <v>5.0999999999999997E-2</v>
      </c>
      <c r="D5" s="6">
        <v>3.7999999999999999E-2</v>
      </c>
      <c r="E5" s="5"/>
      <c r="F5" s="5"/>
      <c r="G5" s="8" t="s">
        <v>87</v>
      </c>
      <c r="H5" s="8" t="s">
        <v>87</v>
      </c>
      <c r="K5" s="8" t="s">
        <v>92</v>
      </c>
      <c r="L5" s="26">
        <f>'[2]增加值 (2001-2060, 2020RMB)'!$U$2</f>
        <v>1013567</v>
      </c>
      <c r="M5" s="26">
        <f>'[2]增加值 (2001-2060, 2020RMB)'!$Z$2</f>
        <v>1325076.0418799622</v>
      </c>
      <c r="N5" s="26">
        <f>'[2]增加值 (2001-2060, 2020RMB)'!$AE$2</f>
        <v>1699238.6662424763</v>
      </c>
      <c r="O5" s="26">
        <f>'[2]增加值 (2001-2060, 2020RMB)'!$AJ$2</f>
        <v>2047581.2757680682</v>
      </c>
      <c r="P5" s="26">
        <f>'[2]增加值 (2001-2060, 2020RMB)'!$AY$2</f>
        <v>3143922.0589858303</v>
      </c>
      <c r="Q5" s="26">
        <f>'[2]增加值 (2001-2060, 2020RMB)'!$BI$2</f>
        <v>3527877.8891263264</v>
      </c>
    </row>
    <row r="6" spans="1:17" ht="28.5" x14ac:dyDescent="0.25">
      <c r="A6" s="5" t="s">
        <v>7</v>
      </c>
      <c r="B6" s="6">
        <v>5.3999999999999999E-2</v>
      </c>
      <c r="C6" s="6">
        <v>5.1999999999999998E-2</v>
      </c>
      <c r="D6" s="6">
        <v>4.1000000000000002E-2</v>
      </c>
      <c r="E6" s="5"/>
      <c r="F6" s="5"/>
      <c r="G6" s="12" t="s">
        <v>84</v>
      </c>
      <c r="H6" s="8" t="s">
        <v>86</v>
      </c>
      <c r="K6" s="8" t="s">
        <v>91</v>
      </c>
      <c r="L6" s="26">
        <f>'[3]增加值 (2001-2060, 2020RMB)'!$U$2</f>
        <v>1013567</v>
      </c>
      <c r="M6" s="26">
        <f>'[3]增加值 (2001-2060, 2020RMB)'!$Z$2</f>
        <v>1325076.0418799622</v>
      </c>
      <c r="N6" s="26">
        <f>'[3]增加值 (2001-2060, 2020RMB)'!$AE$2</f>
        <v>1707337.9778973525</v>
      </c>
      <c r="O6" s="26">
        <f>'[3]增加值 (2001-2060, 2020RMB)'!$AJ$2</f>
        <v>2087243.649633561</v>
      </c>
      <c r="P6" s="26">
        <f>'[3]增加值 (2001-2060, 2020RMB)'!$AY$2</f>
        <v>3251857.5966359503</v>
      </c>
      <c r="Q6" s="26">
        <f>'[3]增加值 (2001-2060, 2020RMB)'!$BI$2</f>
        <v>3685224.8516569789</v>
      </c>
    </row>
    <row r="10" spans="1:17" x14ac:dyDescent="0.25">
      <c r="A10" s="24" t="s">
        <v>88</v>
      </c>
      <c r="B10" s="23"/>
      <c r="C10" s="23"/>
      <c r="D10" s="23"/>
      <c r="E10" s="23"/>
    </row>
    <row r="11" spans="1:17" x14ac:dyDescent="0.25">
      <c r="A11" s="7" t="s">
        <v>13</v>
      </c>
      <c r="B11" s="7" t="s">
        <v>14</v>
      </c>
      <c r="C11" s="18" t="s">
        <v>51</v>
      </c>
      <c r="D11" s="19"/>
      <c r="E11" s="19"/>
    </row>
    <row r="12" spans="1:17" x14ac:dyDescent="0.25">
      <c r="A12" s="8" t="s">
        <v>15</v>
      </c>
      <c r="B12" s="8" t="s">
        <v>16</v>
      </c>
      <c r="C12" s="13" t="s">
        <v>17</v>
      </c>
      <c r="D12" s="13"/>
      <c r="E12" s="13"/>
    </row>
    <row r="13" spans="1:17" x14ac:dyDescent="0.25">
      <c r="A13" s="8" t="s">
        <v>18</v>
      </c>
      <c r="B13" s="8" t="s">
        <v>33</v>
      </c>
      <c r="C13" s="13" t="s">
        <v>19</v>
      </c>
      <c r="D13" s="13"/>
      <c r="E13" s="13"/>
    </row>
    <row r="14" spans="1:17" x14ac:dyDescent="0.25">
      <c r="A14" s="5"/>
      <c r="B14" s="5"/>
      <c r="C14" s="13" t="s">
        <v>20</v>
      </c>
      <c r="D14" s="13"/>
      <c r="E14" s="13"/>
    </row>
    <row r="15" spans="1:17" x14ac:dyDescent="0.25">
      <c r="A15" s="5"/>
      <c r="B15" s="5"/>
      <c r="C15" s="13" t="s">
        <v>21</v>
      </c>
      <c r="D15" s="13"/>
      <c r="E15" s="13"/>
    </row>
    <row r="16" spans="1:17" x14ac:dyDescent="0.25">
      <c r="A16" s="5"/>
      <c r="B16" s="5"/>
      <c r="C16" s="13" t="s">
        <v>22</v>
      </c>
      <c r="D16" s="13"/>
      <c r="E16" s="13"/>
    </row>
    <row r="17" spans="1:6" x14ac:dyDescent="0.25">
      <c r="A17" s="5"/>
      <c r="B17" s="5"/>
      <c r="C17" s="13" t="s">
        <v>23</v>
      </c>
      <c r="D17" s="13"/>
      <c r="E17" s="13"/>
    </row>
    <row r="18" spans="1:6" x14ac:dyDescent="0.25">
      <c r="A18" s="5"/>
      <c r="B18" s="8" t="s">
        <v>24</v>
      </c>
      <c r="C18" s="15" t="s">
        <v>31</v>
      </c>
      <c r="D18" s="16"/>
      <c r="E18" s="17"/>
    </row>
    <row r="19" spans="1:6" x14ac:dyDescent="0.25">
      <c r="A19" s="5"/>
      <c r="B19" s="5"/>
      <c r="C19" s="15" t="s">
        <v>32</v>
      </c>
      <c r="D19" s="16"/>
      <c r="E19" s="17"/>
    </row>
    <row r="20" spans="1:6" x14ac:dyDescent="0.25">
      <c r="A20" s="5"/>
      <c r="B20" s="5"/>
      <c r="C20" s="15" t="s">
        <v>25</v>
      </c>
      <c r="D20" s="16"/>
      <c r="E20" s="17"/>
    </row>
    <row r="21" spans="1:6" x14ac:dyDescent="0.25">
      <c r="A21" s="5"/>
      <c r="B21" s="5"/>
      <c r="C21" s="13" t="s">
        <v>26</v>
      </c>
      <c r="D21" s="13"/>
      <c r="E21" s="13"/>
      <c r="F21" s="11"/>
    </row>
    <row r="22" spans="1:6" x14ac:dyDescent="0.25">
      <c r="A22" s="5"/>
      <c r="B22" s="5"/>
      <c r="C22" s="13" t="s">
        <v>27</v>
      </c>
      <c r="D22" s="13"/>
      <c r="E22" s="13"/>
      <c r="F22" s="11"/>
    </row>
    <row r="23" spans="1:6" x14ac:dyDescent="0.25">
      <c r="A23" s="5"/>
      <c r="B23" s="5"/>
      <c r="C23" s="15" t="s">
        <v>54</v>
      </c>
      <c r="D23" s="16"/>
      <c r="E23" s="17"/>
      <c r="F23" s="11"/>
    </row>
    <row r="24" spans="1:6" x14ac:dyDescent="0.25">
      <c r="A24" s="5"/>
      <c r="B24" s="5"/>
      <c r="C24" s="13" t="s">
        <v>28</v>
      </c>
      <c r="D24" s="13"/>
      <c r="E24" s="13"/>
    </row>
    <row r="25" spans="1:6" x14ac:dyDescent="0.25">
      <c r="A25" s="5"/>
      <c r="B25" s="5"/>
      <c r="C25" s="13" t="s">
        <v>29</v>
      </c>
      <c r="D25" s="13"/>
      <c r="E25" s="13"/>
    </row>
    <row r="26" spans="1:6" x14ac:dyDescent="0.25">
      <c r="A26" s="5"/>
      <c r="B26" s="5"/>
      <c r="C26" s="13" t="s">
        <v>30</v>
      </c>
      <c r="D26" s="13"/>
      <c r="E26" s="13"/>
    </row>
    <row r="27" spans="1:6" x14ac:dyDescent="0.25">
      <c r="A27" s="5"/>
      <c r="B27" s="8" t="s">
        <v>35</v>
      </c>
      <c r="C27" s="13" t="s">
        <v>36</v>
      </c>
      <c r="D27" s="13"/>
      <c r="E27" s="13"/>
    </row>
    <row r="28" spans="1:6" x14ac:dyDescent="0.25">
      <c r="A28" s="5"/>
      <c r="B28" s="5"/>
      <c r="C28" s="13" t="s">
        <v>37</v>
      </c>
      <c r="D28" s="13"/>
      <c r="E28" s="13"/>
    </row>
    <row r="29" spans="1:6" x14ac:dyDescent="0.25">
      <c r="A29" s="5"/>
      <c r="B29" s="5"/>
      <c r="C29" s="13" t="s">
        <v>38</v>
      </c>
      <c r="D29" s="13"/>
      <c r="E29" s="13"/>
    </row>
    <row r="30" spans="1:6" x14ac:dyDescent="0.25">
      <c r="A30" s="5"/>
      <c r="B30" s="5"/>
      <c r="C30" s="13" t="s">
        <v>39</v>
      </c>
      <c r="D30" s="13"/>
      <c r="E30" s="13"/>
    </row>
    <row r="31" spans="1:6" x14ac:dyDescent="0.25">
      <c r="A31" s="5"/>
      <c r="B31" s="5"/>
      <c r="C31" s="13" t="s">
        <v>40</v>
      </c>
      <c r="D31" s="13"/>
      <c r="E31" s="13"/>
    </row>
    <row r="32" spans="1:6" x14ac:dyDescent="0.25">
      <c r="A32" s="5"/>
      <c r="B32" s="5"/>
      <c r="C32" s="13" t="s">
        <v>41</v>
      </c>
      <c r="D32" s="13"/>
      <c r="E32" s="13"/>
    </row>
    <row r="33" spans="1:5" x14ac:dyDescent="0.25">
      <c r="A33" s="5"/>
      <c r="B33" s="5"/>
      <c r="C33" s="13" t="s">
        <v>42</v>
      </c>
      <c r="D33" s="13"/>
      <c r="E33" s="13"/>
    </row>
    <row r="34" spans="1:5" x14ac:dyDescent="0.25">
      <c r="A34" s="5"/>
      <c r="B34" s="5"/>
      <c r="C34" s="13" t="s">
        <v>43</v>
      </c>
      <c r="D34" s="13"/>
      <c r="E34" s="13"/>
    </row>
    <row r="35" spans="1:5" x14ac:dyDescent="0.25">
      <c r="A35" s="5"/>
      <c r="B35" s="5"/>
      <c r="C35" s="13" t="s">
        <v>44</v>
      </c>
      <c r="D35" s="13"/>
      <c r="E35" s="13"/>
    </row>
    <row r="36" spans="1:5" x14ac:dyDescent="0.25">
      <c r="A36" s="5"/>
      <c r="B36" s="8" t="s">
        <v>34</v>
      </c>
      <c r="C36" s="13" t="s">
        <v>45</v>
      </c>
      <c r="D36" s="13"/>
      <c r="E36" s="13"/>
    </row>
    <row r="37" spans="1:5" x14ac:dyDescent="0.25">
      <c r="A37" s="5"/>
      <c r="B37" s="5"/>
      <c r="C37" s="13" t="s">
        <v>46</v>
      </c>
      <c r="D37" s="13"/>
      <c r="E37" s="13"/>
    </row>
    <row r="38" spans="1:5" x14ac:dyDescent="0.25">
      <c r="A38" s="5"/>
      <c r="B38" s="5"/>
      <c r="C38" s="13" t="s">
        <v>47</v>
      </c>
      <c r="D38" s="13"/>
      <c r="E38" s="13"/>
    </row>
    <row r="39" spans="1:5" x14ac:dyDescent="0.25">
      <c r="A39" s="5"/>
      <c r="B39" s="5"/>
      <c r="C39" s="13" t="s">
        <v>48</v>
      </c>
      <c r="D39" s="13"/>
      <c r="E39" s="13"/>
    </row>
    <row r="40" spans="1:5" x14ac:dyDescent="0.25">
      <c r="A40" s="5"/>
      <c r="B40" s="5"/>
      <c r="C40" s="10" t="s">
        <v>49</v>
      </c>
      <c r="D40" s="10"/>
      <c r="E40" s="10"/>
    </row>
    <row r="41" spans="1:5" x14ac:dyDescent="0.25">
      <c r="A41" s="5"/>
      <c r="B41" s="5"/>
      <c r="C41" s="13" t="s">
        <v>50</v>
      </c>
      <c r="D41" s="13"/>
      <c r="E41" s="13"/>
    </row>
    <row r="42" spans="1:5" x14ac:dyDescent="0.25">
      <c r="A42" s="5"/>
      <c r="B42" s="8" t="s">
        <v>56</v>
      </c>
      <c r="C42" s="13" t="s">
        <v>52</v>
      </c>
      <c r="D42" s="13"/>
      <c r="E42" s="13"/>
    </row>
    <row r="43" spans="1:5" x14ac:dyDescent="0.25">
      <c r="A43" s="5"/>
      <c r="B43" s="8"/>
      <c r="C43" s="13" t="s">
        <v>53</v>
      </c>
      <c r="D43" s="13"/>
      <c r="E43" s="13"/>
    </row>
    <row r="44" spans="1:5" x14ac:dyDescent="0.25">
      <c r="A44" s="5"/>
      <c r="B44" s="5"/>
      <c r="C44" s="15" t="s">
        <v>55</v>
      </c>
      <c r="D44" s="16"/>
      <c r="E44" s="17"/>
    </row>
    <row r="45" spans="1:5" x14ac:dyDescent="0.25">
      <c r="A45" s="5"/>
      <c r="B45" s="8" t="s">
        <v>57</v>
      </c>
      <c r="C45" s="15" t="s">
        <v>58</v>
      </c>
      <c r="D45" s="16"/>
      <c r="E45" s="17"/>
    </row>
    <row r="46" spans="1:5" x14ac:dyDescent="0.25">
      <c r="A46" s="5"/>
      <c r="B46" s="5"/>
      <c r="C46" s="13" t="s">
        <v>59</v>
      </c>
      <c r="D46" s="13"/>
      <c r="E46" s="13"/>
    </row>
    <row r="47" spans="1:5" x14ac:dyDescent="0.25">
      <c r="A47" s="5"/>
      <c r="B47" s="5"/>
      <c r="C47" s="13" t="s">
        <v>60</v>
      </c>
      <c r="D47" s="13"/>
      <c r="E47" s="13"/>
    </row>
    <row r="48" spans="1:5" x14ac:dyDescent="0.25">
      <c r="A48" s="5"/>
      <c r="B48" s="5"/>
      <c r="C48" s="13" t="s">
        <v>61</v>
      </c>
      <c r="D48" s="13"/>
      <c r="E48" s="13"/>
    </row>
    <row r="49" spans="1:5" x14ac:dyDescent="0.25">
      <c r="A49" s="5"/>
      <c r="B49" s="5"/>
      <c r="C49" s="13" t="s">
        <v>62</v>
      </c>
      <c r="D49" s="13"/>
      <c r="E49" s="13"/>
    </row>
    <row r="50" spans="1:5" x14ac:dyDescent="0.25">
      <c r="A50" s="5"/>
      <c r="B50" s="5"/>
      <c r="C50" s="13" t="s">
        <v>63</v>
      </c>
      <c r="D50" s="13"/>
      <c r="E50" s="13"/>
    </row>
    <row r="51" spans="1:5" x14ac:dyDescent="0.25">
      <c r="A51" s="5"/>
      <c r="B51" s="5"/>
      <c r="C51" s="13" t="s">
        <v>64</v>
      </c>
      <c r="D51" s="13"/>
      <c r="E51" s="13"/>
    </row>
    <row r="52" spans="1:5" x14ac:dyDescent="0.25">
      <c r="A52" s="5"/>
      <c r="B52" s="5"/>
      <c r="C52" s="13" t="s">
        <v>65</v>
      </c>
      <c r="D52" s="13"/>
      <c r="E52" s="13"/>
    </row>
    <row r="53" spans="1:5" x14ac:dyDescent="0.25">
      <c r="A53" s="5"/>
      <c r="B53" s="5"/>
      <c r="C53" s="13" t="s">
        <v>66</v>
      </c>
      <c r="D53" s="13"/>
      <c r="E53" s="13"/>
    </row>
    <row r="54" spans="1:5" x14ac:dyDescent="0.25">
      <c r="A54" s="8" t="s">
        <v>12</v>
      </c>
      <c r="B54" s="8" t="s">
        <v>68</v>
      </c>
      <c r="C54" s="13" t="s">
        <v>69</v>
      </c>
      <c r="D54" s="13"/>
      <c r="E54" s="13"/>
    </row>
    <row r="55" spans="1:5" x14ac:dyDescent="0.25">
      <c r="A55" s="5"/>
      <c r="B55" s="5"/>
      <c r="C55" s="13" t="s">
        <v>70</v>
      </c>
      <c r="D55" s="13"/>
      <c r="E55" s="13"/>
    </row>
    <row r="56" spans="1:5" x14ac:dyDescent="0.25">
      <c r="A56" s="5"/>
      <c r="B56" s="5"/>
      <c r="C56" s="13" t="s">
        <v>71</v>
      </c>
      <c r="D56" s="13"/>
      <c r="E56" s="13"/>
    </row>
    <row r="57" spans="1:5" x14ac:dyDescent="0.25">
      <c r="A57" s="5"/>
      <c r="B57" s="5"/>
      <c r="C57" s="13" t="s">
        <v>72</v>
      </c>
      <c r="D57" s="13"/>
      <c r="E57" s="13"/>
    </row>
    <row r="58" spans="1:5" x14ac:dyDescent="0.25">
      <c r="A58" s="5"/>
      <c r="B58" s="5"/>
      <c r="C58" s="13" t="s">
        <v>73</v>
      </c>
      <c r="D58" s="14"/>
      <c r="E58" s="14"/>
    </row>
    <row r="59" spans="1:5" x14ac:dyDescent="0.25">
      <c r="A59" s="5"/>
      <c r="B59" s="5"/>
      <c r="C59" s="13" t="s">
        <v>77</v>
      </c>
      <c r="D59" s="14"/>
      <c r="E59" s="14"/>
    </row>
    <row r="60" spans="1:5" x14ac:dyDescent="0.25">
      <c r="A60" s="5"/>
      <c r="B60" s="5"/>
      <c r="C60" s="13" t="s">
        <v>78</v>
      </c>
      <c r="D60" s="14"/>
      <c r="E60" s="14"/>
    </row>
    <row r="61" spans="1:5" x14ac:dyDescent="0.25">
      <c r="A61" s="5"/>
      <c r="B61" s="8"/>
      <c r="C61" s="13" t="s">
        <v>79</v>
      </c>
      <c r="D61" s="14"/>
      <c r="E61" s="14"/>
    </row>
    <row r="62" spans="1:5" x14ac:dyDescent="0.25">
      <c r="A62" s="5"/>
      <c r="B62" s="5"/>
      <c r="C62" s="13" t="s">
        <v>80</v>
      </c>
      <c r="D62" s="14"/>
      <c r="E62" s="14"/>
    </row>
    <row r="63" spans="1:5" x14ac:dyDescent="0.25">
      <c r="A63" s="5"/>
      <c r="B63" s="5"/>
      <c r="C63" s="13" t="s">
        <v>81</v>
      </c>
      <c r="D63" s="14"/>
      <c r="E63" s="14"/>
    </row>
    <row r="64" spans="1:5" x14ac:dyDescent="0.25">
      <c r="A64" s="5"/>
      <c r="B64" s="8" t="s">
        <v>67</v>
      </c>
      <c r="C64" s="13" t="s">
        <v>74</v>
      </c>
      <c r="D64" s="14"/>
      <c r="E64" s="14"/>
    </row>
    <row r="65" spans="1:5" x14ac:dyDescent="0.25">
      <c r="A65" s="5"/>
      <c r="B65" s="5"/>
      <c r="C65" s="13" t="s">
        <v>75</v>
      </c>
      <c r="D65" s="14"/>
      <c r="E65" s="14"/>
    </row>
    <row r="66" spans="1:5" x14ac:dyDescent="0.25">
      <c r="A66" s="5"/>
      <c r="B66" s="5"/>
      <c r="C66" s="13" t="s">
        <v>76</v>
      </c>
      <c r="D66" s="14"/>
      <c r="E66" s="14"/>
    </row>
  </sheetData>
  <mergeCells count="59">
    <mergeCell ref="B2:D2"/>
    <mergeCell ref="E2:F2"/>
    <mergeCell ref="G2:H2"/>
    <mergeCell ref="A1:H1"/>
    <mergeCell ref="C12:E12"/>
    <mergeCell ref="C14:E14"/>
    <mergeCell ref="C15:E15"/>
    <mergeCell ref="C19:E19"/>
    <mergeCell ref="C11:E11"/>
    <mergeCell ref="C16:E16"/>
    <mergeCell ref="C17:E17"/>
    <mergeCell ref="C18:E18"/>
    <mergeCell ref="C13:E13"/>
    <mergeCell ref="C32:E32"/>
    <mergeCell ref="C20:E20"/>
    <mergeCell ref="C21:E21"/>
    <mergeCell ref="C22:E22"/>
    <mergeCell ref="C24:E24"/>
    <mergeCell ref="C25:E25"/>
    <mergeCell ref="C26:E26"/>
    <mergeCell ref="C27:E27"/>
    <mergeCell ref="C28:E28"/>
    <mergeCell ref="C29:E29"/>
    <mergeCell ref="C30:E30"/>
    <mergeCell ref="C31:E31"/>
    <mergeCell ref="C34:E34"/>
    <mergeCell ref="C35:E35"/>
    <mergeCell ref="C36:E36"/>
    <mergeCell ref="C37:E37"/>
    <mergeCell ref="C38:E38"/>
    <mergeCell ref="C60:E60"/>
    <mergeCell ref="C51:E51"/>
    <mergeCell ref="C52:E52"/>
    <mergeCell ref="C53:E53"/>
    <mergeCell ref="C54:E54"/>
    <mergeCell ref="C55:E55"/>
    <mergeCell ref="C56:E56"/>
    <mergeCell ref="C57:E57"/>
    <mergeCell ref="C23:E23"/>
    <mergeCell ref="C50:E50"/>
    <mergeCell ref="C58:E58"/>
    <mergeCell ref="C59:E59"/>
    <mergeCell ref="C44:E44"/>
    <mergeCell ref="C45:E45"/>
    <mergeCell ref="C46:E46"/>
    <mergeCell ref="C47:E47"/>
    <mergeCell ref="C48:E48"/>
    <mergeCell ref="C49:E49"/>
    <mergeCell ref="C39:E39"/>
    <mergeCell ref="C41:E41"/>
    <mergeCell ref="C42:E42"/>
    <mergeCell ref="C43:E43"/>
    <mergeCell ref="C33:E33"/>
    <mergeCell ref="C66:E66"/>
    <mergeCell ref="C61:E61"/>
    <mergeCell ref="C62:E62"/>
    <mergeCell ref="C63:E63"/>
    <mergeCell ref="C64:E64"/>
    <mergeCell ref="C65:E6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5451-7D83-40AD-BD90-31EF3431A20B}">
  <dimension ref="A1:AP8"/>
  <sheetViews>
    <sheetView tabSelected="1" workbookViewId="0">
      <selection activeCell="M29" sqref="M29"/>
    </sheetView>
  </sheetViews>
  <sheetFormatPr defaultRowHeight="14.25" x14ac:dyDescent="0.2"/>
  <cols>
    <col min="1" max="1" width="14.625" customWidth="1"/>
  </cols>
  <sheetData>
    <row r="1" spans="1:42" ht="15" x14ac:dyDescent="0.25">
      <c r="A1" s="1" t="s">
        <v>93</v>
      </c>
    </row>
    <row r="2" spans="1:42" ht="15" x14ac:dyDescent="0.25">
      <c r="A2" s="5"/>
      <c r="B2" s="27">
        <v>2020</v>
      </c>
      <c r="C2" s="27">
        <v>2021</v>
      </c>
      <c r="D2" s="27">
        <v>2022</v>
      </c>
      <c r="E2" s="27">
        <v>2023</v>
      </c>
      <c r="F2" s="27">
        <v>2024</v>
      </c>
      <c r="G2" s="27">
        <v>2025</v>
      </c>
      <c r="H2" s="27">
        <v>2026</v>
      </c>
      <c r="I2" s="27">
        <v>2027</v>
      </c>
      <c r="J2" s="27">
        <v>2028</v>
      </c>
      <c r="K2" s="27">
        <v>2029</v>
      </c>
      <c r="L2" s="27">
        <v>2030</v>
      </c>
      <c r="M2" s="27">
        <v>2031</v>
      </c>
      <c r="N2" s="27">
        <v>2032</v>
      </c>
      <c r="O2" s="27">
        <v>2033</v>
      </c>
      <c r="P2" s="27">
        <v>2034</v>
      </c>
      <c r="Q2" s="27">
        <v>2035</v>
      </c>
      <c r="R2" s="27">
        <v>2036</v>
      </c>
      <c r="S2" s="27">
        <v>2037</v>
      </c>
      <c r="T2" s="27">
        <v>2038</v>
      </c>
      <c r="U2" s="27">
        <v>2039</v>
      </c>
      <c r="V2" s="27">
        <v>2040</v>
      </c>
      <c r="W2" s="27">
        <v>2041</v>
      </c>
      <c r="X2" s="27">
        <v>2042</v>
      </c>
      <c r="Y2" s="27">
        <v>2043</v>
      </c>
      <c r="Z2" s="27">
        <v>2044</v>
      </c>
      <c r="AA2" s="27">
        <v>2045</v>
      </c>
      <c r="AB2" s="27">
        <v>2046</v>
      </c>
      <c r="AC2" s="27">
        <v>2047</v>
      </c>
      <c r="AD2" s="27">
        <v>2048</v>
      </c>
      <c r="AE2" s="27">
        <v>2049</v>
      </c>
      <c r="AF2" s="27">
        <v>2050</v>
      </c>
      <c r="AG2" s="27">
        <v>2051</v>
      </c>
      <c r="AH2" s="27">
        <v>2052</v>
      </c>
      <c r="AI2" s="27">
        <v>2053</v>
      </c>
      <c r="AJ2" s="27">
        <v>2054</v>
      </c>
      <c r="AK2" s="27">
        <v>2055</v>
      </c>
      <c r="AL2" s="27">
        <v>2056</v>
      </c>
      <c r="AM2" s="27">
        <v>2057</v>
      </c>
      <c r="AN2" s="27">
        <v>2058</v>
      </c>
      <c r="AO2" s="27">
        <v>2059</v>
      </c>
      <c r="AP2" s="27">
        <v>2060</v>
      </c>
    </row>
    <row r="3" spans="1:42" x14ac:dyDescent="0.2">
      <c r="A3" s="8" t="s">
        <v>90</v>
      </c>
      <c r="B3" s="27">
        <v>1013567</v>
      </c>
      <c r="C3" s="27">
        <v>1098706.628</v>
      </c>
      <c r="D3" s="27">
        <v>1131667.8268400002</v>
      </c>
      <c r="E3" s="27">
        <v>1194946.682123038</v>
      </c>
      <c r="F3" s="27">
        <v>1258876.1374553761</v>
      </c>
      <c r="G3" s="27">
        <v>1321308.0553953971</v>
      </c>
      <c r="H3" s="27">
        <v>1390951.477014533</v>
      </c>
      <c r="I3" s="27">
        <v>1458883.776336109</v>
      </c>
      <c r="J3" s="27">
        <v>1527925.68473769</v>
      </c>
      <c r="K3" s="27">
        <v>1597954.3081960401</v>
      </c>
      <c r="L3" s="27">
        <v>1686361.1094838742</v>
      </c>
      <c r="M3" s="27">
        <v>1740451.502755638</v>
      </c>
      <c r="N3" s="27">
        <v>1812646.781462668</v>
      </c>
      <c r="O3" s="27">
        <v>1885282.9702124549</v>
      </c>
      <c r="P3" s="27">
        <v>1958212.0227333191</v>
      </c>
      <c r="Q3" s="27">
        <v>2012562.4019724375</v>
      </c>
      <c r="R3" s="27">
        <v>2104338.191477641</v>
      </c>
      <c r="S3" s="27">
        <v>2177222.417256345</v>
      </c>
      <c r="T3" s="27">
        <v>2249774.877753241</v>
      </c>
      <c r="U3" s="27">
        <v>2321834.1983699389</v>
      </c>
      <c r="V3" s="27">
        <v>2393238.2898912858</v>
      </c>
      <c r="W3" s="27">
        <v>2463825.1564455782</v>
      </c>
      <c r="X3" s="27">
        <v>2533433.777355318</v>
      </c>
      <c r="Y3" s="27">
        <v>2601905.062599035</v>
      </c>
      <c r="Z3" s="27">
        <v>2669082.8794397931</v>
      </c>
      <c r="AA3" s="27">
        <v>2734815.1455881521</v>
      </c>
      <c r="AB3" s="27">
        <v>2798954.9821381788</v>
      </c>
      <c r="AC3" s="27">
        <v>2861361.9175221678</v>
      </c>
      <c r="AD3" s="27">
        <v>2921903.1319470671</v>
      </c>
      <c r="AE3" s="27">
        <v>2980454.730267121</v>
      </c>
      <c r="AF3" s="27">
        <v>3045412.1423118901</v>
      </c>
      <c r="AG3" s="27">
        <v>3091145.8509765039</v>
      </c>
      <c r="AH3" s="27">
        <v>3143093.7907127929</v>
      </c>
      <c r="AI3" s="27">
        <v>3192671.4737162502</v>
      </c>
      <c r="AJ3" s="27">
        <v>3239818.7584130848</v>
      </c>
      <c r="AK3" s="27">
        <v>3284491.8904577852</v>
      </c>
      <c r="AL3" s="27">
        <v>3326664.590668417</v>
      </c>
      <c r="AM3" s="27">
        <v>3366329.0684093018</v>
      </c>
      <c r="AN3" s="27">
        <v>3403496.9536594781</v>
      </c>
      <c r="AO3" s="27">
        <v>3438200.1439851481</v>
      </c>
      <c r="AP3" s="27">
        <v>3467542.1593422336</v>
      </c>
    </row>
    <row r="4" spans="1:42" x14ac:dyDescent="0.2">
      <c r="A4" s="8" t="s">
        <v>92</v>
      </c>
      <c r="B4" s="27">
        <v>1013567</v>
      </c>
      <c r="C4" s="27">
        <v>1098706.628</v>
      </c>
      <c r="D4" s="27">
        <v>1131667.8268400002</v>
      </c>
      <c r="E4" s="27">
        <v>1195889.273885892</v>
      </c>
      <c r="F4" s="27">
        <v>1260292.373240015</v>
      </c>
      <c r="G4" s="27">
        <v>1325076.0418799622</v>
      </c>
      <c r="H4" s="27">
        <v>1394585.79487069</v>
      </c>
      <c r="I4" s="27">
        <v>1464289.886745634</v>
      </c>
      <c r="J4" s="27">
        <v>1535553.6334731751</v>
      </c>
      <c r="K4" s="27">
        <v>1608252.1847457001</v>
      </c>
      <c r="L4" s="27">
        <v>1699238.6662424763</v>
      </c>
      <c r="M4" s="27">
        <v>1757391.3077970131</v>
      </c>
      <c r="N4" s="27">
        <v>1833519.8868326771</v>
      </c>
      <c r="O4" s="27">
        <v>1910460.0303554209</v>
      </c>
      <c r="P4" s="27">
        <v>1988026.8466750011</v>
      </c>
      <c r="Q4" s="27">
        <v>2047581.2757680682</v>
      </c>
      <c r="R4" s="27">
        <v>2144249.6241163081</v>
      </c>
      <c r="S4" s="27">
        <v>2222487.1680997149</v>
      </c>
      <c r="T4" s="27">
        <v>2300516.6691578529</v>
      </c>
      <c r="U4" s="27">
        <v>2378110.9567888221</v>
      </c>
      <c r="V4" s="27">
        <v>2455038.080787647</v>
      </c>
      <c r="W4" s="27">
        <v>2531062.8574554152</v>
      </c>
      <c r="X4" s="27">
        <v>2605948.538498465</v>
      </c>
      <c r="Y4" s="27">
        <v>2679458.5900884988</v>
      </c>
      <c r="Z4" s="27">
        <v>2751358.566703842</v>
      </c>
      <c r="AA4" s="27">
        <v>2821418.0616511269</v>
      </c>
      <c r="AB4" s="27">
        <v>2889412.7136634621</v>
      </c>
      <c r="AC4" s="27">
        <v>2955126.2467698138</v>
      </c>
      <c r="AD4" s="27">
        <v>3018352.5188115449</v>
      </c>
      <c r="AE4" s="27">
        <v>3078897.5526150349</v>
      </c>
      <c r="AF4" s="27">
        <v>3143922.0589858303</v>
      </c>
      <c r="AG4" s="27">
        <v>3191240.6723346058</v>
      </c>
      <c r="AH4" s="27">
        <v>3242729.128281455</v>
      </c>
      <c r="AI4" s="27">
        <v>3290920.5970587078</v>
      </c>
      <c r="AJ4" s="27">
        <v>3335709.9086534032</v>
      </c>
      <c r="AK4" s="27">
        <v>3377014.3913463908</v>
      </c>
      <c r="AL4" s="27">
        <v>3414775.056295692</v>
      </c>
      <c r="AM4" s="27">
        <v>3448957.5760676241</v>
      </c>
      <c r="AN4" s="27">
        <v>3479553.044857624</v>
      </c>
      <c r="AO4" s="27">
        <v>3506578.5124242948</v>
      </c>
      <c r="AP4" s="27">
        <v>3527877.8891263264</v>
      </c>
    </row>
    <row r="5" spans="1:42" x14ac:dyDescent="0.2">
      <c r="A5" s="8" t="s">
        <v>91</v>
      </c>
      <c r="B5" s="27">
        <v>1013567</v>
      </c>
      <c r="C5" s="27">
        <v>1098706.628</v>
      </c>
      <c r="D5" s="27">
        <v>1131667.8268400002</v>
      </c>
      <c r="E5" s="27">
        <v>1195105.8112884599</v>
      </c>
      <c r="F5" s="27">
        <v>1260628.9837821859</v>
      </c>
      <c r="G5" s="27">
        <v>1325076.0418799622</v>
      </c>
      <c r="H5" s="27">
        <v>1397994.9490674289</v>
      </c>
      <c r="I5" s="27">
        <v>1469667.617725923</v>
      </c>
      <c r="J5" s="27">
        <v>1543195.5711821071</v>
      </c>
      <c r="K5" s="27">
        <v>1618456.791702548</v>
      </c>
      <c r="L5" s="27">
        <v>1707337.9778973525</v>
      </c>
      <c r="M5" s="27">
        <v>1773616.0286169399</v>
      </c>
      <c r="N5" s="27">
        <v>1853195.4492017899</v>
      </c>
      <c r="O5" s="27">
        <v>1933871.5409989911</v>
      </c>
      <c r="P5" s="27">
        <v>2015449.5333713931</v>
      </c>
      <c r="Q5" s="27">
        <v>2087243.649633561</v>
      </c>
      <c r="R5" s="27">
        <v>2180467.6326398561</v>
      </c>
      <c r="S5" s="27">
        <v>2263456.547966897</v>
      </c>
      <c r="T5" s="27">
        <v>2346447.3129201238</v>
      </c>
      <c r="U5" s="27">
        <v>2429190.503810944</v>
      </c>
      <c r="V5" s="27">
        <v>2511429.9049768979</v>
      </c>
      <c r="W5" s="27">
        <v>2592904.3023562641</v>
      </c>
      <c r="X5" s="27">
        <v>2673349.4370527542</v>
      </c>
      <c r="Y5" s="27">
        <v>2752500.1034942642</v>
      </c>
      <c r="Z5" s="27">
        <v>2830092.3730145148</v>
      </c>
      <c r="AA5" s="27">
        <v>2905865.920038953</v>
      </c>
      <c r="AB5" s="27">
        <v>2979566.424652162</v>
      </c>
      <c r="AC5" s="27">
        <v>3050948.0222786572</v>
      </c>
      <c r="AD5" s="27">
        <v>3119775.7686349852</v>
      </c>
      <c r="AE5" s="27">
        <v>3185828.0861114259</v>
      </c>
      <c r="AF5" s="27">
        <v>3251857.5966359503</v>
      </c>
      <c r="AG5" s="27">
        <v>3308801.2236895598</v>
      </c>
      <c r="AH5" s="27">
        <v>3365366.7726595839</v>
      </c>
      <c r="AI5" s="27">
        <v>3418450.547200012</v>
      </c>
      <c r="AJ5" s="27">
        <v>3467931.376941083</v>
      </c>
      <c r="AK5" s="27">
        <v>3513713.7821018258</v>
      </c>
      <c r="AL5" s="27">
        <v>3555729.3304865821</v>
      </c>
      <c r="AM5" s="27">
        <v>3593937.7249614168</v>
      </c>
      <c r="AN5" s="27">
        <v>3628327.604849454</v>
      </c>
      <c r="AO5" s="27">
        <v>3658917.0504095778</v>
      </c>
      <c r="AP5" s="27">
        <v>3685224.8516569789</v>
      </c>
    </row>
    <row r="6" spans="1:42" x14ac:dyDescent="0.2">
      <c r="A6" s="8" t="s">
        <v>94</v>
      </c>
      <c r="C6" s="28">
        <f>C3/B3-1</f>
        <v>8.4000000000000075E-2</v>
      </c>
      <c r="D6" s="28">
        <f t="shared" ref="D6:AP8" si="0">D3/C3-1</f>
        <v>3.0000000000000249E-2</v>
      </c>
      <c r="E6" s="28">
        <f t="shared" si="0"/>
        <v>5.5916456916278889E-2</v>
      </c>
      <c r="F6" s="28">
        <f t="shared" si="0"/>
        <v>5.349983918843626E-2</v>
      </c>
      <c r="G6" s="28">
        <f t="shared" si="0"/>
        <v>4.9593376252422772E-2</v>
      </c>
      <c r="H6" s="28">
        <f t="shared" si="0"/>
        <v>5.2707936907487651E-2</v>
      </c>
      <c r="I6" s="28">
        <f t="shared" si="0"/>
        <v>4.8838726903243534E-2</v>
      </c>
      <c r="J6" s="28">
        <f t="shared" si="0"/>
        <v>4.732516018169397E-2</v>
      </c>
      <c r="K6" s="28">
        <f t="shared" si="0"/>
        <v>4.5832480046549051E-2</v>
      </c>
      <c r="L6" s="28">
        <f t="shared" si="0"/>
        <v>5.532498697515198E-2</v>
      </c>
      <c r="M6" s="28">
        <f t="shared" si="0"/>
        <v>3.2075213883649534E-2</v>
      </c>
      <c r="N6" s="28">
        <f t="shared" si="0"/>
        <v>4.1480775874952025E-2</v>
      </c>
      <c r="O6" s="28">
        <f t="shared" si="0"/>
        <v>4.0071893483392795E-2</v>
      </c>
      <c r="P6" s="28">
        <f t="shared" si="0"/>
        <v>3.8683345510008849E-2</v>
      </c>
      <c r="Q6" s="28">
        <f t="shared" si="0"/>
        <v>2.7755104456592461E-2</v>
      </c>
      <c r="R6" s="28">
        <f t="shared" si="0"/>
        <v>4.5601462799492509E-2</v>
      </c>
      <c r="S6" s="28">
        <f t="shared" si="0"/>
        <v>3.4635224544171672E-2</v>
      </c>
      <c r="T6" s="28">
        <f t="shared" si="0"/>
        <v>3.3323403214047254E-2</v>
      </c>
      <c r="U6" s="28">
        <f t="shared" si="0"/>
        <v>3.202956941570112E-2</v>
      </c>
      <c r="V6" s="28">
        <f t="shared" si="0"/>
        <v>3.0753312002845368E-2</v>
      </c>
      <c r="W6" s="28">
        <f t="shared" si="0"/>
        <v>2.9494290999956707E-2</v>
      </c>
      <c r="X6" s="28">
        <f t="shared" si="0"/>
        <v>2.8252256751108096E-2</v>
      </c>
      <c r="Y6" s="28">
        <f t="shared" si="0"/>
        <v>2.702706731698945E-2</v>
      </c>
      <c r="Z6" s="28">
        <f t="shared" si="0"/>
        <v>2.5818704074334731E-2</v>
      </c>
      <c r="AA6" s="28">
        <f t="shared" si="0"/>
        <v>2.4627285519944309E-2</v>
      </c>
      <c r="AB6" s="28">
        <f t="shared" si="0"/>
        <v>2.3453079325488568E-2</v>
      </c>
      <c r="AC6" s="28">
        <f t="shared" si="0"/>
        <v>2.2296512727873585E-2</v>
      </c>
      <c r="AD6" s="28">
        <f t="shared" si="0"/>
        <v>2.115818137305947E-2</v>
      </c>
      <c r="AE6" s="28">
        <f t="shared" si="0"/>
        <v>2.0038856757389034E-2</v>
      </c>
      <c r="AF6" s="28">
        <f t="shared" si="0"/>
        <v>2.179446357131809E-2</v>
      </c>
      <c r="AG6" s="28">
        <f t="shared" si="0"/>
        <v>1.5017247757439955E-2</v>
      </c>
      <c r="AH6" s="28">
        <f t="shared" si="0"/>
        <v>1.680539911110257E-2</v>
      </c>
      <c r="AI6" s="28">
        <f t="shared" si="0"/>
        <v>1.5773529619112603E-2</v>
      </c>
      <c r="AJ6" s="28">
        <f t="shared" si="0"/>
        <v>1.4767346119065383E-2</v>
      </c>
      <c r="AK6" s="28">
        <f t="shared" si="0"/>
        <v>1.3788775044497159E-2</v>
      </c>
      <c r="AL6" s="28">
        <f t="shared" si="0"/>
        <v>1.2839946517497314E-2</v>
      </c>
      <c r="AM6" s="28">
        <f t="shared" si="0"/>
        <v>1.1923197142311048E-2</v>
      </c>
      <c r="AN6" s="28">
        <f t="shared" si="0"/>
        <v>1.1041073078378316E-2</v>
      </c>
      <c r="AO6" s="28">
        <f t="shared" si="0"/>
        <v>1.0196333593998519E-2</v>
      </c>
      <c r="AP6" s="28">
        <f t="shared" si="0"/>
        <v>8.5341207981790568E-3</v>
      </c>
    </row>
    <row r="7" spans="1:42" x14ac:dyDescent="0.2">
      <c r="A7" s="8" t="s">
        <v>95</v>
      </c>
      <c r="C7" s="28">
        <f t="shared" ref="C7:R8" si="1">C4/B4-1</f>
        <v>8.4000000000000075E-2</v>
      </c>
      <c r="D7" s="28">
        <f t="shared" si="1"/>
        <v>3.0000000000000249E-2</v>
      </c>
      <c r="E7" s="28">
        <f t="shared" si="1"/>
        <v>5.6749379564160485E-2</v>
      </c>
      <c r="F7" s="28">
        <f t="shared" si="1"/>
        <v>5.3853731077337263E-2</v>
      </c>
      <c r="G7" s="28">
        <f t="shared" si="1"/>
        <v>5.1403682205422241E-2</v>
      </c>
      <c r="H7" s="28">
        <f t="shared" si="1"/>
        <v>5.2457180413669091E-2</v>
      </c>
      <c r="I7" s="28">
        <f t="shared" si="1"/>
        <v>4.9981931646885247E-2</v>
      </c>
      <c r="J7" s="28">
        <f t="shared" si="1"/>
        <v>4.8667785916300943E-2</v>
      </c>
      <c r="K7" s="28">
        <f t="shared" si="1"/>
        <v>4.7343544170510343E-2</v>
      </c>
      <c r="L7" s="28">
        <f t="shared" si="1"/>
        <v>5.6574760077918507E-2</v>
      </c>
      <c r="M7" s="28">
        <f t="shared" si="1"/>
        <v>3.4222762646479499E-2</v>
      </c>
      <c r="N7" s="28">
        <f t="shared" si="1"/>
        <v>4.3319082493411987E-2</v>
      </c>
      <c r="O7" s="28">
        <f t="shared" si="1"/>
        <v>4.1963080998076663E-2</v>
      </c>
      <c r="P7" s="28">
        <f t="shared" si="1"/>
        <v>4.0601119671239472E-2</v>
      </c>
      <c r="Q7" s="28">
        <f t="shared" si="1"/>
        <v>2.9956551740069504E-2</v>
      </c>
      <c r="R7" s="28">
        <f t="shared" si="1"/>
        <v>4.7210994499829351E-2</v>
      </c>
      <c r="S7" s="28">
        <f t="shared" si="0"/>
        <v>3.6487143615870021E-2</v>
      </c>
      <c r="T7" s="28">
        <f t="shared" si="0"/>
        <v>3.5109089572316954E-2</v>
      </c>
      <c r="U7" s="28">
        <f t="shared" si="0"/>
        <v>3.3729069939481882E-2</v>
      </c>
      <c r="V7" s="28">
        <f t="shared" si="0"/>
        <v>3.2347996118187838E-2</v>
      </c>
      <c r="W7" s="28">
        <f t="shared" si="0"/>
        <v>3.09668421287288E-2</v>
      </c>
      <c r="X7" s="28">
        <f t="shared" si="0"/>
        <v>2.9586654010772095E-2</v>
      </c>
      <c r="Y7" s="28">
        <f t="shared" si="0"/>
        <v>2.8208558420877328E-2</v>
      </c>
      <c r="Z7" s="28">
        <f t="shared" si="0"/>
        <v>2.6833770404702806E-2</v>
      </c>
      <c r="AA7" s="28">
        <f t="shared" si="0"/>
        <v>2.5463600344616921E-2</v>
      </c>
      <c r="AB7" s="28">
        <f t="shared" si="0"/>
        <v>2.4099460103599091E-2</v>
      </c>
      <c r="AC7" s="28">
        <f t="shared" si="0"/>
        <v>2.2742868402151561E-2</v>
      </c>
      <c r="AD7" s="28">
        <f t="shared" si="0"/>
        <v>2.1395455477018155E-2</v>
      </c>
      <c r="AE7" s="28">
        <f t="shared" si="0"/>
        <v>2.0058967077619227E-2</v>
      </c>
      <c r="AF7" s="28">
        <f t="shared" si="0"/>
        <v>2.1119412146587191E-2</v>
      </c>
      <c r="AG7" s="28">
        <f t="shared" si="0"/>
        <v>1.5050822654312013E-2</v>
      </c>
      <c r="AH7" s="28">
        <f t="shared" si="0"/>
        <v>1.6134306758249561E-2</v>
      </c>
      <c r="AI7" s="28">
        <f t="shared" si="0"/>
        <v>1.4861392016049413E-2</v>
      </c>
      <c r="AJ7" s="28">
        <f t="shared" si="0"/>
        <v>1.3609964225428595E-2</v>
      </c>
      <c r="AK7" s="28">
        <f t="shared" si="0"/>
        <v>1.2382516413024014E-2</v>
      </c>
      <c r="AL7" s="28">
        <f t="shared" si="0"/>
        <v>1.118167131477521E-2</v>
      </c>
      <c r="AM7" s="28">
        <f t="shared" si="0"/>
        <v>1.0010181991024991E-2</v>
      </c>
      <c r="AN7" s="28">
        <f t="shared" si="0"/>
        <v>8.8709321918896133E-3</v>
      </c>
      <c r="AO7" s="28">
        <f t="shared" si="0"/>
        <v>7.7669365054260364E-3</v>
      </c>
      <c r="AP7" s="28">
        <f t="shared" si="0"/>
        <v>6.0741194376698893E-3</v>
      </c>
    </row>
    <row r="8" spans="1:42" x14ac:dyDescent="0.2">
      <c r="A8" s="8" t="s">
        <v>96</v>
      </c>
      <c r="C8" s="28">
        <f t="shared" si="1"/>
        <v>8.4000000000000075E-2</v>
      </c>
      <c r="D8" s="28">
        <f t="shared" si="0"/>
        <v>3.0000000000000249E-2</v>
      </c>
      <c r="E8" s="28">
        <f t="shared" si="0"/>
        <v>5.6057071645837953E-2</v>
      </c>
      <c r="F8" s="28">
        <f t="shared" si="0"/>
        <v>5.4826252098200801E-2</v>
      </c>
      <c r="G8" s="28">
        <f t="shared" si="0"/>
        <v>5.1122938570252296E-2</v>
      </c>
      <c r="H8" s="28">
        <f t="shared" si="0"/>
        <v>5.5029979324063838E-2</v>
      </c>
      <c r="I8" s="28">
        <f t="shared" si="0"/>
        <v>5.1268188562701988E-2</v>
      </c>
      <c r="J8" s="28">
        <f t="shared" si="0"/>
        <v>5.0030328333665608E-2</v>
      </c>
      <c r="K8" s="28">
        <f t="shared" si="0"/>
        <v>4.8769722986432562E-2</v>
      </c>
      <c r="L8" s="28">
        <f t="shared" si="0"/>
        <v>5.4917243790799875E-2</v>
      </c>
      <c r="M8" s="28">
        <f t="shared" si="0"/>
        <v>3.8819525821835787E-2</v>
      </c>
      <c r="N8" s="28">
        <f t="shared" si="0"/>
        <v>4.4868460422578416E-2</v>
      </c>
      <c r="O8" s="28">
        <f t="shared" si="0"/>
        <v>4.3533504160044201E-2</v>
      </c>
      <c r="P8" s="28">
        <f t="shared" si="0"/>
        <v>4.2183770040000068E-2</v>
      </c>
      <c r="Q8" s="28">
        <f t="shared" si="0"/>
        <v>3.5621887362305982E-2</v>
      </c>
      <c r="R8" s="28">
        <f t="shared" si="0"/>
        <v>4.4663680266873174E-2</v>
      </c>
      <c r="S8" s="28">
        <f t="shared" si="0"/>
        <v>3.8060145486575214E-2</v>
      </c>
      <c r="T8" s="28">
        <f t="shared" si="0"/>
        <v>3.6665499511254751E-2</v>
      </c>
      <c r="U8" s="28">
        <f t="shared" si="0"/>
        <v>3.5263178693685449E-2</v>
      </c>
      <c r="V8" s="28">
        <f t="shared" si="0"/>
        <v>3.3854652830618059E-2</v>
      </c>
      <c r="W8" s="28">
        <f t="shared" si="0"/>
        <v>3.2441437930602168E-2</v>
      </c>
      <c r="X8" s="28">
        <f t="shared" si="0"/>
        <v>3.1025107491775561E-2</v>
      </c>
      <c r="Y8" s="28">
        <f t="shared" si="0"/>
        <v>2.9607302863021934E-2</v>
      </c>
      <c r="Z8" s="28">
        <f t="shared" si="0"/>
        <v>2.8189742634976866E-2</v>
      </c>
      <c r="AA8" s="28">
        <f t="shared" si="0"/>
        <v>2.6774231027564266E-2</v>
      </c>
      <c r="AB8" s="28">
        <f t="shared" si="0"/>
        <v>2.5362665257528949E-2</v>
      </c>
      <c r="AC8" s="28">
        <f t="shared" si="0"/>
        <v>2.3957041882302743E-2</v>
      </c>
      <c r="AD8" s="28">
        <f t="shared" si="0"/>
        <v>2.255946212578297E-2</v>
      </c>
      <c r="AE8" s="28">
        <f t="shared" si="0"/>
        <v>2.117213619661551E-2</v>
      </c>
      <c r="AF8" s="28">
        <f t="shared" si="0"/>
        <v>2.0726011805966227E-2</v>
      </c>
      <c r="AG8" s="28">
        <f t="shared" si="0"/>
        <v>1.7511107224534639E-2</v>
      </c>
      <c r="AH8" s="28">
        <f t="shared" si="0"/>
        <v>1.7095481156450099E-2</v>
      </c>
      <c r="AI8" s="28">
        <f t="shared" si="0"/>
        <v>1.577354806367115E-2</v>
      </c>
      <c r="AJ8" s="28">
        <f t="shared" si="0"/>
        <v>1.4474636698079468E-2</v>
      </c>
      <c r="AK8" s="28">
        <f t="shared" si="0"/>
        <v>1.3201646798768341E-2</v>
      </c>
      <c r="AL8" s="28">
        <f t="shared" si="0"/>
        <v>1.1957589886454345E-2</v>
      </c>
      <c r="AM8" s="28">
        <f t="shared" si="0"/>
        <v>1.0745585764146526E-2</v>
      </c>
      <c r="AN8" s="28">
        <f t="shared" si="0"/>
        <v>9.5688580381303456E-3</v>
      </c>
      <c r="AO8" s="28">
        <f t="shared" si="0"/>
        <v>8.4307286693845462E-3</v>
      </c>
      <c r="AP8" s="28">
        <f t="shared" si="0"/>
        <v>7.1900512870211042E-3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结果比较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2024-07-12T07:56:42Z</dcterms:modified>
</cp:coreProperties>
</file>