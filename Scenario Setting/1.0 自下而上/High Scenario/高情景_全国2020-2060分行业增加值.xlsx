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PS in github\Github China\eps-china2022-smart-trans\Scenario Setting\1.0 自下而上\High Scenario\"/>
    </mc:Choice>
  </mc:AlternateContent>
  <xr:revisionPtr revIDLastSave="0" documentId="13_ncr:1_{70691BCA-F14E-4D12-A54E-BBE3C9B0BDFB}" xr6:coauthVersionLast="47" xr6:coauthVersionMax="47" xr10:uidLastSave="{00000000-0000-0000-0000-000000000000}"/>
  <bookViews>
    <workbookView xWindow="-120" yWindow="-120" windowWidth="29040" windowHeight="15720" activeTab="2" xr2:uid="{7D838572-9969-46BE-9C88-13BDCEECFA3A}"/>
  </bookViews>
  <sheets>
    <sheet name="增加值 (2001-2060, 2012USD)" sheetId="13" r:id="rId1"/>
    <sheet name="情景假设" sheetId="12" r:id="rId2"/>
    <sheet name="增加值 (2001-2060, 2020RMB)" sheetId="10" r:id="rId3"/>
    <sheet name="增加值 (2001-2022, 当年价) " sheetId="19" r:id="rId4"/>
    <sheet name="平滑数据导入" sheetId="17" r:id="rId5"/>
    <sheet name="统计资料" sheetId="1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98" i="12" l="1"/>
  <c r="C99" i="12"/>
  <c r="C100" i="12"/>
  <c r="C101" i="12"/>
  <c r="C102" i="12"/>
  <c r="C103" i="12"/>
  <c r="C104" i="12"/>
  <c r="C105" i="12"/>
  <c r="C106" i="12"/>
  <c r="C107" i="12"/>
  <c r="C108" i="12"/>
  <c r="C109" i="12"/>
  <c r="C110" i="12"/>
  <c r="C111" i="12"/>
  <c r="C112" i="12"/>
  <c r="C113" i="12"/>
  <c r="C114" i="12"/>
  <c r="C115" i="12"/>
  <c r="C116" i="12"/>
  <c r="C117" i="12"/>
  <c r="C118" i="12"/>
  <c r="C119" i="12"/>
  <c r="C97" i="12"/>
  <c r="K62" i="13"/>
  <c r="L62" i="13"/>
  <c r="M62" i="13"/>
  <c r="N62" i="13"/>
  <c r="O62" i="13"/>
  <c r="P62" i="13"/>
  <c r="Q62" i="13"/>
  <c r="R62" i="13"/>
  <c r="S62" i="13"/>
  <c r="T62" i="13"/>
  <c r="U62" i="13"/>
  <c r="V62" i="13"/>
  <c r="W62" i="13"/>
  <c r="K63" i="13"/>
  <c r="L63" i="13"/>
  <c r="M63" i="13"/>
  <c r="N63" i="13"/>
  <c r="O63" i="13"/>
  <c r="P63" i="13"/>
  <c r="Q63" i="13"/>
  <c r="R63" i="13"/>
  <c r="S63" i="13"/>
  <c r="T63" i="13"/>
  <c r="U63" i="13"/>
  <c r="V63" i="13"/>
  <c r="W63" i="13"/>
  <c r="K64" i="13"/>
  <c r="L64" i="13"/>
  <c r="M64" i="13"/>
  <c r="N64" i="13"/>
  <c r="O64" i="13"/>
  <c r="P64" i="13"/>
  <c r="Q64" i="13"/>
  <c r="R64" i="13"/>
  <c r="S64" i="13"/>
  <c r="T64" i="13"/>
  <c r="U64" i="13"/>
  <c r="V64" i="13"/>
  <c r="W64" i="13"/>
  <c r="K65" i="13"/>
  <c r="L65" i="13"/>
  <c r="M65" i="13"/>
  <c r="N65" i="13"/>
  <c r="O65" i="13"/>
  <c r="P65" i="13"/>
  <c r="Q65" i="13"/>
  <c r="R65" i="13"/>
  <c r="S65" i="13"/>
  <c r="T65" i="13"/>
  <c r="U65" i="13"/>
  <c r="V65" i="13"/>
  <c r="W65" i="13"/>
  <c r="K66" i="13"/>
  <c r="L66" i="13"/>
  <c r="M66" i="13"/>
  <c r="N66" i="13"/>
  <c r="O66" i="13"/>
  <c r="P66" i="13"/>
  <c r="Q66" i="13"/>
  <c r="R66" i="13"/>
  <c r="S66" i="13"/>
  <c r="T66" i="13"/>
  <c r="U66" i="13"/>
  <c r="V66" i="13"/>
  <c r="W66" i="13"/>
  <c r="K67" i="13"/>
  <c r="L67" i="13"/>
  <c r="M67" i="13"/>
  <c r="N67" i="13"/>
  <c r="O67" i="13"/>
  <c r="P67" i="13"/>
  <c r="Q67" i="13"/>
  <c r="R67" i="13"/>
  <c r="S67" i="13"/>
  <c r="T67" i="13"/>
  <c r="U67" i="13"/>
  <c r="V67" i="13"/>
  <c r="W67" i="13"/>
  <c r="K68" i="13"/>
  <c r="L68" i="13"/>
  <c r="M68" i="13"/>
  <c r="N68" i="13"/>
  <c r="O68" i="13"/>
  <c r="P68" i="13"/>
  <c r="Q68" i="13"/>
  <c r="R68" i="13"/>
  <c r="S68" i="13"/>
  <c r="T68" i="13"/>
  <c r="U68" i="13"/>
  <c r="V68" i="13"/>
  <c r="W68" i="13"/>
  <c r="K69" i="13"/>
  <c r="L69" i="13"/>
  <c r="M69" i="13"/>
  <c r="N69" i="13"/>
  <c r="O69" i="13"/>
  <c r="P69" i="13"/>
  <c r="Q69" i="13"/>
  <c r="R69" i="13"/>
  <c r="S69" i="13"/>
  <c r="T69" i="13"/>
  <c r="U69" i="13"/>
  <c r="V69" i="13"/>
  <c r="W69" i="13"/>
  <c r="K70" i="13"/>
  <c r="L70" i="13"/>
  <c r="M70" i="13"/>
  <c r="N70" i="13"/>
  <c r="O70" i="13"/>
  <c r="P70" i="13"/>
  <c r="Q70" i="13"/>
  <c r="R70" i="13"/>
  <c r="S70" i="13"/>
  <c r="T70" i="13"/>
  <c r="U70" i="13"/>
  <c r="V70" i="13"/>
  <c r="W70" i="13"/>
  <c r="C56" i="13"/>
  <c r="D56" i="13"/>
  <c r="E56" i="13"/>
  <c r="F56" i="13"/>
  <c r="G56" i="13"/>
  <c r="H56" i="13"/>
  <c r="I56" i="13"/>
  <c r="J56" i="13"/>
  <c r="K56" i="13"/>
  <c r="L56" i="13"/>
  <c r="M56" i="13"/>
  <c r="N56" i="13"/>
  <c r="O56" i="13"/>
  <c r="P56" i="13"/>
  <c r="Q56" i="13"/>
  <c r="R56" i="13"/>
  <c r="S56" i="13"/>
  <c r="T56" i="13"/>
  <c r="U56" i="13"/>
  <c r="V56" i="13"/>
  <c r="W56" i="13"/>
  <c r="AJ56" i="13"/>
  <c r="C57" i="13"/>
  <c r="D57" i="13"/>
  <c r="E57" i="13"/>
  <c r="F57" i="13"/>
  <c r="G57" i="13"/>
  <c r="H57" i="13"/>
  <c r="I57" i="13"/>
  <c r="J57" i="13"/>
  <c r="K57" i="13"/>
  <c r="L57" i="13"/>
  <c r="M57" i="13"/>
  <c r="N57" i="13"/>
  <c r="O57" i="13"/>
  <c r="P57" i="13"/>
  <c r="Q57" i="13"/>
  <c r="R57" i="13"/>
  <c r="S57" i="13"/>
  <c r="T57" i="13"/>
  <c r="U57" i="13"/>
  <c r="V57" i="13"/>
  <c r="W57" i="13"/>
  <c r="C58" i="13"/>
  <c r="D58" i="13"/>
  <c r="E58" i="13"/>
  <c r="F58" i="13"/>
  <c r="G58" i="13"/>
  <c r="H58" i="13"/>
  <c r="I58" i="13"/>
  <c r="J58" i="13"/>
  <c r="K58" i="13"/>
  <c r="L58" i="13"/>
  <c r="M58" i="13"/>
  <c r="N58" i="13"/>
  <c r="O58" i="13"/>
  <c r="P58" i="13"/>
  <c r="Q58" i="13"/>
  <c r="R58" i="13"/>
  <c r="S58" i="13"/>
  <c r="T58" i="13"/>
  <c r="U58" i="13"/>
  <c r="V58" i="13"/>
  <c r="W58" i="13"/>
  <c r="C59" i="13"/>
  <c r="D59" i="13"/>
  <c r="E59" i="13"/>
  <c r="F59" i="13"/>
  <c r="G59" i="13"/>
  <c r="H59" i="13"/>
  <c r="I59" i="13"/>
  <c r="J59" i="13"/>
  <c r="K59" i="13"/>
  <c r="L59" i="13"/>
  <c r="M59" i="13"/>
  <c r="N59" i="13"/>
  <c r="O59" i="13"/>
  <c r="P59" i="13"/>
  <c r="Q59" i="13"/>
  <c r="R59" i="13"/>
  <c r="S59" i="13"/>
  <c r="T59" i="13"/>
  <c r="U59" i="13"/>
  <c r="V59" i="13"/>
  <c r="W59" i="13"/>
  <c r="C60" i="13"/>
  <c r="D60" i="13"/>
  <c r="E60" i="13"/>
  <c r="F60" i="13"/>
  <c r="G60" i="13"/>
  <c r="H60" i="13"/>
  <c r="I60" i="13"/>
  <c r="J60" i="13"/>
  <c r="K60" i="13"/>
  <c r="L60" i="13"/>
  <c r="M60" i="13"/>
  <c r="N60" i="13"/>
  <c r="O60" i="13"/>
  <c r="P60" i="13"/>
  <c r="Q60" i="13"/>
  <c r="R60" i="13"/>
  <c r="S60" i="13"/>
  <c r="T60" i="13"/>
  <c r="U60" i="13"/>
  <c r="V60" i="13"/>
  <c r="W60" i="13"/>
  <c r="C61" i="13"/>
  <c r="D61" i="13"/>
  <c r="E61" i="13"/>
  <c r="F61" i="13"/>
  <c r="G61" i="13"/>
  <c r="H61" i="13"/>
  <c r="I61" i="13"/>
  <c r="J61" i="13"/>
  <c r="K61" i="13"/>
  <c r="L61" i="13"/>
  <c r="M61" i="13"/>
  <c r="N61" i="13"/>
  <c r="O61" i="13"/>
  <c r="P61" i="13"/>
  <c r="Q61" i="13"/>
  <c r="R61" i="13"/>
  <c r="S61" i="13"/>
  <c r="T61" i="13"/>
  <c r="U61" i="13"/>
  <c r="V61" i="13"/>
  <c r="W61" i="13"/>
  <c r="B57" i="13"/>
  <c r="B58" i="13"/>
  <c r="B59" i="13"/>
  <c r="B60" i="13"/>
  <c r="B61" i="13"/>
  <c r="B56" i="13"/>
  <c r="I14" i="13"/>
  <c r="J14" i="13"/>
  <c r="K14" i="13"/>
  <c r="L14" i="13"/>
  <c r="M14" i="13"/>
  <c r="N14" i="13"/>
  <c r="O14" i="13"/>
  <c r="P14" i="13"/>
  <c r="Q14" i="13"/>
  <c r="R14" i="13"/>
  <c r="S14" i="13"/>
  <c r="T14" i="13"/>
  <c r="U14" i="13"/>
  <c r="V14" i="13"/>
  <c r="W14" i="13"/>
  <c r="I15" i="13"/>
  <c r="J15" i="13"/>
  <c r="K15" i="13"/>
  <c r="L15" i="13"/>
  <c r="M15" i="13"/>
  <c r="N15" i="13"/>
  <c r="O15" i="13"/>
  <c r="P15" i="13"/>
  <c r="Q15" i="13"/>
  <c r="R15" i="13"/>
  <c r="S15" i="13"/>
  <c r="T15" i="13"/>
  <c r="U15" i="13"/>
  <c r="V15" i="13"/>
  <c r="W15" i="13"/>
  <c r="I16" i="13"/>
  <c r="J16" i="13"/>
  <c r="K16" i="13"/>
  <c r="L16" i="13"/>
  <c r="M16" i="13"/>
  <c r="N16" i="13"/>
  <c r="O16" i="13"/>
  <c r="P16" i="13"/>
  <c r="Q16" i="13"/>
  <c r="R16" i="13"/>
  <c r="S16" i="13"/>
  <c r="T16" i="13"/>
  <c r="U16" i="13"/>
  <c r="V16" i="13"/>
  <c r="W16" i="13"/>
  <c r="I17" i="13"/>
  <c r="J17" i="13"/>
  <c r="K17" i="13"/>
  <c r="L17" i="13"/>
  <c r="M17" i="13"/>
  <c r="N17" i="13"/>
  <c r="O17" i="13"/>
  <c r="P17" i="13"/>
  <c r="Q17" i="13"/>
  <c r="R17" i="13"/>
  <c r="S17" i="13"/>
  <c r="T17" i="13"/>
  <c r="U17" i="13"/>
  <c r="V17" i="13"/>
  <c r="W17" i="13"/>
  <c r="I18" i="13"/>
  <c r="J18" i="13"/>
  <c r="K18" i="13"/>
  <c r="L18" i="13"/>
  <c r="M18" i="13"/>
  <c r="N18" i="13"/>
  <c r="O18" i="13"/>
  <c r="P18" i="13"/>
  <c r="Q18" i="13"/>
  <c r="R18" i="13"/>
  <c r="S18" i="13"/>
  <c r="T18" i="13"/>
  <c r="U18" i="13"/>
  <c r="V18" i="13"/>
  <c r="W18" i="13"/>
  <c r="I19" i="13"/>
  <c r="J19" i="13"/>
  <c r="K19" i="13"/>
  <c r="L19" i="13"/>
  <c r="M19" i="13"/>
  <c r="N19" i="13"/>
  <c r="O19" i="13"/>
  <c r="P19" i="13"/>
  <c r="Q19" i="13"/>
  <c r="R19" i="13"/>
  <c r="S19" i="13"/>
  <c r="T19" i="13"/>
  <c r="U19" i="13"/>
  <c r="V19" i="13"/>
  <c r="W19" i="13"/>
  <c r="I20" i="13"/>
  <c r="J20" i="13"/>
  <c r="K20" i="13"/>
  <c r="L20" i="13"/>
  <c r="M20" i="13"/>
  <c r="N20" i="13"/>
  <c r="O20" i="13"/>
  <c r="P20" i="13"/>
  <c r="Q20" i="13"/>
  <c r="R20" i="13"/>
  <c r="S20" i="13"/>
  <c r="T20" i="13"/>
  <c r="U20" i="13"/>
  <c r="V20" i="13"/>
  <c r="W20" i="13"/>
  <c r="I21" i="13"/>
  <c r="J21" i="13"/>
  <c r="K21" i="13"/>
  <c r="L21" i="13"/>
  <c r="M21" i="13"/>
  <c r="N21" i="13"/>
  <c r="O21" i="13"/>
  <c r="P21" i="13"/>
  <c r="Q21" i="13"/>
  <c r="R21" i="13"/>
  <c r="S21" i="13"/>
  <c r="T21" i="13"/>
  <c r="U21" i="13"/>
  <c r="V21" i="13"/>
  <c r="W21" i="13"/>
  <c r="I22" i="13"/>
  <c r="J22" i="13"/>
  <c r="K22" i="13"/>
  <c r="L22" i="13"/>
  <c r="M22" i="13"/>
  <c r="N22" i="13"/>
  <c r="O22" i="13"/>
  <c r="P22" i="13"/>
  <c r="Q22" i="13"/>
  <c r="R22" i="13"/>
  <c r="S22" i="13"/>
  <c r="T22" i="13"/>
  <c r="U22" i="13"/>
  <c r="V22" i="13"/>
  <c r="W22" i="13"/>
  <c r="I23" i="13"/>
  <c r="J23" i="13"/>
  <c r="K23" i="13"/>
  <c r="L23" i="13"/>
  <c r="M23" i="13"/>
  <c r="N23" i="13"/>
  <c r="O23" i="13"/>
  <c r="P23" i="13"/>
  <c r="Q23" i="13"/>
  <c r="R23" i="13"/>
  <c r="S23" i="13"/>
  <c r="T23" i="13"/>
  <c r="U23" i="13"/>
  <c r="V23" i="13"/>
  <c r="W23" i="13"/>
  <c r="I24" i="13"/>
  <c r="J24" i="13"/>
  <c r="K24" i="13"/>
  <c r="L24" i="13"/>
  <c r="M24" i="13"/>
  <c r="N24" i="13"/>
  <c r="O24" i="13"/>
  <c r="P24" i="13"/>
  <c r="Q24" i="13"/>
  <c r="R24" i="13"/>
  <c r="S24" i="13"/>
  <c r="T24" i="13"/>
  <c r="U24" i="13"/>
  <c r="V24" i="13"/>
  <c r="W24" i="13"/>
  <c r="I25" i="13"/>
  <c r="J25" i="13"/>
  <c r="K25" i="13"/>
  <c r="L25" i="13"/>
  <c r="M25" i="13"/>
  <c r="N25" i="13"/>
  <c r="O25" i="13"/>
  <c r="P25" i="13"/>
  <c r="Q25" i="13"/>
  <c r="R25" i="13"/>
  <c r="S25" i="13"/>
  <c r="T25" i="13"/>
  <c r="U25" i="13"/>
  <c r="V25" i="13"/>
  <c r="W25" i="13"/>
  <c r="I26" i="13"/>
  <c r="J26" i="13"/>
  <c r="K26" i="13"/>
  <c r="L26" i="13"/>
  <c r="M26" i="13"/>
  <c r="N26" i="13"/>
  <c r="O26" i="13"/>
  <c r="P26" i="13"/>
  <c r="Q26" i="13"/>
  <c r="R26" i="13"/>
  <c r="S26" i="13"/>
  <c r="T26" i="13"/>
  <c r="U26" i="13"/>
  <c r="V26" i="13"/>
  <c r="W26" i="13"/>
  <c r="I27" i="13"/>
  <c r="J27" i="13"/>
  <c r="K27" i="13"/>
  <c r="L27" i="13"/>
  <c r="M27" i="13"/>
  <c r="N27" i="13"/>
  <c r="O27" i="13"/>
  <c r="P27" i="13"/>
  <c r="Q27" i="13"/>
  <c r="R27" i="13"/>
  <c r="S27" i="13"/>
  <c r="T27" i="13"/>
  <c r="U27" i="13"/>
  <c r="V27" i="13"/>
  <c r="W27" i="13"/>
  <c r="I28" i="13"/>
  <c r="J28" i="13"/>
  <c r="K28" i="13"/>
  <c r="L28" i="13"/>
  <c r="M28" i="13"/>
  <c r="N28" i="13"/>
  <c r="O28" i="13"/>
  <c r="P28" i="13"/>
  <c r="Q28" i="13"/>
  <c r="R28" i="13"/>
  <c r="S28" i="13"/>
  <c r="T28" i="13"/>
  <c r="U28" i="13"/>
  <c r="V28" i="13"/>
  <c r="W28" i="13"/>
  <c r="I29" i="13"/>
  <c r="J29" i="13"/>
  <c r="K29" i="13"/>
  <c r="L29" i="13"/>
  <c r="M29" i="13"/>
  <c r="N29" i="13"/>
  <c r="O29" i="13"/>
  <c r="P29" i="13"/>
  <c r="Q29" i="13"/>
  <c r="R29" i="13"/>
  <c r="S29" i="13"/>
  <c r="T29" i="13"/>
  <c r="U29" i="13"/>
  <c r="V29" i="13"/>
  <c r="W29" i="13"/>
  <c r="I30" i="13"/>
  <c r="J30" i="13"/>
  <c r="K30" i="13"/>
  <c r="L30" i="13"/>
  <c r="M30" i="13"/>
  <c r="N30" i="13"/>
  <c r="O30" i="13"/>
  <c r="P30" i="13"/>
  <c r="Q30" i="13"/>
  <c r="R30" i="13"/>
  <c r="S30" i="13"/>
  <c r="T30" i="13"/>
  <c r="U30" i="13"/>
  <c r="V30" i="13"/>
  <c r="W30" i="13"/>
  <c r="I31" i="13"/>
  <c r="J31" i="13"/>
  <c r="K31" i="13"/>
  <c r="L31" i="13"/>
  <c r="M31" i="13"/>
  <c r="N31" i="13"/>
  <c r="O31" i="13"/>
  <c r="P31" i="13"/>
  <c r="Q31" i="13"/>
  <c r="R31" i="13"/>
  <c r="S31" i="13"/>
  <c r="T31" i="13"/>
  <c r="U31" i="13"/>
  <c r="V31" i="13"/>
  <c r="W31" i="13"/>
  <c r="I32" i="13"/>
  <c r="J32" i="13"/>
  <c r="K32" i="13"/>
  <c r="L32" i="13"/>
  <c r="M32" i="13"/>
  <c r="N32" i="13"/>
  <c r="O32" i="13"/>
  <c r="P32" i="13"/>
  <c r="Q32" i="13"/>
  <c r="R32" i="13"/>
  <c r="S32" i="13"/>
  <c r="T32" i="13"/>
  <c r="U32" i="13"/>
  <c r="V32" i="13"/>
  <c r="W32" i="13"/>
  <c r="I33" i="13"/>
  <c r="J33" i="13"/>
  <c r="K33" i="13"/>
  <c r="L33" i="13"/>
  <c r="M33" i="13"/>
  <c r="N33" i="13"/>
  <c r="O33" i="13"/>
  <c r="P33" i="13"/>
  <c r="Q33" i="13"/>
  <c r="R33" i="13"/>
  <c r="S33" i="13"/>
  <c r="T33" i="13"/>
  <c r="U33" i="13"/>
  <c r="V33" i="13"/>
  <c r="W33" i="13"/>
  <c r="I34" i="13"/>
  <c r="J34" i="13"/>
  <c r="K34" i="13"/>
  <c r="L34" i="13"/>
  <c r="M34" i="13"/>
  <c r="N34" i="13"/>
  <c r="O34" i="13"/>
  <c r="P34" i="13"/>
  <c r="Q34" i="13"/>
  <c r="R34" i="13"/>
  <c r="S34" i="13"/>
  <c r="T34" i="13"/>
  <c r="U34" i="13"/>
  <c r="V34" i="13"/>
  <c r="W34" i="13"/>
  <c r="I35" i="13"/>
  <c r="J35" i="13"/>
  <c r="K35" i="13"/>
  <c r="L35" i="13"/>
  <c r="M35" i="13"/>
  <c r="N35" i="13"/>
  <c r="O35" i="13"/>
  <c r="P35" i="13"/>
  <c r="Q35" i="13"/>
  <c r="R35" i="13"/>
  <c r="S35" i="13"/>
  <c r="T35" i="13"/>
  <c r="U35" i="13"/>
  <c r="V35" i="13"/>
  <c r="W35" i="13"/>
  <c r="I36" i="13"/>
  <c r="J36" i="13"/>
  <c r="K36" i="13"/>
  <c r="L36" i="13"/>
  <c r="M36" i="13"/>
  <c r="N36" i="13"/>
  <c r="O36" i="13"/>
  <c r="P36" i="13"/>
  <c r="Q36" i="13"/>
  <c r="R36" i="13"/>
  <c r="S36" i="13"/>
  <c r="T36" i="13"/>
  <c r="U36" i="13"/>
  <c r="V36" i="13"/>
  <c r="W36" i="13"/>
  <c r="I37" i="13"/>
  <c r="J37" i="13"/>
  <c r="K37" i="13"/>
  <c r="L37" i="13"/>
  <c r="M37" i="13"/>
  <c r="N37" i="13"/>
  <c r="O37" i="13"/>
  <c r="P37" i="13"/>
  <c r="Q37" i="13"/>
  <c r="R37" i="13"/>
  <c r="S37" i="13"/>
  <c r="T37" i="13"/>
  <c r="U37" i="13"/>
  <c r="V37" i="13"/>
  <c r="W37" i="13"/>
  <c r="I38" i="13"/>
  <c r="J38" i="13"/>
  <c r="K38" i="13"/>
  <c r="L38" i="13"/>
  <c r="M38" i="13"/>
  <c r="N38" i="13"/>
  <c r="O38" i="13"/>
  <c r="P38" i="13"/>
  <c r="Q38" i="13"/>
  <c r="R38" i="13"/>
  <c r="S38" i="13"/>
  <c r="T38" i="13"/>
  <c r="U38" i="13"/>
  <c r="V38" i="13"/>
  <c r="W38" i="13"/>
  <c r="I39" i="13"/>
  <c r="J39" i="13"/>
  <c r="K39" i="13"/>
  <c r="L39" i="13"/>
  <c r="M39" i="13"/>
  <c r="N39" i="13"/>
  <c r="O39" i="13"/>
  <c r="P39" i="13"/>
  <c r="Q39" i="13"/>
  <c r="R39" i="13"/>
  <c r="S39" i="13"/>
  <c r="T39" i="13"/>
  <c r="U39" i="13"/>
  <c r="V39" i="13"/>
  <c r="W39" i="13"/>
  <c r="I40" i="13"/>
  <c r="J40" i="13"/>
  <c r="K40" i="13"/>
  <c r="L40" i="13"/>
  <c r="M40" i="13"/>
  <c r="N40" i="13"/>
  <c r="O40" i="13"/>
  <c r="P40" i="13"/>
  <c r="Q40" i="13"/>
  <c r="R40" i="13"/>
  <c r="S40" i="13"/>
  <c r="T40" i="13"/>
  <c r="U40" i="13"/>
  <c r="V40" i="13"/>
  <c r="W40" i="13"/>
  <c r="I41" i="13"/>
  <c r="J41" i="13"/>
  <c r="K41" i="13"/>
  <c r="L41" i="13"/>
  <c r="M41" i="13"/>
  <c r="N41" i="13"/>
  <c r="O41" i="13"/>
  <c r="P41" i="13"/>
  <c r="Q41" i="13"/>
  <c r="R41" i="13"/>
  <c r="S41" i="13"/>
  <c r="T41" i="13"/>
  <c r="U41" i="13"/>
  <c r="V41" i="13"/>
  <c r="W41" i="13"/>
  <c r="I42" i="13"/>
  <c r="J42" i="13"/>
  <c r="K42" i="13"/>
  <c r="L42" i="13"/>
  <c r="M42" i="13"/>
  <c r="N42" i="13"/>
  <c r="O42" i="13"/>
  <c r="P42" i="13"/>
  <c r="Q42" i="13"/>
  <c r="R42" i="13"/>
  <c r="S42" i="13"/>
  <c r="T42" i="13"/>
  <c r="U42" i="13"/>
  <c r="V42" i="13"/>
  <c r="W42" i="13"/>
  <c r="I43" i="13"/>
  <c r="J43" i="13"/>
  <c r="K43" i="13"/>
  <c r="L43" i="13"/>
  <c r="M43" i="13"/>
  <c r="N43" i="13"/>
  <c r="O43" i="13"/>
  <c r="P43" i="13"/>
  <c r="Q43" i="13"/>
  <c r="R43" i="13"/>
  <c r="S43" i="13"/>
  <c r="T43" i="13"/>
  <c r="U43" i="13"/>
  <c r="V43" i="13"/>
  <c r="W43" i="13"/>
  <c r="I44" i="13"/>
  <c r="J44" i="13"/>
  <c r="K44" i="13"/>
  <c r="L44" i="13"/>
  <c r="M44" i="13"/>
  <c r="N44" i="13"/>
  <c r="O44" i="13"/>
  <c r="P44" i="13"/>
  <c r="Q44" i="13"/>
  <c r="R44" i="13"/>
  <c r="S44" i="13"/>
  <c r="T44" i="13"/>
  <c r="U44" i="13"/>
  <c r="V44" i="13"/>
  <c r="W44" i="13"/>
  <c r="I45" i="13"/>
  <c r="J45" i="13"/>
  <c r="K45" i="13"/>
  <c r="L45" i="13"/>
  <c r="M45" i="13"/>
  <c r="N45" i="13"/>
  <c r="O45" i="13"/>
  <c r="P45" i="13"/>
  <c r="Q45" i="13"/>
  <c r="R45" i="13"/>
  <c r="S45" i="13"/>
  <c r="T45" i="13"/>
  <c r="U45" i="13"/>
  <c r="V45" i="13"/>
  <c r="W45" i="13"/>
  <c r="I46" i="13"/>
  <c r="J46" i="13"/>
  <c r="K46" i="13"/>
  <c r="L46" i="13"/>
  <c r="M46" i="13"/>
  <c r="N46" i="13"/>
  <c r="O46" i="13"/>
  <c r="P46" i="13"/>
  <c r="Q46" i="13"/>
  <c r="R46" i="13"/>
  <c r="S46" i="13"/>
  <c r="T46" i="13"/>
  <c r="U46" i="13"/>
  <c r="V46" i="13"/>
  <c r="W46" i="13"/>
  <c r="I47" i="13"/>
  <c r="J47" i="13"/>
  <c r="K47" i="13"/>
  <c r="L47" i="13"/>
  <c r="M47" i="13"/>
  <c r="N47" i="13"/>
  <c r="O47" i="13"/>
  <c r="P47" i="13"/>
  <c r="Q47" i="13"/>
  <c r="R47" i="13"/>
  <c r="S47" i="13"/>
  <c r="T47" i="13"/>
  <c r="U47" i="13"/>
  <c r="V47" i="13"/>
  <c r="W47" i="13"/>
  <c r="I48" i="13"/>
  <c r="J48" i="13"/>
  <c r="K48" i="13"/>
  <c r="L48" i="13"/>
  <c r="M48" i="13"/>
  <c r="N48" i="13"/>
  <c r="O48" i="13"/>
  <c r="P48" i="13"/>
  <c r="Q48" i="13"/>
  <c r="R48" i="13"/>
  <c r="S48" i="13"/>
  <c r="T48" i="13"/>
  <c r="U48" i="13"/>
  <c r="V48" i="13"/>
  <c r="W48" i="13"/>
  <c r="I49" i="13"/>
  <c r="J49" i="13"/>
  <c r="K49" i="13"/>
  <c r="L49" i="13"/>
  <c r="M49" i="13"/>
  <c r="N49" i="13"/>
  <c r="O49" i="13"/>
  <c r="P49" i="13"/>
  <c r="Q49" i="13"/>
  <c r="R49" i="13"/>
  <c r="S49" i="13"/>
  <c r="T49" i="13"/>
  <c r="U49" i="13"/>
  <c r="V49" i="13"/>
  <c r="W49" i="13"/>
  <c r="I50" i="13"/>
  <c r="J50" i="13"/>
  <c r="K50" i="13"/>
  <c r="L50" i="13"/>
  <c r="M50" i="13"/>
  <c r="N50" i="13"/>
  <c r="O50" i="13"/>
  <c r="P50" i="13"/>
  <c r="Q50" i="13"/>
  <c r="R50" i="13"/>
  <c r="S50" i="13"/>
  <c r="T50" i="13"/>
  <c r="U50" i="13"/>
  <c r="V50" i="13"/>
  <c r="W50" i="13"/>
  <c r="I51" i="13"/>
  <c r="J51" i="13"/>
  <c r="K51" i="13"/>
  <c r="L51" i="13"/>
  <c r="M51" i="13"/>
  <c r="N51" i="13"/>
  <c r="O51" i="13"/>
  <c r="P51" i="13"/>
  <c r="Q51" i="13"/>
  <c r="R51" i="13"/>
  <c r="S51" i="13"/>
  <c r="T51" i="13"/>
  <c r="U51" i="13"/>
  <c r="V51" i="13"/>
  <c r="W51" i="13"/>
  <c r="I52" i="13"/>
  <c r="J52" i="13"/>
  <c r="K52" i="13"/>
  <c r="L52" i="13"/>
  <c r="M52" i="13"/>
  <c r="N52" i="13"/>
  <c r="O52" i="13"/>
  <c r="P52" i="13"/>
  <c r="Q52" i="13"/>
  <c r="R52" i="13"/>
  <c r="S52" i="13"/>
  <c r="T52" i="13"/>
  <c r="U52" i="13"/>
  <c r="V52" i="13"/>
  <c r="W52" i="13"/>
  <c r="I53" i="13"/>
  <c r="J53" i="13"/>
  <c r="K53" i="13"/>
  <c r="L53" i="13"/>
  <c r="M53" i="13"/>
  <c r="N53" i="13"/>
  <c r="O53" i="13"/>
  <c r="P53" i="13"/>
  <c r="Q53" i="13"/>
  <c r="R53" i="13"/>
  <c r="S53" i="13"/>
  <c r="T53" i="13"/>
  <c r="U53" i="13"/>
  <c r="V53" i="13"/>
  <c r="W53" i="13"/>
  <c r="I54" i="13"/>
  <c r="J54" i="13"/>
  <c r="K54" i="13"/>
  <c r="L54" i="13"/>
  <c r="M54" i="13"/>
  <c r="N54" i="13"/>
  <c r="O54" i="13"/>
  <c r="P54" i="13"/>
  <c r="Q54" i="13"/>
  <c r="R54" i="13"/>
  <c r="S54" i="13"/>
  <c r="T54" i="13"/>
  <c r="U54" i="13"/>
  <c r="V54" i="13"/>
  <c r="W54" i="13"/>
  <c r="C13" i="13"/>
  <c r="D13" i="13"/>
  <c r="E13" i="13"/>
  <c r="F13" i="13"/>
  <c r="G13" i="13"/>
  <c r="H13" i="13"/>
  <c r="I13" i="13"/>
  <c r="J13" i="13"/>
  <c r="K13" i="13"/>
  <c r="L13" i="13"/>
  <c r="M13" i="13"/>
  <c r="N13" i="13"/>
  <c r="O13" i="13"/>
  <c r="P13" i="13"/>
  <c r="Q13" i="13"/>
  <c r="R13" i="13"/>
  <c r="S13" i="13"/>
  <c r="T13" i="13"/>
  <c r="U13" i="13"/>
  <c r="V13" i="13"/>
  <c r="W13" i="13"/>
  <c r="Z13" i="13"/>
  <c r="AE13" i="13"/>
  <c r="AJ13" i="13"/>
  <c r="B13" i="13"/>
  <c r="C2" i="13"/>
  <c r="D2" i="13"/>
  <c r="E2" i="13"/>
  <c r="F2" i="13"/>
  <c r="G2" i="13"/>
  <c r="H2" i="13"/>
  <c r="I2" i="13"/>
  <c r="J2" i="13"/>
  <c r="K2" i="13"/>
  <c r="L2" i="13"/>
  <c r="M2" i="13"/>
  <c r="N2" i="13"/>
  <c r="O2" i="13"/>
  <c r="P2" i="13"/>
  <c r="Q2" i="13"/>
  <c r="R2" i="13"/>
  <c r="S2" i="13"/>
  <c r="T2" i="13"/>
  <c r="U2" i="13"/>
  <c r="V2" i="13"/>
  <c r="W2" i="13"/>
  <c r="Z2" i="13"/>
  <c r="AE2" i="13"/>
  <c r="AJ2" i="13"/>
  <c r="C3" i="13"/>
  <c r="D3" i="13"/>
  <c r="E3" i="13"/>
  <c r="F3" i="13"/>
  <c r="G3" i="13"/>
  <c r="H3" i="13"/>
  <c r="I3" i="13"/>
  <c r="J3" i="13"/>
  <c r="K3" i="13"/>
  <c r="L3" i="13"/>
  <c r="M3" i="13"/>
  <c r="N3" i="13"/>
  <c r="O3" i="13"/>
  <c r="P3" i="13"/>
  <c r="Q3" i="13"/>
  <c r="R3" i="13"/>
  <c r="S3" i="13"/>
  <c r="T3" i="13"/>
  <c r="U3" i="13"/>
  <c r="V3" i="13"/>
  <c r="W3" i="13"/>
  <c r="AJ3" i="13"/>
  <c r="C4" i="13"/>
  <c r="D4" i="13"/>
  <c r="E4" i="13"/>
  <c r="F4" i="13"/>
  <c r="G4" i="13"/>
  <c r="H4" i="13"/>
  <c r="I4" i="13"/>
  <c r="J4" i="13"/>
  <c r="K4" i="13"/>
  <c r="L4" i="13"/>
  <c r="M4" i="13"/>
  <c r="N4" i="13"/>
  <c r="O4" i="13"/>
  <c r="P4" i="13"/>
  <c r="Q4" i="13"/>
  <c r="R4" i="13"/>
  <c r="S4" i="13"/>
  <c r="T4" i="13"/>
  <c r="U4" i="13"/>
  <c r="V4" i="13"/>
  <c r="W4" i="13"/>
  <c r="Z4" i="13"/>
  <c r="AE4" i="13"/>
  <c r="AJ4" i="13"/>
  <c r="C5" i="13"/>
  <c r="D5" i="13"/>
  <c r="E5" i="13"/>
  <c r="F5" i="13"/>
  <c r="G5" i="13"/>
  <c r="H5" i="13"/>
  <c r="I5" i="13"/>
  <c r="J5" i="13"/>
  <c r="K5" i="13"/>
  <c r="L5" i="13"/>
  <c r="M5" i="13"/>
  <c r="N5" i="13"/>
  <c r="O5" i="13"/>
  <c r="P5" i="13"/>
  <c r="Q5" i="13"/>
  <c r="R5" i="13"/>
  <c r="S5" i="13"/>
  <c r="T5" i="13"/>
  <c r="U5" i="13"/>
  <c r="V5" i="13"/>
  <c r="W5" i="13"/>
  <c r="Z5" i="13"/>
  <c r="AE5" i="13"/>
  <c r="AJ5" i="13"/>
  <c r="C6" i="13"/>
  <c r="D6" i="13"/>
  <c r="E6" i="13"/>
  <c r="F6" i="13"/>
  <c r="G6" i="13"/>
  <c r="H6" i="13"/>
  <c r="I6" i="13"/>
  <c r="J6" i="13"/>
  <c r="K6" i="13"/>
  <c r="L6" i="13"/>
  <c r="M6" i="13"/>
  <c r="N6" i="13"/>
  <c r="O6" i="13"/>
  <c r="P6" i="13"/>
  <c r="Q6" i="13"/>
  <c r="R6" i="13"/>
  <c r="S6" i="13"/>
  <c r="T6" i="13"/>
  <c r="U6" i="13"/>
  <c r="V6" i="13"/>
  <c r="W6" i="13"/>
  <c r="C7" i="13"/>
  <c r="D7" i="13"/>
  <c r="E7" i="13"/>
  <c r="F7" i="13"/>
  <c r="G7" i="13"/>
  <c r="H7" i="13"/>
  <c r="I7" i="13"/>
  <c r="J7" i="13"/>
  <c r="K7" i="13"/>
  <c r="L7" i="13"/>
  <c r="M7" i="13"/>
  <c r="N7" i="13"/>
  <c r="O7" i="13"/>
  <c r="P7" i="13"/>
  <c r="Q7" i="13"/>
  <c r="R7" i="13"/>
  <c r="S7" i="13"/>
  <c r="T7" i="13"/>
  <c r="U7" i="13"/>
  <c r="V7" i="13"/>
  <c r="W7" i="13"/>
  <c r="C8" i="13"/>
  <c r="D8" i="13"/>
  <c r="E8" i="13"/>
  <c r="F8" i="13"/>
  <c r="G8" i="13"/>
  <c r="H8" i="13"/>
  <c r="I8" i="13"/>
  <c r="J8" i="13"/>
  <c r="K8" i="13"/>
  <c r="L8" i="13"/>
  <c r="M8" i="13"/>
  <c r="N8" i="13"/>
  <c r="O8" i="13"/>
  <c r="P8" i="13"/>
  <c r="Q8" i="13"/>
  <c r="R8" i="13"/>
  <c r="S8" i="13"/>
  <c r="T8" i="13"/>
  <c r="U8" i="13"/>
  <c r="V8" i="13"/>
  <c r="W8" i="13"/>
  <c r="C9" i="13"/>
  <c r="D9" i="13"/>
  <c r="E9" i="13"/>
  <c r="F9" i="13"/>
  <c r="G9" i="13"/>
  <c r="H9" i="13"/>
  <c r="I9" i="13"/>
  <c r="J9" i="13"/>
  <c r="K9" i="13"/>
  <c r="L9" i="13"/>
  <c r="M9" i="13"/>
  <c r="N9" i="13"/>
  <c r="O9" i="13"/>
  <c r="P9" i="13"/>
  <c r="Q9" i="13"/>
  <c r="R9" i="13"/>
  <c r="S9" i="13"/>
  <c r="T9" i="13"/>
  <c r="U9" i="13"/>
  <c r="V9" i="13"/>
  <c r="W9" i="13"/>
  <c r="C10" i="13"/>
  <c r="D10" i="13"/>
  <c r="E10" i="13"/>
  <c r="F10" i="13"/>
  <c r="G10" i="13"/>
  <c r="H10" i="13"/>
  <c r="I10" i="13"/>
  <c r="J10" i="13"/>
  <c r="K10" i="13"/>
  <c r="L10" i="13"/>
  <c r="M10" i="13"/>
  <c r="N10" i="13"/>
  <c r="O10" i="13"/>
  <c r="P10" i="13"/>
  <c r="Q10" i="13"/>
  <c r="R10" i="13"/>
  <c r="S10" i="13"/>
  <c r="T10" i="13"/>
  <c r="U10" i="13"/>
  <c r="V10" i="13"/>
  <c r="W10" i="13"/>
  <c r="C11" i="13"/>
  <c r="D11" i="13"/>
  <c r="E11" i="13"/>
  <c r="F11" i="13"/>
  <c r="G11" i="13"/>
  <c r="H11" i="13"/>
  <c r="I11" i="13"/>
  <c r="J11" i="13"/>
  <c r="K11" i="13"/>
  <c r="L11" i="13"/>
  <c r="M11" i="13"/>
  <c r="N11" i="13"/>
  <c r="O11" i="13"/>
  <c r="P11" i="13"/>
  <c r="Q11" i="13"/>
  <c r="R11" i="13"/>
  <c r="S11" i="13"/>
  <c r="T11" i="13"/>
  <c r="U11" i="13"/>
  <c r="V11" i="13"/>
  <c r="W11" i="13"/>
  <c r="B3" i="13"/>
  <c r="B4" i="13"/>
  <c r="B5" i="13"/>
  <c r="B6" i="13"/>
  <c r="B7" i="13"/>
  <c r="B8" i="13"/>
  <c r="B9" i="13"/>
  <c r="B10" i="13"/>
  <c r="B11" i="13"/>
  <c r="B2" i="13"/>
  <c r="K50" i="12"/>
  <c r="K52" i="12"/>
  <c r="K54" i="12"/>
  <c r="K58" i="12"/>
  <c r="K60" i="12"/>
  <c r="K62" i="12"/>
  <c r="K66" i="12"/>
  <c r="K68" i="12"/>
  <c r="K70" i="12"/>
  <c r="K74" i="12"/>
  <c r="K76" i="12"/>
  <c r="K78" i="12"/>
  <c r="K82" i="12"/>
  <c r="K84" i="12"/>
  <c r="J57" i="12"/>
  <c r="J65" i="12"/>
  <c r="J73" i="12"/>
  <c r="J81" i="12"/>
  <c r="J49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6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47" i="12"/>
  <c r="C47" i="12"/>
  <c r="C48" i="12"/>
  <c r="K48" i="12" s="1"/>
  <c r="C49" i="12"/>
  <c r="M49" i="12" s="1"/>
  <c r="C50" i="12"/>
  <c r="L50" i="12" s="1"/>
  <c r="C51" i="12"/>
  <c r="M51" i="12" s="1"/>
  <c r="C52" i="12"/>
  <c r="L52" i="12" s="1"/>
  <c r="C53" i="12"/>
  <c r="M53" i="12" s="1"/>
  <c r="C54" i="12"/>
  <c r="L54" i="12" s="1"/>
  <c r="C55" i="12"/>
  <c r="M55" i="12" s="1"/>
  <c r="C56" i="12"/>
  <c r="J56" i="12" s="1"/>
  <c r="C57" i="12"/>
  <c r="M57" i="12" s="1"/>
  <c r="C58" i="12"/>
  <c r="L58" i="12" s="1"/>
  <c r="C59" i="12"/>
  <c r="M59" i="12" s="1"/>
  <c r="C60" i="12"/>
  <c r="L60" i="12" s="1"/>
  <c r="C61" i="12"/>
  <c r="M61" i="12" s="1"/>
  <c r="C62" i="12"/>
  <c r="L62" i="12" s="1"/>
  <c r="C63" i="12"/>
  <c r="M63" i="12" s="1"/>
  <c r="C64" i="12"/>
  <c r="J64" i="12" s="1"/>
  <c r="C65" i="12"/>
  <c r="M65" i="12" s="1"/>
  <c r="C66" i="12"/>
  <c r="L66" i="12" s="1"/>
  <c r="C67" i="12"/>
  <c r="M67" i="12" s="1"/>
  <c r="C68" i="12"/>
  <c r="L68" i="12" s="1"/>
  <c r="C69" i="12"/>
  <c r="M69" i="12" s="1"/>
  <c r="C70" i="12"/>
  <c r="L70" i="12" s="1"/>
  <c r="C71" i="12"/>
  <c r="M71" i="12" s="1"/>
  <c r="C72" i="12"/>
  <c r="J72" i="12" s="1"/>
  <c r="C73" i="12"/>
  <c r="M73" i="12" s="1"/>
  <c r="C74" i="12"/>
  <c r="L74" i="12" s="1"/>
  <c r="C75" i="12"/>
  <c r="M75" i="12" s="1"/>
  <c r="C76" i="12"/>
  <c r="L76" i="12" s="1"/>
  <c r="C77" i="12"/>
  <c r="M77" i="12" s="1"/>
  <c r="C78" i="12"/>
  <c r="L78" i="12" s="1"/>
  <c r="C79" i="12"/>
  <c r="M79" i="12" s="1"/>
  <c r="C80" i="12"/>
  <c r="J80" i="12" s="1"/>
  <c r="C81" i="12"/>
  <c r="M81" i="12" s="1"/>
  <c r="C82" i="12"/>
  <c r="L82" i="12" s="1"/>
  <c r="C83" i="12"/>
  <c r="M83" i="12" s="1"/>
  <c r="C84" i="12"/>
  <c r="L84" i="12" s="1"/>
  <c r="C85" i="12"/>
  <c r="M85" i="12" s="1"/>
  <c r="K29" i="12"/>
  <c r="N30" i="12"/>
  <c r="K31" i="12"/>
  <c r="K33" i="12"/>
  <c r="N34" i="12"/>
  <c r="K35" i="12"/>
  <c r="N36" i="12"/>
  <c r="K37" i="12"/>
  <c r="N38" i="12"/>
  <c r="K41" i="12"/>
  <c r="N42" i="12"/>
  <c r="J30" i="12"/>
  <c r="O30" i="12" s="1"/>
  <c r="J37" i="12"/>
  <c r="O37" i="12" s="1"/>
  <c r="J38" i="12"/>
  <c r="O38" i="12" s="1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28" i="12"/>
  <c r="C29" i="12"/>
  <c r="J29" i="12" s="1"/>
  <c r="O29" i="12" s="1"/>
  <c r="C30" i="12"/>
  <c r="L30" i="12" s="1"/>
  <c r="C31" i="12"/>
  <c r="L31" i="12" s="1"/>
  <c r="C32" i="12"/>
  <c r="L32" i="12" s="1"/>
  <c r="C33" i="12"/>
  <c r="L33" i="12" s="1"/>
  <c r="C34" i="12"/>
  <c r="L34" i="12" s="1"/>
  <c r="C35" i="12"/>
  <c r="J35" i="12" s="1"/>
  <c r="O35" i="12" s="1"/>
  <c r="C36" i="12"/>
  <c r="L36" i="12" s="1"/>
  <c r="C37" i="12"/>
  <c r="L37" i="12" s="1"/>
  <c r="C38" i="12"/>
  <c r="L38" i="12" s="1"/>
  <c r="C39" i="12"/>
  <c r="K39" i="12" s="1"/>
  <c r="C40" i="12"/>
  <c r="L40" i="12" s="1"/>
  <c r="C41" i="12"/>
  <c r="L41" i="12" s="1"/>
  <c r="C42" i="12"/>
  <c r="L42" i="12" s="1"/>
  <c r="C28" i="12"/>
  <c r="C125" i="12" l="1"/>
  <c r="C124" i="12"/>
  <c r="C126" i="12"/>
  <c r="C123" i="12"/>
  <c r="J42" i="12"/>
  <c r="O42" i="12" s="1"/>
  <c r="J34" i="12"/>
  <c r="O34" i="12" s="1"/>
  <c r="K42" i="12"/>
  <c r="K40" i="12"/>
  <c r="K38" i="12"/>
  <c r="K36" i="12"/>
  <c r="K34" i="12"/>
  <c r="K32" i="12"/>
  <c r="K30" i="12"/>
  <c r="J78" i="12"/>
  <c r="J70" i="12"/>
  <c r="O70" i="12" s="1"/>
  <c r="J62" i="12"/>
  <c r="J54" i="12"/>
  <c r="L85" i="12"/>
  <c r="L83" i="12"/>
  <c r="L81" i="12"/>
  <c r="L79" i="12"/>
  <c r="L77" i="12"/>
  <c r="L75" i="12"/>
  <c r="L73" i="12"/>
  <c r="L71" i="12"/>
  <c r="L69" i="12"/>
  <c r="L67" i="12"/>
  <c r="L65" i="12"/>
  <c r="L63" i="12"/>
  <c r="L61" i="12"/>
  <c r="L59" i="12"/>
  <c r="L57" i="12"/>
  <c r="L55" i="12"/>
  <c r="L53" i="12"/>
  <c r="L51" i="12"/>
  <c r="L49" i="12"/>
  <c r="N40" i="12"/>
  <c r="N32" i="12"/>
  <c r="K72" i="12"/>
  <c r="K64" i="12"/>
  <c r="J41" i="12"/>
  <c r="O41" i="12" s="1"/>
  <c r="J33" i="12"/>
  <c r="O33" i="12" s="1"/>
  <c r="N41" i="12"/>
  <c r="N39" i="12"/>
  <c r="N37" i="12"/>
  <c r="N35" i="12"/>
  <c r="N33" i="12"/>
  <c r="N31" i="12"/>
  <c r="N29" i="12"/>
  <c r="J48" i="12"/>
  <c r="O48" i="12" s="1"/>
  <c r="J85" i="12"/>
  <c r="J77" i="12"/>
  <c r="J69" i="12"/>
  <c r="J61" i="12"/>
  <c r="J53" i="12"/>
  <c r="O53" i="12" s="1"/>
  <c r="K85" i="12"/>
  <c r="K83" i="12"/>
  <c r="K81" i="12"/>
  <c r="K79" i="12"/>
  <c r="K77" i="12"/>
  <c r="K75" i="12"/>
  <c r="K73" i="12"/>
  <c r="K71" i="12"/>
  <c r="K69" i="12"/>
  <c r="K67" i="12"/>
  <c r="K65" i="12"/>
  <c r="K63" i="12"/>
  <c r="K61" i="12"/>
  <c r="K59" i="12"/>
  <c r="K57" i="12"/>
  <c r="K55" i="12"/>
  <c r="K53" i="12"/>
  <c r="K51" i="12"/>
  <c r="K49" i="12"/>
  <c r="J40" i="12"/>
  <c r="O40" i="12" s="1"/>
  <c r="J32" i="12"/>
  <c r="O32" i="12" s="1"/>
  <c r="M41" i="12"/>
  <c r="M39" i="12"/>
  <c r="M37" i="12"/>
  <c r="M35" i="12"/>
  <c r="M33" i="12"/>
  <c r="M31" i="12"/>
  <c r="M29" i="12"/>
  <c r="J52" i="12"/>
  <c r="J84" i="12"/>
  <c r="J76" i="12"/>
  <c r="J68" i="12"/>
  <c r="O68" i="12" s="1"/>
  <c r="J60" i="12"/>
  <c r="N84" i="12"/>
  <c r="N82" i="12"/>
  <c r="N80" i="12"/>
  <c r="N78" i="12"/>
  <c r="N76" i="12"/>
  <c r="N74" i="12"/>
  <c r="N72" i="12"/>
  <c r="N70" i="12"/>
  <c r="N68" i="12"/>
  <c r="N66" i="12"/>
  <c r="N64" i="12"/>
  <c r="N62" i="12"/>
  <c r="N60" i="12"/>
  <c r="N58" i="12"/>
  <c r="N56" i="12"/>
  <c r="N54" i="12"/>
  <c r="N52" i="12"/>
  <c r="N50" i="12"/>
  <c r="N48" i="12"/>
  <c r="K80" i="12"/>
  <c r="J39" i="12"/>
  <c r="O39" i="12" s="1"/>
  <c r="J31" i="12"/>
  <c r="O31" i="12" s="1"/>
  <c r="L39" i="12"/>
  <c r="L35" i="12"/>
  <c r="L29" i="12"/>
  <c r="J51" i="12"/>
  <c r="J83" i="12"/>
  <c r="O83" i="12" s="1"/>
  <c r="J75" i="12"/>
  <c r="J67" i="12"/>
  <c r="J59" i="12"/>
  <c r="M84" i="12"/>
  <c r="M82" i="12"/>
  <c r="M80" i="12"/>
  <c r="M78" i="12"/>
  <c r="M76" i="12"/>
  <c r="M74" i="12"/>
  <c r="M72" i="12"/>
  <c r="M70" i="12"/>
  <c r="M68" i="12"/>
  <c r="M66" i="12"/>
  <c r="M64" i="12"/>
  <c r="M62" i="12"/>
  <c r="M60" i="12"/>
  <c r="M58" i="12"/>
  <c r="M56" i="12"/>
  <c r="M54" i="12"/>
  <c r="M52" i="12"/>
  <c r="M50" i="12"/>
  <c r="M48" i="12"/>
  <c r="J50" i="12"/>
  <c r="O50" i="12" s="1"/>
  <c r="J82" i="12"/>
  <c r="O82" i="12" s="1"/>
  <c r="J74" i="12"/>
  <c r="J66" i="12"/>
  <c r="J58" i="12"/>
  <c r="O58" i="12" s="1"/>
  <c r="L80" i="12"/>
  <c r="L72" i="12"/>
  <c r="L64" i="12"/>
  <c r="L56" i="12"/>
  <c r="L48" i="12"/>
  <c r="K56" i="12"/>
  <c r="J36" i="12"/>
  <c r="O36" i="12" s="1"/>
  <c r="M42" i="12"/>
  <c r="M40" i="12"/>
  <c r="M38" i="12"/>
  <c r="M36" i="12"/>
  <c r="M34" i="12"/>
  <c r="M32" i="12"/>
  <c r="M30" i="12"/>
  <c r="N85" i="12"/>
  <c r="N83" i="12"/>
  <c r="N81" i="12"/>
  <c r="N79" i="12"/>
  <c r="N77" i="12"/>
  <c r="N75" i="12"/>
  <c r="N73" i="12"/>
  <c r="N71" i="12"/>
  <c r="N69" i="12"/>
  <c r="N67" i="12"/>
  <c r="N65" i="12"/>
  <c r="N63" i="12"/>
  <c r="N61" i="12"/>
  <c r="N59" i="12"/>
  <c r="N57" i="12"/>
  <c r="N55" i="12"/>
  <c r="N53" i="12"/>
  <c r="N51" i="12"/>
  <c r="N49" i="12"/>
  <c r="J79" i="12"/>
  <c r="J71" i="12"/>
  <c r="J63" i="12"/>
  <c r="J55" i="12"/>
  <c r="O55" i="12" s="1"/>
  <c r="O49" i="12"/>
  <c r="O51" i="12"/>
  <c r="O52" i="12"/>
  <c r="O54" i="12"/>
  <c r="O56" i="12"/>
  <c r="O57" i="12"/>
  <c r="O59" i="12"/>
  <c r="O60" i="12"/>
  <c r="O61" i="12"/>
  <c r="O62" i="12"/>
  <c r="O63" i="12"/>
  <c r="O64" i="12"/>
  <c r="O65" i="12"/>
  <c r="O66" i="12"/>
  <c r="O67" i="12"/>
  <c r="O69" i="12"/>
  <c r="O71" i="12"/>
  <c r="O72" i="12"/>
  <c r="O73" i="12"/>
  <c r="O74" i="12"/>
  <c r="O75" i="12"/>
  <c r="O76" i="12"/>
  <c r="O77" i="12"/>
  <c r="O78" i="12"/>
  <c r="O79" i="12"/>
  <c r="O80" i="12"/>
  <c r="O81" i="12"/>
  <c r="O84" i="12"/>
  <c r="O85" i="12"/>
  <c r="C86" i="12"/>
  <c r="C87" i="12"/>
  <c r="C88" i="12"/>
  <c r="C19" i="12"/>
  <c r="C17" i="12"/>
  <c r="C16" i="12"/>
  <c r="C15" i="12"/>
  <c r="B15" i="12" s="1"/>
  <c r="Z6" i="19"/>
  <c r="AA6" i="19"/>
  <c r="Y6" i="19"/>
  <c r="Z3" i="19"/>
  <c r="AA3" i="19"/>
  <c r="Z4" i="19"/>
  <c r="AA4" i="19"/>
  <c r="Z5" i="19"/>
  <c r="AA5" i="19"/>
  <c r="Y4" i="19"/>
  <c r="Y5" i="19"/>
  <c r="Y3" i="19"/>
  <c r="Z2" i="10"/>
  <c r="U76" i="10"/>
  <c r="B76" i="10" s="1"/>
  <c r="B77" i="10" s="1"/>
  <c r="V76" i="10"/>
  <c r="V77" i="10" s="1"/>
  <c r="V36" i="10" s="1"/>
  <c r="W75" i="10"/>
  <c r="J76" i="10"/>
  <c r="J77" i="10" s="1"/>
  <c r="P76" i="10"/>
  <c r="P77" i="10" s="1"/>
  <c r="Q76" i="10"/>
  <c r="Q77" i="10" s="1"/>
  <c r="U70" i="19"/>
  <c r="T70" i="19"/>
  <c r="S70" i="19"/>
  <c r="R70" i="19"/>
  <c r="Q70" i="19"/>
  <c r="P70" i="19"/>
  <c r="O70" i="19"/>
  <c r="N70" i="19"/>
  <c r="M70" i="19"/>
  <c r="L70" i="19"/>
  <c r="K70" i="19"/>
  <c r="U69" i="19"/>
  <c r="W69" i="19" s="1"/>
  <c r="T69" i="19"/>
  <c r="S69" i="19"/>
  <c r="R69" i="19"/>
  <c r="Q69" i="19"/>
  <c r="P69" i="19"/>
  <c r="O69" i="19"/>
  <c r="N69" i="19"/>
  <c r="M69" i="19"/>
  <c r="L69" i="19"/>
  <c r="K69" i="19"/>
  <c r="U68" i="19"/>
  <c r="T68" i="19"/>
  <c r="S68" i="19"/>
  <c r="R68" i="19"/>
  <c r="Q68" i="19"/>
  <c r="P68" i="19"/>
  <c r="O68" i="19"/>
  <c r="N68" i="19"/>
  <c r="M68" i="19"/>
  <c r="L68" i="19"/>
  <c r="K68" i="19"/>
  <c r="U67" i="19"/>
  <c r="T67" i="19"/>
  <c r="S67" i="19"/>
  <c r="R67" i="19"/>
  <c r="Q67" i="19"/>
  <c r="P67" i="19"/>
  <c r="O67" i="19"/>
  <c r="N67" i="19"/>
  <c r="M67" i="19"/>
  <c r="L67" i="19"/>
  <c r="K67" i="19"/>
  <c r="U66" i="19"/>
  <c r="T66" i="19"/>
  <c r="S66" i="19"/>
  <c r="R66" i="19"/>
  <c r="Q66" i="19"/>
  <c r="P66" i="19"/>
  <c r="O66" i="19"/>
  <c r="N66" i="19"/>
  <c r="M66" i="19"/>
  <c r="L66" i="19"/>
  <c r="K66" i="19"/>
  <c r="U65" i="19"/>
  <c r="T65" i="19"/>
  <c r="S65" i="19"/>
  <c r="R65" i="19"/>
  <c r="Q65" i="19"/>
  <c r="P65" i="19"/>
  <c r="O65" i="19"/>
  <c r="N65" i="19"/>
  <c r="M65" i="19"/>
  <c r="L65" i="19"/>
  <c r="K65" i="19"/>
  <c r="U64" i="19"/>
  <c r="T64" i="19"/>
  <c r="S64" i="19"/>
  <c r="R64" i="19"/>
  <c r="Q64" i="19"/>
  <c r="P64" i="19"/>
  <c r="O64" i="19"/>
  <c r="N64" i="19"/>
  <c r="M64" i="19"/>
  <c r="L64" i="19"/>
  <c r="K64" i="19"/>
  <c r="U63" i="19"/>
  <c r="T63" i="19"/>
  <c r="S63" i="19"/>
  <c r="R63" i="19"/>
  <c r="Q63" i="19"/>
  <c r="P63" i="19"/>
  <c r="O63" i="19"/>
  <c r="N63" i="19"/>
  <c r="M63" i="19"/>
  <c r="L63" i="19"/>
  <c r="K63" i="19"/>
  <c r="U62" i="19"/>
  <c r="T62" i="19"/>
  <c r="S62" i="19"/>
  <c r="R62" i="19"/>
  <c r="Q62" i="19"/>
  <c r="P62" i="19"/>
  <c r="O62" i="19"/>
  <c r="N62" i="19"/>
  <c r="M62" i="19"/>
  <c r="L62" i="19"/>
  <c r="K62" i="19"/>
  <c r="W61" i="19"/>
  <c r="V61" i="19"/>
  <c r="U61" i="19"/>
  <c r="T61" i="19"/>
  <c r="S61" i="19"/>
  <c r="R61" i="19"/>
  <c r="Q61" i="19"/>
  <c r="P61" i="19"/>
  <c r="O61" i="19"/>
  <c r="N61" i="19"/>
  <c r="M61" i="19"/>
  <c r="L61" i="19"/>
  <c r="K61" i="19"/>
  <c r="J61" i="19"/>
  <c r="I61" i="19"/>
  <c r="H61" i="19"/>
  <c r="G61" i="19"/>
  <c r="F61" i="19"/>
  <c r="E61" i="19"/>
  <c r="D61" i="19"/>
  <c r="C61" i="19"/>
  <c r="B61" i="19"/>
  <c r="W60" i="19"/>
  <c r="V60" i="19"/>
  <c r="U60" i="19"/>
  <c r="T60" i="19"/>
  <c r="S60" i="19"/>
  <c r="R60" i="19"/>
  <c r="Q60" i="19"/>
  <c r="P60" i="19"/>
  <c r="O60" i="19"/>
  <c r="N60" i="19"/>
  <c r="M60" i="19"/>
  <c r="L60" i="19"/>
  <c r="K60" i="19"/>
  <c r="J60" i="19"/>
  <c r="I60" i="19"/>
  <c r="H60" i="19"/>
  <c r="G60" i="19"/>
  <c r="F60" i="19"/>
  <c r="E60" i="19"/>
  <c r="D60" i="19"/>
  <c r="C60" i="19"/>
  <c r="B60" i="19"/>
  <c r="W59" i="19"/>
  <c r="V59" i="19"/>
  <c r="U59" i="19"/>
  <c r="T59" i="19"/>
  <c r="S59" i="19"/>
  <c r="R59" i="19"/>
  <c r="Q59" i="19"/>
  <c r="P59" i="19"/>
  <c r="O59" i="19"/>
  <c r="N59" i="19"/>
  <c r="M59" i="19"/>
  <c r="L59" i="19"/>
  <c r="K59" i="19"/>
  <c r="J59" i="19"/>
  <c r="I59" i="19"/>
  <c r="H59" i="19"/>
  <c r="G59" i="19"/>
  <c r="F59" i="19"/>
  <c r="E59" i="19"/>
  <c r="D59" i="19"/>
  <c r="C59" i="19"/>
  <c r="B59" i="19"/>
  <c r="W58" i="19"/>
  <c r="V58" i="19"/>
  <c r="U58" i="19"/>
  <c r="T58" i="19"/>
  <c r="S58" i="19"/>
  <c r="R58" i="19"/>
  <c r="Q58" i="19"/>
  <c r="P58" i="19"/>
  <c r="O58" i="19"/>
  <c r="N58" i="19"/>
  <c r="M58" i="19"/>
  <c r="L58" i="19"/>
  <c r="K58" i="19"/>
  <c r="J58" i="19"/>
  <c r="I58" i="19"/>
  <c r="H58" i="19"/>
  <c r="G58" i="19"/>
  <c r="F58" i="19"/>
  <c r="E58" i="19"/>
  <c r="D58" i="19"/>
  <c r="C58" i="19"/>
  <c r="B58" i="19"/>
  <c r="W57" i="19"/>
  <c r="W62" i="19" s="1"/>
  <c r="V57" i="19"/>
  <c r="U57" i="19"/>
  <c r="T57" i="19"/>
  <c r="S57" i="19"/>
  <c r="R57" i="19"/>
  <c r="Q57" i="19"/>
  <c r="P57" i="19"/>
  <c r="O57" i="19"/>
  <c r="N57" i="19"/>
  <c r="M57" i="19"/>
  <c r="L57" i="19"/>
  <c r="K57" i="19"/>
  <c r="J57" i="19"/>
  <c r="I57" i="19"/>
  <c r="H57" i="19"/>
  <c r="G57" i="19"/>
  <c r="F57" i="19"/>
  <c r="E57" i="19"/>
  <c r="D57" i="19"/>
  <c r="C57" i="19"/>
  <c r="B57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W13" i="19"/>
  <c r="V13" i="19"/>
  <c r="U13" i="19"/>
  <c r="T13" i="19"/>
  <c r="S13" i="19"/>
  <c r="R13" i="19"/>
  <c r="Q13" i="19"/>
  <c r="P13" i="19"/>
  <c r="O13" i="19"/>
  <c r="N13" i="19"/>
  <c r="M13" i="19"/>
  <c r="L13" i="19"/>
  <c r="K13" i="19"/>
  <c r="J13" i="19"/>
  <c r="I13" i="19"/>
  <c r="H13" i="19"/>
  <c r="G13" i="19"/>
  <c r="F13" i="19"/>
  <c r="E13" i="19"/>
  <c r="D13" i="19"/>
  <c r="C13" i="19"/>
  <c r="B13" i="19"/>
  <c r="S75" i="10"/>
  <c r="R75" i="10" s="1"/>
  <c r="Q75" i="10" s="1"/>
  <c r="P75" i="10" s="1"/>
  <c r="O75" i="10" s="1"/>
  <c r="N75" i="10" s="1"/>
  <c r="M75" i="10" s="1"/>
  <c r="L75" i="10" s="1"/>
  <c r="K75" i="10" s="1"/>
  <c r="J75" i="10" s="1"/>
  <c r="I75" i="10" s="1"/>
  <c r="H75" i="10" s="1"/>
  <c r="G75" i="10" s="1"/>
  <c r="F75" i="10" s="1"/>
  <c r="E75" i="10" s="1"/>
  <c r="D75" i="10" s="1"/>
  <c r="C75" i="10" s="1"/>
  <c r="B75" i="10" s="1"/>
  <c r="T75" i="10"/>
  <c r="V75" i="10"/>
  <c r="AZ3" i="10"/>
  <c r="AZ3" i="13" s="1"/>
  <c r="BA3" i="10"/>
  <c r="BA3" i="13" s="1"/>
  <c r="BB3" i="10"/>
  <c r="BB3" i="13" s="1"/>
  <c r="BC3" i="10"/>
  <c r="BC3" i="13" s="1"/>
  <c r="BD3" i="10"/>
  <c r="BD3" i="13" s="1"/>
  <c r="BE3" i="10"/>
  <c r="BE3" i="13" s="1"/>
  <c r="BF3" i="10"/>
  <c r="BF3" i="13" s="1"/>
  <c r="BG3" i="10"/>
  <c r="BG3" i="13" s="1"/>
  <c r="BH3" i="10"/>
  <c r="BH3" i="13" s="1"/>
  <c r="AZ4" i="10"/>
  <c r="AZ4" i="13" s="1"/>
  <c r="BA4" i="10"/>
  <c r="BA4" i="13" s="1"/>
  <c r="BB4" i="10"/>
  <c r="BB4" i="13" s="1"/>
  <c r="BC4" i="10"/>
  <c r="BC4" i="13" s="1"/>
  <c r="BD4" i="10"/>
  <c r="BD4" i="13" s="1"/>
  <c r="BE4" i="10"/>
  <c r="BE4" i="13" s="1"/>
  <c r="BF4" i="10"/>
  <c r="BF4" i="13" s="1"/>
  <c r="BG4" i="10"/>
  <c r="BG4" i="13" s="1"/>
  <c r="BH4" i="10"/>
  <c r="BH4" i="13" s="1"/>
  <c r="AZ5" i="10"/>
  <c r="AZ5" i="13" s="1"/>
  <c r="BA5" i="10"/>
  <c r="BA5" i="13" s="1"/>
  <c r="BB5" i="10"/>
  <c r="BB5" i="13" s="1"/>
  <c r="BC5" i="10"/>
  <c r="BC5" i="13" s="1"/>
  <c r="BD5" i="10"/>
  <c r="BD5" i="13" s="1"/>
  <c r="BE5" i="10"/>
  <c r="BE5" i="13" s="1"/>
  <c r="BF5" i="10"/>
  <c r="BF5" i="13" s="1"/>
  <c r="BG5" i="10"/>
  <c r="BG5" i="13" s="1"/>
  <c r="BH5" i="10"/>
  <c r="BH5" i="13" s="1"/>
  <c r="AZ6" i="10"/>
  <c r="AZ6" i="13" s="1"/>
  <c r="BA6" i="10"/>
  <c r="BA6" i="13" s="1"/>
  <c r="BB6" i="10"/>
  <c r="BB6" i="13" s="1"/>
  <c r="BC6" i="10"/>
  <c r="BC6" i="13" s="1"/>
  <c r="BD6" i="10"/>
  <c r="BD6" i="13" s="1"/>
  <c r="BE6" i="10"/>
  <c r="BE6" i="13" s="1"/>
  <c r="BF6" i="10"/>
  <c r="BF6" i="13" s="1"/>
  <c r="BG6" i="10"/>
  <c r="BG6" i="13" s="1"/>
  <c r="BH6" i="10"/>
  <c r="BH6" i="13" s="1"/>
  <c r="AZ7" i="10"/>
  <c r="AZ7" i="13" s="1"/>
  <c r="BA7" i="10"/>
  <c r="BA7" i="13" s="1"/>
  <c r="BB7" i="10"/>
  <c r="BB7" i="13" s="1"/>
  <c r="BC7" i="10"/>
  <c r="BC7" i="13" s="1"/>
  <c r="BD7" i="10"/>
  <c r="BD7" i="13" s="1"/>
  <c r="BE7" i="10"/>
  <c r="BE7" i="13" s="1"/>
  <c r="BF7" i="10"/>
  <c r="BF7" i="13" s="1"/>
  <c r="BG7" i="10"/>
  <c r="BG7" i="13" s="1"/>
  <c r="BH7" i="10"/>
  <c r="BH7" i="13" s="1"/>
  <c r="AZ8" i="10"/>
  <c r="AZ8" i="13" s="1"/>
  <c r="BA8" i="10"/>
  <c r="BA8" i="13" s="1"/>
  <c r="BB8" i="10"/>
  <c r="BB8" i="13" s="1"/>
  <c r="BC8" i="10"/>
  <c r="BC8" i="13" s="1"/>
  <c r="BD8" i="10"/>
  <c r="BD8" i="13" s="1"/>
  <c r="BE8" i="10"/>
  <c r="BE8" i="13" s="1"/>
  <c r="BF8" i="10"/>
  <c r="BF8" i="13" s="1"/>
  <c r="BG8" i="10"/>
  <c r="BG8" i="13" s="1"/>
  <c r="BH8" i="10"/>
  <c r="BH8" i="13" s="1"/>
  <c r="AZ9" i="10"/>
  <c r="AZ9" i="13" s="1"/>
  <c r="BA9" i="10"/>
  <c r="BA9" i="13" s="1"/>
  <c r="BB9" i="10"/>
  <c r="BB9" i="13" s="1"/>
  <c r="BC9" i="10"/>
  <c r="BC9" i="13" s="1"/>
  <c r="BD9" i="10"/>
  <c r="BD9" i="13" s="1"/>
  <c r="BE9" i="10"/>
  <c r="BE9" i="13" s="1"/>
  <c r="BF9" i="10"/>
  <c r="BF9" i="13" s="1"/>
  <c r="BG9" i="10"/>
  <c r="BG9" i="13" s="1"/>
  <c r="BH9" i="10"/>
  <c r="BH9" i="13" s="1"/>
  <c r="AZ10" i="10"/>
  <c r="AZ10" i="13" s="1"/>
  <c r="BA10" i="10"/>
  <c r="BA10" i="13" s="1"/>
  <c r="BB10" i="10"/>
  <c r="BB10" i="13" s="1"/>
  <c r="BC10" i="10"/>
  <c r="BC10" i="13" s="1"/>
  <c r="BD10" i="10"/>
  <c r="BD10" i="13" s="1"/>
  <c r="BE10" i="10"/>
  <c r="BE10" i="13" s="1"/>
  <c r="BF10" i="10"/>
  <c r="BF10" i="13" s="1"/>
  <c r="BG10" i="10"/>
  <c r="BG10" i="13" s="1"/>
  <c r="BH10" i="10"/>
  <c r="BH10" i="13" s="1"/>
  <c r="AZ11" i="10"/>
  <c r="AZ11" i="13" s="1"/>
  <c r="BA11" i="10"/>
  <c r="BA11" i="13" s="1"/>
  <c r="BB11" i="10"/>
  <c r="BB11" i="13" s="1"/>
  <c r="BC11" i="10"/>
  <c r="BC11" i="13" s="1"/>
  <c r="BD11" i="10"/>
  <c r="BD11" i="13" s="1"/>
  <c r="BE11" i="10"/>
  <c r="BE11" i="13" s="1"/>
  <c r="BF11" i="10"/>
  <c r="BF11" i="13" s="1"/>
  <c r="BG11" i="10"/>
  <c r="BG11" i="13" s="1"/>
  <c r="BH11" i="10"/>
  <c r="BH11" i="13" s="1"/>
  <c r="AZ13" i="10"/>
  <c r="AZ13" i="13" s="1"/>
  <c r="BA13" i="10"/>
  <c r="BA13" i="13" s="1"/>
  <c r="BB13" i="10"/>
  <c r="BB13" i="13" s="1"/>
  <c r="BC13" i="10"/>
  <c r="BC13" i="13" s="1"/>
  <c r="BD13" i="10"/>
  <c r="BD13" i="13" s="1"/>
  <c r="BE13" i="10"/>
  <c r="BE13" i="13" s="1"/>
  <c r="BF13" i="10"/>
  <c r="BF13" i="13" s="1"/>
  <c r="BG13" i="10"/>
  <c r="BG13" i="13" s="1"/>
  <c r="BH13" i="10"/>
  <c r="BH13" i="13" s="1"/>
  <c r="AZ14" i="10"/>
  <c r="AZ14" i="13" s="1"/>
  <c r="BA14" i="10"/>
  <c r="BA14" i="13" s="1"/>
  <c r="BB14" i="10"/>
  <c r="BB14" i="13" s="1"/>
  <c r="BC14" i="10"/>
  <c r="BC14" i="13" s="1"/>
  <c r="BD14" i="10"/>
  <c r="BD14" i="13" s="1"/>
  <c r="BE14" i="10"/>
  <c r="BE14" i="13" s="1"/>
  <c r="BF14" i="10"/>
  <c r="BF14" i="13" s="1"/>
  <c r="BG14" i="10"/>
  <c r="BG14" i="13" s="1"/>
  <c r="BH14" i="10"/>
  <c r="BH14" i="13" s="1"/>
  <c r="AZ15" i="10"/>
  <c r="AZ15" i="13" s="1"/>
  <c r="BA15" i="10"/>
  <c r="BA15" i="13" s="1"/>
  <c r="BB15" i="10"/>
  <c r="BB15" i="13" s="1"/>
  <c r="BC15" i="10"/>
  <c r="BC15" i="13" s="1"/>
  <c r="BD15" i="10"/>
  <c r="BD15" i="13" s="1"/>
  <c r="BE15" i="10"/>
  <c r="BE15" i="13" s="1"/>
  <c r="BF15" i="10"/>
  <c r="BF15" i="13" s="1"/>
  <c r="BG15" i="10"/>
  <c r="BG15" i="13" s="1"/>
  <c r="BH15" i="10"/>
  <c r="BH15" i="13" s="1"/>
  <c r="AZ16" i="10"/>
  <c r="AZ16" i="13" s="1"/>
  <c r="BA16" i="10"/>
  <c r="BA16" i="13" s="1"/>
  <c r="BB16" i="10"/>
  <c r="BB16" i="13" s="1"/>
  <c r="BC16" i="10"/>
  <c r="BC16" i="13" s="1"/>
  <c r="BD16" i="10"/>
  <c r="BD16" i="13" s="1"/>
  <c r="BE16" i="10"/>
  <c r="BE16" i="13" s="1"/>
  <c r="BF16" i="10"/>
  <c r="BF16" i="13" s="1"/>
  <c r="BG16" i="10"/>
  <c r="BG16" i="13" s="1"/>
  <c r="BH16" i="10"/>
  <c r="BH16" i="13" s="1"/>
  <c r="AZ17" i="10"/>
  <c r="AZ17" i="13" s="1"/>
  <c r="BA17" i="10"/>
  <c r="BA17" i="13" s="1"/>
  <c r="BB17" i="10"/>
  <c r="BB17" i="13" s="1"/>
  <c r="BC17" i="10"/>
  <c r="BC17" i="13" s="1"/>
  <c r="BD17" i="10"/>
  <c r="BD17" i="13" s="1"/>
  <c r="BE17" i="10"/>
  <c r="BE17" i="13" s="1"/>
  <c r="BF17" i="10"/>
  <c r="BF17" i="13" s="1"/>
  <c r="BG17" i="10"/>
  <c r="BG17" i="13" s="1"/>
  <c r="BH17" i="10"/>
  <c r="BH17" i="13" s="1"/>
  <c r="AZ18" i="10"/>
  <c r="AZ18" i="13" s="1"/>
  <c r="BA18" i="10"/>
  <c r="BA18" i="13" s="1"/>
  <c r="BB18" i="10"/>
  <c r="BB18" i="13" s="1"/>
  <c r="BC18" i="10"/>
  <c r="BC18" i="13" s="1"/>
  <c r="BD18" i="10"/>
  <c r="BD18" i="13" s="1"/>
  <c r="BE18" i="10"/>
  <c r="BE18" i="13" s="1"/>
  <c r="BF18" i="10"/>
  <c r="BF18" i="13" s="1"/>
  <c r="BG18" i="10"/>
  <c r="BG18" i="13" s="1"/>
  <c r="BH18" i="10"/>
  <c r="BH18" i="13" s="1"/>
  <c r="AZ19" i="10"/>
  <c r="AZ19" i="13" s="1"/>
  <c r="BA19" i="10"/>
  <c r="BA19" i="13" s="1"/>
  <c r="BB19" i="10"/>
  <c r="BB19" i="13" s="1"/>
  <c r="BC19" i="10"/>
  <c r="BC19" i="13" s="1"/>
  <c r="BD19" i="10"/>
  <c r="BD19" i="13" s="1"/>
  <c r="BE19" i="10"/>
  <c r="BE19" i="13" s="1"/>
  <c r="BF19" i="10"/>
  <c r="BF19" i="13" s="1"/>
  <c r="BG19" i="10"/>
  <c r="BG19" i="13" s="1"/>
  <c r="BH19" i="10"/>
  <c r="BH19" i="13" s="1"/>
  <c r="AZ20" i="10"/>
  <c r="AZ20" i="13" s="1"/>
  <c r="BA20" i="10"/>
  <c r="BA20" i="13" s="1"/>
  <c r="BB20" i="10"/>
  <c r="BB20" i="13" s="1"/>
  <c r="BC20" i="10"/>
  <c r="BC20" i="13" s="1"/>
  <c r="BD20" i="10"/>
  <c r="BD20" i="13" s="1"/>
  <c r="BE20" i="10"/>
  <c r="BE20" i="13" s="1"/>
  <c r="BF20" i="10"/>
  <c r="BF20" i="13" s="1"/>
  <c r="BG20" i="10"/>
  <c r="BG20" i="13" s="1"/>
  <c r="BH20" i="10"/>
  <c r="BH20" i="13" s="1"/>
  <c r="AZ21" i="10"/>
  <c r="AZ21" i="13" s="1"/>
  <c r="BA21" i="10"/>
  <c r="BA21" i="13" s="1"/>
  <c r="BB21" i="10"/>
  <c r="BB21" i="13" s="1"/>
  <c r="BC21" i="10"/>
  <c r="BC21" i="13" s="1"/>
  <c r="BD21" i="10"/>
  <c r="BD21" i="13" s="1"/>
  <c r="BE21" i="10"/>
  <c r="BE21" i="13" s="1"/>
  <c r="BF21" i="10"/>
  <c r="BF21" i="13" s="1"/>
  <c r="BG21" i="10"/>
  <c r="BG21" i="13" s="1"/>
  <c r="BH21" i="10"/>
  <c r="BH21" i="13" s="1"/>
  <c r="AZ22" i="10"/>
  <c r="AZ22" i="13" s="1"/>
  <c r="BA22" i="10"/>
  <c r="BA22" i="13" s="1"/>
  <c r="BB22" i="10"/>
  <c r="BB22" i="13" s="1"/>
  <c r="BC22" i="10"/>
  <c r="BC22" i="13" s="1"/>
  <c r="BD22" i="10"/>
  <c r="BD22" i="13" s="1"/>
  <c r="BE22" i="10"/>
  <c r="BE22" i="13" s="1"/>
  <c r="BF22" i="10"/>
  <c r="BF22" i="13" s="1"/>
  <c r="BG22" i="10"/>
  <c r="BG22" i="13" s="1"/>
  <c r="BH22" i="10"/>
  <c r="BH22" i="13" s="1"/>
  <c r="AZ23" i="10"/>
  <c r="AZ23" i="13" s="1"/>
  <c r="BA23" i="10"/>
  <c r="BA23" i="13" s="1"/>
  <c r="BB23" i="10"/>
  <c r="BB23" i="13" s="1"/>
  <c r="BC23" i="10"/>
  <c r="BC23" i="13" s="1"/>
  <c r="BD23" i="10"/>
  <c r="BD23" i="13" s="1"/>
  <c r="BE23" i="10"/>
  <c r="BE23" i="13" s="1"/>
  <c r="BF23" i="10"/>
  <c r="BF23" i="13" s="1"/>
  <c r="BG23" i="10"/>
  <c r="BG23" i="13" s="1"/>
  <c r="BH23" i="10"/>
  <c r="BH23" i="13" s="1"/>
  <c r="AZ24" i="10"/>
  <c r="AZ24" i="13" s="1"/>
  <c r="BA24" i="10"/>
  <c r="BA24" i="13" s="1"/>
  <c r="BB24" i="10"/>
  <c r="BB24" i="13" s="1"/>
  <c r="BC24" i="10"/>
  <c r="BC24" i="13" s="1"/>
  <c r="BD24" i="10"/>
  <c r="BD24" i="13" s="1"/>
  <c r="BE24" i="10"/>
  <c r="BE24" i="13" s="1"/>
  <c r="BF24" i="10"/>
  <c r="BF24" i="13" s="1"/>
  <c r="BG24" i="10"/>
  <c r="BG24" i="13" s="1"/>
  <c r="BH24" i="10"/>
  <c r="BH24" i="13" s="1"/>
  <c r="AZ25" i="10"/>
  <c r="AZ25" i="13" s="1"/>
  <c r="BA25" i="10"/>
  <c r="BA25" i="13" s="1"/>
  <c r="BB25" i="10"/>
  <c r="BB25" i="13" s="1"/>
  <c r="BC25" i="10"/>
  <c r="BC25" i="13" s="1"/>
  <c r="BD25" i="10"/>
  <c r="BD25" i="13" s="1"/>
  <c r="BE25" i="10"/>
  <c r="BE25" i="13" s="1"/>
  <c r="BF25" i="10"/>
  <c r="BF25" i="13" s="1"/>
  <c r="BG25" i="10"/>
  <c r="BG25" i="13" s="1"/>
  <c r="BH25" i="10"/>
  <c r="BH25" i="13" s="1"/>
  <c r="AZ26" i="10"/>
  <c r="AZ26" i="13" s="1"/>
  <c r="BA26" i="10"/>
  <c r="BA26" i="13" s="1"/>
  <c r="BB26" i="10"/>
  <c r="BB26" i="13" s="1"/>
  <c r="BC26" i="10"/>
  <c r="BC26" i="13" s="1"/>
  <c r="BD26" i="10"/>
  <c r="BD26" i="13" s="1"/>
  <c r="BE26" i="10"/>
  <c r="BE26" i="13" s="1"/>
  <c r="BF26" i="10"/>
  <c r="BF26" i="13" s="1"/>
  <c r="BG26" i="10"/>
  <c r="BG26" i="13" s="1"/>
  <c r="BH26" i="10"/>
  <c r="BH26" i="13" s="1"/>
  <c r="AZ27" i="10"/>
  <c r="AZ27" i="13" s="1"/>
  <c r="BA27" i="10"/>
  <c r="BA27" i="13" s="1"/>
  <c r="BB27" i="10"/>
  <c r="BB27" i="13" s="1"/>
  <c r="BC27" i="10"/>
  <c r="BC27" i="13" s="1"/>
  <c r="BD27" i="10"/>
  <c r="BD27" i="13" s="1"/>
  <c r="BE27" i="10"/>
  <c r="BE27" i="13" s="1"/>
  <c r="BF27" i="10"/>
  <c r="BF27" i="13" s="1"/>
  <c r="BG27" i="10"/>
  <c r="BG27" i="13" s="1"/>
  <c r="BH27" i="10"/>
  <c r="BH27" i="13" s="1"/>
  <c r="AZ28" i="10"/>
  <c r="AZ28" i="13" s="1"/>
  <c r="BA28" i="10"/>
  <c r="BA28" i="13" s="1"/>
  <c r="BB28" i="10"/>
  <c r="BB28" i="13" s="1"/>
  <c r="BC28" i="10"/>
  <c r="BC28" i="13" s="1"/>
  <c r="BD28" i="10"/>
  <c r="BD28" i="13" s="1"/>
  <c r="BE28" i="10"/>
  <c r="BE28" i="13" s="1"/>
  <c r="BF28" i="10"/>
  <c r="BF28" i="13" s="1"/>
  <c r="BG28" i="10"/>
  <c r="BG28" i="13" s="1"/>
  <c r="BH28" i="10"/>
  <c r="BH28" i="13" s="1"/>
  <c r="AZ29" i="10"/>
  <c r="AZ29" i="13" s="1"/>
  <c r="BA29" i="10"/>
  <c r="BA29" i="13" s="1"/>
  <c r="BB29" i="10"/>
  <c r="BB29" i="13" s="1"/>
  <c r="BC29" i="10"/>
  <c r="BC29" i="13" s="1"/>
  <c r="BD29" i="10"/>
  <c r="BD29" i="13" s="1"/>
  <c r="BE29" i="10"/>
  <c r="BE29" i="13" s="1"/>
  <c r="BF29" i="10"/>
  <c r="BF29" i="13" s="1"/>
  <c r="BG29" i="10"/>
  <c r="BG29" i="13" s="1"/>
  <c r="BH29" i="10"/>
  <c r="BH29" i="13" s="1"/>
  <c r="AZ30" i="10"/>
  <c r="AZ30" i="13" s="1"/>
  <c r="BA30" i="10"/>
  <c r="BA30" i="13" s="1"/>
  <c r="BB30" i="10"/>
  <c r="BB30" i="13" s="1"/>
  <c r="BC30" i="10"/>
  <c r="BC30" i="13" s="1"/>
  <c r="BD30" i="10"/>
  <c r="BD30" i="13" s="1"/>
  <c r="BE30" i="10"/>
  <c r="BE30" i="13" s="1"/>
  <c r="BF30" i="10"/>
  <c r="BF30" i="13" s="1"/>
  <c r="BG30" i="10"/>
  <c r="BG30" i="13" s="1"/>
  <c r="BH30" i="10"/>
  <c r="BH30" i="13" s="1"/>
  <c r="AZ31" i="10"/>
  <c r="AZ31" i="13" s="1"/>
  <c r="BA31" i="10"/>
  <c r="BA31" i="13" s="1"/>
  <c r="BB31" i="10"/>
  <c r="BB31" i="13" s="1"/>
  <c r="BC31" i="10"/>
  <c r="BC31" i="13" s="1"/>
  <c r="BD31" i="10"/>
  <c r="BD31" i="13" s="1"/>
  <c r="BE31" i="10"/>
  <c r="BE31" i="13" s="1"/>
  <c r="BF31" i="10"/>
  <c r="BF31" i="13" s="1"/>
  <c r="BG31" i="10"/>
  <c r="BG31" i="13" s="1"/>
  <c r="BH31" i="10"/>
  <c r="BH31" i="13" s="1"/>
  <c r="AZ32" i="10"/>
  <c r="AZ32" i="13" s="1"/>
  <c r="BA32" i="10"/>
  <c r="BA32" i="13" s="1"/>
  <c r="BB32" i="10"/>
  <c r="BB32" i="13" s="1"/>
  <c r="BC32" i="10"/>
  <c r="BC32" i="13" s="1"/>
  <c r="BD32" i="10"/>
  <c r="BD32" i="13" s="1"/>
  <c r="BE32" i="10"/>
  <c r="BE32" i="13" s="1"/>
  <c r="BF32" i="10"/>
  <c r="BF32" i="13" s="1"/>
  <c r="BG32" i="10"/>
  <c r="BG32" i="13" s="1"/>
  <c r="BH32" i="10"/>
  <c r="BH32" i="13" s="1"/>
  <c r="AZ33" i="10"/>
  <c r="AZ33" i="13" s="1"/>
  <c r="BA33" i="10"/>
  <c r="BA33" i="13" s="1"/>
  <c r="BB33" i="10"/>
  <c r="BB33" i="13" s="1"/>
  <c r="BC33" i="10"/>
  <c r="BC33" i="13" s="1"/>
  <c r="BD33" i="10"/>
  <c r="BD33" i="13" s="1"/>
  <c r="BE33" i="10"/>
  <c r="BE33" i="13" s="1"/>
  <c r="BF33" i="10"/>
  <c r="BF33" i="13" s="1"/>
  <c r="BG33" i="10"/>
  <c r="BG33" i="13" s="1"/>
  <c r="BH33" i="10"/>
  <c r="BH33" i="13" s="1"/>
  <c r="AZ34" i="10"/>
  <c r="AZ34" i="13" s="1"/>
  <c r="BA34" i="10"/>
  <c r="BA34" i="13" s="1"/>
  <c r="BB34" i="10"/>
  <c r="BB34" i="13" s="1"/>
  <c r="BC34" i="10"/>
  <c r="BC34" i="13" s="1"/>
  <c r="BD34" i="10"/>
  <c r="BD34" i="13" s="1"/>
  <c r="BE34" i="10"/>
  <c r="BE34" i="13" s="1"/>
  <c r="BF34" i="10"/>
  <c r="BF34" i="13" s="1"/>
  <c r="BG34" i="10"/>
  <c r="BG34" i="13" s="1"/>
  <c r="BH34" i="10"/>
  <c r="BH34" i="13" s="1"/>
  <c r="AZ35" i="10"/>
  <c r="AZ35" i="13" s="1"/>
  <c r="BA35" i="10"/>
  <c r="BA35" i="13" s="1"/>
  <c r="BB35" i="10"/>
  <c r="BB35" i="13" s="1"/>
  <c r="BC35" i="10"/>
  <c r="BC35" i="13" s="1"/>
  <c r="BD35" i="10"/>
  <c r="BD35" i="13" s="1"/>
  <c r="BE35" i="10"/>
  <c r="BE35" i="13" s="1"/>
  <c r="BF35" i="10"/>
  <c r="BF35" i="13" s="1"/>
  <c r="BG35" i="10"/>
  <c r="BG35" i="13" s="1"/>
  <c r="BH35" i="10"/>
  <c r="BH35" i="13" s="1"/>
  <c r="AZ36" i="10"/>
  <c r="AZ36" i="13" s="1"/>
  <c r="BA36" i="10"/>
  <c r="BA36" i="13" s="1"/>
  <c r="BB36" i="10"/>
  <c r="BB36" i="13" s="1"/>
  <c r="BC36" i="10"/>
  <c r="BC36" i="13" s="1"/>
  <c r="BD36" i="10"/>
  <c r="BD36" i="13" s="1"/>
  <c r="BE36" i="10"/>
  <c r="BE36" i="13" s="1"/>
  <c r="BF36" i="10"/>
  <c r="BF36" i="13" s="1"/>
  <c r="BG36" i="10"/>
  <c r="BG36" i="13" s="1"/>
  <c r="BH36" i="10"/>
  <c r="BH36" i="13" s="1"/>
  <c r="AZ37" i="10"/>
  <c r="AZ37" i="13" s="1"/>
  <c r="BA37" i="10"/>
  <c r="BA37" i="13" s="1"/>
  <c r="BB37" i="10"/>
  <c r="BB37" i="13" s="1"/>
  <c r="BC37" i="10"/>
  <c r="BC37" i="13" s="1"/>
  <c r="BD37" i="10"/>
  <c r="BD37" i="13" s="1"/>
  <c r="BE37" i="10"/>
  <c r="BE37" i="13" s="1"/>
  <c r="BF37" i="10"/>
  <c r="BF37" i="13" s="1"/>
  <c r="BG37" i="10"/>
  <c r="BG37" i="13" s="1"/>
  <c r="BH37" i="10"/>
  <c r="BH37" i="13" s="1"/>
  <c r="AZ38" i="10"/>
  <c r="AZ38" i="13" s="1"/>
  <c r="BA38" i="10"/>
  <c r="BA38" i="13" s="1"/>
  <c r="BB38" i="10"/>
  <c r="BB38" i="13" s="1"/>
  <c r="BC38" i="10"/>
  <c r="BC38" i="13" s="1"/>
  <c r="BD38" i="10"/>
  <c r="BD38" i="13" s="1"/>
  <c r="BE38" i="10"/>
  <c r="BE38" i="13" s="1"/>
  <c r="BF38" i="10"/>
  <c r="BF38" i="13" s="1"/>
  <c r="BG38" i="10"/>
  <c r="BG38" i="13" s="1"/>
  <c r="BH38" i="10"/>
  <c r="BH38" i="13" s="1"/>
  <c r="AZ39" i="10"/>
  <c r="AZ39" i="13" s="1"/>
  <c r="BA39" i="10"/>
  <c r="BA39" i="13" s="1"/>
  <c r="BB39" i="10"/>
  <c r="BB39" i="13" s="1"/>
  <c r="BC39" i="10"/>
  <c r="BC39" i="13" s="1"/>
  <c r="BD39" i="10"/>
  <c r="BD39" i="13" s="1"/>
  <c r="BE39" i="10"/>
  <c r="BE39" i="13" s="1"/>
  <c r="BF39" i="10"/>
  <c r="BF39" i="13" s="1"/>
  <c r="BG39" i="10"/>
  <c r="BG39" i="13" s="1"/>
  <c r="BH39" i="10"/>
  <c r="BH39" i="13" s="1"/>
  <c r="AZ40" i="10"/>
  <c r="AZ40" i="13" s="1"/>
  <c r="BA40" i="10"/>
  <c r="BA40" i="13" s="1"/>
  <c r="BB40" i="10"/>
  <c r="BB40" i="13" s="1"/>
  <c r="BC40" i="10"/>
  <c r="BC40" i="13" s="1"/>
  <c r="BD40" i="10"/>
  <c r="BD40" i="13" s="1"/>
  <c r="BE40" i="10"/>
  <c r="BE40" i="13" s="1"/>
  <c r="BF40" i="10"/>
  <c r="BF40" i="13" s="1"/>
  <c r="BG40" i="10"/>
  <c r="BG40" i="13" s="1"/>
  <c r="BH40" i="10"/>
  <c r="BH40" i="13" s="1"/>
  <c r="AZ41" i="10"/>
  <c r="AZ41" i="13" s="1"/>
  <c r="BA41" i="10"/>
  <c r="BA41" i="13" s="1"/>
  <c r="BB41" i="10"/>
  <c r="BB41" i="13" s="1"/>
  <c r="BC41" i="10"/>
  <c r="BC41" i="13" s="1"/>
  <c r="BD41" i="10"/>
  <c r="BD41" i="13" s="1"/>
  <c r="BE41" i="10"/>
  <c r="BE41" i="13" s="1"/>
  <c r="BF41" i="10"/>
  <c r="BF41" i="13" s="1"/>
  <c r="BG41" i="10"/>
  <c r="BG41" i="13" s="1"/>
  <c r="BH41" i="10"/>
  <c r="BH41" i="13" s="1"/>
  <c r="AZ42" i="10"/>
  <c r="AZ42" i="13" s="1"/>
  <c r="BA42" i="10"/>
  <c r="BA42" i="13" s="1"/>
  <c r="BB42" i="10"/>
  <c r="BB42" i="13" s="1"/>
  <c r="BC42" i="10"/>
  <c r="BC42" i="13" s="1"/>
  <c r="BD42" i="10"/>
  <c r="BD42" i="13" s="1"/>
  <c r="BE42" i="10"/>
  <c r="BE42" i="13" s="1"/>
  <c r="BF42" i="10"/>
  <c r="BF42" i="13" s="1"/>
  <c r="BG42" i="10"/>
  <c r="BG42" i="13" s="1"/>
  <c r="BH42" i="10"/>
  <c r="BH42" i="13" s="1"/>
  <c r="AZ43" i="10"/>
  <c r="AZ43" i="13" s="1"/>
  <c r="BA43" i="10"/>
  <c r="BA43" i="13" s="1"/>
  <c r="BB43" i="10"/>
  <c r="BB43" i="13" s="1"/>
  <c r="BC43" i="10"/>
  <c r="BC43" i="13" s="1"/>
  <c r="BD43" i="10"/>
  <c r="BD43" i="13" s="1"/>
  <c r="BE43" i="10"/>
  <c r="BE43" i="13" s="1"/>
  <c r="BF43" i="10"/>
  <c r="BF43" i="13" s="1"/>
  <c r="BG43" i="10"/>
  <c r="BG43" i="13" s="1"/>
  <c r="BH43" i="10"/>
  <c r="BH43" i="13" s="1"/>
  <c r="AZ44" i="10"/>
  <c r="AZ44" i="13" s="1"/>
  <c r="BA44" i="10"/>
  <c r="BA44" i="13" s="1"/>
  <c r="BB44" i="10"/>
  <c r="BB44" i="13" s="1"/>
  <c r="BC44" i="10"/>
  <c r="BC44" i="13" s="1"/>
  <c r="BD44" i="10"/>
  <c r="BD44" i="13" s="1"/>
  <c r="BE44" i="10"/>
  <c r="BE44" i="13" s="1"/>
  <c r="BF44" i="10"/>
  <c r="BF44" i="13" s="1"/>
  <c r="BG44" i="10"/>
  <c r="BG44" i="13" s="1"/>
  <c r="BH44" i="10"/>
  <c r="BH44" i="13" s="1"/>
  <c r="AZ45" i="10"/>
  <c r="AZ45" i="13" s="1"/>
  <c r="BA45" i="10"/>
  <c r="BA45" i="13" s="1"/>
  <c r="BB45" i="10"/>
  <c r="BB45" i="13" s="1"/>
  <c r="BC45" i="10"/>
  <c r="BC45" i="13" s="1"/>
  <c r="BD45" i="10"/>
  <c r="BD45" i="13" s="1"/>
  <c r="BE45" i="10"/>
  <c r="BE45" i="13" s="1"/>
  <c r="BF45" i="10"/>
  <c r="BF45" i="13" s="1"/>
  <c r="BG45" i="10"/>
  <c r="BG45" i="13" s="1"/>
  <c r="BH45" i="10"/>
  <c r="BH45" i="13" s="1"/>
  <c r="AZ46" i="10"/>
  <c r="AZ46" i="13" s="1"/>
  <c r="BA46" i="10"/>
  <c r="BA46" i="13" s="1"/>
  <c r="BB46" i="10"/>
  <c r="BB46" i="13" s="1"/>
  <c r="BC46" i="10"/>
  <c r="BC46" i="13" s="1"/>
  <c r="BD46" i="10"/>
  <c r="BD46" i="13" s="1"/>
  <c r="BE46" i="10"/>
  <c r="BE46" i="13" s="1"/>
  <c r="BF46" i="10"/>
  <c r="BF46" i="13" s="1"/>
  <c r="BG46" i="10"/>
  <c r="BG46" i="13" s="1"/>
  <c r="BH46" i="10"/>
  <c r="BH46" i="13" s="1"/>
  <c r="AZ47" i="10"/>
  <c r="AZ47" i="13" s="1"/>
  <c r="BA47" i="10"/>
  <c r="BA47" i="13" s="1"/>
  <c r="BB47" i="10"/>
  <c r="BB47" i="13" s="1"/>
  <c r="BC47" i="10"/>
  <c r="BC47" i="13" s="1"/>
  <c r="BD47" i="10"/>
  <c r="BD47" i="13" s="1"/>
  <c r="BE47" i="10"/>
  <c r="BE47" i="13" s="1"/>
  <c r="BF47" i="10"/>
  <c r="BF47" i="13" s="1"/>
  <c r="BG47" i="10"/>
  <c r="BG47" i="13" s="1"/>
  <c r="BH47" i="10"/>
  <c r="BH47" i="13" s="1"/>
  <c r="AZ48" i="10"/>
  <c r="AZ48" i="13" s="1"/>
  <c r="BA48" i="10"/>
  <c r="BA48" i="13" s="1"/>
  <c r="BB48" i="10"/>
  <c r="BB48" i="13" s="1"/>
  <c r="BC48" i="10"/>
  <c r="BC48" i="13" s="1"/>
  <c r="BD48" i="10"/>
  <c r="BD48" i="13" s="1"/>
  <c r="BE48" i="10"/>
  <c r="BE48" i="13" s="1"/>
  <c r="BF48" i="10"/>
  <c r="BF48" i="13" s="1"/>
  <c r="BG48" i="10"/>
  <c r="BG48" i="13" s="1"/>
  <c r="BH48" i="10"/>
  <c r="BH48" i="13" s="1"/>
  <c r="AZ49" i="10"/>
  <c r="AZ49" i="13" s="1"/>
  <c r="BA49" i="10"/>
  <c r="BA49" i="13" s="1"/>
  <c r="BB49" i="10"/>
  <c r="BB49" i="13" s="1"/>
  <c r="BC49" i="10"/>
  <c r="BC49" i="13" s="1"/>
  <c r="BD49" i="10"/>
  <c r="BD49" i="13" s="1"/>
  <c r="BE49" i="10"/>
  <c r="BE49" i="13" s="1"/>
  <c r="BF49" i="10"/>
  <c r="BF49" i="13" s="1"/>
  <c r="BG49" i="10"/>
  <c r="BG49" i="13" s="1"/>
  <c r="BH49" i="10"/>
  <c r="BH49" i="13" s="1"/>
  <c r="AZ50" i="10"/>
  <c r="AZ50" i="13" s="1"/>
  <c r="BA50" i="10"/>
  <c r="BA50" i="13" s="1"/>
  <c r="BB50" i="10"/>
  <c r="BB50" i="13" s="1"/>
  <c r="BC50" i="10"/>
  <c r="BC50" i="13" s="1"/>
  <c r="BD50" i="10"/>
  <c r="BD50" i="13" s="1"/>
  <c r="BE50" i="10"/>
  <c r="BE50" i="13" s="1"/>
  <c r="BF50" i="10"/>
  <c r="BF50" i="13" s="1"/>
  <c r="BG50" i="10"/>
  <c r="BG50" i="13" s="1"/>
  <c r="BH50" i="10"/>
  <c r="BH50" i="13" s="1"/>
  <c r="AZ51" i="10"/>
  <c r="AZ51" i="13" s="1"/>
  <c r="BA51" i="10"/>
  <c r="BA51" i="13" s="1"/>
  <c r="BB51" i="10"/>
  <c r="BB51" i="13" s="1"/>
  <c r="BC51" i="10"/>
  <c r="BC51" i="13" s="1"/>
  <c r="BD51" i="10"/>
  <c r="BD51" i="13" s="1"/>
  <c r="BE51" i="10"/>
  <c r="BE51" i="13" s="1"/>
  <c r="BF51" i="10"/>
  <c r="BF51" i="13" s="1"/>
  <c r="BG51" i="10"/>
  <c r="BG51" i="13" s="1"/>
  <c r="BH51" i="10"/>
  <c r="BH51" i="13" s="1"/>
  <c r="AZ52" i="10"/>
  <c r="AZ52" i="13" s="1"/>
  <c r="BA52" i="10"/>
  <c r="BA52" i="13" s="1"/>
  <c r="BB52" i="10"/>
  <c r="BB52" i="13" s="1"/>
  <c r="BC52" i="10"/>
  <c r="BC52" i="13" s="1"/>
  <c r="BD52" i="10"/>
  <c r="BD52" i="13" s="1"/>
  <c r="BE52" i="10"/>
  <c r="BE52" i="13" s="1"/>
  <c r="BF52" i="10"/>
  <c r="BF52" i="13" s="1"/>
  <c r="BG52" i="10"/>
  <c r="BG52" i="13" s="1"/>
  <c r="BH52" i="10"/>
  <c r="BH52" i="13" s="1"/>
  <c r="AZ53" i="10"/>
  <c r="AZ53" i="13" s="1"/>
  <c r="BA53" i="10"/>
  <c r="BA53" i="13" s="1"/>
  <c r="BB53" i="10"/>
  <c r="BB53" i="13" s="1"/>
  <c r="BC53" i="10"/>
  <c r="BC53" i="13" s="1"/>
  <c r="BD53" i="10"/>
  <c r="BD53" i="13" s="1"/>
  <c r="BE53" i="10"/>
  <c r="BE53" i="13" s="1"/>
  <c r="BF53" i="10"/>
  <c r="BF53" i="13" s="1"/>
  <c r="BG53" i="10"/>
  <c r="BG53" i="13" s="1"/>
  <c r="BH53" i="10"/>
  <c r="BH53" i="13" s="1"/>
  <c r="AZ54" i="10"/>
  <c r="AZ54" i="13" s="1"/>
  <c r="BA54" i="10"/>
  <c r="BA54" i="13" s="1"/>
  <c r="BB54" i="10"/>
  <c r="BB54" i="13" s="1"/>
  <c r="BC54" i="10"/>
  <c r="BC54" i="13" s="1"/>
  <c r="BD54" i="10"/>
  <c r="BD54" i="13" s="1"/>
  <c r="BE54" i="10"/>
  <c r="BE54" i="13" s="1"/>
  <c r="BF54" i="10"/>
  <c r="BF54" i="13" s="1"/>
  <c r="BG54" i="10"/>
  <c r="BG54" i="13" s="1"/>
  <c r="BH54" i="10"/>
  <c r="BH54" i="13" s="1"/>
  <c r="AZ57" i="10"/>
  <c r="AZ57" i="13" s="1"/>
  <c r="BA57" i="10"/>
  <c r="BA57" i="13" s="1"/>
  <c r="BB57" i="10"/>
  <c r="BB57" i="13" s="1"/>
  <c r="BC57" i="10"/>
  <c r="BC57" i="13" s="1"/>
  <c r="BD57" i="10"/>
  <c r="BD57" i="13" s="1"/>
  <c r="BE57" i="10"/>
  <c r="BE57" i="13" s="1"/>
  <c r="BF57" i="10"/>
  <c r="BF57" i="13" s="1"/>
  <c r="BG57" i="10"/>
  <c r="BG57" i="13" s="1"/>
  <c r="BH57" i="10"/>
  <c r="BH57" i="13" s="1"/>
  <c r="AZ58" i="10"/>
  <c r="AZ58" i="13" s="1"/>
  <c r="BA58" i="10"/>
  <c r="BA58" i="13" s="1"/>
  <c r="BB58" i="10"/>
  <c r="BB58" i="13" s="1"/>
  <c r="BC58" i="10"/>
  <c r="BC58" i="13" s="1"/>
  <c r="BD58" i="10"/>
  <c r="BD58" i="13" s="1"/>
  <c r="BE58" i="10"/>
  <c r="BE58" i="13" s="1"/>
  <c r="BF58" i="10"/>
  <c r="BF58" i="13" s="1"/>
  <c r="BG58" i="10"/>
  <c r="BG58" i="13" s="1"/>
  <c r="BH58" i="10"/>
  <c r="BH58" i="13" s="1"/>
  <c r="AZ59" i="10"/>
  <c r="AZ59" i="13" s="1"/>
  <c r="BA59" i="10"/>
  <c r="BA59" i="13" s="1"/>
  <c r="BB59" i="10"/>
  <c r="BB59" i="13" s="1"/>
  <c r="BC59" i="10"/>
  <c r="BC59" i="13" s="1"/>
  <c r="BD59" i="10"/>
  <c r="BD59" i="13" s="1"/>
  <c r="BE59" i="10"/>
  <c r="BE59" i="13" s="1"/>
  <c r="BF59" i="10"/>
  <c r="BF59" i="13" s="1"/>
  <c r="BG59" i="10"/>
  <c r="BG59" i="13" s="1"/>
  <c r="BH59" i="10"/>
  <c r="BH59" i="13" s="1"/>
  <c r="AZ60" i="10"/>
  <c r="AZ60" i="13" s="1"/>
  <c r="BA60" i="10"/>
  <c r="BA60" i="13" s="1"/>
  <c r="BB60" i="10"/>
  <c r="BB60" i="13" s="1"/>
  <c r="BC60" i="10"/>
  <c r="BC60" i="13" s="1"/>
  <c r="BD60" i="10"/>
  <c r="BD60" i="13" s="1"/>
  <c r="BE60" i="10"/>
  <c r="BE60" i="13" s="1"/>
  <c r="BF60" i="10"/>
  <c r="BF60" i="13" s="1"/>
  <c r="BG60" i="10"/>
  <c r="BG60" i="13" s="1"/>
  <c r="BH60" i="10"/>
  <c r="BH60" i="13" s="1"/>
  <c r="AZ61" i="10"/>
  <c r="AZ61" i="13" s="1"/>
  <c r="BA61" i="10"/>
  <c r="BA61" i="13" s="1"/>
  <c r="BB61" i="10"/>
  <c r="BB61" i="13" s="1"/>
  <c r="BC61" i="10"/>
  <c r="BC61" i="13" s="1"/>
  <c r="BD61" i="10"/>
  <c r="BD61" i="13" s="1"/>
  <c r="BE61" i="10"/>
  <c r="BE61" i="13" s="1"/>
  <c r="BF61" i="10"/>
  <c r="BF61" i="13" s="1"/>
  <c r="BG61" i="10"/>
  <c r="BG61" i="13" s="1"/>
  <c r="BH61" i="10"/>
  <c r="BH61" i="13" s="1"/>
  <c r="AZ62" i="10"/>
  <c r="AZ62" i="13" s="1"/>
  <c r="BA62" i="10"/>
  <c r="BA62" i="13" s="1"/>
  <c r="BB62" i="10"/>
  <c r="BB62" i="13" s="1"/>
  <c r="BC62" i="10"/>
  <c r="BC62" i="13" s="1"/>
  <c r="BD62" i="10"/>
  <c r="BD62" i="13" s="1"/>
  <c r="BE62" i="10"/>
  <c r="BE62" i="13" s="1"/>
  <c r="BF62" i="10"/>
  <c r="BF62" i="13" s="1"/>
  <c r="BG62" i="10"/>
  <c r="BG62" i="13" s="1"/>
  <c r="BH62" i="10"/>
  <c r="BH62" i="13" s="1"/>
  <c r="AZ63" i="10"/>
  <c r="AZ63" i="13" s="1"/>
  <c r="BA63" i="10"/>
  <c r="BA63" i="13" s="1"/>
  <c r="BB63" i="10"/>
  <c r="BB63" i="13" s="1"/>
  <c r="BC63" i="10"/>
  <c r="BC63" i="13" s="1"/>
  <c r="BD63" i="10"/>
  <c r="BD63" i="13" s="1"/>
  <c r="BE63" i="10"/>
  <c r="BE63" i="13" s="1"/>
  <c r="BF63" i="10"/>
  <c r="BF63" i="13" s="1"/>
  <c r="BG63" i="10"/>
  <c r="BG63" i="13" s="1"/>
  <c r="BH63" i="10"/>
  <c r="BH63" i="13" s="1"/>
  <c r="AZ64" i="10"/>
  <c r="AZ64" i="13" s="1"/>
  <c r="BA64" i="10"/>
  <c r="BA64" i="13" s="1"/>
  <c r="BB64" i="10"/>
  <c r="BB64" i="13" s="1"/>
  <c r="BC64" i="10"/>
  <c r="BC64" i="13" s="1"/>
  <c r="BD64" i="10"/>
  <c r="BD64" i="13" s="1"/>
  <c r="BE64" i="10"/>
  <c r="BE64" i="13" s="1"/>
  <c r="BF64" i="10"/>
  <c r="BF64" i="13" s="1"/>
  <c r="BG64" i="10"/>
  <c r="BG64" i="13" s="1"/>
  <c r="BH64" i="10"/>
  <c r="BH64" i="13" s="1"/>
  <c r="AZ65" i="10"/>
  <c r="AZ65" i="13" s="1"/>
  <c r="BA65" i="10"/>
  <c r="BA65" i="13" s="1"/>
  <c r="BB65" i="10"/>
  <c r="BB65" i="13" s="1"/>
  <c r="BC65" i="10"/>
  <c r="BC65" i="13" s="1"/>
  <c r="BD65" i="10"/>
  <c r="BD65" i="13" s="1"/>
  <c r="BE65" i="10"/>
  <c r="BE65" i="13" s="1"/>
  <c r="BF65" i="10"/>
  <c r="BF65" i="13" s="1"/>
  <c r="BG65" i="10"/>
  <c r="BG65" i="13" s="1"/>
  <c r="BH65" i="10"/>
  <c r="BH65" i="13" s="1"/>
  <c r="AZ66" i="10"/>
  <c r="AZ66" i="13" s="1"/>
  <c r="BA66" i="10"/>
  <c r="BA66" i="13" s="1"/>
  <c r="BB66" i="10"/>
  <c r="BB66" i="13" s="1"/>
  <c r="BC66" i="10"/>
  <c r="BC66" i="13" s="1"/>
  <c r="BD66" i="10"/>
  <c r="BD66" i="13" s="1"/>
  <c r="BE66" i="10"/>
  <c r="BE66" i="13" s="1"/>
  <c r="BF66" i="10"/>
  <c r="BF66" i="13" s="1"/>
  <c r="BG66" i="10"/>
  <c r="BG66" i="13" s="1"/>
  <c r="BH66" i="10"/>
  <c r="BH66" i="13" s="1"/>
  <c r="AZ67" i="10"/>
  <c r="AZ67" i="13" s="1"/>
  <c r="BA67" i="10"/>
  <c r="BA67" i="13" s="1"/>
  <c r="BB67" i="10"/>
  <c r="BB67" i="13" s="1"/>
  <c r="BC67" i="10"/>
  <c r="BC67" i="13" s="1"/>
  <c r="BD67" i="10"/>
  <c r="BD67" i="13" s="1"/>
  <c r="BE67" i="10"/>
  <c r="BE67" i="13" s="1"/>
  <c r="BF67" i="10"/>
  <c r="BF67" i="13" s="1"/>
  <c r="BG67" i="10"/>
  <c r="BG67" i="13" s="1"/>
  <c r="BH67" i="10"/>
  <c r="BH67" i="13" s="1"/>
  <c r="AZ68" i="10"/>
  <c r="AZ68" i="13" s="1"/>
  <c r="BA68" i="10"/>
  <c r="BA68" i="13" s="1"/>
  <c r="BB68" i="10"/>
  <c r="BB68" i="13" s="1"/>
  <c r="BC68" i="10"/>
  <c r="BC68" i="13" s="1"/>
  <c r="BD68" i="10"/>
  <c r="BD68" i="13" s="1"/>
  <c r="BE68" i="10"/>
  <c r="BE68" i="13" s="1"/>
  <c r="BF68" i="10"/>
  <c r="BF68" i="13" s="1"/>
  <c r="BG68" i="10"/>
  <c r="BG68" i="13" s="1"/>
  <c r="BH68" i="10"/>
  <c r="BH68" i="13" s="1"/>
  <c r="AZ69" i="10"/>
  <c r="AZ69" i="13" s="1"/>
  <c r="BA69" i="10"/>
  <c r="BA69" i="13" s="1"/>
  <c r="BB69" i="10"/>
  <c r="BB69" i="13" s="1"/>
  <c r="BC69" i="10"/>
  <c r="BC69" i="13" s="1"/>
  <c r="BD69" i="10"/>
  <c r="BD69" i="13" s="1"/>
  <c r="BE69" i="10"/>
  <c r="BE69" i="13" s="1"/>
  <c r="BF69" i="10"/>
  <c r="BF69" i="13" s="1"/>
  <c r="BG69" i="10"/>
  <c r="BG69" i="13" s="1"/>
  <c r="BH69" i="10"/>
  <c r="BH69" i="13" s="1"/>
  <c r="AZ70" i="10"/>
  <c r="AZ70" i="13" s="1"/>
  <c r="BA70" i="10"/>
  <c r="BA70" i="13" s="1"/>
  <c r="BB70" i="10"/>
  <c r="BB70" i="13" s="1"/>
  <c r="BC70" i="10"/>
  <c r="BC70" i="13" s="1"/>
  <c r="BD70" i="10"/>
  <c r="BD70" i="13" s="1"/>
  <c r="BE70" i="10"/>
  <c r="BE70" i="13" s="1"/>
  <c r="BF70" i="10"/>
  <c r="BF70" i="13" s="1"/>
  <c r="BG70" i="10"/>
  <c r="BG70" i="13" s="1"/>
  <c r="BH70" i="10"/>
  <c r="BH70" i="13" s="1"/>
  <c r="BA2" i="10"/>
  <c r="BA2" i="13" s="1"/>
  <c r="BB2" i="10"/>
  <c r="BB2" i="13" s="1"/>
  <c r="BC2" i="10"/>
  <c r="BC2" i="13" s="1"/>
  <c r="BD2" i="10"/>
  <c r="BD2" i="13" s="1"/>
  <c r="BE2" i="10"/>
  <c r="BE2" i="13" s="1"/>
  <c r="BF2" i="10"/>
  <c r="BF2" i="13" s="1"/>
  <c r="BG2" i="10"/>
  <c r="BG2" i="13" s="1"/>
  <c r="BH2" i="10"/>
  <c r="BH2" i="13" s="1"/>
  <c r="AZ2" i="10"/>
  <c r="AZ2" i="13" s="1"/>
  <c r="AK3" i="10"/>
  <c r="AK3" i="13" s="1"/>
  <c r="AL3" i="10"/>
  <c r="AL3" i="13" s="1"/>
  <c r="AM3" i="10"/>
  <c r="AM3" i="13" s="1"/>
  <c r="AN3" i="10"/>
  <c r="AN3" i="13" s="1"/>
  <c r="AO3" i="10"/>
  <c r="AO3" i="13" s="1"/>
  <c r="AP3" i="10"/>
  <c r="AP3" i="13" s="1"/>
  <c r="AQ3" i="10"/>
  <c r="AQ3" i="13" s="1"/>
  <c r="AR3" i="10"/>
  <c r="AR3" i="13" s="1"/>
  <c r="AS3" i="10"/>
  <c r="AS3" i="13" s="1"/>
  <c r="AT3" i="10"/>
  <c r="AT3" i="13" s="1"/>
  <c r="AU3" i="10"/>
  <c r="AU3" i="13" s="1"/>
  <c r="AV3" i="10"/>
  <c r="AV3" i="13" s="1"/>
  <c r="AW3" i="10"/>
  <c r="AW3" i="13" s="1"/>
  <c r="AX3" i="10"/>
  <c r="AX3" i="13" s="1"/>
  <c r="AK4" i="10"/>
  <c r="AK4" i="13" s="1"/>
  <c r="AL4" i="10"/>
  <c r="AL4" i="13" s="1"/>
  <c r="AM4" i="10"/>
  <c r="AM4" i="13" s="1"/>
  <c r="AN4" i="10"/>
  <c r="AN4" i="13" s="1"/>
  <c r="AO4" i="10"/>
  <c r="AO4" i="13" s="1"/>
  <c r="AP4" i="10"/>
  <c r="AP4" i="13" s="1"/>
  <c r="AQ4" i="10"/>
  <c r="AQ4" i="13" s="1"/>
  <c r="AR4" i="10"/>
  <c r="AR4" i="13" s="1"/>
  <c r="AS4" i="10"/>
  <c r="AS4" i="13" s="1"/>
  <c r="AT4" i="10"/>
  <c r="AT4" i="13" s="1"/>
  <c r="AU4" i="10"/>
  <c r="AU4" i="13" s="1"/>
  <c r="AV4" i="10"/>
  <c r="AV4" i="13" s="1"/>
  <c r="AW4" i="10"/>
  <c r="AW4" i="13" s="1"/>
  <c r="AX4" i="10"/>
  <c r="AX4" i="13" s="1"/>
  <c r="AK5" i="10"/>
  <c r="AK5" i="13" s="1"/>
  <c r="AL5" i="10"/>
  <c r="AL5" i="13" s="1"/>
  <c r="AM5" i="10"/>
  <c r="AM5" i="13" s="1"/>
  <c r="AN5" i="10"/>
  <c r="AN5" i="13" s="1"/>
  <c r="AO5" i="10"/>
  <c r="AO5" i="13" s="1"/>
  <c r="AP5" i="10"/>
  <c r="AP5" i="13" s="1"/>
  <c r="AQ5" i="10"/>
  <c r="AQ5" i="13" s="1"/>
  <c r="AR5" i="10"/>
  <c r="AR5" i="13" s="1"/>
  <c r="AS5" i="10"/>
  <c r="AS5" i="13" s="1"/>
  <c r="AT5" i="10"/>
  <c r="AT5" i="13" s="1"/>
  <c r="AU5" i="10"/>
  <c r="AU5" i="13" s="1"/>
  <c r="AV5" i="10"/>
  <c r="AV5" i="13" s="1"/>
  <c r="AW5" i="10"/>
  <c r="AW5" i="13" s="1"/>
  <c r="AX5" i="10"/>
  <c r="AX5" i="13" s="1"/>
  <c r="AK6" i="10"/>
  <c r="AK6" i="13" s="1"/>
  <c r="AL6" i="10"/>
  <c r="AL6" i="13" s="1"/>
  <c r="AM6" i="10"/>
  <c r="AM6" i="13" s="1"/>
  <c r="AN6" i="10"/>
  <c r="AN6" i="13" s="1"/>
  <c r="AO6" i="10"/>
  <c r="AO6" i="13" s="1"/>
  <c r="AP6" i="10"/>
  <c r="AP6" i="13" s="1"/>
  <c r="AQ6" i="10"/>
  <c r="AQ6" i="13" s="1"/>
  <c r="AR6" i="10"/>
  <c r="AR6" i="13" s="1"/>
  <c r="AS6" i="10"/>
  <c r="AS6" i="13" s="1"/>
  <c r="AT6" i="10"/>
  <c r="AT6" i="13" s="1"/>
  <c r="AU6" i="10"/>
  <c r="AU6" i="13" s="1"/>
  <c r="AV6" i="10"/>
  <c r="AV6" i="13" s="1"/>
  <c r="AW6" i="10"/>
  <c r="AW6" i="13" s="1"/>
  <c r="AX6" i="10"/>
  <c r="AX6" i="13" s="1"/>
  <c r="AK7" i="10"/>
  <c r="AK7" i="13" s="1"/>
  <c r="AL7" i="10"/>
  <c r="AL7" i="13" s="1"/>
  <c r="AM7" i="10"/>
  <c r="AM7" i="13" s="1"/>
  <c r="AN7" i="10"/>
  <c r="AN7" i="13" s="1"/>
  <c r="AO7" i="10"/>
  <c r="AO7" i="13" s="1"/>
  <c r="AP7" i="10"/>
  <c r="AP7" i="13" s="1"/>
  <c r="AQ7" i="10"/>
  <c r="AQ7" i="13" s="1"/>
  <c r="AR7" i="10"/>
  <c r="AR7" i="13" s="1"/>
  <c r="AS7" i="10"/>
  <c r="AS7" i="13" s="1"/>
  <c r="AT7" i="10"/>
  <c r="AT7" i="13" s="1"/>
  <c r="AU7" i="10"/>
  <c r="AU7" i="13" s="1"/>
  <c r="AV7" i="10"/>
  <c r="AV7" i="13" s="1"/>
  <c r="AW7" i="10"/>
  <c r="AW7" i="13" s="1"/>
  <c r="AX7" i="10"/>
  <c r="AX7" i="13" s="1"/>
  <c r="AK8" i="10"/>
  <c r="AK8" i="13" s="1"/>
  <c r="AL8" i="10"/>
  <c r="AL8" i="13" s="1"/>
  <c r="AM8" i="10"/>
  <c r="AM8" i="13" s="1"/>
  <c r="AN8" i="10"/>
  <c r="AN8" i="13" s="1"/>
  <c r="AO8" i="10"/>
  <c r="AO8" i="13" s="1"/>
  <c r="AP8" i="10"/>
  <c r="AP8" i="13" s="1"/>
  <c r="AQ8" i="10"/>
  <c r="AQ8" i="13" s="1"/>
  <c r="AR8" i="10"/>
  <c r="AR8" i="13" s="1"/>
  <c r="AS8" i="10"/>
  <c r="AS8" i="13" s="1"/>
  <c r="AT8" i="10"/>
  <c r="AT8" i="13" s="1"/>
  <c r="AU8" i="10"/>
  <c r="AU8" i="13" s="1"/>
  <c r="AV8" i="10"/>
  <c r="AV8" i="13" s="1"/>
  <c r="AW8" i="10"/>
  <c r="AW8" i="13" s="1"/>
  <c r="AX8" i="10"/>
  <c r="AX8" i="13" s="1"/>
  <c r="AK9" i="10"/>
  <c r="AK9" i="13" s="1"/>
  <c r="AL9" i="10"/>
  <c r="AL9" i="13" s="1"/>
  <c r="AM9" i="10"/>
  <c r="AM9" i="13" s="1"/>
  <c r="AN9" i="10"/>
  <c r="AN9" i="13" s="1"/>
  <c r="AO9" i="10"/>
  <c r="AO9" i="13" s="1"/>
  <c r="AP9" i="10"/>
  <c r="AP9" i="13" s="1"/>
  <c r="AQ9" i="10"/>
  <c r="AQ9" i="13" s="1"/>
  <c r="AR9" i="10"/>
  <c r="AR9" i="13" s="1"/>
  <c r="AS9" i="10"/>
  <c r="AS9" i="13" s="1"/>
  <c r="AT9" i="10"/>
  <c r="AT9" i="13" s="1"/>
  <c r="AU9" i="10"/>
  <c r="AU9" i="13" s="1"/>
  <c r="AV9" i="10"/>
  <c r="AV9" i="13" s="1"/>
  <c r="AW9" i="10"/>
  <c r="AW9" i="13" s="1"/>
  <c r="AX9" i="10"/>
  <c r="AX9" i="13" s="1"/>
  <c r="AK10" i="10"/>
  <c r="AK10" i="13" s="1"/>
  <c r="AL10" i="10"/>
  <c r="AL10" i="13" s="1"/>
  <c r="AM10" i="10"/>
  <c r="AM10" i="13" s="1"/>
  <c r="AN10" i="10"/>
  <c r="AN10" i="13" s="1"/>
  <c r="AO10" i="10"/>
  <c r="AO10" i="13" s="1"/>
  <c r="AP10" i="10"/>
  <c r="AP10" i="13" s="1"/>
  <c r="AQ10" i="10"/>
  <c r="AQ10" i="13" s="1"/>
  <c r="AR10" i="10"/>
  <c r="AR10" i="13" s="1"/>
  <c r="AS10" i="10"/>
  <c r="AS10" i="13" s="1"/>
  <c r="AT10" i="10"/>
  <c r="AT10" i="13" s="1"/>
  <c r="AU10" i="10"/>
  <c r="AU10" i="13" s="1"/>
  <c r="AV10" i="10"/>
  <c r="AV10" i="13" s="1"/>
  <c r="AW10" i="10"/>
  <c r="AW10" i="13" s="1"/>
  <c r="AX10" i="10"/>
  <c r="AX10" i="13" s="1"/>
  <c r="AK11" i="10"/>
  <c r="AK11" i="13" s="1"/>
  <c r="AL11" i="10"/>
  <c r="AL11" i="13" s="1"/>
  <c r="AM11" i="10"/>
  <c r="AM11" i="13" s="1"/>
  <c r="AN11" i="10"/>
  <c r="AN11" i="13" s="1"/>
  <c r="AO11" i="10"/>
  <c r="AO11" i="13" s="1"/>
  <c r="AP11" i="10"/>
  <c r="AP11" i="13" s="1"/>
  <c r="AQ11" i="10"/>
  <c r="AQ11" i="13" s="1"/>
  <c r="AR11" i="10"/>
  <c r="AR11" i="13" s="1"/>
  <c r="AS11" i="10"/>
  <c r="AS11" i="13" s="1"/>
  <c r="AT11" i="10"/>
  <c r="AT11" i="13" s="1"/>
  <c r="AU11" i="10"/>
  <c r="AU11" i="13" s="1"/>
  <c r="AV11" i="10"/>
  <c r="AV11" i="13" s="1"/>
  <c r="AW11" i="10"/>
  <c r="AW11" i="13" s="1"/>
  <c r="AX11" i="10"/>
  <c r="AX11" i="13" s="1"/>
  <c r="AK13" i="10"/>
  <c r="AK13" i="13" s="1"/>
  <c r="AL13" i="10"/>
  <c r="AL13" i="13" s="1"/>
  <c r="AM13" i="10"/>
  <c r="AM13" i="13" s="1"/>
  <c r="AN13" i="10"/>
  <c r="AN13" i="13" s="1"/>
  <c r="AO13" i="10"/>
  <c r="AO13" i="13" s="1"/>
  <c r="AP13" i="10"/>
  <c r="AP13" i="13" s="1"/>
  <c r="AQ13" i="10"/>
  <c r="AQ13" i="13" s="1"/>
  <c r="AR13" i="10"/>
  <c r="AR13" i="13" s="1"/>
  <c r="AS13" i="10"/>
  <c r="AS13" i="13" s="1"/>
  <c r="AT13" i="10"/>
  <c r="AT13" i="13" s="1"/>
  <c r="AU13" i="10"/>
  <c r="AU13" i="13" s="1"/>
  <c r="AV13" i="10"/>
  <c r="AV13" i="13" s="1"/>
  <c r="AW13" i="10"/>
  <c r="AW13" i="13" s="1"/>
  <c r="AX13" i="10"/>
  <c r="AX13" i="13" s="1"/>
  <c r="AK14" i="10"/>
  <c r="AK14" i="13" s="1"/>
  <c r="AL14" i="10"/>
  <c r="AL14" i="13" s="1"/>
  <c r="AM14" i="10"/>
  <c r="AM14" i="13" s="1"/>
  <c r="AN14" i="10"/>
  <c r="AN14" i="13" s="1"/>
  <c r="AO14" i="10"/>
  <c r="AO14" i="13" s="1"/>
  <c r="AP14" i="10"/>
  <c r="AP14" i="13" s="1"/>
  <c r="AQ14" i="10"/>
  <c r="AQ14" i="13" s="1"/>
  <c r="AR14" i="10"/>
  <c r="AR14" i="13" s="1"/>
  <c r="AS14" i="10"/>
  <c r="AS14" i="13" s="1"/>
  <c r="AT14" i="10"/>
  <c r="AT14" i="13" s="1"/>
  <c r="AU14" i="10"/>
  <c r="AU14" i="13" s="1"/>
  <c r="AV14" i="10"/>
  <c r="AV14" i="13" s="1"/>
  <c r="AW14" i="10"/>
  <c r="AW14" i="13" s="1"/>
  <c r="AX14" i="10"/>
  <c r="AX14" i="13" s="1"/>
  <c r="AK15" i="10"/>
  <c r="AK15" i="13" s="1"/>
  <c r="AL15" i="10"/>
  <c r="AL15" i="13" s="1"/>
  <c r="AM15" i="10"/>
  <c r="AM15" i="13" s="1"/>
  <c r="AN15" i="10"/>
  <c r="AN15" i="13" s="1"/>
  <c r="AO15" i="10"/>
  <c r="AO15" i="13" s="1"/>
  <c r="AP15" i="10"/>
  <c r="AP15" i="13" s="1"/>
  <c r="AQ15" i="10"/>
  <c r="AQ15" i="13" s="1"/>
  <c r="AR15" i="10"/>
  <c r="AR15" i="13" s="1"/>
  <c r="AS15" i="10"/>
  <c r="AS15" i="13" s="1"/>
  <c r="AT15" i="10"/>
  <c r="AT15" i="13" s="1"/>
  <c r="AU15" i="10"/>
  <c r="AU15" i="13" s="1"/>
  <c r="AV15" i="10"/>
  <c r="AV15" i="13" s="1"/>
  <c r="AW15" i="10"/>
  <c r="AW15" i="13" s="1"/>
  <c r="AX15" i="10"/>
  <c r="AX15" i="13" s="1"/>
  <c r="AK16" i="10"/>
  <c r="AK16" i="13" s="1"/>
  <c r="AL16" i="10"/>
  <c r="AL16" i="13" s="1"/>
  <c r="AM16" i="10"/>
  <c r="AM16" i="13" s="1"/>
  <c r="AN16" i="10"/>
  <c r="AN16" i="13" s="1"/>
  <c r="AO16" i="10"/>
  <c r="AO16" i="13" s="1"/>
  <c r="AP16" i="10"/>
  <c r="AP16" i="13" s="1"/>
  <c r="AQ16" i="10"/>
  <c r="AQ16" i="13" s="1"/>
  <c r="AR16" i="10"/>
  <c r="AR16" i="13" s="1"/>
  <c r="AS16" i="10"/>
  <c r="AS16" i="13" s="1"/>
  <c r="AT16" i="10"/>
  <c r="AT16" i="13" s="1"/>
  <c r="AU16" i="10"/>
  <c r="AU16" i="13" s="1"/>
  <c r="AV16" i="10"/>
  <c r="AV16" i="13" s="1"/>
  <c r="AW16" i="10"/>
  <c r="AW16" i="13" s="1"/>
  <c r="AX16" i="10"/>
  <c r="AX16" i="13" s="1"/>
  <c r="AK17" i="10"/>
  <c r="AK17" i="13" s="1"/>
  <c r="AL17" i="10"/>
  <c r="AL17" i="13" s="1"/>
  <c r="AM17" i="10"/>
  <c r="AM17" i="13" s="1"/>
  <c r="AN17" i="10"/>
  <c r="AN17" i="13" s="1"/>
  <c r="AO17" i="10"/>
  <c r="AO17" i="13" s="1"/>
  <c r="AP17" i="10"/>
  <c r="AP17" i="13" s="1"/>
  <c r="AQ17" i="10"/>
  <c r="AQ17" i="13" s="1"/>
  <c r="AR17" i="10"/>
  <c r="AR17" i="13" s="1"/>
  <c r="AS17" i="10"/>
  <c r="AS17" i="13" s="1"/>
  <c r="AT17" i="10"/>
  <c r="AT17" i="13" s="1"/>
  <c r="AU17" i="10"/>
  <c r="AU17" i="13" s="1"/>
  <c r="AV17" i="10"/>
  <c r="AV17" i="13" s="1"/>
  <c r="AW17" i="10"/>
  <c r="AW17" i="13" s="1"/>
  <c r="AX17" i="10"/>
  <c r="AX17" i="13" s="1"/>
  <c r="AK18" i="10"/>
  <c r="AK18" i="13" s="1"/>
  <c r="AL18" i="10"/>
  <c r="AL18" i="13" s="1"/>
  <c r="AM18" i="10"/>
  <c r="AM18" i="13" s="1"/>
  <c r="AN18" i="10"/>
  <c r="AN18" i="13" s="1"/>
  <c r="AO18" i="10"/>
  <c r="AO18" i="13" s="1"/>
  <c r="AP18" i="10"/>
  <c r="AP18" i="13" s="1"/>
  <c r="AQ18" i="10"/>
  <c r="AQ18" i="13" s="1"/>
  <c r="AR18" i="10"/>
  <c r="AR18" i="13" s="1"/>
  <c r="AS18" i="10"/>
  <c r="AS18" i="13" s="1"/>
  <c r="AT18" i="10"/>
  <c r="AT18" i="13" s="1"/>
  <c r="AU18" i="10"/>
  <c r="AU18" i="13" s="1"/>
  <c r="AV18" i="10"/>
  <c r="AV18" i="13" s="1"/>
  <c r="AW18" i="10"/>
  <c r="AW18" i="13" s="1"/>
  <c r="AX18" i="10"/>
  <c r="AX18" i="13" s="1"/>
  <c r="AK19" i="10"/>
  <c r="AK19" i="13" s="1"/>
  <c r="AL19" i="10"/>
  <c r="AL19" i="13" s="1"/>
  <c r="AM19" i="10"/>
  <c r="AM19" i="13" s="1"/>
  <c r="AN19" i="10"/>
  <c r="AN19" i="13" s="1"/>
  <c r="AO19" i="10"/>
  <c r="AO19" i="13" s="1"/>
  <c r="AP19" i="10"/>
  <c r="AP19" i="13" s="1"/>
  <c r="AQ19" i="10"/>
  <c r="AQ19" i="13" s="1"/>
  <c r="AR19" i="10"/>
  <c r="AR19" i="13" s="1"/>
  <c r="AS19" i="10"/>
  <c r="AS19" i="13" s="1"/>
  <c r="AT19" i="10"/>
  <c r="AT19" i="13" s="1"/>
  <c r="AU19" i="10"/>
  <c r="AU19" i="13" s="1"/>
  <c r="AV19" i="10"/>
  <c r="AV19" i="13" s="1"/>
  <c r="AW19" i="10"/>
  <c r="AW19" i="13" s="1"/>
  <c r="AX19" i="10"/>
  <c r="AX19" i="13" s="1"/>
  <c r="AK20" i="10"/>
  <c r="AK20" i="13" s="1"/>
  <c r="AL20" i="10"/>
  <c r="AL20" i="13" s="1"/>
  <c r="AM20" i="10"/>
  <c r="AM20" i="13" s="1"/>
  <c r="AN20" i="10"/>
  <c r="AN20" i="13" s="1"/>
  <c r="AO20" i="10"/>
  <c r="AO20" i="13" s="1"/>
  <c r="AP20" i="10"/>
  <c r="AP20" i="13" s="1"/>
  <c r="AQ20" i="10"/>
  <c r="AQ20" i="13" s="1"/>
  <c r="AR20" i="10"/>
  <c r="AR20" i="13" s="1"/>
  <c r="AS20" i="10"/>
  <c r="AS20" i="13" s="1"/>
  <c r="AT20" i="10"/>
  <c r="AT20" i="13" s="1"/>
  <c r="AU20" i="10"/>
  <c r="AU20" i="13" s="1"/>
  <c r="AV20" i="10"/>
  <c r="AV20" i="13" s="1"/>
  <c r="AW20" i="10"/>
  <c r="AW20" i="13" s="1"/>
  <c r="AX20" i="10"/>
  <c r="AX20" i="13" s="1"/>
  <c r="AK21" i="10"/>
  <c r="AK21" i="13" s="1"/>
  <c r="AL21" i="10"/>
  <c r="AL21" i="13" s="1"/>
  <c r="AM21" i="10"/>
  <c r="AM21" i="13" s="1"/>
  <c r="AN21" i="10"/>
  <c r="AN21" i="13" s="1"/>
  <c r="AO21" i="10"/>
  <c r="AO21" i="13" s="1"/>
  <c r="AP21" i="10"/>
  <c r="AP21" i="13" s="1"/>
  <c r="AQ21" i="10"/>
  <c r="AQ21" i="13" s="1"/>
  <c r="AR21" i="10"/>
  <c r="AR21" i="13" s="1"/>
  <c r="AS21" i="10"/>
  <c r="AS21" i="13" s="1"/>
  <c r="AT21" i="10"/>
  <c r="AT21" i="13" s="1"/>
  <c r="AU21" i="10"/>
  <c r="AU21" i="13" s="1"/>
  <c r="AV21" i="10"/>
  <c r="AV21" i="13" s="1"/>
  <c r="AW21" i="10"/>
  <c r="AW21" i="13" s="1"/>
  <c r="AX21" i="10"/>
  <c r="AX21" i="13" s="1"/>
  <c r="AK22" i="10"/>
  <c r="AK22" i="13" s="1"/>
  <c r="AL22" i="10"/>
  <c r="AL22" i="13" s="1"/>
  <c r="AM22" i="10"/>
  <c r="AM22" i="13" s="1"/>
  <c r="AN22" i="10"/>
  <c r="AN22" i="13" s="1"/>
  <c r="AO22" i="10"/>
  <c r="AO22" i="13" s="1"/>
  <c r="AP22" i="10"/>
  <c r="AP22" i="13" s="1"/>
  <c r="AQ22" i="10"/>
  <c r="AQ22" i="13" s="1"/>
  <c r="AR22" i="10"/>
  <c r="AR22" i="13" s="1"/>
  <c r="AS22" i="10"/>
  <c r="AS22" i="13" s="1"/>
  <c r="AT22" i="10"/>
  <c r="AT22" i="13" s="1"/>
  <c r="AU22" i="10"/>
  <c r="AU22" i="13" s="1"/>
  <c r="AV22" i="10"/>
  <c r="AV22" i="13" s="1"/>
  <c r="AW22" i="10"/>
  <c r="AW22" i="13" s="1"/>
  <c r="AX22" i="10"/>
  <c r="AX22" i="13" s="1"/>
  <c r="AK23" i="10"/>
  <c r="AK23" i="13" s="1"/>
  <c r="AL23" i="10"/>
  <c r="AL23" i="13" s="1"/>
  <c r="AM23" i="10"/>
  <c r="AM23" i="13" s="1"/>
  <c r="AN23" i="10"/>
  <c r="AN23" i="13" s="1"/>
  <c r="AO23" i="10"/>
  <c r="AO23" i="13" s="1"/>
  <c r="AP23" i="10"/>
  <c r="AP23" i="13" s="1"/>
  <c r="AQ23" i="10"/>
  <c r="AQ23" i="13" s="1"/>
  <c r="AR23" i="10"/>
  <c r="AR23" i="13" s="1"/>
  <c r="AS23" i="10"/>
  <c r="AS23" i="13" s="1"/>
  <c r="AT23" i="10"/>
  <c r="AT23" i="13" s="1"/>
  <c r="AU23" i="10"/>
  <c r="AU23" i="13" s="1"/>
  <c r="AV23" i="10"/>
  <c r="AV23" i="13" s="1"/>
  <c r="AW23" i="10"/>
  <c r="AW23" i="13" s="1"/>
  <c r="AX23" i="10"/>
  <c r="AX23" i="13" s="1"/>
  <c r="AK24" i="10"/>
  <c r="AK24" i="13" s="1"/>
  <c r="AL24" i="10"/>
  <c r="AL24" i="13" s="1"/>
  <c r="AM24" i="10"/>
  <c r="AM24" i="13" s="1"/>
  <c r="AN24" i="10"/>
  <c r="AN24" i="13" s="1"/>
  <c r="AO24" i="10"/>
  <c r="AO24" i="13" s="1"/>
  <c r="AP24" i="10"/>
  <c r="AP24" i="13" s="1"/>
  <c r="AQ24" i="10"/>
  <c r="AQ24" i="13" s="1"/>
  <c r="AR24" i="10"/>
  <c r="AR24" i="13" s="1"/>
  <c r="AS24" i="10"/>
  <c r="AS24" i="13" s="1"/>
  <c r="AT24" i="10"/>
  <c r="AT24" i="13" s="1"/>
  <c r="AU24" i="10"/>
  <c r="AU24" i="13" s="1"/>
  <c r="AV24" i="10"/>
  <c r="AV24" i="13" s="1"/>
  <c r="AW24" i="10"/>
  <c r="AW24" i="13" s="1"/>
  <c r="AX24" i="10"/>
  <c r="AX24" i="13" s="1"/>
  <c r="AK25" i="10"/>
  <c r="AK25" i="13" s="1"/>
  <c r="AL25" i="10"/>
  <c r="AL25" i="13" s="1"/>
  <c r="AM25" i="10"/>
  <c r="AM25" i="13" s="1"/>
  <c r="AN25" i="10"/>
  <c r="AN25" i="13" s="1"/>
  <c r="AO25" i="10"/>
  <c r="AO25" i="13" s="1"/>
  <c r="AP25" i="10"/>
  <c r="AP25" i="13" s="1"/>
  <c r="AQ25" i="10"/>
  <c r="AQ25" i="13" s="1"/>
  <c r="AR25" i="10"/>
  <c r="AR25" i="13" s="1"/>
  <c r="AS25" i="10"/>
  <c r="AS25" i="13" s="1"/>
  <c r="AT25" i="10"/>
  <c r="AT25" i="13" s="1"/>
  <c r="AU25" i="10"/>
  <c r="AU25" i="13" s="1"/>
  <c r="AV25" i="10"/>
  <c r="AV25" i="13" s="1"/>
  <c r="AW25" i="10"/>
  <c r="AW25" i="13" s="1"/>
  <c r="AX25" i="10"/>
  <c r="AX25" i="13" s="1"/>
  <c r="AK26" i="10"/>
  <c r="AK26" i="13" s="1"/>
  <c r="AL26" i="10"/>
  <c r="AL26" i="13" s="1"/>
  <c r="AM26" i="10"/>
  <c r="AM26" i="13" s="1"/>
  <c r="AN26" i="10"/>
  <c r="AN26" i="13" s="1"/>
  <c r="AO26" i="10"/>
  <c r="AO26" i="13" s="1"/>
  <c r="AP26" i="10"/>
  <c r="AP26" i="13" s="1"/>
  <c r="AQ26" i="10"/>
  <c r="AQ26" i="13" s="1"/>
  <c r="AR26" i="10"/>
  <c r="AR26" i="13" s="1"/>
  <c r="AS26" i="10"/>
  <c r="AS26" i="13" s="1"/>
  <c r="AT26" i="10"/>
  <c r="AT26" i="13" s="1"/>
  <c r="AU26" i="10"/>
  <c r="AU26" i="13" s="1"/>
  <c r="AV26" i="10"/>
  <c r="AV26" i="13" s="1"/>
  <c r="AW26" i="10"/>
  <c r="AW26" i="13" s="1"/>
  <c r="AX26" i="10"/>
  <c r="AX26" i="13" s="1"/>
  <c r="AK27" i="10"/>
  <c r="AK27" i="13" s="1"/>
  <c r="AL27" i="10"/>
  <c r="AL27" i="13" s="1"/>
  <c r="AM27" i="10"/>
  <c r="AM27" i="13" s="1"/>
  <c r="AN27" i="10"/>
  <c r="AN27" i="13" s="1"/>
  <c r="AO27" i="10"/>
  <c r="AO27" i="13" s="1"/>
  <c r="AP27" i="10"/>
  <c r="AP27" i="13" s="1"/>
  <c r="AQ27" i="10"/>
  <c r="AQ27" i="13" s="1"/>
  <c r="AR27" i="10"/>
  <c r="AR27" i="13" s="1"/>
  <c r="AS27" i="10"/>
  <c r="AS27" i="13" s="1"/>
  <c r="AT27" i="10"/>
  <c r="AT27" i="13" s="1"/>
  <c r="AU27" i="10"/>
  <c r="AU27" i="13" s="1"/>
  <c r="AV27" i="10"/>
  <c r="AV27" i="13" s="1"/>
  <c r="AW27" i="10"/>
  <c r="AW27" i="13" s="1"/>
  <c r="AX27" i="10"/>
  <c r="AX27" i="13" s="1"/>
  <c r="AK28" i="10"/>
  <c r="AK28" i="13" s="1"/>
  <c r="AL28" i="10"/>
  <c r="AL28" i="13" s="1"/>
  <c r="AM28" i="10"/>
  <c r="AM28" i="13" s="1"/>
  <c r="AN28" i="10"/>
  <c r="AN28" i="13" s="1"/>
  <c r="AO28" i="10"/>
  <c r="AO28" i="13" s="1"/>
  <c r="AP28" i="10"/>
  <c r="AP28" i="13" s="1"/>
  <c r="AQ28" i="10"/>
  <c r="AQ28" i="13" s="1"/>
  <c r="AR28" i="10"/>
  <c r="AR28" i="13" s="1"/>
  <c r="AS28" i="10"/>
  <c r="AS28" i="13" s="1"/>
  <c r="AT28" i="10"/>
  <c r="AT28" i="13" s="1"/>
  <c r="AU28" i="10"/>
  <c r="AU28" i="13" s="1"/>
  <c r="AV28" i="10"/>
  <c r="AV28" i="13" s="1"/>
  <c r="AW28" i="10"/>
  <c r="AW28" i="13" s="1"/>
  <c r="AX28" i="10"/>
  <c r="AX28" i="13" s="1"/>
  <c r="AK29" i="10"/>
  <c r="AK29" i="13" s="1"/>
  <c r="AL29" i="10"/>
  <c r="AL29" i="13" s="1"/>
  <c r="AM29" i="10"/>
  <c r="AM29" i="13" s="1"/>
  <c r="AN29" i="10"/>
  <c r="AN29" i="13" s="1"/>
  <c r="AO29" i="10"/>
  <c r="AO29" i="13" s="1"/>
  <c r="AP29" i="10"/>
  <c r="AP29" i="13" s="1"/>
  <c r="AQ29" i="10"/>
  <c r="AQ29" i="13" s="1"/>
  <c r="AR29" i="10"/>
  <c r="AR29" i="13" s="1"/>
  <c r="AS29" i="10"/>
  <c r="AS29" i="13" s="1"/>
  <c r="AT29" i="10"/>
  <c r="AT29" i="13" s="1"/>
  <c r="AU29" i="10"/>
  <c r="AU29" i="13" s="1"/>
  <c r="AV29" i="10"/>
  <c r="AV29" i="13" s="1"/>
  <c r="AW29" i="10"/>
  <c r="AW29" i="13" s="1"/>
  <c r="AX29" i="10"/>
  <c r="AX29" i="13" s="1"/>
  <c r="AK30" i="10"/>
  <c r="AK30" i="13" s="1"/>
  <c r="AL30" i="10"/>
  <c r="AL30" i="13" s="1"/>
  <c r="AM30" i="10"/>
  <c r="AM30" i="13" s="1"/>
  <c r="AN30" i="10"/>
  <c r="AN30" i="13" s="1"/>
  <c r="AO30" i="10"/>
  <c r="AO30" i="13" s="1"/>
  <c r="AP30" i="10"/>
  <c r="AP30" i="13" s="1"/>
  <c r="AQ30" i="10"/>
  <c r="AQ30" i="13" s="1"/>
  <c r="AR30" i="10"/>
  <c r="AR30" i="13" s="1"/>
  <c r="AS30" i="10"/>
  <c r="AS30" i="13" s="1"/>
  <c r="AT30" i="10"/>
  <c r="AT30" i="13" s="1"/>
  <c r="AU30" i="10"/>
  <c r="AU30" i="13" s="1"/>
  <c r="AV30" i="10"/>
  <c r="AV30" i="13" s="1"/>
  <c r="AW30" i="10"/>
  <c r="AW30" i="13" s="1"/>
  <c r="AX30" i="10"/>
  <c r="AX30" i="13" s="1"/>
  <c r="AK31" i="10"/>
  <c r="AK31" i="13" s="1"/>
  <c r="AL31" i="10"/>
  <c r="AL31" i="13" s="1"/>
  <c r="AM31" i="10"/>
  <c r="AM31" i="13" s="1"/>
  <c r="AN31" i="10"/>
  <c r="AN31" i="13" s="1"/>
  <c r="AO31" i="10"/>
  <c r="AO31" i="13" s="1"/>
  <c r="AP31" i="10"/>
  <c r="AP31" i="13" s="1"/>
  <c r="AQ31" i="10"/>
  <c r="AQ31" i="13" s="1"/>
  <c r="AR31" i="10"/>
  <c r="AR31" i="13" s="1"/>
  <c r="AS31" i="10"/>
  <c r="AS31" i="13" s="1"/>
  <c r="AT31" i="10"/>
  <c r="AT31" i="13" s="1"/>
  <c r="AU31" i="10"/>
  <c r="AU31" i="13" s="1"/>
  <c r="AV31" i="10"/>
  <c r="AV31" i="13" s="1"/>
  <c r="AW31" i="10"/>
  <c r="AW31" i="13" s="1"/>
  <c r="AX31" i="10"/>
  <c r="AX31" i="13" s="1"/>
  <c r="AK32" i="10"/>
  <c r="AK32" i="13" s="1"/>
  <c r="AL32" i="10"/>
  <c r="AL32" i="13" s="1"/>
  <c r="AM32" i="10"/>
  <c r="AM32" i="13" s="1"/>
  <c r="AN32" i="10"/>
  <c r="AN32" i="13" s="1"/>
  <c r="AO32" i="10"/>
  <c r="AO32" i="13" s="1"/>
  <c r="AP32" i="10"/>
  <c r="AP32" i="13" s="1"/>
  <c r="AQ32" i="10"/>
  <c r="AQ32" i="13" s="1"/>
  <c r="AR32" i="10"/>
  <c r="AR32" i="13" s="1"/>
  <c r="AS32" i="10"/>
  <c r="AS32" i="13" s="1"/>
  <c r="AT32" i="10"/>
  <c r="AT32" i="13" s="1"/>
  <c r="AU32" i="10"/>
  <c r="AU32" i="13" s="1"/>
  <c r="AV32" i="10"/>
  <c r="AV32" i="13" s="1"/>
  <c r="AW32" i="10"/>
  <c r="AW32" i="13" s="1"/>
  <c r="AX32" i="10"/>
  <c r="AX32" i="13" s="1"/>
  <c r="AK33" i="10"/>
  <c r="AK33" i="13" s="1"/>
  <c r="AL33" i="10"/>
  <c r="AL33" i="13" s="1"/>
  <c r="AM33" i="10"/>
  <c r="AM33" i="13" s="1"/>
  <c r="AN33" i="10"/>
  <c r="AN33" i="13" s="1"/>
  <c r="AO33" i="10"/>
  <c r="AO33" i="13" s="1"/>
  <c r="AP33" i="10"/>
  <c r="AP33" i="13" s="1"/>
  <c r="AQ33" i="10"/>
  <c r="AQ33" i="13" s="1"/>
  <c r="AR33" i="10"/>
  <c r="AR33" i="13" s="1"/>
  <c r="AS33" i="10"/>
  <c r="AS33" i="13" s="1"/>
  <c r="AT33" i="10"/>
  <c r="AT33" i="13" s="1"/>
  <c r="AU33" i="10"/>
  <c r="AU33" i="13" s="1"/>
  <c r="AV33" i="10"/>
  <c r="AV33" i="13" s="1"/>
  <c r="AW33" i="10"/>
  <c r="AW33" i="13" s="1"/>
  <c r="AX33" i="10"/>
  <c r="AX33" i="13" s="1"/>
  <c r="AK34" i="10"/>
  <c r="AK34" i="13" s="1"/>
  <c r="AL34" i="10"/>
  <c r="AL34" i="13" s="1"/>
  <c r="AM34" i="10"/>
  <c r="AM34" i="13" s="1"/>
  <c r="AN34" i="10"/>
  <c r="AN34" i="13" s="1"/>
  <c r="AO34" i="10"/>
  <c r="AO34" i="13" s="1"/>
  <c r="AP34" i="10"/>
  <c r="AP34" i="13" s="1"/>
  <c r="AQ34" i="10"/>
  <c r="AQ34" i="13" s="1"/>
  <c r="AR34" i="10"/>
  <c r="AR34" i="13" s="1"/>
  <c r="AS34" i="10"/>
  <c r="AS34" i="13" s="1"/>
  <c r="AT34" i="10"/>
  <c r="AT34" i="13" s="1"/>
  <c r="AU34" i="10"/>
  <c r="AU34" i="13" s="1"/>
  <c r="AV34" i="10"/>
  <c r="AV34" i="13" s="1"/>
  <c r="AW34" i="10"/>
  <c r="AW34" i="13" s="1"/>
  <c r="AX34" i="10"/>
  <c r="AX34" i="13" s="1"/>
  <c r="AK35" i="10"/>
  <c r="AK35" i="13" s="1"/>
  <c r="AL35" i="10"/>
  <c r="AL35" i="13" s="1"/>
  <c r="AM35" i="10"/>
  <c r="AM35" i="13" s="1"/>
  <c r="AN35" i="10"/>
  <c r="AN35" i="13" s="1"/>
  <c r="AO35" i="10"/>
  <c r="AO35" i="13" s="1"/>
  <c r="AP35" i="10"/>
  <c r="AP35" i="13" s="1"/>
  <c r="AQ35" i="10"/>
  <c r="AQ35" i="13" s="1"/>
  <c r="AR35" i="10"/>
  <c r="AR35" i="13" s="1"/>
  <c r="AS35" i="10"/>
  <c r="AS35" i="13" s="1"/>
  <c r="AT35" i="10"/>
  <c r="AT35" i="13" s="1"/>
  <c r="AU35" i="10"/>
  <c r="AU35" i="13" s="1"/>
  <c r="AV35" i="10"/>
  <c r="AV35" i="13" s="1"/>
  <c r="AW35" i="10"/>
  <c r="AW35" i="13" s="1"/>
  <c r="AX35" i="10"/>
  <c r="AX35" i="13" s="1"/>
  <c r="AK36" i="10"/>
  <c r="AK36" i="13" s="1"/>
  <c r="AL36" i="10"/>
  <c r="AL36" i="13" s="1"/>
  <c r="AM36" i="10"/>
  <c r="AM36" i="13" s="1"/>
  <c r="AN36" i="10"/>
  <c r="AN36" i="13" s="1"/>
  <c r="AO36" i="10"/>
  <c r="AO36" i="13" s="1"/>
  <c r="AP36" i="10"/>
  <c r="AP36" i="13" s="1"/>
  <c r="AQ36" i="10"/>
  <c r="AQ36" i="13" s="1"/>
  <c r="AR36" i="10"/>
  <c r="AR36" i="13" s="1"/>
  <c r="AS36" i="10"/>
  <c r="AS36" i="13" s="1"/>
  <c r="AT36" i="10"/>
  <c r="AT36" i="13" s="1"/>
  <c r="AU36" i="10"/>
  <c r="AU36" i="13" s="1"/>
  <c r="AV36" i="10"/>
  <c r="AV36" i="13" s="1"/>
  <c r="AW36" i="10"/>
  <c r="AW36" i="13" s="1"/>
  <c r="AX36" i="10"/>
  <c r="AX36" i="13" s="1"/>
  <c r="AK37" i="10"/>
  <c r="AK37" i="13" s="1"/>
  <c r="AL37" i="10"/>
  <c r="AL37" i="13" s="1"/>
  <c r="AM37" i="10"/>
  <c r="AM37" i="13" s="1"/>
  <c r="AN37" i="10"/>
  <c r="AN37" i="13" s="1"/>
  <c r="AO37" i="10"/>
  <c r="AO37" i="13" s="1"/>
  <c r="AP37" i="10"/>
  <c r="AP37" i="13" s="1"/>
  <c r="AQ37" i="10"/>
  <c r="AQ37" i="13" s="1"/>
  <c r="AR37" i="10"/>
  <c r="AR37" i="13" s="1"/>
  <c r="AS37" i="10"/>
  <c r="AS37" i="13" s="1"/>
  <c r="AT37" i="10"/>
  <c r="AT37" i="13" s="1"/>
  <c r="AU37" i="10"/>
  <c r="AU37" i="13" s="1"/>
  <c r="AV37" i="10"/>
  <c r="AV37" i="13" s="1"/>
  <c r="AW37" i="10"/>
  <c r="AW37" i="13" s="1"/>
  <c r="AX37" i="10"/>
  <c r="AX37" i="13" s="1"/>
  <c r="AK38" i="10"/>
  <c r="AK38" i="13" s="1"/>
  <c r="AL38" i="10"/>
  <c r="AL38" i="13" s="1"/>
  <c r="AM38" i="10"/>
  <c r="AM38" i="13" s="1"/>
  <c r="AN38" i="10"/>
  <c r="AN38" i="13" s="1"/>
  <c r="AO38" i="10"/>
  <c r="AO38" i="13" s="1"/>
  <c r="AP38" i="10"/>
  <c r="AP38" i="13" s="1"/>
  <c r="AQ38" i="10"/>
  <c r="AQ38" i="13" s="1"/>
  <c r="AR38" i="10"/>
  <c r="AR38" i="13" s="1"/>
  <c r="AS38" i="10"/>
  <c r="AS38" i="13" s="1"/>
  <c r="AT38" i="10"/>
  <c r="AT38" i="13" s="1"/>
  <c r="AU38" i="10"/>
  <c r="AU38" i="13" s="1"/>
  <c r="AV38" i="10"/>
  <c r="AV38" i="13" s="1"/>
  <c r="AW38" i="10"/>
  <c r="AW38" i="13" s="1"/>
  <c r="AX38" i="10"/>
  <c r="AX38" i="13" s="1"/>
  <c r="AK39" i="10"/>
  <c r="AK39" i="13" s="1"/>
  <c r="AL39" i="10"/>
  <c r="AL39" i="13" s="1"/>
  <c r="AM39" i="10"/>
  <c r="AM39" i="13" s="1"/>
  <c r="AN39" i="10"/>
  <c r="AN39" i="13" s="1"/>
  <c r="AO39" i="10"/>
  <c r="AO39" i="13" s="1"/>
  <c r="AP39" i="10"/>
  <c r="AP39" i="13" s="1"/>
  <c r="AQ39" i="10"/>
  <c r="AQ39" i="13" s="1"/>
  <c r="AR39" i="10"/>
  <c r="AR39" i="13" s="1"/>
  <c r="AS39" i="10"/>
  <c r="AS39" i="13" s="1"/>
  <c r="AT39" i="10"/>
  <c r="AT39" i="13" s="1"/>
  <c r="AU39" i="10"/>
  <c r="AU39" i="13" s="1"/>
  <c r="AV39" i="10"/>
  <c r="AV39" i="13" s="1"/>
  <c r="AW39" i="10"/>
  <c r="AW39" i="13" s="1"/>
  <c r="AX39" i="10"/>
  <c r="AX39" i="13" s="1"/>
  <c r="AK40" i="10"/>
  <c r="AK40" i="13" s="1"/>
  <c r="AL40" i="10"/>
  <c r="AL40" i="13" s="1"/>
  <c r="AM40" i="10"/>
  <c r="AM40" i="13" s="1"/>
  <c r="AN40" i="10"/>
  <c r="AN40" i="13" s="1"/>
  <c r="AO40" i="10"/>
  <c r="AO40" i="13" s="1"/>
  <c r="AP40" i="10"/>
  <c r="AP40" i="13" s="1"/>
  <c r="AQ40" i="10"/>
  <c r="AQ40" i="13" s="1"/>
  <c r="AR40" i="10"/>
  <c r="AR40" i="13" s="1"/>
  <c r="AS40" i="10"/>
  <c r="AS40" i="13" s="1"/>
  <c r="AT40" i="10"/>
  <c r="AT40" i="13" s="1"/>
  <c r="AU40" i="10"/>
  <c r="AU40" i="13" s="1"/>
  <c r="AV40" i="10"/>
  <c r="AV40" i="13" s="1"/>
  <c r="AW40" i="10"/>
  <c r="AW40" i="13" s="1"/>
  <c r="AX40" i="10"/>
  <c r="AX40" i="13" s="1"/>
  <c r="AK41" i="10"/>
  <c r="AK41" i="13" s="1"/>
  <c r="AL41" i="10"/>
  <c r="AL41" i="13" s="1"/>
  <c r="AM41" i="10"/>
  <c r="AM41" i="13" s="1"/>
  <c r="AN41" i="10"/>
  <c r="AN41" i="13" s="1"/>
  <c r="AO41" i="10"/>
  <c r="AO41" i="13" s="1"/>
  <c r="AP41" i="10"/>
  <c r="AP41" i="13" s="1"/>
  <c r="AQ41" i="10"/>
  <c r="AQ41" i="13" s="1"/>
  <c r="AR41" i="10"/>
  <c r="AR41" i="13" s="1"/>
  <c r="AS41" i="10"/>
  <c r="AS41" i="13" s="1"/>
  <c r="AT41" i="10"/>
  <c r="AT41" i="13" s="1"/>
  <c r="AU41" i="10"/>
  <c r="AU41" i="13" s="1"/>
  <c r="AV41" i="10"/>
  <c r="AV41" i="13" s="1"/>
  <c r="AW41" i="10"/>
  <c r="AW41" i="13" s="1"/>
  <c r="AX41" i="10"/>
  <c r="AX41" i="13" s="1"/>
  <c r="AK42" i="10"/>
  <c r="AK42" i="13" s="1"/>
  <c r="AL42" i="10"/>
  <c r="AL42" i="13" s="1"/>
  <c r="AM42" i="10"/>
  <c r="AM42" i="13" s="1"/>
  <c r="AN42" i="10"/>
  <c r="AN42" i="13" s="1"/>
  <c r="AO42" i="10"/>
  <c r="AO42" i="13" s="1"/>
  <c r="AP42" i="10"/>
  <c r="AP42" i="13" s="1"/>
  <c r="AQ42" i="10"/>
  <c r="AQ42" i="13" s="1"/>
  <c r="AR42" i="10"/>
  <c r="AR42" i="13" s="1"/>
  <c r="AS42" i="10"/>
  <c r="AS42" i="13" s="1"/>
  <c r="AT42" i="10"/>
  <c r="AT42" i="13" s="1"/>
  <c r="AU42" i="10"/>
  <c r="AU42" i="13" s="1"/>
  <c r="AV42" i="10"/>
  <c r="AV42" i="13" s="1"/>
  <c r="AW42" i="10"/>
  <c r="AW42" i="13" s="1"/>
  <c r="AX42" i="10"/>
  <c r="AX42" i="13" s="1"/>
  <c r="AK43" i="10"/>
  <c r="AK43" i="13" s="1"/>
  <c r="AL43" i="10"/>
  <c r="AL43" i="13" s="1"/>
  <c r="AM43" i="10"/>
  <c r="AM43" i="13" s="1"/>
  <c r="AN43" i="10"/>
  <c r="AN43" i="13" s="1"/>
  <c r="AO43" i="10"/>
  <c r="AO43" i="13" s="1"/>
  <c r="AP43" i="10"/>
  <c r="AP43" i="13" s="1"/>
  <c r="AQ43" i="10"/>
  <c r="AQ43" i="13" s="1"/>
  <c r="AR43" i="10"/>
  <c r="AR43" i="13" s="1"/>
  <c r="AS43" i="10"/>
  <c r="AS43" i="13" s="1"/>
  <c r="AT43" i="10"/>
  <c r="AT43" i="13" s="1"/>
  <c r="AU43" i="10"/>
  <c r="AU43" i="13" s="1"/>
  <c r="AV43" i="10"/>
  <c r="AV43" i="13" s="1"/>
  <c r="AW43" i="10"/>
  <c r="AW43" i="13" s="1"/>
  <c r="AX43" i="10"/>
  <c r="AX43" i="13" s="1"/>
  <c r="AK44" i="10"/>
  <c r="AK44" i="13" s="1"/>
  <c r="AL44" i="10"/>
  <c r="AL44" i="13" s="1"/>
  <c r="AM44" i="10"/>
  <c r="AM44" i="13" s="1"/>
  <c r="AN44" i="10"/>
  <c r="AN44" i="13" s="1"/>
  <c r="AO44" i="10"/>
  <c r="AO44" i="13" s="1"/>
  <c r="AP44" i="10"/>
  <c r="AP44" i="13" s="1"/>
  <c r="AQ44" i="10"/>
  <c r="AQ44" i="13" s="1"/>
  <c r="AR44" i="10"/>
  <c r="AR44" i="13" s="1"/>
  <c r="AS44" i="10"/>
  <c r="AS44" i="13" s="1"/>
  <c r="AT44" i="10"/>
  <c r="AT44" i="13" s="1"/>
  <c r="AU44" i="10"/>
  <c r="AU44" i="13" s="1"/>
  <c r="AV44" i="10"/>
  <c r="AV44" i="13" s="1"/>
  <c r="AW44" i="10"/>
  <c r="AW44" i="13" s="1"/>
  <c r="AX44" i="10"/>
  <c r="AX44" i="13" s="1"/>
  <c r="AK45" i="10"/>
  <c r="AK45" i="13" s="1"/>
  <c r="AL45" i="10"/>
  <c r="AL45" i="13" s="1"/>
  <c r="AM45" i="10"/>
  <c r="AM45" i="13" s="1"/>
  <c r="AN45" i="10"/>
  <c r="AN45" i="13" s="1"/>
  <c r="AO45" i="10"/>
  <c r="AO45" i="13" s="1"/>
  <c r="AP45" i="10"/>
  <c r="AP45" i="13" s="1"/>
  <c r="AQ45" i="10"/>
  <c r="AQ45" i="13" s="1"/>
  <c r="AR45" i="10"/>
  <c r="AR45" i="13" s="1"/>
  <c r="AS45" i="10"/>
  <c r="AS45" i="13" s="1"/>
  <c r="AT45" i="10"/>
  <c r="AT45" i="13" s="1"/>
  <c r="AU45" i="10"/>
  <c r="AU45" i="13" s="1"/>
  <c r="AV45" i="10"/>
  <c r="AV45" i="13" s="1"/>
  <c r="AW45" i="10"/>
  <c r="AW45" i="13" s="1"/>
  <c r="AX45" i="10"/>
  <c r="AX45" i="13" s="1"/>
  <c r="AK46" i="10"/>
  <c r="AK46" i="13" s="1"/>
  <c r="AL46" i="10"/>
  <c r="AL46" i="13" s="1"/>
  <c r="AM46" i="10"/>
  <c r="AM46" i="13" s="1"/>
  <c r="AN46" i="10"/>
  <c r="AN46" i="13" s="1"/>
  <c r="AO46" i="10"/>
  <c r="AO46" i="13" s="1"/>
  <c r="AP46" i="10"/>
  <c r="AP46" i="13" s="1"/>
  <c r="AQ46" i="10"/>
  <c r="AQ46" i="13" s="1"/>
  <c r="AR46" i="10"/>
  <c r="AR46" i="13" s="1"/>
  <c r="AS46" i="10"/>
  <c r="AS46" i="13" s="1"/>
  <c r="AT46" i="10"/>
  <c r="AT46" i="13" s="1"/>
  <c r="AU46" i="10"/>
  <c r="AU46" i="13" s="1"/>
  <c r="AV46" i="10"/>
  <c r="AV46" i="13" s="1"/>
  <c r="AW46" i="10"/>
  <c r="AW46" i="13" s="1"/>
  <c r="AX46" i="10"/>
  <c r="AX46" i="13" s="1"/>
  <c r="AK47" i="10"/>
  <c r="AK47" i="13" s="1"/>
  <c r="AL47" i="10"/>
  <c r="AL47" i="13" s="1"/>
  <c r="AM47" i="10"/>
  <c r="AM47" i="13" s="1"/>
  <c r="AN47" i="10"/>
  <c r="AN47" i="13" s="1"/>
  <c r="AO47" i="10"/>
  <c r="AO47" i="13" s="1"/>
  <c r="AP47" i="10"/>
  <c r="AP47" i="13" s="1"/>
  <c r="AQ47" i="10"/>
  <c r="AQ47" i="13" s="1"/>
  <c r="AR47" i="10"/>
  <c r="AR47" i="13" s="1"/>
  <c r="AS47" i="10"/>
  <c r="AS47" i="13" s="1"/>
  <c r="AT47" i="10"/>
  <c r="AT47" i="13" s="1"/>
  <c r="AU47" i="10"/>
  <c r="AU47" i="13" s="1"/>
  <c r="AV47" i="10"/>
  <c r="AV47" i="13" s="1"/>
  <c r="AW47" i="10"/>
  <c r="AW47" i="13" s="1"/>
  <c r="AX47" i="10"/>
  <c r="AX47" i="13" s="1"/>
  <c r="AK48" i="10"/>
  <c r="AK48" i="13" s="1"/>
  <c r="AL48" i="10"/>
  <c r="AL48" i="13" s="1"/>
  <c r="AM48" i="10"/>
  <c r="AM48" i="13" s="1"/>
  <c r="AN48" i="10"/>
  <c r="AN48" i="13" s="1"/>
  <c r="AO48" i="10"/>
  <c r="AO48" i="13" s="1"/>
  <c r="AP48" i="10"/>
  <c r="AP48" i="13" s="1"/>
  <c r="AQ48" i="10"/>
  <c r="AQ48" i="13" s="1"/>
  <c r="AR48" i="10"/>
  <c r="AR48" i="13" s="1"/>
  <c r="AS48" i="10"/>
  <c r="AS48" i="13" s="1"/>
  <c r="AT48" i="10"/>
  <c r="AT48" i="13" s="1"/>
  <c r="AU48" i="10"/>
  <c r="AU48" i="13" s="1"/>
  <c r="AV48" i="10"/>
  <c r="AV48" i="13" s="1"/>
  <c r="AW48" i="10"/>
  <c r="AW48" i="13" s="1"/>
  <c r="AX48" i="10"/>
  <c r="AX48" i="13" s="1"/>
  <c r="AK49" i="10"/>
  <c r="AK49" i="13" s="1"/>
  <c r="AL49" i="10"/>
  <c r="AL49" i="13" s="1"/>
  <c r="AM49" i="10"/>
  <c r="AM49" i="13" s="1"/>
  <c r="AN49" i="10"/>
  <c r="AN49" i="13" s="1"/>
  <c r="AO49" i="10"/>
  <c r="AO49" i="13" s="1"/>
  <c r="AP49" i="10"/>
  <c r="AP49" i="13" s="1"/>
  <c r="AQ49" i="10"/>
  <c r="AQ49" i="13" s="1"/>
  <c r="AR49" i="10"/>
  <c r="AR49" i="13" s="1"/>
  <c r="AS49" i="10"/>
  <c r="AS49" i="13" s="1"/>
  <c r="AT49" i="10"/>
  <c r="AT49" i="13" s="1"/>
  <c r="AU49" i="10"/>
  <c r="AU49" i="13" s="1"/>
  <c r="AV49" i="10"/>
  <c r="AV49" i="13" s="1"/>
  <c r="AW49" i="10"/>
  <c r="AW49" i="13" s="1"/>
  <c r="AX49" i="10"/>
  <c r="AX49" i="13" s="1"/>
  <c r="AK50" i="10"/>
  <c r="AK50" i="13" s="1"/>
  <c r="AL50" i="10"/>
  <c r="AL50" i="13" s="1"/>
  <c r="AM50" i="10"/>
  <c r="AM50" i="13" s="1"/>
  <c r="AN50" i="10"/>
  <c r="AN50" i="13" s="1"/>
  <c r="AO50" i="10"/>
  <c r="AO50" i="13" s="1"/>
  <c r="AP50" i="10"/>
  <c r="AP50" i="13" s="1"/>
  <c r="AQ50" i="10"/>
  <c r="AQ50" i="13" s="1"/>
  <c r="AR50" i="10"/>
  <c r="AR50" i="13" s="1"/>
  <c r="AS50" i="10"/>
  <c r="AS50" i="13" s="1"/>
  <c r="AT50" i="10"/>
  <c r="AT50" i="13" s="1"/>
  <c r="AU50" i="10"/>
  <c r="AU50" i="13" s="1"/>
  <c r="AV50" i="10"/>
  <c r="AV50" i="13" s="1"/>
  <c r="AW50" i="10"/>
  <c r="AW50" i="13" s="1"/>
  <c r="AX50" i="10"/>
  <c r="AX50" i="13" s="1"/>
  <c r="AK51" i="10"/>
  <c r="AK51" i="13" s="1"/>
  <c r="AL51" i="10"/>
  <c r="AL51" i="13" s="1"/>
  <c r="AM51" i="10"/>
  <c r="AM51" i="13" s="1"/>
  <c r="AN51" i="10"/>
  <c r="AN51" i="13" s="1"/>
  <c r="AO51" i="10"/>
  <c r="AO51" i="13" s="1"/>
  <c r="AP51" i="10"/>
  <c r="AP51" i="13" s="1"/>
  <c r="AQ51" i="10"/>
  <c r="AQ51" i="13" s="1"/>
  <c r="AR51" i="10"/>
  <c r="AR51" i="13" s="1"/>
  <c r="AS51" i="10"/>
  <c r="AS51" i="13" s="1"/>
  <c r="AT51" i="10"/>
  <c r="AT51" i="13" s="1"/>
  <c r="AU51" i="10"/>
  <c r="AU51" i="13" s="1"/>
  <c r="AV51" i="10"/>
  <c r="AV51" i="13" s="1"/>
  <c r="AW51" i="10"/>
  <c r="AW51" i="13" s="1"/>
  <c r="AX51" i="10"/>
  <c r="AX51" i="13" s="1"/>
  <c r="AK52" i="10"/>
  <c r="AK52" i="13" s="1"/>
  <c r="AL52" i="10"/>
  <c r="AL52" i="13" s="1"/>
  <c r="AM52" i="10"/>
  <c r="AM52" i="13" s="1"/>
  <c r="AN52" i="10"/>
  <c r="AN52" i="13" s="1"/>
  <c r="AO52" i="10"/>
  <c r="AO52" i="13" s="1"/>
  <c r="AP52" i="10"/>
  <c r="AP52" i="13" s="1"/>
  <c r="AQ52" i="10"/>
  <c r="AQ52" i="13" s="1"/>
  <c r="AR52" i="10"/>
  <c r="AR52" i="13" s="1"/>
  <c r="AS52" i="10"/>
  <c r="AS52" i="13" s="1"/>
  <c r="AT52" i="10"/>
  <c r="AT52" i="13" s="1"/>
  <c r="AU52" i="10"/>
  <c r="AU52" i="13" s="1"/>
  <c r="AV52" i="10"/>
  <c r="AV52" i="13" s="1"/>
  <c r="AW52" i="10"/>
  <c r="AW52" i="13" s="1"/>
  <c r="AX52" i="10"/>
  <c r="AX52" i="13" s="1"/>
  <c r="AK53" i="10"/>
  <c r="AK53" i="13" s="1"/>
  <c r="AL53" i="10"/>
  <c r="AL53" i="13" s="1"/>
  <c r="AM53" i="10"/>
  <c r="AM53" i="13" s="1"/>
  <c r="AN53" i="10"/>
  <c r="AN53" i="13" s="1"/>
  <c r="AO53" i="10"/>
  <c r="AO53" i="13" s="1"/>
  <c r="AP53" i="10"/>
  <c r="AP53" i="13" s="1"/>
  <c r="AQ53" i="10"/>
  <c r="AQ53" i="13" s="1"/>
  <c r="AR53" i="10"/>
  <c r="AR53" i="13" s="1"/>
  <c r="AS53" i="10"/>
  <c r="AS53" i="13" s="1"/>
  <c r="AT53" i="10"/>
  <c r="AT53" i="13" s="1"/>
  <c r="AU53" i="10"/>
  <c r="AU53" i="13" s="1"/>
  <c r="AV53" i="10"/>
  <c r="AV53" i="13" s="1"/>
  <c r="AW53" i="10"/>
  <c r="AW53" i="13" s="1"/>
  <c r="AX53" i="10"/>
  <c r="AX53" i="13" s="1"/>
  <c r="AK54" i="10"/>
  <c r="AK54" i="13" s="1"/>
  <c r="AL54" i="10"/>
  <c r="AL54" i="13" s="1"/>
  <c r="AM54" i="10"/>
  <c r="AM54" i="13" s="1"/>
  <c r="AN54" i="10"/>
  <c r="AN54" i="13" s="1"/>
  <c r="AO54" i="10"/>
  <c r="AO54" i="13" s="1"/>
  <c r="AP54" i="10"/>
  <c r="AP54" i="13" s="1"/>
  <c r="AQ54" i="10"/>
  <c r="AQ54" i="13" s="1"/>
  <c r="AR54" i="10"/>
  <c r="AR54" i="13" s="1"/>
  <c r="AS54" i="10"/>
  <c r="AS54" i="13" s="1"/>
  <c r="AT54" i="10"/>
  <c r="AT54" i="13" s="1"/>
  <c r="AU54" i="10"/>
  <c r="AU54" i="13" s="1"/>
  <c r="AV54" i="10"/>
  <c r="AV54" i="13" s="1"/>
  <c r="AW54" i="10"/>
  <c r="AW54" i="13" s="1"/>
  <c r="AX54" i="10"/>
  <c r="AX54" i="13" s="1"/>
  <c r="AK57" i="10"/>
  <c r="AK57" i="13" s="1"/>
  <c r="AL57" i="10"/>
  <c r="AL57" i="13" s="1"/>
  <c r="AM57" i="10"/>
  <c r="AM57" i="13" s="1"/>
  <c r="AN57" i="10"/>
  <c r="AN57" i="13" s="1"/>
  <c r="AO57" i="10"/>
  <c r="AO57" i="13" s="1"/>
  <c r="AP57" i="10"/>
  <c r="AP57" i="13" s="1"/>
  <c r="AQ57" i="10"/>
  <c r="AQ57" i="13" s="1"/>
  <c r="AR57" i="10"/>
  <c r="AR57" i="13" s="1"/>
  <c r="AS57" i="10"/>
  <c r="AS57" i="13" s="1"/>
  <c r="AT57" i="10"/>
  <c r="AT57" i="13" s="1"/>
  <c r="AU57" i="10"/>
  <c r="AU57" i="13" s="1"/>
  <c r="AV57" i="10"/>
  <c r="AV57" i="13" s="1"/>
  <c r="AW57" i="10"/>
  <c r="AW57" i="13" s="1"/>
  <c r="AX57" i="10"/>
  <c r="AX57" i="13" s="1"/>
  <c r="AK58" i="10"/>
  <c r="AK58" i="13" s="1"/>
  <c r="AL58" i="10"/>
  <c r="AL58" i="13" s="1"/>
  <c r="AM58" i="10"/>
  <c r="AM58" i="13" s="1"/>
  <c r="AN58" i="10"/>
  <c r="AN58" i="13" s="1"/>
  <c r="AO58" i="10"/>
  <c r="AO58" i="13" s="1"/>
  <c r="AP58" i="10"/>
  <c r="AP58" i="13" s="1"/>
  <c r="AQ58" i="10"/>
  <c r="AQ58" i="13" s="1"/>
  <c r="AR58" i="10"/>
  <c r="AR58" i="13" s="1"/>
  <c r="AS58" i="10"/>
  <c r="AS58" i="13" s="1"/>
  <c r="AT58" i="10"/>
  <c r="AT58" i="13" s="1"/>
  <c r="AU58" i="10"/>
  <c r="AU58" i="13" s="1"/>
  <c r="AV58" i="10"/>
  <c r="AV58" i="13" s="1"/>
  <c r="AW58" i="10"/>
  <c r="AW58" i="13" s="1"/>
  <c r="AX58" i="10"/>
  <c r="AX58" i="13" s="1"/>
  <c r="AK59" i="10"/>
  <c r="AK59" i="13" s="1"/>
  <c r="AL59" i="10"/>
  <c r="AL59" i="13" s="1"/>
  <c r="AM59" i="10"/>
  <c r="AM59" i="13" s="1"/>
  <c r="AN59" i="10"/>
  <c r="AN59" i="13" s="1"/>
  <c r="AO59" i="10"/>
  <c r="AO59" i="13" s="1"/>
  <c r="AP59" i="10"/>
  <c r="AP59" i="13" s="1"/>
  <c r="AQ59" i="10"/>
  <c r="AQ59" i="13" s="1"/>
  <c r="AR59" i="10"/>
  <c r="AR59" i="13" s="1"/>
  <c r="AS59" i="10"/>
  <c r="AS59" i="13" s="1"/>
  <c r="AT59" i="10"/>
  <c r="AT59" i="13" s="1"/>
  <c r="AU59" i="10"/>
  <c r="AU59" i="13" s="1"/>
  <c r="AV59" i="10"/>
  <c r="AV59" i="13" s="1"/>
  <c r="AW59" i="10"/>
  <c r="AW59" i="13" s="1"/>
  <c r="AX59" i="10"/>
  <c r="AX59" i="13" s="1"/>
  <c r="AK60" i="10"/>
  <c r="AK60" i="13" s="1"/>
  <c r="AL60" i="10"/>
  <c r="AL60" i="13" s="1"/>
  <c r="AM60" i="10"/>
  <c r="AM60" i="13" s="1"/>
  <c r="AN60" i="10"/>
  <c r="AN60" i="13" s="1"/>
  <c r="AO60" i="10"/>
  <c r="AO60" i="13" s="1"/>
  <c r="AP60" i="10"/>
  <c r="AP60" i="13" s="1"/>
  <c r="AQ60" i="10"/>
  <c r="AQ60" i="13" s="1"/>
  <c r="AR60" i="10"/>
  <c r="AR60" i="13" s="1"/>
  <c r="AS60" i="10"/>
  <c r="AS60" i="13" s="1"/>
  <c r="AT60" i="10"/>
  <c r="AT60" i="13" s="1"/>
  <c r="AU60" i="10"/>
  <c r="AU60" i="13" s="1"/>
  <c r="AV60" i="10"/>
  <c r="AV60" i="13" s="1"/>
  <c r="AW60" i="10"/>
  <c r="AW60" i="13" s="1"/>
  <c r="AX60" i="10"/>
  <c r="AX60" i="13" s="1"/>
  <c r="AK61" i="10"/>
  <c r="AK61" i="13" s="1"/>
  <c r="AL61" i="10"/>
  <c r="AL61" i="13" s="1"/>
  <c r="AM61" i="10"/>
  <c r="AM61" i="13" s="1"/>
  <c r="AN61" i="10"/>
  <c r="AN61" i="13" s="1"/>
  <c r="AO61" i="10"/>
  <c r="AO61" i="13" s="1"/>
  <c r="AP61" i="10"/>
  <c r="AP61" i="13" s="1"/>
  <c r="AQ61" i="10"/>
  <c r="AQ61" i="13" s="1"/>
  <c r="AR61" i="10"/>
  <c r="AR61" i="13" s="1"/>
  <c r="AS61" i="10"/>
  <c r="AS61" i="13" s="1"/>
  <c r="AT61" i="10"/>
  <c r="AT61" i="13" s="1"/>
  <c r="AU61" i="10"/>
  <c r="AU61" i="13" s="1"/>
  <c r="AV61" i="10"/>
  <c r="AV61" i="13" s="1"/>
  <c r="AW61" i="10"/>
  <c r="AW61" i="13" s="1"/>
  <c r="AX61" i="10"/>
  <c r="AX61" i="13" s="1"/>
  <c r="AK62" i="10"/>
  <c r="AK62" i="13" s="1"/>
  <c r="AL62" i="10"/>
  <c r="AL62" i="13" s="1"/>
  <c r="AM62" i="10"/>
  <c r="AM62" i="13" s="1"/>
  <c r="AN62" i="10"/>
  <c r="AN62" i="13" s="1"/>
  <c r="AO62" i="10"/>
  <c r="AO62" i="13" s="1"/>
  <c r="AP62" i="10"/>
  <c r="AP62" i="13" s="1"/>
  <c r="AQ62" i="10"/>
  <c r="AQ62" i="13" s="1"/>
  <c r="AR62" i="10"/>
  <c r="AR62" i="13" s="1"/>
  <c r="AS62" i="10"/>
  <c r="AS62" i="13" s="1"/>
  <c r="AT62" i="10"/>
  <c r="AT62" i="13" s="1"/>
  <c r="AU62" i="10"/>
  <c r="AU62" i="13" s="1"/>
  <c r="AV62" i="10"/>
  <c r="AV62" i="13" s="1"/>
  <c r="AW62" i="10"/>
  <c r="AW62" i="13" s="1"/>
  <c r="AX62" i="10"/>
  <c r="AX62" i="13" s="1"/>
  <c r="AK63" i="10"/>
  <c r="AK63" i="13" s="1"/>
  <c r="AL63" i="10"/>
  <c r="AL63" i="13" s="1"/>
  <c r="AM63" i="10"/>
  <c r="AM63" i="13" s="1"/>
  <c r="AN63" i="10"/>
  <c r="AN63" i="13" s="1"/>
  <c r="AO63" i="10"/>
  <c r="AO63" i="13" s="1"/>
  <c r="AP63" i="10"/>
  <c r="AP63" i="13" s="1"/>
  <c r="AQ63" i="10"/>
  <c r="AQ63" i="13" s="1"/>
  <c r="AR63" i="10"/>
  <c r="AR63" i="13" s="1"/>
  <c r="AS63" i="10"/>
  <c r="AS63" i="13" s="1"/>
  <c r="AT63" i="10"/>
  <c r="AT63" i="13" s="1"/>
  <c r="AU63" i="10"/>
  <c r="AU63" i="13" s="1"/>
  <c r="AV63" i="10"/>
  <c r="AV63" i="13" s="1"/>
  <c r="AW63" i="10"/>
  <c r="AW63" i="13" s="1"/>
  <c r="AX63" i="10"/>
  <c r="AX63" i="13" s="1"/>
  <c r="AK64" i="10"/>
  <c r="AK64" i="13" s="1"/>
  <c r="AL64" i="10"/>
  <c r="AL64" i="13" s="1"/>
  <c r="AM64" i="10"/>
  <c r="AM64" i="13" s="1"/>
  <c r="AN64" i="10"/>
  <c r="AN64" i="13" s="1"/>
  <c r="AO64" i="10"/>
  <c r="AO64" i="13" s="1"/>
  <c r="AP64" i="10"/>
  <c r="AP64" i="13" s="1"/>
  <c r="AQ64" i="10"/>
  <c r="AQ64" i="13" s="1"/>
  <c r="AR64" i="10"/>
  <c r="AR64" i="13" s="1"/>
  <c r="AS64" i="10"/>
  <c r="AS64" i="13" s="1"/>
  <c r="AT64" i="10"/>
  <c r="AT64" i="13" s="1"/>
  <c r="AU64" i="10"/>
  <c r="AU64" i="13" s="1"/>
  <c r="AV64" i="10"/>
  <c r="AV64" i="13" s="1"/>
  <c r="AW64" i="10"/>
  <c r="AW64" i="13" s="1"/>
  <c r="AX64" i="10"/>
  <c r="AX64" i="13" s="1"/>
  <c r="AK65" i="10"/>
  <c r="AK65" i="13" s="1"/>
  <c r="AL65" i="10"/>
  <c r="AL65" i="13" s="1"/>
  <c r="AM65" i="10"/>
  <c r="AM65" i="13" s="1"/>
  <c r="AN65" i="10"/>
  <c r="AN65" i="13" s="1"/>
  <c r="AO65" i="10"/>
  <c r="AO65" i="13" s="1"/>
  <c r="AP65" i="10"/>
  <c r="AP65" i="13" s="1"/>
  <c r="AQ65" i="10"/>
  <c r="AQ65" i="13" s="1"/>
  <c r="AR65" i="10"/>
  <c r="AR65" i="13" s="1"/>
  <c r="AS65" i="10"/>
  <c r="AS65" i="13" s="1"/>
  <c r="AT65" i="10"/>
  <c r="AT65" i="13" s="1"/>
  <c r="AU65" i="10"/>
  <c r="AU65" i="13" s="1"/>
  <c r="AV65" i="10"/>
  <c r="AV65" i="13" s="1"/>
  <c r="AW65" i="10"/>
  <c r="AW65" i="13" s="1"/>
  <c r="AX65" i="10"/>
  <c r="AX65" i="13" s="1"/>
  <c r="AK66" i="10"/>
  <c r="AK66" i="13" s="1"/>
  <c r="AL66" i="10"/>
  <c r="AL66" i="13" s="1"/>
  <c r="AM66" i="10"/>
  <c r="AM66" i="13" s="1"/>
  <c r="AN66" i="10"/>
  <c r="AN66" i="13" s="1"/>
  <c r="AO66" i="10"/>
  <c r="AO66" i="13" s="1"/>
  <c r="AP66" i="10"/>
  <c r="AP66" i="13" s="1"/>
  <c r="AQ66" i="10"/>
  <c r="AQ66" i="13" s="1"/>
  <c r="AR66" i="10"/>
  <c r="AR66" i="13" s="1"/>
  <c r="AS66" i="10"/>
  <c r="AS66" i="13" s="1"/>
  <c r="AT66" i="10"/>
  <c r="AT66" i="13" s="1"/>
  <c r="AU66" i="10"/>
  <c r="AU66" i="13" s="1"/>
  <c r="AV66" i="10"/>
  <c r="AV66" i="13" s="1"/>
  <c r="AW66" i="10"/>
  <c r="AW66" i="13" s="1"/>
  <c r="AX66" i="10"/>
  <c r="AX66" i="13" s="1"/>
  <c r="AK67" i="10"/>
  <c r="AK67" i="13" s="1"/>
  <c r="AL67" i="10"/>
  <c r="AL67" i="13" s="1"/>
  <c r="AM67" i="10"/>
  <c r="AM67" i="13" s="1"/>
  <c r="AN67" i="10"/>
  <c r="AN67" i="13" s="1"/>
  <c r="AO67" i="10"/>
  <c r="AO67" i="13" s="1"/>
  <c r="AP67" i="10"/>
  <c r="AP67" i="13" s="1"/>
  <c r="AQ67" i="10"/>
  <c r="AQ67" i="13" s="1"/>
  <c r="AR67" i="10"/>
  <c r="AR67" i="13" s="1"/>
  <c r="AS67" i="10"/>
  <c r="AS67" i="13" s="1"/>
  <c r="AT67" i="10"/>
  <c r="AT67" i="13" s="1"/>
  <c r="AU67" i="10"/>
  <c r="AU67" i="13" s="1"/>
  <c r="AV67" i="10"/>
  <c r="AV67" i="13" s="1"/>
  <c r="AW67" i="10"/>
  <c r="AW67" i="13" s="1"/>
  <c r="AX67" i="10"/>
  <c r="AX67" i="13" s="1"/>
  <c r="AK68" i="10"/>
  <c r="AK68" i="13" s="1"/>
  <c r="AL68" i="10"/>
  <c r="AL68" i="13" s="1"/>
  <c r="AM68" i="10"/>
  <c r="AM68" i="13" s="1"/>
  <c r="AN68" i="10"/>
  <c r="AN68" i="13" s="1"/>
  <c r="AO68" i="10"/>
  <c r="AO68" i="13" s="1"/>
  <c r="AP68" i="10"/>
  <c r="AP68" i="13" s="1"/>
  <c r="AQ68" i="10"/>
  <c r="AQ68" i="13" s="1"/>
  <c r="AR68" i="10"/>
  <c r="AR68" i="13" s="1"/>
  <c r="AS68" i="10"/>
  <c r="AS68" i="13" s="1"/>
  <c r="AT68" i="10"/>
  <c r="AT68" i="13" s="1"/>
  <c r="AU68" i="10"/>
  <c r="AU68" i="13" s="1"/>
  <c r="AV68" i="10"/>
  <c r="AV68" i="13" s="1"/>
  <c r="AW68" i="10"/>
  <c r="AW68" i="13" s="1"/>
  <c r="AX68" i="10"/>
  <c r="AX68" i="13" s="1"/>
  <c r="AK69" i="10"/>
  <c r="AK69" i="13" s="1"/>
  <c r="AL69" i="10"/>
  <c r="AL69" i="13" s="1"/>
  <c r="AM69" i="10"/>
  <c r="AM69" i="13" s="1"/>
  <c r="AN69" i="10"/>
  <c r="AN69" i="13" s="1"/>
  <c r="AO69" i="10"/>
  <c r="AO69" i="13" s="1"/>
  <c r="AP69" i="10"/>
  <c r="AP69" i="13" s="1"/>
  <c r="AQ69" i="10"/>
  <c r="AQ69" i="13" s="1"/>
  <c r="AR69" i="10"/>
  <c r="AR69" i="13" s="1"/>
  <c r="AS69" i="10"/>
  <c r="AS69" i="13" s="1"/>
  <c r="AT69" i="10"/>
  <c r="AT69" i="13" s="1"/>
  <c r="AU69" i="10"/>
  <c r="AU69" i="13" s="1"/>
  <c r="AV69" i="10"/>
  <c r="AV69" i="13" s="1"/>
  <c r="AW69" i="10"/>
  <c r="AW69" i="13" s="1"/>
  <c r="AX69" i="10"/>
  <c r="AX69" i="13" s="1"/>
  <c r="AK70" i="10"/>
  <c r="AK70" i="13" s="1"/>
  <c r="AL70" i="10"/>
  <c r="AL70" i="13" s="1"/>
  <c r="AM70" i="10"/>
  <c r="AM70" i="13" s="1"/>
  <c r="AN70" i="10"/>
  <c r="AN70" i="13" s="1"/>
  <c r="AO70" i="10"/>
  <c r="AO70" i="13" s="1"/>
  <c r="AP70" i="10"/>
  <c r="AP70" i="13" s="1"/>
  <c r="AQ70" i="10"/>
  <c r="AQ70" i="13" s="1"/>
  <c r="AR70" i="10"/>
  <c r="AR70" i="13" s="1"/>
  <c r="AS70" i="10"/>
  <c r="AS70" i="13" s="1"/>
  <c r="AT70" i="10"/>
  <c r="AT70" i="13" s="1"/>
  <c r="AU70" i="10"/>
  <c r="AU70" i="13" s="1"/>
  <c r="AV70" i="10"/>
  <c r="AV70" i="13" s="1"/>
  <c r="AW70" i="10"/>
  <c r="AW70" i="13" s="1"/>
  <c r="AX70" i="10"/>
  <c r="AX70" i="13" s="1"/>
  <c r="AL2" i="10"/>
  <c r="AL2" i="13" s="1"/>
  <c r="AM2" i="10"/>
  <c r="AM2" i="13" s="1"/>
  <c r="AN2" i="10"/>
  <c r="AN2" i="13" s="1"/>
  <c r="AO2" i="10"/>
  <c r="AO2" i="13" s="1"/>
  <c r="AP2" i="10"/>
  <c r="AP2" i="13" s="1"/>
  <c r="AQ2" i="10"/>
  <c r="AQ2" i="13" s="1"/>
  <c r="AR2" i="10"/>
  <c r="AR2" i="13" s="1"/>
  <c r="AS2" i="10"/>
  <c r="AS2" i="13" s="1"/>
  <c r="AT2" i="10"/>
  <c r="AT2" i="13" s="1"/>
  <c r="AU2" i="10"/>
  <c r="AU2" i="13" s="1"/>
  <c r="AV2" i="10"/>
  <c r="AV2" i="13" s="1"/>
  <c r="AW2" i="10"/>
  <c r="AW2" i="13" s="1"/>
  <c r="AX2" i="10"/>
  <c r="AX2" i="13" s="1"/>
  <c r="AK2" i="10"/>
  <c r="AK2" i="13" s="1"/>
  <c r="AA3" i="10"/>
  <c r="AA3" i="13" s="1"/>
  <c r="AB3" i="10"/>
  <c r="AB3" i="13" s="1"/>
  <c r="AC3" i="10"/>
  <c r="AC3" i="13" s="1"/>
  <c r="AD3" i="10"/>
  <c r="AD3" i="13" s="1"/>
  <c r="AF3" i="10"/>
  <c r="AF3" i="13" s="1"/>
  <c r="AG3" i="10"/>
  <c r="AG3" i="13" s="1"/>
  <c r="AH3" i="10"/>
  <c r="AH3" i="13" s="1"/>
  <c r="AI3" i="10"/>
  <c r="AI3" i="13" s="1"/>
  <c r="AA4" i="10"/>
  <c r="AA4" i="13" s="1"/>
  <c r="AB4" i="10"/>
  <c r="AB4" i="13" s="1"/>
  <c r="AC4" i="10"/>
  <c r="AC4" i="13" s="1"/>
  <c r="AD4" i="10"/>
  <c r="AD4" i="13" s="1"/>
  <c r="AF4" i="10"/>
  <c r="AF4" i="13" s="1"/>
  <c r="AG4" i="10"/>
  <c r="AG4" i="13" s="1"/>
  <c r="AH4" i="10"/>
  <c r="AH4" i="13" s="1"/>
  <c r="AI4" i="10"/>
  <c r="AI4" i="13" s="1"/>
  <c r="AA5" i="10"/>
  <c r="AA5" i="13" s="1"/>
  <c r="AB5" i="10"/>
  <c r="AB5" i="13" s="1"/>
  <c r="AC5" i="10"/>
  <c r="AC5" i="13" s="1"/>
  <c r="AD5" i="10"/>
  <c r="AD5" i="13" s="1"/>
  <c r="AF5" i="10"/>
  <c r="AF5" i="13" s="1"/>
  <c r="AG5" i="10"/>
  <c r="AG5" i="13" s="1"/>
  <c r="AH5" i="10"/>
  <c r="AH5" i="13" s="1"/>
  <c r="AI5" i="10"/>
  <c r="AI5" i="13" s="1"/>
  <c r="AA6" i="10"/>
  <c r="AA6" i="13" s="1"/>
  <c r="AB6" i="10"/>
  <c r="AB6" i="13" s="1"/>
  <c r="AC6" i="10"/>
  <c r="AC6" i="13" s="1"/>
  <c r="AD6" i="10"/>
  <c r="AD6" i="13" s="1"/>
  <c r="AF6" i="10"/>
  <c r="AF6" i="13" s="1"/>
  <c r="AG6" i="10"/>
  <c r="AG6" i="13" s="1"/>
  <c r="AH6" i="10"/>
  <c r="AH6" i="13" s="1"/>
  <c r="AI6" i="10"/>
  <c r="AI6" i="13" s="1"/>
  <c r="AA7" i="10"/>
  <c r="AA7" i="13" s="1"/>
  <c r="AB7" i="10"/>
  <c r="AB7" i="13" s="1"/>
  <c r="AC7" i="10"/>
  <c r="AC7" i="13" s="1"/>
  <c r="AD7" i="10"/>
  <c r="AD7" i="13" s="1"/>
  <c r="AF7" i="10"/>
  <c r="AF7" i="13" s="1"/>
  <c r="AG7" i="10"/>
  <c r="AG7" i="13" s="1"/>
  <c r="AH7" i="10"/>
  <c r="AH7" i="13" s="1"/>
  <c r="AI7" i="10"/>
  <c r="AI7" i="13" s="1"/>
  <c r="AA8" i="10"/>
  <c r="AA8" i="13" s="1"/>
  <c r="AB8" i="10"/>
  <c r="AB8" i="13" s="1"/>
  <c r="AC8" i="10"/>
  <c r="AC8" i="13" s="1"/>
  <c r="AD8" i="10"/>
  <c r="AD8" i="13" s="1"/>
  <c r="AF8" i="10"/>
  <c r="AF8" i="13" s="1"/>
  <c r="AG8" i="10"/>
  <c r="AG8" i="13" s="1"/>
  <c r="AH8" i="10"/>
  <c r="AH8" i="13" s="1"/>
  <c r="AI8" i="10"/>
  <c r="AI8" i="13" s="1"/>
  <c r="AA9" i="10"/>
  <c r="AA9" i="13" s="1"/>
  <c r="AB9" i="10"/>
  <c r="AB9" i="13" s="1"/>
  <c r="AC9" i="10"/>
  <c r="AC9" i="13" s="1"/>
  <c r="AD9" i="10"/>
  <c r="AD9" i="13" s="1"/>
  <c r="AF9" i="10"/>
  <c r="AF9" i="13" s="1"/>
  <c r="AG9" i="10"/>
  <c r="AG9" i="13" s="1"/>
  <c r="AH9" i="10"/>
  <c r="AH9" i="13" s="1"/>
  <c r="AI9" i="10"/>
  <c r="AI9" i="13" s="1"/>
  <c r="AA10" i="10"/>
  <c r="AA10" i="13" s="1"/>
  <c r="AB10" i="10"/>
  <c r="AB10" i="13" s="1"/>
  <c r="AC10" i="10"/>
  <c r="AC10" i="13" s="1"/>
  <c r="AD10" i="10"/>
  <c r="AD10" i="13" s="1"/>
  <c r="AF10" i="10"/>
  <c r="AF10" i="13" s="1"/>
  <c r="AG10" i="10"/>
  <c r="AG10" i="13" s="1"/>
  <c r="AH10" i="10"/>
  <c r="AH10" i="13" s="1"/>
  <c r="AI10" i="10"/>
  <c r="AI10" i="13" s="1"/>
  <c r="AA11" i="10"/>
  <c r="AA11" i="13" s="1"/>
  <c r="AB11" i="10"/>
  <c r="AB11" i="13" s="1"/>
  <c r="AC11" i="10"/>
  <c r="AC11" i="13" s="1"/>
  <c r="AD11" i="10"/>
  <c r="AD11" i="13" s="1"/>
  <c r="AF11" i="10"/>
  <c r="AF11" i="13" s="1"/>
  <c r="AG11" i="10"/>
  <c r="AG11" i="13" s="1"/>
  <c r="AH11" i="10"/>
  <c r="AH11" i="13" s="1"/>
  <c r="AI11" i="10"/>
  <c r="AI11" i="13" s="1"/>
  <c r="AA13" i="10"/>
  <c r="AA13" i="13" s="1"/>
  <c r="AB13" i="10"/>
  <c r="AB13" i="13" s="1"/>
  <c r="AC13" i="10"/>
  <c r="AC13" i="13" s="1"/>
  <c r="AD13" i="10"/>
  <c r="AD13" i="13" s="1"/>
  <c r="AF13" i="10"/>
  <c r="AF13" i="13" s="1"/>
  <c r="AG13" i="10"/>
  <c r="AG13" i="13" s="1"/>
  <c r="AH13" i="10"/>
  <c r="AH13" i="13" s="1"/>
  <c r="AI13" i="10"/>
  <c r="AI13" i="13" s="1"/>
  <c r="AA14" i="10"/>
  <c r="AA14" i="13" s="1"/>
  <c r="AB14" i="10"/>
  <c r="AB14" i="13" s="1"/>
  <c r="AC14" i="10"/>
  <c r="AC14" i="13" s="1"/>
  <c r="AD14" i="10"/>
  <c r="AD14" i="13" s="1"/>
  <c r="AF14" i="10"/>
  <c r="AF14" i="13" s="1"/>
  <c r="AG14" i="10"/>
  <c r="AG14" i="13" s="1"/>
  <c r="AH14" i="10"/>
  <c r="AH14" i="13" s="1"/>
  <c r="AI14" i="10"/>
  <c r="AI14" i="13" s="1"/>
  <c r="AA15" i="10"/>
  <c r="AA15" i="13" s="1"/>
  <c r="AB15" i="10"/>
  <c r="AB15" i="13" s="1"/>
  <c r="AC15" i="10"/>
  <c r="AC15" i="13" s="1"/>
  <c r="AD15" i="10"/>
  <c r="AD15" i="13" s="1"/>
  <c r="AF15" i="10"/>
  <c r="AF15" i="13" s="1"/>
  <c r="AG15" i="10"/>
  <c r="AG15" i="13" s="1"/>
  <c r="AH15" i="10"/>
  <c r="AH15" i="13" s="1"/>
  <c r="AI15" i="10"/>
  <c r="AI15" i="13" s="1"/>
  <c r="AA16" i="10"/>
  <c r="AA16" i="13" s="1"/>
  <c r="AB16" i="10"/>
  <c r="AB16" i="13" s="1"/>
  <c r="AC16" i="10"/>
  <c r="AC16" i="13" s="1"/>
  <c r="AD16" i="10"/>
  <c r="AD16" i="13" s="1"/>
  <c r="AF16" i="10"/>
  <c r="AF16" i="13" s="1"/>
  <c r="AG16" i="10"/>
  <c r="AG16" i="13" s="1"/>
  <c r="AH16" i="10"/>
  <c r="AH16" i="13" s="1"/>
  <c r="AI16" i="10"/>
  <c r="AI16" i="13" s="1"/>
  <c r="AA17" i="10"/>
  <c r="AA17" i="13" s="1"/>
  <c r="AB17" i="10"/>
  <c r="AB17" i="13" s="1"/>
  <c r="AC17" i="10"/>
  <c r="AC17" i="13" s="1"/>
  <c r="AD17" i="10"/>
  <c r="AD17" i="13" s="1"/>
  <c r="AF17" i="10"/>
  <c r="AF17" i="13" s="1"/>
  <c r="AG17" i="10"/>
  <c r="AG17" i="13" s="1"/>
  <c r="AH17" i="10"/>
  <c r="AH17" i="13" s="1"/>
  <c r="AI17" i="10"/>
  <c r="AI17" i="13" s="1"/>
  <c r="AA18" i="10"/>
  <c r="AA18" i="13" s="1"/>
  <c r="AB18" i="10"/>
  <c r="AB18" i="13" s="1"/>
  <c r="AC18" i="10"/>
  <c r="AC18" i="13" s="1"/>
  <c r="AD18" i="10"/>
  <c r="AD18" i="13" s="1"/>
  <c r="AF18" i="10"/>
  <c r="AF18" i="13" s="1"/>
  <c r="AG18" i="10"/>
  <c r="AG18" i="13" s="1"/>
  <c r="AH18" i="10"/>
  <c r="AH18" i="13" s="1"/>
  <c r="AI18" i="10"/>
  <c r="AI18" i="13" s="1"/>
  <c r="AA19" i="10"/>
  <c r="AA19" i="13" s="1"/>
  <c r="AB19" i="10"/>
  <c r="AB19" i="13" s="1"/>
  <c r="AC19" i="10"/>
  <c r="AC19" i="13" s="1"/>
  <c r="AD19" i="10"/>
  <c r="AD19" i="13" s="1"/>
  <c r="AF19" i="10"/>
  <c r="AF19" i="13" s="1"/>
  <c r="AG19" i="10"/>
  <c r="AG19" i="13" s="1"/>
  <c r="AH19" i="10"/>
  <c r="AH19" i="13" s="1"/>
  <c r="AI19" i="10"/>
  <c r="AI19" i="13" s="1"/>
  <c r="AA20" i="10"/>
  <c r="AA20" i="13" s="1"/>
  <c r="AB20" i="10"/>
  <c r="AB20" i="13" s="1"/>
  <c r="AC20" i="10"/>
  <c r="AC20" i="13" s="1"/>
  <c r="AD20" i="10"/>
  <c r="AD20" i="13" s="1"/>
  <c r="AF20" i="10"/>
  <c r="AF20" i="13" s="1"/>
  <c r="AG20" i="10"/>
  <c r="AG20" i="13" s="1"/>
  <c r="AH20" i="10"/>
  <c r="AH20" i="13" s="1"/>
  <c r="AI20" i="10"/>
  <c r="AI20" i="13" s="1"/>
  <c r="AA21" i="10"/>
  <c r="AA21" i="13" s="1"/>
  <c r="AB21" i="10"/>
  <c r="AB21" i="13" s="1"/>
  <c r="AC21" i="10"/>
  <c r="AC21" i="13" s="1"/>
  <c r="AD21" i="10"/>
  <c r="AD21" i="13" s="1"/>
  <c r="AF21" i="10"/>
  <c r="AF21" i="13" s="1"/>
  <c r="AG21" i="10"/>
  <c r="AG21" i="13" s="1"/>
  <c r="AH21" i="10"/>
  <c r="AH21" i="13" s="1"/>
  <c r="AI21" i="10"/>
  <c r="AI21" i="13" s="1"/>
  <c r="AA22" i="10"/>
  <c r="AA22" i="13" s="1"/>
  <c r="AB22" i="10"/>
  <c r="AB22" i="13" s="1"/>
  <c r="AC22" i="10"/>
  <c r="AC22" i="13" s="1"/>
  <c r="AD22" i="10"/>
  <c r="AD22" i="13" s="1"/>
  <c r="AF22" i="10"/>
  <c r="AF22" i="13" s="1"/>
  <c r="AG22" i="10"/>
  <c r="AG22" i="13" s="1"/>
  <c r="AH22" i="10"/>
  <c r="AH22" i="13" s="1"/>
  <c r="AI22" i="10"/>
  <c r="AI22" i="13" s="1"/>
  <c r="AA23" i="10"/>
  <c r="AA23" i="13" s="1"/>
  <c r="AB23" i="10"/>
  <c r="AB23" i="13" s="1"/>
  <c r="AC23" i="10"/>
  <c r="AC23" i="13" s="1"/>
  <c r="AD23" i="10"/>
  <c r="AD23" i="13" s="1"/>
  <c r="AF23" i="10"/>
  <c r="AF23" i="13" s="1"/>
  <c r="AG23" i="10"/>
  <c r="AG23" i="13" s="1"/>
  <c r="AH23" i="10"/>
  <c r="AH23" i="13" s="1"/>
  <c r="AI23" i="10"/>
  <c r="AI23" i="13" s="1"/>
  <c r="AA24" i="10"/>
  <c r="AA24" i="13" s="1"/>
  <c r="AB24" i="10"/>
  <c r="AB24" i="13" s="1"/>
  <c r="AC24" i="10"/>
  <c r="AC24" i="13" s="1"/>
  <c r="AD24" i="10"/>
  <c r="AD24" i="13" s="1"/>
  <c r="AF24" i="10"/>
  <c r="AF24" i="13" s="1"/>
  <c r="AG24" i="10"/>
  <c r="AG24" i="13" s="1"/>
  <c r="AH24" i="10"/>
  <c r="AH24" i="13" s="1"/>
  <c r="AI24" i="10"/>
  <c r="AI24" i="13" s="1"/>
  <c r="AA25" i="10"/>
  <c r="AA25" i="13" s="1"/>
  <c r="AB25" i="10"/>
  <c r="AB25" i="13" s="1"/>
  <c r="AC25" i="10"/>
  <c r="AC25" i="13" s="1"/>
  <c r="AD25" i="10"/>
  <c r="AD25" i="13" s="1"/>
  <c r="AF25" i="10"/>
  <c r="AF25" i="13" s="1"/>
  <c r="AG25" i="10"/>
  <c r="AG25" i="13" s="1"/>
  <c r="AH25" i="10"/>
  <c r="AH25" i="13" s="1"/>
  <c r="AI25" i="10"/>
  <c r="AI25" i="13" s="1"/>
  <c r="AA26" i="10"/>
  <c r="AA26" i="13" s="1"/>
  <c r="AB26" i="10"/>
  <c r="AB26" i="13" s="1"/>
  <c r="AC26" i="10"/>
  <c r="AC26" i="13" s="1"/>
  <c r="AD26" i="10"/>
  <c r="AD26" i="13" s="1"/>
  <c r="AF26" i="10"/>
  <c r="AF26" i="13" s="1"/>
  <c r="AG26" i="10"/>
  <c r="AG26" i="13" s="1"/>
  <c r="AH26" i="10"/>
  <c r="AH26" i="13" s="1"/>
  <c r="AI26" i="10"/>
  <c r="AI26" i="13" s="1"/>
  <c r="AA27" i="10"/>
  <c r="AA27" i="13" s="1"/>
  <c r="AB27" i="10"/>
  <c r="AB27" i="13" s="1"/>
  <c r="AC27" i="10"/>
  <c r="AC27" i="13" s="1"/>
  <c r="AD27" i="10"/>
  <c r="AD27" i="13" s="1"/>
  <c r="AF27" i="10"/>
  <c r="AF27" i="13" s="1"/>
  <c r="AG27" i="10"/>
  <c r="AG27" i="13" s="1"/>
  <c r="AH27" i="10"/>
  <c r="AH27" i="13" s="1"/>
  <c r="AI27" i="10"/>
  <c r="AI27" i="13" s="1"/>
  <c r="AA28" i="10"/>
  <c r="AA28" i="13" s="1"/>
  <c r="AB28" i="10"/>
  <c r="AB28" i="13" s="1"/>
  <c r="AC28" i="10"/>
  <c r="AC28" i="13" s="1"/>
  <c r="AD28" i="10"/>
  <c r="AD28" i="13" s="1"/>
  <c r="AF28" i="10"/>
  <c r="AF28" i="13" s="1"/>
  <c r="AG28" i="10"/>
  <c r="AG28" i="13" s="1"/>
  <c r="AH28" i="10"/>
  <c r="AH28" i="13" s="1"/>
  <c r="AI28" i="10"/>
  <c r="AI28" i="13" s="1"/>
  <c r="AA29" i="10"/>
  <c r="AA29" i="13" s="1"/>
  <c r="AB29" i="10"/>
  <c r="AB29" i="13" s="1"/>
  <c r="AC29" i="10"/>
  <c r="AC29" i="13" s="1"/>
  <c r="AD29" i="10"/>
  <c r="AD29" i="13" s="1"/>
  <c r="AF29" i="10"/>
  <c r="AF29" i="13" s="1"/>
  <c r="AG29" i="10"/>
  <c r="AG29" i="13" s="1"/>
  <c r="AH29" i="10"/>
  <c r="AH29" i="13" s="1"/>
  <c r="AI29" i="10"/>
  <c r="AI29" i="13" s="1"/>
  <c r="AA30" i="10"/>
  <c r="AA30" i="13" s="1"/>
  <c r="AB30" i="10"/>
  <c r="AB30" i="13" s="1"/>
  <c r="AC30" i="10"/>
  <c r="AC30" i="13" s="1"/>
  <c r="AD30" i="10"/>
  <c r="AD30" i="13" s="1"/>
  <c r="AF30" i="10"/>
  <c r="AF30" i="13" s="1"/>
  <c r="AG30" i="10"/>
  <c r="AG30" i="13" s="1"/>
  <c r="AH30" i="10"/>
  <c r="AH30" i="13" s="1"/>
  <c r="AI30" i="10"/>
  <c r="AI30" i="13" s="1"/>
  <c r="AA31" i="10"/>
  <c r="AA31" i="13" s="1"/>
  <c r="AB31" i="10"/>
  <c r="AB31" i="13" s="1"/>
  <c r="AC31" i="10"/>
  <c r="AC31" i="13" s="1"/>
  <c r="AD31" i="10"/>
  <c r="AD31" i="13" s="1"/>
  <c r="AF31" i="10"/>
  <c r="AF31" i="13" s="1"/>
  <c r="AG31" i="10"/>
  <c r="AG31" i="13" s="1"/>
  <c r="AH31" i="10"/>
  <c r="AH31" i="13" s="1"/>
  <c r="AI31" i="10"/>
  <c r="AI31" i="13" s="1"/>
  <c r="AA32" i="10"/>
  <c r="AA32" i="13" s="1"/>
  <c r="AB32" i="10"/>
  <c r="AB32" i="13" s="1"/>
  <c r="AC32" i="10"/>
  <c r="AC32" i="13" s="1"/>
  <c r="AD32" i="10"/>
  <c r="AD32" i="13" s="1"/>
  <c r="AF32" i="10"/>
  <c r="AF32" i="13" s="1"/>
  <c r="AG32" i="10"/>
  <c r="AG32" i="13" s="1"/>
  <c r="AH32" i="10"/>
  <c r="AH32" i="13" s="1"/>
  <c r="AI32" i="10"/>
  <c r="AI32" i="13" s="1"/>
  <c r="AA33" i="10"/>
  <c r="AA33" i="13" s="1"/>
  <c r="AB33" i="10"/>
  <c r="AB33" i="13" s="1"/>
  <c r="AC33" i="10"/>
  <c r="AC33" i="13" s="1"/>
  <c r="AD33" i="10"/>
  <c r="AD33" i="13" s="1"/>
  <c r="AF33" i="10"/>
  <c r="AF33" i="13" s="1"/>
  <c r="AG33" i="10"/>
  <c r="AG33" i="13" s="1"/>
  <c r="AH33" i="10"/>
  <c r="AH33" i="13" s="1"/>
  <c r="AI33" i="10"/>
  <c r="AI33" i="13" s="1"/>
  <c r="AA34" i="10"/>
  <c r="AA34" i="13" s="1"/>
  <c r="AB34" i="10"/>
  <c r="AB34" i="13" s="1"/>
  <c r="AC34" i="10"/>
  <c r="AC34" i="13" s="1"/>
  <c r="AD34" i="10"/>
  <c r="AD34" i="13" s="1"/>
  <c r="AF34" i="10"/>
  <c r="AF34" i="13" s="1"/>
  <c r="AG34" i="10"/>
  <c r="AG34" i="13" s="1"/>
  <c r="AH34" i="10"/>
  <c r="AH34" i="13" s="1"/>
  <c r="AI34" i="10"/>
  <c r="AI34" i="13" s="1"/>
  <c r="AA35" i="10"/>
  <c r="AA35" i="13" s="1"/>
  <c r="AB35" i="10"/>
  <c r="AB35" i="13" s="1"/>
  <c r="AC35" i="10"/>
  <c r="AC35" i="13" s="1"/>
  <c r="AD35" i="10"/>
  <c r="AD35" i="13" s="1"/>
  <c r="AF35" i="10"/>
  <c r="AF35" i="13" s="1"/>
  <c r="AG35" i="10"/>
  <c r="AG35" i="13" s="1"/>
  <c r="AH35" i="10"/>
  <c r="AH35" i="13" s="1"/>
  <c r="AI35" i="10"/>
  <c r="AI35" i="13" s="1"/>
  <c r="AA36" i="10"/>
  <c r="AA36" i="13" s="1"/>
  <c r="AB36" i="10"/>
  <c r="AB36" i="13" s="1"/>
  <c r="AC36" i="10"/>
  <c r="AC36" i="13" s="1"/>
  <c r="AD36" i="10"/>
  <c r="AD36" i="13" s="1"/>
  <c r="AF36" i="10"/>
  <c r="AF36" i="13" s="1"/>
  <c r="AG36" i="10"/>
  <c r="AG36" i="13" s="1"/>
  <c r="AH36" i="10"/>
  <c r="AH36" i="13" s="1"/>
  <c r="AI36" i="10"/>
  <c r="AI36" i="13" s="1"/>
  <c r="AA37" i="10"/>
  <c r="AA37" i="13" s="1"/>
  <c r="AB37" i="10"/>
  <c r="AB37" i="13" s="1"/>
  <c r="AC37" i="10"/>
  <c r="AC37" i="13" s="1"/>
  <c r="AD37" i="10"/>
  <c r="AD37" i="13" s="1"/>
  <c r="AF37" i="10"/>
  <c r="AF37" i="13" s="1"/>
  <c r="AG37" i="10"/>
  <c r="AG37" i="13" s="1"/>
  <c r="AH37" i="10"/>
  <c r="AH37" i="13" s="1"/>
  <c r="AI37" i="10"/>
  <c r="AI37" i="13" s="1"/>
  <c r="AA38" i="10"/>
  <c r="AA38" i="13" s="1"/>
  <c r="AB38" i="10"/>
  <c r="AB38" i="13" s="1"/>
  <c r="AC38" i="10"/>
  <c r="AC38" i="13" s="1"/>
  <c r="AD38" i="10"/>
  <c r="AD38" i="13" s="1"/>
  <c r="AF38" i="10"/>
  <c r="AF38" i="13" s="1"/>
  <c r="AG38" i="10"/>
  <c r="AG38" i="13" s="1"/>
  <c r="AH38" i="10"/>
  <c r="AH38" i="13" s="1"/>
  <c r="AI38" i="10"/>
  <c r="AI38" i="13" s="1"/>
  <c r="AA39" i="10"/>
  <c r="AA39" i="13" s="1"/>
  <c r="AB39" i="10"/>
  <c r="AB39" i="13" s="1"/>
  <c r="AC39" i="10"/>
  <c r="AC39" i="13" s="1"/>
  <c r="AD39" i="10"/>
  <c r="AD39" i="13" s="1"/>
  <c r="AF39" i="10"/>
  <c r="AF39" i="13" s="1"/>
  <c r="AG39" i="10"/>
  <c r="AG39" i="13" s="1"/>
  <c r="AH39" i="10"/>
  <c r="AH39" i="13" s="1"/>
  <c r="AI39" i="10"/>
  <c r="AI39" i="13" s="1"/>
  <c r="AA40" i="10"/>
  <c r="AA40" i="13" s="1"/>
  <c r="AB40" i="10"/>
  <c r="AB40" i="13" s="1"/>
  <c r="AC40" i="10"/>
  <c r="AC40" i="13" s="1"/>
  <c r="AD40" i="10"/>
  <c r="AD40" i="13" s="1"/>
  <c r="AF40" i="10"/>
  <c r="AF40" i="13" s="1"/>
  <c r="AG40" i="10"/>
  <c r="AG40" i="13" s="1"/>
  <c r="AH40" i="10"/>
  <c r="AH40" i="13" s="1"/>
  <c r="AI40" i="10"/>
  <c r="AI40" i="13" s="1"/>
  <c r="AA41" i="10"/>
  <c r="AA41" i="13" s="1"/>
  <c r="AB41" i="10"/>
  <c r="AB41" i="13" s="1"/>
  <c r="AC41" i="10"/>
  <c r="AC41" i="13" s="1"/>
  <c r="AD41" i="10"/>
  <c r="AD41" i="13" s="1"/>
  <c r="AF41" i="10"/>
  <c r="AF41" i="13" s="1"/>
  <c r="AG41" i="10"/>
  <c r="AG41" i="13" s="1"/>
  <c r="AH41" i="10"/>
  <c r="AH41" i="13" s="1"/>
  <c r="AI41" i="10"/>
  <c r="AI41" i="13" s="1"/>
  <c r="AA42" i="10"/>
  <c r="AA42" i="13" s="1"/>
  <c r="AB42" i="10"/>
  <c r="AB42" i="13" s="1"/>
  <c r="AC42" i="10"/>
  <c r="AC42" i="13" s="1"/>
  <c r="AD42" i="10"/>
  <c r="AD42" i="13" s="1"/>
  <c r="AF42" i="10"/>
  <c r="AF42" i="13" s="1"/>
  <c r="AG42" i="10"/>
  <c r="AG42" i="13" s="1"/>
  <c r="AH42" i="10"/>
  <c r="AH42" i="13" s="1"/>
  <c r="AI42" i="10"/>
  <c r="AI42" i="13" s="1"/>
  <c r="AA43" i="10"/>
  <c r="AA43" i="13" s="1"/>
  <c r="AB43" i="10"/>
  <c r="AB43" i="13" s="1"/>
  <c r="AC43" i="10"/>
  <c r="AC43" i="13" s="1"/>
  <c r="AD43" i="10"/>
  <c r="AD43" i="13" s="1"/>
  <c r="AF43" i="10"/>
  <c r="AF43" i="13" s="1"/>
  <c r="AG43" i="10"/>
  <c r="AG43" i="13" s="1"/>
  <c r="AH43" i="10"/>
  <c r="AH43" i="13" s="1"/>
  <c r="AI43" i="10"/>
  <c r="AI43" i="13" s="1"/>
  <c r="AA44" i="10"/>
  <c r="AA44" i="13" s="1"/>
  <c r="AB44" i="10"/>
  <c r="AB44" i="13" s="1"/>
  <c r="AC44" i="10"/>
  <c r="AC44" i="13" s="1"/>
  <c r="AD44" i="10"/>
  <c r="AD44" i="13" s="1"/>
  <c r="AF44" i="10"/>
  <c r="AF44" i="13" s="1"/>
  <c r="AG44" i="10"/>
  <c r="AG44" i="13" s="1"/>
  <c r="AH44" i="10"/>
  <c r="AH44" i="13" s="1"/>
  <c r="AI44" i="10"/>
  <c r="AI44" i="13" s="1"/>
  <c r="AA45" i="10"/>
  <c r="AA45" i="13" s="1"/>
  <c r="AB45" i="10"/>
  <c r="AB45" i="13" s="1"/>
  <c r="AC45" i="10"/>
  <c r="AC45" i="13" s="1"/>
  <c r="AD45" i="10"/>
  <c r="AD45" i="13" s="1"/>
  <c r="AF45" i="10"/>
  <c r="AF45" i="13" s="1"/>
  <c r="AG45" i="10"/>
  <c r="AG45" i="13" s="1"/>
  <c r="AH45" i="10"/>
  <c r="AH45" i="13" s="1"/>
  <c r="AI45" i="10"/>
  <c r="AI45" i="13" s="1"/>
  <c r="AA46" i="10"/>
  <c r="AA46" i="13" s="1"/>
  <c r="AB46" i="10"/>
  <c r="AB46" i="13" s="1"/>
  <c r="AC46" i="10"/>
  <c r="AC46" i="13" s="1"/>
  <c r="AD46" i="10"/>
  <c r="AD46" i="13" s="1"/>
  <c r="AF46" i="10"/>
  <c r="AF46" i="13" s="1"/>
  <c r="AG46" i="10"/>
  <c r="AG46" i="13" s="1"/>
  <c r="AH46" i="10"/>
  <c r="AH46" i="13" s="1"/>
  <c r="AI46" i="10"/>
  <c r="AI46" i="13" s="1"/>
  <c r="AA47" i="10"/>
  <c r="AA47" i="13" s="1"/>
  <c r="AB47" i="10"/>
  <c r="AB47" i="13" s="1"/>
  <c r="AC47" i="10"/>
  <c r="AC47" i="13" s="1"/>
  <c r="AD47" i="10"/>
  <c r="AD47" i="13" s="1"/>
  <c r="AF47" i="10"/>
  <c r="AF47" i="13" s="1"/>
  <c r="AG47" i="10"/>
  <c r="AG47" i="13" s="1"/>
  <c r="AH47" i="10"/>
  <c r="AH47" i="13" s="1"/>
  <c r="AI47" i="10"/>
  <c r="AI47" i="13" s="1"/>
  <c r="AA48" i="10"/>
  <c r="AA48" i="13" s="1"/>
  <c r="AB48" i="10"/>
  <c r="AB48" i="13" s="1"/>
  <c r="AC48" i="10"/>
  <c r="AC48" i="13" s="1"/>
  <c r="AD48" i="10"/>
  <c r="AD48" i="13" s="1"/>
  <c r="AF48" i="10"/>
  <c r="AF48" i="13" s="1"/>
  <c r="AG48" i="10"/>
  <c r="AG48" i="13" s="1"/>
  <c r="AH48" i="10"/>
  <c r="AH48" i="13" s="1"/>
  <c r="AI48" i="10"/>
  <c r="AI48" i="13" s="1"/>
  <c r="AA49" i="10"/>
  <c r="AA49" i="13" s="1"/>
  <c r="AB49" i="10"/>
  <c r="AB49" i="13" s="1"/>
  <c r="AC49" i="10"/>
  <c r="AC49" i="13" s="1"/>
  <c r="AD49" i="10"/>
  <c r="AD49" i="13" s="1"/>
  <c r="AF49" i="10"/>
  <c r="AF49" i="13" s="1"/>
  <c r="AG49" i="10"/>
  <c r="AG49" i="13" s="1"/>
  <c r="AH49" i="10"/>
  <c r="AH49" i="13" s="1"/>
  <c r="AI49" i="10"/>
  <c r="AI49" i="13" s="1"/>
  <c r="AA50" i="10"/>
  <c r="AA50" i="13" s="1"/>
  <c r="AB50" i="10"/>
  <c r="AB50" i="13" s="1"/>
  <c r="AC50" i="10"/>
  <c r="AC50" i="13" s="1"/>
  <c r="AD50" i="10"/>
  <c r="AD50" i="13" s="1"/>
  <c r="AF50" i="10"/>
  <c r="AF50" i="13" s="1"/>
  <c r="AG50" i="10"/>
  <c r="AG50" i="13" s="1"/>
  <c r="AH50" i="10"/>
  <c r="AH50" i="13" s="1"/>
  <c r="AI50" i="10"/>
  <c r="AI50" i="13" s="1"/>
  <c r="AA51" i="10"/>
  <c r="AA51" i="13" s="1"/>
  <c r="AB51" i="10"/>
  <c r="AB51" i="13" s="1"/>
  <c r="AC51" i="10"/>
  <c r="AC51" i="13" s="1"/>
  <c r="AD51" i="10"/>
  <c r="AD51" i="13" s="1"/>
  <c r="AF51" i="10"/>
  <c r="AF51" i="13" s="1"/>
  <c r="AG51" i="10"/>
  <c r="AG51" i="13" s="1"/>
  <c r="AH51" i="10"/>
  <c r="AH51" i="13" s="1"/>
  <c r="AI51" i="10"/>
  <c r="AI51" i="13" s="1"/>
  <c r="AA52" i="10"/>
  <c r="AA52" i="13" s="1"/>
  <c r="AB52" i="10"/>
  <c r="AB52" i="13" s="1"/>
  <c r="AC52" i="10"/>
  <c r="AC52" i="13" s="1"/>
  <c r="AD52" i="10"/>
  <c r="AD52" i="13" s="1"/>
  <c r="AF52" i="10"/>
  <c r="AF52" i="13" s="1"/>
  <c r="AG52" i="10"/>
  <c r="AG52" i="13" s="1"/>
  <c r="AH52" i="10"/>
  <c r="AH52" i="13" s="1"/>
  <c r="AI52" i="10"/>
  <c r="AI52" i="13" s="1"/>
  <c r="AA53" i="10"/>
  <c r="AA53" i="13" s="1"/>
  <c r="AB53" i="10"/>
  <c r="AB53" i="13" s="1"/>
  <c r="AC53" i="10"/>
  <c r="AC53" i="13" s="1"/>
  <c r="AD53" i="10"/>
  <c r="AD53" i="13" s="1"/>
  <c r="AF53" i="10"/>
  <c r="AF53" i="13" s="1"/>
  <c r="AG53" i="10"/>
  <c r="AG53" i="13" s="1"/>
  <c r="AH53" i="10"/>
  <c r="AH53" i="13" s="1"/>
  <c r="AI53" i="10"/>
  <c r="AI53" i="13" s="1"/>
  <c r="AA54" i="10"/>
  <c r="AA54" i="13" s="1"/>
  <c r="AB54" i="10"/>
  <c r="AB54" i="13" s="1"/>
  <c r="AC54" i="10"/>
  <c r="AC54" i="13" s="1"/>
  <c r="AD54" i="10"/>
  <c r="AD54" i="13" s="1"/>
  <c r="AF54" i="10"/>
  <c r="AF54" i="13" s="1"/>
  <c r="AG54" i="10"/>
  <c r="AG54" i="13" s="1"/>
  <c r="AH54" i="10"/>
  <c r="AH54" i="13" s="1"/>
  <c r="AI54" i="10"/>
  <c r="AI54" i="13" s="1"/>
  <c r="AA57" i="10"/>
  <c r="AA57" i="13" s="1"/>
  <c r="AB57" i="10"/>
  <c r="AB57" i="13" s="1"/>
  <c r="AC57" i="10"/>
  <c r="AC57" i="13" s="1"/>
  <c r="AD57" i="10"/>
  <c r="AD57" i="13" s="1"/>
  <c r="AF57" i="10"/>
  <c r="AF57" i="13" s="1"/>
  <c r="AG57" i="10"/>
  <c r="AG57" i="13" s="1"/>
  <c r="AH57" i="10"/>
  <c r="AH57" i="13" s="1"/>
  <c r="AI57" i="10"/>
  <c r="AI57" i="13" s="1"/>
  <c r="AA58" i="10"/>
  <c r="AA58" i="13" s="1"/>
  <c r="AB58" i="10"/>
  <c r="AB58" i="13" s="1"/>
  <c r="AC58" i="10"/>
  <c r="AC58" i="13" s="1"/>
  <c r="AD58" i="10"/>
  <c r="AD58" i="13" s="1"/>
  <c r="AF58" i="10"/>
  <c r="AF58" i="13" s="1"/>
  <c r="AG58" i="10"/>
  <c r="AG58" i="13" s="1"/>
  <c r="AH58" i="10"/>
  <c r="AH58" i="13" s="1"/>
  <c r="AI58" i="10"/>
  <c r="AI58" i="13" s="1"/>
  <c r="AA59" i="10"/>
  <c r="AA59" i="13" s="1"/>
  <c r="AB59" i="10"/>
  <c r="AB59" i="13" s="1"/>
  <c r="AC59" i="10"/>
  <c r="AC59" i="13" s="1"/>
  <c r="AD59" i="10"/>
  <c r="AD59" i="13" s="1"/>
  <c r="AF59" i="10"/>
  <c r="AF59" i="13" s="1"/>
  <c r="AG59" i="10"/>
  <c r="AG59" i="13" s="1"/>
  <c r="AH59" i="10"/>
  <c r="AH59" i="13" s="1"/>
  <c r="AI59" i="10"/>
  <c r="AI59" i="13" s="1"/>
  <c r="AA60" i="10"/>
  <c r="AA60" i="13" s="1"/>
  <c r="AB60" i="10"/>
  <c r="AB60" i="13" s="1"/>
  <c r="AC60" i="10"/>
  <c r="AC60" i="13" s="1"/>
  <c r="AD60" i="10"/>
  <c r="AD60" i="13" s="1"/>
  <c r="AF60" i="10"/>
  <c r="AF60" i="13" s="1"/>
  <c r="AG60" i="10"/>
  <c r="AG60" i="13" s="1"/>
  <c r="AH60" i="10"/>
  <c r="AH60" i="13" s="1"/>
  <c r="AI60" i="10"/>
  <c r="AI60" i="13" s="1"/>
  <c r="AA61" i="10"/>
  <c r="AA61" i="13" s="1"/>
  <c r="AB61" i="10"/>
  <c r="AB61" i="13" s="1"/>
  <c r="AC61" i="10"/>
  <c r="AC61" i="13" s="1"/>
  <c r="AD61" i="10"/>
  <c r="AD61" i="13" s="1"/>
  <c r="AF61" i="10"/>
  <c r="AF61" i="13" s="1"/>
  <c r="AG61" i="10"/>
  <c r="AG61" i="13" s="1"/>
  <c r="AH61" i="10"/>
  <c r="AH61" i="13" s="1"/>
  <c r="AI61" i="10"/>
  <c r="AI61" i="13" s="1"/>
  <c r="AA62" i="10"/>
  <c r="AA62" i="13" s="1"/>
  <c r="AB62" i="10"/>
  <c r="AB62" i="13" s="1"/>
  <c r="AC62" i="10"/>
  <c r="AC62" i="13" s="1"/>
  <c r="AD62" i="10"/>
  <c r="AD62" i="13" s="1"/>
  <c r="AF62" i="10"/>
  <c r="AF62" i="13" s="1"/>
  <c r="AG62" i="10"/>
  <c r="AG62" i="13" s="1"/>
  <c r="AH62" i="10"/>
  <c r="AH62" i="13" s="1"/>
  <c r="AI62" i="10"/>
  <c r="AI62" i="13" s="1"/>
  <c r="AA63" i="10"/>
  <c r="AA63" i="13" s="1"/>
  <c r="AB63" i="10"/>
  <c r="AB63" i="13" s="1"/>
  <c r="AC63" i="10"/>
  <c r="AC63" i="13" s="1"/>
  <c r="AD63" i="10"/>
  <c r="AD63" i="13" s="1"/>
  <c r="AF63" i="10"/>
  <c r="AF63" i="13" s="1"/>
  <c r="AG63" i="10"/>
  <c r="AG63" i="13" s="1"/>
  <c r="AH63" i="10"/>
  <c r="AH63" i="13" s="1"/>
  <c r="AI63" i="10"/>
  <c r="AI63" i="13" s="1"/>
  <c r="AA64" i="10"/>
  <c r="AA64" i="13" s="1"/>
  <c r="AB64" i="10"/>
  <c r="AB64" i="13" s="1"/>
  <c r="AC64" i="10"/>
  <c r="AC64" i="13" s="1"/>
  <c r="AD64" i="10"/>
  <c r="AD64" i="13" s="1"/>
  <c r="AF64" i="10"/>
  <c r="AF64" i="13" s="1"/>
  <c r="AG64" i="10"/>
  <c r="AG64" i="13" s="1"/>
  <c r="AH64" i="10"/>
  <c r="AH64" i="13" s="1"/>
  <c r="AI64" i="10"/>
  <c r="AI64" i="13" s="1"/>
  <c r="AA65" i="10"/>
  <c r="AA65" i="13" s="1"/>
  <c r="AB65" i="10"/>
  <c r="AB65" i="13" s="1"/>
  <c r="AC65" i="10"/>
  <c r="AC65" i="13" s="1"/>
  <c r="AD65" i="10"/>
  <c r="AD65" i="13" s="1"/>
  <c r="AF65" i="10"/>
  <c r="AF65" i="13" s="1"/>
  <c r="AG65" i="10"/>
  <c r="AG65" i="13" s="1"/>
  <c r="AH65" i="10"/>
  <c r="AH65" i="13" s="1"/>
  <c r="AI65" i="10"/>
  <c r="AI65" i="13" s="1"/>
  <c r="AA66" i="10"/>
  <c r="AA66" i="13" s="1"/>
  <c r="AB66" i="10"/>
  <c r="AB66" i="13" s="1"/>
  <c r="AC66" i="10"/>
  <c r="AC66" i="13" s="1"/>
  <c r="AD66" i="10"/>
  <c r="AD66" i="13" s="1"/>
  <c r="AF66" i="10"/>
  <c r="AF66" i="13" s="1"/>
  <c r="AG66" i="10"/>
  <c r="AG66" i="13" s="1"/>
  <c r="AH66" i="10"/>
  <c r="AH66" i="13" s="1"/>
  <c r="AI66" i="10"/>
  <c r="AI66" i="13" s="1"/>
  <c r="AA67" i="10"/>
  <c r="AA67" i="13" s="1"/>
  <c r="AB67" i="10"/>
  <c r="AB67" i="13" s="1"/>
  <c r="AC67" i="10"/>
  <c r="AC67" i="13" s="1"/>
  <c r="AD67" i="10"/>
  <c r="AD67" i="13" s="1"/>
  <c r="AF67" i="10"/>
  <c r="AF67" i="13" s="1"/>
  <c r="AG67" i="10"/>
  <c r="AG67" i="13" s="1"/>
  <c r="AH67" i="10"/>
  <c r="AH67" i="13" s="1"/>
  <c r="AI67" i="10"/>
  <c r="AI67" i="13" s="1"/>
  <c r="AA68" i="10"/>
  <c r="AA68" i="13" s="1"/>
  <c r="AB68" i="10"/>
  <c r="AB68" i="13" s="1"/>
  <c r="AC68" i="10"/>
  <c r="AC68" i="13" s="1"/>
  <c r="AD68" i="10"/>
  <c r="AD68" i="13" s="1"/>
  <c r="AF68" i="10"/>
  <c r="AF68" i="13" s="1"/>
  <c r="AG68" i="10"/>
  <c r="AG68" i="13" s="1"/>
  <c r="AH68" i="10"/>
  <c r="AH68" i="13" s="1"/>
  <c r="AI68" i="10"/>
  <c r="AI68" i="13" s="1"/>
  <c r="AA69" i="10"/>
  <c r="AA69" i="13" s="1"/>
  <c r="AB69" i="10"/>
  <c r="AB69" i="13" s="1"/>
  <c r="AC69" i="10"/>
  <c r="AC69" i="13" s="1"/>
  <c r="AD69" i="10"/>
  <c r="AD69" i="13" s="1"/>
  <c r="AF69" i="10"/>
  <c r="AF69" i="13" s="1"/>
  <c r="AG69" i="10"/>
  <c r="AG69" i="13" s="1"/>
  <c r="AH69" i="10"/>
  <c r="AH69" i="13" s="1"/>
  <c r="AI69" i="10"/>
  <c r="AI69" i="13" s="1"/>
  <c r="AA70" i="10"/>
  <c r="AA70" i="13" s="1"/>
  <c r="AB70" i="10"/>
  <c r="AB70" i="13" s="1"/>
  <c r="AC70" i="10"/>
  <c r="AC70" i="13" s="1"/>
  <c r="AD70" i="10"/>
  <c r="AD70" i="13" s="1"/>
  <c r="AF70" i="10"/>
  <c r="AF70" i="13" s="1"/>
  <c r="AG70" i="10"/>
  <c r="AG70" i="13" s="1"/>
  <c r="AH70" i="10"/>
  <c r="AH70" i="13" s="1"/>
  <c r="AI70" i="10"/>
  <c r="AI70" i="13" s="1"/>
  <c r="AB2" i="10"/>
  <c r="AB2" i="13" s="1"/>
  <c r="AC2" i="10"/>
  <c r="AC2" i="13" s="1"/>
  <c r="AD2" i="10"/>
  <c r="AD2" i="13" s="1"/>
  <c r="AF2" i="10"/>
  <c r="AF2" i="13" s="1"/>
  <c r="AG2" i="10"/>
  <c r="AG2" i="13" s="1"/>
  <c r="AH2" i="10"/>
  <c r="AH2" i="13" s="1"/>
  <c r="AI2" i="10"/>
  <c r="AI2" i="13" s="1"/>
  <c r="AA2" i="10"/>
  <c r="AA2" i="13" s="1"/>
  <c r="X3" i="10"/>
  <c r="X3" i="13" s="1"/>
  <c r="Y3" i="10"/>
  <c r="Y3" i="13" s="1"/>
  <c r="X4" i="10"/>
  <c r="X4" i="13" s="1"/>
  <c r="Y4" i="10"/>
  <c r="Y4" i="13" s="1"/>
  <c r="X5" i="10"/>
  <c r="X5" i="13" s="1"/>
  <c r="Y5" i="10"/>
  <c r="Y5" i="13" s="1"/>
  <c r="X6" i="10"/>
  <c r="X6" i="13" s="1"/>
  <c r="Y6" i="10"/>
  <c r="Y6" i="13" s="1"/>
  <c r="X7" i="10"/>
  <c r="X7" i="13" s="1"/>
  <c r="Y7" i="10"/>
  <c r="Y7" i="13" s="1"/>
  <c r="X8" i="10"/>
  <c r="X8" i="13" s="1"/>
  <c r="Y8" i="10"/>
  <c r="Y8" i="13" s="1"/>
  <c r="X9" i="10"/>
  <c r="X9" i="13" s="1"/>
  <c r="Y9" i="10"/>
  <c r="Y9" i="13" s="1"/>
  <c r="X10" i="10"/>
  <c r="X10" i="13" s="1"/>
  <c r="Y10" i="10"/>
  <c r="Y10" i="13" s="1"/>
  <c r="X11" i="10"/>
  <c r="X11" i="13" s="1"/>
  <c r="Y11" i="10"/>
  <c r="Y11" i="13" s="1"/>
  <c r="X13" i="10"/>
  <c r="X13" i="13" s="1"/>
  <c r="Y13" i="10"/>
  <c r="Y13" i="13" s="1"/>
  <c r="X14" i="10"/>
  <c r="X14" i="13" s="1"/>
  <c r="Y14" i="10"/>
  <c r="Y14" i="13" s="1"/>
  <c r="X15" i="10"/>
  <c r="X15" i="13" s="1"/>
  <c r="Y15" i="10"/>
  <c r="Y15" i="13" s="1"/>
  <c r="X16" i="10"/>
  <c r="X16" i="13" s="1"/>
  <c r="Y16" i="10"/>
  <c r="Y16" i="13" s="1"/>
  <c r="X17" i="10"/>
  <c r="X17" i="13" s="1"/>
  <c r="Y17" i="10"/>
  <c r="Y17" i="13" s="1"/>
  <c r="X18" i="10"/>
  <c r="X18" i="13" s="1"/>
  <c r="Y18" i="10"/>
  <c r="Y18" i="13" s="1"/>
  <c r="X19" i="10"/>
  <c r="X19" i="13" s="1"/>
  <c r="Y19" i="10"/>
  <c r="Y19" i="13" s="1"/>
  <c r="X20" i="10"/>
  <c r="X20" i="13" s="1"/>
  <c r="Y20" i="10"/>
  <c r="Y20" i="13" s="1"/>
  <c r="X21" i="10"/>
  <c r="X21" i="13" s="1"/>
  <c r="Y21" i="10"/>
  <c r="Y21" i="13" s="1"/>
  <c r="X22" i="10"/>
  <c r="X22" i="13" s="1"/>
  <c r="Y22" i="10"/>
  <c r="Y22" i="13" s="1"/>
  <c r="X23" i="10"/>
  <c r="X23" i="13" s="1"/>
  <c r="Y23" i="10"/>
  <c r="Y23" i="13" s="1"/>
  <c r="X24" i="10"/>
  <c r="X24" i="13" s="1"/>
  <c r="Y24" i="10"/>
  <c r="Y24" i="13" s="1"/>
  <c r="X25" i="10"/>
  <c r="X25" i="13" s="1"/>
  <c r="Y25" i="10"/>
  <c r="Y25" i="13" s="1"/>
  <c r="X26" i="10"/>
  <c r="X26" i="13" s="1"/>
  <c r="Y26" i="10"/>
  <c r="Y26" i="13" s="1"/>
  <c r="X27" i="10"/>
  <c r="X27" i="13" s="1"/>
  <c r="Y27" i="10"/>
  <c r="Y27" i="13" s="1"/>
  <c r="X28" i="10"/>
  <c r="X28" i="13" s="1"/>
  <c r="Y28" i="10"/>
  <c r="Y28" i="13" s="1"/>
  <c r="X29" i="10"/>
  <c r="X29" i="13" s="1"/>
  <c r="Y29" i="10"/>
  <c r="Y29" i="13" s="1"/>
  <c r="X30" i="10"/>
  <c r="X30" i="13" s="1"/>
  <c r="Y30" i="10"/>
  <c r="Y30" i="13" s="1"/>
  <c r="X31" i="10"/>
  <c r="X31" i="13" s="1"/>
  <c r="Y31" i="10"/>
  <c r="Y31" i="13" s="1"/>
  <c r="X32" i="10"/>
  <c r="X32" i="13" s="1"/>
  <c r="Y32" i="10"/>
  <c r="Y32" i="13" s="1"/>
  <c r="X33" i="10"/>
  <c r="X33" i="13" s="1"/>
  <c r="Y33" i="10"/>
  <c r="Y33" i="13" s="1"/>
  <c r="X34" i="10"/>
  <c r="X34" i="13" s="1"/>
  <c r="Y34" i="10"/>
  <c r="Y34" i="13" s="1"/>
  <c r="X35" i="10"/>
  <c r="X35" i="13" s="1"/>
  <c r="Y35" i="10"/>
  <c r="Y35" i="13" s="1"/>
  <c r="X36" i="10"/>
  <c r="X36" i="13" s="1"/>
  <c r="Y36" i="10"/>
  <c r="Y36" i="13" s="1"/>
  <c r="X37" i="10"/>
  <c r="X37" i="13" s="1"/>
  <c r="Y37" i="10"/>
  <c r="Y37" i="13" s="1"/>
  <c r="X38" i="10"/>
  <c r="X38" i="13" s="1"/>
  <c r="Y38" i="10"/>
  <c r="Y38" i="13" s="1"/>
  <c r="X39" i="10"/>
  <c r="X39" i="13" s="1"/>
  <c r="Y39" i="10"/>
  <c r="Y39" i="13" s="1"/>
  <c r="X40" i="10"/>
  <c r="X40" i="13" s="1"/>
  <c r="Y40" i="10"/>
  <c r="Y40" i="13" s="1"/>
  <c r="X41" i="10"/>
  <c r="X41" i="13" s="1"/>
  <c r="Y41" i="10"/>
  <c r="Y41" i="13" s="1"/>
  <c r="X42" i="10"/>
  <c r="X42" i="13" s="1"/>
  <c r="Y42" i="10"/>
  <c r="Y42" i="13" s="1"/>
  <c r="X43" i="10"/>
  <c r="X43" i="13" s="1"/>
  <c r="Y43" i="10"/>
  <c r="Y43" i="13" s="1"/>
  <c r="X44" i="10"/>
  <c r="X44" i="13" s="1"/>
  <c r="Y44" i="10"/>
  <c r="Y44" i="13" s="1"/>
  <c r="X45" i="10"/>
  <c r="X45" i="13" s="1"/>
  <c r="Y45" i="10"/>
  <c r="Y45" i="13" s="1"/>
  <c r="X46" i="10"/>
  <c r="X46" i="13" s="1"/>
  <c r="Y46" i="10"/>
  <c r="Y46" i="13" s="1"/>
  <c r="X47" i="10"/>
  <c r="X47" i="13" s="1"/>
  <c r="Y47" i="10"/>
  <c r="Y47" i="13" s="1"/>
  <c r="X48" i="10"/>
  <c r="X48" i="13" s="1"/>
  <c r="Y48" i="10"/>
  <c r="Y48" i="13" s="1"/>
  <c r="X49" i="10"/>
  <c r="X49" i="13" s="1"/>
  <c r="Y49" i="10"/>
  <c r="Y49" i="13" s="1"/>
  <c r="X50" i="10"/>
  <c r="X50" i="13" s="1"/>
  <c r="Y50" i="10"/>
  <c r="Y50" i="13" s="1"/>
  <c r="X51" i="10"/>
  <c r="X51" i="13" s="1"/>
  <c r="Y51" i="10"/>
  <c r="Y51" i="13" s="1"/>
  <c r="X52" i="10"/>
  <c r="X52" i="13" s="1"/>
  <c r="Y52" i="10"/>
  <c r="Y52" i="13" s="1"/>
  <c r="X53" i="10"/>
  <c r="X53" i="13" s="1"/>
  <c r="Y53" i="10"/>
  <c r="Y53" i="13" s="1"/>
  <c r="X54" i="10"/>
  <c r="X54" i="13" s="1"/>
  <c r="Y54" i="10"/>
  <c r="Y54" i="13" s="1"/>
  <c r="X57" i="10"/>
  <c r="X57" i="13" s="1"/>
  <c r="Y57" i="10"/>
  <c r="Y57" i="13" s="1"/>
  <c r="X58" i="10"/>
  <c r="X58" i="13" s="1"/>
  <c r="Y58" i="10"/>
  <c r="Y58" i="13" s="1"/>
  <c r="X59" i="10"/>
  <c r="X59" i="13" s="1"/>
  <c r="Y59" i="10"/>
  <c r="Y59" i="13" s="1"/>
  <c r="X60" i="10"/>
  <c r="X60" i="13" s="1"/>
  <c r="Y60" i="10"/>
  <c r="Y60" i="13" s="1"/>
  <c r="X61" i="10"/>
  <c r="X61" i="13" s="1"/>
  <c r="Y61" i="10"/>
  <c r="Y61" i="13" s="1"/>
  <c r="X62" i="10"/>
  <c r="X62" i="13" s="1"/>
  <c r="Y62" i="10"/>
  <c r="Y62" i="13" s="1"/>
  <c r="X63" i="10"/>
  <c r="X63" i="13" s="1"/>
  <c r="Y63" i="10"/>
  <c r="Y63" i="13" s="1"/>
  <c r="X64" i="10"/>
  <c r="X64" i="13" s="1"/>
  <c r="Y64" i="10"/>
  <c r="Y64" i="13" s="1"/>
  <c r="X65" i="10"/>
  <c r="X65" i="13" s="1"/>
  <c r="Y65" i="10"/>
  <c r="Y65" i="13" s="1"/>
  <c r="X66" i="10"/>
  <c r="X66" i="13" s="1"/>
  <c r="Y66" i="10"/>
  <c r="Y66" i="13" s="1"/>
  <c r="X67" i="10"/>
  <c r="X67" i="13" s="1"/>
  <c r="Y67" i="10"/>
  <c r="Y67" i="13" s="1"/>
  <c r="X68" i="10"/>
  <c r="X68" i="13" s="1"/>
  <c r="Y68" i="10"/>
  <c r="Y68" i="13" s="1"/>
  <c r="X69" i="10"/>
  <c r="X69" i="13" s="1"/>
  <c r="Y69" i="10"/>
  <c r="Y69" i="13" s="1"/>
  <c r="X70" i="10"/>
  <c r="X70" i="13" s="1"/>
  <c r="Y70" i="10"/>
  <c r="Y70" i="13" s="1"/>
  <c r="Y2" i="10"/>
  <c r="Y2" i="13" s="1"/>
  <c r="X2" i="10"/>
  <c r="X2" i="13" s="1"/>
  <c r="O28" i="12" l="1"/>
  <c r="L86" i="12"/>
  <c r="M86" i="12"/>
  <c r="K86" i="12"/>
  <c r="N86" i="12"/>
  <c r="J86" i="12"/>
  <c r="O86" i="12" s="1"/>
  <c r="J88" i="12"/>
  <c r="O88" i="12" s="1"/>
  <c r="L88" i="12"/>
  <c r="M88" i="12"/>
  <c r="N88" i="12"/>
  <c r="K88" i="12"/>
  <c r="M87" i="12"/>
  <c r="J87" i="12"/>
  <c r="O87" i="12" s="1"/>
  <c r="N87" i="12"/>
  <c r="K87" i="12"/>
  <c r="L87" i="12"/>
  <c r="AA56" i="10"/>
  <c r="AA56" i="13" s="1"/>
  <c r="AH56" i="10"/>
  <c r="AH56" i="13" s="1"/>
  <c r="AT56" i="10"/>
  <c r="AT56" i="13" s="1"/>
  <c r="BB56" i="10"/>
  <c r="BB56" i="13" s="1"/>
  <c r="Y56" i="10"/>
  <c r="Y56" i="13" s="1"/>
  <c r="AG56" i="10"/>
  <c r="AG56" i="13" s="1"/>
  <c r="AS56" i="10"/>
  <c r="AS56" i="13" s="1"/>
  <c r="BA56" i="10"/>
  <c r="BA56" i="13" s="1"/>
  <c r="AF56" i="10"/>
  <c r="AF56" i="13" s="1"/>
  <c r="AR56" i="10"/>
  <c r="AR56" i="13" s="1"/>
  <c r="BH56" i="10"/>
  <c r="BH56" i="13" s="1"/>
  <c r="AZ56" i="10"/>
  <c r="AZ56" i="13" s="1"/>
  <c r="AI56" i="10"/>
  <c r="AI56" i="13" s="1"/>
  <c r="AU56" i="10"/>
  <c r="AU56" i="13" s="1"/>
  <c r="AD56" i="10"/>
  <c r="AD56" i="13" s="1"/>
  <c r="AQ56" i="10"/>
  <c r="AQ56" i="13" s="1"/>
  <c r="BG56" i="10"/>
  <c r="BG56" i="13" s="1"/>
  <c r="AC56" i="10"/>
  <c r="AC56" i="13" s="1"/>
  <c r="AX56" i="10"/>
  <c r="AX56" i="13" s="1"/>
  <c r="AP56" i="10"/>
  <c r="AP56" i="13" s="1"/>
  <c r="BF56" i="10"/>
  <c r="BF56" i="13" s="1"/>
  <c r="BC56" i="10"/>
  <c r="BC56" i="13" s="1"/>
  <c r="AB56" i="10"/>
  <c r="AB56" i="13" s="1"/>
  <c r="AW56" i="10"/>
  <c r="AW56" i="13" s="1"/>
  <c r="BE56" i="10"/>
  <c r="BE56" i="13" s="1"/>
  <c r="X56" i="10"/>
  <c r="X56" i="13" s="1"/>
  <c r="AV56" i="10"/>
  <c r="AV56" i="13" s="1"/>
  <c r="BD56" i="10"/>
  <c r="BD56" i="13" s="1"/>
  <c r="B4" i="10"/>
  <c r="B5" i="10"/>
  <c r="B6" i="10"/>
  <c r="O76" i="10"/>
  <c r="O77" i="10" s="1"/>
  <c r="I76" i="10"/>
  <c r="I77" i="10" s="1"/>
  <c r="I23" i="10" s="1"/>
  <c r="H76" i="10"/>
  <c r="H77" i="10" s="1"/>
  <c r="H61" i="10" s="1"/>
  <c r="V54" i="10"/>
  <c r="G76" i="10"/>
  <c r="G77" i="10" s="1"/>
  <c r="G11" i="10" s="1"/>
  <c r="V51" i="10"/>
  <c r="R76" i="10"/>
  <c r="R77" i="10" s="1"/>
  <c r="R54" i="10" s="1"/>
  <c r="Q64" i="10"/>
  <c r="Q58" i="10"/>
  <c r="Q69" i="10"/>
  <c r="Q15" i="10"/>
  <c r="Q19" i="10"/>
  <c r="Q23" i="10"/>
  <c r="Q27" i="10"/>
  <c r="Q31" i="10"/>
  <c r="Q35" i="10"/>
  <c r="Q39" i="10"/>
  <c r="Q43" i="10"/>
  <c r="Q66" i="10"/>
  <c r="Q60" i="10"/>
  <c r="Q63" i="10"/>
  <c r="Q57" i="10"/>
  <c r="Q14" i="10"/>
  <c r="Q18" i="10"/>
  <c r="Q22" i="10"/>
  <c r="Q26" i="10"/>
  <c r="Q30" i="10"/>
  <c r="Q65" i="10"/>
  <c r="Q59" i="10"/>
  <c r="Q17" i="10"/>
  <c r="Q21" i="10"/>
  <c r="Q25" i="10"/>
  <c r="Q29" i="10"/>
  <c r="Q33" i="10"/>
  <c r="Q37" i="10"/>
  <c r="Q41" i="10"/>
  <c r="Q45" i="10"/>
  <c r="Q70" i="10"/>
  <c r="Q61" i="10"/>
  <c r="Q38" i="10"/>
  <c r="Q62" i="10"/>
  <c r="Q28" i="10"/>
  <c r="Q47" i="10"/>
  <c r="Q67" i="10"/>
  <c r="Q16" i="10"/>
  <c r="Q7" i="10"/>
  <c r="Q36" i="10"/>
  <c r="Q44" i="10"/>
  <c r="Q46" i="10"/>
  <c r="Q50" i="10"/>
  <c r="Q54" i="10"/>
  <c r="Q4" i="10"/>
  <c r="Q34" i="10"/>
  <c r="Q53" i="10"/>
  <c r="Q6" i="10"/>
  <c r="Q8" i="10"/>
  <c r="Q10" i="10"/>
  <c r="Q49" i="10"/>
  <c r="Q3" i="10"/>
  <c r="Q5" i="10"/>
  <c r="Q9" i="10"/>
  <c r="Q11" i="10"/>
  <c r="Q68" i="10"/>
  <c r="Q2" i="10"/>
  <c r="Q52" i="10"/>
  <c r="Q40" i="10"/>
  <c r="Q32" i="10"/>
  <c r="Q48" i="10"/>
  <c r="Q20" i="10"/>
  <c r="Q24" i="10"/>
  <c r="Q42" i="10"/>
  <c r="Q51" i="10"/>
  <c r="J61" i="10"/>
  <c r="J16" i="10"/>
  <c r="J20" i="10"/>
  <c r="J24" i="10"/>
  <c r="J28" i="10"/>
  <c r="J32" i="10"/>
  <c r="J36" i="10"/>
  <c r="J40" i="10"/>
  <c r="J44" i="10"/>
  <c r="J58" i="10"/>
  <c r="J15" i="10"/>
  <c r="J19" i="10"/>
  <c r="J23" i="10"/>
  <c r="J27" i="10"/>
  <c r="J31" i="10"/>
  <c r="J35" i="10"/>
  <c r="J39" i="10"/>
  <c r="J43" i="10"/>
  <c r="J60" i="10"/>
  <c r="J30" i="10"/>
  <c r="J48" i="10"/>
  <c r="J18" i="10"/>
  <c r="J21" i="10"/>
  <c r="J34" i="10"/>
  <c r="J42" i="10"/>
  <c r="J33" i="10"/>
  <c r="J41" i="10"/>
  <c r="J47" i="10"/>
  <c r="J51" i="10"/>
  <c r="J2" i="10"/>
  <c r="J10" i="10"/>
  <c r="J26" i="10"/>
  <c r="J29" i="10"/>
  <c r="J7" i="10"/>
  <c r="J14" i="10"/>
  <c r="J17" i="10"/>
  <c r="J22" i="10"/>
  <c r="J25" i="10"/>
  <c r="J45" i="10"/>
  <c r="J57" i="10"/>
  <c r="J46" i="10"/>
  <c r="J52" i="10"/>
  <c r="J37" i="10"/>
  <c r="J9" i="10"/>
  <c r="J11" i="10"/>
  <c r="J49" i="10"/>
  <c r="J53" i="10"/>
  <c r="J4" i="10"/>
  <c r="J6" i="10"/>
  <c r="J8" i="10"/>
  <c r="J50" i="10"/>
  <c r="J3" i="10"/>
  <c r="J5" i="10"/>
  <c r="J59" i="10"/>
  <c r="J38" i="10"/>
  <c r="J54" i="10"/>
  <c r="I60" i="10"/>
  <c r="I57" i="10"/>
  <c r="I15" i="10"/>
  <c r="I14" i="10"/>
  <c r="I7" i="10"/>
  <c r="I24" i="10"/>
  <c r="I26" i="10"/>
  <c r="I36" i="10"/>
  <c r="I34" i="10"/>
  <c r="I49" i="10"/>
  <c r="I9" i="10"/>
  <c r="I44" i="10"/>
  <c r="I50" i="10"/>
  <c r="I6" i="10"/>
  <c r="I10" i="10"/>
  <c r="I29" i="10"/>
  <c r="I41" i="10"/>
  <c r="I3" i="10"/>
  <c r="I42" i="10"/>
  <c r="I52" i="10"/>
  <c r="I21" i="10"/>
  <c r="P69" i="10"/>
  <c r="P15" i="10"/>
  <c r="P19" i="10"/>
  <c r="P23" i="10"/>
  <c r="P27" i="10"/>
  <c r="P31" i="10"/>
  <c r="P35" i="10"/>
  <c r="P39" i="10"/>
  <c r="P43" i="10"/>
  <c r="P66" i="10"/>
  <c r="P60" i="10"/>
  <c r="P63" i="10"/>
  <c r="P57" i="10"/>
  <c r="P14" i="10"/>
  <c r="P18" i="10"/>
  <c r="P22" i="10"/>
  <c r="P26" i="10"/>
  <c r="P30" i="10"/>
  <c r="P34" i="10"/>
  <c r="P38" i="10"/>
  <c r="P42" i="10"/>
  <c r="P68" i="10"/>
  <c r="P62" i="10"/>
  <c r="P70" i="10"/>
  <c r="P58" i="10"/>
  <c r="P25" i="10"/>
  <c r="P28" i="10"/>
  <c r="P47" i="10"/>
  <c r="P67" i="10"/>
  <c r="P16" i="10"/>
  <c r="P37" i="10"/>
  <c r="P45" i="10"/>
  <c r="P36" i="10"/>
  <c r="P44" i="10"/>
  <c r="P46" i="10"/>
  <c r="P50" i="10"/>
  <c r="P54" i="10"/>
  <c r="P4" i="10"/>
  <c r="P64" i="10"/>
  <c r="P21" i="10"/>
  <c r="P24" i="10"/>
  <c r="P9" i="10"/>
  <c r="P49" i="10"/>
  <c r="P3" i="10"/>
  <c r="P5" i="10"/>
  <c r="P7" i="10"/>
  <c r="P8" i="10"/>
  <c r="P10" i="10"/>
  <c r="P29" i="10"/>
  <c r="P41" i="10"/>
  <c r="P2" i="10"/>
  <c r="P40" i="10"/>
  <c r="P6" i="10"/>
  <c r="P32" i="10"/>
  <c r="P48" i="10"/>
  <c r="P59" i="10"/>
  <c r="P20" i="10"/>
  <c r="P51" i="10"/>
  <c r="P11" i="10"/>
  <c r="P53" i="10"/>
  <c r="P65" i="10"/>
  <c r="P61" i="10"/>
  <c r="P17" i="10"/>
  <c r="P33" i="10"/>
  <c r="P52" i="10"/>
  <c r="W63" i="19"/>
  <c r="W67" i="19"/>
  <c r="V4" i="10"/>
  <c r="V2" i="10"/>
  <c r="V50" i="10"/>
  <c r="V44" i="10"/>
  <c r="R42" i="10"/>
  <c r="V27" i="10"/>
  <c r="V24" i="10"/>
  <c r="V70" i="19"/>
  <c r="V70" i="10" s="1"/>
  <c r="O66" i="10"/>
  <c r="O60" i="10"/>
  <c r="O63" i="10"/>
  <c r="O57" i="10"/>
  <c r="O14" i="10"/>
  <c r="O18" i="10"/>
  <c r="O22" i="10"/>
  <c r="O26" i="10"/>
  <c r="O30" i="10"/>
  <c r="O34" i="10"/>
  <c r="O38" i="10"/>
  <c r="O42" i="10"/>
  <c r="O68" i="10"/>
  <c r="O65" i="10"/>
  <c r="O59" i="10"/>
  <c r="O17" i="10"/>
  <c r="O21" i="10"/>
  <c r="O25" i="10"/>
  <c r="O29" i="10"/>
  <c r="O67" i="10"/>
  <c r="O61" i="10"/>
  <c r="O16" i="10"/>
  <c r="O20" i="10"/>
  <c r="O24" i="10"/>
  <c r="O28" i="10"/>
  <c r="O32" i="10"/>
  <c r="O36" i="10"/>
  <c r="O40" i="10"/>
  <c r="O44" i="10"/>
  <c r="O62" i="10"/>
  <c r="O31" i="10"/>
  <c r="O37" i="10"/>
  <c r="O45" i="10"/>
  <c r="O19" i="10"/>
  <c r="O46" i="10"/>
  <c r="O64" i="10"/>
  <c r="O9" i="10"/>
  <c r="O69" i="10"/>
  <c r="O27" i="10"/>
  <c r="O35" i="10"/>
  <c r="O43" i="10"/>
  <c r="O49" i="10"/>
  <c r="O53" i="10"/>
  <c r="O6" i="10"/>
  <c r="O15" i="10"/>
  <c r="G57" i="10"/>
  <c r="G59" i="10"/>
  <c r="G9" i="10"/>
  <c r="B60" i="10"/>
  <c r="B61" i="10"/>
  <c r="B57" i="10"/>
  <c r="B58" i="10"/>
  <c r="B8" i="10"/>
  <c r="B59" i="10"/>
  <c r="B9" i="10"/>
  <c r="B3" i="10"/>
  <c r="V9" i="10"/>
  <c r="V7" i="10"/>
  <c r="V5" i="10"/>
  <c r="O52" i="10"/>
  <c r="V48" i="10"/>
  <c r="R46" i="10"/>
  <c r="O33" i="10"/>
  <c r="O58" i="10"/>
  <c r="H4" i="10"/>
  <c r="H59" i="10"/>
  <c r="W64" i="19"/>
  <c r="V47" i="10"/>
  <c r="R33" i="10"/>
  <c r="W65" i="19"/>
  <c r="N76" i="10"/>
  <c r="N77" i="10" s="1"/>
  <c r="F76" i="10"/>
  <c r="F77" i="10" s="1"/>
  <c r="B2" i="10"/>
  <c r="B56" i="10" s="1"/>
  <c r="V10" i="10"/>
  <c r="V8" i="10"/>
  <c r="O47" i="10"/>
  <c r="O39" i="10"/>
  <c r="R67" i="10"/>
  <c r="R61" i="10"/>
  <c r="R16" i="10"/>
  <c r="R20" i="10"/>
  <c r="R24" i="10"/>
  <c r="R28" i="10"/>
  <c r="R32" i="10"/>
  <c r="R36" i="10"/>
  <c r="R40" i="10"/>
  <c r="R44" i="10"/>
  <c r="R64" i="10"/>
  <c r="R58" i="10"/>
  <c r="R69" i="10"/>
  <c r="R15" i="10"/>
  <c r="R19" i="10"/>
  <c r="R23" i="10"/>
  <c r="R27" i="10"/>
  <c r="R31" i="10"/>
  <c r="R35" i="10"/>
  <c r="R39" i="10"/>
  <c r="R43" i="10"/>
  <c r="R66" i="10"/>
  <c r="R60" i="10"/>
  <c r="R68" i="10"/>
  <c r="R65" i="10"/>
  <c r="R57" i="10"/>
  <c r="R59" i="10"/>
  <c r="R48" i="10"/>
  <c r="R70" i="10"/>
  <c r="R22" i="10"/>
  <c r="R25" i="10"/>
  <c r="R38" i="10"/>
  <c r="R62" i="10"/>
  <c r="R37" i="10"/>
  <c r="R45" i="10"/>
  <c r="R47" i="10"/>
  <c r="R51" i="10"/>
  <c r="R2" i="10"/>
  <c r="R10" i="10"/>
  <c r="R30" i="10"/>
  <c r="R7" i="10"/>
  <c r="R18" i="10"/>
  <c r="R21" i="10"/>
  <c r="R52" i="10"/>
  <c r="V35" i="10"/>
  <c r="W68" i="19"/>
  <c r="M76" i="10"/>
  <c r="M77" i="10" s="1"/>
  <c r="E76" i="10"/>
  <c r="E77" i="10" s="1"/>
  <c r="U77" i="10"/>
  <c r="B11" i="10"/>
  <c r="H7" i="10"/>
  <c r="R5" i="10"/>
  <c r="R3" i="10"/>
  <c r="G2" i="10"/>
  <c r="O54" i="10"/>
  <c r="O51" i="10"/>
  <c r="R49" i="10"/>
  <c r="V43" i="10"/>
  <c r="R41" i="10"/>
  <c r="R29" i="10"/>
  <c r="R26" i="10"/>
  <c r="O23" i="10"/>
  <c r="V15" i="10"/>
  <c r="H58" i="10"/>
  <c r="V69" i="19"/>
  <c r="V69" i="10" s="1"/>
  <c r="V63" i="19"/>
  <c r="V63" i="10" s="1"/>
  <c r="T76" i="10"/>
  <c r="T77" i="10" s="1"/>
  <c r="L76" i="10"/>
  <c r="L77" i="10" s="1"/>
  <c r="D76" i="10"/>
  <c r="D77" i="10" s="1"/>
  <c r="B10" i="10"/>
  <c r="R8" i="10"/>
  <c r="R6" i="10"/>
  <c r="G5" i="10"/>
  <c r="R4" i="10"/>
  <c r="R53" i="10"/>
  <c r="V52" i="10"/>
  <c r="R50" i="10"/>
  <c r="O48" i="10"/>
  <c r="R34" i="10"/>
  <c r="R63" i="10"/>
  <c r="V57" i="10"/>
  <c r="V14" i="10"/>
  <c r="V18" i="10"/>
  <c r="V22" i="10"/>
  <c r="V26" i="10"/>
  <c r="V30" i="10"/>
  <c r="V34" i="10"/>
  <c r="V38" i="10"/>
  <c r="V42" i="10"/>
  <c r="V59" i="10"/>
  <c r="V17" i="10"/>
  <c r="V21" i="10"/>
  <c r="V25" i="10"/>
  <c r="V29" i="10"/>
  <c r="V33" i="10"/>
  <c r="V37" i="10"/>
  <c r="V41" i="10"/>
  <c r="V45" i="10"/>
  <c r="V62" i="10"/>
  <c r="V58" i="10"/>
  <c r="V20" i="10"/>
  <c r="V23" i="10"/>
  <c r="V46" i="10"/>
  <c r="V61" i="10"/>
  <c r="V32" i="10"/>
  <c r="V40" i="10"/>
  <c r="V60" i="10"/>
  <c r="V28" i="10"/>
  <c r="V31" i="10"/>
  <c r="V39" i="10"/>
  <c r="V49" i="10"/>
  <c r="V53" i="10"/>
  <c r="V6" i="10"/>
  <c r="V67" i="10"/>
  <c r="V16" i="10"/>
  <c r="V19" i="10"/>
  <c r="V3" i="10"/>
  <c r="V11" i="10"/>
  <c r="R17" i="10"/>
  <c r="S76" i="10"/>
  <c r="S77" i="10" s="1"/>
  <c r="K76" i="10"/>
  <c r="K77" i="10" s="1"/>
  <c r="C76" i="10"/>
  <c r="C77" i="10" s="1"/>
  <c r="B7" i="10"/>
  <c r="R11" i="10"/>
  <c r="R9" i="10"/>
  <c r="G8" i="10"/>
  <c r="O4" i="10"/>
  <c r="O2" i="10"/>
  <c r="O50" i="10"/>
  <c r="O41" i="10"/>
  <c r="R14" i="10"/>
  <c r="W76" i="10"/>
  <c r="W77" i="10" s="1"/>
  <c r="V64" i="19"/>
  <c r="V64" i="10" s="1"/>
  <c r="V68" i="19"/>
  <c r="V68" i="10" s="1"/>
  <c r="V66" i="19"/>
  <c r="V66" i="10" s="1"/>
  <c r="V65" i="19"/>
  <c r="V65" i="10" s="1"/>
  <c r="W66" i="19"/>
  <c r="W70" i="19"/>
  <c r="V62" i="19"/>
  <c r="V67" i="19"/>
  <c r="AK56" i="10"/>
  <c r="AK56" i="13" s="1"/>
  <c r="AL56" i="10"/>
  <c r="AL56" i="13" s="1"/>
  <c r="AO56" i="10"/>
  <c r="AO56" i="13" s="1"/>
  <c r="AN56" i="10"/>
  <c r="AN56" i="13" s="1"/>
  <c r="AM56" i="10"/>
  <c r="AM56" i="13" s="1"/>
  <c r="Z50" i="10" l="1"/>
  <c r="Z50" i="13" s="1"/>
  <c r="O47" i="12"/>
  <c r="Z51" i="10"/>
  <c r="Z51" i="13" s="1"/>
  <c r="Z49" i="10"/>
  <c r="Z49" i="13" s="1"/>
  <c r="G3" i="10"/>
  <c r="H10" i="10"/>
  <c r="H9" i="10"/>
  <c r="G61" i="10"/>
  <c r="I2" i="10"/>
  <c r="I51" i="10"/>
  <c r="I8" i="10"/>
  <c r="I11" i="10"/>
  <c r="I46" i="10"/>
  <c r="I16" i="10"/>
  <c r="I59" i="10"/>
  <c r="G10" i="10"/>
  <c r="H6" i="10"/>
  <c r="H60" i="10"/>
  <c r="G60" i="10"/>
  <c r="I30" i="10"/>
  <c r="I19" i="10"/>
  <c r="I38" i="10"/>
  <c r="I37" i="10"/>
  <c r="I4" i="10"/>
  <c r="I47" i="10"/>
  <c r="I97" i="13" s="1"/>
  <c r="I58" i="10"/>
  <c r="O11" i="10"/>
  <c r="O70" i="10"/>
  <c r="O5" i="10"/>
  <c r="O3" i="10"/>
  <c r="O7" i="10"/>
  <c r="O8" i="10"/>
  <c r="O10" i="10"/>
  <c r="H11" i="10"/>
  <c r="G4" i="10"/>
  <c r="H2" i="10"/>
  <c r="I53" i="10"/>
  <c r="I20" i="10"/>
  <c r="I61" i="10"/>
  <c r="I28" i="10"/>
  <c r="I27" i="10"/>
  <c r="I48" i="10"/>
  <c r="I39" i="10"/>
  <c r="H3" i="10"/>
  <c r="H57" i="10"/>
  <c r="G7" i="10"/>
  <c r="H5" i="10"/>
  <c r="G58" i="10"/>
  <c r="I43" i="10"/>
  <c r="I94" i="13" s="1"/>
  <c r="I35" i="10"/>
  <c r="I54" i="10"/>
  <c r="I18" i="10"/>
  <c r="I17" i="10"/>
  <c r="I40" i="10"/>
  <c r="I31" i="10"/>
  <c r="H8" i="10"/>
  <c r="G6" i="10"/>
  <c r="I33" i="10"/>
  <c r="I5" i="10"/>
  <c r="I22" i="10"/>
  <c r="I25" i="10"/>
  <c r="I45" i="10"/>
  <c r="I32" i="10"/>
  <c r="M68" i="10"/>
  <c r="M65" i="10"/>
  <c r="M59" i="10"/>
  <c r="M17" i="10"/>
  <c r="M21" i="10"/>
  <c r="M25" i="10"/>
  <c r="M29" i="10"/>
  <c r="M33" i="10"/>
  <c r="M88" i="13" s="1"/>
  <c r="M37" i="10"/>
  <c r="M41" i="10"/>
  <c r="M92" i="13" s="1"/>
  <c r="M45" i="10"/>
  <c r="M62" i="10"/>
  <c r="M70" i="10"/>
  <c r="M67" i="10"/>
  <c r="M61" i="10"/>
  <c r="M16" i="10"/>
  <c r="M20" i="10"/>
  <c r="M24" i="10"/>
  <c r="M28" i="10"/>
  <c r="M69" i="10"/>
  <c r="M15" i="10"/>
  <c r="M19" i="10"/>
  <c r="M23" i="10"/>
  <c r="M27" i="10"/>
  <c r="M31" i="10"/>
  <c r="M35" i="10"/>
  <c r="M39" i="10"/>
  <c r="M43" i="10"/>
  <c r="M22" i="10"/>
  <c r="M36" i="10"/>
  <c r="M44" i="10"/>
  <c r="M64" i="10"/>
  <c r="M49" i="10"/>
  <c r="M30" i="10"/>
  <c r="M3" i="10"/>
  <c r="M11" i="10"/>
  <c r="M66" i="10"/>
  <c r="M18" i="10"/>
  <c r="M34" i="10"/>
  <c r="M42" i="10"/>
  <c r="M93" i="13" s="1"/>
  <c r="M48" i="10"/>
  <c r="M98" i="13" s="1"/>
  <c r="M52" i="10"/>
  <c r="M101" i="13" s="1"/>
  <c r="M8" i="10"/>
  <c r="M63" i="10"/>
  <c r="M32" i="10"/>
  <c r="M51" i="10"/>
  <c r="M54" i="10"/>
  <c r="M38" i="10"/>
  <c r="M90" i="13" s="1"/>
  <c r="M57" i="10"/>
  <c r="M60" i="10"/>
  <c r="M26" i="10"/>
  <c r="M47" i="10"/>
  <c r="M53" i="10"/>
  <c r="M102" i="13" s="1"/>
  <c r="M4" i="10"/>
  <c r="M6" i="10"/>
  <c r="M14" i="10"/>
  <c r="M79" i="13" s="1"/>
  <c r="M58" i="10"/>
  <c r="M46" i="10"/>
  <c r="M2" i="10"/>
  <c r="M50" i="10"/>
  <c r="M40" i="10"/>
  <c r="M10" i="10"/>
  <c r="M5" i="10"/>
  <c r="M7" i="10"/>
  <c r="M9" i="10"/>
  <c r="K62" i="10"/>
  <c r="K70" i="10"/>
  <c r="K67" i="10"/>
  <c r="K61" i="10"/>
  <c r="K16" i="10"/>
  <c r="K20" i="10"/>
  <c r="K24" i="10"/>
  <c r="K28" i="10"/>
  <c r="K32" i="10"/>
  <c r="K36" i="10"/>
  <c r="K40" i="10"/>
  <c r="K44" i="10"/>
  <c r="K64" i="10"/>
  <c r="K58" i="10"/>
  <c r="K69" i="10"/>
  <c r="K15" i="10"/>
  <c r="K80" i="13" s="1"/>
  <c r="K19" i="10"/>
  <c r="K23" i="10"/>
  <c r="K27" i="10"/>
  <c r="K31" i="10"/>
  <c r="K63" i="10"/>
  <c r="K57" i="10"/>
  <c r="K14" i="10"/>
  <c r="K79" i="13" s="1"/>
  <c r="K18" i="10"/>
  <c r="K22" i="10"/>
  <c r="K26" i="10"/>
  <c r="K30" i="10"/>
  <c r="K34" i="10"/>
  <c r="K38" i="10"/>
  <c r="K42" i="10"/>
  <c r="K46" i="10"/>
  <c r="K96" i="13" s="1"/>
  <c r="K35" i="10"/>
  <c r="K43" i="10"/>
  <c r="K94" i="13" s="1"/>
  <c r="K48" i="10"/>
  <c r="K66" i="10"/>
  <c r="K21" i="10"/>
  <c r="K5" i="10"/>
  <c r="K33" i="10"/>
  <c r="K41" i="10"/>
  <c r="K92" i="13" s="1"/>
  <c r="K47" i="10"/>
  <c r="K97" i="13" s="1"/>
  <c r="K51" i="10"/>
  <c r="K100" i="13" s="1"/>
  <c r="K2" i="10"/>
  <c r="K10" i="10"/>
  <c r="K68" i="10"/>
  <c r="K60" i="10"/>
  <c r="K29" i="10"/>
  <c r="K39" i="10"/>
  <c r="K54" i="10"/>
  <c r="K103" i="13" s="1"/>
  <c r="K25" i="10"/>
  <c r="K84" i="13" s="1"/>
  <c r="K59" i="10"/>
  <c r="K45" i="10"/>
  <c r="K52" i="10"/>
  <c r="K101" i="13" s="1"/>
  <c r="K49" i="10"/>
  <c r="K37" i="10"/>
  <c r="K7" i="10"/>
  <c r="K9" i="10"/>
  <c r="K11" i="10"/>
  <c r="K65" i="10"/>
  <c r="K17" i="10"/>
  <c r="K53" i="10"/>
  <c r="K4" i="10"/>
  <c r="K6" i="10"/>
  <c r="K8" i="10"/>
  <c r="K50" i="10"/>
  <c r="K3" i="10"/>
  <c r="T65" i="10"/>
  <c r="T59" i="10"/>
  <c r="T17" i="10"/>
  <c r="T21" i="10"/>
  <c r="T25" i="10"/>
  <c r="T29" i="10"/>
  <c r="T33" i="10"/>
  <c r="T88" i="13" s="1"/>
  <c r="T37" i="10"/>
  <c r="T41" i="10"/>
  <c r="T45" i="10"/>
  <c r="T62" i="10"/>
  <c r="T70" i="10"/>
  <c r="T67" i="10"/>
  <c r="T61" i="10"/>
  <c r="T16" i="10"/>
  <c r="T20" i="10"/>
  <c r="T24" i="10"/>
  <c r="T28" i="10"/>
  <c r="T32" i="10"/>
  <c r="T36" i="10"/>
  <c r="T40" i="10"/>
  <c r="T44" i="10"/>
  <c r="T64" i="10"/>
  <c r="T58" i="10"/>
  <c r="T66" i="10"/>
  <c r="T60" i="10"/>
  <c r="T68" i="10"/>
  <c r="T14" i="10"/>
  <c r="T79" i="13" s="1"/>
  <c r="T49" i="10"/>
  <c r="T57" i="10"/>
  <c r="T31" i="10"/>
  <c r="T39" i="10"/>
  <c r="T19" i="10"/>
  <c r="T22" i="10"/>
  <c r="T38" i="10"/>
  <c r="T90" i="13" s="1"/>
  <c r="T48" i="10"/>
  <c r="T52" i="10"/>
  <c r="T8" i="10"/>
  <c r="T5" i="10"/>
  <c r="T69" i="10"/>
  <c r="T18" i="10"/>
  <c r="T15" i="10"/>
  <c r="T43" i="10"/>
  <c r="T94" i="13" s="1"/>
  <c r="T10" i="10"/>
  <c r="T63" i="10"/>
  <c r="T34" i="10"/>
  <c r="T7" i="10"/>
  <c r="T9" i="10"/>
  <c r="T11" i="10"/>
  <c r="T46" i="10"/>
  <c r="T23" i="10"/>
  <c r="T26" i="10"/>
  <c r="T50" i="10"/>
  <c r="T53" i="10"/>
  <c r="T102" i="13" s="1"/>
  <c r="T2" i="10"/>
  <c r="T4" i="10"/>
  <c r="T6" i="10"/>
  <c r="T42" i="10"/>
  <c r="T27" i="10"/>
  <c r="T30" i="10"/>
  <c r="T47" i="10"/>
  <c r="T3" i="10"/>
  <c r="T35" i="10"/>
  <c r="T51" i="10"/>
  <c r="T100" i="13" s="1"/>
  <c r="T54" i="10"/>
  <c r="W66" i="10"/>
  <c r="W60" i="10"/>
  <c r="W63" i="10"/>
  <c r="W57" i="10"/>
  <c r="W14" i="10"/>
  <c r="W79" i="13" s="1"/>
  <c r="W18" i="10"/>
  <c r="W22" i="10"/>
  <c r="W26" i="10"/>
  <c r="W30" i="10"/>
  <c r="W34" i="10"/>
  <c r="W38" i="10"/>
  <c r="W42" i="10"/>
  <c r="W68" i="10"/>
  <c r="W65" i="10"/>
  <c r="W59" i="10"/>
  <c r="W17" i="10"/>
  <c r="W21" i="10"/>
  <c r="W25" i="10"/>
  <c r="W29" i="10"/>
  <c r="W67" i="10"/>
  <c r="W61" i="10"/>
  <c r="W16" i="10"/>
  <c r="W20" i="10"/>
  <c r="W24" i="10"/>
  <c r="W28" i="10"/>
  <c r="W32" i="10"/>
  <c r="W36" i="10"/>
  <c r="W40" i="10"/>
  <c r="W44" i="10"/>
  <c r="W33" i="10"/>
  <c r="W41" i="10"/>
  <c r="W23" i="10"/>
  <c r="W46" i="10"/>
  <c r="W70" i="10"/>
  <c r="W58" i="10"/>
  <c r="W9" i="10"/>
  <c r="W62" i="10"/>
  <c r="W31" i="10"/>
  <c r="W87" i="13" s="1"/>
  <c r="W39" i="10"/>
  <c r="W49" i="10"/>
  <c r="W53" i="10"/>
  <c r="W6" i="10"/>
  <c r="W19" i="10"/>
  <c r="W45" i="10"/>
  <c r="W51" i="10"/>
  <c r="W100" i="13" s="1"/>
  <c r="W54" i="10"/>
  <c r="W103" i="13" s="1"/>
  <c r="W27" i="10"/>
  <c r="W2" i="10"/>
  <c r="AE2" i="10" s="1"/>
  <c r="AE56" i="10" s="1"/>
  <c r="AE56" i="13" s="1"/>
  <c r="W4" i="10"/>
  <c r="W35" i="10"/>
  <c r="W47" i="10"/>
  <c r="W52" i="10"/>
  <c r="W64" i="10"/>
  <c r="W15" i="10"/>
  <c r="W80" i="13" s="1"/>
  <c r="W43" i="10"/>
  <c r="W94" i="13" s="1"/>
  <c r="W11" i="10"/>
  <c r="W50" i="10"/>
  <c r="W37" i="10"/>
  <c r="W8" i="10"/>
  <c r="W10" i="10"/>
  <c r="W69" i="10"/>
  <c r="W48" i="10"/>
  <c r="W98" i="13" s="1"/>
  <c r="W3" i="10"/>
  <c r="W5" i="10"/>
  <c r="W7" i="10"/>
  <c r="S62" i="10"/>
  <c r="S70" i="10"/>
  <c r="S67" i="10"/>
  <c r="S61" i="10"/>
  <c r="S16" i="10"/>
  <c r="S81" i="13" s="1"/>
  <c r="S20" i="10"/>
  <c r="S24" i="10"/>
  <c r="S28" i="10"/>
  <c r="S32" i="10"/>
  <c r="S36" i="10"/>
  <c r="S40" i="10"/>
  <c r="S44" i="10"/>
  <c r="S64" i="10"/>
  <c r="S58" i="10"/>
  <c r="S69" i="10"/>
  <c r="S15" i="10"/>
  <c r="S19" i="10"/>
  <c r="S23" i="10"/>
  <c r="S27" i="10"/>
  <c r="S31" i="10"/>
  <c r="S63" i="10"/>
  <c r="S57" i="10"/>
  <c r="S14" i="10"/>
  <c r="S18" i="10"/>
  <c r="S22" i="10"/>
  <c r="S26" i="10"/>
  <c r="S30" i="10"/>
  <c r="S34" i="10"/>
  <c r="S38" i="10"/>
  <c r="S42" i="10"/>
  <c r="S93" i="13" s="1"/>
  <c r="S60" i="10"/>
  <c r="S17" i="10"/>
  <c r="S39" i="10"/>
  <c r="S65" i="10"/>
  <c r="S59" i="10"/>
  <c r="S48" i="10"/>
  <c r="S98" i="13" s="1"/>
  <c r="S25" i="10"/>
  <c r="S5" i="10"/>
  <c r="S37" i="10"/>
  <c r="S45" i="10"/>
  <c r="S47" i="10"/>
  <c r="S97" i="13" s="1"/>
  <c r="S51" i="10"/>
  <c r="S2" i="10"/>
  <c r="S10" i="10"/>
  <c r="S43" i="10"/>
  <c r="S52" i="10"/>
  <c r="S101" i="13" s="1"/>
  <c r="S66" i="10"/>
  <c r="S33" i="10"/>
  <c r="S7" i="10"/>
  <c r="S9" i="10"/>
  <c r="S11" i="10"/>
  <c r="S50" i="10"/>
  <c r="S53" i="10"/>
  <c r="S4" i="10"/>
  <c r="S6" i="10"/>
  <c r="S8" i="10"/>
  <c r="S68" i="10"/>
  <c r="S29" i="10"/>
  <c r="S41" i="10"/>
  <c r="S49" i="10"/>
  <c r="S3" i="10"/>
  <c r="S35" i="10"/>
  <c r="S54" i="10"/>
  <c r="S21" i="10"/>
  <c r="S46" i="10"/>
  <c r="S96" i="13" s="1"/>
  <c r="U68" i="10"/>
  <c r="U65" i="10"/>
  <c r="U59" i="10"/>
  <c r="U17" i="10"/>
  <c r="U21" i="10"/>
  <c r="U25" i="10"/>
  <c r="U84" i="13" s="1"/>
  <c r="U29" i="10"/>
  <c r="U33" i="10"/>
  <c r="U88" i="13" s="1"/>
  <c r="U37" i="10"/>
  <c r="U41" i="10"/>
  <c r="U45" i="10"/>
  <c r="U62" i="10"/>
  <c r="U70" i="10"/>
  <c r="U67" i="10"/>
  <c r="U61" i="10"/>
  <c r="U16" i="10"/>
  <c r="U20" i="10"/>
  <c r="U24" i="10"/>
  <c r="U28" i="10"/>
  <c r="U69" i="10"/>
  <c r="U15" i="10"/>
  <c r="U80" i="13" s="1"/>
  <c r="U19" i="10"/>
  <c r="U23" i="10"/>
  <c r="U27" i="10"/>
  <c r="U31" i="10"/>
  <c r="U35" i="10"/>
  <c r="U39" i="10"/>
  <c r="U43" i="10"/>
  <c r="U94" i="13" s="1"/>
  <c r="U63" i="10"/>
  <c r="U26" i="10"/>
  <c r="U32" i="10"/>
  <c r="U40" i="10"/>
  <c r="U58" i="10"/>
  <c r="U60" i="10"/>
  <c r="U14" i="10"/>
  <c r="U79" i="13" s="1"/>
  <c r="U49" i="10"/>
  <c r="U57" i="10"/>
  <c r="U3" i="10"/>
  <c r="U11" i="10"/>
  <c r="U22" i="10"/>
  <c r="U38" i="10"/>
  <c r="U48" i="10"/>
  <c r="U52" i="10"/>
  <c r="U101" i="13" s="1"/>
  <c r="U8" i="10"/>
  <c r="U64" i="10"/>
  <c r="U18" i="10"/>
  <c r="U36" i="10"/>
  <c r="U42" i="10"/>
  <c r="U93" i="13" s="1"/>
  <c r="U46" i="10"/>
  <c r="U10" i="10"/>
  <c r="U51" i="10"/>
  <c r="U100" i="13" s="1"/>
  <c r="U34" i="10"/>
  <c r="U5" i="10"/>
  <c r="U7" i="10"/>
  <c r="U9" i="10"/>
  <c r="U54" i="10"/>
  <c r="U103" i="13" s="1"/>
  <c r="U66" i="10"/>
  <c r="U44" i="10"/>
  <c r="U50" i="10"/>
  <c r="U53" i="10"/>
  <c r="U102" i="13" s="1"/>
  <c r="U2" i="10"/>
  <c r="U4" i="10"/>
  <c r="U6" i="10"/>
  <c r="U30" i="10"/>
  <c r="U47" i="10"/>
  <c r="F57" i="10"/>
  <c r="F59" i="10"/>
  <c r="F58" i="10"/>
  <c r="F6" i="10"/>
  <c r="F61" i="10"/>
  <c r="F3" i="10"/>
  <c r="F11" i="10"/>
  <c r="F60" i="10"/>
  <c r="F5" i="10"/>
  <c r="F7" i="10"/>
  <c r="F9" i="10"/>
  <c r="F2" i="10"/>
  <c r="F4" i="10"/>
  <c r="F8" i="10"/>
  <c r="F10" i="10"/>
  <c r="N63" i="10"/>
  <c r="N57" i="10"/>
  <c r="N14" i="10"/>
  <c r="N79" i="13" s="1"/>
  <c r="N18" i="10"/>
  <c r="N22" i="10"/>
  <c r="N26" i="10"/>
  <c r="N30" i="10"/>
  <c r="N34" i="10"/>
  <c r="N38" i="10"/>
  <c r="N42" i="10"/>
  <c r="N68" i="10"/>
  <c r="N65" i="10"/>
  <c r="N59" i="10"/>
  <c r="N17" i="10"/>
  <c r="N21" i="10"/>
  <c r="N25" i="10"/>
  <c r="N84" i="13" s="1"/>
  <c r="N29" i="10"/>
  <c r="N33" i="10"/>
  <c r="N37" i="10"/>
  <c r="N41" i="10"/>
  <c r="N45" i="10"/>
  <c r="N62" i="10"/>
  <c r="N70" i="10"/>
  <c r="N64" i="10"/>
  <c r="N58" i="10"/>
  <c r="N67" i="10"/>
  <c r="N16" i="10"/>
  <c r="N19" i="10"/>
  <c r="N46" i="10"/>
  <c r="N96" i="13" s="1"/>
  <c r="N50" i="10"/>
  <c r="N36" i="10"/>
  <c r="N44" i="10"/>
  <c r="N69" i="10"/>
  <c r="N24" i="10"/>
  <c r="N27" i="10"/>
  <c r="N35" i="10"/>
  <c r="N43" i="10"/>
  <c r="N94" i="13" s="1"/>
  <c r="N49" i="10"/>
  <c r="N53" i="10"/>
  <c r="N6" i="10"/>
  <c r="N15" i="10"/>
  <c r="N3" i="10"/>
  <c r="N11" i="10"/>
  <c r="N66" i="10"/>
  <c r="N48" i="10"/>
  <c r="N98" i="13" s="1"/>
  <c r="N7" i="10"/>
  <c r="N28" i="10"/>
  <c r="N31" i="10"/>
  <c r="N23" i="10"/>
  <c r="N32" i="10"/>
  <c r="N51" i="10"/>
  <c r="N100" i="13" s="1"/>
  <c r="N54" i="10"/>
  <c r="N103" i="13" s="1"/>
  <c r="N5" i="10"/>
  <c r="N9" i="10"/>
  <c r="N4" i="10"/>
  <c r="N60" i="10"/>
  <c r="N20" i="10"/>
  <c r="N39" i="10"/>
  <c r="N47" i="10"/>
  <c r="N97" i="13" s="1"/>
  <c r="N52" i="10"/>
  <c r="N2" i="10"/>
  <c r="N61" i="10"/>
  <c r="N40" i="10"/>
  <c r="N8" i="10"/>
  <c r="N10" i="10"/>
  <c r="D59" i="10"/>
  <c r="D61" i="10"/>
  <c r="D58" i="10"/>
  <c r="D60" i="10"/>
  <c r="D8" i="10"/>
  <c r="D57" i="10"/>
  <c r="D5" i="10"/>
  <c r="D3" i="10"/>
  <c r="D11" i="10"/>
  <c r="D2" i="10"/>
  <c r="D7" i="10"/>
  <c r="D9" i="10"/>
  <c r="D4" i="10"/>
  <c r="D6" i="10"/>
  <c r="D10" i="10"/>
  <c r="E59" i="10"/>
  <c r="E61" i="10"/>
  <c r="E3" i="10"/>
  <c r="E11" i="10"/>
  <c r="E58" i="10"/>
  <c r="E60" i="10"/>
  <c r="E8" i="10"/>
  <c r="E57" i="10"/>
  <c r="E2" i="10"/>
  <c r="E4" i="10"/>
  <c r="E6" i="10"/>
  <c r="E7" i="10"/>
  <c r="E10" i="10"/>
  <c r="E5" i="10"/>
  <c r="E9" i="10"/>
  <c r="C61" i="10"/>
  <c r="C58" i="10"/>
  <c r="C57" i="10"/>
  <c r="C60" i="10"/>
  <c r="C5" i="10"/>
  <c r="C59" i="10"/>
  <c r="C2" i="10"/>
  <c r="C10" i="10"/>
  <c r="C4" i="10"/>
  <c r="C6" i="10"/>
  <c r="C8" i="10"/>
  <c r="C3" i="10"/>
  <c r="C7" i="10"/>
  <c r="C9" i="10"/>
  <c r="C11" i="10"/>
  <c r="L65" i="10"/>
  <c r="L59" i="10"/>
  <c r="L17" i="10"/>
  <c r="L21" i="10"/>
  <c r="L25" i="10"/>
  <c r="L84" i="13" s="1"/>
  <c r="L29" i="10"/>
  <c r="L33" i="10"/>
  <c r="L88" i="13" s="1"/>
  <c r="L37" i="10"/>
  <c r="L41" i="10"/>
  <c r="L45" i="10"/>
  <c r="L62" i="10"/>
  <c r="L70" i="10"/>
  <c r="L67" i="10"/>
  <c r="L61" i="10"/>
  <c r="L16" i="10"/>
  <c r="L20" i="10"/>
  <c r="L24" i="10"/>
  <c r="L28" i="10"/>
  <c r="L32" i="10"/>
  <c r="L36" i="10"/>
  <c r="L40" i="10"/>
  <c r="L44" i="10"/>
  <c r="L64" i="10"/>
  <c r="L58" i="10"/>
  <c r="L66" i="10"/>
  <c r="L60" i="10"/>
  <c r="L49" i="10"/>
  <c r="L69" i="10"/>
  <c r="L27" i="10"/>
  <c r="L30" i="10"/>
  <c r="L35" i="10"/>
  <c r="L43" i="10"/>
  <c r="L94" i="13" s="1"/>
  <c r="L15" i="10"/>
  <c r="L80" i="13" s="1"/>
  <c r="L18" i="10"/>
  <c r="L34" i="10"/>
  <c r="L42" i="10"/>
  <c r="L48" i="10"/>
  <c r="L98" i="13" s="1"/>
  <c r="L52" i="10"/>
  <c r="L101" i="13" s="1"/>
  <c r="L8" i="10"/>
  <c r="L5" i="10"/>
  <c r="L63" i="10"/>
  <c r="L57" i="10"/>
  <c r="L23" i="10"/>
  <c r="L26" i="10"/>
  <c r="L47" i="10"/>
  <c r="L97" i="13" s="1"/>
  <c r="L31" i="10"/>
  <c r="L38" i="10"/>
  <c r="L90" i="13" s="1"/>
  <c r="L22" i="10"/>
  <c r="L68" i="10"/>
  <c r="L19" i="10"/>
  <c r="L39" i="10"/>
  <c r="L50" i="10"/>
  <c r="L3" i="10"/>
  <c r="L46" i="10"/>
  <c r="L14" i="10"/>
  <c r="L79" i="13" s="1"/>
  <c r="L10" i="10"/>
  <c r="L51" i="10"/>
  <c r="L54" i="10"/>
  <c r="L7" i="10"/>
  <c r="L9" i="10"/>
  <c r="L11" i="10"/>
  <c r="L53" i="10"/>
  <c r="L102" i="13" s="1"/>
  <c r="L2" i="10"/>
  <c r="L4" i="10"/>
  <c r="L6" i="10"/>
  <c r="J79" i="13"/>
  <c r="P79" i="13"/>
  <c r="Q79" i="13"/>
  <c r="R79" i="13"/>
  <c r="V79" i="13"/>
  <c r="M80" i="13"/>
  <c r="N80" i="13"/>
  <c r="Q80" i="13"/>
  <c r="S80" i="13"/>
  <c r="T80" i="13"/>
  <c r="V80" i="13"/>
  <c r="Q81" i="13"/>
  <c r="K81" i="13"/>
  <c r="J84" i="13"/>
  <c r="M84" i="13"/>
  <c r="O84" i="13"/>
  <c r="P84" i="13"/>
  <c r="Q84" i="13"/>
  <c r="T84" i="13"/>
  <c r="V84" i="13"/>
  <c r="S85" i="13"/>
  <c r="O87" i="13"/>
  <c r="J87" i="13"/>
  <c r="K88" i="13"/>
  <c r="N88" i="13"/>
  <c r="O88" i="13"/>
  <c r="P88" i="13"/>
  <c r="Q88" i="13"/>
  <c r="R88" i="13"/>
  <c r="V88" i="13"/>
  <c r="W88" i="13"/>
  <c r="J90" i="13"/>
  <c r="N90" i="13"/>
  <c r="P90" i="13"/>
  <c r="Q90" i="13"/>
  <c r="R90" i="13"/>
  <c r="S90" i="13"/>
  <c r="U90" i="13"/>
  <c r="V90" i="13"/>
  <c r="J91" i="13"/>
  <c r="R91" i="13"/>
  <c r="P91" i="13"/>
  <c r="L92" i="13"/>
  <c r="N92" i="13"/>
  <c r="O92" i="13"/>
  <c r="P92" i="13"/>
  <c r="Q92" i="13"/>
  <c r="R92" i="13"/>
  <c r="S92" i="13"/>
  <c r="T92" i="13"/>
  <c r="U92" i="13"/>
  <c r="V92" i="13"/>
  <c r="W92" i="13"/>
  <c r="J93" i="13"/>
  <c r="K93" i="13"/>
  <c r="L93" i="13"/>
  <c r="N93" i="13"/>
  <c r="O93" i="13"/>
  <c r="P93" i="13"/>
  <c r="Q93" i="13"/>
  <c r="T93" i="13"/>
  <c r="V93" i="13"/>
  <c r="M94" i="13"/>
  <c r="O94" i="13"/>
  <c r="P94" i="13"/>
  <c r="Q94" i="13"/>
  <c r="S94" i="13"/>
  <c r="V94" i="13"/>
  <c r="K95" i="13"/>
  <c r="J96" i="13"/>
  <c r="L96" i="13"/>
  <c r="M96" i="13"/>
  <c r="P96" i="13"/>
  <c r="Q96" i="13"/>
  <c r="T96" i="13"/>
  <c r="U96" i="13"/>
  <c r="V96" i="13"/>
  <c r="W96" i="13"/>
  <c r="M97" i="13"/>
  <c r="O97" i="13"/>
  <c r="Q97" i="13"/>
  <c r="R97" i="13"/>
  <c r="T97" i="13"/>
  <c r="U97" i="13"/>
  <c r="V97" i="13"/>
  <c r="J98" i="13"/>
  <c r="K98" i="13"/>
  <c r="O98" i="13"/>
  <c r="P98" i="13"/>
  <c r="Q98" i="13"/>
  <c r="T98" i="13"/>
  <c r="U98" i="13"/>
  <c r="V98" i="13"/>
  <c r="O99" i="13"/>
  <c r="R99" i="13"/>
  <c r="J99" i="13"/>
  <c r="W99" i="13"/>
  <c r="J100" i="13"/>
  <c r="L100" i="13"/>
  <c r="M100" i="13"/>
  <c r="P100" i="13"/>
  <c r="Q100" i="13"/>
  <c r="S100" i="13"/>
  <c r="V100" i="13"/>
  <c r="N101" i="13"/>
  <c r="O101" i="13"/>
  <c r="P101" i="13"/>
  <c r="Q101" i="13"/>
  <c r="R101" i="13"/>
  <c r="T101" i="13"/>
  <c r="V101" i="13"/>
  <c r="W101" i="13"/>
  <c r="K102" i="13"/>
  <c r="N102" i="13"/>
  <c r="O102" i="13"/>
  <c r="P102" i="13"/>
  <c r="Q102" i="13"/>
  <c r="R102" i="13"/>
  <c r="S102" i="13"/>
  <c r="V102" i="13"/>
  <c r="J103" i="13"/>
  <c r="L103" i="13"/>
  <c r="M103" i="13"/>
  <c r="O103" i="13"/>
  <c r="P103" i="13"/>
  <c r="Q103" i="13"/>
  <c r="R103" i="13"/>
  <c r="T103" i="13"/>
  <c r="V103" i="13"/>
  <c r="I80" i="13"/>
  <c r="I81" i="13"/>
  <c r="I88" i="13"/>
  <c r="I90" i="13"/>
  <c r="I92" i="13"/>
  <c r="I93" i="13"/>
  <c r="I96" i="13"/>
  <c r="I98" i="13"/>
  <c r="I100" i="13"/>
  <c r="I101" i="13"/>
  <c r="I102" i="13"/>
  <c r="P80" i="13"/>
  <c r="O80" i="13"/>
  <c r="I79" i="13"/>
  <c r="W93" i="13"/>
  <c r="J94" i="13"/>
  <c r="R94" i="13"/>
  <c r="W97" i="13"/>
  <c r="R98" i="13"/>
  <c r="R100" i="13"/>
  <c r="J102" i="13"/>
  <c r="V56" i="10"/>
  <c r="O79" i="13"/>
  <c r="S79" i="13"/>
  <c r="J80" i="13"/>
  <c r="R80" i="13"/>
  <c r="I84" i="13"/>
  <c r="R84" i="13"/>
  <c r="S84" i="13"/>
  <c r="W84" i="13"/>
  <c r="O86" i="13"/>
  <c r="R87" i="13"/>
  <c r="J88" i="13"/>
  <c r="S88" i="13"/>
  <c r="K90" i="13"/>
  <c r="O90" i="13"/>
  <c r="W90" i="13"/>
  <c r="J92" i="13"/>
  <c r="R93" i="13"/>
  <c r="J95" i="13"/>
  <c r="R95" i="13"/>
  <c r="O96" i="13"/>
  <c r="R96" i="13"/>
  <c r="J97" i="13"/>
  <c r="P97" i="13"/>
  <c r="O100" i="13"/>
  <c r="J101" i="13"/>
  <c r="W102" i="13"/>
  <c r="I103" i="13"/>
  <c r="S103" i="13"/>
  <c r="Z19" i="10" l="1"/>
  <c r="Z19" i="13" s="1"/>
  <c r="Z27" i="10"/>
  <c r="Z27" i="13" s="1"/>
  <c r="Z35" i="10"/>
  <c r="Z43" i="10"/>
  <c r="Z16" i="10"/>
  <c r="Z16" i="13" s="1"/>
  <c r="Z20" i="10"/>
  <c r="Z20" i="13" s="1"/>
  <c r="Z28" i="10"/>
  <c r="Z28" i="13" s="1"/>
  <c r="Z36" i="10"/>
  <c r="Z44" i="10"/>
  <c r="Z52" i="10"/>
  <c r="Z24" i="10"/>
  <c r="Z24" i="13" s="1"/>
  <c r="Z21" i="10"/>
  <c r="Z21" i="13" s="1"/>
  <c r="Z29" i="10"/>
  <c r="Z29" i="13" s="1"/>
  <c r="Z37" i="10"/>
  <c r="Z37" i="13" s="1"/>
  <c r="Z45" i="10"/>
  <c r="Z53" i="10"/>
  <c r="Z32" i="10"/>
  <c r="Z32" i="13" s="1"/>
  <c r="Z26" i="10"/>
  <c r="Z14" i="10"/>
  <c r="Z22" i="10"/>
  <c r="Z22" i="13" s="1"/>
  <c r="Z30" i="10"/>
  <c r="Z38" i="10"/>
  <c r="Z46" i="10"/>
  <c r="Z54" i="10"/>
  <c r="Z40" i="10"/>
  <c r="Z34" i="10"/>
  <c r="Z15" i="10"/>
  <c r="Z23" i="10"/>
  <c r="Z23" i="13" s="1"/>
  <c r="Z31" i="10"/>
  <c r="Z31" i="13" s="1"/>
  <c r="Z39" i="10"/>
  <c r="Z47" i="10"/>
  <c r="Z48" i="10"/>
  <c r="Z42" i="10"/>
  <c r="Z17" i="10"/>
  <c r="Z17" i="13" s="1"/>
  <c r="Z25" i="10"/>
  <c r="Z33" i="10"/>
  <c r="Z41" i="10"/>
  <c r="Z18" i="10"/>
  <c r="Z18" i="13" s="1"/>
  <c r="I85" i="13"/>
  <c r="W86" i="13"/>
  <c r="O95" i="13"/>
  <c r="K85" i="13"/>
  <c r="L95" i="13"/>
  <c r="U85" i="13"/>
  <c r="AJ2" i="10"/>
  <c r="AY2" i="10" s="1"/>
  <c r="AY2" i="13" s="1"/>
  <c r="S82" i="13"/>
  <c r="K82" i="13"/>
  <c r="M86" i="13"/>
  <c r="U86" i="13"/>
  <c r="W95" i="13"/>
  <c r="M85" i="13"/>
  <c r="AE5" i="10"/>
  <c r="Q99" i="13"/>
  <c r="P99" i="13"/>
  <c r="L81" i="13"/>
  <c r="I99" i="13"/>
  <c r="I91" i="13"/>
  <c r="N87" i="13"/>
  <c r="T95" i="13"/>
  <c r="U95" i="13"/>
  <c r="V95" i="13"/>
  <c r="N95" i="13"/>
  <c r="V91" i="13"/>
  <c r="N91" i="13"/>
  <c r="V89" i="13"/>
  <c r="N89" i="13"/>
  <c r="V87" i="13"/>
  <c r="V85" i="13"/>
  <c r="N85" i="13"/>
  <c r="V83" i="13"/>
  <c r="N83" i="13"/>
  <c r="V82" i="13"/>
  <c r="N82" i="13"/>
  <c r="M95" i="13"/>
  <c r="T81" i="13"/>
  <c r="S95" i="13"/>
  <c r="S91" i="13"/>
  <c r="K91" i="13"/>
  <c r="S89" i="13"/>
  <c r="K89" i="13"/>
  <c r="I82" i="13"/>
  <c r="I87" i="13"/>
  <c r="T99" i="13"/>
  <c r="L99" i="13"/>
  <c r="Q85" i="13"/>
  <c r="Q83" i="13"/>
  <c r="P95" i="13"/>
  <c r="P86" i="13"/>
  <c r="I89" i="13"/>
  <c r="I83" i="13"/>
  <c r="U99" i="13"/>
  <c r="M99" i="13"/>
  <c r="U89" i="13"/>
  <c r="Q87" i="13"/>
  <c r="U82" i="13"/>
  <c r="M82" i="13"/>
  <c r="M89" i="13"/>
  <c r="P83" i="13"/>
  <c r="S99" i="13"/>
  <c r="K99" i="13"/>
  <c r="Q91" i="13"/>
  <c r="Q89" i="13"/>
  <c r="V99" i="13"/>
  <c r="N99" i="13"/>
  <c r="Q95" i="13"/>
  <c r="I95" i="13"/>
  <c r="T91" i="13"/>
  <c r="L91" i="13"/>
  <c r="W89" i="13"/>
  <c r="O89" i="13"/>
  <c r="S87" i="13"/>
  <c r="K87" i="13"/>
  <c r="Q86" i="13"/>
  <c r="I86" i="13"/>
  <c r="W85" i="13"/>
  <c r="T89" i="13"/>
  <c r="L89" i="13"/>
  <c r="P87" i="13"/>
  <c r="V86" i="13"/>
  <c r="N86" i="13"/>
  <c r="T85" i="13"/>
  <c r="L85" i="13"/>
  <c r="W83" i="13"/>
  <c r="O83" i="13"/>
  <c r="T82" i="13"/>
  <c r="L82" i="13"/>
  <c r="R81" i="13"/>
  <c r="J81" i="13"/>
  <c r="W91" i="13"/>
  <c r="O91" i="13"/>
  <c r="R89" i="13"/>
  <c r="J89" i="13"/>
  <c r="T86" i="13"/>
  <c r="L86" i="13"/>
  <c r="R85" i="13"/>
  <c r="J85" i="13"/>
  <c r="U83" i="13"/>
  <c r="M83" i="13"/>
  <c r="R82" i="13"/>
  <c r="J82" i="13"/>
  <c r="P81" i="13"/>
  <c r="U87" i="13"/>
  <c r="M87" i="13"/>
  <c r="S86" i="13"/>
  <c r="K86" i="13"/>
  <c r="T83" i="13"/>
  <c r="L83" i="13"/>
  <c r="Q82" i="13"/>
  <c r="W81" i="13"/>
  <c r="O81" i="13"/>
  <c r="U91" i="13"/>
  <c r="M91" i="13"/>
  <c r="P89" i="13"/>
  <c r="T87" i="13"/>
  <c r="L87" i="13"/>
  <c r="R86" i="13"/>
  <c r="J86" i="13"/>
  <c r="P85" i="13"/>
  <c r="S83" i="13"/>
  <c r="K83" i="13"/>
  <c r="P82" i="13"/>
  <c r="V81" i="13"/>
  <c r="N81" i="13"/>
  <c r="O85" i="13"/>
  <c r="R83" i="13"/>
  <c r="J83" i="13"/>
  <c r="W82" i="13"/>
  <c r="O82" i="13"/>
  <c r="U81" i="13"/>
  <c r="M81" i="13"/>
  <c r="D100" i="12" l="1"/>
  <c r="Z53" i="13"/>
  <c r="Z36" i="13"/>
  <c r="D107" i="12"/>
  <c r="D117" i="12"/>
  <c r="Z47" i="13"/>
  <c r="Z46" i="13"/>
  <c r="D116" i="12"/>
  <c r="Z45" i="13"/>
  <c r="D115" i="12"/>
  <c r="D109" i="12"/>
  <c r="Z39" i="13"/>
  <c r="Z38" i="13"/>
  <c r="D108" i="12"/>
  <c r="Z30" i="13"/>
  <c r="D104" i="12"/>
  <c r="Z41" i="13"/>
  <c r="D111" i="12"/>
  <c r="Z43" i="13"/>
  <c r="D113" i="12"/>
  <c r="D102" i="12"/>
  <c r="Z25" i="13"/>
  <c r="D98" i="12"/>
  <c r="Z15" i="13"/>
  <c r="Z14" i="13"/>
  <c r="D97" i="12"/>
  <c r="D119" i="12"/>
  <c r="Z35" i="13"/>
  <c r="D101" i="12"/>
  <c r="Z54" i="13"/>
  <c r="Z33" i="13"/>
  <c r="D105" i="12"/>
  <c r="D106" i="12"/>
  <c r="Z34" i="13"/>
  <c r="D103" i="12"/>
  <c r="Z26" i="13"/>
  <c r="Z52" i="13"/>
  <c r="D99" i="12"/>
  <c r="D118" i="12"/>
  <c r="Z48" i="13"/>
  <c r="D112" i="12"/>
  <c r="Z42" i="13"/>
  <c r="D110" i="12"/>
  <c r="Z40" i="13"/>
  <c r="Z44" i="13"/>
  <c r="D114" i="12"/>
  <c r="AY56" i="10"/>
  <c r="AY56" i="13" s="1"/>
  <c r="AY4" i="10"/>
  <c r="AY5" i="10"/>
  <c r="AY5" i="13" s="1"/>
  <c r="AJ56" i="10"/>
  <c r="AJ4" i="10"/>
  <c r="BI2" i="10"/>
  <c r="AJ5" i="10"/>
  <c r="B13" i="10"/>
  <c r="B78" i="13" s="1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W56" i="10"/>
  <c r="C13" i="10"/>
  <c r="C78" i="13" s="1"/>
  <c r="D13" i="10"/>
  <c r="D78" i="13" s="1"/>
  <c r="E13" i="10"/>
  <c r="E78" i="13" s="1"/>
  <c r="F13" i="10"/>
  <c r="F78" i="13" s="1"/>
  <c r="G13" i="10"/>
  <c r="G78" i="13" s="1"/>
  <c r="H13" i="10"/>
  <c r="H78" i="13" s="1"/>
  <c r="I13" i="10"/>
  <c r="I78" i="13" s="1"/>
  <c r="J13" i="10"/>
  <c r="J78" i="13" s="1"/>
  <c r="K13" i="10"/>
  <c r="K78" i="13" s="1"/>
  <c r="L13" i="10"/>
  <c r="L78" i="13" s="1"/>
  <c r="M13" i="10"/>
  <c r="M78" i="13" s="1"/>
  <c r="N13" i="10"/>
  <c r="N78" i="13" s="1"/>
  <c r="O13" i="10"/>
  <c r="O78" i="13" s="1"/>
  <c r="P13" i="10"/>
  <c r="P78" i="13" s="1"/>
  <c r="Q13" i="10"/>
  <c r="Q78" i="13" s="1"/>
  <c r="R13" i="10"/>
  <c r="S13" i="10"/>
  <c r="T13" i="10"/>
  <c r="U13" i="10"/>
  <c r="U78" i="13" s="1"/>
  <c r="V13" i="10"/>
  <c r="V78" i="13" s="1"/>
  <c r="W13" i="10"/>
  <c r="BI4" i="10" l="1"/>
  <c r="BI4" i="13" s="1"/>
  <c r="BI2" i="13"/>
  <c r="AY13" i="10"/>
  <c r="AY13" i="13" s="1"/>
  <c r="AY4" i="13"/>
  <c r="D124" i="12"/>
  <c r="D126" i="12"/>
  <c r="D123" i="12"/>
  <c r="D125" i="12"/>
  <c r="L28" i="12"/>
  <c r="M28" i="12"/>
  <c r="BI56" i="10"/>
  <c r="BI56" i="13" s="1"/>
  <c r="Z3" i="10"/>
  <c r="Z3" i="13" s="1"/>
  <c r="R78" i="13"/>
  <c r="S78" i="13"/>
  <c r="W78" i="13"/>
  <c r="T78" i="13"/>
  <c r="N28" i="12" l="1"/>
  <c r="Z4" i="10" l="1"/>
  <c r="Z5" i="10"/>
  <c r="Z13" i="10" l="1"/>
  <c r="Z56" i="10"/>
  <c r="Z56" i="13" l="1"/>
  <c r="Z57" i="10"/>
  <c r="Z57" i="13" s="1"/>
  <c r="T28" i="12"/>
  <c r="Z61" i="10"/>
  <c r="Z70" i="10"/>
  <c r="Z69" i="10"/>
  <c r="Z60" i="10"/>
  <c r="Z58" i="10"/>
  <c r="Z62" i="10"/>
  <c r="Z68" i="10"/>
  <c r="Z66" i="10"/>
  <c r="Z63" i="10"/>
  <c r="Z59" i="10"/>
  <c r="Z64" i="10"/>
  <c r="Z67" i="10"/>
  <c r="Z65" i="10"/>
  <c r="J28" i="12"/>
  <c r="K28" i="12"/>
  <c r="J47" i="12"/>
  <c r="P82" i="12"/>
  <c r="P63" i="12"/>
  <c r="P56" i="12"/>
  <c r="P71" i="12"/>
  <c r="P64" i="12"/>
  <c r="P74" i="12"/>
  <c r="P52" i="12"/>
  <c r="P81" i="12"/>
  <c r="P54" i="12"/>
  <c r="P65" i="12"/>
  <c r="P75" i="12"/>
  <c r="P67" i="12"/>
  <c r="P50" i="12"/>
  <c r="P70" i="12"/>
  <c r="P78" i="12"/>
  <c r="P58" i="12"/>
  <c r="P49" i="12"/>
  <c r="P84" i="12"/>
  <c r="P73" i="12"/>
  <c r="P72" i="12"/>
  <c r="P68" i="12"/>
  <c r="P88" i="12"/>
  <c r="P48" i="12"/>
  <c r="P53" i="12"/>
  <c r="P57" i="12"/>
  <c r="P83" i="12"/>
  <c r="P77" i="12"/>
  <c r="P61" i="12"/>
  <c r="P59" i="12"/>
  <c r="P55" i="12"/>
  <c r="P79" i="12"/>
  <c r="P60" i="12"/>
  <c r="P62" i="12"/>
  <c r="P87" i="12"/>
  <c r="P66" i="12"/>
  <c r="P80" i="12"/>
  <c r="P76" i="12"/>
  <c r="P85" i="12"/>
  <c r="P69" i="12"/>
  <c r="P86" i="12"/>
  <c r="P51" i="12"/>
  <c r="Z78" i="13"/>
  <c r="X78" i="13"/>
  <c r="P31" i="12" l="1"/>
  <c r="P39" i="12"/>
  <c r="Z67" i="13"/>
  <c r="P32" i="12"/>
  <c r="Z60" i="13"/>
  <c r="P41" i="12"/>
  <c r="Z69" i="13"/>
  <c r="P42" i="12"/>
  <c r="Z70" i="13"/>
  <c r="P37" i="12"/>
  <c r="Z65" i="13"/>
  <c r="P30" i="12"/>
  <c r="Z59" i="13"/>
  <c r="P35" i="12"/>
  <c r="Z63" i="13"/>
  <c r="P33" i="12"/>
  <c r="Z61" i="13"/>
  <c r="P34" i="12"/>
  <c r="Z62" i="13"/>
  <c r="P29" i="12"/>
  <c r="Z58" i="13"/>
  <c r="P38" i="12"/>
  <c r="Z66" i="13"/>
  <c r="P36" i="12"/>
  <c r="Z64" i="13"/>
  <c r="P40" i="12"/>
  <c r="Z68" i="13"/>
  <c r="P47" i="12"/>
  <c r="AE14" i="10" s="1"/>
  <c r="T30" i="12"/>
  <c r="T35" i="12"/>
  <c r="T29" i="12"/>
  <c r="T38" i="12"/>
  <c r="T37" i="12"/>
  <c r="T31" i="12"/>
  <c r="T34" i="12"/>
  <c r="T36" i="12"/>
  <c r="T41" i="12"/>
  <c r="T39" i="12"/>
  <c r="T40" i="12"/>
  <c r="T32" i="12"/>
  <c r="T42" i="12"/>
  <c r="T33" i="12"/>
  <c r="Y78" i="13"/>
  <c r="E97" i="12" l="1"/>
  <c r="AE14" i="13"/>
  <c r="P28" i="12"/>
  <c r="AE57" i="10" s="1"/>
  <c r="AE57" i="13" s="1"/>
  <c r="AE15" i="10"/>
  <c r="AE23" i="10"/>
  <c r="AE23" i="13" s="1"/>
  <c r="AE31" i="10"/>
  <c r="AE31" i="13" s="1"/>
  <c r="AE39" i="10"/>
  <c r="AE47" i="10"/>
  <c r="AE16" i="10"/>
  <c r="AE16" i="13" s="1"/>
  <c r="AE24" i="10"/>
  <c r="AE24" i="13" s="1"/>
  <c r="AE32" i="10"/>
  <c r="AE32" i="13" s="1"/>
  <c r="AE40" i="10"/>
  <c r="AE48" i="10"/>
  <c r="AE53" i="10"/>
  <c r="AE30" i="10"/>
  <c r="AE17" i="10"/>
  <c r="AE17" i="13" s="1"/>
  <c r="AE25" i="10"/>
  <c r="AE33" i="10"/>
  <c r="AE41" i="10"/>
  <c r="AE49" i="10"/>
  <c r="AE49" i="13" s="1"/>
  <c r="AE22" i="10"/>
  <c r="AE22" i="13" s="1"/>
  <c r="AE46" i="10"/>
  <c r="AE18" i="10"/>
  <c r="AE18" i="13" s="1"/>
  <c r="AE26" i="10"/>
  <c r="AE34" i="10"/>
  <c r="AE42" i="10"/>
  <c r="AE50" i="10"/>
  <c r="AE50" i="13" s="1"/>
  <c r="AE19" i="10"/>
  <c r="AE19" i="13" s="1"/>
  <c r="AE27" i="10"/>
  <c r="AE27" i="13" s="1"/>
  <c r="AE35" i="10"/>
  <c r="AE43" i="10"/>
  <c r="AE51" i="10"/>
  <c r="AE51" i="13" s="1"/>
  <c r="AE29" i="10"/>
  <c r="AE29" i="13" s="1"/>
  <c r="AE45" i="10"/>
  <c r="AE20" i="10"/>
  <c r="AE20" i="13" s="1"/>
  <c r="AE28" i="10"/>
  <c r="AE28" i="13" s="1"/>
  <c r="AE36" i="10"/>
  <c r="AE44" i="10"/>
  <c r="AE52" i="10"/>
  <c r="AE21" i="10"/>
  <c r="AE21" i="13" s="1"/>
  <c r="AE37" i="10"/>
  <c r="AE37" i="13" s="1"/>
  <c r="AE38" i="10"/>
  <c r="AE54" i="10"/>
  <c r="AE58" i="10"/>
  <c r="AE58" i="13" s="1"/>
  <c r="AE67" i="10"/>
  <c r="AE67" i="13" s="1"/>
  <c r="AE64" i="10"/>
  <c r="AE65" i="10"/>
  <c r="AE61" i="10"/>
  <c r="AE61" i="13" s="1"/>
  <c r="AE69" i="10"/>
  <c r="AE69" i="13" s="1"/>
  <c r="AE70" i="10"/>
  <c r="AE63" i="10"/>
  <c r="AE62" i="10" l="1"/>
  <c r="AE62" i="13" s="1"/>
  <c r="AE59" i="10"/>
  <c r="AE59" i="13" s="1"/>
  <c r="AE66" i="10"/>
  <c r="AE6" i="10"/>
  <c r="AE6" i="13" s="1"/>
  <c r="AE68" i="10"/>
  <c r="Q31" i="12"/>
  <c r="AE60" i="10"/>
  <c r="AE60" i="13" s="1"/>
  <c r="Q41" i="12"/>
  <c r="AE43" i="13"/>
  <c r="E113" i="12"/>
  <c r="E104" i="12"/>
  <c r="AE30" i="13"/>
  <c r="E109" i="12"/>
  <c r="AE39" i="13"/>
  <c r="E103" i="12"/>
  <c r="AE26" i="13"/>
  <c r="AE47" i="13"/>
  <c r="E117" i="12"/>
  <c r="AE52" i="13"/>
  <c r="E99" i="12"/>
  <c r="AE44" i="13"/>
  <c r="E114" i="12"/>
  <c r="AE35" i="13"/>
  <c r="E119" i="12"/>
  <c r="E116" i="12"/>
  <c r="AE46" i="13"/>
  <c r="E100" i="12"/>
  <c r="AE53" i="13"/>
  <c r="AE34" i="13"/>
  <c r="E106" i="12"/>
  <c r="AE40" i="13"/>
  <c r="E110" i="12"/>
  <c r="AE15" i="13"/>
  <c r="E98" i="12"/>
  <c r="E102" i="12"/>
  <c r="AE25" i="13"/>
  <c r="AE36" i="13"/>
  <c r="E107" i="12"/>
  <c r="AE48" i="13"/>
  <c r="E118" i="12"/>
  <c r="E101" i="12"/>
  <c r="AE54" i="13"/>
  <c r="E111" i="12"/>
  <c r="AE41" i="13"/>
  <c r="E108" i="12"/>
  <c r="AE38" i="13"/>
  <c r="AE45" i="13"/>
  <c r="E115" i="12"/>
  <c r="E112" i="12"/>
  <c r="AE42" i="13"/>
  <c r="E105" i="12"/>
  <c r="AE33" i="13"/>
  <c r="Q36" i="12"/>
  <c r="AE64" i="13"/>
  <c r="Q37" i="12"/>
  <c r="AE65" i="13"/>
  <c r="Q39" i="12"/>
  <c r="Q40" i="12"/>
  <c r="AE68" i="13"/>
  <c r="Q35" i="12"/>
  <c r="AE63" i="13"/>
  <c r="Q38" i="12"/>
  <c r="AE66" i="13"/>
  <c r="Q42" i="12"/>
  <c r="AE70" i="13"/>
  <c r="Q34" i="12"/>
  <c r="AE11" i="10"/>
  <c r="AE11" i="13" s="1"/>
  <c r="AE10" i="10"/>
  <c r="AE10" i="13" s="1"/>
  <c r="Q33" i="12"/>
  <c r="AE7" i="10"/>
  <c r="AE7" i="13" s="1"/>
  <c r="Q29" i="12"/>
  <c r="AE9" i="10"/>
  <c r="AE9" i="13" s="1"/>
  <c r="Q32" i="12"/>
  <c r="AE8" i="10"/>
  <c r="AE8" i="13" s="1"/>
  <c r="Q30" i="12"/>
  <c r="E123" i="12" l="1"/>
  <c r="E124" i="12"/>
  <c r="E126" i="12"/>
  <c r="E125" i="12"/>
  <c r="Q28" i="12"/>
  <c r="AJ57" i="10" s="1"/>
  <c r="AJ57" i="13" s="1"/>
  <c r="AJ58" i="10" l="1"/>
  <c r="AJ66" i="10"/>
  <c r="AJ64" i="10"/>
  <c r="AJ65" i="10"/>
  <c r="AJ59" i="10"/>
  <c r="AJ67" i="10"/>
  <c r="AJ60" i="10"/>
  <c r="AJ68" i="10"/>
  <c r="AJ61" i="10"/>
  <c r="AJ69" i="10"/>
  <c r="AJ62" i="10"/>
  <c r="AJ62" i="13" s="1"/>
  <c r="AJ70" i="10"/>
  <c r="AJ70" i="13" s="1"/>
  <c r="AJ63" i="10"/>
  <c r="R31" i="12"/>
  <c r="R34" i="12"/>
  <c r="AA78" i="13"/>
  <c r="R42" i="12" l="1"/>
  <c r="R40" i="12"/>
  <c r="AJ68" i="13"/>
  <c r="R35" i="12"/>
  <c r="AJ63" i="13"/>
  <c r="R37" i="12"/>
  <c r="AJ65" i="13"/>
  <c r="R36" i="12"/>
  <c r="AJ64" i="13"/>
  <c r="R39" i="12"/>
  <c r="AJ67" i="13"/>
  <c r="R30" i="12"/>
  <c r="AJ59" i="13"/>
  <c r="R41" i="12"/>
  <c r="AJ69" i="13"/>
  <c r="R38" i="12"/>
  <c r="AJ66" i="13"/>
  <c r="R32" i="12"/>
  <c r="AJ60" i="13"/>
  <c r="R33" i="12"/>
  <c r="AJ61" i="13"/>
  <c r="R29" i="12"/>
  <c r="AJ58" i="13"/>
  <c r="AB78" i="13"/>
  <c r="R28" i="12" l="1"/>
  <c r="AY57" i="10" s="1"/>
  <c r="AY57" i="13" s="1"/>
  <c r="AY58" i="10"/>
  <c r="AY58" i="13" s="1"/>
  <c r="AY66" i="10"/>
  <c r="AY66" i="13" s="1"/>
  <c r="AY69" i="10"/>
  <c r="AY69" i="13" s="1"/>
  <c r="AY59" i="10"/>
  <c r="AY59" i="13" s="1"/>
  <c r="AY67" i="10"/>
  <c r="AY61" i="10"/>
  <c r="AY61" i="13" s="1"/>
  <c r="AY70" i="10"/>
  <c r="AY60" i="10"/>
  <c r="AY60" i="13" s="1"/>
  <c r="AY68" i="10"/>
  <c r="AY68" i="13" s="1"/>
  <c r="AY64" i="10"/>
  <c r="AY64" i="13" s="1"/>
  <c r="AY62" i="10"/>
  <c r="AY62" i="13" s="1"/>
  <c r="AY65" i="10"/>
  <c r="AY63" i="10"/>
  <c r="S36" i="12"/>
  <c r="AY6" i="10"/>
  <c r="AY6" i="13" s="1"/>
  <c r="S31" i="12"/>
  <c r="AC78" i="13"/>
  <c r="S41" i="12" l="1"/>
  <c r="S38" i="12"/>
  <c r="S40" i="12"/>
  <c r="S42" i="12"/>
  <c r="AY70" i="13"/>
  <c r="S39" i="12"/>
  <c r="AY67" i="13"/>
  <c r="S35" i="12"/>
  <c r="AY63" i="13"/>
  <c r="S37" i="12"/>
  <c r="AY65" i="13"/>
  <c r="AY7" i="10"/>
  <c r="AY7" i="13" s="1"/>
  <c r="S29" i="12"/>
  <c r="S34" i="12"/>
  <c r="AY11" i="10"/>
  <c r="AY11" i="13" s="1"/>
  <c r="S33" i="12"/>
  <c r="AY10" i="10"/>
  <c r="AY10" i="13" s="1"/>
  <c r="AY9" i="10"/>
  <c r="AY9" i="13" s="1"/>
  <c r="S32" i="12"/>
  <c r="AY8" i="10"/>
  <c r="AY8" i="13" s="1"/>
  <c r="S30" i="12"/>
  <c r="AD78" i="13"/>
  <c r="S28" i="12" l="1"/>
  <c r="Y102" i="13"/>
  <c r="Y96" i="13"/>
  <c r="Y100" i="13"/>
  <c r="Y103" i="13"/>
  <c r="Y80" i="13"/>
  <c r="Y94" i="13"/>
  <c r="Y84" i="13"/>
  <c r="Y88" i="13"/>
  <c r="Y97" i="13"/>
  <c r="Y89" i="13"/>
  <c r="Y86" i="13"/>
  <c r="Y92" i="13"/>
  <c r="Y95" i="13"/>
  <c r="Y79" i="13"/>
  <c r="Y101" i="13"/>
  <c r="Y90" i="13"/>
  <c r="Y93" i="13"/>
  <c r="Y98" i="13"/>
  <c r="X88" i="13"/>
  <c r="X93" i="13"/>
  <c r="X95" i="13"/>
  <c r="X102" i="13"/>
  <c r="X79" i="13"/>
  <c r="X87" i="13"/>
  <c r="X96" i="13"/>
  <c r="X101" i="13"/>
  <c r="X94" i="13"/>
  <c r="X92" i="13"/>
  <c r="X84" i="13"/>
  <c r="X100" i="13"/>
  <c r="X98" i="13"/>
  <c r="X81" i="13"/>
  <c r="X99" i="13"/>
  <c r="X97" i="13"/>
  <c r="X90" i="13"/>
  <c r="X82" i="13"/>
  <c r="X103" i="13"/>
  <c r="X80" i="13"/>
  <c r="BI58" i="10" l="1"/>
  <c r="BI58" i="13" s="1"/>
  <c r="BI66" i="10"/>
  <c r="BI66" i="13" s="1"/>
  <c r="BI59" i="10"/>
  <c r="BI59" i="13" s="1"/>
  <c r="BI67" i="10"/>
  <c r="BI67" i="13" s="1"/>
  <c r="BI60" i="10"/>
  <c r="BI60" i="13" s="1"/>
  <c r="BI68" i="10"/>
  <c r="BI68" i="13" s="1"/>
  <c r="BI70" i="10"/>
  <c r="BI70" i="13" s="1"/>
  <c r="BI61" i="10"/>
  <c r="BI61" i="13" s="1"/>
  <c r="BI69" i="10"/>
  <c r="BI69" i="13" s="1"/>
  <c r="BI62" i="10"/>
  <c r="BI62" i="13" s="1"/>
  <c r="BI64" i="10"/>
  <c r="BI64" i="13" s="1"/>
  <c r="BI63" i="10"/>
  <c r="BI63" i="13" s="1"/>
  <c r="BI65" i="10"/>
  <c r="BI65" i="13" s="1"/>
  <c r="BI57" i="10"/>
  <c r="BI57" i="13" s="1"/>
  <c r="AH80" i="13"/>
  <c r="AI97" i="13"/>
  <c r="AC96" i="13"/>
  <c r="AD90" i="13"/>
  <c r="AA90" i="13"/>
  <c r="AD97" i="13"/>
  <c r="AD81" i="13"/>
  <c r="AA88" i="13"/>
  <c r="AA101" i="13"/>
  <c r="AA96" i="13"/>
  <c r="AB98" i="13"/>
  <c r="AB80" i="13"/>
  <c r="AB100" i="13"/>
  <c r="AH96" i="13"/>
  <c r="AH79" i="13"/>
  <c r="AH92" i="13"/>
  <c r="AI79" i="13"/>
  <c r="AG97" i="13"/>
  <c r="AG102" i="13"/>
  <c r="AC85" i="13"/>
  <c r="AC79" i="13"/>
  <c r="Z102" i="13"/>
  <c r="Z79" i="13"/>
  <c r="AF94" i="13"/>
  <c r="AF79" i="13"/>
  <c r="AH101" i="13"/>
  <c r="AC103" i="13"/>
  <c r="AF100" i="13"/>
  <c r="AD102" i="13"/>
  <c r="AD84" i="13"/>
  <c r="AD82" i="13"/>
  <c r="AA98" i="13"/>
  <c r="AA102" i="13"/>
  <c r="AA94" i="13"/>
  <c r="AB102" i="13"/>
  <c r="AB82" i="13"/>
  <c r="AB84" i="13"/>
  <c r="AH102" i="13"/>
  <c r="AH81" i="13"/>
  <c r="AH93" i="13"/>
  <c r="AI95" i="13"/>
  <c r="AI96" i="13"/>
  <c r="AG98" i="13"/>
  <c r="AG79" i="13"/>
  <c r="AG80" i="13"/>
  <c r="AG94" i="13"/>
  <c r="AC93" i="13"/>
  <c r="AC102" i="13"/>
  <c r="AC95" i="13"/>
  <c r="Z97" i="13"/>
  <c r="Z83" i="13"/>
  <c r="Z88" i="13"/>
  <c r="Z103" i="13"/>
  <c r="AF96" i="13"/>
  <c r="AF97" i="13"/>
  <c r="AF89" i="13"/>
  <c r="AB92" i="13"/>
  <c r="AH88" i="13"/>
  <c r="AF99" i="13"/>
  <c r="AB103" i="13"/>
  <c r="AA93" i="13"/>
  <c r="AA97" i="13"/>
  <c r="AB90" i="13"/>
  <c r="AB79" i="13"/>
  <c r="AH98" i="13"/>
  <c r="AH103" i="13"/>
  <c r="AH84" i="13"/>
  <c r="AI99" i="13"/>
  <c r="AI84" i="13"/>
  <c r="AG100" i="13"/>
  <c r="AG93" i="13"/>
  <c r="AC82" i="13"/>
  <c r="AC81" i="13"/>
  <c r="Z99" i="13"/>
  <c r="Z95" i="13"/>
  <c r="AF101" i="13"/>
  <c r="AF93" i="13"/>
  <c r="AF102" i="13"/>
  <c r="AF88" i="13"/>
  <c r="AD96" i="13"/>
  <c r="AH100" i="13"/>
  <c r="AC94" i="13"/>
  <c r="Z80" i="13"/>
  <c r="AF90" i="13"/>
  <c r="AD88" i="13"/>
  <c r="AD100" i="13"/>
  <c r="AA92" i="13"/>
  <c r="AB93" i="13"/>
  <c r="AG88" i="13"/>
  <c r="Z98" i="13"/>
  <c r="Z93" i="13"/>
  <c r="Z92" i="13"/>
  <c r="AD101" i="13"/>
  <c r="AD92" i="13"/>
  <c r="AD95" i="13"/>
  <c r="AD80" i="13"/>
  <c r="AD79" i="13"/>
  <c r="AD93" i="13"/>
  <c r="AA87" i="13"/>
  <c r="AB96" i="13"/>
  <c r="AB88" i="13"/>
  <c r="AH97" i="13"/>
  <c r="AI93" i="13"/>
  <c r="AI92" i="13"/>
  <c r="AG103" i="13"/>
  <c r="AC97" i="13"/>
  <c r="AC98" i="13"/>
  <c r="AC86" i="13"/>
  <c r="Z91" i="13"/>
  <c r="Z86" i="13"/>
  <c r="Z90" i="13"/>
  <c r="AF84" i="13"/>
  <c r="AA100" i="13"/>
  <c r="AA95" i="13"/>
  <c r="AB86" i="13"/>
  <c r="AI101" i="13"/>
  <c r="AG85" i="13"/>
  <c r="AD86" i="13"/>
  <c r="AA79" i="13"/>
  <c r="AH94" i="13"/>
  <c r="AI98" i="13"/>
  <c r="AG96" i="13"/>
  <c r="AC88" i="13"/>
  <c r="Z96" i="13"/>
  <c r="AA86" i="13"/>
  <c r="AB94" i="13"/>
  <c r="AI88" i="13"/>
  <c r="AI81" i="13"/>
  <c r="AI102" i="13"/>
  <c r="AG84" i="13"/>
  <c r="AC90" i="13"/>
  <c r="AC99" i="13"/>
  <c r="Z94" i="13"/>
  <c r="Z101" i="13"/>
  <c r="AF92" i="13"/>
  <c r="AF80" i="13"/>
  <c r="AG101" i="13"/>
  <c r="AC84" i="13"/>
  <c r="AI94" i="13"/>
  <c r="AC80" i="13"/>
  <c r="AD94" i="13"/>
  <c r="AA80" i="13"/>
  <c r="AB81" i="13"/>
  <c r="AF78" i="13"/>
  <c r="AD103" i="13"/>
  <c r="AD98" i="13"/>
  <c r="AA84" i="13"/>
  <c r="AA103" i="13"/>
  <c r="AB101" i="13"/>
  <c r="AB97" i="13"/>
  <c r="AH90" i="13"/>
  <c r="AI80" i="13"/>
  <c r="AI103" i="13"/>
  <c r="AI90" i="13"/>
  <c r="AI100" i="13"/>
  <c r="AG95" i="13"/>
  <c r="AG90" i="13"/>
  <c r="AG92" i="13"/>
  <c r="AC100" i="13"/>
  <c r="AC101" i="13"/>
  <c r="AC92" i="13"/>
  <c r="Z84" i="13"/>
  <c r="Z100" i="13"/>
  <c r="AF98" i="13"/>
  <c r="AF103" i="13"/>
  <c r="X83" i="13"/>
  <c r="Y87" i="13"/>
  <c r="AB99" i="13"/>
  <c r="AF86" i="13"/>
  <c r="AG83" i="13"/>
  <c r="AC89" i="13"/>
  <c r="X91" i="13"/>
  <c r="AB85" i="13"/>
  <c r="AH89" i="13"/>
  <c r="AH82" i="13"/>
  <c r="AI82" i="13"/>
  <c r="AG81" i="13"/>
  <c r="AG99" i="13"/>
  <c r="AC83" i="13"/>
  <c r="Z87" i="13"/>
  <c r="AF83" i="13"/>
  <c r="AD87" i="13"/>
  <c r="Y81" i="13"/>
  <c r="AD89" i="13"/>
  <c r="AA91" i="13"/>
  <c r="AH99" i="13"/>
  <c r="Z82" i="13"/>
  <c r="Y85" i="13"/>
  <c r="AA89" i="13"/>
  <c r="AA82" i="13"/>
  <c r="AB83" i="13"/>
  <c r="AI86" i="13"/>
  <c r="AB89" i="13"/>
  <c r="AH91" i="13"/>
  <c r="AG82" i="13"/>
  <c r="AD91" i="13"/>
  <c r="Y82" i="13"/>
  <c r="Y99" i="13"/>
  <c r="Y91" i="13"/>
  <c r="AA83" i="13"/>
  <c r="AA99" i="13"/>
  <c r="AB91" i="13"/>
  <c r="AH95" i="13"/>
  <c r="AI87" i="13"/>
  <c r="AG86" i="13"/>
  <c r="AF85" i="13"/>
  <c r="AF91" i="13"/>
  <c r="X89" i="13"/>
  <c r="X86" i="13"/>
  <c r="AD99" i="13"/>
  <c r="Y83" i="13"/>
  <c r="AA85" i="13"/>
  <c r="AB95" i="13"/>
  <c r="AH86" i="13"/>
  <c r="AH83" i="13"/>
  <c r="AI83" i="13"/>
  <c r="AG87" i="13"/>
  <c r="AG91" i="13"/>
  <c r="Z85" i="13"/>
  <c r="AF95" i="13"/>
  <c r="AI91" i="13"/>
  <c r="AI85" i="13"/>
  <c r="Z81" i="13"/>
  <c r="AC91" i="13"/>
  <c r="X85" i="13"/>
  <c r="AD85" i="13"/>
  <c r="AD83" i="13"/>
  <c r="AA81" i="13"/>
  <c r="AB87" i="13"/>
  <c r="AH87" i="13"/>
  <c r="AH85" i="13"/>
  <c r="AI89" i="13"/>
  <c r="AG89" i="13"/>
  <c r="AC87" i="13"/>
  <c r="Z89" i="13"/>
  <c r="AF81" i="13"/>
  <c r="AF87" i="13"/>
  <c r="AF82" i="13"/>
  <c r="AG78" i="13" l="1"/>
  <c r="AH78" i="13" l="1"/>
  <c r="AI78" i="13" l="1"/>
  <c r="AK78" i="13" l="1"/>
  <c r="AL78" i="13" l="1"/>
  <c r="AM78" i="13" l="1"/>
  <c r="AN78" i="13" l="1"/>
  <c r="AO78" i="13" l="1"/>
  <c r="AP78" i="13" l="1"/>
  <c r="AQ78" i="13" l="1"/>
  <c r="AR78" i="13" l="1"/>
  <c r="BI5" i="10"/>
  <c r="BI5" i="13" s="1"/>
  <c r="AS78" i="13" l="1"/>
  <c r="AT78" i="13" l="1"/>
  <c r="AU78" i="13" l="1"/>
  <c r="AZ78" i="13"/>
  <c r="BC78" i="13" l="1"/>
  <c r="BB78" i="13"/>
  <c r="BA78" i="13"/>
  <c r="AV78" i="13"/>
  <c r="BD78" i="13" l="1"/>
  <c r="AW78" i="13"/>
  <c r="BE78" i="13" l="1"/>
  <c r="AX78" i="13"/>
  <c r="AZ102" i="13" l="1"/>
  <c r="AZ97" i="13"/>
  <c r="AZ101" i="13"/>
  <c r="AZ98" i="13"/>
  <c r="AZ96" i="13"/>
  <c r="AZ100" i="13"/>
  <c r="AZ99" i="13"/>
  <c r="AZ84" i="13"/>
  <c r="AZ80" i="13"/>
  <c r="AZ79" i="13"/>
  <c r="AZ94" i="13"/>
  <c r="AZ92" i="13"/>
  <c r="AZ93" i="13"/>
  <c r="BF78" i="13"/>
  <c r="AZ90" i="13"/>
  <c r="AZ86" i="13" l="1"/>
  <c r="AZ91" i="13"/>
  <c r="AZ81" i="13"/>
  <c r="AZ95" i="13"/>
  <c r="AZ82" i="13"/>
  <c r="BE90" i="13"/>
  <c r="BB99" i="13"/>
  <c r="AK103" i="13"/>
  <c r="BA93" i="13"/>
  <c r="BE93" i="13"/>
  <c r="BE79" i="13"/>
  <c r="BE100" i="13"/>
  <c r="BB101" i="13"/>
  <c r="BE91" i="13"/>
  <c r="BE102" i="13"/>
  <c r="BE101" i="13"/>
  <c r="BB97" i="13"/>
  <c r="BB94" i="13"/>
  <c r="BF99" i="13"/>
  <c r="BF100" i="13"/>
  <c r="BF79" i="13"/>
  <c r="AL92" i="13"/>
  <c r="AL84" i="13"/>
  <c r="AL100" i="13"/>
  <c r="AK101" i="13"/>
  <c r="AK81" i="13"/>
  <c r="AK88" i="13"/>
  <c r="AR102" i="13"/>
  <c r="AR96" i="13"/>
  <c r="AR80" i="13"/>
  <c r="BG93" i="13"/>
  <c r="AM98" i="13"/>
  <c r="AM88" i="13"/>
  <c r="AN97" i="13"/>
  <c r="AV98" i="13"/>
  <c r="AV92" i="13"/>
  <c r="AO96" i="13"/>
  <c r="AO97" i="13"/>
  <c r="AO88" i="13"/>
  <c r="AS90" i="13"/>
  <c r="AS103" i="13"/>
  <c r="AW87" i="13"/>
  <c r="AW88" i="13"/>
  <c r="AW98" i="13"/>
  <c r="AX100" i="13"/>
  <c r="AX88" i="13"/>
  <c r="AX80" i="13"/>
  <c r="AU84" i="13"/>
  <c r="BD92" i="13"/>
  <c r="BD103" i="13"/>
  <c r="AP97" i="13"/>
  <c r="BC85" i="13"/>
  <c r="BC96" i="13"/>
  <c r="BC90" i="13"/>
  <c r="BC93" i="13"/>
  <c r="BH81" i="13"/>
  <c r="BH79" i="13"/>
  <c r="BA101" i="13"/>
  <c r="BA91" i="13"/>
  <c r="BA97" i="13"/>
  <c r="BA103" i="13"/>
  <c r="AT98" i="13"/>
  <c r="AT84" i="13"/>
  <c r="AT88" i="13"/>
  <c r="AT80" i="13"/>
  <c r="AZ103" i="13"/>
  <c r="BH92" i="13"/>
  <c r="AT97" i="13"/>
  <c r="AT79" i="13"/>
  <c r="AT92" i="13"/>
  <c r="AQ103" i="13"/>
  <c r="AQ90" i="13"/>
  <c r="BE80" i="13"/>
  <c r="BB96" i="13"/>
  <c r="BB93" i="13"/>
  <c r="AL96" i="13"/>
  <c r="AK97" i="13"/>
  <c r="BG94" i="13"/>
  <c r="AM80" i="13"/>
  <c r="AN87" i="13"/>
  <c r="AN103" i="13"/>
  <c r="AO90" i="13"/>
  <c r="AW79" i="13"/>
  <c r="AX79" i="13"/>
  <c r="AX102" i="13"/>
  <c r="AP90" i="13"/>
  <c r="AP99" i="13"/>
  <c r="AP103" i="13"/>
  <c r="BH90" i="13"/>
  <c r="BH93" i="13"/>
  <c r="AT96" i="13"/>
  <c r="AQ88" i="13"/>
  <c r="AQ93" i="13"/>
  <c r="AQ98" i="13"/>
  <c r="AZ83" i="13"/>
  <c r="BE83" i="13"/>
  <c r="BE99" i="13"/>
  <c r="BE96" i="13"/>
  <c r="BB89" i="13"/>
  <c r="BB102" i="13"/>
  <c r="BB80" i="13"/>
  <c r="BF101" i="13"/>
  <c r="BF90" i="13"/>
  <c r="BF82" i="13"/>
  <c r="AK91" i="13"/>
  <c r="AK100" i="13"/>
  <c r="AR87" i="13"/>
  <c r="AR79" i="13"/>
  <c r="BG102" i="13"/>
  <c r="BG101" i="13"/>
  <c r="BG83" i="13"/>
  <c r="BG79" i="13"/>
  <c r="AM91" i="13"/>
  <c r="AM90" i="13"/>
  <c r="AM84" i="13"/>
  <c r="AM83" i="13"/>
  <c r="AN98" i="13"/>
  <c r="AN88" i="13"/>
  <c r="AN80" i="13"/>
  <c r="AV101" i="13"/>
  <c r="AV94" i="13"/>
  <c r="AV93" i="13"/>
  <c r="AO89" i="13"/>
  <c r="AO81" i="13"/>
  <c r="AO103" i="13"/>
  <c r="AS101" i="13"/>
  <c r="AS87" i="13"/>
  <c r="AS96" i="13"/>
  <c r="AS85" i="13"/>
  <c r="AW81" i="13"/>
  <c r="AX89" i="13"/>
  <c r="AX82" i="13"/>
  <c r="AU87" i="13"/>
  <c r="AU86" i="13"/>
  <c r="BD86" i="13"/>
  <c r="BD95" i="13"/>
  <c r="BD96" i="13"/>
  <c r="BD80" i="13"/>
  <c r="AP96" i="13"/>
  <c r="AP98" i="13"/>
  <c r="AP88" i="13"/>
  <c r="AP84" i="13"/>
  <c r="BC102" i="13"/>
  <c r="BC84" i="13"/>
  <c r="BH82" i="13"/>
  <c r="BH88" i="13"/>
  <c r="BA94" i="13"/>
  <c r="BA84" i="13"/>
  <c r="BA96" i="13"/>
  <c r="AT94" i="13"/>
  <c r="AT91" i="13"/>
  <c r="AT99" i="13"/>
  <c r="AQ89" i="13"/>
  <c r="AQ96" i="13"/>
  <c r="AQ100" i="13"/>
  <c r="AZ87" i="13"/>
  <c r="AZ85" i="13"/>
  <c r="BE103" i="13"/>
  <c r="AL99" i="13"/>
  <c r="AR94" i="13"/>
  <c r="BG96" i="13"/>
  <c r="AN100" i="13"/>
  <c r="AN90" i="13"/>
  <c r="AV79" i="13"/>
  <c r="AO86" i="13"/>
  <c r="AO102" i="13"/>
  <c r="AU97" i="13"/>
  <c r="AU93" i="13"/>
  <c r="AU80" i="13"/>
  <c r="BD100" i="13"/>
  <c r="BD84" i="13"/>
  <c r="AP101" i="13"/>
  <c r="BH84" i="13"/>
  <c r="BA100" i="13"/>
  <c r="AQ80" i="13"/>
  <c r="BB100" i="13"/>
  <c r="AN85" i="13"/>
  <c r="AV85" i="13"/>
  <c r="AO101" i="13"/>
  <c r="BB92" i="13"/>
  <c r="BB79" i="13"/>
  <c r="BB85" i="13"/>
  <c r="BB84" i="13"/>
  <c r="BF96" i="13"/>
  <c r="BF80" i="13"/>
  <c r="AL94" i="13"/>
  <c r="AL103" i="13"/>
  <c r="AK90" i="13"/>
  <c r="AK99" i="13"/>
  <c r="AR92" i="13"/>
  <c r="AR101" i="13"/>
  <c r="AR83" i="13"/>
  <c r="AR88" i="13"/>
  <c r="BG91" i="13"/>
  <c r="BG85" i="13"/>
  <c r="BG100" i="13"/>
  <c r="AM101" i="13"/>
  <c r="AM97" i="13"/>
  <c r="AM103" i="13"/>
  <c r="AN102" i="13"/>
  <c r="AN84" i="13"/>
  <c r="AN94" i="13"/>
  <c r="AV81" i="13"/>
  <c r="AV83" i="13"/>
  <c r="AV84" i="13"/>
  <c r="AV88" i="13"/>
  <c r="AV80" i="13"/>
  <c r="AO93" i="13"/>
  <c r="AO87" i="13"/>
  <c r="AO100" i="13"/>
  <c r="AS102" i="13"/>
  <c r="AS82" i="13"/>
  <c r="AW102" i="13"/>
  <c r="AW93" i="13"/>
  <c r="AW82" i="13"/>
  <c r="AX96" i="13"/>
  <c r="AU101" i="13"/>
  <c r="AU98" i="13"/>
  <c r="BD90" i="13"/>
  <c r="BD93" i="13"/>
  <c r="AP87" i="13"/>
  <c r="AP100" i="13"/>
  <c r="AP93" i="13"/>
  <c r="AP80" i="13"/>
  <c r="BC81" i="13"/>
  <c r="BC101" i="13"/>
  <c r="BH98" i="13"/>
  <c r="BH103" i="13"/>
  <c r="BH100" i="13"/>
  <c r="BA82" i="13"/>
  <c r="BA85" i="13"/>
  <c r="AT83" i="13"/>
  <c r="AQ82" i="13"/>
  <c r="AZ89" i="13"/>
  <c r="BF98" i="13"/>
  <c r="AM100" i="13"/>
  <c r="AS84" i="13"/>
  <c r="BC79" i="13"/>
  <c r="BA90" i="13"/>
  <c r="AK92" i="13"/>
  <c r="AK93" i="13"/>
  <c r="AR97" i="13"/>
  <c r="AV90" i="13"/>
  <c r="AV95" i="13"/>
  <c r="AV103" i="13"/>
  <c r="AO92" i="13"/>
  <c r="AS79" i="13"/>
  <c r="AX98" i="13"/>
  <c r="AU94" i="13"/>
  <c r="AU88" i="13"/>
  <c r="BD97" i="13"/>
  <c r="BD88" i="13"/>
  <c r="AP102" i="13"/>
  <c r="BC94" i="13"/>
  <c r="BC88" i="13"/>
  <c r="BC100" i="13"/>
  <c r="BH102" i="13"/>
  <c r="BE98" i="13"/>
  <c r="BE82" i="13"/>
  <c r="BF91" i="13"/>
  <c r="BF87" i="13"/>
  <c r="AL88" i="13"/>
  <c r="BE88" i="13"/>
  <c r="BB90" i="13"/>
  <c r="BB88" i="13"/>
  <c r="BF97" i="13"/>
  <c r="BF84" i="13"/>
  <c r="BF102" i="13"/>
  <c r="BF83" i="13"/>
  <c r="AL87" i="13"/>
  <c r="AL95" i="13"/>
  <c r="AL102" i="13"/>
  <c r="AL101" i="13"/>
  <c r="AL93" i="13"/>
  <c r="AK79" i="13"/>
  <c r="AR91" i="13"/>
  <c r="AR98" i="13"/>
  <c r="AR103" i="13"/>
  <c r="AR93" i="13"/>
  <c r="AR85" i="13"/>
  <c r="BG81" i="13"/>
  <c r="BG97" i="13"/>
  <c r="BG84" i="13"/>
  <c r="BG98" i="13"/>
  <c r="AM92" i="13"/>
  <c r="AM79" i="13"/>
  <c r="AM93" i="13"/>
  <c r="AN101" i="13"/>
  <c r="AN79" i="13"/>
  <c r="AV102" i="13"/>
  <c r="AO98" i="13"/>
  <c r="AO94" i="13"/>
  <c r="AO80" i="13"/>
  <c r="AS93" i="13"/>
  <c r="AS98" i="13"/>
  <c r="AS100" i="13"/>
  <c r="AW91" i="13"/>
  <c r="AW84" i="13"/>
  <c r="AW100" i="13"/>
  <c r="AW103" i="13"/>
  <c r="AX93" i="13"/>
  <c r="AU81" i="13"/>
  <c r="AU92" i="13"/>
  <c r="AU79" i="13"/>
  <c r="BD94" i="13"/>
  <c r="BD102" i="13"/>
  <c r="AP86" i="13"/>
  <c r="AP92" i="13"/>
  <c r="AP89" i="13"/>
  <c r="BC92" i="13"/>
  <c r="BC99" i="13"/>
  <c r="BC80" i="13"/>
  <c r="BH91" i="13"/>
  <c r="BH87" i="13"/>
  <c r="BH96" i="13"/>
  <c r="BH85" i="13"/>
  <c r="BA88" i="13"/>
  <c r="BA79" i="13"/>
  <c r="AT93" i="13"/>
  <c r="AQ101" i="13"/>
  <c r="AQ85" i="13"/>
  <c r="AQ91" i="13"/>
  <c r="AK96" i="13"/>
  <c r="AM86" i="13"/>
  <c r="AM94" i="13"/>
  <c r="AS94" i="13"/>
  <c r="AS95" i="13"/>
  <c r="AW96" i="13"/>
  <c r="AW94" i="13"/>
  <c r="AX97" i="13"/>
  <c r="BA98" i="13"/>
  <c r="AT102" i="13"/>
  <c r="BE97" i="13"/>
  <c r="BB103" i="13"/>
  <c r="AL90" i="13"/>
  <c r="AK94" i="13"/>
  <c r="BG78" i="13"/>
  <c r="BE92" i="13"/>
  <c r="BE94" i="13"/>
  <c r="BE84" i="13"/>
  <c r="BB95" i="13"/>
  <c r="BB91" i="13"/>
  <c r="BF95" i="13"/>
  <c r="BF93" i="13"/>
  <c r="AL86" i="13"/>
  <c r="AL98" i="13"/>
  <c r="AL80" i="13"/>
  <c r="AK86" i="13"/>
  <c r="AK84" i="13"/>
  <c r="AR86" i="13"/>
  <c r="AR84" i="13"/>
  <c r="BG90" i="13"/>
  <c r="BG86" i="13"/>
  <c r="BG103" i="13"/>
  <c r="BG88" i="13"/>
  <c r="AM102" i="13"/>
  <c r="AM87" i="13"/>
  <c r="AM95" i="13"/>
  <c r="AN96" i="13"/>
  <c r="AN93" i="13"/>
  <c r="AV86" i="13"/>
  <c r="AV100" i="13"/>
  <c r="AO95" i="13"/>
  <c r="AO85" i="13"/>
  <c r="AS92" i="13"/>
  <c r="AS80" i="13"/>
  <c r="AW101" i="13"/>
  <c r="AW90" i="13"/>
  <c r="AX85" i="13"/>
  <c r="AX101" i="13"/>
  <c r="AX92" i="13"/>
  <c r="AU96" i="13"/>
  <c r="AU85" i="13"/>
  <c r="AU103" i="13"/>
  <c r="BD98" i="13"/>
  <c r="BD101" i="13"/>
  <c r="AP94" i="13"/>
  <c r="BH95" i="13"/>
  <c r="BH80" i="13"/>
  <c r="BA92" i="13"/>
  <c r="BA99" i="13"/>
  <c r="AT103" i="13"/>
  <c r="AQ79" i="13"/>
  <c r="AQ99" i="13"/>
  <c r="AQ84" i="13"/>
  <c r="BF86" i="13"/>
  <c r="BF92" i="13"/>
  <c r="AR90" i="13"/>
  <c r="BG87" i="13"/>
  <c r="BG80" i="13"/>
  <c r="AM96" i="13"/>
  <c r="BD79" i="13"/>
  <c r="BC98" i="13"/>
  <c r="AT101" i="13"/>
  <c r="AQ92" i="13"/>
  <c r="BB98" i="13"/>
  <c r="BF81" i="13"/>
  <c r="BF94" i="13"/>
  <c r="BF103" i="13"/>
  <c r="BF88" i="13"/>
  <c r="AL79" i="13"/>
  <c r="AL97" i="13"/>
  <c r="AK98" i="13"/>
  <c r="AK102" i="13"/>
  <c r="AK80" i="13"/>
  <c r="AR100" i="13"/>
  <c r="BG92" i="13"/>
  <c r="AM81" i="13"/>
  <c r="AN92" i="13"/>
  <c r="AN91" i="13"/>
  <c r="AV96" i="13"/>
  <c r="AV97" i="13"/>
  <c r="AO82" i="13"/>
  <c r="AO84" i="13"/>
  <c r="AO79" i="13"/>
  <c r="AS97" i="13"/>
  <c r="AS88" i="13"/>
  <c r="AW92" i="13"/>
  <c r="AW97" i="13"/>
  <c r="AW80" i="13"/>
  <c r="AX94" i="13"/>
  <c r="AX103" i="13"/>
  <c r="AX90" i="13"/>
  <c r="AX84" i="13"/>
  <c r="AU90" i="13"/>
  <c r="AU100" i="13"/>
  <c r="AU102" i="13"/>
  <c r="AP79" i="13"/>
  <c r="BC97" i="13"/>
  <c r="BC103" i="13"/>
  <c r="BH99" i="13"/>
  <c r="BH97" i="13"/>
  <c r="BH101" i="13"/>
  <c r="BH94" i="13"/>
  <c r="BA86" i="13"/>
  <c r="BA102" i="13"/>
  <c r="BA80" i="13"/>
  <c r="AT90" i="13"/>
  <c r="AT100" i="13"/>
  <c r="AQ102" i="13"/>
  <c r="AQ94" i="13"/>
  <c r="AQ97" i="13"/>
  <c r="AZ88" i="13"/>
  <c r="BH83" i="13"/>
  <c r="AK82" i="13"/>
  <c r="BG82" i="13"/>
  <c r="AO83" i="13"/>
  <c r="AL85" i="13"/>
  <c r="AV89" i="13"/>
  <c r="AO99" i="13"/>
  <c r="AS89" i="13"/>
  <c r="AS91" i="13"/>
  <c r="AX95" i="13"/>
  <c r="AU83" i="13"/>
  <c r="BD87" i="13"/>
  <c r="AP81" i="13"/>
  <c r="BC91" i="13"/>
  <c r="BC83" i="13"/>
  <c r="BH86" i="13"/>
  <c r="BF89" i="13"/>
  <c r="BB86" i="13"/>
  <c r="AM82" i="13"/>
  <c r="AR99" i="13"/>
  <c r="BE89" i="13"/>
  <c r="AK95" i="13"/>
  <c r="AR89" i="13"/>
  <c r="BG89" i="13"/>
  <c r="AN89" i="13"/>
  <c r="AV99" i="13"/>
  <c r="AV87" i="13"/>
  <c r="AO91" i="13"/>
  <c r="AS83" i="13"/>
  <c r="AW85" i="13"/>
  <c r="AX91" i="13"/>
  <c r="AU82" i="13"/>
  <c r="BD99" i="13"/>
  <c r="BD81" i="13"/>
  <c r="AP95" i="13"/>
  <c r="BC87" i="13"/>
  <c r="BC86" i="13"/>
  <c r="AT82" i="13"/>
  <c r="AQ83" i="13"/>
  <c r="BC89" i="13"/>
  <c r="BH89" i="13"/>
  <c r="AR82" i="13"/>
  <c r="AN99" i="13"/>
  <c r="BE85" i="13"/>
  <c r="BB87" i="13"/>
  <c r="BB82" i="13"/>
  <c r="BF85" i="13"/>
  <c r="AL82" i="13"/>
  <c r="AR81" i="13"/>
  <c r="BG99" i="13"/>
  <c r="AM89" i="13"/>
  <c r="AN86" i="13"/>
  <c r="AN95" i="13"/>
  <c r="AW99" i="13"/>
  <c r="AW83" i="13"/>
  <c r="AX86" i="13"/>
  <c r="AX83" i="13"/>
  <c r="AX87" i="13"/>
  <c r="AU89" i="13"/>
  <c r="AU95" i="13"/>
  <c r="BD85" i="13"/>
  <c r="BD83" i="13"/>
  <c r="AP85" i="13"/>
  <c r="AP82" i="13"/>
  <c r="AT81" i="13"/>
  <c r="AT85" i="13"/>
  <c r="AQ87" i="13"/>
  <c r="AQ95" i="13"/>
  <c r="AQ81" i="13"/>
  <c r="BE81" i="13"/>
  <c r="AK83" i="13"/>
  <c r="AN83" i="13"/>
  <c r="AX81" i="13"/>
  <c r="BA81" i="13"/>
  <c r="AQ86" i="13"/>
  <c r="AL89" i="13"/>
  <c r="AK85" i="13"/>
  <c r="BE87" i="13"/>
  <c r="BB81" i="13"/>
  <c r="AL91" i="13"/>
  <c r="AL83" i="13"/>
  <c r="AK89" i="13"/>
  <c r="AN81" i="13"/>
  <c r="AV82" i="13"/>
  <c r="AW86" i="13"/>
  <c r="AW95" i="13"/>
  <c r="AX99" i="13"/>
  <c r="AU99" i="13"/>
  <c r="BD91" i="13"/>
  <c r="AP91" i="13"/>
  <c r="AW89" i="13"/>
  <c r="BA87" i="13"/>
  <c r="BB83" i="13"/>
  <c r="AK87" i="13"/>
  <c r="AS81" i="13"/>
  <c r="BD82" i="13"/>
  <c r="BC95" i="13"/>
  <c r="BA95" i="13"/>
  <c r="AT89" i="13"/>
  <c r="AN82" i="13"/>
  <c r="BE86" i="13"/>
  <c r="BE95" i="13"/>
  <c r="AL81" i="13"/>
  <c r="AR95" i="13"/>
  <c r="BG95" i="13"/>
  <c r="AM85" i="13"/>
  <c r="AM99" i="13"/>
  <c r="AV91" i="13"/>
  <c r="AS99" i="13"/>
  <c r="AS86" i="13"/>
  <c r="AU91" i="13"/>
  <c r="BD89" i="13"/>
  <c r="AP83" i="13"/>
  <c r="BC82" i="13"/>
  <c r="BA83" i="13"/>
  <c r="BA89" i="13"/>
  <c r="AT87" i="13"/>
  <c r="AT86" i="13"/>
  <c r="AT95" i="13"/>
  <c r="BH78" i="13" l="1"/>
  <c r="AJ8" i="10" l="1"/>
  <c r="AJ8" i="13" s="1"/>
  <c r="Z6" i="10"/>
  <c r="Z6" i="13" s="1"/>
  <c r="AJ9" i="10"/>
  <c r="AJ9" i="13" s="1"/>
  <c r="AJ10" i="10"/>
  <c r="AJ10" i="13" s="1"/>
  <c r="Z11" i="10"/>
  <c r="Z11" i="13" s="1"/>
  <c r="Z8" i="10"/>
  <c r="Z8" i="13" s="1"/>
  <c r="Z9" i="10"/>
  <c r="Z9" i="13" s="1"/>
  <c r="Z7" i="10"/>
  <c r="Z7" i="13" s="1"/>
  <c r="AJ11" i="10"/>
  <c r="AJ11" i="13" s="1"/>
  <c r="AJ7" i="10"/>
  <c r="AJ7" i="13" s="1"/>
  <c r="AJ6" i="10"/>
  <c r="AJ6" i="13" s="1"/>
  <c r="Z10" i="10"/>
  <c r="Z10" i="13" s="1"/>
  <c r="B16" i="12" l="1"/>
  <c r="AE3" i="10" s="1"/>
  <c r="AE3" i="13" s="1"/>
  <c r="AE4" i="10"/>
  <c r="AE13" i="10" l="1"/>
  <c r="Q77" i="12" l="1"/>
  <c r="Q83" i="12"/>
  <c r="Q54" i="12"/>
  <c r="Q74" i="12"/>
  <c r="Q75" i="12"/>
  <c r="Q71" i="12"/>
  <c r="Q66" i="12"/>
  <c r="Q78" i="12"/>
  <c r="Q79" i="12"/>
  <c r="Q81" i="12"/>
  <c r="Q57" i="12"/>
  <c r="Q50" i="12"/>
  <c r="Q51" i="12"/>
  <c r="Q52" i="12"/>
  <c r="Q67" i="12"/>
  <c r="Q88" i="12"/>
  <c r="Q53" i="12"/>
  <c r="Q72" i="12"/>
  <c r="Q55" i="12"/>
  <c r="Q63" i="12"/>
  <c r="Q73" i="12"/>
  <c r="Q68" i="12"/>
  <c r="Q60" i="12"/>
  <c r="Q82" i="12"/>
  <c r="Q80" i="12"/>
  <c r="Q56" i="12"/>
  <c r="Q87" i="12"/>
  <c r="Q59" i="12"/>
  <c r="Q76" i="12"/>
  <c r="Q49" i="12"/>
  <c r="Q65" i="12"/>
  <c r="Q48" i="12"/>
  <c r="Q69" i="12"/>
  <c r="Q58" i="12"/>
  <c r="Q64" i="12"/>
  <c r="Q70" i="12"/>
  <c r="Q86" i="12"/>
  <c r="Q84" i="12"/>
  <c r="Q62" i="12"/>
  <c r="Q61" i="12"/>
  <c r="Q85" i="12"/>
  <c r="K47" i="12"/>
  <c r="AE93" i="13"/>
  <c r="AE84" i="13"/>
  <c r="AE78" i="13"/>
  <c r="AE97" i="13"/>
  <c r="AE92" i="13" l="1"/>
  <c r="AE88" i="13"/>
  <c r="AE94" i="13"/>
  <c r="AE81" i="13"/>
  <c r="AE90" i="13"/>
  <c r="AE101" i="13"/>
  <c r="AE80" i="13"/>
  <c r="AE102" i="13"/>
  <c r="AE103" i="13"/>
  <c r="AE96" i="13"/>
  <c r="AE85" i="13"/>
  <c r="AE98" i="13"/>
  <c r="AE100" i="13"/>
  <c r="AE79" i="13"/>
  <c r="AE99" i="13"/>
  <c r="Q47" i="12"/>
  <c r="AJ14" i="10" s="1"/>
  <c r="B17" i="12"/>
  <c r="AJ3" i="10" s="1"/>
  <c r="F97" i="12" l="1"/>
  <c r="AJ14" i="13"/>
  <c r="AE86" i="13"/>
  <c r="AJ15" i="10"/>
  <c r="AJ23" i="10"/>
  <c r="AJ23" i="13" s="1"/>
  <c r="AJ31" i="10"/>
  <c r="AJ31" i="13" s="1"/>
  <c r="AJ39" i="10"/>
  <c r="AJ47" i="10"/>
  <c r="AJ16" i="10"/>
  <c r="AJ16" i="13" s="1"/>
  <c r="AJ24" i="10"/>
  <c r="AJ24" i="13" s="1"/>
  <c r="AJ32" i="10"/>
  <c r="AJ32" i="13" s="1"/>
  <c r="AJ40" i="10"/>
  <c r="AJ48" i="10"/>
  <c r="AJ17" i="10"/>
  <c r="AJ17" i="13" s="1"/>
  <c r="AJ25" i="10"/>
  <c r="AJ33" i="10"/>
  <c r="AJ41" i="10"/>
  <c r="AJ49" i="10"/>
  <c r="AJ49" i="13" s="1"/>
  <c r="AJ18" i="10"/>
  <c r="AJ18" i="13" s="1"/>
  <c r="AJ26" i="10"/>
  <c r="AJ34" i="10"/>
  <c r="AJ42" i="10"/>
  <c r="AJ50" i="10"/>
  <c r="AJ50" i="13" s="1"/>
  <c r="AJ19" i="10"/>
  <c r="AJ19" i="13" s="1"/>
  <c r="AJ27" i="10"/>
  <c r="AJ27" i="13" s="1"/>
  <c r="AJ35" i="10"/>
  <c r="AJ43" i="10"/>
  <c r="AJ51" i="10"/>
  <c r="AJ51" i="13" s="1"/>
  <c r="AJ20" i="10"/>
  <c r="AJ20" i="13" s="1"/>
  <c r="AJ28" i="10"/>
  <c r="AJ28" i="13" s="1"/>
  <c r="AJ36" i="10"/>
  <c r="AJ44" i="10"/>
  <c r="AJ52" i="10"/>
  <c r="AJ21" i="10"/>
  <c r="AJ21" i="13" s="1"/>
  <c r="AJ29" i="10"/>
  <c r="AJ29" i="13" s="1"/>
  <c r="AJ37" i="10"/>
  <c r="AJ37" i="13" s="1"/>
  <c r="AJ45" i="10"/>
  <c r="AJ53" i="10"/>
  <c r="AJ22" i="10"/>
  <c r="AJ22" i="13" s="1"/>
  <c r="AJ30" i="10"/>
  <c r="AJ38" i="10"/>
  <c r="AJ46" i="10"/>
  <c r="AJ54" i="10"/>
  <c r="AE82" i="13"/>
  <c r="AE91" i="13"/>
  <c r="AE95" i="13"/>
  <c r="AE89" i="13"/>
  <c r="AE87" i="13"/>
  <c r="AE83" i="13"/>
  <c r="AJ13" i="10"/>
  <c r="AJ44" i="13" l="1"/>
  <c r="F114" i="12"/>
  <c r="F105" i="12"/>
  <c r="AJ33" i="13"/>
  <c r="AJ36" i="13"/>
  <c r="F107" i="12"/>
  <c r="F100" i="12"/>
  <c r="AJ53" i="13"/>
  <c r="AJ42" i="13"/>
  <c r="F112" i="12"/>
  <c r="F109" i="12"/>
  <c r="AJ39" i="13"/>
  <c r="AJ34" i="13"/>
  <c r="F106" i="12"/>
  <c r="F118" i="12"/>
  <c r="AJ48" i="13"/>
  <c r="F104" i="12"/>
  <c r="AJ30" i="13"/>
  <c r="F115" i="12"/>
  <c r="AJ45" i="13"/>
  <c r="AJ26" i="13"/>
  <c r="F103" i="12"/>
  <c r="F110" i="12"/>
  <c r="AJ40" i="13"/>
  <c r="AJ15" i="13"/>
  <c r="F98" i="12"/>
  <c r="AJ52" i="13"/>
  <c r="F99" i="12"/>
  <c r="F102" i="12"/>
  <c r="AJ25" i="13"/>
  <c r="F101" i="12"/>
  <c r="AJ54" i="13"/>
  <c r="F113" i="12"/>
  <c r="AJ43" i="13"/>
  <c r="F117" i="12"/>
  <c r="AJ47" i="13"/>
  <c r="AJ46" i="13"/>
  <c r="F116" i="12"/>
  <c r="F119" i="12"/>
  <c r="AJ35" i="13"/>
  <c r="AJ38" i="13"/>
  <c r="F108" i="12"/>
  <c r="F111" i="12"/>
  <c r="AJ41" i="13"/>
  <c r="R57" i="12"/>
  <c r="R82" i="12"/>
  <c r="R49" i="12"/>
  <c r="R65" i="12"/>
  <c r="R75" i="12"/>
  <c r="R52" i="12"/>
  <c r="R87" i="12"/>
  <c r="R81" i="12"/>
  <c r="R84" i="12"/>
  <c r="R56" i="12"/>
  <c r="M47" i="12"/>
  <c r="L47" i="12"/>
  <c r="R69" i="12"/>
  <c r="R77" i="12"/>
  <c r="R54" i="12"/>
  <c r="R72" i="12"/>
  <c r="R79" i="12"/>
  <c r="R50" i="12"/>
  <c r="R55" i="12"/>
  <c r="R61" i="12"/>
  <c r="R83" i="12"/>
  <c r="R73" i="12"/>
  <c r="R85" i="12"/>
  <c r="R80" i="12"/>
  <c r="R70" i="12"/>
  <c r="R63" i="12"/>
  <c r="R88" i="12"/>
  <c r="R86" i="12"/>
  <c r="R51" i="12"/>
  <c r="R67" i="12"/>
  <c r="R58" i="12"/>
  <c r="R53" i="12"/>
  <c r="R74" i="12"/>
  <c r="R64" i="12"/>
  <c r="R62" i="12"/>
  <c r="R59" i="12"/>
  <c r="R68" i="12"/>
  <c r="R60" i="12"/>
  <c r="R66" i="12"/>
  <c r="R48" i="12"/>
  <c r="R71" i="12"/>
  <c r="R76" i="12"/>
  <c r="R78" i="12"/>
  <c r="AJ78" i="13"/>
  <c r="AJ80" i="13"/>
  <c r="F123" i="12" l="1"/>
  <c r="F124" i="12"/>
  <c r="F126" i="12"/>
  <c r="F125" i="12"/>
  <c r="AJ100" i="13"/>
  <c r="AJ99" i="13"/>
  <c r="AJ90" i="13"/>
  <c r="AJ93" i="13"/>
  <c r="AJ84" i="13"/>
  <c r="AJ97" i="13"/>
  <c r="AJ94" i="13"/>
  <c r="AJ103" i="13"/>
  <c r="AJ96" i="13"/>
  <c r="AJ88" i="13"/>
  <c r="AJ101" i="13"/>
  <c r="AJ87" i="13"/>
  <c r="AJ79" i="13"/>
  <c r="R47" i="12"/>
  <c r="AY14" i="10" s="1"/>
  <c r="AJ92" i="13"/>
  <c r="AJ98" i="13"/>
  <c r="AJ102" i="13"/>
  <c r="C18" i="12"/>
  <c r="B18" i="12" s="1"/>
  <c r="AY3" i="10" s="1"/>
  <c r="AY3" i="13" s="1"/>
  <c r="AY14" i="13" l="1"/>
  <c r="G97" i="12"/>
  <c r="AY15" i="10"/>
  <c r="AY23" i="10"/>
  <c r="AY23" i="13" s="1"/>
  <c r="AY31" i="10"/>
  <c r="AY31" i="13" s="1"/>
  <c r="AY39" i="10"/>
  <c r="S60" i="12" s="1"/>
  <c r="AY47" i="10"/>
  <c r="AY16" i="10"/>
  <c r="AY24" i="10"/>
  <c r="AY32" i="10"/>
  <c r="AY32" i="13" s="1"/>
  <c r="AY40" i="10"/>
  <c r="S61" i="12" s="1"/>
  <c r="AY48" i="10"/>
  <c r="AY37" i="10"/>
  <c r="AY37" i="13" s="1"/>
  <c r="AY30" i="10"/>
  <c r="S55" i="12" s="1"/>
  <c r="AY54" i="10"/>
  <c r="AY17" i="10"/>
  <c r="AY17" i="13" s="1"/>
  <c r="AY25" i="10"/>
  <c r="AY33" i="10"/>
  <c r="AY41" i="10"/>
  <c r="AY49" i="10"/>
  <c r="AY49" i="13" s="1"/>
  <c r="AY53" i="10"/>
  <c r="S51" i="12" s="1"/>
  <c r="AY18" i="10"/>
  <c r="AY18" i="13" s="1"/>
  <c r="AY26" i="10"/>
  <c r="AY34" i="10"/>
  <c r="AY42" i="10"/>
  <c r="AY50" i="10"/>
  <c r="AY45" i="10"/>
  <c r="S75" i="12" s="1"/>
  <c r="AY38" i="10"/>
  <c r="AY19" i="10"/>
  <c r="AY27" i="10"/>
  <c r="AY27" i="13" s="1"/>
  <c r="AY35" i="10"/>
  <c r="AY43" i="10"/>
  <c r="AY51" i="10"/>
  <c r="AY29" i="10"/>
  <c r="AY22" i="10"/>
  <c r="AY22" i="13" s="1"/>
  <c r="AY46" i="10"/>
  <c r="AY20" i="10"/>
  <c r="AY20" i="13" s="1"/>
  <c r="AY28" i="10"/>
  <c r="AY28" i="13" s="1"/>
  <c r="AY36" i="10"/>
  <c r="AY44" i="10"/>
  <c r="S74" i="12" s="1"/>
  <c r="AY52" i="10"/>
  <c r="AY21" i="10"/>
  <c r="S48" i="12"/>
  <c r="AJ91" i="13"/>
  <c r="AJ95" i="13"/>
  <c r="AJ81" i="13"/>
  <c r="AJ85" i="13"/>
  <c r="AJ82" i="13"/>
  <c r="S71" i="12"/>
  <c r="AJ83" i="13"/>
  <c r="AJ89" i="13"/>
  <c r="AJ86" i="13"/>
  <c r="S78" i="12"/>
  <c r="S86" i="12"/>
  <c r="S64" i="12"/>
  <c r="S59" i="12"/>
  <c r="S49" i="12"/>
  <c r="AY78" i="13"/>
  <c r="S85" i="12" l="1"/>
  <c r="S66" i="12"/>
  <c r="S69" i="12"/>
  <c r="S63" i="12"/>
  <c r="S82" i="12"/>
  <c r="S84" i="12"/>
  <c r="S79" i="12"/>
  <c r="AY35" i="13"/>
  <c r="G119" i="12"/>
  <c r="S81" i="12"/>
  <c r="AY30" i="13"/>
  <c r="G104" i="12"/>
  <c r="AY39" i="13"/>
  <c r="G109" i="12"/>
  <c r="S80" i="12"/>
  <c r="AY16" i="13"/>
  <c r="G103" i="12"/>
  <c r="AY26" i="13"/>
  <c r="S83" i="12"/>
  <c r="AY19" i="13"/>
  <c r="G100" i="12"/>
  <c r="AY53" i="13"/>
  <c r="AY102" i="13" s="1"/>
  <c r="G116" i="12"/>
  <c r="AY46" i="13"/>
  <c r="AY96" i="13" s="1"/>
  <c r="G108" i="12"/>
  <c r="AY38" i="13"/>
  <c r="G118" i="12"/>
  <c r="AY48" i="13"/>
  <c r="AY98" i="13" s="1"/>
  <c r="AY44" i="13"/>
  <c r="G114" i="12"/>
  <c r="S57" i="12"/>
  <c r="G106" i="12"/>
  <c r="AY34" i="13"/>
  <c r="S52" i="12"/>
  <c r="AY54" i="13"/>
  <c r="G101" i="12"/>
  <c r="S67" i="12"/>
  <c r="G115" i="12"/>
  <c r="AY45" i="13"/>
  <c r="G111" i="12"/>
  <c r="AY41" i="13"/>
  <c r="G110" i="12"/>
  <c r="AY40" i="13"/>
  <c r="AY15" i="13"/>
  <c r="AY80" i="13" s="1"/>
  <c r="G98" i="12"/>
  <c r="S77" i="12"/>
  <c r="AY47" i="13"/>
  <c r="G117" i="12"/>
  <c r="S76" i="12"/>
  <c r="S62" i="12"/>
  <c r="AY21" i="13"/>
  <c r="S68" i="12"/>
  <c r="AY29" i="13"/>
  <c r="S87" i="12"/>
  <c r="AY50" i="13"/>
  <c r="S56" i="12"/>
  <c r="AY33" i="13"/>
  <c r="AY88" i="13" s="1"/>
  <c r="G105" i="12"/>
  <c r="S73" i="12"/>
  <c r="AY43" i="13"/>
  <c r="AY94" i="13" s="1"/>
  <c r="G113" i="12"/>
  <c r="S58" i="12"/>
  <c r="G107" i="12"/>
  <c r="AY36" i="13"/>
  <c r="S54" i="12"/>
  <c r="S50" i="12"/>
  <c r="G99" i="12"/>
  <c r="AY52" i="13"/>
  <c r="AY101" i="13" s="1"/>
  <c r="S88" i="12"/>
  <c r="AY51" i="13"/>
  <c r="AY100" i="13" s="1"/>
  <c r="S72" i="12"/>
  <c r="G112" i="12"/>
  <c r="AY42" i="13"/>
  <c r="AY93" i="13" s="1"/>
  <c r="S53" i="12"/>
  <c r="AY25" i="13"/>
  <c r="AY84" i="13" s="1"/>
  <c r="G102" i="12"/>
  <c r="S65" i="12"/>
  <c r="AY24" i="13"/>
  <c r="S70" i="12"/>
  <c r="AY97" i="13"/>
  <c r="AY92" i="13"/>
  <c r="AY79" i="13"/>
  <c r="AY90" i="13"/>
  <c r="AY103" i="13"/>
  <c r="G124" i="12" l="1"/>
  <c r="AY95" i="13"/>
  <c r="G125" i="12"/>
  <c r="S47" i="12"/>
  <c r="G123" i="12"/>
  <c r="G126" i="12"/>
  <c r="AY81" i="13"/>
  <c r="AY85" i="13"/>
  <c r="AY86" i="13"/>
  <c r="AY99" i="13"/>
  <c r="AY91" i="13"/>
  <c r="AY89" i="13"/>
  <c r="AY87" i="13"/>
  <c r="AY82" i="13"/>
  <c r="AY83" i="13"/>
  <c r="B19" i="12"/>
  <c r="BI3" i="10" s="1"/>
  <c r="BI3" i="13" s="1"/>
  <c r="BI38" i="10" l="1"/>
  <c r="BI38" i="13" s="1"/>
  <c r="BI36" i="10"/>
  <c r="BI14" i="10"/>
  <c r="BI14" i="13" s="1"/>
  <c r="BI49" i="10"/>
  <c r="BI49" i="13" s="1"/>
  <c r="BI23" i="10"/>
  <c r="BI23" i="13" s="1"/>
  <c r="BI48" i="10"/>
  <c r="BI48" i="13" s="1"/>
  <c r="BI40" i="10"/>
  <c r="BI40" i="13" s="1"/>
  <c r="BI34" i="10"/>
  <c r="H106" i="12" s="1"/>
  <c r="BI52" i="10"/>
  <c r="H99" i="12" s="1"/>
  <c r="BI26" i="10"/>
  <c r="BI26" i="13" s="1"/>
  <c r="BI54" i="10"/>
  <c r="H101" i="12" s="1"/>
  <c r="BI53" i="10"/>
  <c r="H100" i="12" s="1"/>
  <c r="BI18" i="10"/>
  <c r="BI18" i="13" s="1"/>
  <c r="BI27" i="10"/>
  <c r="BI27" i="13" s="1"/>
  <c r="BI29" i="10"/>
  <c r="BI29" i="13" s="1"/>
  <c r="BI20" i="10"/>
  <c r="BI20" i="13" s="1"/>
  <c r="BI19" i="10"/>
  <c r="BI19" i="13" s="1"/>
  <c r="BI22" i="10"/>
  <c r="BI22" i="13" s="1"/>
  <c r="BI21" i="10"/>
  <c r="BI21" i="13" s="1"/>
  <c r="BI41" i="10"/>
  <c r="BI41" i="13" s="1"/>
  <c r="BI50" i="10"/>
  <c r="BI50" i="13" s="1"/>
  <c r="BI31" i="10"/>
  <c r="BI31" i="13" s="1"/>
  <c r="BI36" i="13"/>
  <c r="H107" i="12"/>
  <c r="H108" i="12"/>
  <c r="BI54" i="13"/>
  <c r="BI13" i="10"/>
  <c r="BI46" i="10" s="1"/>
  <c r="H118" i="12" l="1"/>
  <c r="H116" i="12"/>
  <c r="BI46" i="13"/>
  <c r="H103" i="12"/>
  <c r="BI30" i="10"/>
  <c r="BI30" i="13" s="1"/>
  <c r="BI51" i="10"/>
  <c r="BI51" i="13" s="1"/>
  <c r="BI17" i="10"/>
  <c r="BI17" i="13" s="1"/>
  <c r="BI37" i="10"/>
  <c r="BI37" i="13" s="1"/>
  <c r="BI52" i="13"/>
  <c r="BI101" i="13" s="1"/>
  <c r="BI32" i="10"/>
  <c r="BI32" i="13" s="1"/>
  <c r="BI42" i="10"/>
  <c r="BI45" i="10"/>
  <c r="BI28" i="10"/>
  <c r="BI28" i="13" s="1"/>
  <c r="BI43" i="10"/>
  <c r="BI24" i="10"/>
  <c r="BI24" i="13" s="1"/>
  <c r="BI25" i="10"/>
  <c r="BI13" i="13"/>
  <c r="BI78" i="13" s="1"/>
  <c r="BI35" i="10"/>
  <c r="BI16" i="10"/>
  <c r="BI16" i="13" s="1"/>
  <c r="BI34" i="13"/>
  <c r="BI47" i="10"/>
  <c r="BI47" i="13" s="1"/>
  <c r="BI97" i="13" s="1"/>
  <c r="BI44" i="10"/>
  <c r="H114" i="12" s="1"/>
  <c r="BI15" i="10"/>
  <c r="H98" i="12" s="1"/>
  <c r="BI33" i="10"/>
  <c r="BI33" i="13" s="1"/>
  <c r="BI88" i="13" s="1"/>
  <c r="BI39" i="10"/>
  <c r="H97" i="12"/>
  <c r="BI53" i="13"/>
  <c r="H110" i="12"/>
  <c r="H111" i="12"/>
  <c r="H104" i="12"/>
  <c r="H117" i="12"/>
  <c r="N47" i="12"/>
  <c r="BI100" i="13"/>
  <c r="BI102" i="13"/>
  <c r="BI103" i="13"/>
  <c r="BI98" i="13"/>
  <c r="BI79" i="13"/>
  <c r="BI92" i="13"/>
  <c r="BI96" i="13"/>
  <c r="BI90" i="13"/>
  <c r="BI44" i="13" l="1"/>
  <c r="H105" i="12"/>
  <c r="BI25" i="13"/>
  <c r="BI84" i="13" s="1"/>
  <c r="H102" i="12"/>
  <c r="BI43" i="13"/>
  <c r="BI94" i="13" s="1"/>
  <c r="H113" i="12"/>
  <c r="BI39" i="13"/>
  <c r="BI91" i="13" s="1"/>
  <c r="H109" i="12"/>
  <c r="BI15" i="13"/>
  <c r="BI80" i="13" s="1"/>
  <c r="H115" i="12"/>
  <c r="BI45" i="13"/>
  <c r="H112" i="12"/>
  <c r="BI42" i="13"/>
  <c r="BI93" i="13" s="1"/>
  <c r="H123" i="12"/>
  <c r="BI35" i="13"/>
  <c r="BI89" i="13" s="1"/>
  <c r="H119" i="12"/>
  <c r="H126" i="12" s="1"/>
  <c r="BI85" i="13"/>
  <c r="BI95" i="13"/>
  <c r="BI99" i="13"/>
  <c r="BI86" i="13"/>
  <c r="BI81" i="13"/>
  <c r="BI82" i="13"/>
  <c r="BI83" i="13"/>
  <c r="BI87" i="13"/>
  <c r="BI7" i="10"/>
  <c r="BI7" i="13" s="1"/>
  <c r="BI11" i="10"/>
  <c r="BI11" i="13" s="1"/>
  <c r="BI6" i="10"/>
  <c r="BI6" i="13" s="1"/>
  <c r="BI9" i="10"/>
  <c r="BI9" i="13" s="1"/>
  <c r="BI8" i="10"/>
  <c r="BI8" i="13" s="1"/>
  <c r="BI10" i="10"/>
  <c r="BI10" i="13" s="1"/>
  <c r="H124" i="12" l="1"/>
  <c r="H125" i="12"/>
</calcChain>
</file>

<file path=xl/sharedStrings.xml><?xml version="1.0" encoding="utf-8"?>
<sst xmlns="http://schemas.openxmlformats.org/spreadsheetml/2006/main" count="605" uniqueCount="292">
  <si>
    <t>地区生产总值</t>
    <phoneticPr fontId="4" type="noConversion"/>
  </si>
  <si>
    <t>农业</t>
    <phoneticPr fontId="4" type="noConversion"/>
  </si>
  <si>
    <t>工业</t>
    <phoneticPr fontId="4" type="noConversion"/>
  </si>
  <si>
    <t>建筑业</t>
    <phoneticPr fontId="4" type="noConversion"/>
  </si>
  <si>
    <t>交运仓邮</t>
    <phoneticPr fontId="4" type="noConversion"/>
  </si>
  <si>
    <t>批发零售</t>
    <phoneticPr fontId="4" type="noConversion"/>
  </si>
  <si>
    <t>餐饮住宿</t>
    <phoneticPr fontId="4" type="noConversion"/>
  </si>
  <si>
    <t>金融业</t>
    <phoneticPr fontId="4" type="noConversion"/>
  </si>
  <si>
    <t>房地产</t>
    <phoneticPr fontId="4" type="noConversion"/>
  </si>
  <si>
    <t>其他三产</t>
    <phoneticPr fontId="4" type="noConversion"/>
  </si>
  <si>
    <t>煤炭采选产品</t>
  </si>
  <si>
    <t>石油和天然气开采产品</t>
  </si>
  <si>
    <t>金属矿采选产品</t>
  </si>
  <si>
    <t>非金属矿和其他矿采选产品</t>
  </si>
  <si>
    <t>食品和烟草</t>
  </si>
  <si>
    <t>纺织品</t>
  </si>
  <si>
    <t>纺织服装鞋帽皮革羽绒及其制品</t>
  </si>
  <si>
    <t>木材加工品和家具</t>
  </si>
  <si>
    <t>造纸印刷和文教体育用品</t>
  </si>
  <si>
    <t>石油、炼焦产品和核燃料加工品</t>
  </si>
  <si>
    <t>化学产品</t>
  </si>
  <si>
    <t>非金属矿物制品</t>
  </si>
  <si>
    <t>金属冶炼和压延加工品</t>
  </si>
  <si>
    <t>金属制品</t>
  </si>
  <si>
    <t>通用设备</t>
  </si>
  <si>
    <t>专用设备</t>
  </si>
  <si>
    <t>交通运输设备</t>
  </si>
  <si>
    <t>电气机械和器材</t>
  </si>
  <si>
    <t>通信设备、计算机和其他电子设备</t>
  </si>
  <si>
    <t>仪器仪表</t>
  </si>
  <si>
    <t>其他制造产品和废品废料</t>
  </si>
  <si>
    <t>金属制品、机械和设备修理服务</t>
  </si>
  <si>
    <t>电力、热力的生产和供应</t>
  </si>
  <si>
    <t>燃气生产和供应</t>
  </si>
  <si>
    <t>水的生产和供应</t>
  </si>
  <si>
    <t>第三产业</t>
    <phoneticPr fontId="4" type="noConversion"/>
  </si>
  <si>
    <t>信息传输、软件和信息技术服务</t>
  </si>
  <si>
    <t>租赁和商务服务</t>
  </si>
  <si>
    <t>科学研究和技术服务</t>
  </si>
  <si>
    <t>水利、环境和公共设施管理</t>
  </si>
  <si>
    <t>居民服务、修理和其他服务</t>
  </si>
  <si>
    <t>教育</t>
  </si>
  <si>
    <t>卫生和社会工作</t>
  </si>
  <si>
    <t>文化、体育和娱乐</t>
  </si>
  <si>
    <t>公共管理、社会保障和社会组织</t>
  </si>
  <si>
    <t>农、林、牧、渔业</t>
  </si>
  <si>
    <t>汽车制造业</t>
  </si>
  <si>
    <t>废弃资源综合利用业</t>
  </si>
  <si>
    <t>全国</t>
    <phoneticPr fontId="2" type="noConversion"/>
  </si>
  <si>
    <t>增加值
(亿元)</t>
  </si>
  <si>
    <t>增加值构成
(%)</t>
  </si>
  <si>
    <t>总计</t>
  </si>
  <si>
    <t>电力、热力、燃气及水生产和供应业</t>
  </si>
  <si>
    <t>建筑业</t>
  </si>
  <si>
    <t>批发和零售业</t>
  </si>
  <si>
    <t>交通运输、仓储和邮政业</t>
  </si>
  <si>
    <t>住宿和餐饮业</t>
  </si>
  <si>
    <t>信息传输、软件和信息技术服务业</t>
  </si>
  <si>
    <t>金融业</t>
  </si>
  <si>
    <t>房地产业</t>
  </si>
  <si>
    <t>租赁和商务服务业</t>
  </si>
  <si>
    <t>科学研究和技术服务业</t>
  </si>
  <si>
    <t>水利、环境和公共设施管理业</t>
  </si>
  <si>
    <t>居民服务、修理和其他服务业</t>
  </si>
  <si>
    <t>文化、体育和娱乐业</t>
  </si>
  <si>
    <t>农业</t>
  </si>
  <si>
    <t>林业</t>
  </si>
  <si>
    <t>畜牧业</t>
  </si>
  <si>
    <t>渔业</t>
  </si>
  <si>
    <t>农、林、牧、渔专业及辅助性活动</t>
  </si>
  <si>
    <t>采矿业</t>
  </si>
  <si>
    <t>煤炭开采和洗选业</t>
  </si>
  <si>
    <t>石油和天然气开采业</t>
  </si>
  <si>
    <t>黑色金属矿采选业</t>
  </si>
  <si>
    <t>有色金属矿采选业</t>
  </si>
  <si>
    <t>非金属矿采选业</t>
  </si>
  <si>
    <t>开采专业及辅助性活动</t>
  </si>
  <si>
    <t>其他采矿业</t>
  </si>
  <si>
    <t>制造业</t>
  </si>
  <si>
    <t>农副食品加工业</t>
  </si>
  <si>
    <t>食品制造业</t>
  </si>
  <si>
    <t>酒、饮料和精制茶制造业</t>
  </si>
  <si>
    <t>烟草制品业</t>
  </si>
  <si>
    <t>纺织业</t>
  </si>
  <si>
    <t>纺织服装、服饰业</t>
  </si>
  <si>
    <t>皮革、毛皮、羽毛及其制品和制鞋业</t>
  </si>
  <si>
    <t>木材加工和木、竹、藤、棕、草制品业</t>
  </si>
  <si>
    <t>家具制造业</t>
  </si>
  <si>
    <t>造纸和纸制品业</t>
  </si>
  <si>
    <t>印刷和记录媒介复制业</t>
  </si>
  <si>
    <t>文教、工美、体育和娱乐用品制造业</t>
  </si>
  <si>
    <t>石油、煤炭及其他燃料加工业</t>
  </si>
  <si>
    <t>化学原料和化学制品制造业</t>
  </si>
  <si>
    <t>医药制造业</t>
  </si>
  <si>
    <t>化学纤维制造业</t>
  </si>
  <si>
    <t>橡胶和塑料制品业</t>
  </si>
  <si>
    <t>非金属矿物制品业</t>
  </si>
  <si>
    <t>黑色金属冶炼和压延加工业</t>
  </si>
  <si>
    <t>有色金属冶炼和压延加工业</t>
  </si>
  <si>
    <t>金属制品业</t>
  </si>
  <si>
    <t>通用设备制造业</t>
  </si>
  <si>
    <t>专用设备制造业</t>
  </si>
  <si>
    <t>铁路、船舶、航空航天和其他运输设备制造业</t>
  </si>
  <si>
    <t>电气机械和器材制造业</t>
  </si>
  <si>
    <t>计算机、通信和其他电子设备制造业</t>
  </si>
  <si>
    <t>仪器仪表制造业</t>
  </si>
  <si>
    <t>其他制造业</t>
  </si>
  <si>
    <t>金属制品、机械和设备修理业</t>
  </si>
  <si>
    <t>电力、热力生产和供应业</t>
  </si>
  <si>
    <t>燃气生产和供应业</t>
  </si>
  <si>
    <t>水的生产和供应业</t>
  </si>
  <si>
    <t>房屋建筑业</t>
  </si>
  <si>
    <t>土木工程建筑业</t>
  </si>
  <si>
    <t>建筑安装业</t>
  </si>
  <si>
    <t>建筑装饰、装修和其他建筑业</t>
  </si>
  <si>
    <t>批发业</t>
  </si>
  <si>
    <t>零售业</t>
  </si>
  <si>
    <t>铁路运输业</t>
  </si>
  <si>
    <t>道路运输业</t>
  </si>
  <si>
    <t>水上运输业</t>
  </si>
  <si>
    <t>航空运输业</t>
  </si>
  <si>
    <t>管道运输业</t>
  </si>
  <si>
    <t>多式联运和运输代理业</t>
  </si>
  <si>
    <t>装卸搬运和仓储业</t>
  </si>
  <si>
    <t>邮政业</t>
  </si>
  <si>
    <t>住宿业</t>
  </si>
  <si>
    <t>餐饮业</t>
  </si>
  <si>
    <t>电信、广播电视和卫星传输服务</t>
  </si>
  <si>
    <t>互联网和相关服务</t>
  </si>
  <si>
    <t>软件和信息技术服务业</t>
  </si>
  <si>
    <t>货币金融服务</t>
  </si>
  <si>
    <t>资本市场服务</t>
  </si>
  <si>
    <t>保险业</t>
  </si>
  <si>
    <t>其他金融业</t>
  </si>
  <si>
    <t>房地产开发经营</t>
  </si>
  <si>
    <t>物业管理</t>
  </si>
  <si>
    <t>房地产中介服务</t>
  </si>
  <si>
    <t>房地产租赁经营</t>
  </si>
  <si>
    <t>其他房地产业</t>
  </si>
  <si>
    <t>居民自有住房</t>
  </si>
  <si>
    <t>租赁业</t>
  </si>
  <si>
    <t>商务服务业</t>
  </si>
  <si>
    <t>研究和试验发展</t>
  </si>
  <si>
    <t>专业技术服务业</t>
  </si>
  <si>
    <t>科技推广和应用服务业</t>
  </si>
  <si>
    <t>水利管理业</t>
  </si>
  <si>
    <t>生态保护和环境治理业</t>
  </si>
  <si>
    <t>公共设施管理业</t>
  </si>
  <si>
    <t>土地管理业</t>
  </si>
  <si>
    <t>居民服务业</t>
  </si>
  <si>
    <t>机动车、电子产品和日用产品修理业</t>
  </si>
  <si>
    <t>其他服务业</t>
  </si>
  <si>
    <t>卫生</t>
  </si>
  <si>
    <t>社会工作</t>
  </si>
  <si>
    <t>新闻和出版业</t>
  </si>
  <si>
    <t>广播、电视、电影和录音制作业</t>
  </si>
  <si>
    <t>文化艺术业</t>
  </si>
  <si>
    <t>体育</t>
  </si>
  <si>
    <t>娱乐业</t>
  </si>
  <si>
    <t>GDP增速</t>
    <phoneticPr fontId="2" type="noConversion"/>
  </si>
  <si>
    <t>参考依据</t>
    <phoneticPr fontId="2" type="noConversion"/>
  </si>
  <si>
    <t>十四五</t>
    <phoneticPr fontId="2" type="noConversion"/>
  </si>
  <si>
    <t>2035-2050</t>
    <phoneticPr fontId="2" type="noConversion"/>
  </si>
  <si>
    <t>能源基金会《中国经济社会发展的中长期目标、战略与路径》2035-2050%年均增速3.5%左右</t>
    <phoneticPr fontId="2" type="noConversion"/>
  </si>
  <si>
    <t>产业结构</t>
    <phoneticPr fontId="2" type="noConversion"/>
  </si>
  <si>
    <t>第一产业</t>
    <phoneticPr fontId="2" type="noConversion"/>
  </si>
  <si>
    <t>第二产业</t>
    <phoneticPr fontId="2" type="noConversion"/>
  </si>
  <si>
    <t>第三产业</t>
    <phoneticPr fontId="2" type="noConversion"/>
  </si>
  <si>
    <t>工业</t>
    <phoneticPr fontId="2" type="noConversion"/>
  </si>
  <si>
    <t>建筑业</t>
    <phoneticPr fontId="2" type="noConversion"/>
  </si>
  <si>
    <t>数据来源：三经普、四经普</t>
    <phoneticPr fontId="2" type="noConversion"/>
  </si>
  <si>
    <t>1-8 2010-2020年年度分行业增加值(分19个门类)</t>
  </si>
  <si>
    <t>单位:亿元</t>
  </si>
  <si>
    <t>行 业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</si>
  <si>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</si>
  <si>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</si>
  <si>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</si>
  <si>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</si>
  <si>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</si>
  <si>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</si>
  <si>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</si>
  <si>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</si>
  <si>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</si>
  <si>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</si>
  <si>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</si>
  <si>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国内生产总值</t>
  </si>
  <si>
    <t>数据来源：中国国内生产总值历史资料汇编</t>
    <phoneticPr fontId="2" type="noConversion"/>
  </si>
  <si>
    <t>2023政府工作报告</t>
  </si>
  <si>
    <t>建筑十四五规划：建筑增加值占比稳定在6%左右</t>
  </si>
  <si>
    <t>2018年美国建筑业增加值比重为4.1%，欧盟为4.89%。2017年日本5.7%。</t>
  </si>
  <si>
    <t>能源基金会《中国经济社会发展的中长期目标、战略与路径》</t>
    <phoneticPr fontId="2" type="noConversion"/>
  </si>
  <si>
    <t>二十大报告：2035年人均GDP达到中等发达国家水平。GDP总量/人均GDP翻一番多</t>
    <phoneticPr fontId="2" type="noConversion"/>
  </si>
  <si>
    <t>交运仓邮</t>
  </si>
  <si>
    <t>批发零售</t>
  </si>
  <si>
    <t>餐饮住宿</t>
  </si>
  <si>
    <t>房地产</t>
  </si>
  <si>
    <t>工业</t>
  </si>
  <si>
    <t>其他三产</t>
  </si>
  <si>
    <t>地区生产总值</t>
  </si>
  <si>
    <t>十五五</t>
    <phoneticPr fontId="2" type="noConversion"/>
  </si>
  <si>
    <t>十六五</t>
    <phoneticPr fontId="2" type="noConversion"/>
  </si>
  <si>
    <t>不变价GDP年均增速</t>
    <phoneticPr fontId="2" type="noConversion"/>
  </si>
  <si>
    <t>GDP指数（上年=1）</t>
    <phoneticPr fontId="2" type="noConversion"/>
  </si>
  <si>
    <t>GDP指数（2020年=1）</t>
    <phoneticPr fontId="2" type="noConversion"/>
  </si>
  <si>
    <t>GDP（2020年不变价人民币）</t>
    <phoneticPr fontId="2" type="noConversion"/>
  </si>
  <si>
    <t>折算系数（不变价/当年价)</t>
    <phoneticPr fontId="2" type="noConversion"/>
  </si>
  <si>
    <t>交运仓邮</t>
    <phoneticPr fontId="2" type="noConversion"/>
  </si>
  <si>
    <t>信息传输、软件和信息技术服务</t>
    <phoneticPr fontId="2" type="noConversion"/>
  </si>
  <si>
    <t>2035-2060</t>
    <phoneticPr fontId="2" type="noConversion"/>
  </si>
  <si>
    <t>化学原料和化学制品制造业</t>
    <phoneticPr fontId="2" type="noConversion"/>
  </si>
  <si>
    <t>酒、饮料和精制茶制造业</t>
    <phoneticPr fontId="2" type="noConversion"/>
  </si>
  <si>
    <t>烟草制品业</t>
    <phoneticPr fontId="2" type="noConversion"/>
  </si>
  <si>
    <t>皮革、毛皮、羽毛及其制品和制鞋业</t>
    <phoneticPr fontId="2" type="noConversion"/>
  </si>
  <si>
    <t>木材加工和木、竹、藤、棕、草制品业</t>
    <phoneticPr fontId="2" type="noConversion"/>
  </si>
  <si>
    <t>家具制造业</t>
    <phoneticPr fontId="2" type="noConversion"/>
  </si>
  <si>
    <t>印刷和记录媒介复制业</t>
    <phoneticPr fontId="2" type="noConversion"/>
  </si>
  <si>
    <t>文教、工美、体育和娱乐用品制造业</t>
    <phoneticPr fontId="2" type="noConversion"/>
  </si>
  <si>
    <t>计算机、通信和其他电子设备制造业</t>
    <phoneticPr fontId="2" type="noConversion"/>
  </si>
  <si>
    <t>科学研究和技术服务</t>
    <phoneticPr fontId="2" type="noConversion"/>
  </si>
  <si>
    <t>第三产业年均增速</t>
    <phoneticPr fontId="2" type="noConversion"/>
  </si>
  <si>
    <t>2025增加值</t>
    <phoneticPr fontId="2" type="noConversion"/>
  </si>
  <si>
    <t>2030 增加值</t>
    <phoneticPr fontId="2" type="noConversion"/>
  </si>
  <si>
    <t>2035增加值</t>
    <phoneticPr fontId="2" type="noConversion"/>
  </si>
  <si>
    <t>2050增加值</t>
    <phoneticPr fontId="2" type="noConversion"/>
  </si>
  <si>
    <t>2060增加值</t>
    <phoneticPr fontId="2" type="noConversion"/>
  </si>
  <si>
    <t>能源产业</t>
    <phoneticPr fontId="4" type="noConversion"/>
  </si>
  <si>
    <t>煤炭开采和洗选业</t>
    <phoneticPr fontId="4" type="noConversion"/>
  </si>
  <si>
    <t>石油和天然气开采业</t>
    <phoneticPr fontId="4" type="noConversion"/>
  </si>
  <si>
    <t>燃气生产和供应业</t>
    <phoneticPr fontId="4" type="noConversion"/>
  </si>
  <si>
    <t>水的生产和供应业</t>
    <phoneticPr fontId="4" type="noConversion"/>
  </si>
  <si>
    <t>传统高载能产业</t>
    <phoneticPr fontId="4" type="noConversion"/>
  </si>
  <si>
    <t>纺织业</t>
    <phoneticPr fontId="4" type="noConversion"/>
  </si>
  <si>
    <t>纺织服装、服饰业</t>
    <phoneticPr fontId="4" type="noConversion"/>
  </si>
  <si>
    <t>造纸和纸制品业</t>
    <phoneticPr fontId="4" type="noConversion"/>
  </si>
  <si>
    <t>石油、煤炭及其他燃料加工业</t>
    <phoneticPr fontId="4" type="noConversion"/>
  </si>
  <si>
    <t>化学原料和化学制品制造业</t>
    <phoneticPr fontId="4" type="noConversion"/>
  </si>
  <si>
    <t>化学纤维制造业</t>
    <phoneticPr fontId="4" type="noConversion"/>
  </si>
  <si>
    <t>非金属矿物制品业</t>
    <phoneticPr fontId="4" type="noConversion"/>
  </si>
  <si>
    <t>黑色金属冶炼和压延加工业</t>
    <phoneticPr fontId="4" type="noConversion"/>
  </si>
  <si>
    <t>有色金属冶炼和压延加工业</t>
    <phoneticPr fontId="4" type="noConversion"/>
  </si>
  <si>
    <t>轻工业</t>
    <phoneticPr fontId="4" type="noConversion"/>
  </si>
  <si>
    <t>农副食品加工业</t>
    <phoneticPr fontId="4" type="noConversion"/>
  </si>
  <si>
    <t>食品制造业</t>
    <phoneticPr fontId="4" type="noConversion"/>
  </si>
  <si>
    <t>酒、饮料和精制茶制造业</t>
    <phoneticPr fontId="4" type="noConversion"/>
  </si>
  <si>
    <t>烟草制品业</t>
    <phoneticPr fontId="4" type="noConversion"/>
  </si>
  <si>
    <t>皮革、毛皮、羽毛及其制品和制鞋业</t>
    <phoneticPr fontId="4" type="noConversion"/>
  </si>
  <si>
    <t>木材加工和木、竹、藤、棕、草制品业</t>
    <phoneticPr fontId="4" type="noConversion"/>
  </si>
  <si>
    <t>家具制造业</t>
    <phoneticPr fontId="4" type="noConversion"/>
  </si>
  <si>
    <t>印刷和记录媒介复制业</t>
    <phoneticPr fontId="4" type="noConversion"/>
  </si>
  <si>
    <t>文教、工美、体育和娱乐用品制造业</t>
    <phoneticPr fontId="4" type="noConversion"/>
  </si>
  <si>
    <t>装备制造</t>
    <phoneticPr fontId="4" type="noConversion"/>
  </si>
  <si>
    <t>金属制品业</t>
    <phoneticPr fontId="4" type="noConversion"/>
  </si>
  <si>
    <t>通用设备制造业</t>
    <phoneticPr fontId="4" type="noConversion"/>
  </si>
  <si>
    <t>专用设备制造业</t>
    <phoneticPr fontId="4" type="noConversion"/>
  </si>
  <si>
    <t>汽车制造业</t>
    <phoneticPr fontId="4" type="noConversion"/>
  </si>
  <si>
    <t>铁路、船舶、航空航天和其他运输设备制造业</t>
    <phoneticPr fontId="4" type="noConversion"/>
  </si>
  <si>
    <t>电气机械和器材制造业</t>
    <phoneticPr fontId="4" type="noConversion"/>
  </si>
  <si>
    <t>高技术产业</t>
    <phoneticPr fontId="4" type="noConversion"/>
  </si>
  <si>
    <t>计算机、通信和其他电子设备制造业</t>
    <phoneticPr fontId="4" type="noConversion"/>
  </si>
  <si>
    <t>医药制造业</t>
    <phoneticPr fontId="4" type="noConversion"/>
  </si>
  <si>
    <t>其他行业</t>
    <phoneticPr fontId="4" type="noConversion"/>
  </si>
  <si>
    <t>开采专业及辅助性活动</t>
    <phoneticPr fontId="4" type="noConversion"/>
  </si>
  <si>
    <t>其他采矿业</t>
    <phoneticPr fontId="4" type="noConversion"/>
  </si>
  <si>
    <t>橡胶和塑料制品业</t>
    <phoneticPr fontId="4" type="noConversion"/>
  </si>
  <si>
    <t>其他制造业</t>
    <phoneticPr fontId="4" type="noConversion"/>
  </si>
  <si>
    <t>废弃资源综合利用业</t>
    <phoneticPr fontId="4" type="noConversion"/>
  </si>
  <si>
    <t>金属制品、机械和设备修理业</t>
    <phoneticPr fontId="4" type="noConversion"/>
  </si>
  <si>
    <t>电力、热力生产和供应业</t>
    <phoneticPr fontId="4" type="noConversion"/>
  </si>
  <si>
    <t>黑色金属矿采选业</t>
    <phoneticPr fontId="4" type="noConversion"/>
  </si>
  <si>
    <t>有色金属矿采选业</t>
    <phoneticPr fontId="4" type="noConversion"/>
  </si>
  <si>
    <t>非金属矿采选业</t>
    <phoneticPr fontId="4" type="noConversion"/>
  </si>
  <si>
    <t>工业年均增速</t>
    <phoneticPr fontId="2" type="noConversion"/>
  </si>
  <si>
    <t>传统服务业</t>
    <phoneticPr fontId="2" type="noConversion"/>
  </si>
  <si>
    <t>现代服务业</t>
    <phoneticPr fontId="2" type="noConversion"/>
  </si>
  <si>
    <t>2016-2019年均增速</t>
    <phoneticPr fontId="2" type="noConversion"/>
  </si>
  <si>
    <t>2019-2022年均增速</t>
    <phoneticPr fontId="2" type="noConversion"/>
  </si>
  <si>
    <t>十四五增速系数</t>
    <phoneticPr fontId="2" type="noConversion"/>
  </si>
  <si>
    <t>十五五增速系数</t>
    <phoneticPr fontId="2" type="noConversion"/>
  </si>
  <si>
    <t>十六五增速系数</t>
    <phoneticPr fontId="2" type="noConversion"/>
  </si>
  <si>
    <t>2035-2050增速系数</t>
    <phoneticPr fontId="2" type="noConversion"/>
  </si>
  <si>
    <t>2050-2060增速系数</t>
    <phoneticPr fontId="2" type="noConversion"/>
  </si>
  <si>
    <t>十四五年均增速</t>
    <phoneticPr fontId="2" type="noConversion"/>
  </si>
  <si>
    <t>十五五年均增速</t>
    <phoneticPr fontId="2" type="noConversion"/>
  </si>
  <si>
    <t>十六五年均增速</t>
    <phoneticPr fontId="2" type="noConversion"/>
  </si>
  <si>
    <t>2035-2050年均增速</t>
    <phoneticPr fontId="2" type="noConversion"/>
  </si>
  <si>
    <t>2050-2060年均增速</t>
    <phoneticPr fontId="2" type="noConversion"/>
  </si>
  <si>
    <t>汇率 (2012 USD/2020 RMB)</t>
    <phoneticPr fontId="2" type="noConversion"/>
  </si>
  <si>
    <t>工业结构统计</t>
    <phoneticPr fontId="2" type="noConversion"/>
  </si>
  <si>
    <t>能源产业</t>
    <phoneticPr fontId="2" type="noConversion"/>
  </si>
  <si>
    <t>传统高载能产业</t>
    <phoneticPr fontId="2" type="noConversion"/>
  </si>
  <si>
    <t>装备制造</t>
    <phoneticPr fontId="2" type="noConversion"/>
  </si>
  <si>
    <t>高技术产业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</si>
</sst>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_);[Red]\(0\)"/>
    <numFmt numFmtId="177" formatCode="0.000_ "/>
    <numFmt numFmtId="178" formatCode="0.0%"/>
    <numFmt numFmtId="179" formatCode="0.0000_);[Red]\(0.0000\)"/>
    <numFmt numFmtId="180" formatCode="0.000"/>
    <numFmt numFmtId="181" formatCode="0.00_);[Red]\(0.00\)"/>
  </numFmts>
  <fonts count="2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  <font>
      <b/>
      <sz val="11"/>
      <color indexed="8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indexed="8"/>
      <name val="等线"/>
      <family val="3"/>
      <charset val="134"/>
      <scheme val="minor"/>
    </font>
    <font>
      <sz val="10"/>
      <name val="Arial"/>
      <family val="2"/>
    </font>
    <font>
      <sz val="10"/>
      <name val="宋体"/>
      <family val="3"/>
      <charset val="134"/>
    </font>
    <font>
      <sz val="11"/>
      <color theme="1"/>
      <name val="等线"/>
      <family val="2"/>
      <charset val="134"/>
      <scheme val="minor"/>
    </font>
    <font>
      <sz val="12"/>
      <name val="宋体"/>
      <family val="3"/>
      <charset val="134"/>
    </font>
    <font>
      <sz val="12"/>
      <name val="宋体"/>
      <family val="3"/>
      <charset val="134"/>
    </font>
    <font>
      <b/>
      <sz val="10"/>
      <name val="宋体"/>
      <family val="3"/>
      <charset val="134"/>
    </font>
    <font>
      <u/>
      <sz val="12"/>
      <color indexed="12"/>
      <name val="宋体"/>
      <family val="3"/>
      <charset val="134"/>
    </font>
    <font>
      <b/>
      <sz val="11"/>
      <color theme="4" tint="-0.499984740745262"/>
      <name val="等线"/>
      <family val="3"/>
      <charset val="134"/>
      <scheme val="minor"/>
    </font>
    <font>
      <sz val="11"/>
      <color theme="4" tint="-0.499984740745262"/>
      <name val="等线"/>
      <family val="3"/>
      <charset val="134"/>
      <scheme val="minor"/>
    </font>
    <font>
      <b/>
      <sz val="11"/>
      <color rgb="FF002060"/>
      <name val="等线"/>
      <family val="3"/>
      <charset val="134"/>
      <scheme val="minor"/>
    </font>
    <font>
      <sz val="11"/>
      <color rgb="FF002060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0"/>
      <color theme="1"/>
      <name val="宋体"/>
      <family val="3"/>
      <charset val="134"/>
    </font>
    <font>
      <b/>
      <sz val="11"/>
      <color theme="1"/>
      <name val="等线"/>
      <family val="2"/>
      <scheme val="minor"/>
    </font>
    <font>
      <sz val="11"/>
      <color theme="1"/>
      <name val="宋体"/>
      <family val="3"/>
      <charset val="134"/>
    </font>
    <font>
      <sz val="11"/>
      <color theme="1"/>
      <name val="宋体"/>
      <family val="1"/>
      <charset val="134"/>
    </font>
    <font>
      <sz val="11"/>
      <color theme="1"/>
      <name val="Times New Roman"/>
      <family val="1"/>
    </font>
    <font>
      <sz val="10"/>
      <color theme="1"/>
      <name val="等线"/>
      <family val="2"/>
      <charset val="134"/>
      <scheme val="minor"/>
    </font>
    <font>
      <sz val="10"/>
      <color theme="1"/>
      <name val="等线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>
      <alignment vertical="center"/>
    </xf>
    <xf numFmtId="0" fontId="1" fillId="0" borderId="0"/>
    <xf numFmtId="0" fontId="6" fillId="0" borderId="0"/>
    <xf numFmtId="9" fontId="8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187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6" fontId="3" fillId="0" borderId="4" xfId="0" applyNumberFormat="1" applyFont="1" applyBorder="1">
      <alignment vertical="center"/>
    </xf>
    <xf numFmtId="176" fontId="3" fillId="0" borderId="5" xfId="0" applyNumberFormat="1" applyFont="1" applyBorder="1">
      <alignment vertical="center"/>
    </xf>
    <xf numFmtId="176" fontId="3" fillId="0" borderId="6" xfId="0" applyNumberFormat="1" applyFont="1" applyBorder="1">
      <alignment vertical="center"/>
    </xf>
    <xf numFmtId="0" fontId="3" fillId="0" borderId="0" xfId="0" applyFont="1">
      <alignment vertical="center"/>
    </xf>
    <xf numFmtId="0" fontId="0" fillId="0" borderId="1" xfId="0" applyBorder="1">
      <alignment vertical="center"/>
    </xf>
    <xf numFmtId="176" fontId="5" fillId="0" borderId="7" xfId="0" applyNumberFormat="1" applyFont="1" applyBorder="1">
      <alignment vertical="center"/>
    </xf>
    <xf numFmtId="176" fontId="5" fillId="0" borderId="0" xfId="0" applyNumberFormat="1" applyFont="1">
      <alignment vertical="center"/>
    </xf>
    <xf numFmtId="176" fontId="5" fillId="0" borderId="8" xfId="0" applyNumberFormat="1" applyFont="1" applyBorder="1">
      <alignment vertical="center"/>
    </xf>
    <xf numFmtId="0" fontId="0" fillId="0" borderId="7" xfId="0" applyBorder="1">
      <alignment vertical="center"/>
    </xf>
    <xf numFmtId="0" fontId="0" fillId="0" borderId="9" xfId="0" applyBorder="1">
      <alignment vertical="center"/>
    </xf>
    <xf numFmtId="176" fontId="5" fillId="0" borderId="9" xfId="0" applyNumberFormat="1" applyFont="1" applyBorder="1">
      <alignment vertical="center"/>
    </xf>
    <xf numFmtId="176" fontId="5" fillId="0" borderId="10" xfId="0" applyNumberFormat="1" applyFont="1" applyBorder="1">
      <alignment vertical="center"/>
    </xf>
    <xf numFmtId="176" fontId="5" fillId="0" borderId="11" xfId="0" applyNumberFormat="1" applyFont="1" applyBorder="1">
      <alignment vertical="center"/>
    </xf>
    <xf numFmtId="176" fontId="0" fillId="0" borderId="7" xfId="0" applyNumberFormat="1" applyBorder="1">
      <alignment vertical="center"/>
    </xf>
    <xf numFmtId="176" fontId="0" fillId="0" borderId="0" xfId="0" applyNumberFormat="1">
      <alignment vertical="center"/>
    </xf>
    <xf numFmtId="176" fontId="0" fillId="0" borderId="8" xfId="0" applyNumberFormat="1" applyBorder="1">
      <alignment vertical="center"/>
    </xf>
    <xf numFmtId="176" fontId="0" fillId="0" borderId="1" xfId="0" applyNumberFormat="1" applyBorder="1">
      <alignment vertical="center"/>
    </xf>
    <xf numFmtId="176" fontId="0" fillId="0" borderId="2" xfId="0" applyNumberFormat="1" applyBorder="1">
      <alignment vertical="center"/>
    </xf>
    <xf numFmtId="176" fontId="0" fillId="0" borderId="3" xfId="0" applyNumberFormat="1" applyBorder="1">
      <alignment vertical="center"/>
    </xf>
    <xf numFmtId="176" fontId="0" fillId="0" borderId="9" xfId="0" applyNumberFormat="1" applyBorder="1">
      <alignment vertical="center"/>
    </xf>
    <xf numFmtId="176" fontId="0" fillId="0" borderId="10" xfId="0" applyNumberFormat="1" applyBorder="1">
      <alignment vertical="center"/>
    </xf>
    <xf numFmtId="176" fontId="0" fillId="0" borderId="11" xfId="0" applyNumberFormat="1" applyBorder="1">
      <alignment vertical="center"/>
    </xf>
    <xf numFmtId="177" fontId="0" fillId="0" borderId="0" xfId="0" applyNumberFormat="1">
      <alignment vertical="center"/>
    </xf>
    <xf numFmtId="0" fontId="0" fillId="0" borderId="1" xfId="0" applyBorder="1" applyAlignment="1"/>
    <xf numFmtId="0" fontId="0" fillId="0" borderId="7" xfId="0" applyBorder="1" applyAlignment="1"/>
    <xf numFmtId="0" fontId="0" fillId="0" borderId="9" xfId="0" applyBorder="1" applyAlignment="1"/>
    <xf numFmtId="0" fontId="0" fillId="0" borderId="4" xfId="0" applyBorder="1">
      <alignment vertical="center"/>
    </xf>
    <xf numFmtId="0" fontId="1" fillId="0" borderId="7" xfId="1" applyBorder="1"/>
    <xf numFmtId="0" fontId="1" fillId="0" borderId="9" xfId="1" applyBorder="1"/>
    <xf numFmtId="176" fontId="0" fillId="0" borderId="4" xfId="0" applyNumberFormat="1" applyBorder="1">
      <alignment vertical="center"/>
    </xf>
    <xf numFmtId="176" fontId="0" fillId="0" borderId="5" xfId="0" applyNumberFormat="1" applyBorder="1">
      <alignment vertical="center"/>
    </xf>
    <xf numFmtId="176" fontId="0" fillId="0" borderId="6" xfId="0" applyNumberFormat="1" applyBorder="1">
      <alignment vertical="center"/>
    </xf>
    <xf numFmtId="176" fontId="3" fillId="0" borderId="1" xfId="0" applyNumberFormat="1" applyFont="1" applyBorder="1">
      <alignment vertical="center"/>
    </xf>
    <xf numFmtId="176" fontId="3" fillId="0" borderId="2" xfId="0" applyNumberFormat="1" applyFont="1" applyBorder="1">
      <alignment vertical="center"/>
    </xf>
    <xf numFmtId="176" fontId="3" fillId="0" borderId="3" xfId="0" applyNumberFormat="1" applyFont="1" applyBorder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10" xfId="0" applyBorder="1">
      <alignment vertical="center"/>
    </xf>
    <xf numFmtId="0" fontId="7" fillId="0" borderId="12" xfId="5" applyFont="1" applyBorder="1" applyAlignment="1">
      <alignment horizontal="center" vertical="center" wrapText="1"/>
    </xf>
    <xf numFmtId="0" fontId="7" fillId="0" borderId="4" xfId="5" applyFont="1" applyBorder="1" applyAlignment="1">
      <alignment horizontal="center" vertical="center" wrapText="1"/>
    </xf>
    <xf numFmtId="0" fontId="11" fillId="0" borderId="3" xfId="5" applyFont="1" applyBorder="1" applyAlignment="1">
      <alignment horizontal="left" vertical="center" wrapText="1"/>
    </xf>
    <xf numFmtId="0" fontId="11" fillId="0" borderId="8" xfId="5" applyFont="1" applyBorder="1" applyAlignment="1">
      <alignment horizontal="left" vertical="center" wrapText="1"/>
    </xf>
    <xf numFmtId="0" fontId="7" fillId="0" borderId="8" xfId="5" applyFont="1" applyBorder="1" applyAlignment="1">
      <alignment horizontal="left" vertical="center" wrapText="1"/>
    </xf>
    <xf numFmtId="0" fontId="7" fillId="0" borderId="11" xfId="5" applyFont="1" applyBorder="1" applyAlignment="1">
      <alignment horizontal="left" vertical="center" wrapText="1"/>
    </xf>
    <xf numFmtId="0" fontId="7" fillId="0" borderId="0" xfId="5" applyFont="1" applyAlignment="1">
      <alignment horizontal="right" vertical="center" wrapText="1"/>
    </xf>
    <xf numFmtId="0" fontId="7" fillId="0" borderId="9" xfId="5" applyFont="1" applyBorder="1" applyAlignment="1">
      <alignment horizontal="right" vertical="center" wrapText="1"/>
    </xf>
    <xf numFmtId="0" fontId="7" fillId="0" borderId="3" xfId="5" applyFont="1" applyBorder="1" applyAlignment="1">
      <alignment horizontal="left" vertical="center" wrapText="1"/>
    </xf>
    <xf numFmtId="0" fontId="11" fillId="0" borderId="11" xfId="5" applyFont="1" applyBorder="1" applyAlignment="1">
      <alignment horizontal="left" vertical="center" wrapText="1"/>
    </xf>
    <xf numFmtId="0" fontId="7" fillId="0" borderId="10" xfId="5" applyFont="1" applyBorder="1" applyAlignment="1">
      <alignment horizontal="right" vertical="center" wrapText="1"/>
    </xf>
    <xf numFmtId="0" fontId="0" fillId="0" borderId="0" xfId="0" applyAlignment="1">
      <alignment horizontal="left" vertical="center"/>
    </xf>
    <xf numFmtId="10" fontId="0" fillId="0" borderId="0" xfId="0" applyNumberFormat="1">
      <alignment vertical="center"/>
    </xf>
    <xf numFmtId="10" fontId="0" fillId="0" borderId="10" xfId="0" applyNumberFormat="1" applyBorder="1">
      <alignment vertical="center"/>
    </xf>
    <xf numFmtId="10" fontId="0" fillId="0" borderId="11" xfId="0" applyNumberFormat="1" applyBorder="1">
      <alignment vertical="center"/>
    </xf>
    <xf numFmtId="10" fontId="0" fillId="0" borderId="9" xfId="0" applyNumberFormat="1" applyBorder="1">
      <alignment vertical="center"/>
    </xf>
    <xf numFmtId="0" fontId="0" fillId="0" borderId="12" xfId="0" applyBorder="1">
      <alignment vertical="center"/>
    </xf>
    <xf numFmtId="176" fontId="13" fillId="0" borderId="5" xfId="0" applyNumberFormat="1" applyFont="1" applyBorder="1">
      <alignment vertical="center"/>
    </xf>
    <xf numFmtId="176" fontId="13" fillId="4" borderId="6" xfId="0" applyNumberFormat="1" applyFont="1" applyFill="1" applyBorder="1">
      <alignment vertical="center"/>
    </xf>
    <xf numFmtId="176" fontId="13" fillId="0" borderId="4" xfId="0" applyNumberFormat="1" applyFont="1" applyBorder="1">
      <alignment vertical="center"/>
    </xf>
    <xf numFmtId="176" fontId="13" fillId="0" borderId="6" xfId="0" applyNumberFormat="1" applyFont="1" applyBorder="1">
      <alignment vertical="center"/>
    </xf>
    <xf numFmtId="176" fontId="14" fillId="0" borderId="0" xfId="0" applyNumberFormat="1" applyFont="1">
      <alignment vertical="center"/>
    </xf>
    <xf numFmtId="176" fontId="13" fillId="4" borderId="8" xfId="0" applyNumberFormat="1" applyFont="1" applyFill="1" applyBorder="1">
      <alignment vertical="center"/>
    </xf>
    <xf numFmtId="176" fontId="14" fillId="0" borderId="7" xfId="0" applyNumberFormat="1" applyFont="1" applyBorder="1">
      <alignment vertical="center"/>
    </xf>
    <xf numFmtId="176" fontId="14" fillId="0" borderId="8" xfId="0" applyNumberFormat="1" applyFont="1" applyBorder="1">
      <alignment vertical="center"/>
    </xf>
    <xf numFmtId="176" fontId="14" fillId="4" borderId="8" xfId="0" applyNumberFormat="1" applyFont="1" applyFill="1" applyBorder="1">
      <alignment vertical="center"/>
    </xf>
    <xf numFmtId="176" fontId="14" fillId="0" borderId="10" xfId="0" applyNumberFormat="1" applyFont="1" applyBorder="1">
      <alignment vertical="center"/>
    </xf>
    <xf numFmtId="176" fontId="14" fillId="4" borderId="11" xfId="0" applyNumberFormat="1" applyFont="1" applyFill="1" applyBorder="1">
      <alignment vertical="center"/>
    </xf>
    <xf numFmtId="176" fontId="14" fillId="0" borderId="9" xfId="0" applyNumberFormat="1" applyFont="1" applyBorder="1">
      <alignment vertical="center"/>
    </xf>
    <xf numFmtId="176" fontId="14" fillId="0" borderId="11" xfId="0" applyNumberFormat="1" applyFont="1" applyBorder="1">
      <alignment vertical="center"/>
    </xf>
    <xf numFmtId="0" fontId="7" fillId="0" borderId="0" xfId="5" applyFont="1" applyAlignment="1"/>
    <xf numFmtId="0" fontId="7" fillId="0" borderId="0" xfId="5" applyFont="1">
      <alignment vertical="center"/>
    </xf>
    <xf numFmtId="0" fontId="7" fillId="0" borderId="10" xfId="5" applyFont="1" applyBorder="1" applyAlignment="1"/>
    <xf numFmtId="0" fontId="7" fillId="0" borderId="10" xfId="5" applyFont="1" applyBorder="1">
      <alignment vertical="center"/>
    </xf>
    <xf numFmtId="0" fontId="7" fillId="0" borderId="6" xfId="5" applyFont="1" applyBorder="1" applyAlignment="1">
      <alignment horizontal="center" vertical="center" wrapText="1"/>
    </xf>
    <xf numFmtId="176" fontId="15" fillId="0" borderId="2" xfId="0" applyNumberFormat="1" applyFont="1" applyBorder="1">
      <alignment vertical="center"/>
    </xf>
    <xf numFmtId="176" fontId="15" fillId="4" borderId="3" xfId="0" applyNumberFormat="1" applyFont="1" applyFill="1" applyBorder="1">
      <alignment vertical="center"/>
    </xf>
    <xf numFmtId="176" fontId="15" fillId="0" borderId="1" xfId="0" applyNumberFormat="1" applyFont="1" applyBorder="1">
      <alignment vertical="center"/>
    </xf>
    <xf numFmtId="176" fontId="15" fillId="0" borderId="3" xfId="0" applyNumberFormat="1" applyFont="1" applyBorder="1">
      <alignment vertical="center"/>
    </xf>
    <xf numFmtId="176" fontId="15" fillId="0" borderId="5" xfId="0" applyNumberFormat="1" applyFont="1" applyBorder="1">
      <alignment vertical="center"/>
    </xf>
    <xf numFmtId="176" fontId="15" fillId="4" borderId="6" xfId="0" applyNumberFormat="1" applyFont="1" applyFill="1" applyBorder="1">
      <alignment vertical="center"/>
    </xf>
    <xf numFmtId="176" fontId="15" fillId="0" borderId="4" xfId="0" applyNumberFormat="1" applyFont="1" applyBorder="1">
      <alignment vertical="center"/>
    </xf>
    <xf numFmtId="176" fontId="15" fillId="0" borderId="6" xfId="0" applyNumberFormat="1" applyFont="1" applyBorder="1">
      <alignment vertical="center"/>
    </xf>
    <xf numFmtId="176" fontId="16" fillId="0" borderId="7" xfId="0" applyNumberFormat="1" applyFont="1" applyBorder="1">
      <alignment vertical="center"/>
    </xf>
    <xf numFmtId="176" fontId="16" fillId="0" borderId="0" xfId="0" applyNumberFormat="1" applyFont="1">
      <alignment vertical="center"/>
    </xf>
    <xf numFmtId="176" fontId="16" fillId="0" borderId="9" xfId="0" applyNumberFormat="1" applyFont="1" applyBorder="1">
      <alignment vertical="center"/>
    </xf>
    <xf numFmtId="176" fontId="16" fillId="0" borderId="10" xfId="0" applyNumberFormat="1" applyFont="1" applyBorder="1">
      <alignment vertical="center"/>
    </xf>
    <xf numFmtId="0" fontId="18" fillId="0" borderId="14" xfId="0" applyFont="1" applyBorder="1">
      <alignment vertical="center"/>
    </xf>
    <xf numFmtId="0" fontId="18" fillId="0" borderId="0" xfId="0" applyFont="1">
      <alignment vertical="center"/>
    </xf>
    <xf numFmtId="0" fontId="18" fillId="0" borderId="0" xfId="0" applyFont="1" applyAlignment="1">
      <alignment horizontal="left" vertical="center"/>
    </xf>
    <xf numFmtId="176" fontId="0" fillId="0" borderId="4" xfId="0" applyNumberFormat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176" fontId="16" fillId="0" borderId="2" xfId="0" applyNumberFormat="1" applyFont="1" applyBorder="1">
      <alignment vertical="center"/>
    </xf>
    <xf numFmtId="176" fontId="16" fillId="0" borderId="3" xfId="0" applyNumberFormat="1" applyFont="1" applyBorder="1">
      <alignment vertical="center"/>
    </xf>
    <xf numFmtId="176" fontId="16" fillId="0" borderId="1" xfId="0" applyNumberFormat="1" applyFont="1" applyBorder="1">
      <alignment vertical="center"/>
    </xf>
    <xf numFmtId="176" fontId="16" fillId="0" borderId="8" xfId="0" applyNumberFormat="1" applyFont="1" applyBorder="1">
      <alignment vertical="center"/>
    </xf>
    <xf numFmtId="176" fontId="16" fillId="0" borderId="11" xfId="0" applyNumberFormat="1" applyFont="1" applyBorder="1">
      <alignment vertical="center"/>
    </xf>
    <xf numFmtId="176" fontId="0" fillId="0" borderId="0" xfId="3" applyNumberFormat="1" applyFont="1" applyBorder="1">
      <alignment vertical="center"/>
    </xf>
    <xf numFmtId="176" fontId="15" fillId="3" borderId="3" xfId="0" applyNumberFormat="1" applyFont="1" applyFill="1" applyBorder="1">
      <alignment vertical="center"/>
    </xf>
    <xf numFmtId="176" fontId="16" fillId="3" borderId="2" xfId="0" applyNumberFormat="1" applyFont="1" applyFill="1" applyBorder="1">
      <alignment vertical="center"/>
    </xf>
    <xf numFmtId="176" fontId="16" fillId="3" borderId="0" xfId="0" applyNumberFormat="1" applyFont="1" applyFill="1">
      <alignment vertical="center"/>
    </xf>
    <xf numFmtId="176" fontId="16" fillId="3" borderId="10" xfId="0" applyNumberFormat="1" applyFont="1" applyFill="1" applyBorder="1">
      <alignment vertical="center"/>
    </xf>
    <xf numFmtId="176" fontId="16" fillId="3" borderId="3" xfId="0" applyNumberFormat="1" applyFont="1" applyFill="1" applyBorder="1">
      <alignment vertical="center"/>
    </xf>
    <xf numFmtId="176" fontId="16" fillId="3" borderId="8" xfId="0" applyNumberFormat="1" applyFont="1" applyFill="1" applyBorder="1">
      <alignment vertical="center"/>
    </xf>
    <xf numFmtId="176" fontId="16" fillId="3" borderId="11" xfId="0" applyNumberFormat="1" applyFont="1" applyFill="1" applyBorder="1">
      <alignment vertical="center"/>
    </xf>
    <xf numFmtId="176" fontId="14" fillId="0" borderId="0" xfId="3" applyNumberFormat="1" applyFont="1">
      <alignment vertical="center"/>
    </xf>
    <xf numFmtId="0" fontId="0" fillId="0" borderId="13" xfId="0" applyBorder="1">
      <alignment vertical="center"/>
    </xf>
    <xf numFmtId="0" fontId="0" fillId="0" borderId="13" xfId="0" applyBorder="1" applyAlignment="1"/>
    <xf numFmtId="0" fontId="0" fillId="0" borderId="14" xfId="0" applyBorder="1" applyAlignment="1"/>
    <xf numFmtId="0" fontId="0" fillId="0" borderId="15" xfId="0" applyBorder="1" applyAlignment="1"/>
    <xf numFmtId="176" fontId="17" fillId="0" borderId="4" xfId="0" applyNumberFormat="1" applyFont="1" applyBorder="1">
      <alignment vertical="center"/>
    </xf>
    <xf numFmtId="176" fontId="17" fillId="0" borderId="5" xfId="0" applyNumberFormat="1" applyFont="1" applyBorder="1">
      <alignment vertical="center"/>
    </xf>
    <xf numFmtId="176" fontId="17" fillId="0" borderId="6" xfId="0" applyNumberFormat="1" applyFont="1" applyBorder="1">
      <alignment vertical="center"/>
    </xf>
    <xf numFmtId="0" fontId="1" fillId="0" borderId="0" xfId="1"/>
    <xf numFmtId="179" fontId="0" fillId="0" borderId="0" xfId="0" applyNumberFormat="1">
      <alignment vertical="center"/>
    </xf>
    <xf numFmtId="0" fontId="17" fillId="5" borderId="0" xfId="0" applyFont="1" applyFill="1" applyAlignment="1">
      <alignment horizontal="left" vertical="center"/>
    </xf>
    <xf numFmtId="0" fontId="0" fillId="0" borderId="0" xfId="0" applyAlignment="1"/>
    <xf numFmtId="0" fontId="19" fillId="0" borderId="12" xfId="0" applyFont="1" applyBorder="1" applyAlignment="1">
      <alignment horizontal="center" vertical="top"/>
    </xf>
    <xf numFmtId="0" fontId="0" fillId="0" borderId="0" xfId="0" applyAlignment="1">
      <alignment horizontal="right" vertical="center"/>
    </xf>
    <xf numFmtId="0" fontId="0" fillId="0" borderId="12" xfId="0" applyBorder="1" applyAlignment="1">
      <alignment horizontal="right" vertical="center"/>
    </xf>
    <xf numFmtId="178" fontId="0" fillId="0" borderId="12" xfId="0" applyNumberFormat="1" applyBorder="1" applyAlignment="1">
      <alignment horizontal="right" vertical="center"/>
    </xf>
    <xf numFmtId="0" fontId="17" fillId="5" borderId="10" xfId="0" applyFont="1" applyFill="1" applyBorder="1" applyAlignment="1">
      <alignment horizontal="right" vertical="center"/>
    </xf>
    <xf numFmtId="0" fontId="0" fillId="5" borderId="0" xfId="0" applyFill="1" applyAlignment="1">
      <alignment horizontal="right" vertical="center"/>
    </xf>
    <xf numFmtId="10" fontId="0" fillId="0" borderId="12" xfId="0" applyNumberFormat="1" applyBorder="1" applyAlignment="1">
      <alignment horizontal="right" vertical="center"/>
    </xf>
    <xf numFmtId="0" fontId="17" fillId="0" borderId="0" xfId="0" applyFont="1" applyAlignment="1">
      <alignment horizontal="left" vertical="center"/>
    </xf>
    <xf numFmtId="176" fontId="15" fillId="6" borderId="6" xfId="0" applyNumberFormat="1" applyFont="1" applyFill="1" applyBorder="1">
      <alignment vertical="center"/>
    </xf>
    <xf numFmtId="176" fontId="16" fillId="6" borderId="3" xfId="0" applyNumberFormat="1" applyFont="1" applyFill="1" applyBorder="1">
      <alignment vertical="center"/>
    </xf>
    <xf numFmtId="176" fontId="16" fillId="6" borderId="8" xfId="0" applyNumberFormat="1" applyFont="1" applyFill="1" applyBorder="1">
      <alignment vertical="center"/>
    </xf>
    <xf numFmtId="176" fontId="16" fillId="6" borderId="11" xfId="0" applyNumberFormat="1" applyFont="1" applyFill="1" applyBorder="1">
      <alignment vertical="center"/>
    </xf>
    <xf numFmtId="176" fontId="13" fillId="6" borderId="6" xfId="0" applyNumberFormat="1" applyFont="1" applyFill="1" applyBorder="1">
      <alignment vertical="center"/>
    </xf>
    <xf numFmtId="176" fontId="13" fillId="6" borderId="8" xfId="0" applyNumberFormat="1" applyFont="1" applyFill="1" applyBorder="1">
      <alignment vertical="center"/>
    </xf>
    <xf numFmtId="176" fontId="14" fillId="6" borderId="8" xfId="0" applyNumberFormat="1" applyFont="1" applyFill="1" applyBorder="1">
      <alignment vertical="center"/>
    </xf>
    <xf numFmtId="176" fontId="14" fillId="6" borderId="11" xfId="0" applyNumberFormat="1" applyFont="1" applyFill="1" applyBorder="1">
      <alignment vertical="center"/>
    </xf>
    <xf numFmtId="176" fontId="15" fillId="6" borderId="3" xfId="0" applyNumberFormat="1" applyFont="1" applyFill="1" applyBorder="1">
      <alignment vertical="center"/>
    </xf>
    <xf numFmtId="176" fontId="16" fillId="6" borderId="2" xfId="0" applyNumberFormat="1" applyFont="1" applyFill="1" applyBorder="1">
      <alignment vertical="center"/>
    </xf>
    <xf numFmtId="176" fontId="16" fillId="6" borderId="0" xfId="0" applyNumberFormat="1" applyFont="1" applyFill="1">
      <alignment vertical="center"/>
    </xf>
    <xf numFmtId="176" fontId="16" fillId="6" borderId="10" xfId="0" applyNumberFormat="1" applyFont="1" applyFill="1" applyBorder="1">
      <alignment vertical="center"/>
    </xf>
    <xf numFmtId="0" fontId="1" fillId="0" borderId="0" xfId="1" applyAlignment="1">
      <alignment horizontal="center"/>
    </xf>
    <xf numFmtId="180" fontId="0" fillId="0" borderId="0" xfId="0" applyNumberFormat="1">
      <alignment vertical="center"/>
    </xf>
    <xf numFmtId="1" fontId="0" fillId="0" borderId="0" xfId="0" applyNumberFormat="1">
      <alignment vertical="center"/>
    </xf>
    <xf numFmtId="2" fontId="0" fillId="0" borderId="0" xfId="0" applyNumberFormat="1">
      <alignment vertical="center"/>
    </xf>
    <xf numFmtId="176" fontId="0" fillId="0" borderId="7" xfId="3" applyNumberFormat="1" applyFont="1" applyBorder="1">
      <alignment vertical="center"/>
    </xf>
    <xf numFmtId="176" fontId="0" fillId="0" borderId="8" xfId="3" applyNumberFormat="1" applyFont="1" applyBorder="1">
      <alignment vertical="center"/>
    </xf>
    <xf numFmtId="0" fontId="0" fillId="0" borderId="15" xfId="0" applyBorder="1">
      <alignment vertical="center"/>
    </xf>
    <xf numFmtId="0" fontId="0" fillId="0" borderId="15" xfId="0" applyBorder="1" applyAlignment="1">
      <alignment horizontal="right" vertical="center"/>
    </xf>
    <xf numFmtId="0" fontId="17" fillId="0" borderId="0" xfId="0" applyFont="1">
      <alignment vertical="center"/>
    </xf>
    <xf numFmtId="178" fontId="0" fillId="0" borderId="0" xfId="0" applyNumberFormat="1" applyAlignment="1">
      <alignment horizontal="right" vertical="center"/>
    </xf>
    <xf numFmtId="10" fontId="0" fillId="0" borderId="0" xfId="3" applyNumberFormat="1" applyFont="1">
      <alignment vertical="center"/>
    </xf>
    <xf numFmtId="0" fontId="0" fillId="5" borderId="0" xfId="0" applyFill="1">
      <alignment vertical="center"/>
    </xf>
    <xf numFmtId="0" fontId="21" fillId="0" borderId="12" xfId="0" applyFont="1" applyBorder="1" applyAlignment="1"/>
    <xf numFmtId="0" fontId="22" fillId="0" borderId="12" xfId="0" applyFont="1" applyBorder="1" applyAlignment="1"/>
    <xf numFmtId="0" fontId="21" fillId="0" borderId="4" xfId="0" applyFont="1" applyBorder="1" applyAlignment="1">
      <alignment horizontal="left"/>
    </xf>
    <xf numFmtId="0" fontId="21" fillId="0" borderId="4" xfId="0" applyFont="1" applyBorder="1" applyAlignment="1"/>
    <xf numFmtId="178" fontId="0" fillId="0" borderId="12" xfId="3" applyNumberFormat="1" applyFont="1" applyBorder="1">
      <alignment vertical="center"/>
    </xf>
    <xf numFmtId="10" fontId="20" fillId="0" borderId="12" xfId="3" applyNumberFormat="1" applyFont="1" applyBorder="1" applyAlignment="1"/>
    <xf numFmtId="178" fontId="21" fillId="0" borderId="4" xfId="3" applyNumberFormat="1" applyFont="1" applyBorder="1" applyAlignment="1"/>
    <xf numFmtId="0" fontId="0" fillId="3" borderId="12" xfId="0" applyFill="1" applyBorder="1" applyAlignment="1">
      <alignment horizontal="right" vertical="center"/>
    </xf>
    <xf numFmtId="178" fontId="0" fillId="0" borderId="12" xfId="3" applyNumberFormat="1" applyFont="1" applyBorder="1" applyAlignment="1">
      <alignment horizontal="right" vertical="center"/>
    </xf>
    <xf numFmtId="1" fontId="0" fillId="0" borderId="12" xfId="0" applyNumberFormat="1" applyBorder="1" applyAlignment="1">
      <alignment horizontal="right" vertical="center"/>
    </xf>
    <xf numFmtId="1" fontId="0" fillId="0" borderId="12" xfId="0" applyNumberFormat="1" applyBorder="1">
      <alignment vertical="center"/>
    </xf>
    <xf numFmtId="178" fontId="0" fillId="0" borderId="12" xfId="3" applyNumberFormat="1" applyFont="1" applyFill="1" applyBorder="1" applyAlignment="1">
      <alignment horizontal="right" vertical="center"/>
    </xf>
    <xf numFmtId="181" fontId="0" fillId="0" borderId="12" xfId="3" applyNumberFormat="1" applyFont="1" applyFill="1" applyBorder="1" applyAlignment="1">
      <alignment horizontal="right" vertical="center"/>
    </xf>
    <xf numFmtId="181" fontId="0" fillId="0" borderId="0" xfId="0" applyNumberFormat="1" applyAlignment="1">
      <alignment horizontal="right" vertical="center"/>
    </xf>
    <xf numFmtId="176" fontId="0" fillId="0" borderId="12" xfId="0" applyNumberFormat="1" applyBorder="1" applyAlignment="1">
      <alignment horizontal="right" vertical="center"/>
    </xf>
    <xf numFmtId="0" fontId="23" fillId="0" borderId="12" xfId="0" applyFont="1" applyBorder="1" applyAlignment="1">
      <alignment horizontal="left" vertical="center"/>
    </xf>
    <xf numFmtId="0" fontId="24" fillId="0" borderId="12" xfId="0" applyFont="1" applyBorder="1" applyAlignment="1">
      <alignment horizontal="right" vertical="center"/>
    </xf>
    <xf numFmtId="181" fontId="20" fillId="0" borderId="12" xfId="3" applyNumberFormat="1" applyFont="1" applyBorder="1" applyAlignment="1"/>
    <xf numFmtId="181" fontId="20" fillId="0" borderId="12" xfId="3" applyNumberFormat="1" applyFont="1" applyBorder="1">
      <alignment vertical="center"/>
    </xf>
    <xf numFmtId="176" fontId="0" fillId="0" borderId="14" xfId="0" applyNumberFormat="1" applyBorder="1" applyAlignment="1">
      <alignment horizontal="right" vertical="center"/>
    </xf>
    <xf numFmtId="177" fontId="0" fillId="0" borderId="0" xfId="0" applyNumberFormat="1" applyAlignment="1">
      <alignment horizontal="center" vertical="center"/>
    </xf>
    <xf numFmtId="0" fontId="17" fillId="5" borderId="0" xfId="0" applyFont="1" applyFill="1">
      <alignment vertical="center"/>
    </xf>
    <xf numFmtId="0" fontId="17" fillId="5" borderId="4" xfId="0" applyFont="1" applyFill="1" applyBorder="1" applyAlignment="1">
      <alignment horizontal="left" vertical="center"/>
    </xf>
    <xf numFmtId="0" fontId="17" fillId="5" borderId="5" xfId="0" applyFont="1" applyFill="1" applyBorder="1" applyAlignment="1">
      <alignment horizontal="left" vertical="center"/>
    </xf>
    <xf numFmtId="0" fontId="17" fillId="5" borderId="6" xfId="0" applyFont="1" applyFill="1" applyBorder="1" applyAlignment="1">
      <alignment horizontal="left" vertical="center"/>
    </xf>
    <xf numFmtId="0" fontId="17" fillId="7" borderId="4" xfId="0" applyFont="1" applyFill="1" applyBorder="1" applyAlignment="1">
      <alignment horizontal="left" vertical="center"/>
    </xf>
    <xf numFmtId="0" fontId="17" fillId="7" borderId="6" xfId="0" applyFont="1" applyFill="1" applyBorder="1" applyAlignment="1">
      <alignment horizontal="left" vertical="center"/>
    </xf>
    <xf numFmtId="0" fontId="17" fillId="5" borderId="0" xfId="0" applyFont="1" applyFill="1" applyAlignment="1">
      <alignment horizontal="left" vertical="center"/>
    </xf>
    <xf numFmtId="0" fontId="7" fillId="0" borderId="0" xfId="5" applyFont="1" applyAlignment="1">
      <alignment horizontal="center" vertical="center" wrapText="1"/>
    </xf>
    <xf numFmtId="0" fontId="7" fillId="0" borderId="10" xfId="5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7" fillId="0" borderId="12" xfId="5" applyFont="1" applyBorder="1" applyAlignment="1">
      <alignment horizontal="center" vertical="center" wrapText="1"/>
    </xf>
  </cellXfs>
  <cellStyles count="7">
    <cellStyle name="百分比" xfId="3" builtinId="5"/>
    <cellStyle name="常规" xfId="0" builtinId="0"/>
    <cellStyle name="常规 2" xfId="2" xr:uid="{23E04D12-E93B-449F-8A33-712EB12C0B3E}"/>
    <cellStyle name="常规 3" xfId="4" xr:uid="{A74C0CB4-AB9B-4C57-99C9-5CE363D25C13}"/>
    <cellStyle name="常规 4" xfId="1" xr:uid="{A4299B3C-6071-4C58-BB0F-546F62D18D54}"/>
    <cellStyle name="常规 5" xfId="5" xr:uid="{9731F0F5-FD33-4F6C-A053-556C331FB34B}"/>
    <cellStyle name="超链接 2" xfId="6" xr:uid="{3F561D1F-FF89-4FF3-847A-168C192FF13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areaChart>
        <c:grouping val="stacked"/>
        <c:varyColors val="0"/>
        <c:ser>
          <c:idx val="2"/>
          <c:order val="0"/>
          <c:tx>
            <c:strRef>
              <c:f>'增加值 (2001-2060, 2020RMB)'!$A$5</c:f>
              <c:strCache>
                <c:ptCount val="1"/>
                <c:pt idx="0">
                  <c:v>建筑业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'增加值 (2001-2060, 2020RMB)'!$B$1:$BI$1</c:f>
              <c:numCache>
                <c:formatCode>General</c:formatCode>
                <c:ptCount val="6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  <c:pt idx="26">
                  <c:v>2027</c:v>
                </c:pt>
                <c:pt idx="27">
                  <c:v>2028</c:v>
                </c:pt>
                <c:pt idx="28">
                  <c:v>2029</c:v>
                </c:pt>
                <c:pt idx="29">
                  <c:v>2030</c:v>
                </c:pt>
                <c:pt idx="30">
                  <c:v>2031</c:v>
                </c:pt>
                <c:pt idx="31">
                  <c:v>2032</c:v>
                </c:pt>
                <c:pt idx="32">
                  <c:v>2033</c:v>
                </c:pt>
                <c:pt idx="33">
                  <c:v>2034</c:v>
                </c:pt>
                <c:pt idx="34">
                  <c:v>2035</c:v>
                </c:pt>
                <c:pt idx="35">
                  <c:v>2036</c:v>
                </c:pt>
                <c:pt idx="36">
                  <c:v>2037</c:v>
                </c:pt>
                <c:pt idx="37">
                  <c:v>2038</c:v>
                </c:pt>
                <c:pt idx="38">
                  <c:v>2039</c:v>
                </c:pt>
                <c:pt idx="39">
                  <c:v>2040</c:v>
                </c:pt>
                <c:pt idx="40">
                  <c:v>2041</c:v>
                </c:pt>
                <c:pt idx="41">
                  <c:v>2042</c:v>
                </c:pt>
                <c:pt idx="42">
                  <c:v>2043</c:v>
                </c:pt>
                <c:pt idx="43">
                  <c:v>2044</c:v>
                </c:pt>
                <c:pt idx="44">
                  <c:v>2045</c:v>
                </c:pt>
                <c:pt idx="45">
                  <c:v>2046</c:v>
                </c:pt>
                <c:pt idx="46">
                  <c:v>2047</c:v>
                </c:pt>
                <c:pt idx="47">
                  <c:v>2048</c:v>
                </c:pt>
                <c:pt idx="48">
                  <c:v>2049</c:v>
                </c:pt>
                <c:pt idx="49">
                  <c:v>2050</c:v>
                </c:pt>
                <c:pt idx="50">
                  <c:v>2051</c:v>
                </c:pt>
                <c:pt idx="51">
                  <c:v>2052</c:v>
                </c:pt>
                <c:pt idx="52">
                  <c:v>2053</c:v>
                </c:pt>
                <c:pt idx="53">
                  <c:v>2054</c:v>
                </c:pt>
                <c:pt idx="54">
                  <c:v>2055</c:v>
                </c:pt>
                <c:pt idx="55">
                  <c:v>2056</c:v>
                </c:pt>
                <c:pt idx="56">
                  <c:v>2057</c:v>
                </c:pt>
                <c:pt idx="57">
                  <c:v>2058</c:v>
                </c:pt>
                <c:pt idx="58">
                  <c:v>2059</c:v>
                </c:pt>
                <c:pt idx="59">
                  <c:v>2060</c:v>
                </c:pt>
              </c:numCache>
            </c:numRef>
          </c:cat>
          <c:val>
            <c:numRef>
              <c:f>'增加值 (2001-2060, 2020RMB)'!$B$5:$BI$5</c:f>
              <c:numCache>
                <c:formatCode>0_);[Red]\(0\)</c:formatCode>
                <c:ptCount val="60"/>
                <c:pt idx="0">
                  <c:v>11181.133378356233</c:v>
                </c:pt>
                <c:pt idx="1">
                  <c:v>12113.57335174635</c:v>
                </c:pt>
                <c:pt idx="2">
                  <c:v>13675.141587294222</c:v>
                </c:pt>
                <c:pt idx="3">
                  <c:v>14843.769360047083</c:v>
                </c:pt>
                <c:pt idx="4">
                  <c:v>17039.114768328702</c:v>
                </c:pt>
                <c:pt idx="5">
                  <c:v>19622.680762062624</c:v>
                </c:pt>
                <c:pt idx="6">
                  <c:v>22444.194102628626</c:v>
                </c:pt>
                <c:pt idx="7">
                  <c:v>25525.888969277854</c:v>
                </c:pt>
                <c:pt idx="8">
                  <c:v>30848.589489425267</c:v>
                </c:pt>
                <c:pt idx="9">
                  <c:v>34676.499557887699</c:v>
                </c:pt>
                <c:pt idx="10">
                  <c:v>38773.323458779632</c:v>
                </c:pt>
                <c:pt idx="11">
                  <c:v>42472.296546692742</c:v>
                </c:pt>
                <c:pt idx="12">
                  <c:v>46095.215645851218</c:v>
                </c:pt>
                <c:pt idx="13">
                  <c:v>50638.347628195064</c:v>
                </c:pt>
                <c:pt idx="14">
                  <c:v>53251.105784283529</c:v>
                </c:pt>
                <c:pt idx="15">
                  <c:v>56595.610575849489</c:v>
                </c:pt>
                <c:pt idx="16">
                  <c:v>61025.280239916909</c:v>
                </c:pt>
                <c:pt idx="17">
                  <c:v>66656.46135676594</c:v>
                </c:pt>
                <c:pt idx="18">
                  <c:v>71022.878800094404</c:v>
                </c:pt>
                <c:pt idx="19">
                  <c:v>72444.7</c:v>
                </c:pt>
                <c:pt idx="20">
                  <c:v>76614.920254027675</c:v>
                </c:pt>
                <c:pt idx="21">
                  <c:v>77971.748616420751</c:v>
                </c:pt>
                <c:pt idx="22">
                  <c:v>81718.592164723203</c:v>
                </c:pt>
                <c:pt idx="23">
                  <c:v>85700.351361091452</c:v>
                </c:pt>
                <c:pt idx="24">
                  <c:v>89848.947766887009</c:v>
                </c:pt>
                <c:pt idx="25">
                  <c:v>94081.145591891735</c:v>
                </c:pt>
                <c:pt idx="26">
                  <c:v>98297.381619859414</c:v>
                </c:pt>
                <c:pt idx="27">
                  <c:v>102381.5252344701</c:v>
                </c:pt>
                <c:pt idx="28">
                  <c:v>106201.84855555531</c:v>
                </c:pt>
                <c:pt idx="29">
                  <c:v>109613.47211645183</c:v>
                </c:pt>
                <c:pt idx="30">
                  <c:v>112504.7385764627</c:v>
                </c:pt>
                <c:pt idx="31">
                  <c:v>114936.7118095749</c:v>
                </c:pt>
                <c:pt idx="32">
                  <c:v>117029.9309807307</c:v>
                </c:pt>
                <c:pt idx="33">
                  <c:v>118919.8930790796</c:v>
                </c:pt>
                <c:pt idx="34">
                  <c:v>120753.74411834625</c:v>
                </c:pt>
                <c:pt idx="35">
                  <c:v>122659.836259519</c:v>
                </c:pt>
                <c:pt idx="36">
                  <c:v>124657.6536978496</c:v>
                </c:pt>
                <c:pt idx="37">
                  <c:v>126738.164598777</c:v>
                </c:pt>
                <c:pt idx="38">
                  <c:v>128891.6788785129</c:v>
                </c:pt>
                <c:pt idx="39">
                  <c:v>131107.7772567721</c:v>
                </c:pt>
                <c:pt idx="40">
                  <c:v>133375.2480550576</c:v>
                </c:pt>
                <c:pt idx="41">
                  <c:v>135682.032911107</c:v>
                </c:pt>
                <c:pt idx="42">
                  <c:v>138015.18273496121</c:v>
                </c:pt>
                <c:pt idx="43">
                  <c:v>140360.82536439749</c:v>
                </c:pt>
                <c:pt idx="44">
                  <c:v>142704.14648196971</c:v>
                </c:pt>
                <c:pt idx="45">
                  <c:v>145029.3854267202</c:v>
                </c:pt>
                <c:pt idx="46">
                  <c:v>147319.84756446761</c:v>
                </c:pt>
                <c:pt idx="47">
                  <c:v>149557.93486475729</c:v>
                </c:pt>
                <c:pt idx="48">
                  <c:v>151725.19626351789</c:v>
                </c:pt>
                <c:pt idx="49">
                  <c:v>153802.39926175456</c:v>
                </c:pt>
                <c:pt idx="50">
                  <c:v>155769.6240165527</c:v>
                </c:pt>
                <c:pt idx="51">
                  <c:v>157606.38091640419</c:v>
                </c:pt>
                <c:pt idx="52">
                  <c:v>159291.75229514041</c:v>
                </c:pt>
                <c:pt idx="53">
                  <c:v>160804.5585259785</c:v>
                </c:pt>
                <c:pt idx="54">
                  <c:v>162123.5482501784</c:v>
                </c:pt>
                <c:pt idx="55">
                  <c:v>163227.6119370567</c:v>
                </c:pt>
                <c:pt idx="56">
                  <c:v>164096.01735018639</c:v>
                </c:pt>
                <c:pt idx="57">
                  <c:v>164708.66481859001</c:v>
                </c:pt>
                <c:pt idx="58">
                  <c:v>165046.35949522519</c:v>
                </c:pt>
                <c:pt idx="59">
                  <c:v>165091.09704551578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342-48DF-ADE5-1680B1A1B7F5}"/>
            </c:ext>
          </c:extLst>
        </c:ser>
        <c:ser>
          <c:idx val="3"/>
          <c:order val="1"/>
          <c:tx>
            <c:strRef>
              <c:f>'增加值 (2001-2060, 2020RMB)'!$A$6</c:f>
              <c:strCache>
                <c:ptCount val="1"/>
                <c:pt idx="0">
                  <c:v>交运仓邮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'增加值 (2001-2060, 2020RMB)'!$B$1:$BI$1</c:f>
              <c:numCache>
                <c:formatCode>General</c:formatCode>
                <c:ptCount val="6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  <c:pt idx="26">
                  <c:v>2027</c:v>
                </c:pt>
                <c:pt idx="27">
                  <c:v>2028</c:v>
                </c:pt>
                <c:pt idx="28">
                  <c:v>2029</c:v>
                </c:pt>
                <c:pt idx="29">
                  <c:v>2030</c:v>
                </c:pt>
                <c:pt idx="30">
                  <c:v>2031</c:v>
                </c:pt>
                <c:pt idx="31">
                  <c:v>2032</c:v>
                </c:pt>
                <c:pt idx="32">
                  <c:v>2033</c:v>
                </c:pt>
                <c:pt idx="33">
                  <c:v>2034</c:v>
                </c:pt>
                <c:pt idx="34">
                  <c:v>2035</c:v>
                </c:pt>
                <c:pt idx="35">
                  <c:v>2036</c:v>
                </c:pt>
                <c:pt idx="36">
                  <c:v>2037</c:v>
                </c:pt>
                <c:pt idx="37">
                  <c:v>2038</c:v>
                </c:pt>
                <c:pt idx="38">
                  <c:v>2039</c:v>
                </c:pt>
                <c:pt idx="39">
                  <c:v>2040</c:v>
                </c:pt>
                <c:pt idx="40">
                  <c:v>2041</c:v>
                </c:pt>
                <c:pt idx="41">
                  <c:v>2042</c:v>
                </c:pt>
                <c:pt idx="42">
                  <c:v>2043</c:v>
                </c:pt>
                <c:pt idx="43">
                  <c:v>2044</c:v>
                </c:pt>
                <c:pt idx="44">
                  <c:v>2045</c:v>
                </c:pt>
                <c:pt idx="45">
                  <c:v>2046</c:v>
                </c:pt>
                <c:pt idx="46">
                  <c:v>2047</c:v>
                </c:pt>
                <c:pt idx="47">
                  <c:v>2048</c:v>
                </c:pt>
                <c:pt idx="48">
                  <c:v>2049</c:v>
                </c:pt>
                <c:pt idx="49">
                  <c:v>2050</c:v>
                </c:pt>
                <c:pt idx="50">
                  <c:v>2051</c:v>
                </c:pt>
                <c:pt idx="51">
                  <c:v>2052</c:v>
                </c:pt>
                <c:pt idx="52">
                  <c:v>2053</c:v>
                </c:pt>
                <c:pt idx="53">
                  <c:v>2054</c:v>
                </c:pt>
                <c:pt idx="54">
                  <c:v>2055</c:v>
                </c:pt>
                <c:pt idx="55">
                  <c:v>2056</c:v>
                </c:pt>
                <c:pt idx="56">
                  <c:v>2057</c:v>
                </c:pt>
                <c:pt idx="57">
                  <c:v>2058</c:v>
                </c:pt>
                <c:pt idx="58">
                  <c:v>2059</c:v>
                </c:pt>
                <c:pt idx="59">
                  <c:v>2060</c:v>
                </c:pt>
              </c:numCache>
            </c:numRef>
          </c:cat>
          <c:val>
            <c:numRef>
              <c:f>'增加值 (2001-2060, 2020RMB)'!$B$6:$BI$6</c:f>
              <c:numCache>
                <c:formatCode>0_);[Red]\(0\)</c:formatCode>
                <c:ptCount val="60"/>
                <c:pt idx="0">
                  <c:v>12922.19691913198</c:v>
                </c:pt>
                <c:pt idx="1">
                  <c:v>14005.145364926902</c:v>
                </c:pt>
                <c:pt idx="2">
                  <c:v>14410.716652702284</c:v>
                </c:pt>
                <c:pt idx="3">
                  <c:v>15841.240702858573</c:v>
                </c:pt>
                <c:pt idx="4">
                  <c:v>17478.670029358709</c:v>
                </c:pt>
                <c:pt idx="5">
                  <c:v>19206.903926131014</c:v>
                </c:pt>
                <c:pt idx="6">
                  <c:v>21357.812046410043</c:v>
                </c:pt>
                <c:pt idx="7">
                  <c:v>22214.293173693201</c:v>
                </c:pt>
                <c:pt idx="8">
                  <c:v>22471.738420302012</c:v>
                </c:pt>
                <c:pt idx="9">
                  <c:v>23894.578991226455</c:v>
                </c:pt>
                <c:pt idx="10">
                  <c:v>25720.526961160911</c:v>
                </c:pt>
                <c:pt idx="11">
                  <c:v>27354.589707269035</c:v>
                </c:pt>
                <c:pt idx="12">
                  <c:v>29353.002496532965</c:v>
                </c:pt>
                <c:pt idx="13">
                  <c:v>31825.567469102905</c:v>
                </c:pt>
                <c:pt idx="14">
                  <c:v>34027.489263973992</c:v>
                </c:pt>
                <c:pt idx="15">
                  <c:v>36297.463499736106</c:v>
                </c:pt>
                <c:pt idx="16">
                  <c:v>39121.852645308427</c:v>
                </c:pt>
                <c:pt idx="17">
                  <c:v>41053.77693860625</c:v>
                </c:pt>
                <c:pt idx="18">
                  <c:v>42691.5780889854</c:v>
                </c:pt>
                <c:pt idx="19">
                  <c:v>40582.9</c:v>
                </c:pt>
                <c:pt idx="20">
                  <c:v>44991.98369146973</c:v>
                </c:pt>
                <c:pt idx="21">
                  <c:v>46450.003049149032</c:v>
                </c:pt>
                <c:pt idx="22">
                  <c:v>48311.096009389643</c:v>
                </c:pt>
                <c:pt idx="23">
                  <c:v>50291.27062116388</c:v>
                </c:pt>
                <c:pt idx="24">
                  <c:v>52364.670461178488</c:v>
                </c:pt>
                <c:pt idx="25">
                  <c:v>54500.396684875261</c:v>
                </c:pt>
                <c:pt idx="26">
                  <c:v>56662.00623931329</c:v>
                </c:pt>
                <c:pt idx="27">
                  <c:v>58807.227010766197</c:v>
                </c:pt>
                <c:pt idx="28">
                  <c:v>60887.956392395252</c:v>
                </c:pt>
                <c:pt idx="29">
                  <c:v>62850.61205207678</c:v>
                </c:pt>
                <c:pt idx="30">
                  <c:v>64650.657604550259</c:v>
                </c:pt>
                <c:pt idx="31">
                  <c:v>66297.833437558278</c:v>
                </c:pt>
                <c:pt idx="32">
                  <c:v>67820.149600441378</c:v>
                </c:pt>
                <c:pt idx="33">
                  <c:v>69250.23188956693</c:v>
                </c:pt>
                <c:pt idx="34">
                  <c:v>70624.740588899484</c:v>
                </c:pt>
                <c:pt idx="35">
                  <c:v>71975.236698282592</c:v>
                </c:pt>
                <c:pt idx="36">
                  <c:v>73300.506101082443</c:v>
                </c:pt>
                <c:pt idx="37">
                  <c:v>74590.394924386637</c:v>
                </c:pt>
                <c:pt idx="38">
                  <c:v>75834.238200734981</c:v>
                </c:pt>
                <c:pt idx="39">
                  <c:v>77020.913507970909</c:v>
                </c:pt>
                <c:pt idx="40">
                  <c:v>78138.90911827446</c:v>
                </c:pt>
                <c:pt idx="41">
                  <c:v>79176.407169025828</c:v>
                </c:pt>
                <c:pt idx="42">
                  <c:v>80121.382101401003</c:v>
                </c:pt>
                <c:pt idx="43">
                  <c:v>80961.714294988473</c:v>
                </c:pt>
                <c:pt idx="44">
                  <c:v>81685.318460407376</c:v>
                </c:pt>
                <c:pt idx="45">
                  <c:v>82280.285941250637</c:v>
                </c:pt>
                <c:pt idx="46">
                  <c:v>82735.039628527331</c:v>
                </c:pt>
                <c:pt idx="47">
                  <c:v>83038.499714584119</c:v>
                </c:pt>
                <c:pt idx="48">
                  <c:v>83180.258021408561</c:v>
                </c:pt>
                <c:pt idx="49">
                  <c:v>83150.758145039159</c:v>
                </c:pt>
                <c:pt idx="50">
                  <c:v>82941.478180774211</c:v>
                </c:pt>
                <c:pt idx="51">
                  <c:v>82545.112352264012</c:v>
                </c:pt>
                <c:pt idx="52">
                  <c:v>81955.747482272738</c:v>
                </c:pt>
                <c:pt idx="53">
                  <c:v>81169.029935552084</c:v>
                </c:pt>
                <c:pt idx="54">
                  <c:v>80182.318456549707</c:v>
                </c:pt>
                <c:pt idx="55">
                  <c:v>78994.818237148153</c:v>
                </c:pt>
                <c:pt idx="56">
                  <c:v>77607.691600665348</c:v>
                </c:pt>
                <c:pt idx="57">
                  <c:v>76024.140892946321</c:v>
                </c:pt>
                <c:pt idx="58">
                  <c:v>74249.459539873613</c:v>
                </c:pt>
                <c:pt idx="59">
                  <c:v>72291.047767686745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342-48DF-ADE5-1680B1A1B7F5}"/>
            </c:ext>
          </c:extLst>
        </c:ser>
        <c:ser>
          <c:idx val="4"/>
          <c:order val="2"/>
          <c:tx>
            <c:strRef>
              <c:f>'增加值 (2001-2060, 2020RMB)'!$A$7</c:f>
              <c:strCache>
                <c:ptCount val="1"/>
                <c:pt idx="0">
                  <c:v>批发零售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'增加值 (2001-2060, 2020RMB)'!$B$1:$BI$1</c:f>
              <c:numCache>
                <c:formatCode>General</c:formatCode>
                <c:ptCount val="6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  <c:pt idx="26">
                  <c:v>2027</c:v>
                </c:pt>
                <c:pt idx="27">
                  <c:v>2028</c:v>
                </c:pt>
                <c:pt idx="28">
                  <c:v>2029</c:v>
                </c:pt>
                <c:pt idx="29">
                  <c:v>2030</c:v>
                </c:pt>
                <c:pt idx="30">
                  <c:v>2031</c:v>
                </c:pt>
                <c:pt idx="31">
                  <c:v>2032</c:v>
                </c:pt>
                <c:pt idx="32">
                  <c:v>2033</c:v>
                </c:pt>
                <c:pt idx="33">
                  <c:v>2034</c:v>
                </c:pt>
                <c:pt idx="34">
                  <c:v>2035</c:v>
                </c:pt>
                <c:pt idx="35">
                  <c:v>2036</c:v>
                </c:pt>
                <c:pt idx="36">
                  <c:v>2037</c:v>
                </c:pt>
                <c:pt idx="37">
                  <c:v>2038</c:v>
                </c:pt>
                <c:pt idx="38">
                  <c:v>2039</c:v>
                </c:pt>
                <c:pt idx="39">
                  <c:v>2040</c:v>
                </c:pt>
                <c:pt idx="40">
                  <c:v>2041</c:v>
                </c:pt>
                <c:pt idx="41">
                  <c:v>2042</c:v>
                </c:pt>
                <c:pt idx="42">
                  <c:v>2043</c:v>
                </c:pt>
                <c:pt idx="43">
                  <c:v>2044</c:v>
                </c:pt>
                <c:pt idx="44">
                  <c:v>2045</c:v>
                </c:pt>
                <c:pt idx="45">
                  <c:v>2046</c:v>
                </c:pt>
                <c:pt idx="46">
                  <c:v>2047</c:v>
                </c:pt>
                <c:pt idx="47">
                  <c:v>2048</c:v>
                </c:pt>
                <c:pt idx="48">
                  <c:v>2049</c:v>
                </c:pt>
                <c:pt idx="49">
                  <c:v>2050</c:v>
                </c:pt>
                <c:pt idx="50">
                  <c:v>2051</c:v>
                </c:pt>
                <c:pt idx="51">
                  <c:v>2052</c:v>
                </c:pt>
                <c:pt idx="52">
                  <c:v>2053</c:v>
                </c:pt>
                <c:pt idx="53">
                  <c:v>2054</c:v>
                </c:pt>
                <c:pt idx="54">
                  <c:v>2055</c:v>
                </c:pt>
                <c:pt idx="55">
                  <c:v>2056</c:v>
                </c:pt>
                <c:pt idx="56">
                  <c:v>2057</c:v>
                </c:pt>
                <c:pt idx="57">
                  <c:v>2058</c:v>
                </c:pt>
                <c:pt idx="58">
                  <c:v>2059</c:v>
                </c:pt>
                <c:pt idx="59">
                  <c:v>2060</c:v>
                </c:pt>
              </c:numCache>
            </c:numRef>
          </c:cat>
          <c:val>
            <c:numRef>
              <c:f>'增加值 (2001-2060, 2020RMB)'!$B$7:$BI$7</c:f>
              <c:numCache>
                <c:formatCode>0_);[Red]\(0\)</c:formatCode>
                <c:ptCount val="60"/>
                <c:pt idx="0">
                  <c:v>17152.616485966111</c:v>
                </c:pt>
                <c:pt idx="1">
                  <c:v>18681.749754360146</c:v>
                </c:pt>
                <c:pt idx="2">
                  <c:v>20339.742996748846</c:v>
                </c:pt>
                <c:pt idx="3">
                  <c:v>21201.883194183185</c:v>
                </c:pt>
                <c:pt idx="4">
                  <c:v>22884.560803942069</c:v>
                </c:pt>
                <c:pt idx="5">
                  <c:v>26058.395523850108</c:v>
                </c:pt>
                <c:pt idx="6">
                  <c:v>30623.280761177761</c:v>
                </c:pt>
                <c:pt idx="7">
                  <c:v>35540.208943581521</c:v>
                </c:pt>
                <c:pt idx="8">
                  <c:v>39448.493208340893</c:v>
                </c:pt>
                <c:pt idx="9">
                  <c:v>45678.365859529622</c:v>
                </c:pt>
                <c:pt idx="10">
                  <c:v>51500.521306789298</c:v>
                </c:pt>
                <c:pt idx="11">
                  <c:v>57367.259264602661</c:v>
                </c:pt>
                <c:pt idx="12">
                  <c:v>63443.814282969681</c:v>
                </c:pt>
                <c:pt idx="13">
                  <c:v>70456.495572018976</c:v>
                </c:pt>
                <c:pt idx="14">
                  <c:v>75503.463751392177</c:v>
                </c:pt>
                <c:pt idx="15">
                  <c:v>81020.819704871668</c:v>
                </c:pt>
                <c:pt idx="16">
                  <c:v>85528.934305470306</c:v>
                </c:pt>
                <c:pt idx="17">
                  <c:v>90483.044653986115</c:v>
                </c:pt>
                <c:pt idx="18">
                  <c:v>96158.315337849839</c:v>
                </c:pt>
                <c:pt idx="19">
                  <c:v>96086.1</c:v>
                </c:pt>
                <c:pt idx="20">
                  <c:v>105634.48778242921</c:v>
                </c:pt>
                <c:pt idx="21">
                  <c:v>107085.79216328831</c:v>
                </c:pt>
                <c:pt idx="22">
                  <c:v>111656.9444446438</c:v>
                </c:pt>
                <c:pt idx="23">
                  <c:v>116516.9047777411</c:v>
                </c:pt>
                <c:pt idx="24">
                  <c:v>121606.90352640692</c:v>
                </c:pt>
                <c:pt idx="25">
                  <c:v>126855.817191599</c:v>
                </c:pt>
                <c:pt idx="26">
                  <c:v>132178.91612173361</c:v>
                </c:pt>
                <c:pt idx="27">
                  <c:v>137477.11275616309</c:v>
                </c:pt>
                <c:pt idx="28">
                  <c:v>142636.87389263569</c:v>
                </c:pt>
                <c:pt idx="29">
                  <c:v>147530.96732895877</c:v>
                </c:pt>
                <c:pt idx="30">
                  <c:v>152052.59302401391</c:v>
                </c:pt>
                <c:pt idx="31">
                  <c:v>156222.3271968395</c:v>
                </c:pt>
                <c:pt idx="32">
                  <c:v>160104.2624384863</c:v>
                </c:pt>
                <c:pt idx="33">
                  <c:v>163774.05103162781</c:v>
                </c:pt>
                <c:pt idx="34">
                  <c:v>167317.58311285393</c:v>
                </c:pt>
                <c:pt idx="35">
                  <c:v>170809.3174298025</c:v>
                </c:pt>
                <c:pt idx="36">
                  <c:v>174246.2404069789</c:v>
                </c:pt>
                <c:pt idx="37">
                  <c:v>177604.04952518779</c:v>
                </c:pt>
                <c:pt idx="38">
                  <c:v>180857.11685745479</c:v>
                </c:pt>
                <c:pt idx="39">
                  <c:v>183978.61207539469</c:v>
                </c:pt>
                <c:pt idx="40">
                  <c:v>186940.66038418171</c:v>
                </c:pt>
                <c:pt idx="41">
                  <c:v>189714.5368016776</c:v>
                </c:pt>
                <c:pt idx="42">
                  <c:v>192270.8975757882</c:v>
                </c:pt>
                <c:pt idx="43">
                  <c:v>194580.04878973751</c:v>
                </c:pt>
                <c:pt idx="44">
                  <c:v>196612.25134180591</c:v>
                </c:pt>
                <c:pt idx="45">
                  <c:v>198338.06051361019</c:v>
                </c:pt>
                <c:pt idx="46">
                  <c:v>199728.69727427719</c:v>
                </c:pt>
                <c:pt idx="47">
                  <c:v>200756.4473283125</c:v>
                </c:pt>
                <c:pt idx="48">
                  <c:v>201395.08273029249</c:v>
                </c:pt>
                <c:pt idx="49">
                  <c:v>201620.29969384658</c:v>
                </c:pt>
                <c:pt idx="50">
                  <c:v>201410.16505572529</c:v>
                </c:pt>
                <c:pt idx="51">
                  <c:v>200745.5627632394</c:v>
                </c:pt>
                <c:pt idx="52">
                  <c:v>199610.63078409611</c:v>
                </c:pt>
                <c:pt idx="53">
                  <c:v>197993.17804314461</c:v>
                </c:pt>
                <c:pt idx="54">
                  <c:v>195885.07042254071</c:v>
                </c:pt>
                <c:pt idx="55">
                  <c:v>193282.574570292</c:v>
                </c:pt>
                <c:pt idx="56">
                  <c:v>190186.64829221461</c:v>
                </c:pt>
                <c:pt idx="57">
                  <c:v>186603.1666919183</c:v>
                </c:pt>
                <c:pt idx="58">
                  <c:v>182543.07400003029</c:v>
                </c:pt>
                <c:pt idx="59">
                  <c:v>178022.4522121099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342-48DF-ADE5-1680B1A1B7F5}"/>
            </c:ext>
          </c:extLst>
        </c:ser>
        <c:ser>
          <c:idx val="5"/>
          <c:order val="3"/>
          <c:tx>
            <c:strRef>
              <c:f>'增加值 (2001-2060, 2020RMB)'!$A$8</c:f>
              <c:strCache>
                <c:ptCount val="1"/>
                <c:pt idx="0">
                  <c:v>餐饮住宿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'增加值 (2001-2060, 2020RMB)'!$B$1:$BI$1</c:f>
              <c:numCache>
                <c:formatCode>General</c:formatCode>
                <c:ptCount val="6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  <c:pt idx="26">
                  <c:v>2027</c:v>
                </c:pt>
                <c:pt idx="27">
                  <c:v>2028</c:v>
                </c:pt>
                <c:pt idx="28">
                  <c:v>2029</c:v>
                </c:pt>
                <c:pt idx="29">
                  <c:v>2030</c:v>
                </c:pt>
                <c:pt idx="30">
                  <c:v>2031</c:v>
                </c:pt>
                <c:pt idx="31">
                  <c:v>2032</c:v>
                </c:pt>
                <c:pt idx="32">
                  <c:v>2033</c:v>
                </c:pt>
                <c:pt idx="33">
                  <c:v>2034</c:v>
                </c:pt>
                <c:pt idx="34">
                  <c:v>2035</c:v>
                </c:pt>
                <c:pt idx="35">
                  <c:v>2036</c:v>
                </c:pt>
                <c:pt idx="36">
                  <c:v>2037</c:v>
                </c:pt>
                <c:pt idx="37">
                  <c:v>2038</c:v>
                </c:pt>
                <c:pt idx="38">
                  <c:v>2039</c:v>
                </c:pt>
                <c:pt idx="39">
                  <c:v>2040</c:v>
                </c:pt>
                <c:pt idx="40">
                  <c:v>2041</c:v>
                </c:pt>
                <c:pt idx="41">
                  <c:v>2042</c:v>
                </c:pt>
                <c:pt idx="42">
                  <c:v>2043</c:v>
                </c:pt>
                <c:pt idx="43">
                  <c:v>2044</c:v>
                </c:pt>
                <c:pt idx="44">
                  <c:v>2045</c:v>
                </c:pt>
                <c:pt idx="45">
                  <c:v>2046</c:v>
                </c:pt>
                <c:pt idx="46">
                  <c:v>2047</c:v>
                </c:pt>
                <c:pt idx="47">
                  <c:v>2048</c:v>
                </c:pt>
                <c:pt idx="48">
                  <c:v>2049</c:v>
                </c:pt>
                <c:pt idx="49">
                  <c:v>2050</c:v>
                </c:pt>
                <c:pt idx="50">
                  <c:v>2051</c:v>
                </c:pt>
                <c:pt idx="51">
                  <c:v>2052</c:v>
                </c:pt>
                <c:pt idx="52">
                  <c:v>2053</c:v>
                </c:pt>
                <c:pt idx="53">
                  <c:v>2054</c:v>
                </c:pt>
                <c:pt idx="54">
                  <c:v>2055</c:v>
                </c:pt>
                <c:pt idx="55">
                  <c:v>2056</c:v>
                </c:pt>
                <c:pt idx="56">
                  <c:v>2057</c:v>
                </c:pt>
                <c:pt idx="57">
                  <c:v>2058</c:v>
                </c:pt>
                <c:pt idx="58">
                  <c:v>2059</c:v>
                </c:pt>
                <c:pt idx="59">
                  <c:v>2060</c:v>
                </c:pt>
              </c:numCache>
            </c:numRef>
          </c:cat>
          <c:val>
            <c:numRef>
              <c:f>'增加值 (2001-2060, 2020RMB)'!$B$8:$BI$8</c:f>
              <c:numCache>
                <c:formatCode>0_);[Red]\(0\)</c:formatCode>
                <c:ptCount val="60"/>
                <c:pt idx="0">
                  <c:v>4513.6385874010248</c:v>
                </c:pt>
                <c:pt idx="1">
                  <c:v>5092.0326235075754</c:v>
                </c:pt>
                <c:pt idx="2">
                  <c:v>5691.7851781488607</c:v>
                </c:pt>
                <c:pt idx="3">
                  <c:v>6238.1108824838657</c:v>
                </c:pt>
                <c:pt idx="4">
                  <c:v>6873.8054741095848</c:v>
                </c:pt>
                <c:pt idx="5">
                  <c:v>7553.6469442222424</c:v>
                </c:pt>
                <c:pt idx="6">
                  <c:v>8113.2807727908448</c:v>
                </c:pt>
                <c:pt idx="7">
                  <c:v>8979.4462881834588</c:v>
                </c:pt>
                <c:pt idx="8">
                  <c:v>9462.0566134484743</c:v>
                </c:pt>
                <c:pt idx="9">
                  <c:v>9810.4193647830252</c:v>
                </c:pt>
                <c:pt idx="10">
                  <c:v>10086.374948865838</c:v>
                </c:pt>
                <c:pt idx="11">
                  <c:v>10978.23468974103</c:v>
                </c:pt>
                <c:pt idx="12">
                  <c:v>11528.425064808491</c:v>
                </c:pt>
                <c:pt idx="13">
                  <c:v>12523.822103857652</c:v>
                </c:pt>
                <c:pt idx="14">
                  <c:v>13720.594558606477</c:v>
                </c:pt>
                <c:pt idx="15">
                  <c:v>14954.528147087502</c:v>
                </c:pt>
                <c:pt idx="16">
                  <c:v>15867.146170529086</c:v>
                </c:pt>
                <c:pt idx="17">
                  <c:v>16814.082962921035</c:v>
                </c:pt>
                <c:pt idx="18">
                  <c:v>17998.073570923636</c:v>
                </c:pt>
                <c:pt idx="19">
                  <c:v>15285.4</c:v>
                </c:pt>
                <c:pt idx="20">
                  <c:v>17067.645704961466</c:v>
                </c:pt>
                <c:pt idx="21">
                  <c:v>16696.536385320014</c:v>
                </c:pt>
                <c:pt idx="22">
                  <c:v>17477.11131027971</c:v>
                </c:pt>
                <c:pt idx="23">
                  <c:v>18306.6081085429</c:v>
                </c:pt>
                <c:pt idx="24">
                  <c:v>19176.081219351425</c:v>
                </c:pt>
                <c:pt idx="25">
                  <c:v>20074.482325054571</c:v>
                </c:pt>
                <c:pt idx="26">
                  <c:v>20988.439130156999</c:v>
                </c:pt>
                <c:pt idx="27">
                  <c:v>21902.112124920379</c:v>
                </c:pt>
                <c:pt idx="28">
                  <c:v>22797.157360735731</c:v>
                </c:pt>
                <c:pt idx="29">
                  <c:v>23652.824768748607</c:v>
                </c:pt>
                <c:pt idx="30">
                  <c:v>24451.43650346026</c:v>
                </c:pt>
                <c:pt idx="31">
                  <c:v>25195.723518003739</c:v>
                </c:pt>
                <c:pt idx="32">
                  <c:v>25895.54634329542</c:v>
                </c:pt>
                <c:pt idx="33">
                  <c:v>26562.797344700411</c:v>
                </c:pt>
                <c:pt idx="34">
                  <c:v>27211.201860703073</c:v>
                </c:pt>
                <c:pt idx="35">
                  <c:v>27852.788697118991</c:v>
                </c:pt>
                <c:pt idx="36">
                  <c:v>28487.031976516751</c:v>
                </c:pt>
                <c:pt idx="37">
                  <c:v>29109.91625594144</c:v>
                </c:pt>
                <c:pt idx="38">
                  <c:v>29717.18168470544</c:v>
                </c:pt>
                <c:pt idx="39">
                  <c:v>30304.342753122499</c:v>
                </c:pt>
                <c:pt idx="40">
                  <c:v>30866.712858724881</c:v>
                </c:pt>
                <c:pt idx="41">
                  <c:v>31399.4349704091</c:v>
                </c:pt>
                <c:pt idx="42">
                  <c:v>31897.518573014921</c:v>
                </c:pt>
                <c:pt idx="43">
                  <c:v>32355.88295634486</c:v>
                </c:pt>
                <c:pt idx="44">
                  <c:v>32769.406774030089</c:v>
                </c:pt>
                <c:pt idx="45">
                  <c:v>33132.983640221137</c:v>
                </c:pt>
                <c:pt idx="46">
                  <c:v>33441.58335801967</c:v>
                </c:pt>
                <c:pt idx="47">
                  <c:v>33690.318186086268</c:v>
                </c:pt>
                <c:pt idx="48">
                  <c:v>33874.513353182207</c:v>
                </c:pt>
                <c:pt idx="49">
                  <c:v>33989.780829841307</c:v>
                </c:pt>
                <c:pt idx="50">
                  <c:v>34032.095168179287</c:v>
                </c:pt>
                <c:pt idx="51">
                  <c:v>33997.870032222352</c:v>
                </c:pt>
                <c:pt idx="52">
                  <c:v>33884.033869927029</c:v>
                </c:pt>
                <c:pt idx="53">
                  <c:v>33688.1030326482</c:v>
                </c:pt>
                <c:pt idx="54">
                  <c:v>33408.250536689069</c:v>
                </c:pt>
                <c:pt idx="55">
                  <c:v>33043.368593098567</c:v>
                </c:pt>
                <c:pt idx="56">
                  <c:v>32593.12301377788</c:v>
                </c:pt>
                <c:pt idx="57">
                  <c:v>32057.997640929079</c:v>
                </c:pt>
                <c:pt idx="58">
                  <c:v>31439.327048103161</c:v>
                </c:pt>
                <c:pt idx="59">
                  <c:v>30739.315927822794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342-48DF-ADE5-1680B1A1B7F5}"/>
            </c:ext>
          </c:extLst>
        </c:ser>
        <c:ser>
          <c:idx val="6"/>
          <c:order val="4"/>
          <c:tx>
            <c:strRef>
              <c:f>'增加值 (2001-2060, 2020RMB)'!$A$9</c:f>
              <c:strCache>
                <c:ptCount val="1"/>
                <c:pt idx="0">
                  <c:v>金融业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numRef>
              <c:f>'增加值 (2001-2060, 2020RMB)'!$B$1:$BI$1</c:f>
              <c:numCache>
                <c:formatCode>General</c:formatCode>
                <c:ptCount val="6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  <c:pt idx="26">
                  <c:v>2027</c:v>
                </c:pt>
                <c:pt idx="27">
                  <c:v>2028</c:v>
                </c:pt>
                <c:pt idx="28">
                  <c:v>2029</c:v>
                </c:pt>
                <c:pt idx="29">
                  <c:v>2030</c:v>
                </c:pt>
                <c:pt idx="30">
                  <c:v>2031</c:v>
                </c:pt>
                <c:pt idx="31">
                  <c:v>2032</c:v>
                </c:pt>
                <c:pt idx="32">
                  <c:v>2033</c:v>
                </c:pt>
                <c:pt idx="33">
                  <c:v>2034</c:v>
                </c:pt>
                <c:pt idx="34">
                  <c:v>2035</c:v>
                </c:pt>
                <c:pt idx="35">
                  <c:v>2036</c:v>
                </c:pt>
                <c:pt idx="36">
                  <c:v>2037</c:v>
                </c:pt>
                <c:pt idx="37">
                  <c:v>2038</c:v>
                </c:pt>
                <c:pt idx="38">
                  <c:v>2039</c:v>
                </c:pt>
                <c:pt idx="39">
                  <c:v>2040</c:v>
                </c:pt>
                <c:pt idx="40">
                  <c:v>2041</c:v>
                </c:pt>
                <c:pt idx="41">
                  <c:v>2042</c:v>
                </c:pt>
                <c:pt idx="42">
                  <c:v>2043</c:v>
                </c:pt>
                <c:pt idx="43">
                  <c:v>2044</c:v>
                </c:pt>
                <c:pt idx="44">
                  <c:v>2045</c:v>
                </c:pt>
                <c:pt idx="45">
                  <c:v>2046</c:v>
                </c:pt>
                <c:pt idx="46">
                  <c:v>2047</c:v>
                </c:pt>
                <c:pt idx="47">
                  <c:v>2048</c:v>
                </c:pt>
                <c:pt idx="48">
                  <c:v>2049</c:v>
                </c:pt>
                <c:pt idx="49">
                  <c:v>2050</c:v>
                </c:pt>
                <c:pt idx="50">
                  <c:v>2051</c:v>
                </c:pt>
                <c:pt idx="51">
                  <c:v>2052</c:v>
                </c:pt>
                <c:pt idx="52">
                  <c:v>2053</c:v>
                </c:pt>
                <c:pt idx="53">
                  <c:v>2054</c:v>
                </c:pt>
                <c:pt idx="54">
                  <c:v>2055</c:v>
                </c:pt>
                <c:pt idx="55">
                  <c:v>2056</c:v>
                </c:pt>
                <c:pt idx="56">
                  <c:v>2057</c:v>
                </c:pt>
                <c:pt idx="57">
                  <c:v>2058</c:v>
                </c:pt>
                <c:pt idx="58">
                  <c:v>2059</c:v>
                </c:pt>
                <c:pt idx="59">
                  <c:v>2060</c:v>
                </c:pt>
              </c:numCache>
            </c:numRef>
          </c:cat>
          <c:val>
            <c:numRef>
              <c:f>'增加值 (2001-2060, 2020RMB)'!$B$9:$BI$9</c:f>
              <c:numCache>
                <c:formatCode>0_);[Red]\(0\)</c:formatCode>
                <c:ptCount val="60"/>
                <c:pt idx="0">
                  <c:v>9784.408500699994</c:v>
                </c:pt>
                <c:pt idx="1">
                  <c:v>10382.528937787503</c:v>
                </c:pt>
                <c:pt idx="2">
                  <c:v>11007.589536974048</c:v>
                </c:pt>
                <c:pt idx="3">
                  <c:v>11234.659311987014</c:v>
                </c:pt>
                <c:pt idx="4">
                  <c:v>12264.296250729163</c:v>
                </c:pt>
                <c:pt idx="5">
                  <c:v>15717.404628357772</c:v>
                </c:pt>
                <c:pt idx="6">
                  <c:v>22227.765856134683</c:v>
                </c:pt>
                <c:pt idx="7">
                  <c:v>24898.85730634338</c:v>
                </c:pt>
                <c:pt idx="8">
                  <c:v>29699.732335281249</c:v>
                </c:pt>
                <c:pt idx="9">
                  <c:v>32735.023671667281</c:v>
                </c:pt>
                <c:pt idx="10">
                  <c:v>36207.040865314841</c:v>
                </c:pt>
                <c:pt idx="11">
                  <c:v>40602.972624593269</c:v>
                </c:pt>
                <c:pt idx="12">
                  <c:v>46542.227698753755</c:v>
                </c:pt>
                <c:pt idx="13">
                  <c:v>52257.487203405923</c:v>
                </c:pt>
                <c:pt idx="14">
                  <c:v>62771.042778023329</c:v>
                </c:pt>
                <c:pt idx="15">
                  <c:v>65898.479240726272</c:v>
                </c:pt>
                <c:pt idx="16">
                  <c:v>68337.804624444689</c:v>
                </c:pt>
                <c:pt idx="17">
                  <c:v>71864.668488840805</c:v>
                </c:pt>
                <c:pt idx="18">
                  <c:v>76655.099319507237</c:v>
                </c:pt>
                <c:pt idx="19">
                  <c:v>83617.7</c:v>
                </c:pt>
                <c:pt idx="20">
                  <c:v>87195.415071666503</c:v>
                </c:pt>
                <c:pt idx="21">
                  <c:v>90528.212015436089</c:v>
                </c:pt>
                <c:pt idx="22">
                  <c:v>94538.415553733445</c:v>
                </c:pt>
                <c:pt idx="23">
                  <c:v>99116.204206572205</c:v>
                </c:pt>
                <c:pt idx="24">
                  <c:v>104190.44399753914</c:v>
                </c:pt>
                <c:pt idx="25">
                  <c:v>109671.28164285921</c:v>
                </c:pt>
                <c:pt idx="26">
                  <c:v>115444.8783319933</c:v>
                </c:pt>
                <c:pt idx="27">
                  <c:v>121369.0806093361</c:v>
                </c:pt>
                <c:pt idx="28">
                  <c:v>127270.5768326089</c:v>
                </c:pt>
                <c:pt idx="29">
                  <c:v>132944.21379650323</c:v>
                </c:pt>
                <c:pt idx="30">
                  <c:v>138200.16333795019</c:v>
                </c:pt>
                <c:pt idx="31">
                  <c:v>143016.69740186949</c:v>
                </c:pt>
                <c:pt idx="32">
                  <c:v>147430.27730587841</c:v>
                </c:pt>
                <c:pt idx="33">
                  <c:v>151492.46959091121</c:v>
                </c:pt>
                <c:pt idx="34">
                  <c:v>155268.19719590069</c:v>
                </c:pt>
                <c:pt idx="35">
                  <c:v>158816.71684749809</c:v>
                </c:pt>
                <c:pt idx="36">
                  <c:v>162135.1320546419</c:v>
                </c:pt>
                <c:pt idx="37">
                  <c:v>165204.81152406131</c:v>
                </c:pt>
                <c:pt idx="38">
                  <c:v>168008.14403109031</c:v>
                </c:pt>
                <c:pt idx="39">
                  <c:v>170528.7036987087</c:v>
                </c:pt>
                <c:pt idx="40">
                  <c:v>172751.40773465449</c:v>
                </c:pt>
                <c:pt idx="41">
                  <c:v>174662.66454580019</c:v>
                </c:pt>
                <c:pt idx="42">
                  <c:v>176250.51022781979</c:v>
                </c:pt>
                <c:pt idx="43">
                  <c:v>177504.73154113651</c:v>
                </c:pt>
                <c:pt idx="44">
                  <c:v>178416.97363015401</c:v>
                </c:pt>
                <c:pt idx="45">
                  <c:v>178980.83092002079</c:v>
                </c:pt>
                <c:pt idx="46">
                  <c:v>179191.91983126849</c:v>
                </c:pt>
                <c:pt idx="47">
                  <c:v>179047.93218443339</c:v>
                </c:pt>
                <c:pt idx="48">
                  <c:v>178548.66842057739</c:v>
                </c:pt>
                <c:pt idx="49">
                  <c:v>177696.05003528664</c:v>
                </c:pt>
                <c:pt idx="50">
                  <c:v>176494.11090858359</c:v>
                </c:pt>
                <c:pt idx="51">
                  <c:v>174948.96750628861</c:v>
                </c:pt>
                <c:pt idx="52">
                  <c:v>173068.76822451569</c:v>
                </c:pt>
                <c:pt idx="53">
                  <c:v>170863.62244285151</c:v>
                </c:pt>
                <c:pt idx="54">
                  <c:v>168345.51013798159</c:v>
                </c:pt>
                <c:pt idx="55">
                  <c:v>165528.1731829569</c:v>
                </c:pt>
                <c:pt idx="56">
                  <c:v>162426.98971281521</c:v>
                </c:pt>
                <c:pt idx="57">
                  <c:v>159058.8331703743</c:v>
                </c:pt>
                <c:pt idx="58">
                  <c:v>155441.91785235991</c:v>
                </c:pt>
                <c:pt idx="59">
                  <c:v>151595.6329520476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342-48DF-ADE5-1680B1A1B7F5}"/>
            </c:ext>
          </c:extLst>
        </c:ser>
        <c:ser>
          <c:idx val="7"/>
          <c:order val="5"/>
          <c:tx>
            <c:strRef>
              <c:f>'增加值 (2001-2060, 2020RMB)'!$A$10</c:f>
              <c:strCache>
                <c:ptCount val="1"/>
                <c:pt idx="0">
                  <c:v>房地产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numRef>
              <c:f>'增加值 (2001-2060, 2020RMB)'!$B$1:$BI$1</c:f>
              <c:numCache>
                <c:formatCode>General</c:formatCode>
                <c:ptCount val="6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  <c:pt idx="26">
                  <c:v>2027</c:v>
                </c:pt>
                <c:pt idx="27">
                  <c:v>2028</c:v>
                </c:pt>
                <c:pt idx="28">
                  <c:v>2029</c:v>
                </c:pt>
                <c:pt idx="29">
                  <c:v>2030</c:v>
                </c:pt>
                <c:pt idx="30">
                  <c:v>2031</c:v>
                </c:pt>
                <c:pt idx="31">
                  <c:v>2032</c:v>
                </c:pt>
                <c:pt idx="32">
                  <c:v>2033</c:v>
                </c:pt>
                <c:pt idx="33">
                  <c:v>2034</c:v>
                </c:pt>
                <c:pt idx="34">
                  <c:v>2035</c:v>
                </c:pt>
                <c:pt idx="35">
                  <c:v>2036</c:v>
                </c:pt>
                <c:pt idx="36">
                  <c:v>2037</c:v>
                </c:pt>
                <c:pt idx="37">
                  <c:v>2038</c:v>
                </c:pt>
                <c:pt idx="38">
                  <c:v>2039</c:v>
                </c:pt>
                <c:pt idx="39">
                  <c:v>2040</c:v>
                </c:pt>
                <c:pt idx="40">
                  <c:v>2041</c:v>
                </c:pt>
                <c:pt idx="41">
                  <c:v>2042</c:v>
                </c:pt>
                <c:pt idx="42">
                  <c:v>2043</c:v>
                </c:pt>
                <c:pt idx="43">
                  <c:v>2044</c:v>
                </c:pt>
                <c:pt idx="44">
                  <c:v>2045</c:v>
                </c:pt>
                <c:pt idx="45">
                  <c:v>2046</c:v>
                </c:pt>
                <c:pt idx="46">
                  <c:v>2047</c:v>
                </c:pt>
                <c:pt idx="47">
                  <c:v>2048</c:v>
                </c:pt>
                <c:pt idx="48">
                  <c:v>2049</c:v>
                </c:pt>
                <c:pt idx="49">
                  <c:v>2050</c:v>
                </c:pt>
                <c:pt idx="50">
                  <c:v>2051</c:v>
                </c:pt>
                <c:pt idx="51">
                  <c:v>2052</c:v>
                </c:pt>
                <c:pt idx="52">
                  <c:v>2053</c:v>
                </c:pt>
                <c:pt idx="53">
                  <c:v>2054</c:v>
                </c:pt>
                <c:pt idx="54">
                  <c:v>2055</c:v>
                </c:pt>
                <c:pt idx="55">
                  <c:v>2056</c:v>
                </c:pt>
                <c:pt idx="56">
                  <c:v>2057</c:v>
                </c:pt>
                <c:pt idx="57">
                  <c:v>2058</c:v>
                </c:pt>
                <c:pt idx="58">
                  <c:v>2059</c:v>
                </c:pt>
                <c:pt idx="59">
                  <c:v>2060</c:v>
                </c:pt>
              </c:numCache>
            </c:numRef>
          </c:cat>
          <c:val>
            <c:numRef>
              <c:f>'增加值 (2001-2060, 2020RMB)'!$B$10:$BI$10</c:f>
              <c:numCache>
                <c:formatCode>0_);[Red]\(0\)</c:formatCode>
                <c:ptCount val="60"/>
                <c:pt idx="0">
                  <c:v>8849.7481207415294</c:v>
                </c:pt>
                <c:pt idx="1">
                  <c:v>9968.9694766959637</c:v>
                </c:pt>
                <c:pt idx="2">
                  <c:v>11210.23682603325</c:v>
                </c:pt>
                <c:pt idx="3">
                  <c:v>12174.086673928416</c:v>
                </c:pt>
                <c:pt idx="4">
                  <c:v>13897.18752418652</c:v>
                </c:pt>
                <c:pt idx="5">
                  <c:v>16266.835276597949</c:v>
                </c:pt>
                <c:pt idx="6">
                  <c:v>20054.709273094148</c:v>
                </c:pt>
                <c:pt idx="7">
                  <c:v>19815.693481260099</c:v>
                </c:pt>
                <c:pt idx="8">
                  <c:v>25515.727051401482</c:v>
                </c:pt>
                <c:pt idx="9">
                  <c:v>29673.719962985957</c:v>
                </c:pt>
                <c:pt idx="10">
                  <c:v>32713.773617339204</c:v>
                </c:pt>
                <c:pt idx="11">
                  <c:v>35399.508787493542</c:v>
                </c:pt>
                <c:pt idx="12">
                  <c:v>39832.538462927179</c:v>
                </c:pt>
                <c:pt idx="13">
                  <c:v>42479.298420686639</c:v>
                </c:pt>
                <c:pt idx="14">
                  <c:v>47467.341287589115</c:v>
                </c:pt>
                <c:pt idx="15">
                  <c:v>54914.739986851237</c:v>
                </c:pt>
                <c:pt idx="16">
                  <c:v>60161.524062886783</c:v>
                </c:pt>
                <c:pt idx="17">
                  <c:v>65771.006096197845</c:v>
                </c:pt>
                <c:pt idx="18">
                  <c:v>70818.500320559091</c:v>
                </c:pt>
                <c:pt idx="19">
                  <c:v>73425.3</c:v>
                </c:pt>
                <c:pt idx="20">
                  <c:v>74150.558181630418</c:v>
                </c:pt>
                <c:pt idx="21">
                  <c:v>69030.48514791824</c:v>
                </c:pt>
                <c:pt idx="22">
                  <c:v>72436.596785564383</c:v>
                </c:pt>
                <c:pt idx="23">
                  <c:v>76029.80094713674</c:v>
                </c:pt>
                <c:pt idx="24">
                  <c:v>79764.747207664856</c:v>
                </c:pt>
                <c:pt idx="25">
                  <c:v>83585.718237924346</c:v>
                </c:pt>
                <c:pt idx="26">
                  <c:v>87425.823408038501</c:v>
                </c:pt>
                <c:pt idx="27">
                  <c:v>91206.664336196365</c:v>
                </c:pt>
                <c:pt idx="28">
                  <c:v>94838.619643522121</c:v>
                </c:pt>
                <c:pt idx="29">
                  <c:v>98221.894701301935</c:v>
                </c:pt>
                <c:pt idx="30">
                  <c:v>101277.60039462621</c:v>
                </c:pt>
                <c:pt idx="31">
                  <c:v>104044.212808248</c:v>
                </c:pt>
                <c:pt idx="32">
                  <c:v>106601.7322931837</c:v>
                </c:pt>
                <c:pt idx="33">
                  <c:v>109042.2439998187</c:v>
                </c:pt>
                <c:pt idx="34">
                  <c:v>111468.42395783791</c:v>
                </c:pt>
                <c:pt idx="35">
                  <c:v>113970.1798874145</c:v>
                </c:pt>
                <c:pt idx="36">
                  <c:v>116552.6206587262</c:v>
                </c:pt>
                <c:pt idx="37">
                  <c:v>119197.4007539592</c:v>
                </c:pt>
                <c:pt idx="38">
                  <c:v>121884.3532402273</c:v>
                </c:pt>
                <c:pt idx="39">
                  <c:v>124591.39706867639</c:v>
                </c:pt>
                <c:pt idx="40">
                  <c:v>127294.4818355622</c:v>
                </c:pt>
                <c:pt idx="41">
                  <c:v>129967.5761555917</c:v>
                </c:pt>
                <c:pt idx="42">
                  <c:v>132582.70595680579</c:v>
                </c:pt>
                <c:pt idx="43">
                  <c:v>135110.04891153431</c:v>
                </c:pt>
                <c:pt idx="44">
                  <c:v>137518.0908241932</c:v>
                </c:pt>
                <c:pt idx="45">
                  <c:v>139773.84906127889</c:v>
                </c:pt>
                <c:pt idx="46">
                  <c:v>141843.16699581771</c:v>
                </c:pt>
                <c:pt idx="47">
                  <c:v>143691.0819219682</c:v>
                </c:pt>
                <c:pt idx="48">
                  <c:v>145282.2669645565</c:v>
                </c:pt>
                <c:pt idx="49">
                  <c:v>146581.5451712535</c:v>
                </c:pt>
                <c:pt idx="50">
                  <c:v>147554.47126353841</c:v>
                </c:pt>
                <c:pt idx="51">
                  <c:v>148167.97349513051</c:v>
                </c:pt>
                <c:pt idx="52">
                  <c:v>148391.0448114801</c:v>
                </c:pt>
                <c:pt idx="53">
                  <c:v>148195.46914005381</c:v>
                </c:pt>
                <c:pt idx="54">
                  <c:v>147556.56531727291</c:v>
                </c:pt>
                <c:pt idx="55">
                  <c:v>146453.92804936389</c:v>
                </c:pt>
                <c:pt idx="56">
                  <c:v>144872.14260705459</c:v>
                </c:pt>
                <c:pt idx="57">
                  <c:v>142801.44787598739</c:v>
                </c:pt>
                <c:pt idx="58">
                  <c:v>140238.32113434459</c:v>
                </c:pt>
                <c:pt idx="59">
                  <c:v>137185.95770165289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342-48DF-ADE5-1680B1A1B7F5}"/>
            </c:ext>
          </c:extLst>
        </c:ser>
        <c:ser>
          <c:idx val="8"/>
          <c:order val="6"/>
          <c:tx>
            <c:strRef>
              <c:f>'增加值 (2001-2060, 2020RMB)'!$A$11</c:f>
              <c:strCache>
                <c:ptCount val="1"/>
                <c:pt idx="0">
                  <c:v>其他三产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numRef>
              <c:f>'增加值 (2001-2060, 2020RMB)'!$B$1:$BI$1</c:f>
              <c:numCache>
                <c:formatCode>General</c:formatCode>
                <c:ptCount val="6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  <c:pt idx="26">
                  <c:v>2027</c:v>
                </c:pt>
                <c:pt idx="27">
                  <c:v>2028</c:v>
                </c:pt>
                <c:pt idx="28">
                  <c:v>2029</c:v>
                </c:pt>
                <c:pt idx="29">
                  <c:v>2030</c:v>
                </c:pt>
                <c:pt idx="30">
                  <c:v>2031</c:v>
                </c:pt>
                <c:pt idx="31">
                  <c:v>2032</c:v>
                </c:pt>
                <c:pt idx="32">
                  <c:v>2033</c:v>
                </c:pt>
                <c:pt idx="33">
                  <c:v>2034</c:v>
                </c:pt>
                <c:pt idx="34">
                  <c:v>2035</c:v>
                </c:pt>
                <c:pt idx="35">
                  <c:v>2036</c:v>
                </c:pt>
                <c:pt idx="36">
                  <c:v>2037</c:v>
                </c:pt>
                <c:pt idx="37">
                  <c:v>2038</c:v>
                </c:pt>
                <c:pt idx="38">
                  <c:v>2039</c:v>
                </c:pt>
                <c:pt idx="39">
                  <c:v>2040</c:v>
                </c:pt>
                <c:pt idx="40">
                  <c:v>2041</c:v>
                </c:pt>
                <c:pt idx="41">
                  <c:v>2042</c:v>
                </c:pt>
                <c:pt idx="42">
                  <c:v>2043</c:v>
                </c:pt>
                <c:pt idx="43">
                  <c:v>2044</c:v>
                </c:pt>
                <c:pt idx="44">
                  <c:v>2045</c:v>
                </c:pt>
                <c:pt idx="45">
                  <c:v>2046</c:v>
                </c:pt>
                <c:pt idx="46">
                  <c:v>2047</c:v>
                </c:pt>
                <c:pt idx="47">
                  <c:v>2048</c:v>
                </c:pt>
                <c:pt idx="48">
                  <c:v>2049</c:v>
                </c:pt>
                <c:pt idx="49">
                  <c:v>2050</c:v>
                </c:pt>
                <c:pt idx="50">
                  <c:v>2051</c:v>
                </c:pt>
                <c:pt idx="51">
                  <c:v>2052</c:v>
                </c:pt>
                <c:pt idx="52">
                  <c:v>2053</c:v>
                </c:pt>
                <c:pt idx="53">
                  <c:v>2054</c:v>
                </c:pt>
                <c:pt idx="54">
                  <c:v>2055</c:v>
                </c:pt>
                <c:pt idx="55">
                  <c:v>2056</c:v>
                </c:pt>
                <c:pt idx="56">
                  <c:v>2057</c:v>
                </c:pt>
                <c:pt idx="57">
                  <c:v>2058</c:v>
                </c:pt>
                <c:pt idx="58">
                  <c:v>2059</c:v>
                </c:pt>
                <c:pt idx="59">
                  <c:v>2060</c:v>
                </c:pt>
              </c:numCache>
            </c:numRef>
          </c:cat>
          <c:val>
            <c:numRef>
              <c:f>'增加值 (2001-2060, 2020RMB)'!$B$11:$BI$11</c:f>
              <c:numCache>
                <c:formatCode>0_);[Red]\(0\)</c:formatCode>
                <c:ptCount val="60"/>
                <c:pt idx="0">
                  <c:v>31937.552049663198</c:v>
                </c:pt>
                <c:pt idx="1">
                  <c:v>37036.464236731954</c:v>
                </c:pt>
                <c:pt idx="2">
                  <c:v>41428.534463569165</c:v>
                </c:pt>
                <c:pt idx="3">
                  <c:v>45540.864826594312</c:v>
                </c:pt>
                <c:pt idx="4">
                  <c:v>52003.008017669003</c:v>
                </c:pt>
                <c:pt idx="5">
                  <c:v>58175.343577348067</c:v>
                </c:pt>
                <c:pt idx="6">
                  <c:v>65164.643960404319</c:v>
                </c:pt>
                <c:pt idx="7">
                  <c:v>72161.979645155414</c:v>
                </c:pt>
                <c:pt idx="8">
                  <c:v>81608.164173365454</c:v>
                </c:pt>
                <c:pt idx="9">
                  <c:v>87335.50289981447</c:v>
                </c:pt>
                <c:pt idx="10">
                  <c:v>95480.12595779878</c:v>
                </c:pt>
                <c:pt idx="11">
                  <c:v>107103.2013242258</c:v>
                </c:pt>
                <c:pt idx="12">
                  <c:v>119301.61086028998</c:v>
                </c:pt>
                <c:pt idx="13">
                  <c:v>133415.33875963348</c:v>
                </c:pt>
                <c:pt idx="14">
                  <c:v>152587.13558397276</c:v>
                </c:pt>
                <c:pt idx="15">
                  <c:v>172256.87078333952</c:v>
                </c:pt>
                <c:pt idx="16">
                  <c:v>188734.62401960831</c:v>
                </c:pt>
                <c:pt idx="17">
                  <c:v>207771.77156290377</c:v>
                </c:pt>
                <c:pt idx="18">
                  <c:v>228923.80211593144</c:v>
                </c:pt>
                <c:pt idx="19">
                  <c:v>237825.3</c:v>
                </c:pt>
                <c:pt idx="20">
                  <c:v>248575.80545442237</c:v>
                </c:pt>
                <c:pt idx="21">
                  <c:v>261752.40687754125</c:v>
                </c:pt>
                <c:pt idx="22">
                  <c:v>284585.85662794212</c:v>
                </c:pt>
                <c:pt idx="23">
                  <c:v>309477.90983896668</c:v>
                </c:pt>
                <c:pt idx="24">
                  <c:v>336403.50350137369</c:v>
                </c:pt>
                <c:pt idx="25">
                  <c:v>365281.17292954942</c:v>
                </c:pt>
                <c:pt idx="26">
                  <c:v>395960.64659628237</c:v>
                </c:pt>
                <c:pt idx="27">
                  <c:v>428210.57186973159</c:v>
                </c:pt>
                <c:pt idx="28">
                  <c:v>461707.23044984939</c:v>
                </c:pt>
                <c:pt idx="29">
                  <c:v>496025.31975821883</c:v>
                </c:pt>
                <c:pt idx="30">
                  <c:v>530746.66070613475</c:v>
                </c:pt>
                <c:pt idx="31">
                  <c:v>565862.86682307965</c:v>
                </c:pt>
                <c:pt idx="32">
                  <c:v>601540.07360818691</c:v>
                </c:pt>
                <c:pt idx="33">
                  <c:v>638024.34541355481</c:v>
                </c:pt>
                <c:pt idx="34">
                  <c:v>675647.2944672677</c:v>
                </c:pt>
                <c:pt idx="35">
                  <c:v>714744.27178485342</c:v>
                </c:pt>
                <c:pt idx="36">
                  <c:v>755356.44761016581</c:v>
                </c:pt>
                <c:pt idx="37">
                  <c:v>797431.30498213402</c:v>
                </c:pt>
                <c:pt idx="38">
                  <c:v>840900.84900364478</c:v>
                </c:pt>
                <c:pt idx="39">
                  <c:v>885680.67880284705</c:v>
                </c:pt>
                <c:pt idx="40">
                  <c:v>931669.17417636677</c:v>
                </c:pt>
                <c:pt idx="41">
                  <c:v>978746.82426995621</c:v>
                </c:pt>
                <c:pt idx="42">
                  <c:v>1026775.7262835359</c:v>
                </c:pt>
                <c:pt idx="43">
                  <c:v>1075599.282230912</c:v>
                </c:pt>
                <c:pt idx="44">
                  <c:v>1125042.1211532741</c:v>
                </c:pt>
                <c:pt idx="45">
                  <c:v>1174910.2728022379</c:v>
                </c:pt>
                <c:pt idx="46">
                  <c:v>1224991.6166075841</c:v>
                </c:pt>
                <c:pt idx="47">
                  <c:v>1275056.626679335</c:v>
                </c:pt>
                <c:pt idx="48">
                  <c:v>1324859.4296371001</c:v>
                </c:pt>
                <c:pt idx="49">
                  <c:v>1374139.1872115908</c:v>
                </c:pt>
                <c:pt idx="50">
                  <c:v>1422621.8098534299</c:v>
                </c:pt>
                <c:pt idx="51">
                  <c:v>1470022.001075438</c:v>
                </c:pt>
                <c:pt idx="52">
                  <c:v>1516045.6250443689</c:v>
                </c:pt>
                <c:pt idx="53">
                  <c:v>1560392.3821609269</c:v>
                </c:pt>
                <c:pt idx="54">
                  <c:v>1602758.7691934509</c:v>
                </c:pt>
                <c:pt idx="55">
                  <c:v>1642841.29216519</c:v>
                </c:pt>
                <c:pt idx="56">
                  <c:v>1680339.8918733851</c:v>
                </c:pt>
                <c:pt idx="57">
                  <c:v>1714961.5339001201</c:v>
                </c:pt>
                <c:pt idx="58">
                  <c:v>1746423.9075380489</c:v>
                </c:pt>
                <c:pt idx="59">
                  <c:v>1774459.1714850038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342-48DF-ADE5-1680B1A1B7F5}"/>
            </c:ext>
          </c:extLst>
        </c:ser>
        <c:ser>
          <c:idx val="0"/>
          <c:order val="7"/>
          <c:tx>
            <c:strRef>
              <c:f>'增加值 (2001-2060, 2020RMB)'!$A$3</c:f>
              <c:strCache>
                <c:ptCount val="1"/>
                <c:pt idx="0">
                  <c:v>农业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'增加值 (2001-2060, 2020RMB)'!$B$1:$BI$1</c:f>
              <c:numCache>
                <c:formatCode>General</c:formatCode>
                <c:ptCount val="6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  <c:pt idx="26">
                  <c:v>2027</c:v>
                </c:pt>
                <c:pt idx="27">
                  <c:v>2028</c:v>
                </c:pt>
                <c:pt idx="28">
                  <c:v>2029</c:v>
                </c:pt>
                <c:pt idx="29">
                  <c:v>2030</c:v>
                </c:pt>
                <c:pt idx="30">
                  <c:v>2031</c:v>
                </c:pt>
                <c:pt idx="31">
                  <c:v>2032</c:v>
                </c:pt>
                <c:pt idx="32">
                  <c:v>2033</c:v>
                </c:pt>
                <c:pt idx="33">
                  <c:v>2034</c:v>
                </c:pt>
                <c:pt idx="34">
                  <c:v>2035</c:v>
                </c:pt>
                <c:pt idx="35">
                  <c:v>2036</c:v>
                </c:pt>
                <c:pt idx="36">
                  <c:v>2037</c:v>
                </c:pt>
                <c:pt idx="37">
                  <c:v>2038</c:v>
                </c:pt>
                <c:pt idx="38">
                  <c:v>2039</c:v>
                </c:pt>
                <c:pt idx="39">
                  <c:v>2040</c:v>
                </c:pt>
                <c:pt idx="40">
                  <c:v>2041</c:v>
                </c:pt>
                <c:pt idx="41">
                  <c:v>2042</c:v>
                </c:pt>
                <c:pt idx="42">
                  <c:v>2043</c:v>
                </c:pt>
                <c:pt idx="43">
                  <c:v>2044</c:v>
                </c:pt>
                <c:pt idx="44">
                  <c:v>2045</c:v>
                </c:pt>
                <c:pt idx="45">
                  <c:v>2046</c:v>
                </c:pt>
                <c:pt idx="46">
                  <c:v>2047</c:v>
                </c:pt>
                <c:pt idx="47">
                  <c:v>2048</c:v>
                </c:pt>
                <c:pt idx="48">
                  <c:v>2049</c:v>
                </c:pt>
                <c:pt idx="49">
                  <c:v>2050</c:v>
                </c:pt>
                <c:pt idx="50">
                  <c:v>2051</c:v>
                </c:pt>
                <c:pt idx="51">
                  <c:v>2052</c:v>
                </c:pt>
                <c:pt idx="52">
                  <c:v>2053</c:v>
                </c:pt>
                <c:pt idx="53">
                  <c:v>2054</c:v>
                </c:pt>
                <c:pt idx="54">
                  <c:v>2055</c:v>
                </c:pt>
                <c:pt idx="55">
                  <c:v>2056</c:v>
                </c:pt>
                <c:pt idx="56">
                  <c:v>2057</c:v>
                </c:pt>
                <c:pt idx="57">
                  <c:v>2058</c:v>
                </c:pt>
                <c:pt idx="58">
                  <c:v>2059</c:v>
                </c:pt>
                <c:pt idx="59">
                  <c:v>2060</c:v>
                </c:pt>
              </c:numCache>
            </c:numRef>
          </c:cat>
          <c:val>
            <c:numRef>
              <c:f>'增加值 (2001-2060, 2020RMB)'!$B$3:$BI$3</c:f>
              <c:numCache>
                <c:formatCode>0_);[Red]\(0\)</c:formatCode>
                <c:ptCount val="60"/>
                <c:pt idx="0">
                  <c:v>29675.93721477779</c:v>
                </c:pt>
                <c:pt idx="1">
                  <c:v>30901.469411529</c:v>
                </c:pt>
                <c:pt idx="2">
                  <c:v>31645.386093641948</c:v>
                </c:pt>
                <c:pt idx="3">
                  <c:v>36444.641091354868</c:v>
                </c:pt>
                <c:pt idx="4">
                  <c:v>36724.407910178343</c:v>
                </c:pt>
                <c:pt idx="5">
                  <c:v>37883.920921859433</c:v>
                </c:pt>
                <c:pt idx="6">
                  <c:v>41653.224626077863</c:v>
                </c:pt>
                <c:pt idx="7">
                  <c:v>45368.998120648939</c:v>
                </c:pt>
                <c:pt idx="8">
                  <c:v>47139.865402492462</c:v>
                </c:pt>
                <c:pt idx="9">
                  <c:v>50399.248549447446</c:v>
                </c:pt>
                <c:pt idx="10">
                  <c:v>54312.680927517635</c:v>
                </c:pt>
                <c:pt idx="11">
                  <c:v>58225.658703428679</c:v>
                </c:pt>
                <c:pt idx="12">
                  <c:v>61644.382254581113</c:v>
                </c:pt>
                <c:pt idx="13">
                  <c:v>64101.063232371307</c:v>
                </c:pt>
                <c:pt idx="14">
                  <c:v>66732.21068238109</c:v>
                </c:pt>
                <c:pt idx="15">
                  <c:v>68631.611084360557</c:v>
                </c:pt>
                <c:pt idx="16">
                  <c:v>68143.575410893376</c:v>
                </c:pt>
                <c:pt idx="17">
                  <c:v>68758.857830048146</c:v>
                </c:pt>
                <c:pt idx="18">
                  <c:v>73967.215695633218</c:v>
                </c:pt>
                <c:pt idx="19">
                  <c:v>81396.5</c:v>
                </c:pt>
                <c:pt idx="20">
                  <c:v>82959.622466645262</c:v>
                </c:pt>
                <c:pt idx="21">
                  <c:v>86574.037414115228</c:v>
                </c:pt>
                <c:pt idx="22">
                  <c:v>89593.857947440265</c:v>
                </c:pt>
                <c:pt idx="23">
                  <c:v>93377.23580659744</c:v>
                </c:pt>
                <c:pt idx="24">
                  <c:v>97776.796099259329</c:v>
                </c:pt>
                <c:pt idx="25">
                  <c:v>102617.73109802901</c:v>
                </c:pt>
                <c:pt idx="26">
                  <c:v>107686.3444024132</c:v>
                </c:pt>
                <c:pt idx="27">
                  <c:v>112722.41508442719</c:v>
                </c:pt>
                <c:pt idx="28">
                  <c:v>117417.0496921564</c:v>
                </c:pt>
                <c:pt idx="29">
                  <c:v>121417.99988283905</c:v>
                </c:pt>
                <c:pt idx="30">
                  <c:v>124444.10041788559</c:v>
                </c:pt>
                <c:pt idx="31">
                  <c:v>126621.4087210415</c:v>
                </c:pt>
                <c:pt idx="32">
                  <c:v>128213.0743154985</c:v>
                </c:pt>
                <c:pt idx="33">
                  <c:v>129509.1896599575</c:v>
                </c:pt>
                <c:pt idx="34">
                  <c:v>130816.55612820855</c:v>
                </c:pt>
                <c:pt idx="35">
                  <c:v>132395.56911422321</c:v>
                </c:pt>
                <c:pt idx="36">
                  <c:v>134277.60420099759</c:v>
                </c:pt>
                <c:pt idx="37">
                  <c:v>136435.66026315291</c:v>
                </c:pt>
                <c:pt idx="38">
                  <c:v>138842.10065104029</c:v>
                </c:pt>
                <c:pt idx="39">
                  <c:v>141467.99763237321</c:v>
                </c:pt>
                <c:pt idx="40">
                  <c:v>144282.53854224269</c:v>
                </c:pt>
                <c:pt idx="41">
                  <c:v>147252.49656908779</c:v>
                </c:pt>
                <c:pt idx="42">
                  <c:v>150341.7731603694</c:v>
                </c:pt>
                <c:pt idx="43">
                  <c:v>153511.02266412709</c:v>
                </c:pt>
                <c:pt idx="44">
                  <c:v>156717.37296376229</c:v>
                </c:pt>
                <c:pt idx="45">
                  <c:v>159914.2583959988</c:v>
                </c:pt>
                <c:pt idx="46">
                  <c:v>163051.3830062437</c:v>
                </c:pt>
                <c:pt idx="47">
                  <c:v>166074.8329988312</c:v>
                </c:pt>
                <c:pt idx="48">
                  <c:v>168927.35686922749</c:v>
                </c:pt>
                <c:pt idx="49">
                  <c:v>171548.82994580298</c:v>
                </c:pt>
                <c:pt idx="50">
                  <c:v>173876.91672374061</c:v>
                </c:pt>
                <c:pt idx="51">
                  <c:v>175847.93929090659</c:v>
                </c:pt>
                <c:pt idx="52">
                  <c:v>177397.95324662179</c:v>
                </c:pt>
                <c:pt idx="53">
                  <c:v>178464.02382466401</c:v>
                </c:pt>
                <c:pt idx="54">
                  <c:v>178985.68461070451</c:v>
                </c:pt>
                <c:pt idx="55">
                  <c:v>178906.54960977641</c:v>
                </c:pt>
                <c:pt idx="56">
                  <c:v>178176.03696546689</c:v>
                </c:pt>
                <c:pt idx="57">
                  <c:v>176751.15003397319</c:v>
                </c:pt>
                <c:pt idx="58">
                  <c:v>174598.24961608159</c:v>
                </c:pt>
                <c:pt idx="59">
                  <c:v>171694.74092733656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42-48DF-ADE5-1680B1A1B7F5}"/>
            </c:ext>
          </c:extLst>
        </c:ser>
        <c:ser>
          <c:idx val="1"/>
          <c:order val="8"/>
          <c:tx>
            <c:strRef>
              <c:f>'增加值 (2001-2060, 2020RMB)'!$A$4</c:f>
              <c:strCache>
                <c:ptCount val="1"/>
                <c:pt idx="0">
                  <c:v>工业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'增加值 (2001-2060, 2020RMB)'!$B$1:$BI$1</c:f>
              <c:numCache>
                <c:formatCode>General</c:formatCode>
                <c:ptCount val="60"/>
                <c:pt idx="0">
                  <c:v>2001</c:v>
                </c:pt>
                <c:pt idx="1">
                  <c:v>2002</c:v>
                </c:pt>
                <c:pt idx="2">
                  <c:v>2003</c:v>
                </c:pt>
                <c:pt idx="3">
                  <c:v>2004</c:v>
                </c:pt>
                <c:pt idx="4">
                  <c:v>2005</c:v>
                </c:pt>
                <c:pt idx="5">
                  <c:v>2006</c:v>
                </c:pt>
                <c:pt idx="6">
                  <c:v>2007</c:v>
                </c:pt>
                <c:pt idx="7">
                  <c:v>2008</c:v>
                </c:pt>
                <c:pt idx="8">
                  <c:v>2009</c:v>
                </c:pt>
                <c:pt idx="9">
                  <c:v>2010</c:v>
                </c:pt>
                <c:pt idx="10">
                  <c:v>2011</c:v>
                </c:pt>
                <c:pt idx="11">
                  <c:v>2012</c:v>
                </c:pt>
                <c:pt idx="12">
                  <c:v>2013</c:v>
                </c:pt>
                <c:pt idx="13">
                  <c:v>2014</c:v>
                </c:pt>
                <c:pt idx="14">
                  <c:v>2015</c:v>
                </c:pt>
                <c:pt idx="15">
                  <c:v>2016</c:v>
                </c:pt>
                <c:pt idx="16">
                  <c:v>2017</c:v>
                </c:pt>
                <c:pt idx="17">
                  <c:v>2018</c:v>
                </c:pt>
                <c:pt idx="18">
                  <c:v>2019</c:v>
                </c:pt>
                <c:pt idx="19">
                  <c:v>2020</c:v>
                </c:pt>
                <c:pt idx="20">
                  <c:v>2021</c:v>
                </c:pt>
                <c:pt idx="21">
                  <c:v>2022</c:v>
                </c:pt>
                <c:pt idx="22">
                  <c:v>2023</c:v>
                </c:pt>
                <c:pt idx="23">
                  <c:v>2024</c:v>
                </c:pt>
                <c:pt idx="24">
                  <c:v>2025</c:v>
                </c:pt>
                <c:pt idx="25">
                  <c:v>2026</c:v>
                </c:pt>
                <c:pt idx="26">
                  <c:v>2027</c:v>
                </c:pt>
                <c:pt idx="27">
                  <c:v>2028</c:v>
                </c:pt>
                <c:pt idx="28">
                  <c:v>2029</c:v>
                </c:pt>
                <c:pt idx="29">
                  <c:v>2030</c:v>
                </c:pt>
                <c:pt idx="30">
                  <c:v>2031</c:v>
                </c:pt>
                <c:pt idx="31">
                  <c:v>2032</c:v>
                </c:pt>
                <c:pt idx="32">
                  <c:v>2033</c:v>
                </c:pt>
                <c:pt idx="33">
                  <c:v>2034</c:v>
                </c:pt>
                <c:pt idx="34">
                  <c:v>2035</c:v>
                </c:pt>
                <c:pt idx="35">
                  <c:v>2036</c:v>
                </c:pt>
                <c:pt idx="36">
                  <c:v>2037</c:v>
                </c:pt>
                <c:pt idx="37">
                  <c:v>2038</c:v>
                </c:pt>
                <c:pt idx="38">
                  <c:v>2039</c:v>
                </c:pt>
                <c:pt idx="39">
                  <c:v>2040</c:v>
                </c:pt>
                <c:pt idx="40">
                  <c:v>2041</c:v>
                </c:pt>
                <c:pt idx="41">
                  <c:v>2042</c:v>
                </c:pt>
                <c:pt idx="42">
                  <c:v>2043</c:v>
                </c:pt>
                <c:pt idx="43">
                  <c:v>2044</c:v>
                </c:pt>
                <c:pt idx="44">
                  <c:v>2045</c:v>
                </c:pt>
                <c:pt idx="45">
                  <c:v>2046</c:v>
                </c:pt>
                <c:pt idx="46">
                  <c:v>2047</c:v>
                </c:pt>
                <c:pt idx="47">
                  <c:v>2048</c:v>
                </c:pt>
                <c:pt idx="48">
                  <c:v>2049</c:v>
                </c:pt>
                <c:pt idx="49">
                  <c:v>2050</c:v>
                </c:pt>
                <c:pt idx="50">
                  <c:v>2051</c:v>
                </c:pt>
                <c:pt idx="51">
                  <c:v>2052</c:v>
                </c:pt>
                <c:pt idx="52">
                  <c:v>2053</c:v>
                </c:pt>
                <c:pt idx="53">
                  <c:v>2054</c:v>
                </c:pt>
                <c:pt idx="54">
                  <c:v>2055</c:v>
                </c:pt>
                <c:pt idx="55">
                  <c:v>2056</c:v>
                </c:pt>
                <c:pt idx="56">
                  <c:v>2057</c:v>
                </c:pt>
                <c:pt idx="57">
                  <c:v>2058</c:v>
                </c:pt>
                <c:pt idx="58">
                  <c:v>2059</c:v>
                </c:pt>
                <c:pt idx="59">
                  <c:v>2060</c:v>
                </c:pt>
              </c:numCache>
            </c:numRef>
          </c:cat>
          <c:val>
            <c:numRef>
              <c:f>'增加值 (2001-2060, 2020RMB)'!$B$4:$BI$4</c:f>
              <c:numCache>
                <c:formatCode>0_);[Red]\(0\)</c:formatCode>
                <c:ptCount val="60"/>
                <c:pt idx="0">
                  <c:v>82472.588935236359</c:v>
                </c:pt>
                <c:pt idx="1">
                  <c:v>89280.442375518236</c:v>
                </c:pt>
                <c:pt idx="2">
                  <c:v>100799.63833201525</c:v>
                </c:pt>
                <c:pt idx="3">
                  <c:v>111960.0304202925</c:v>
                </c:pt>
                <c:pt idx="4">
                  <c:v>127718.90013401274</c:v>
                </c:pt>
                <c:pt idx="5">
                  <c:v>145373.42336474854</c:v>
                </c:pt>
                <c:pt idx="6">
                  <c:v>163331.37833449789</c:v>
                </c:pt>
                <c:pt idx="7">
                  <c:v>178777.31335147261</c:v>
                </c:pt>
                <c:pt idx="8">
                  <c:v>187816.58747999065</c:v>
                </c:pt>
                <c:pt idx="9">
                  <c:v>210052.75645915509</c:v>
                </c:pt>
                <c:pt idx="10">
                  <c:v>229790.33434331449</c:v>
                </c:pt>
                <c:pt idx="11">
                  <c:v>240473.17222739744</c:v>
                </c:pt>
                <c:pt idx="12">
                  <c:v>250594.10025312903</c:v>
                </c:pt>
                <c:pt idx="13">
                  <c:v>260094.46798668895</c:v>
                </c:pt>
                <c:pt idx="14">
                  <c:v>261976.82537780039</c:v>
                </c:pt>
                <c:pt idx="15">
                  <c:v>269693.62544095406</c:v>
                </c:pt>
                <c:pt idx="16">
                  <c:v>289941.42849585827</c:v>
                </c:pt>
                <c:pt idx="17">
                  <c:v>306438.05124800676</c:v>
                </c:pt>
                <c:pt idx="18">
                  <c:v>313513.06904014404</c:v>
                </c:pt>
                <c:pt idx="19">
                  <c:v>312902.90000000002</c:v>
                </c:pt>
                <c:pt idx="20">
                  <c:v>356193.67592506018</c:v>
                </c:pt>
                <c:pt idx="21">
                  <c:v>375578.60517081129</c:v>
                </c:pt>
                <c:pt idx="22">
                  <c:v>390173.76175473508</c:v>
                </c:pt>
                <c:pt idx="23">
                  <c:v>405076.35844823148</c:v>
                </c:pt>
                <c:pt idx="24">
                  <c:v>420175.96161573631</c:v>
                </c:pt>
                <c:pt idx="25">
                  <c:v>435354.15341879491</c:v>
                </c:pt>
                <c:pt idx="26">
                  <c:v>450482.33832760691</c:v>
                </c:pt>
                <c:pt idx="27">
                  <c:v>465420.25373583141</c:v>
                </c:pt>
                <c:pt idx="28">
                  <c:v>480015.42190950742</c:v>
                </c:pt>
                <c:pt idx="29">
                  <c:v>494103.8050787751</c:v>
                </c:pt>
                <c:pt idx="30">
                  <c:v>507532.58540148841</c:v>
                </c:pt>
                <c:pt idx="31">
                  <c:v>520228.48035802098</c:v>
                </c:pt>
                <c:pt idx="32">
                  <c:v>532142.75502775738</c:v>
                </c:pt>
                <c:pt idx="33">
                  <c:v>543231.30763323873</c:v>
                </c:pt>
                <c:pt idx="34">
                  <c:v>553454.66054242034</c:v>
                </c:pt>
                <c:pt idx="35">
                  <c:v>562783.57036512182</c:v>
                </c:pt>
                <c:pt idx="36">
                  <c:v>571217.08985945478</c:v>
                </c:pt>
                <c:pt idx="37">
                  <c:v>578768.78407504433</c:v>
                </c:pt>
                <c:pt idx="38">
                  <c:v>585461.06639077037</c:v>
                </c:pt>
                <c:pt idx="39">
                  <c:v>591324.45151759789</c:v>
                </c:pt>
                <c:pt idx="40">
                  <c:v>596396.74010938278</c:v>
                </c:pt>
                <c:pt idx="41">
                  <c:v>600722.1638949794</c:v>
                </c:pt>
                <c:pt idx="42">
                  <c:v>604350.51862431015</c:v>
                </c:pt>
                <c:pt idx="43">
                  <c:v>607336.30979722366</c:v>
                </c:pt>
                <c:pt idx="44">
                  <c:v>609737.93333101622</c:v>
                </c:pt>
                <c:pt idx="45">
                  <c:v>611616.91022999573</c:v>
                </c:pt>
                <c:pt idx="46">
                  <c:v>613037.19114304206</c:v>
                </c:pt>
                <c:pt idx="47">
                  <c:v>614064.54360577918</c:v>
                </c:pt>
                <c:pt idx="48">
                  <c:v>614766.03191017942</c:v>
                </c:pt>
                <c:pt idx="49">
                  <c:v>615209.59704701824</c:v>
                </c:pt>
                <c:pt idx="50">
                  <c:v>615463.74212122103</c:v>
                </c:pt>
                <c:pt idx="51">
                  <c:v>615597.32712078001</c:v>
                </c:pt>
                <c:pt idx="52">
                  <c:v>615679.47598400037</c:v>
                </c:pt>
                <c:pt idx="53">
                  <c:v>615779.59860477305</c:v>
                </c:pt>
                <c:pt idx="54">
                  <c:v>615967.53078656411</c:v>
                </c:pt>
                <c:pt idx="55">
                  <c:v>616313.79625456827</c:v>
                </c:pt>
                <c:pt idx="56">
                  <c:v>616889.99673055205</c:v>
                </c:pt>
                <c:pt idx="57">
                  <c:v>617769.33886349003</c:v>
                </c:pt>
                <c:pt idx="58">
                  <c:v>619027.31063174584</c:v>
                </c:pt>
                <c:pt idx="59">
                  <c:v>620742.52489113936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42-48DF-ADE5-1680B1A1B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19803087"/>
        <c:axId val="1519799247"/>
      </c:areaChart>
      <c:catAx>
        <c:axId val="151980308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19799247"/>
        <c:crosses val="autoZero"/>
        <c:auto val="1"/>
        <c:lblAlgn val="ctr"/>
        <c:lblOffset val="100"/>
        <c:noMultiLvlLbl val="0"/>
      </c:catAx>
      <c:valAx>
        <c:axId val="151979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198030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9.8320367747967152E-2"/>
          <c:y val="0.12157578586608031"/>
          <c:w val="0.8671018605246088"/>
          <c:h val="0.48076602749149344"/>
        </c:manualLayout>
      </c:layout>
      <c:areaChart>
        <c:grouping val="stacked"/>
        <c:varyColors val="0"/>
        <c:ser>
          <c:idx val="0"/>
          <c:order val="0"/>
          <c:tx>
            <c:strRef>
              <c:f>'增加值 (2001-2060, 2020RMB)'!$A$14</c:f>
              <c:strCache>
                <c:ptCount val="1"/>
                <c:pt idx="0">
                  <c:v>煤炭开采和洗选业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2020RMB)'!$I$14:$BI$14</c:f>
              <c:numCache>
                <c:formatCode>0_);[Red]\(0\)</c:formatCode>
                <c:ptCount val="53"/>
                <c:pt idx="0">
                  <c:v>11675.691302555673</c:v>
                </c:pt>
                <c:pt idx="1">
                  <c:v>11986.509173068849</c:v>
                </c:pt>
                <c:pt idx="2">
                  <c:v>13642.402547215563</c:v>
                </c:pt>
                <c:pt idx="3">
                  <c:v>15284.767301525537</c:v>
                </c:pt>
                <c:pt idx="4">
                  <c:v>15977.00058411059</c:v>
                </c:pt>
                <c:pt idx="5">
                  <c:v>16042.647349483059</c:v>
                </c:pt>
                <c:pt idx="6">
                  <c:v>15765.052945342293</c:v>
                </c:pt>
                <c:pt idx="7">
                  <c:v>15240.595553465613</c:v>
                </c:pt>
                <c:pt idx="8">
                  <c:v>14649.973762874</c:v>
                </c:pt>
                <c:pt idx="9">
                  <c:v>14517.447248030725</c:v>
                </c:pt>
                <c:pt idx="10">
                  <c:v>14773.011258582617</c:v>
                </c:pt>
                <c:pt idx="11">
                  <c:v>15027.04880806837</c:v>
                </c:pt>
                <c:pt idx="12">
                  <c:v>14783.756200003678</c:v>
                </c:pt>
                <c:pt idx="13">
                  <c:v>16423.99901838032</c:v>
                </c:pt>
                <c:pt idx="14">
                  <c:v>18002.06128553487</c:v>
                </c:pt>
                <c:pt idx="15">
                  <c:v>18307.704086688758</c:v>
                </c:pt>
                <c:pt idx="16">
                  <c:v>18640.84670933599</c:v>
                </c:pt>
                <c:pt idx="17">
                  <c:v>18989.430815221534</c:v>
                </c:pt>
                <c:pt idx="18">
                  <c:v>19340.481415718819</c:v>
                </c:pt>
                <c:pt idx="19">
                  <c:v>19680.045218854619</c:v>
                </c:pt>
                <c:pt idx="20">
                  <c:v>19993.224459263249</c:v>
                </c:pt>
                <c:pt idx="21">
                  <c:v>20264.317824808651</c:v>
                </c:pt>
                <c:pt idx="22">
                  <c:v>20477.078278073481</c:v>
                </c:pt>
                <c:pt idx="23">
                  <c:v>20619.056590203589</c:v>
                </c:pt>
                <c:pt idx="24">
                  <c:v>20694.086721499822</c:v>
                </c:pt>
                <c:pt idx="25">
                  <c:v>20710.74743434865</c:v>
                </c:pt>
                <c:pt idx="26">
                  <c:v>20678.197239451019</c:v>
                </c:pt>
                <c:pt idx="27">
                  <c:v>20605.935087193593</c:v>
                </c:pt>
                <c:pt idx="28">
                  <c:v>20502.317491829119</c:v>
                </c:pt>
                <c:pt idx="29">
                  <c:v>20370.618687914099</c:v>
                </c:pt>
                <c:pt idx="30">
                  <c:v>20212.90091877407</c:v>
                </c:pt>
                <c:pt idx="31">
                  <c:v>20031.282831085729</c:v>
                </c:pt>
                <c:pt idx="32">
                  <c:v>19827.916998306071</c:v>
                </c:pt>
                <c:pt idx="33">
                  <c:v>19604.96900725516</c:v>
                </c:pt>
                <c:pt idx="34">
                  <c:v>19364.598272147108</c:v>
                </c:pt>
                <c:pt idx="35">
                  <c:v>19108.940693350509</c:v>
                </c:pt>
                <c:pt idx="36">
                  <c:v>18840.093234257321</c:v>
                </c:pt>
                <c:pt idx="37">
                  <c:v>18560.100449508071</c:v>
                </c:pt>
                <c:pt idx="38">
                  <c:v>18270.9429619291</c:v>
                </c:pt>
                <c:pt idx="39">
                  <c:v>17974.527854176249</c:v>
                </c:pt>
                <c:pt idx="40">
                  <c:v>17672.680914394899</c:v>
                </c:pt>
                <c:pt idx="41">
                  <c:v>17367.140653188559</c:v>
                </c:pt>
                <c:pt idx="42">
                  <c:v>17059.553991726782</c:v>
                </c:pt>
                <c:pt idx="43">
                  <c:v>16751.473507705599</c:v>
                </c:pt>
                <c:pt idx="44">
                  <c:v>16444.356116809191</c:v>
                </c:pt>
                <c:pt idx="45">
                  <c:v>16139.56306197376</c:v>
                </c:pt>
                <c:pt idx="46">
                  <c:v>15838.361080744129</c:v>
                </c:pt>
                <c:pt idx="47">
                  <c:v>15541.924621946901</c:v>
                </c:pt>
                <c:pt idx="48">
                  <c:v>15251.338986381459</c:v>
                </c:pt>
                <c:pt idx="49">
                  <c:v>14967.60427185862</c:v>
                </c:pt>
                <c:pt idx="50">
                  <c:v>14691.640010328079</c:v>
                </c:pt>
                <c:pt idx="51">
                  <c:v>14424.290393678641</c:v>
                </c:pt>
                <c:pt idx="52">
                  <c:v>14166.329994763051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54-4A07-92CC-FB0C2DCF4F71}"/>
            </c:ext>
          </c:extLst>
        </c:ser>
        <c:ser>
          <c:idx val="1"/>
          <c:order val="1"/>
          <c:tx>
            <c:strRef>
              <c:f>'增加值 (2001-2060, 2020RMB)'!$A$15</c:f>
              <c:strCache>
                <c:ptCount val="1"/>
                <c:pt idx="0">
                  <c:v>石油和天然气开采业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2020RMB)'!$I$15:$BI$15</c:f>
              <c:numCache>
                <c:formatCode>0_);[Red]\(0\)</c:formatCode>
                <c:ptCount val="53"/>
                <c:pt idx="0">
                  <c:v>12283.179582633313</c:v>
                </c:pt>
                <c:pt idx="1">
                  <c:v>12202.638496028681</c:v>
                </c:pt>
                <c:pt idx="2">
                  <c:v>11826.461249538334</c:v>
                </c:pt>
                <c:pt idx="3">
                  <c:v>11943.371736968709</c:v>
                </c:pt>
                <c:pt idx="4">
                  <c:v>11733.855261453687</c:v>
                </c:pt>
                <c:pt idx="5">
                  <c:v>11403.079682203779</c:v>
                </c:pt>
                <c:pt idx="6">
                  <c:v>11315.090716981736</c:v>
                </c:pt>
                <c:pt idx="7">
                  <c:v>11185.568962035375</c:v>
                </c:pt>
                <c:pt idx="8">
                  <c:v>10904.914030827651</c:v>
                </c:pt>
                <c:pt idx="9">
                  <c:v>10740.037662864512</c:v>
                </c:pt>
                <c:pt idx="10">
                  <c:v>10907.716769371638</c:v>
                </c:pt>
                <c:pt idx="11">
                  <c:v>10905.983026745087</c:v>
                </c:pt>
                <c:pt idx="12">
                  <c:v>10602.811030571023</c:v>
                </c:pt>
                <c:pt idx="13">
                  <c:v>11470.075268301911</c:v>
                </c:pt>
                <c:pt idx="14">
                  <c:v>12304.162743704102</c:v>
                </c:pt>
                <c:pt idx="15">
                  <c:v>12376.746330509141</c:v>
                </c:pt>
                <c:pt idx="16">
                  <c:v>12456.25389273695</c:v>
                </c:pt>
                <c:pt idx="17">
                  <c:v>12537.169506699927</c:v>
                </c:pt>
                <c:pt idx="18">
                  <c:v>12613.83579115547</c:v>
                </c:pt>
                <c:pt idx="19">
                  <c:v>12680.46042154594</c:v>
                </c:pt>
                <c:pt idx="20">
                  <c:v>12731.148755094369</c:v>
                </c:pt>
                <c:pt idx="21">
                  <c:v>12759.963366001461</c:v>
                </c:pt>
                <c:pt idx="22">
                  <c:v>12761.010700926092</c:v>
                </c:pt>
                <c:pt idx="23">
                  <c:v>12730.378793477939</c:v>
                </c:pt>
                <c:pt idx="24">
                  <c:v>12671.67411406135</c:v>
                </c:pt>
                <c:pt idx="25">
                  <c:v>12590.446728624809</c:v>
                </c:pt>
                <c:pt idx="26">
                  <c:v>12492.254392312499</c:v>
                </c:pt>
                <c:pt idx="27">
                  <c:v>12382.578634548026</c:v>
                </c:pt>
                <c:pt idx="28">
                  <c:v>12265.95939381119</c:v>
                </c:pt>
                <c:pt idx="29">
                  <c:v>12143.60558779832</c:v>
                </c:pt>
                <c:pt idx="30">
                  <c:v>12015.90633518691</c:v>
                </c:pt>
                <c:pt idx="31">
                  <c:v>11883.24943352524</c:v>
                </c:pt>
                <c:pt idx="32">
                  <c:v>11746.02004429609</c:v>
                </c:pt>
                <c:pt idx="33">
                  <c:v>11604.599461388691</c:v>
                </c:pt>
                <c:pt idx="34">
                  <c:v>11459.36396511095</c:v>
                </c:pt>
                <c:pt idx="35">
                  <c:v>11310.683763139081</c:v>
                </c:pt>
                <c:pt idx="36">
                  <c:v>11158.92201911377</c:v>
                </c:pt>
                <c:pt idx="37">
                  <c:v>11004.43396894434</c:v>
                </c:pt>
                <c:pt idx="38">
                  <c:v>10847.566124285529</c:v>
                </c:pt>
                <c:pt idx="39">
                  <c:v>10688.65556210204</c:v>
                </c:pt>
                <c:pt idx="40">
                  <c:v>10528.029298736299</c:v>
                </c:pt>
                <c:pt idx="41">
                  <c:v>10366.00374644739</c:v>
                </c:pt>
                <c:pt idx="42">
                  <c:v>10202.884249991417</c:v>
                </c:pt>
                <c:pt idx="43">
                  <c:v>10038.96470046471</c:v>
                </c:pt>
                <c:pt idx="44">
                  <c:v>9874.5272233338219</c:v>
                </c:pt>
                <c:pt idx="45">
                  <c:v>9709.8419373240486</c:v>
                </c:pt>
                <c:pt idx="46">
                  <c:v>9545.166780632655</c:v>
                </c:pt>
                <c:pt idx="47">
                  <c:v>9380.7474007711353</c:v>
                </c:pt>
                <c:pt idx="48">
                  <c:v>9216.817104219419</c:v>
                </c:pt>
                <c:pt idx="49">
                  <c:v>9053.5968619937648</c:v>
                </c:pt>
                <c:pt idx="50">
                  <c:v>8891.2953671825962</c:v>
                </c:pt>
                <c:pt idx="51">
                  <c:v>8730.1091404930467</c:v>
                </c:pt>
                <c:pt idx="52">
                  <c:v>8570.2226798680622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154-4A07-92CC-FB0C2DCF4F71}"/>
            </c:ext>
          </c:extLst>
        </c:ser>
        <c:ser>
          <c:idx val="2"/>
          <c:order val="2"/>
          <c:tx>
            <c:strRef>
              <c:f>'增加值 (2001-2060, 2020RMB)'!$A$16</c:f>
              <c:strCache>
                <c:ptCount val="1"/>
                <c:pt idx="0">
                  <c:v>黑色金属矿采选业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2020RMB)'!$I$16:$BI$16</c:f>
              <c:numCache>
                <c:formatCode>0_);[Red]\(0\)</c:formatCode>
                <c:ptCount val="53"/>
                <c:pt idx="0">
                  <c:v>2043.0118588044513</c:v>
                </c:pt>
                <c:pt idx="1">
                  <c:v>2426.630321654618</c:v>
                </c:pt>
                <c:pt idx="2">
                  <c:v>2841.9828585560304</c:v>
                </c:pt>
                <c:pt idx="3">
                  <c:v>3276.9674000897576</c:v>
                </c:pt>
                <c:pt idx="4">
                  <c:v>3762.3007435323352</c:v>
                </c:pt>
                <c:pt idx="5">
                  <c:v>4110.1450364962056</c:v>
                </c:pt>
                <c:pt idx="6">
                  <c:v>4358.206514887198</c:v>
                </c:pt>
                <c:pt idx="7">
                  <c:v>4238.0296569708398</c:v>
                </c:pt>
                <c:pt idx="8">
                  <c:v>4028.2983329052572</c:v>
                </c:pt>
                <c:pt idx="9">
                  <c:v>3963.3151687311879</c:v>
                </c:pt>
                <c:pt idx="10">
                  <c:v>3760.7926246739084</c:v>
                </c:pt>
                <c:pt idx="11">
                  <c:v>3883.4799374977438</c:v>
                </c:pt>
                <c:pt idx="12">
                  <c:v>3696.6327461554224</c:v>
                </c:pt>
                <c:pt idx="13">
                  <c:v>3979.7568976278721</c:v>
                </c:pt>
                <c:pt idx="14">
                  <c:v>4568.3236898109044</c:v>
                </c:pt>
                <c:pt idx="15">
                  <c:v>4601.6267244596311</c:v>
                </c:pt>
                <c:pt idx="16">
                  <c:v>4624.7402479686052</c:v>
                </c:pt>
                <c:pt idx="17">
                  <c:v>4638.3804758833439</c:v>
                </c:pt>
                <c:pt idx="18">
                  <c:v>4643.3357326490559</c:v>
                </c:pt>
                <c:pt idx="19">
                  <c:v>4640.4502313446492</c:v>
                </c:pt>
                <c:pt idx="20">
                  <c:v>4630.6088220406236</c:v>
                </c:pt>
                <c:pt idx="21">
                  <c:v>4614.723009450081</c:v>
                </c:pt>
                <c:pt idx="22">
                  <c:v>4593.718468291695</c:v>
                </c:pt>
                <c:pt idx="23">
                  <c:v>4568.350942247529</c:v>
                </c:pt>
                <c:pt idx="24">
                  <c:v>4538.6861694934678</c:v>
                </c:pt>
                <c:pt idx="25">
                  <c:v>4504.6313274543772</c:v>
                </c:pt>
                <c:pt idx="26">
                  <c:v>4466.1113553227569</c:v>
                </c:pt>
                <c:pt idx="27">
                  <c:v>4423.0701771722361</c:v>
                </c:pt>
                <c:pt idx="28">
                  <c:v>4375.5424662579671</c:v>
                </c:pt>
                <c:pt idx="29">
                  <c:v>4323.859852260287</c:v>
                </c:pt>
                <c:pt idx="30">
                  <c:v>4268.4264171792202</c:v>
                </c:pt>
                <c:pt idx="31">
                  <c:v>4209.6435705796112</c:v>
                </c:pt>
                <c:pt idx="32">
                  <c:v>4147.9072911080111</c:v>
                </c:pt>
                <c:pt idx="33">
                  <c:v>4083.6056566917882</c:v>
                </c:pt>
                <c:pt idx="34">
                  <c:v>4017.116667580256</c:v>
                </c:pt>
                <c:pt idx="35">
                  <c:v>3948.8063617179678</c:v>
                </c:pt>
                <c:pt idx="36">
                  <c:v>3879.0272178041992</c:v>
                </c:pt>
                <c:pt idx="37">
                  <c:v>3808.1168378114739</c:v>
                </c:pt>
                <c:pt idx="38">
                  <c:v>3736.396897710481</c:v>
                </c:pt>
                <c:pt idx="39">
                  <c:v>3664.1723526724409</c:v>
                </c:pt>
                <c:pt idx="40">
                  <c:v>3591.7308810707341</c:v>
                </c:pt>
                <c:pt idx="41">
                  <c:v>3519.3425501551728</c:v>
                </c:pt>
                <c:pt idx="42">
                  <c:v>3447.259685287142</c:v>
                </c:pt>
                <c:pt idx="43">
                  <c:v>3375.7169240642529</c:v>
                </c:pt>
                <c:pt idx="44">
                  <c:v>3304.9314364832112</c:v>
                </c:pt>
                <c:pt idx="45">
                  <c:v>3235.10329244679</c:v>
                </c:pt>
                <c:pt idx="46">
                  <c:v>3166.4159583674882</c:v>
                </c:pt>
                <c:pt idx="47">
                  <c:v>3099.0369053135032</c:v>
                </c:pt>
                <c:pt idx="48">
                  <c:v>3033.1183120386681</c:v>
                </c:pt>
                <c:pt idx="49">
                  <c:v>2968.7978472964228</c:v>
                </c:pt>
                <c:pt idx="50">
                  <c:v>2906.1995170221271</c:v>
                </c:pt>
                <c:pt idx="51">
                  <c:v>2845.4345632433992</c:v>
                </c:pt>
                <c:pt idx="52">
                  <c:v>2786.6024029160612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154-4A07-92CC-FB0C2DCF4F71}"/>
            </c:ext>
          </c:extLst>
        </c:ser>
        <c:ser>
          <c:idx val="3"/>
          <c:order val="3"/>
          <c:tx>
            <c:strRef>
              <c:f>'增加值 (2001-2060, 2020RMB)'!$A$17</c:f>
              <c:strCache>
                <c:ptCount val="1"/>
                <c:pt idx="0">
                  <c:v>有色金属矿采选业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2020RMB)'!$I$17:$BI$17</c:f>
              <c:numCache>
                <c:formatCode>0_);[Red]\(0\)</c:formatCode>
                <c:ptCount val="53"/>
                <c:pt idx="0">
                  <c:v>1310.7957571469735</c:v>
                </c:pt>
                <c:pt idx="1">
                  <c:v>1488.5845476631823</c:v>
                </c:pt>
                <c:pt idx="2">
                  <c:v>1607.4919993808442</c:v>
                </c:pt>
                <c:pt idx="3">
                  <c:v>1784.0220797573177</c:v>
                </c:pt>
                <c:pt idx="4">
                  <c:v>1958.22960476651</c:v>
                </c:pt>
                <c:pt idx="5">
                  <c:v>2036.9648259107798</c:v>
                </c:pt>
                <c:pt idx="6">
                  <c:v>2097.4100390948875</c:v>
                </c:pt>
                <c:pt idx="7">
                  <c:v>2075.3912020817443</c:v>
                </c:pt>
                <c:pt idx="8">
                  <c:v>2075.9768918787054</c:v>
                </c:pt>
                <c:pt idx="9">
                  <c:v>2025.6773253510662</c:v>
                </c:pt>
                <c:pt idx="10">
                  <c:v>2047.2184433162315</c:v>
                </c:pt>
                <c:pt idx="11">
                  <c:v>2033.076023735219</c:v>
                </c:pt>
                <c:pt idx="12">
                  <c:v>1962.7921031386184</c:v>
                </c:pt>
                <c:pt idx="13">
                  <c:v>2008.8963000276083</c:v>
                </c:pt>
                <c:pt idx="14">
                  <c:v>2146.8175625414897</c:v>
                </c:pt>
                <c:pt idx="15">
                  <c:v>2136.1669112190921</c:v>
                </c:pt>
                <c:pt idx="16">
                  <c:v>2123.2128253597289</c:v>
                </c:pt>
                <c:pt idx="17">
                  <c:v>2108.1143033711523</c:v>
                </c:pt>
                <c:pt idx="18">
                  <c:v>2091.033744422673</c:v>
                </c:pt>
                <c:pt idx="19">
                  <c:v>2072.1355802030939</c:v>
                </c:pt>
                <c:pt idx="20">
                  <c:v>2051.5849965982839</c:v>
                </c:pt>
                <c:pt idx="21">
                  <c:v>2029.54675313707</c:v>
                </c:pt>
                <c:pt idx="22">
                  <c:v>2006.1841059288483</c:v>
                </c:pt>
                <c:pt idx="23">
                  <c:v>1981.6232646593089</c:v>
                </c:pt>
                <c:pt idx="24">
                  <c:v>1955.852392674537</c:v>
                </c:pt>
                <c:pt idx="25">
                  <c:v>1928.83133594318</c:v>
                </c:pt>
                <c:pt idx="26">
                  <c:v>1900.5274290608529</c:v>
                </c:pt>
                <c:pt idx="27">
                  <c:v>1870.9158739446407</c:v>
                </c:pt>
                <c:pt idx="28">
                  <c:v>1840.01193521544</c:v>
                </c:pt>
                <c:pt idx="29">
                  <c:v>1807.962334675932</c:v>
                </c:pt>
                <c:pt idx="30">
                  <c:v>1774.941676332802</c:v>
                </c:pt>
                <c:pt idx="31">
                  <c:v>1741.118687256652</c:v>
                </c:pt>
                <c:pt idx="32">
                  <c:v>1706.655480588445</c:v>
                </c:pt>
                <c:pt idx="33">
                  <c:v>1671.7069476333861</c:v>
                </c:pt>
                <c:pt idx="34">
                  <c:v>1636.4202738390579</c:v>
                </c:pt>
                <c:pt idx="35">
                  <c:v>1600.934572292143</c:v>
                </c:pt>
                <c:pt idx="36">
                  <c:v>1565.380627446455</c:v>
                </c:pt>
                <c:pt idx="37">
                  <c:v>1529.8807411021669</c:v>
                </c:pt>
                <c:pt idx="38">
                  <c:v>1494.5486721762741</c:v>
                </c:pt>
                <c:pt idx="39">
                  <c:v>1459.489661520023</c:v>
                </c:pt>
                <c:pt idx="40">
                  <c:v>1424.800532930371</c:v>
                </c:pt>
                <c:pt idx="41">
                  <c:v>1390.5698615494359</c:v>
                </c:pt>
                <c:pt idx="42">
                  <c:v>1356.8782010272698</c:v>
                </c:pt>
                <c:pt idx="43">
                  <c:v>1323.798361119045</c:v>
                </c:pt>
                <c:pt idx="44">
                  <c:v>1291.3957277774659</c:v>
                </c:pt>
                <c:pt idx="45">
                  <c:v>1259.7286182665989</c:v>
                </c:pt>
                <c:pt idx="46">
                  <c:v>1228.848664346408</c:v>
                </c:pt>
                <c:pt idx="47">
                  <c:v>1198.801217142269</c:v>
                </c:pt>
                <c:pt idx="48">
                  <c:v>1169.6257679060909</c:v>
                </c:pt>
                <c:pt idx="49">
                  <c:v>1141.356379482859</c:v>
                </c:pt>
                <c:pt idx="50">
                  <c:v>1114.0221239073251</c:v>
                </c:pt>
                <c:pt idx="51">
                  <c:v>1087.647522161227</c:v>
                </c:pt>
                <c:pt idx="52">
                  <c:v>1062.2529827141868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154-4A07-92CC-FB0C2DCF4F71}"/>
            </c:ext>
          </c:extLst>
        </c:ser>
        <c:ser>
          <c:idx val="4"/>
          <c:order val="4"/>
          <c:tx>
            <c:strRef>
              <c:f>'增加值 (2001-2060, 2020RMB)'!$A$18</c:f>
              <c:strCache>
                <c:ptCount val="1"/>
                <c:pt idx="0">
                  <c:v>非金属矿采选业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2020RMB)'!$I$18:$BI$18</c:f>
              <c:numCache>
                <c:formatCode>0_);[Red]\(0\)</c:formatCode>
                <c:ptCount val="53"/>
                <c:pt idx="0">
                  <c:v>740.76653991594344</c:v>
                </c:pt>
                <c:pt idx="1">
                  <c:v>844.0486631354139</c:v>
                </c:pt>
                <c:pt idx="2">
                  <c:v>1022.9457399478509</c:v>
                </c:pt>
                <c:pt idx="3">
                  <c:v>1214.8998811626097</c:v>
                </c:pt>
                <c:pt idx="4">
                  <c:v>1274.5479058190608</c:v>
                </c:pt>
                <c:pt idx="5">
                  <c:v>1356.0633699380928</c:v>
                </c:pt>
                <c:pt idx="6">
                  <c:v>1401.5037918321566</c:v>
                </c:pt>
                <c:pt idx="7">
                  <c:v>1417.3718474346597</c:v>
                </c:pt>
                <c:pt idx="8">
                  <c:v>1442.6692962996772</c:v>
                </c:pt>
                <c:pt idx="9">
                  <c:v>1454.4434672707334</c:v>
                </c:pt>
                <c:pt idx="10">
                  <c:v>1468.4618787211398</c:v>
                </c:pt>
                <c:pt idx="11">
                  <c:v>1418.6739912185421</c:v>
                </c:pt>
                <c:pt idx="12">
                  <c:v>1364.1405953083029</c:v>
                </c:pt>
                <c:pt idx="13">
                  <c:v>1526.8532453395294</c:v>
                </c:pt>
                <c:pt idx="14">
                  <c:v>1532.4140383714741</c:v>
                </c:pt>
                <c:pt idx="15">
                  <c:v>1530.1233507657271</c:v>
                </c:pt>
                <c:pt idx="16">
                  <c:v>1525.6448506005349</c:v>
                </c:pt>
                <c:pt idx="17">
                  <c:v>1519.1391657138756</c:v>
                </c:pt>
                <c:pt idx="18">
                  <c:v>1510.772973091802</c:v>
                </c:pt>
                <c:pt idx="19">
                  <c:v>1500.7170306339001</c:v>
                </c:pt>
                <c:pt idx="20">
                  <c:v>1489.144349163586</c:v>
                </c:pt>
                <c:pt idx="21">
                  <c:v>1476.2285215011809</c:v>
                </c:pt>
                <c:pt idx="22">
                  <c:v>1462.1422206524946</c:v>
                </c:pt>
                <c:pt idx="23">
                  <c:v>1447.022167866485</c:v>
                </c:pt>
                <c:pt idx="24">
                  <c:v>1430.869855584647</c:v>
                </c:pt>
                <c:pt idx="25">
                  <c:v>1413.657477520371</c:v>
                </c:pt>
                <c:pt idx="26">
                  <c:v>1395.362644201974</c:v>
                </c:pt>
                <c:pt idx="27">
                  <c:v>1375.9686954982469</c:v>
                </c:pt>
                <c:pt idx="28">
                  <c:v>1355.4880045401769</c:v>
                </c:pt>
                <c:pt idx="29">
                  <c:v>1334.028354765803</c:v>
                </c:pt>
                <c:pt idx="30">
                  <c:v>1311.718565771677</c:v>
                </c:pt>
                <c:pt idx="31">
                  <c:v>1288.684068104707</c:v>
                </c:pt>
                <c:pt idx="32">
                  <c:v>1265.0462641985309</c:v>
                </c:pt>
                <c:pt idx="33">
                  <c:v>1240.921984630487</c:v>
                </c:pt>
                <c:pt idx="34">
                  <c:v>1216.423037181499</c:v>
                </c:pt>
                <c:pt idx="35">
                  <c:v>1191.6558451429721</c:v>
                </c:pt>
                <c:pt idx="36">
                  <c:v>1166.7211704562139</c:v>
                </c:pt>
                <c:pt idx="37">
                  <c:v>1141.71391658537</c:v>
                </c:pt>
                <c:pt idx="38">
                  <c:v>1116.723005505871</c:v>
                </c:pt>
                <c:pt idx="39">
                  <c:v>1091.8313228263389</c:v>
                </c:pt>
                <c:pt idx="40">
                  <c:v>1067.1157248396801</c:v>
                </c:pt>
                <c:pt idx="41">
                  <c:v>1042.6471012052971</c:v>
                </c:pt>
                <c:pt idx="42">
                  <c:v>1018.490486984029</c:v>
                </c:pt>
                <c:pt idx="43">
                  <c:v>994.70521786577228</c:v>
                </c:pt>
                <c:pt idx="44">
                  <c:v>971.34512263216573</c:v>
                </c:pt>
                <c:pt idx="45">
                  <c:v>948.45874716862329</c:v>
                </c:pt>
                <c:pt idx="46">
                  <c:v>926.08960466807434</c:v>
                </c:pt>
                <c:pt idx="47">
                  <c:v>904.27644704008117</c:v>
                </c:pt>
                <c:pt idx="48">
                  <c:v>883.05355294223</c:v>
                </c:pt>
                <c:pt idx="49">
                  <c:v>862.45102827515291</c:v>
                </c:pt>
                <c:pt idx="50">
                  <c:v>842.49511541927814</c:v>
                </c:pt>
                <c:pt idx="51">
                  <c:v>823.20850793242823</c:v>
                </c:pt>
                <c:pt idx="52">
                  <c:v>804.61066786605875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154-4A07-92CC-FB0C2DCF4F71}"/>
            </c:ext>
          </c:extLst>
        </c:ser>
        <c:ser>
          <c:idx val="5"/>
          <c:order val="5"/>
          <c:tx>
            <c:strRef>
              <c:f>'增加值 (2001-2060, 2020RMB)'!$A$19</c:f>
              <c:strCache>
                <c:ptCount val="1"/>
                <c:pt idx="0">
                  <c:v>开采专业及辅助性活动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2020RMB)'!$I$19:$BI$19</c:f>
              <c:numCache>
                <c:formatCode>0_);[Red]\(0\)</c:formatCode>
                <c:ptCount val="53"/>
                <c:pt idx="0">
                  <c:v>622.28189547720797</c:v>
                </c:pt>
                <c:pt idx="1">
                  <c:v>708.94586294105329</c:v>
                </c:pt>
                <c:pt idx="2">
                  <c:v>796.67192689080173</c:v>
                </c:pt>
                <c:pt idx="3">
                  <c:v>897.68406282890419</c:v>
                </c:pt>
                <c:pt idx="4">
                  <c:v>975.94130351953618</c:v>
                </c:pt>
                <c:pt idx="5">
                  <c:v>974.38864222573625</c:v>
                </c:pt>
                <c:pt idx="6">
                  <c:v>903.34619259796079</c:v>
                </c:pt>
                <c:pt idx="7">
                  <c:v>755.02693912330028</c:v>
                </c:pt>
                <c:pt idx="8">
                  <c:v>629.98069374082036</c:v>
                </c:pt>
                <c:pt idx="9">
                  <c:v>764.56980297896723</c:v>
                </c:pt>
                <c:pt idx="10">
                  <c:v>943.22721747818241</c:v>
                </c:pt>
                <c:pt idx="11">
                  <c:v>1106.7744145318222</c:v>
                </c:pt>
                <c:pt idx="12">
                  <c:v>935.75183103419295</c:v>
                </c:pt>
                <c:pt idx="13">
                  <c:v>1028.8553087520027</c:v>
                </c:pt>
                <c:pt idx="14">
                  <c:v>1144.432816780665</c:v>
                </c:pt>
                <c:pt idx="15">
                  <c:v>1228.935884672414</c:v>
                </c:pt>
                <c:pt idx="16">
                  <c:v>1309.05662363189</c:v>
                </c:pt>
                <c:pt idx="17">
                  <c:v>1384.3660913195508</c:v>
                </c:pt>
                <c:pt idx="18">
                  <c:v>1454.7213665962011</c:v>
                </c:pt>
                <c:pt idx="19">
                  <c:v>1520.2606559998551</c:v>
                </c:pt>
                <c:pt idx="20">
                  <c:v>1581.3889459529969</c:v>
                </c:pt>
                <c:pt idx="21">
                  <c:v>1638.7578130182501</c:v>
                </c:pt>
                <c:pt idx="22">
                  <c:v>1693.2431053643836</c:v>
                </c:pt>
                <c:pt idx="23">
                  <c:v>1745.678148728256</c:v>
                </c:pt>
                <c:pt idx="24">
                  <c:v>1796.0420902915171</c:v>
                </c:pt>
                <c:pt idx="25">
                  <c:v>1844.0907934010941</c:v>
                </c:pt>
                <c:pt idx="26">
                  <c:v>1889.5897508014029</c:v>
                </c:pt>
                <c:pt idx="27">
                  <c:v>1932.3160698994134</c:v>
                </c:pt>
                <c:pt idx="28">
                  <c:v>1972.0793016383229</c:v>
                </c:pt>
                <c:pt idx="29">
                  <c:v>2008.782848802676</c:v>
                </c:pt>
                <c:pt idx="30">
                  <c:v>2042.372842790958</c:v>
                </c:pt>
                <c:pt idx="31">
                  <c:v>2072.819531288786</c:v>
                </c:pt>
                <c:pt idx="32">
                  <c:v>2100.116553084265</c:v>
                </c:pt>
                <c:pt idx="33">
                  <c:v>2124.2799780974428</c:v>
                </c:pt>
                <c:pt idx="34">
                  <c:v>2145.347143880877</c:v>
                </c:pt>
                <c:pt idx="35">
                  <c:v>2163.3753211527051</c:v>
                </c:pt>
                <c:pt idx="36">
                  <c:v>2178.440241430581</c:v>
                </c:pt>
                <c:pt idx="37">
                  <c:v>2190.63451961086</c:v>
                </c:pt>
                <c:pt idx="38">
                  <c:v>2200.0660034630132</c:v>
                </c:pt>
                <c:pt idx="39">
                  <c:v>2206.856080572782</c:v>
                </c:pt>
                <c:pt idx="40">
                  <c:v>2211.1379713639831</c:v>
                </c:pt>
                <c:pt idx="41">
                  <c:v>2213.0550345540091</c:v>
                </c:pt>
                <c:pt idx="42">
                  <c:v>2212.7591088472223</c:v>
                </c:pt>
                <c:pt idx="43">
                  <c:v>2210.408911934529</c:v>
                </c:pt>
                <c:pt idx="44">
                  <c:v>2206.1685150320659</c:v>
                </c:pt>
                <c:pt idx="45">
                  <c:v>2200.2059083343152</c:v>
                </c:pt>
                <c:pt idx="46">
                  <c:v>2192.6916699462331</c:v>
                </c:pt>
                <c:pt idx="47">
                  <c:v>2183.7977481544358</c:v>
                </c:pt>
                <c:pt idx="48">
                  <c:v>2173.6963643482341</c:v>
                </c:pt>
                <c:pt idx="49">
                  <c:v>2162.5590415478541</c:v>
                </c:pt>
                <c:pt idx="50">
                  <c:v>2150.5557613689748</c:v>
                </c:pt>
                <c:pt idx="51">
                  <c:v>2137.8542503720769</c:v>
                </c:pt>
                <c:pt idx="52">
                  <c:v>2124.6193951250866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154-4A07-92CC-FB0C2DCF4F71}"/>
            </c:ext>
          </c:extLst>
        </c:ser>
        <c:ser>
          <c:idx val="6"/>
          <c:order val="6"/>
          <c:tx>
            <c:strRef>
              <c:f>'增加值 (2001-2060, 2020RMB)'!$A$20</c:f>
              <c:strCache>
                <c:ptCount val="1"/>
                <c:pt idx="0">
                  <c:v>其他采矿业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2020RMB)'!$I$20:$BI$20</c:f>
              <c:numCache>
                <c:formatCode>0_);[Red]\(0\)</c:formatCode>
                <c:ptCount val="53"/>
                <c:pt idx="0">
                  <c:v>4.2073585081337939</c:v>
                </c:pt>
                <c:pt idx="1">
                  <c:v>5.6913481669919435</c:v>
                </c:pt>
                <c:pt idx="2">
                  <c:v>6.6710308764954105</c:v>
                </c:pt>
                <c:pt idx="3">
                  <c:v>7.8715586982123913</c:v>
                </c:pt>
                <c:pt idx="4">
                  <c:v>7.9058264716914133</c:v>
                </c:pt>
                <c:pt idx="5">
                  <c:v>8.4565158393190849</c:v>
                </c:pt>
                <c:pt idx="6">
                  <c:v>7.8642757355593114</c:v>
                </c:pt>
                <c:pt idx="7">
                  <c:v>7.6399586741987617</c:v>
                </c:pt>
                <c:pt idx="8">
                  <c:v>6.6132251314970931</c:v>
                </c:pt>
                <c:pt idx="9">
                  <c:v>7.651212356064276</c:v>
                </c:pt>
                <c:pt idx="10">
                  <c:v>7.8468501110366367</c:v>
                </c:pt>
                <c:pt idx="11">
                  <c:v>7.8531685552162784</c:v>
                </c:pt>
                <c:pt idx="12">
                  <c:v>7.680442047975407</c:v>
                </c:pt>
                <c:pt idx="13">
                  <c:v>7.133140363143748</c:v>
                </c:pt>
                <c:pt idx="14">
                  <c:v>9.2604801376398402</c:v>
                </c:pt>
                <c:pt idx="15">
                  <c:v>9.5821508942011224</c:v>
                </c:pt>
                <c:pt idx="16">
                  <c:v>9.8681746081646757</c:v>
                </c:pt>
                <c:pt idx="17">
                  <c:v>10.119546760461681</c:v>
                </c:pt>
                <c:pt idx="18">
                  <c:v>10.338125785691849</c:v>
                </c:pt>
                <c:pt idx="19">
                  <c:v>10.52652859363495</c:v>
                </c:pt>
                <c:pt idx="20">
                  <c:v>10.68801972881811</c:v>
                </c:pt>
                <c:pt idx="21">
                  <c:v>10.826401442173561</c:v>
                </c:pt>
                <c:pt idx="22">
                  <c:v>10.945910981427277</c:v>
                </c:pt>
                <c:pt idx="23">
                  <c:v>11.05022392902954</c:v>
                </c:pt>
                <c:pt idx="24">
                  <c:v>11.139600581432269</c:v>
                </c:pt>
                <c:pt idx="25">
                  <c:v>11.213466827222771</c:v>
                </c:pt>
                <c:pt idx="26">
                  <c:v>11.271307529025959</c:v>
                </c:pt>
                <c:pt idx="27">
                  <c:v>11.312671583711108</c:v>
                </c:pt>
                <c:pt idx="28">
                  <c:v>11.33732950331185</c:v>
                </c:pt>
                <c:pt idx="29">
                  <c:v>11.345737180573609</c:v>
                </c:pt>
                <c:pt idx="30">
                  <c:v>11.33857656142124</c:v>
                </c:pt>
                <c:pt idx="31">
                  <c:v>11.316593852623139</c:v>
                </c:pt>
                <c:pt idx="32">
                  <c:v>11.280589723926511</c:v>
                </c:pt>
                <c:pt idx="33">
                  <c:v>11.23140965428089</c:v>
                </c:pt>
                <c:pt idx="34">
                  <c:v>11.16993454279427</c:v>
                </c:pt>
                <c:pt idx="35">
                  <c:v>11.09707168986103</c:v>
                </c:pt>
                <c:pt idx="36">
                  <c:v>11.01374623827892</c:v>
                </c:pt>
                <c:pt idx="37">
                  <c:v>10.92089314852071</c:v>
                </c:pt>
                <c:pt idx="38">
                  <c:v>10.81944976699018</c:v>
                </c:pt>
                <c:pt idx="39">
                  <c:v>10.71034903136449</c:v>
                </c:pt>
                <c:pt idx="40">
                  <c:v>10.594513343250309</c:v>
                </c:pt>
                <c:pt idx="41">
                  <c:v>10.4728491255526</c:v>
                </c:pt>
                <c:pt idx="42">
                  <c:v>10.346242070316865</c:v>
                </c:pt>
                <c:pt idx="43">
                  <c:v>10.215553072457331</c:v>
                </c:pt>
                <c:pt idx="44">
                  <c:v>10.081614835781631</c:v>
                </c:pt>
                <c:pt idx="45">
                  <c:v>9.9452291300864886</c:v>
                </c:pt>
                <c:pt idx="46">
                  <c:v>9.8071646718155385</c:v>
                </c:pt>
                <c:pt idx="47">
                  <c:v>9.6681555957997105</c:v>
                </c:pt>
                <c:pt idx="48">
                  <c:v>9.5289004818795533</c:v>
                </c:pt>
                <c:pt idx="49">
                  <c:v>9.3900618976578709</c:v>
                </c:pt>
                <c:pt idx="50">
                  <c:v>9.252266417158209</c:v>
                </c:pt>
                <c:pt idx="51">
                  <c:v>9.1161050746693473</c:v>
                </c:pt>
                <c:pt idx="52">
                  <c:v>8.9821342134349731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54-4A07-92CC-FB0C2DCF4F71}"/>
            </c:ext>
          </c:extLst>
        </c:ser>
        <c:ser>
          <c:idx val="7"/>
          <c:order val="7"/>
          <c:tx>
            <c:strRef>
              <c:f>'增加值 (2001-2060, 2020RMB)'!$A$21</c:f>
              <c:strCache>
                <c:ptCount val="1"/>
                <c:pt idx="0">
                  <c:v>农副食品加工业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2020RMB)'!$I$21:$BI$21</c:f>
              <c:numCache>
                <c:formatCode>0_);[Red]\(0\)</c:formatCode>
                <c:ptCount val="53"/>
                <c:pt idx="0">
                  <c:v>6050.1815346963958</c:v>
                </c:pt>
                <c:pt idx="1">
                  <c:v>6647.1197559437896</c:v>
                </c:pt>
                <c:pt idx="2">
                  <c:v>7423.3830327374781</c:v>
                </c:pt>
                <c:pt idx="3">
                  <c:v>8138.735509032279</c:v>
                </c:pt>
                <c:pt idx="4">
                  <c:v>8801.756427856033</c:v>
                </c:pt>
                <c:pt idx="5">
                  <c:v>9147.290394606589</c:v>
                </c:pt>
                <c:pt idx="6">
                  <c:v>9445.0378195708508</c:v>
                </c:pt>
                <c:pt idx="7">
                  <c:v>9453.4097282134589</c:v>
                </c:pt>
                <c:pt idx="8">
                  <c:v>9788.1934403291416</c:v>
                </c:pt>
                <c:pt idx="9">
                  <c:v>10581.43367652795</c:v>
                </c:pt>
                <c:pt idx="10">
                  <c:v>11157.537384528478</c:v>
                </c:pt>
                <c:pt idx="11">
                  <c:v>10962.124829845372</c:v>
                </c:pt>
                <c:pt idx="12">
                  <c:v>10445.304759048124</c:v>
                </c:pt>
                <c:pt idx="13">
                  <c:v>11712.956168186243</c:v>
                </c:pt>
                <c:pt idx="14">
                  <c:v>11981.684218336073</c:v>
                </c:pt>
                <c:pt idx="15">
                  <c:v>12183.59039365953</c:v>
                </c:pt>
                <c:pt idx="16">
                  <c:v>12350.18240568944</c:v>
                </c:pt>
                <c:pt idx="17">
                  <c:v>12483.541864999002</c:v>
                </c:pt>
                <c:pt idx="18">
                  <c:v>12586.19182157204</c:v>
                </c:pt>
                <c:pt idx="19">
                  <c:v>12661.01872685713</c:v>
                </c:pt>
                <c:pt idx="20">
                  <c:v>12711.196796719951</c:v>
                </c:pt>
                <c:pt idx="21">
                  <c:v>12740.11730872413</c:v>
                </c:pt>
                <c:pt idx="22">
                  <c:v>12751.324865024522</c:v>
                </c:pt>
                <c:pt idx="23">
                  <c:v>12747.77931237476</c:v>
                </c:pt>
                <c:pt idx="24">
                  <c:v>12729.76825127492</c:v>
                </c:pt>
                <c:pt idx="25">
                  <c:v>12696.947458137511</c:v>
                </c:pt>
                <c:pt idx="26">
                  <c:v>12649.02763179972</c:v>
                </c:pt>
                <c:pt idx="27">
                  <c:v>12585.778474912928</c:v>
                </c:pt>
                <c:pt idx="28">
                  <c:v>12507.22288309648</c:v>
                </c:pt>
                <c:pt idx="29">
                  <c:v>12414.200168684471</c:v>
                </c:pt>
                <c:pt idx="30">
                  <c:v>12307.77201924675</c:v>
                </c:pt>
                <c:pt idx="31">
                  <c:v>12189.019820552659</c:v>
                </c:pt>
                <c:pt idx="32">
                  <c:v>12059.03513005174</c:v>
                </c:pt>
                <c:pt idx="33">
                  <c:v>11918.910822579821</c:v>
                </c:pt>
                <c:pt idx="34">
                  <c:v>11769.732962788279</c:v>
                </c:pt>
                <c:pt idx="35">
                  <c:v>11612.573442547069</c:v>
                </c:pt>
                <c:pt idx="36">
                  <c:v>11448.48340641874</c:v>
                </c:pt>
                <c:pt idx="37">
                  <c:v>11278.48747443146</c:v>
                </c:pt>
                <c:pt idx="38">
                  <c:v>11103.57875891858</c:v>
                </c:pt>
                <c:pt idx="39">
                  <c:v>10924.71466123205</c:v>
                </c:pt>
                <c:pt idx="40">
                  <c:v>10742.813424707019</c:v>
                </c:pt>
                <c:pt idx="41">
                  <c:v>10558.751412363619</c:v>
                </c:pt>
                <c:pt idx="42">
                  <c:v>10373.36107143661</c:v>
                </c:pt>
                <c:pt idx="43">
                  <c:v>10187.429541870841</c:v>
                </c:pt>
                <c:pt idx="44">
                  <c:v>10001.69786231899</c:v>
                </c:pt>
                <c:pt idx="45">
                  <c:v>9816.8607248317348</c:v>
                </c:pt>
                <c:pt idx="46">
                  <c:v>9633.5667282242575</c:v>
                </c:pt>
                <c:pt idx="47">
                  <c:v>9452.4190799145708</c:v>
                </c:pt>
                <c:pt idx="48">
                  <c:v>9273.9766967404394</c:v>
                </c:pt>
                <c:pt idx="49">
                  <c:v>9098.7556567424181</c:v>
                </c:pt>
                <c:pt idx="50">
                  <c:v>8927.2309560368049</c:v>
                </c:pt>
                <c:pt idx="51">
                  <c:v>8759.8385275762248</c:v>
                </c:pt>
                <c:pt idx="52">
                  <c:v>8596.97748170468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154-4A07-92CC-FB0C2DCF4F71}"/>
            </c:ext>
          </c:extLst>
        </c:ser>
        <c:ser>
          <c:idx val="8"/>
          <c:order val="8"/>
          <c:tx>
            <c:strRef>
              <c:f>'增加值 (2001-2060, 2020RMB)'!$A$22</c:f>
              <c:strCache>
                <c:ptCount val="1"/>
                <c:pt idx="0">
                  <c:v>食品制造业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2020RMB)'!$I$22:$BI$22</c:f>
              <c:numCache>
                <c:formatCode>0_);[Red]\(0\)</c:formatCode>
                <c:ptCount val="53"/>
                <c:pt idx="0">
                  <c:v>2840.6455992012998</c:v>
                </c:pt>
                <c:pt idx="1">
                  <c:v>3072.4467177068132</c:v>
                </c:pt>
                <c:pt idx="2">
                  <c:v>3437.2202803711198</c:v>
                </c:pt>
                <c:pt idx="3">
                  <c:v>3867.5299130704925</c:v>
                </c:pt>
                <c:pt idx="4">
                  <c:v>4116.3241269140553</c:v>
                </c:pt>
                <c:pt idx="5">
                  <c:v>4301.3823456235787</c:v>
                </c:pt>
                <c:pt idx="6">
                  <c:v>4478.5085208395594</c:v>
                </c:pt>
                <c:pt idx="7">
                  <c:v>4567.4540786538546</c:v>
                </c:pt>
                <c:pt idx="8">
                  <c:v>4849.5535940714435</c:v>
                </c:pt>
                <c:pt idx="9">
                  <c:v>5355.4655716280495</c:v>
                </c:pt>
                <c:pt idx="10">
                  <c:v>5689.7020900355756</c:v>
                </c:pt>
                <c:pt idx="11">
                  <c:v>5776.570889117249</c:v>
                </c:pt>
                <c:pt idx="12">
                  <c:v>5671.8703052305846</c:v>
                </c:pt>
                <c:pt idx="13">
                  <c:v>6377.9299660669476</c:v>
                </c:pt>
                <c:pt idx="14">
                  <c:v>6627.9200426937196</c:v>
                </c:pt>
                <c:pt idx="15">
                  <c:v>6836.6375533616583</c:v>
                </c:pt>
                <c:pt idx="16">
                  <c:v>7020.6450104061696</c:v>
                </c:pt>
                <c:pt idx="17">
                  <c:v>7180.7918825363367</c:v>
                </c:pt>
                <c:pt idx="18">
                  <c:v>7318.4690383425586</c:v>
                </c:pt>
                <c:pt idx="19">
                  <c:v>7435.5383790986098</c:v>
                </c:pt>
                <c:pt idx="20">
                  <c:v>7534.2596874997198</c:v>
                </c:pt>
                <c:pt idx="21">
                  <c:v>7617.2190083663036</c:v>
                </c:pt>
                <c:pt idx="22">
                  <c:v>7687.2622537976149</c:v>
                </c:pt>
                <c:pt idx="23">
                  <c:v>7746.8410398641699</c:v>
                </c:pt>
                <c:pt idx="24">
                  <c:v>7796.1454571329687</c:v>
                </c:pt>
                <c:pt idx="25">
                  <c:v>7834.8160052150743</c:v>
                </c:pt>
                <c:pt idx="26">
                  <c:v>7862.533122356429</c:v>
                </c:pt>
                <c:pt idx="27">
                  <c:v>7879.0204906239805</c:v>
                </c:pt>
                <c:pt idx="28">
                  <c:v>7884.156922064547</c:v>
                </c:pt>
                <c:pt idx="29">
                  <c:v>7878.3049104884631</c:v>
                </c:pt>
                <c:pt idx="30">
                  <c:v>7861.9813297894389</c:v>
                </c:pt>
                <c:pt idx="31">
                  <c:v>7835.7420490840723</c:v>
                </c:pt>
                <c:pt idx="32">
                  <c:v>7800.1751476216687</c:v>
                </c:pt>
                <c:pt idx="33">
                  <c:v>7755.8943004632247</c:v>
                </c:pt>
                <c:pt idx="34">
                  <c:v>7703.5324104492338</c:v>
                </c:pt>
                <c:pt idx="35">
                  <c:v>7643.7355511188516</c:v>
                </c:pt>
                <c:pt idx="36">
                  <c:v>7577.1572743126917</c:v>
                </c:pt>
                <c:pt idx="37">
                  <c:v>7504.4533254321204</c:v>
                </c:pt>
                <c:pt idx="38">
                  <c:v>7426.27679895249</c:v>
                </c:pt>
                <c:pt idx="39">
                  <c:v>7343.2737569724941</c:v>
                </c:pt>
                <c:pt idx="40">
                  <c:v>7256.0793244671104</c:v>
                </c:pt>
                <c:pt idx="41">
                  <c:v>7165.3142666083504</c:v>
                </c:pt>
                <c:pt idx="42">
                  <c:v>7071.5820460973509</c:v>
                </c:pt>
                <c:pt idx="43">
                  <c:v>6975.4663519625601</c:v>
                </c:pt>
                <c:pt idx="44">
                  <c:v>6877.529085737925</c:v>
                </c:pt>
                <c:pt idx="45">
                  <c:v>6778.3087863390219</c:v>
                </c:pt>
                <c:pt idx="46">
                  <c:v>6678.3194712783998</c:v>
                </c:pt>
                <c:pt idx="47">
                  <c:v>6578.0498690646646</c:v>
                </c:pt>
                <c:pt idx="48">
                  <c:v>6477.9630156575813</c:v>
                </c:pt>
                <c:pt idx="49">
                  <c:v>6378.4961866423764</c:v>
                </c:pt>
                <c:pt idx="50">
                  <c:v>6280.0611362709042</c:v>
                </c:pt>
                <c:pt idx="51">
                  <c:v>6183.0446146214354</c:v>
                </c:pt>
                <c:pt idx="52">
                  <c:v>6087.8091347805748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154-4A07-92CC-FB0C2DCF4F71}"/>
            </c:ext>
          </c:extLst>
        </c:ser>
        <c:ser>
          <c:idx val="9"/>
          <c:order val="9"/>
          <c:tx>
            <c:strRef>
              <c:f>'增加值 (2001-2060, 2020RMB)'!$A$23</c:f>
              <c:strCache>
                <c:ptCount val="1"/>
                <c:pt idx="0">
                  <c:v>酒、饮料和精制茶制造业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2020RMB)'!$I$23:$BI$23</c:f>
              <c:numCache>
                <c:formatCode>0_);[Red]\(0\)</c:formatCode>
                <c:ptCount val="53"/>
                <c:pt idx="0">
                  <c:v>3020.3405238712726</c:v>
                </c:pt>
                <c:pt idx="1">
                  <c:v>3281.1205636919672</c:v>
                </c:pt>
                <c:pt idx="2">
                  <c:v>3651.550680724517</c:v>
                </c:pt>
                <c:pt idx="3">
                  <c:v>4171.8492624004839</c:v>
                </c:pt>
                <c:pt idx="4">
                  <c:v>4468.0210462305595</c:v>
                </c:pt>
                <c:pt idx="5">
                  <c:v>4677.3794495133261</c:v>
                </c:pt>
                <c:pt idx="6">
                  <c:v>4775.8177167059885</c:v>
                </c:pt>
                <c:pt idx="7">
                  <c:v>4879.7297009487811</c:v>
                </c:pt>
                <c:pt idx="8">
                  <c:v>5143.0198420387633</c:v>
                </c:pt>
                <c:pt idx="9">
                  <c:v>5679.5466147461566</c:v>
                </c:pt>
                <c:pt idx="10">
                  <c:v>6067.9398448699503</c:v>
                </c:pt>
                <c:pt idx="11">
                  <c:v>6213.2380330633578</c:v>
                </c:pt>
                <c:pt idx="12">
                  <c:v>5848.183273548666</c:v>
                </c:pt>
                <c:pt idx="13">
                  <c:v>6734.5068704919468</c:v>
                </c:pt>
                <c:pt idx="14">
                  <c:v>7272.1184742926107</c:v>
                </c:pt>
                <c:pt idx="15">
                  <c:v>7534.3214010356896</c:v>
                </c:pt>
                <c:pt idx="16">
                  <c:v>7768.2119036831864</c:v>
                </c:pt>
                <c:pt idx="17">
                  <c:v>7974.5032124361551</c:v>
                </c:pt>
                <c:pt idx="18">
                  <c:v>8154.6211727874042</c:v>
                </c:pt>
                <c:pt idx="19">
                  <c:v>8310.6204989868038</c:v>
                </c:pt>
                <c:pt idx="20">
                  <c:v>8445.095132730552</c:v>
                </c:pt>
                <c:pt idx="21">
                  <c:v>8561.0888433666805</c:v>
                </c:pt>
                <c:pt idx="22">
                  <c:v>8662.0114185586463</c:v>
                </c:pt>
                <c:pt idx="23">
                  <c:v>8750.8290790838964</c:v>
                </c:pt>
                <c:pt idx="24">
                  <c:v>8827.743359390106</c:v>
                </c:pt>
                <c:pt idx="25">
                  <c:v>8892.2788875323786</c:v>
                </c:pt>
                <c:pt idx="26">
                  <c:v>8944.0076112744464</c:v>
                </c:pt>
                <c:pt idx="27">
                  <c:v>8982.5529252072301</c:v>
                </c:pt>
                <c:pt idx="28">
                  <c:v>9007.7138069564116</c:v>
                </c:pt>
                <c:pt idx="29">
                  <c:v>9019.8304606677721</c:v>
                </c:pt>
                <c:pt idx="30">
                  <c:v>9019.423948098336</c:v>
                </c:pt>
                <c:pt idx="31">
                  <c:v>9007.0689918503322</c:v>
                </c:pt>
                <c:pt idx="32">
                  <c:v>8983.3861953234627</c:v>
                </c:pt>
                <c:pt idx="33">
                  <c:v>8949.0343429094592</c:v>
                </c:pt>
                <c:pt idx="34">
                  <c:v>8904.7028800275075</c:v>
                </c:pt>
                <c:pt idx="35">
                  <c:v>8851.1046607032804</c:v>
                </c:pt>
                <c:pt idx="36">
                  <c:v>8788.9690380615593</c:v>
                </c:pt>
                <c:pt idx="37">
                  <c:v>8719.0353606521694</c:v>
                </c:pt>
                <c:pt idx="38">
                  <c:v>8642.0469252477906</c:v>
                </c:pt>
                <c:pt idx="39">
                  <c:v>8558.7454248838785</c:v>
                </c:pt>
                <c:pt idx="40">
                  <c:v>8469.8659196659792</c:v>
                </c:pt>
                <c:pt idx="41">
                  <c:v>8376.1323474094806</c:v>
                </c:pt>
                <c:pt idx="42">
                  <c:v>8278.2535816330619</c:v>
                </c:pt>
                <c:pt idx="43">
                  <c:v>8176.9200358859198</c:v>
                </c:pt>
                <c:pt idx="44">
                  <c:v>8072.8008059079921</c:v>
                </c:pt>
                <c:pt idx="45">
                  <c:v>7966.5413347244657</c:v>
                </c:pt>
                <c:pt idx="46">
                  <c:v>7858.7615804602092</c:v>
                </c:pt>
                <c:pt idx="47">
                  <c:v>7750.0546623982464</c:v>
                </c:pt>
                <c:pt idx="48">
                  <c:v>7640.9859575577148</c:v>
                </c:pt>
                <c:pt idx="49">
                  <c:v>7532.0926177681195</c:v>
                </c:pt>
                <c:pt idx="50">
                  <c:v>7423.8834758001012</c:v>
                </c:pt>
                <c:pt idx="51">
                  <c:v>7316.8393085006464</c:v>
                </c:pt>
                <c:pt idx="52">
                  <c:v>7211.413424989737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154-4A07-92CC-FB0C2DCF4F71}"/>
            </c:ext>
          </c:extLst>
        </c:ser>
        <c:ser>
          <c:idx val="10"/>
          <c:order val="10"/>
          <c:tx>
            <c:strRef>
              <c:f>'增加值 (2001-2060, 2020RMB)'!$A$24</c:f>
              <c:strCache>
                <c:ptCount val="1"/>
                <c:pt idx="0">
                  <c:v>烟草制品业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2020RMB)'!$I$24:$BI$24</c:f>
              <c:numCache>
                <c:formatCode>0_);[Red]\(0\)</c:formatCode>
                <c:ptCount val="53"/>
                <c:pt idx="0">
                  <c:v>5910.2529339903967</c:v>
                </c:pt>
                <c:pt idx="1">
                  <c:v>6061.9868434906066</c:v>
                </c:pt>
                <c:pt idx="2">
                  <c:v>6587.4237670059674</c:v>
                </c:pt>
                <c:pt idx="3">
                  <c:v>7127.2733201323808</c:v>
                </c:pt>
                <c:pt idx="4">
                  <c:v>7416.135483677398</c:v>
                </c:pt>
                <c:pt idx="5">
                  <c:v>7552.2827148565511</c:v>
                </c:pt>
                <c:pt idx="6">
                  <c:v>7834.3150298743867</c:v>
                </c:pt>
                <c:pt idx="7">
                  <c:v>7685.1772861720265</c:v>
                </c:pt>
                <c:pt idx="8">
                  <c:v>6877.3623126955108</c:v>
                </c:pt>
                <c:pt idx="9">
                  <c:v>7204.9831937381059</c:v>
                </c:pt>
                <c:pt idx="10">
                  <c:v>7604.4308278526087</c:v>
                </c:pt>
                <c:pt idx="11">
                  <c:v>7713.2012358029078</c:v>
                </c:pt>
                <c:pt idx="12">
                  <c:v>7700.2442564631801</c:v>
                </c:pt>
                <c:pt idx="13">
                  <c:v>8298.0213959945031</c:v>
                </c:pt>
                <c:pt idx="14">
                  <c:v>9019.4531857153415</c:v>
                </c:pt>
                <c:pt idx="15">
                  <c:v>9253.8255514041102</c:v>
                </c:pt>
                <c:pt idx="16">
                  <c:v>9456.8147949104314</c:v>
                </c:pt>
                <c:pt idx="17">
                  <c:v>9629.8168982428433</c:v>
                </c:pt>
                <c:pt idx="18">
                  <c:v>9774.7990784669291</c:v>
                </c:pt>
                <c:pt idx="19">
                  <c:v>9894.2164452323232</c:v>
                </c:pt>
                <c:pt idx="20">
                  <c:v>9990.927923830388</c:v>
                </c:pt>
                <c:pt idx="21">
                  <c:v>10068.11553573817</c:v>
                </c:pt>
                <c:pt idx="22">
                  <c:v>10129.210457319381</c:v>
                </c:pt>
                <c:pt idx="23">
                  <c:v>10177.134227618049</c:v>
                </c:pt>
                <c:pt idx="24">
                  <c:v>10212.14236987303</c:v>
                </c:pt>
                <c:pt idx="25">
                  <c:v>10233.84857422811</c:v>
                </c:pt>
                <c:pt idx="26">
                  <c:v>10241.91570830548</c:v>
                </c:pt>
                <c:pt idx="27">
                  <c:v>10236.059691831877</c:v>
                </c:pt>
                <c:pt idx="28">
                  <c:v>10216.199578139969</c:v>
                </c:pt>
                <c:pt idx="29">
                  <c:v>10182.896393575469</c:v>
                </c:pt>
                <c:pt idx="30">
                  <c:v>10136.904575377979</c:v>
                </c:pt>
                <c:pt idx="31">
                  <c:v>10079.016283782221</c:v>
                </c:pt>
                <c:pt idx="32">
                  <c:v>10010.05283129588</c:v>
                </c:pt>
                <c:pt idx="33">
                  <c:v>9930.8564739313661</c:v>
                </c:pt>
                <c:pt idx="34">
                  <c:v>9842.2826427618493</c:v>
                </c:pt>
                <c:pt idx="35">
                  <c:v>9745.1926799489502</c:v>
                </c:pt>
                <c:pt idx="36">
                  <c:v>9640.447129501259</c:v>
                </c:pt>
                <c:pt idx="37">
                  <c:v>9528.899619727048</c:v>
                </c:pt>
                <c:pt idx="38">
                  <c:v>9411.391361852222</c:v>
                </c:pt>
                <c:pt idx="39">
                  <c:v>9288.7462777537967</c:v>
                </c:pt>
                <c:pt idx="40">
                  <c:v>9161.7667593333044</c:v>
                </c:pt>
                <c:pt idx="41">
                  <c:v>9031.2300528055839</c:v>
                </c:pt>
                <c:pt idx="42">
                  <c:v>8897.8852531527373</c:v>
                </c:pt>
                <c:pt idx="43">
                  <c:v>8762.4508872029583</c:v>
                </c:pt>
                <c:pt idx="44">
                  <c:v>8625.6130582222631</c:v>
                </c:pt>
                <c:pt idx="45">
                  <c:v>8488.0241205136517</c:v>
                </c:pt>
                <c:pt idx="46">
                  <c:v>8350.3018492428801</c:v>
                </c:pt>
                <c:pt idx="47">
                  <c:v>8213.0290684770098</c:v>
                </c:pt>
                <c:pt idx="48">
                  <c:v>8076.7536991445131</c:v>
                </c:pt>
                <c:pt idx="49">
                  <c:v>7941.9891882120464</c:v>
                </c:pt>
                <c:pt idx="50">
                  <c:v>7809.2152807247539</c:v>
                </c:pt>
                <c:pt idx="51">
                  <c:v>7678.8790973764089</c:v>
                </c:pt>
                <c:pt idx="52">
                  <c:v>7551.3964818706863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154-4A07-92CC-FB0C2DCF4F71}"/>
            </c:ext>
          </c:extLst>
        </c:ser>
        <c:ser>
          <c:idx val="11"/>
          <c:order val="11"/>
          <c:tx>
            <c:strRef>
              <c:f>'增加值 (2001-2060, 2020RMB)'!$A$25</c:f>
              <c:strCache>
                <c:ptCount val="1"/>
                <c:pt idx="0">
                  <c:v>纺织业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2020RMB)'!$I$25:$BI$25</c:f>
              <c:numCache>
                <c:formatCode>0_);[Red]\(0\)</c:formatCode>
                <c:ptCount val="53"/>
                <c:pt idx="0">
                  <c:v>5647.7680515797283</c:v>
                </c:pt>
                <c:pt idx="1">
                  <c:v>5808.8244530877719</c:v>
                </c:pt>
                <c:pt idx="2">
                  <c:v>6295.3948284344315</c:v>
                </c:pt>
                <c:pt idx="3">
                  <c:v>6551.1998829030117</c:v>
                </c:pt>
                <c:pt idx="4">
                  <c:v>6997.5786247679334</c:v>
                </c:pt>
                <c:pt idx="5">
                  <c:v>7225.7532936361977</c:v>
                </c:pt>
                <c:pt idx="6">
                  <c:v>7391.6786908238228</c:v>
                </c:pt>
                <c:pt idx="7">
                  <c:v>7503.4186514554003</c:v>
                </c:pt>
                <c:pt idx="8">
                  <c:v>7725.2103975749078</c:v>
                </c:pt>
                <c:pt idx="9">
                  <c:v>8132.3183921548325</c:v>
                </c:pt>
                <c:pt idx="10">
                  <c:v>8178.3110397253649</c:v>
                </c:pt>
                <c:pt idx="11">
                  <c:v>7987.7649672471616</c:v>
                </c:pt>
                <c:pt idx="12">
                  <c:v>7781.1697585795664</c:v>
                </c:pt>
                <c:pt idx="13">
                  <c:v>8215.0941346473574</c:v>
                </c:pt>
                <c:pt idx="14">
                  <c:v>8119.836142530613</c:v>
                </c:pt>
                <c:pt idx="15">
                  <c:v>8094.1000231452126</c:v>
                </c:pt>
                <c:pt idx="16">
                  <c:v>8067.1591239499139</c:v>
                </c:pt>
                <c:pt idx="17">
                  <c:v>8037.7735320370703</c:v>
                </c:pt>
                <c:pt idx="18">
                  <c:v>8004.7232949267118</c:v>
                </c:pt>
                <c:pt idx="19">
                  <c:v>7966.8131063407827</c:v>
                </c:pt>
                <c:pt idx="20">
                  <c:v>7922.8787908377144</c:v>
                </c:pt>
                <c:pt idx="21">
                  <c:v>7871.7954925723998</c:v>
                </c:pt>
                <c:pt idx="22">
                  <c:v>7812.4874425546368</c:v>
                </c:pt>
                <c:pt idx="23">
                  <c:v>7744.1546161005963</c:v>
                </c:pt>
                <c:pt idx="24">
                  <c:v>7666.9141905073629</c:v>
                </c:pt>
                <c:pt idx="25">
                  <c:v>7581.1297394676376</c:v>
                </c:pt>
                <c:pt idx="26">
                  <c:v>7487.1895721992651</c:v>
                </c:pt>
                <c:pt idx="27">
                  <c:v>7385.5040170272196</c:v>
                </c:pt>
                <c:pt idx="28">
                  <c:v>7276.5735771967047</c:v>
                </c:pt>
                <c:pt idx="29">
                  <c:v>7161.1898954440676</c:v>
                </c:pt>
                <c:pt idx="30">
                  <c:v>7040.2027906791182</c:v>
                </c:pt>
                <c:pt idx="31">
                  <c:v>6914.4413400377252</c:v>
                </c:pt>
                <c:pt idx="32">
                  <c:v>6784.7087267415855</c:v>
                </c:pt>
                <c:pt idx="33">
                  <c:v>6651.7778656773062</c:v>
                </c:pt>
                <c:pt idx="34">
                  <c:v>6516.3877886724422</c:v>
                </c:pt>
                <c:pt idx="35">
                  <c:v>6379.2407611700437</c:v>
                </c:pt>
                <c:pt idx="36">
                  <c:v>6241.000093550675</c:v>
                </c:pt>
                <c:pt idx="37">
                  <c:v>6102.2886036704404</c:v>
                </c:pt>
                <c:pt idx="38">
                  <c:v>5963.6876821894684</c:v>
                </c:pt>
                <c:pt idx="39">
                  <c:v>5825.7369088381374</c:v>
                </c:pt>
                <c:pt idx="40">
                  <c:v>5688.934165774629</c:v>
                </c:pt>
                <c:pt idx="41">
                  <c:v>5553.736193470857</c:v>
                </c:pt>
                <c:pt idx="42">
                  <c:v>5420.5595349702808</c:v>
                </c:pt>
                <c:pt idx="43">
                  <c:v>5289.7818157248821</c:v>
                </c:pt>
                <c:pt idx="44">
                  <c:v>5161.7433083847654</c:v>
                </c:pt>
                <c:pt idx="45">
                  <c:v>5036.7487347272163</c:v>
                </c:pt>
                <c:pt idx="46">
                  <c:v>4915.0692602324734</c:v>
                </c:pt>
                <c:pt idx="47">
                  <c:v>4796.9446405091812</c:v>
                </c:pt>
                <c:pt idx="48">
                  <c:v>4682.5854827264602</c:v>
                </c:pt>
                <c:pt idx="49">
                  <c:v>4572.1755893194368</c:v>
                </c:pt>
                <c:pt idx="50">
                  <c:v>4465.8743554133489</c:v>
                </c:pt>
                <c:pt idx="51">
                  <c:v>4363.8191955845914</c:v>
                </c:pt>
                <c:pt idx="52">
                  <c:v>4266.1279796879544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154-4A07-92CC-FB0C2DCF4F71}"/>
            </c:ext>
          </c:extLst>
        </c:ser>
        <c:ser>
          <c:idx val="12"/>
          <c:order val="12"/>
          <c:tx>
            <c:strRef>
              <c:f>'增加值 (2001-2060, 2020RMB)'!$A$26</c:f>
              <c:strCache>
                <c:ptCount val="1"/>
                <c:pt idx="0">
                  <c:v>纺织服装、服饰业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2020RMB)'!$I$26:$BI$26</c:f>
              <c:numCache>
                <c:formatCode>0_);[Red]\(0\)</c:formatCode>
                <c:ptCount val="53"/>
                <c:pt idx="0">
                  <c:v>3460.8916760455404</c:v>
                </c:pt>
                <c:pt idx="1">
                  <c:v>3605.515444217865</c:v>
                </c:pt>
                <c:pt idx="2">
                  <c:v>4026.5743894484108</c:v>
                </c:pt>
                <c:pt idx="3">
                  <c:v>4472.6300956934492</c:v>
                </c:pt>
                <c:pt idx="4">
                  <c:v>4564.4856573758252</c:v>
                </c:pt>
                <c:pt idx="5">
                  <c:v>4648.2816027676581</c:v>
                </c:pt>
                <c:pt idx="6">
                  <c:v>4777.3025609458309</c:v>
                </c:pt>
                <c:pt idx="7">
                  <c:v>4731.6821855644102</c:v>
                </c:pt>
                <c:pt idx="8">
                  <c:v>4793.0460137299378</c:v>
                </c:pt>
                <c:pt idx="9">
                  <c:v>5132.9612289534653</c:v>
                </c:pt>
                <c:pt idx="10">
                  <c:v>5335.7608842140544</c:v>
                </c:pt>
                <c:pt idx="11">
                  <c:v>5190.8649943427326</c:v>
                </c:pt>
                <c:pt idx="12">
                  <c:v>4569.5272137342927</c:v>
                </c:pt>
                <c:pt idx="13">
                  <c:v>5162.1510144134963</c:v>
                </c:pt>
                <c:pt idx="14">
                  <c:v>5144.2443998897388</c:v>
                </c:pt>
                <c:pt idx="15">
                  <c:v>5141.6343969177733</c:v>
                </c:pt>
                <c:pt idx="16">
                  <c:v>5139.3984190593901</c:v>
                </c:pt>
                <c:pt idx="17">
                  <c:v>5136.3745359993773</c:v>
                </c:pt>
                <c:pt idx="18">
                  <c:v>5131.4038203351283</c:v>
                </c:pt>
                <c:pt idx="19">
                  <c:v>5123.333433496121</c:v>
                </c:pt>
                <c:pt idx="20">
                  <c:v>5111.0223066274848</c:v>
                </c:pt>
                <c:pt idx="21">
                  <c:v>5093.349364717802</c:v>
                </c:pt>
                <c:pt idx="22">
                  <c:v>5069.2241986603858</c:v>
                </c:pt>
                <c:pt idx="23">
                  <c:v>5037.8222745751154</c:v>
                </c:pt>
                <c:pt idx="24">
                  <c:v>4999.2528131548652</c:v>
                </c:pt>
                <c:pt idx="25">
                  <c:v>4953.874900262017</c:v>
                </c:pt>
                <c:pt idx="26">
                  <c:v>4902.0689170080695</c:v>
                </c:pt>
                <c:pt idx="27">
                  <c:v>4844.2326849565052</c:v>
                </c:pt>
                <c:pt idx="28">
                  <c:v>4780.8079997202349</c:v>
                </c:pt>
                <c:pt idx="29">
                  <c:v>4712.3644367937377</c:v>
                </c:pt>
                <c:pt idx="30">
                  <c:v>4639.4979652803904</c:v>
                </c:pt>
                <c:pt idx="31">
                  <c:v>4562.7949263736646</c:v>
                </c:pt>
                <c:pt idx="32">
                  <c:v>4482.8276809400322</c:v>
                </c:pt>
                <c:pt idx="33">
                  <c:v>4400.1508412991116</c:v>
                </c:pt>
                <c:pt idx="34">
                  <c:v>4315.298083126223</c:v>
                </c:pt>
                <c:pt idx="35">
                  <c:v>4228.7795238627132</c:v>
                </c:pt>
                <c:pt idx="36">
                  <c:v>4141.0796459653193</c:v>
                </c:pt>
                <c:pt idx="37">
                  <c:v>4052.6557367501928</c:v>
                </c:pt>
                <c:pt idx="38">
                  <c:v>3963.9368114453559</c:v>
                </c:pt>
                <c:pt idx="39">
                  <c:v>3875.3229822810249</c:v>
                </c:pt>
                <c:pt idx="40">
                  <c:v>3787.1852339219649</c:v>
                </c:pt>
                <c:pt idx="41">
                  <c:v>3699.8655641616601</c:v>
                </c:pt>
                <c:pt idx="42">
                  <c:v>3613.677448428954</c:v>
                </c:pt>
                <c:pt idx="43">
                  <c:v>3528.90658717003</c:v>
                </c:pt>
                <c:pt idx="44">
                  <c:v>3445.8118964283071</c:v>
                </c:pt>
                <c:pt idx="45">
                  <c:v>3364.62670382346</c:v>
                </c:pt>
                <c:pt idx="46">
                  <c:v>3285.5601145025012</c:v>
                </c:pt>
                <c:pt idx="47">
                  <c:v>3208.7985143878609</c:v>
                </c:pt>
                <c:pt idx="48">
                  <c:v>3134.5071810747609</c:v>
                </c:pt>
                <c:pt idx="49">
                  <c:v>3062.8319759419592</c:v>
                </c:pt>
                <c:pt idx="50">
                  <c:v>2993.9010943563248</c:v>
                </c:pt>
                <c:pt idx="51">
                  <c:v>2927.826854208296</c:v>
                </c:pt>
                <c:pt idx="52">
                  <c:v>2864.7075063570937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154-4A07-92CC-FB0C2DCF4F71}"/>
            </c:ext>
          </c:extLst>
        </c:ser>
        <c:ser>
          <c:idx val="13"/>
          <c:order val="13"/>
          <c:tx>
            <c:strRef>
              <c:f>'增加值 (2001-2060, 2020RMB)'!$A$27</c:f>
              <c:strCache>
                <c:ptCount val="1"/>
                <c:pt idx="0">
                  <c:v>皮革、毛皮、羽毛及其制品和制鞋业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2020RMB)'!$I$27:$BI$27</c:f>
              <c:numCache>
                <c:formatCode>0_);[Red]\(0\)</c:formatCode>
                <c:ptCount val="53"/>
                <c:pt idx="0">
                  <c:v>2304.2752500353404</c:v>
                </c:pt>
                <c:pt idx="1">
                  <c:v>2387.4604094503197</c:v>
                </c:pt>
                <c:pt idx="2">
                  <c:v>2701.0500413627724</c:v>
                </c:pt>
                <c:pt idx="3">
                  <c:v>2935.3821972842488</c:v>
                </c:pt>
                <c:pt idx="4">
                  <c:v>3009.6392280388595</c:v>
                </c:pt>
                <c:pt idx="5">
                  <c:v>3090.6222823019139</c:v>
                </c:pt>
                <c:pt idx="6">
                  <c:v>3146.7770885639497</c:v>
                </c:pt>
                <c:pt idx="7">
                  <c:v>3131.6541085798658</c:v>
                </c:pt>
                <c:pt idx="8">
                  <c:v>3160.0430937785932</c:v>
                </c:pt>
                <c:pt idx="9">
                  <c:v>3345.7647990286678</c:v>
                </c:pt>
                <c:pt idx="10">
                  <c:v>3487.9477112441045</c:v>
                </c:pt>
                <c:pt idx="11">
                  <c:v>3433.5858958672138</c:v>
                </c:pt>
                <c:pt idx="12">
                  <c:v>2932.9101730437146</c:v>
                </c:pt>
                <c:pt idx="13">
                  <c:v>3316.3341738898448</c:v>
                </c:pt>
                <c:pt idx="14">
                  <c:v>3355.3629553285882</c:v>
                </c:pt>
                <c:pt idx="15">
                  <c:v>3350.2731095037511</c:v>
                </c:pt>
                <c:pt idx="16">
                  <c:v>3340.4002069872822</c:v>
                </c:pt>
                <c:pt idx="17">
                  <c:v>3326.0953625259585</c:v>
                </c:pt>
                <c:pt idx="18">
                  <c:v>3307.722870767514</c:v>
                </c:pt>
                <c:pt idx="19">
                  <c:v>3285.6559122863409</c:v>
                </c:pt>
                <c:pt idx="20">
                  <c:v>3260.272565549938</c:v>
                </c:pt>
                <c:pt idx="21">
                  <c:v>3231.9521614277669</c:v>
                </c:pt>
                <c:pt idx="22">
                  <c:v>3201.0720064713305</c:v>
                </c:pt>
                <c:pt idx="23">
                  <c:v>3167.930815626376</c:v>
                </c:pt>
                <c:pt idx="24">
                  <c:v>3132.5317250417238</c:v>
                </c:pt>
                <c:pt idx="25">
                  <c:v>3094.8138467056751</c:v>
                </c:pt>
                <c:pt idx="26">
                  <c:v>3054.7281516323342</c:v>
                </c:pt>
                <c:pt idx="27">
                  <c:v>3012.238153598068</c:v>
                </c:pt>
                <c:pt idx="28">
                  <c:v>2967.370930816674</c:v>
                </c:pt>
                <c:pt idx="29">
                  <c:v>2920.362448878217</c:v>
                </c:pt>
                <c:pt idx="30">
                  <c:v>2871.494717536305</c:v>
                </c:pt>
                <c:pt idx="31">
                  <c:v>2821.0423139459481</c:v>
                </c:pt>
                <c:pt idx="32">
                  <c:v>2769.2709849586081</c:v>
                </c:pt>
                <c:pt idx="33">
                  <c:v>2716.4364580955848</c:v>
                </c:pt>
                <c:pt idx="34">
                  <c:v>2662.783455668849</c:v>
                </c:pt>
                <c:pt idx="35">
                  <c:v>2608.5449042482678</c:v>
                </c:pt>
                <c:pt idx="36">
                  <c:v>2553.9413297969681</c:v>
                </c:pt>
                <c:pt idx="37">
                  <c:v>2499.1804273004091</c:v>
                </c:pt>
                <c:pt idx="38">
                  <c:v>2444.4567925811398</c:v>
                </c:pt>
                <c:pt idx="39">
                  <c:v>2389.9518031961629</c:v>
                </c:pt>
                <c:pt idx="40">
                  <c:v>2335.8336348295702</c:v>
                </c:pt>
                <c:pt idx="41">
                  <c:v>2282.2573993896199</c:v>
                </c:pt>
                <c:pt idx="42">
                  <c:v>2229.3653910640096</c:v>
                </c:pt>
                <c:pt idx="43">
                  <c:v>2177.2874268478349</c:v>
                </c:pt>
                <c:pt idx="44">
                  <c:v>2126.1412685029782</c:v>
                </c:pt>
                <c:pt idx="45">
                  <c:v>2076.0331135040092</c:v>
                </c:pt>
                <c:pt idx="46">
                  <c:v>2027.05814324479</c:v>
                </c:pt>
                <c:pt idx="47">
                  <c:v>1979.301117593498</c:v>
                </c:pt>
                <c:pt idx="48">
                  <c:v>1932.8370057670061</c:v>
                </c:pt>
                <c:pt idx="49">
                  <c:v>1887.731644425204</c:v>
                </c:pt>
                <c:pt idx="50">
                  <c:v>1844.042414842166</c:v>
                </c:pt>
                <c:pt idx="51">
                  <c:v>1801.8189319765929</c:v>
                </c:pt>
                <c:pt idx="52">
                  <c:v>1761.10373922439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154-4A07-92CC-FB0C2DCF4F71}"/>
            </c:ext>
          </c:extLst>
        </c:ser>
        <c:ser>
          <c:idx val="14"/>
          <c:order val="14"/>
          <c:tx>
            <c:strRef>
              <c:f>'增加值 (2001-2060, 2020RMB)'!$A$28</c:f>
              <c:strCache>
                <c:ptCount val="1"/>
                <c:pt idx="0">
                  <c:v>木材加工和木、竹、藤、棕、草制品业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2020RMB)'!$I$28:$BI$28</c:f>
              <c:numCache>
                <c:formatCode>0_);[Red]\(0\)</c:formatCode>
                <c:ptCount val="53"/>
                <c:pt idx="0">
                  <c:v>1328.9824036014877</c:v>
                </c:pt>
                <c:pt idx="1">
                  <c:v>1482.7821695107011</c:v>
                </c:pt>
                <c:pt idx="2">
                  <c:v>1762.5007041562442</c:v>
                </c:pt>
                <c:pt idx="3">
                  <c:v>2049.1987875789623</c:v>
                </c:pt>
                <c:pt idx="4">
                  <c:v>2192.7265800548553</c:v>
                </c:pt>
                <c:pt idx="5">
                  <c:v>2326.7164094671548</c:v>
                </c:pt>
                <c:pt idx="6">
                  <c:v>2442.6042210226533</c:v>
                </c:pt>
                <c:pt idx="7">
                  <c:v>2463.3078356766532</c:v>
                </c:pt>
                <c:pt idx="8">
                  <c:v>2567.3709288969417</c:v>
                </c:pt>
                <c:pt idx="9">
                  <c:v>2759.8396763201949</c:v>
                </c:pt>
                <c:pt idx="10">
                  <c:v>2824.9114892595062</c:v>
                </c:pt>
                <c:pt idx="11">
                  <c:v>2783.6071882539604</c:v>
                </c:pt>
                <c:pt idx="12">
                  <c:v>2641.6002604003402</c:v>
                </c:pt>
                <c:pt idx="13">
                  <c:v>3036.4481610921225</c:v>
                </c:pt>
                <c:pt idx="14">
                  <c:v>3069.0985404160137</c:v>
                </c:pt>
                <c:pt idx="15">
                  <c:v>3111.258511558</c:v>
                </c:pt>
                <c:pt idx="16">
                  <c:v>3145.034328968205</c:v>
                </c:pt>
                <c:pt idx="17">
                  <c:v>3170.9554783257267</c:v>
                </c:pt>
                <c:pt idx="18">
                  <c:v>3189.6409195122919</c:v>
                </c:pt>
                <c:pt idx="19">
                  <c:v>3201.7821113820301</c:v>
                </c:pt>
                <c:pt idx="20">
                  <c:v>3208.1267421951211</c:v>
                </c:pt>
                <c:pt idx="21">
                  <c:v>3209.4636339939711</c:v>
                </c:pt>
                <c:pt idx="22">
                  <c:v>3206.609190438794</c:v>
                </c:pt>
                <c:pt idx="23">
                  <c:v>3200.2404322050229</c:v>
                </c:pt>
                <c:pt idx="24">
                  <c:v>3190.4231761100041</c:v>
                </c:pt>
                <c:pt idx="25">
                  <c:v>3177.079822154843</c:v>
                </c:pt>
                <c:pt idx="26">
                  <c:v>3160.1460526575588</c:v>
                </c:pt>
                <c:pt idx="27">
                  <c:v>3139.571800382249</c:v>
                </c:pt>
                <c:pt idx="28">
                  <c:v>3115.37050811873</c:v>
                </c:pt>
                <c:pt idx="29">
                  <c:v>3087.7615752891029</c:v>
                </c:pt>
                <c:pt idx="30">
                  <c:v>3057.0185419809791</c:v>
                </c:pt>
                <c:pt idx="31">
                  <c:v>3023.4176109661262</c:v>
                </c:pt>
                <c:pt idx="32">
                  <c:v>2987.2353913821289</c:v>
                </c:pt>
                <c:pt idx="33">
                  <c:v>2948.7468248290629</c:v>
                </c:pt>
                <c:pt idx="34">
                  <c:v>2908.2233039309672</c:v>
                </c:pt>
                <c:pt idx="35">
                  <c:v>2865.9309895575898</c:v>
                </c:pt>
                <c:pt idx="36">
                  <c:v>2822.1293293644449</c:v>
                </c:pt>
                <c:pt idx="37">
                  <c:v>2777.069777123103</c:v>
                </c:pt>
                <c:pt idx="38">
                  <c:v>2730.994709501625</c:v>
                </c:pt>
                <c:pt idx="39">
                  <c:v>2684.1365345279378</c:v>
                </c:pt>
                <c:pt idx="40">
                  <c:v>2636.7169839283679</c:v>
                </c:pt>
                <c:pt idx="41">
                  <c:v>2588.9465798715842</c:v>
                </c:pt>
                <c:pt idx="42">
                  <c:v>2541.0242653506612</c:v>
                </c:pt>
                <c:pt idx="43">
                  <c:v>2493.137186481797</c:v>
                </c:pt>
                <c:pt idx="44">
                  <c:v>2445.4606143630581</c:v>
                </c:pt>
                <c:pt idx="45">
                  <c:v>2398.1579937916508</c:v>
                </c:pt>
                <c:pt idx="46">
                  <c:v>2351.381106053856</c:v>
                </c:pt>
                <c:pt idx="47">
                  <c:v>2305.2703331465891</c:v>
                </c:pt>
                <c:pt idx="48">
                  <c:v>2259.9550111322342</c:v>
                </c:pt>
                <c:pt idx="49">
                  <c:v>2215.5538608388601</c:v>
                </c:pt>
                <c:pt idx="50">
                  <c:v>2172.175484766402</c:v>
                </c:pt>
                <c:pt idx="51">
                  <c:v>2129.9189198193048</c:v>
                </c:pt>
                <c:pt idx="52">
                  <c:v>2088.8742363320262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0154-4A07-92CC-FB0C2DCF4F71}"/>
            </c:ext>
          </c:extLst>
        </c:ser>
        <c:ser>
          <c:idx val="15"/>
          <c:order val="15"/>
          <c:tx>
            <c:strRef>
              <c:f>'增加值 (2001-2060, 2020RMB)'!$A$29</c:f>
              <c:strCache>
                <c:ptCount val="1"/>
                <c:pt idx="0">
                  <c:v>家具制造业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2020RMB)'!$I$29:$BI$29</c:f>
              <c:numCache>
                <c:formatCode>0_);[Red]\(0\)</c:formatCode>
                <c:ptCount val="53"/>
                <c:pt idx="0">
                  <c:v>942.44830582196994</c:v>
                </c:pt>
                <c:pt idx="1">
                  <c:v>972.00409563695905</c:v>
                </c:pt>
                <c:pt idx="2">
                  <c:v>1129.8811717538965</c:v>
                </c:pt>
                <c:pt idx="3">
                  <c:v>1250.7043821461339</c:v>
                </c:pt>
                <c:pt idx="4">
                  <c:v>1324.0169299660911</c:v>
                </c:pt>
                <c:pt idx="5">
                  <c:v>1386.0564923380959</c:v>
                </c:pt>
                <c:pt idx="6">
                  <c:v>1444.4616196836896</c:v>
                </c:pt>
                <c:pt idx="7">
                  <c:v>1464.9271654424824</c:v>
                </c:pt>
                <c:pt idx="8">
                  <c:v>1523.9542011748163</c:v>
                </c:pt>
                <c:pt idx="9">
                  <c:v>1693.7330948132931</c:v>
                </c:pt>
                <c:pt idx="10">
                  <c:v>1780.8886584549791</c:v>
                </c:pt>
                <c:pt idx="11">
                  <c:v>1760.0007062456536</c:v>
                </c:pt>
                <c:pt idx="12">
                  <c:v>1627.6494522571516</c:v>
                </c:pt>
                <c:pt idx="13">
                  <c:v>1901.4435312506728</c:v>
                </c:pt>
                <c:pt idx="14">
                  <c:v>1802.1334874675638</c:v>
                </c:pt>
                <c:pt idx="15">
                  <c:v>1824.611838085385</c:v>
                </c:pt>
                <c:pt idx="16">
                  <c:v>1842.3336672023829</c:v>
                </c:pt>
                <c:pt idx="17">
                  <c:v>1855.6068924465849</c:v>
                </c:pt>
                <c:pt idx="18">
                  <c:v>1864.786741274263</c:v>
                </c:pt>
                <c:pt idx="19">
                  <c:v>1870.2664994241891</c:v>
                </c:pt>
                <c:pt idx="20">
                  <c:v>1872.4686811192</c:v>
                </c:pt>
                <c:pt idx="21">
                  <c:v>1871.8368588165961</c:v>
                </c:pt>
                <c:pt idx="22">
                  <c:v>1868.8283388736722</c:v>
                </c:pt>
                <c:pt idx="23">
                  <c:v>1863.8212580130289</c:v>
                </c:pt>
                <c:pt idx="24">
                  <c:v>1856.8521076348411</c:v>
                </c:pt>
                <c:pt idx="25">
                  <c:v>1847.8774889110371</c:v>
                </c:pt>
                <c:pt idx="26">
                  <c:v>1836.861628453833</c:v>
                </c:pt>
                <c:pt idx="27">
                  <c:v>1823.7769292605581</c:v>
                </c:pt>
                <c:pt idx="28">
                  <c:v>1808.6327779136329</c:v>
                </c:pt>
                <c:pt idx="29">
                  <c:v>1791.558745425285</c:v>
                </c:pt>
                <c:pt idx="30">
                  <c:v>1772.715540378533</c:v>
                </c:pt>
                <c:pt idx="31">
                  <c:v>1752.2648916643871</c:v>
                </c:pt>
                <c:pt idx="32">
                  <c:v>1730.368268775663</c:v>
                </c:pt>
                <c:pt idx="33">
                  <c:v>1707.185711127019</c:v>
                </c:pt>
                <c:pt idx="34">
                  <c:v>1682.8747714129629</c:v>
                </c:pt>
                <c:pt idx="35">
                  <c:v>1657.589575830579</c:v>
                </c:pt>
                <c:pt idx="36">
                  <c:v>1631.4800020015571</c:v>
                </c:pt>
                <c:pt idx="37">
                  <c:v>1604.690973646319</c:v>
                </c:pt>
                <c:pt idx="38">
                  <c:v>1577.361869502329</c:v>
                </c:pt>
                <c:pt idx="39">
                  <c:v>1549.626042643355</c:v>
                </c:pt>
                <c:pt idx="40">
                  <c:v>1521.6104452454499</c:v>
                </c:pt>
                <c:pt idx="41">
                  <c:v>1493.4353529525031</c:v>
                </c:pt>
                <c:pt idx="42">
                  <c:v>1465.2141823100169</c:v>
                </c:pt>
                <c:pt idx="43">
                  <c:v>1437.053394246677</c:v>
                </c:pt>
                <c:pt idx="44">
                  <c:v>1409.0524762745699</c:v>
                </c:pt>
                <c:pt idx="45">
                  <c:v>1381.3039959333039</c:v>
                </c:pt>
                <c:pt idx="46">
                  <c:v>1353.8937180029409</c:v>
                </c:pt>
                <c:pt idx="47">
                  <c:v>1326.900778137486</c:v>
                </c:pt>
                <c:pt idx="48">
                  <c:v>1300.397905806271</c:v>
                </c:pt>
                <c:pt idx="49">
                  <c:v>1274.4516897576109</c:v>
                </c:pt>
                <c:pt idx="50">
                  <c:v>1249.122879620707</c:v>
                </c:pt>
                <c:pt idx="51">
                  <c:v>1224.466717722607</c:v>
                </c:pt>
                <c:pt idx="52">
                  <c:v>1200.5332957027663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0154-4A07-92CC-FB0C2DCF4F71}"/>
            </c:ext>
          </c:extLst>
        </c:ser>
        <c:ser>
          <c:idx val="16"/>
          <c:order val="16"/>
          <c:tx>
            <c:strRef>
              <c:f>'增加值 (2001-2060, 2020RMB)'!$A$30</c:f>
              <c:strCache>
                <c:ptCount val="1"/>
                <c:pt idx="0">
                  <c:v>造纸和纸制品业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2020RMB)'!$I$30:$BI$30</c:f>
              <c:numCache>
                <c:formatCode>0_);[Red]\(0\)</c:formatCode>
                <c:ptCount val="53"/>
                <c:pt idx="0">
                  <c:v>2399.4158408160433</c:v>
                </c:pt>
                <c:pt idx="1">
                  <c:v>2517.8787005987151</c:v>
                </c:pt>
                <c:pt idx="2">
                  <c:v>2841.2631481498397</c:v>
                </c:pt>
                <c:pt idx="3">
                  <c:v>3123.251114962859</c:v>
                </c:pt>
                <c:pt idx="4">
                  <c:v>3234.9671780680355</c:v>
                </c:pt>
                <c:pt idx="5">
                  <c:v>3331.2326114407938</c:v>
                </c:pt>
                <c:pt idx="6">
                  <c:v>3401.3404077881783</c:v>
                </c:pt>
                <c:pt idx="7">
                  <c:v>3397.9015395567599</c:v>
                </c:pt>
                <c:pt idx="8">
                  <c:v>3511.6031390759331</c:v>
                </c:pt>
                <c:pt idx="9">
                  <c:v>3703.7687703101592</c:v>
                </c:pt>
                <c:pt idx="10">
                  <c:v>3724.7155807424642</c:v>
                </c:pt>
                <c:pt idx="11">
                  <c:v>3742.079787486814</c:v>
                </c:pt>
                <c:pt idx="12">
                  <c:v>3663.3945727849982</c:v>
                </c:pt>
                <c:pt idx="13">
                  <c:v>4054.5873514850814</c:v>
                </c:pt>
                <c:pt idx="14">
                  <c:v>4094.0668183633061</c:v>
                </c:pt>
                <c:pt idx="15">
                  <c:v>4133.9533518058142</c:v>
                </c:pt>
                <c:pt idx="16">
                  <c:v>4178.2103878123899</c:v>
                </c:pt>
                <c:pt idx="17">
                  <c:v>4224.8860151190775</c:v>
                </c:pt>
                <c:pt idx="18">
                  <c:v>4271.9436873075574</c:v>
                </c:pt>
                <c:pt idx="19">
                  <c:v>4317.2554295474001</c:v>
                </c:pt>
                <c:pt idx="20">
                  <c:v>4358.605309522045</c:v>
                </c:pt>
                <c:pt idx="21">
                  <c:v>4393.7039280837162</c:v>
                </c:pt>
                <c:pt idx="22">
                  <c:v>4420.2145576874173</c:v>
                </c:pt>
                <c:pt idx="23">
                  <c:v>4436.2610151907493</c:v>
                </c:pt>
                <c:pt idx="24">
                  <c:v>4441.8902721047343</c:v>
                </c:pt>
                <c:pt idx="25">
                  <c:v>4437.6941056692976</c:v>
                </c:pt>
                <c:pt idx="26">
                  <c:v>4424.3299424319966</c:v>
                </c:pt>
                <c:pt idx="27">
                  <c:v>4402.5070980329629</c:v>
                </c:pt>
                <c:pt idx="28">
                  <c:v>4372.9452205697498</c:v>
                </c:pt>
                <c:pt idx="29">
                  <c:v>4336.278829150916</c:v>
                </c:pt>
                <c:pt idx="30">
                  <c:v>4293.134802931133</c:v>
                </c:pt>
                <c:pt idx="31">
                  <c:v>4244.1525298448714</c:v>
                </c:pt>
                <c:pt idx="32">
                  <c:v>4189.9760993148884</c:v>
                </c:pt>
                <c:pt idx="33">
                  <c:v>4131.24720192934</c:v>
                </c:pt>
                <c:pt idx="34">
                  <c:v>4068.5987902917359</c:v>
                </c:pt>
                <c:pt idx="35">
                  <c:v>4002.6495328636151</c:v>
                </c:pt>
                <c:pt idx="36">
                  <c:v>3933.9990724085842</c:v>
                </c:pt>
                <c:pt idx="37">
                  <c:v>3863.2240828891358</c:v>
                </c:pt>
                <c:pt idx="38">
                  <c:v>3790.8751035264459</c:v>
                </c:pt>
                <c:pt idx="39">
                  <c:v>3717.47411626029</c:v>
                </c:pt>
                <c:pt idx="40">
                  <c:v>3643.5128230051041</c:v>
                </c:pt>
                <c:pt idx="41">
                  <c:v>3569.45157177583</c:v>
                </c:pt>
                <c:pt idx="42">
                  <c:v>3495.7188757846156</c:v>
                </c:pt>
                <c:pt idx="43">
                  <c:v>3422.711466775057</c:v>
                </c:pt>
                <c:pt idx="44">
                  <c:v>3350.7948229261042</c:v>
                </c:pt>
                <c:pt idx="45">
                  <c:v>3280.3041123724161</c:v>
                </c:pt>
                <c:pt idx="46">
                  <c:v>3211.5454954972188</c:v>
                </c:pt>
                <c:pt idx="47">
                  <c:v>3144.7977324134349</c:v>
                </c:pt>
                <c:pt idx="48">
                  <c:v>3080.3140462260099</c:v>
                </c:pt>
                <c:pt idx="49">
                  <c:v>3018.324197556562</c:v>
                </c:pt>
                <c:pt idx="50">
                  <c:v>2959.0367312229291</c:v>
                </c:pt>
                <c:pt idx="51">
                  <c:v>2902.6413617483072</c:v>
                </c:pt>
                <c:pt idx="52">
                  <c:v>2849.31147039809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0154-4A07-92CC-FB0C2DCF4F71}"/>
            </c:ext>
          </c:extLst>
        </c:ser>
        <c:ser>
          <c:idx val="17"/>
          <c:order val="17"/>
          <c:tx>
            <c:strRef>
              <c:f>'增加值 (2001-2060, 2020RMB)'!$A$31</c:f>
              <c:strCache>
                <c:ptCount val="1"/>
                <c:pt idx="0">
                  <c:v>印刷和记录媒介复制业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2020RMB)'!$I$31:$BI$31</c:f>
              <c:numCache>
                <c:formatCode>0_);[Red]\(0\)</c:formatCode>
                <c:ptCount val="53"/>
                <c:pt idx="0">
                  <c:v>960.49923103428591</c:v>
                </c:pt>
                <c:pt idx="1">
                  <c:v>990.62110956548941</c:v>
                </c:pt>
                <c:pt idx="2">
                  <c:v>1105.3457185260063</c:v>
                </c:pt>
                <c:pt idx="3">
                  <c:v>1209.7378757621632</c:v>
                </c:pt>
                <c:pt idx="4">
                  <c:v>1267.9807982271564</c:v>
                </c:pt>
                <c:pt idx="5">
                  <c:v>1347.8717215792374</c:v>
                </c:pt>
                <c:pt idx="6">
                  <c:v>1421.466988732664</c:v>
                </c:pt>
                <c:pt idx="7">
                  <c:v>1438.9096272736515</c:v>
                </c:pt>
                <c:pt idx="8">
                  <c:v>1489.8672732730606</c:v>
                </c:pt>
                <c:pt idx="9">
                  <c:v>1658.8647683805762</c:v>
                </c:pt>
                <c:pt idx="10">
                  <c:v>1760.7433815949707</c:v>
                </c:pt>
                <c:pt idx="11">
                  <c:v>1740.091712310071</c:v>
                </c:pt>
                <c:pt idx="12">
                  <c:v>1649.6368760600501</c:v>
                </c:pt>
                <c:pt idx="13">
                  <c:v>1909.953713647637</c:v>
                </c:pt>
                <c:pt idx="14">
                  <c:v>1947.9528299445335</c:v>
                </c:pt>
                <c:pt idx="15">
                  <c:v>1997.779873160551</c:v>
                </c:pt>
                <c:pt idx="16">
                  <c:v>2040.8689351082401</c:v>
                </c:pt>
                <c:pt idx="17">
                  <c:v>2077.5244808205052</c:v>
                </c:pt>
                <c:pt idx="18">
                  <c:v>2108.1718356308161</c:v>
                </c:pt>
                <c:pt idx="19">
                  <c:v>2133.3394030510681</c:v>
                </c:pt>
                <c:pt idx="20">
                  <c:v>2153.6407621747771</c:v>
                </c:pt>
                <c:pt idx="21">
                  <c:v>2169.7575029722552</c:v>
                </c:pt>
                <c:pt idx="22">
                  <c:v>2182.4235157761482</c:v>
                </c:pt>
                <c:pt idx="23">
                  <c:v>2192.2631495179721</c:v>
                </c:pt>
                <c:pt idx="24">
                  <c:v>2199.3314100417979</c:v>
                </c:pt>
                <c:pt idx="25">
                  <c:v>2203.546334790014</c:v>
                </c:pt>
                <c:pt idx="26">
                  <c:v>2204.836501676044</c:v>
                </c:pt>
                <c:pt idx="27">
                  <c:v>2203.1418569978982</c:v>
                </c:pt>
                <c:pt idx="28">
                  <c:v>2198.4460931187309</c:v>
                </c:pt>
                <c:pt idx="29">
                  <c:v>2190.871289303213</c:v>
                </c:pt>
                <c:pt idx="30">
                  <c:v>2180.5810362562429</c:v>
                </c:pt>
                <c:pt idx="31">
                  <c:v>2167.7468368176251</c:v>
                </c:pt>
                <c:pt idx="32">
                  <c:v>2152.5462667925049</c:v>
                </c:pt>
                <c:pt idx="33">
                  <c:v>2135.1612157363302</c:v>
                </c:pt>
                <c:pt idx="34">
                  <c:v>2115.7762242409899</c:v>
                </c:pt>
                <c:pt idx="35">
                  <c:v>2094.5769312107491</c:v>
                </c:pt>
                <c:pt idx="36">
                  <c:v>2071.7486416364718</c:v>
                </c:pt>
                <c:pt idx="37">
                  <c:v>2047.4750225295629</c:v>
                </c:pt>
                <c:pt idx="38">
                  <c:v>2021.9369320069779</c:v>
                </c:pt>
                <c:pt idx="39">
                  <c:v>1995.311384061044</c:v>
                </c:pt>
                <c:pt idx="40">
                  <c:v>1967.770649328161</c:v>
                </c:pt>
                <c:pt idx="41">
                  <c:v>1939.481490205507</c:v>
                </c:pt>
                <c:pt idx="42">
                  <c:v>1910.6045269639833</c:v>
                </c:pt>
                <c:pt idx="43">
                  <c:v>1881.293730070586</c:v>
                </c:pt>
                <c:pt idx="44">
                  <c:v>1851.6960327599161</c:v>
                </c:pt>
                <c:pt idx="45">
                  <c:v>1821.951056973714</c:v>
                </c:pt>
                <c:pt idx="46">
                  <c:v>1792.190945105486</c:v>
                </c:pt>
                <c:pt idx="47">
                  <c:v>1762.5402895280861</c:v>
                </c:pt>
                <c:pt idx="48">
                  <c:v>1733.1161516266541</c:v>
                </c:pt>
                <c:pt idx="49">
                  <c:v>1704.0281619874561</c:v>
                </c:pt>
                <c:pt idx="50">
                  <c:v>1675.3786934839591</c:v>
                </c:pt>
                <c:pt idx="51">
                  <c:v>1647.263099233908</c:v>
                </c:pt>
                <c:pt idx="52">
                  <c:v>1619.7700077548834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0154-4A07-92CC-FB0C2DCF4F71}"/>
            </c:ext>
          </c:extLst>
        </c:ser>
        <c:ser>
          <c:idx val="18"/>
          <c:order val="18"/>
          <c:tx>
            <c:strRef>
              <c:f>'增加值 (2001-2060, 2020RMB)'!$A$32</c:f>
              <c:strCache>
                <c:ptCount val="1"/>
                <c:pt idx="0">
                  <c:v>文教、工美、体育和娱乐用品制造业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2020RMB)'!$I$32:$BI$32</c:f>
              <c:numCache>
                <c:formatCode>0_);[Red]\(0\)</c:formatCode>
                <c:ptCount val="53"/>
                <c:pt idx="0">
                  <c:v>1237.2348438757313</c:v>
                </c:pt>
                <c:pt idx="1">
                  <c:v>1260.7885849418121</c:v>
                </c:pt>
                <c:pt idx="2">
                  <c:v>1389.6603169510863</c:v>
                </c:pt>
                <c:pt idx="3">
                  <c:v>1498.203935994324</c:v>
                </c:pt>
                <c:pt idx="4">
                  <c:v>1581.7453247763906</c:v>
                </c:pt>
                <c:pt idx="5">
                  <c:v>1705.4469690205001</c:v>
                </c:pt>
                <c:pt idx="6">
                  <c:v>1857.428402654961</c:v>
                </c:pt>
                <c:pt idx="7">
                  <c:v>1864.3612617991985</c:v>
                </c:pt>
                <c:pt idx="8">
                  <c:v>1877.6232138558726</c:v>
                </c:pt>
                <c:pt idx="9">
                  <c:v>2073.499402210462</c:v>
                </c:pt>
                <c:pt idx="10">
                  <c:v>2225.6176241314952</c:v>
                </c:pt>
                <c:pt idx="11">
                  <c:v>2169.4713333944724</c:v>
                </c:pt>
                <c:pt idx="12">
                  <c:v>1972.7493616245627</c:v>
                </c:pt>
                <c:pt idx="13">
                  <c:v>2360.0523650119308</c:v>
                </c:pt>
                <c:pt idx="14">
                  <c:v>2335.0838323778685</c:v>
                </c:pt>
                <c:pt idx="15">
                  <c:v>2379.4176052840062</c:v>
                </c:pt>
                <c:pt idx="16">
                  <c:v>2416.5474711923839</c:v>
                </c:pt>
                <c:pt idx="17">
                  <c:v>2446.8756521260225</c:v>
                </c:pt>
                <c:pt idx="18">
                  <c:v>2470.9036893329512</c:v>
                </c:pt>
                <c:pt idx="19">
                  <c:v>2489.2156776005659</c:v>
                </c:pt>
                <c:pt idx="20">
                  <c:v>2502.4618786138221</c:v>
                </c:pt>
                <c:pt idx="21">
                  <c:v>2511.3433172410751</c:v>
                </c:pt>
                <c:pt idx="22">
                  <c:v>2516.5978499561788</c:v>
                </c:pt>
                <c:pt idx="23">
                  <c:v>2518.8444655299809</c:v>
                </c:pt>
                <c:pt idx="24">
                  <c:v>2518.1425631770749</c:v>
                </c:pt>
                <c:pt idx="25">
                  <c:v>2514.418614003921</c:v>
                </c:pt>
                <c:pt idx="26">
                  <c:v>2507.6102344572751</c:v>
                </c:pt>
                <c:pt idx="27">
                  <c:v>2497.6670249777385</c:v>
                </c:pt>
                <c:pt idx="28">
                  <c:v>2484.5886597545982</c:v>
                </c:pt>
                <c:pt idx="29">
                  <c:v>2468.535581817046</c:v>
                </c:pt>
                <c:pt idx="30">
                  <c:v>2449.7130905612939</c:v>
                </c:pt>
                <c:pt idx="31">
                  <c:v>2428.3316301064069</c:v>
                </c:pt>
                <c:pt idx="32">
                  <c:v>2404.604840945864</c:v>
                </c:pt>
                <c:pt idx="33">
                  <c:v>2378.7477358639262</c:v>
                </c:pt>
                <c:pt idx="34">
                  <c:v>2350.9750128807782</c:v>
                </c:pt>
                <c:pt idx="35">
                  <c:v>2321.4995146779888</c:v>
                </c:pt>
                <c:pt idx="36">
                  <c:v>2290.530840833871</c:v>
                </c:pt>
                <c:pt idx="37">
                  <c:v>2258.274116309482</c:v>
                </c:pt>
                <c:pt idx="38">
                  <c:v>2224.9289170026341</c:v>
                </c:pt>
                <c:pt idx="39">
                  <c:v>2190.6883508507358</c:v>
                </c:pt>
                <c:pt idx="40">
                  <c:v>2155.7382909268431</c:v>
                </c:pt>
                <c:pt idx="41">
                  <c:v>2120.2567552407231</c:v>
                </c:pt>
                <c:pt idx="42">
                  <c:v>2084.4134265253092</c:v>
                </c:pt>
                <c:pt idx="43">
                  <c:v>2048.369304149533</c:v>
                </c:pt>
                <c:pt idx="44">
                  <c:v>2012.276479436624</c:v>
                </c:pt>
                <c:pt idx="45">
                  <c:v>1976.2780250650351</c:v>
                </c:pt>
                <c:pt idx="46">
                  <c:v>1940.5079888654659</c:v>
                </c:pt>
                <c:pt idx="47">
                  <c:v>1905.091482179449</c:v>
                </c:pt>
                <c:pt idx="48">
                  <c:v>1870.144852988514</c:v>
                </c:pt>
                <c:pt idx="49">
                  <c:v>1835.7759342334571</c:v>
                </c:pt>
                <c:pt idx="50">
                  <c:v>1802.084358096929</c:v>
                </c:pt>
                <c:pt idx="51">
                  <c:v>1769.1619274962511</c:v>
                </c:pt>
                <c:pt idx="52">
                  <c:v>1737.0930366052078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0154-4A07-92CC-FB0C2DCF4F71}"/>
            </c:ext>
          </c:extLst>
        </c:ser>
        <c:ser>
          <c:idx val="19"/>
          <c:order val="19"/>
          <c:tx>
            <c:strRef>
              <c:f>'增加值 (2001-2060, 2020RMB)'!$A$33</c:f>
              <c:strCache>
                <c:ptCount val="1"/>
                <c:pt idx="0">
                  <c:v>石油、煤炭及其他燃料加工业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2020RMB)'!$I$33:$BI$33</c:f>
              <c:numCache>
                <c:formatCode>0_);[Red]\(0\)</c:formatCode>
                <c:ptCount val="53"/>
                <c:pt idx="0">
                  <c:v>4625.6513765876116</c:v>
                </c:pt>
                <c:pt idx="1">
                  <c:v>4612.8602684459884</c:v>
                </c:pt>
                <c:pt idx="2">
                  <c:v>4909.6595710962438</c:v>
                </c:pt>
                <c:pt idx="3">
                  <c:v>5076.1339274281618</c:v>
                </c:pt>
                <c:pt idx="4">
                  <c:v>5136.8917752740663</c:v>
                </c:pt>
                <c:pt idx="5">
                  <c:v>5177.5177742301576</c:v>
                </c:pt>
                <c:pt idx="6">
                  <c:v>5231.8795946876407</c:v>
                </c:pt>
                <c:pt idx="7">
                  <c:v>5330.8239788952933</c:v>
                </c:pt>
                <c:pt idx="8">
                  <c:v>5550.8237809702714</c:v>
                </c:pt>
                <c:pt idx="9">
                  <c:v>5888.2933870137658</c:v>
                </c:pt>
                <c:pt idx="10">
                  <c:v>6238.1949839855151</c:v>
                </c:pt>
                <c:pt idx="11">
                  <c:v>6315.3940380225322</c:v>
                </c:pt>
                <c:pt idx="12">
                  <c:v>6152.0529589530752</c:v>
                </c:pt>
                <c:pt idx="13">
                  <c:v>6456.6953675432605</c:v>
                </c:pt>
                <c:pt idx="14">
                  <c:v>6224.4128368227912</c:v>
                </c:pt>
                <c:pt idx="15">
                  <c:v>6255.9997120955813</c:v>
                </c:pt>
                <c:pt idx="16">
                  <c:v>6291.235376945011</c:v>
                </c:pt>
                <c:pt idx="17">
                  <c:v>6327.8240107466572</c:v>
                </c:pt>
                <c:pt idx="18">
                  <c:v>6363.4180445108777</c:v>
                </c:pt>
                <c:pt idx="19">
                  <c:v>6395.6175244371088</c:v>
                </c:pt>
                <c:pt idx="20">
                  <c:v>6421.9783764188196</c:v>
                </c:pt>
                <c:pt idx="21">
                  <c:v>6440.0298602790663</c:v>
                </c:pt>
                <c:pt idx="22">
                  <c:v>6447.3013667726664</c:v>
                </c:pt>
                <c:pt idx="23">
                  <c:v>6441.8605658519919</c:v>
                </c:pt>
                <c:pt idx="24">
                  <c:v>6423.8522632317636</c:v>
                </c:pt>
                <c:pt idx="25">
                  <c:v>6393.9923110905038</c:v>
                </c:pt>
                <c:pt idx="26">
                  <c:v>6353.0530585471924</c:v>
                </c:pt>
                <c:pt idx="27">
                  <c:v>6301.8509768254862</c:v>
                </c:pt>
                <c:pt idx="28">
                  <c:v>6241.2304123511221</c:v>
                </c:pt>
                <c:pt idx="29">
                  <c:v>6172.0397185287311</c:v>
                </c:pt>
                <c:pt idx="30">
                  <c:v>6095.1343976227072</c:v>
                </c:pt>
                <c:pt idx="31">
                  <c:v>6011.3720419008278</c:v>
                </c:pt>
                <c:pt idx="32">
                  <c:v>5921.603763856463</c:v>
                </c:pt>
                <c:pt idx="33">
                  <c:v>5826.6665528390631</c:v>
                </c:pt>
                <c:pt idx="34">
                  <c:v>5727.3765886911333</c:v>
                </c:pt>
                <c:pt idx="35">
                  <c:v>5624.5235209172106</c:v>
                </c:pt>
                <c:pt idx="36">
                  <c:v>5518.8657025127477</c:v>
                </c:pt>
                <c:pt idx="37">
                  <c:v>5411.1263510081762</c:v>
                </c:pt>
                <c:pt idx="38">
                  <c:v>5301.9905955791992</c:v>
                </c:pt>
                <c:pt idx="39">
                  <c:v>5192.103358194272</c:v>
                </c:pt>
                <c:pt idx="40">
                  <c:v>5082.0680085917929</c:v>
                </c:pt>
                <c:pt idx="41">
                  <c:v>4972.4457272284408</c:v>
                </c:pt>
                <c:pt idx="42">
                  <c:v>4863.755506992411</c:v>
                </c:pt>
                <c:pt idx="43">
                  <c:v>4756.4747231855672</c:v>
                </c:pt>
                <c:pt idx="44">
                  <c:v>4651.0402017818496</c:v>
                </c:pt>
                <c:pt idx="45">
                  <c:v>4547.8497179989799</c:v>
                </c:pt>
                <c:pt idx="46">
                  <c:v>4447.263860514935</c:v>
                </c:pt>
                <c:pt idx="47">
                  <c:v>4349.6082009704796</c:v>
                </c:pt>
                <c:pt idx="48">
                  <c:v>4255.1757134964964</c:v>
                </c:pt>
                <c:pt idx="49">
                  <c:v>4164.2293946824529</c:v>
                </c:pt>
                <c:pt idx="50">
                  <c:v>4077.005040481748</c:v>
                </c:pt>
                <c:pt idx="51">
                  <c:v>3993.7141428795389</c:v>
                </c:pt>
                <c:pt idx="52">
                  <c:v>3914.5468756059086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0154-4A07-92CC-FB0C2DCF4F71}"/>
            </c:ext>
          </c:extLst>
        </c:ser>
        <c:ser>
          <c:idx val="20"/>
          <c:order val="20"/>
          <c:tx>
            <c:strRef>
              <c:f>'增加值 (2001-2060, 2020RMB)'!$A$34</c:f>
              <c:strCache>
                <c:ptCount val="1"/>
                <c:pt idx="0">
                  <c:v>化学原料和化学制品制造业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2020RMB)'!$I$34:$BI$34</c:f>
              <c:numCache>
                <c:formatCode>0_);[Red]\(0\)</c:formatCode>
                <c:ptCount val="53"/>
                <c:pt idx="0">
                  <c:v>10307.621181201201</c:v>
                </c:pt>
                <c:pt idx="1">
                  <c:v>11197.59429543964</c:v>
                </c:pt>
                <c:pt idx="2">
                  <c:v>12559.64137823792</c:v>
                </c:pt>
                <c:pt idx="3">
                  <c:v>13842.358017782368</c:v>
                </c:pt>
                <c:pt idx="4">
                  <c:v>14719.644806821092</c:v>
                </c:pt>
                <c:pt idx="5">
                  <c:v>15675.043022632364</c:v>
                </c:pt>
                <c:pt idx="6">
                  <c:v>16576.00180083466</c:v>
                </c:pt>
                <c:pt idx="7">
                  <c:v>17219.725535205271</c:v>
                </c:pt>
                <c:pt idx="8">
                  <c:v>18098.41766921154</c:v>
                </c:pt>
                <c:pt idx="9">
                  <c:v>19015.540655849214</c:v>
                </c:pt>
                <c:pt idx="10">
                  <c:v>19615.361201046722</c:v>
                </c:pt>
                <c:pt idx="11">
                  <c:v>19801.368225340564</c:v>
                </c:pt>
                <c:pt idx="12">
                  <c:v>19806.415285139785</c:v>
                </c:pt>
                <c:pt idx="13">
                  <c:v>22210.139333921907</c:v>
                </c:pt>
                <c:pt idx="14">
                  <c:v>24050.846611769</c:v>
                </c:pt>
                <c:pt idx="15">
                  <c:v>24687.576935505062</c:v>
                </c:pt>
                <c:pt idx="16">
                  <c:v>25400.819908023001</c:v>
                </c:pt>
                <c:pt idx="17">
                  <c:v>26172.187822448675</c:v>
                </c:pt>
                <c:pt idx="18">
                  <c:v>26980.947580343782</c:v>
                </c:pt>
                <c:pt idx="19">
                  <c:v>27803.604224684859</c:v>
                </c:pt>
                <c:pt idx="20">
                  <c:v>28613.6710572294</c:v>
                </c:pt>
                <c:pt idx="21">
                  <c:v>29381.671453943702</c:v>
                </c:pt>
                <c:pt idx="22">
                  <c:v>30075.420252916003</c:v>
                </c:pt>
                <c:pt idx="23">
                  <c:v>30666.871948591201</c:v>
                </c:pt>
                <c:pt idx="24">
                  <c:v>31152.565186963999</c:v>
                </c:pt>
                <c:pt idx="25">
                  <c:v>31536.763607334771</c:v>
                </c:pt>
                <c:pt idx="26">
                  <c:v>31825.250061358769</c:v>
                </c:pt>
                <c:pt idx="27">
                  <c:v>32025.088350002032</c:v>
                </c:pt>
                <c:pt idx="28">
                  <c:v>32143.534495593209</c:v>
                </c:pt>
                <c:pt idx="29">
                  <c:v>32185.250651861679</c:v>
                </c:pt>
                <c:pt idx="30">
                  <c:v>32154.65683208016</c:v>
                </c:pt>
                <c:pt idx="31">
                  <c:v>32056.664001233341</c:v>
                </c:pt>
                <c:pt idx="32">
                  <c:v>31896.569711032542</c:v>
                </c:pt>
                <c:pt idx="33">
                  <c:v>31679.957325242991</c:v>
                </c:pt>
                <c:pt idx="34">
                  <c:v>31412.600785840728</c:v>
                </c:pt>
                <c:pt idx="35">
                  <c:v>31100.376487724381</c:v>
                </c:pt>
                <c:pt idx="36">
                  <c:v>30749.183450863071</c:v>
                </c:pt>
                <c:pt idx="37">
                  <c:v>30364.872617223358</c:v>
                </c:pt>
                <c:pt idx="38">
                  <c:v>29953.18576613981</c:v>
                </c:pt>
                <c:pt idx="39">
                  <c:v>29519.704243736691</c:v>
                </c:pt>
                <c:pt idx="40">
                  <c:v>29069.807444679431</c:v>
                </c:pt>
                <c:pt idx="41">
                  <c:v>28608.640770657581</c:v>
                </c:pt>
                <c:pt idx="42">
                  <c:v>28141.092620219242</c:v>
                </c:pt>
                <c:pt idx="43">
                  <c:v>27671.77983783741</c:v>
                </c:pt>
                <c:pt idx="44">
                  <c:v>27205.04096401919</c:v>
                </c:pt>
                <c:pt idx="45">
                  <c:v>26744.936579538691</c:v>
                </c:pt>
                <c:pt idx="46">
                  <c:v>26295.25602156594</c:v>
                </c:pt>
                <c:pt idx="47">
                  <c:v>25859.529763356852</c:v>
                </c:pt>
                <c:pt idx="48">
                  <c:v>25441.046788042389</c:v>
                </c:pt>
                <c:pt idx="49">
                  <c:v>25042.876346879031</c:v>
                </c:pt>
                <c:pt idx="50">
                  <c:v>24667.893569473799</c:v>
                </c:pt>
                <c:pt idx="51">
                  <c:v>24318.808484882869</c:v>
                </c:pt>
                <c:pt idx="52">
                  <c:v>23998.198115647116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0154-4A07-92CC-FB0C2DCF4F71}"/>
            </c:ext>
          </c:extLst>
        </c:ser>
        <c:ser>
          <c:idx val="21"/>
          <c:order val="21"/>
          <c:tx>
            <c:strRef>
              <c:f>'增加值 (2001-2060, 2020RMB)'!$A$35</c:f>
              <c:strCache>
                <c:ptCount val="1"/>
                <c:pt idx="0">
                  <c:v>医药制造业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2020RMB)'!$I$35:$BI$35</c:f>
              <c:numCache>
                <c:formatCode>0_);[Red]\(0\)</c:formatCode>
                <c:ptCount val="53"/>
                <c:pt idx="0">
                  <c:v>3511.6514206275415</c:v>
                </c:pt>
                <c:pt idx="1">
                  <c:v>3821.5095498952564</c:v>
                </c:pt>
                <c:pt idx="2">
                  <c:v>4275.2149454151495</c:v>
                </c:pt>
                <c:pt idx="3">
                  <c:v>4843.2978802049302</c:v>
                </c:pt>
                <c:pt idx="4">
                  <c:v>5279.3535482292027</c:v>
                </c:pt>
                <c:pt idx="5">
                  <c:v>5692.229568301681</c:v>
                </c:pt>
                <c:pt idx="6">
                  <c:v>6128.5494472918117</c:v>
                </c:pt>
                <c:pt idx="7">
                  <c:v>6389.8065097620865</c:v>
                </c:pt>
                <c:pt idx="8">
                  <c:v>6909.1742549297605</c:v>
                </c:pt>
                <c:pt idx="9">
                  <c:v>7860.7353543383379</c:v>
                </c:pt>
                <c:pt idx="10">
                  <c:v>8586.1343391029313</c:v>
                </c:pt>
                <c:pt idx="11">
                  <c:v>8824.8451278281718</c:v>
                </c:pt>
                <c:pt idx="12">
                  <c:v>9040.5154886877699</c:v>
                </c:pt>
                <c:pt idx="13">
                  <c:v>11747.284288306733</c:v>
                </c:pt>
                <c:pt idx="14">
                  <c:v>11527.535972617879</c:v>
                </c:pt>
                <c:pt idx="15">
                  <c:v>12261.60186323961</c:v>
                </c:pt>
                <c:pt idx="16">
                  <c:v>13003.776962170499</c:v>
                </c:pt>
                <c:pt idx="17">
                  <c:v>13751.057985358817</c:v>
                </c:pt>
                <c:pt idx="18">
                  <c:v>14500.391806915901</c:v>
                </c:pt>
                <c:pt idx="19">
                  <c:v>15248.71002974705</c:v>
                </c:pt>
                <c:pt idx="20">
                  <c:v>15992.9633524863</c:v>
                </c:pt>
                <c:pt idx="21">
                  <c:v>16730.155136893442</c:v>
                </c:pt>
                <c:pt idx="22">
                  <c:v>17457.373618761692</c:v>
                </c:pt>
                <c:pt idx="23">
                  <c:v>18172.03662051147</c:v>
                </c:pt>
                <c:pt idx="24">
                  <c:v>18872.628726518331</c:v>
                </c:pt>
                <c:pt idx="25">
                  <c:v>19558.193875078839</c:v>
                </c:pt>
                <c:pt idx="26">
                  <c:v>20228.14771343473</c:v>
                </c:pt>
                <c:pt idx="27">
                  <c:v>20882.282470849343</c:v>
                </c:pt>
                <c:pt idx="28">
                  <c:v>21520.46511527133</c:v>
                </c:pt>
                <c:pt idx="29">
                  <c:v>22141.657034837641</c:v>
                </c:pt>
                <c:pt idx="30">
                  <c:v>22744.699404022729</c:v>
                </c:pt>
                <c:pt idx="31">
                  <c:v>23328.603236236369</c:v>
                </c:pt>
                <c:pt idx="32">
                  <c:v>23892.55325425453</c:v>
                </c:pt>
                <c:pt idx="33">
                  <c:v>24435.909960503432</c:v>
                </c:pt>
                <c:pt idx="34">
                  <c:v>24958.21000563756</c:v>
                </c:pt>
                <c:pt idx="35">
                  <c:v>25459.1649755324</c:v>
                </c:pt>
                <c:pt idx="36">
                  <c:v>25938.658734770521</c:v>
                </c:pt>
                <c:pt idx="37">
                  <c:v>26396.743478900738</c:v>
                </c:pt>
                <c:pt idx="38">
                  <c:v>26833.634658266321</c:v>
                </c:pt>
                <c:pt idx="39">
                  <c:v>27249.70494318382</c:v>
                </c:pt>
                <c:pt idx="40">
                  <c:v>27645.477403933179</c:v>
                </c:pt>
                <c:pt idx="41">
                  <c:v>28021.618079673881</c:v>
                </c:pt>
                <c:pt idx="42">
                  <c:v>28378.928108371423</c:v>
                </c:pt>
                <c:pt idx="43">
                  <c:v>28718.335585446272</c:v>
                </c:pt>
                <c:pt idx="44">
                  <c:v>29040.88731255128</c:v>
                </c:pt>
                <c:pt idx="45">
                  <c:v>29347.74059000835</c:v>
                </c:pt>
                <c:pt idx="46">
                  <c:v>29640.155197405929</c:v>
                </c:pt>
                <c:pt idx="47">
                  <c:v>29919.485697039469</c:v>
                </c:pt>
                <c:pt idx="48">
                  <c:v>30187.174184644959</c:v>
                </c:pt>
                <c:pt idx="49">
                  <c:v>30444.743601573529</c:v>
                </c:pt>
                <c:pt idx="50">
                  <c:v>30693.79171250121</c:v>
                </c:pt>
                <c:pt idx="51">
                  <c:v>30935.985843262701</c:v>
                </c:pt>
                <c:pt idx="52">
                  <c:v>31173.058464705889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0154-4A07-92CC-FB0C2DCF4F71}"/>
            </c:ext>
          </c:extLst>
        </c:ser>
        <c:ser>
          <c:idx val="22"/>
          <c:order val="22"/>
          <c:tx>
            <c:strRef>
              <c:f>'增加值 (2001-2060, 2020RMB)'!$A$36</c:f>
              <c:strCache>
                <c:ptCount val="1"/>
                <c:pt idx="0">
                  <c:v>化学纤维制造业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2020RMB)'!$I$36:$BI$36</c:f>
              <c:numCache>
                <c:formatCode>0_);[Red]\(0\)</c:formatCode>
                <c:ptCount val="53"/>
                <c:pt idx="0">
                  <c:v>859.11546311248117</c:v>
                </c:pt>
                <c:pt idx="1">
                  <c:v>897.45936104525651</c:v>
                </c:pt>
                <c:pt idx="2">
                  <c:v>968.27646768736281</c:v>
                </c:pt>
                <c:pt idx="3">
                  <c:v>1032.7418508640769</c:v>
                </c:pt>
                <c:pt idx="4">
                  <c:v>1111.9581986161706</c:v>
                </c:pt>
                <c:pt idx="5">
                  <c:v>1165.1176258004402</c:v>
                </c:pt>
                <c:pt idx="6">
                  <c:v>1211.9788518565749</c:v>
                </c:pt>
                <c:pt idx="7">
                  <c:v>1278.5924910259603</c:v>
                </c:pt>
                <c:pt idx="8">
                  <c:v>1323.8726547695678</c:v>
                </c:pt>
                <c:pt idx="9">
                  <c:v>1417.7596020439064</c:v>
                </c:pt>
                <c:pt idx="10">
                  <c:v>1518.9474356656292</c:v>
                </c:pt>
                <c:pt idx="11">
                  <c:v>1638.7965466907137</c:v>
                </c:pt>
                <c:pt idx="12">
                  <c:v>1620.1904872999933</c:v>
                </c:pt>
                <c:pt idx="13">
                  <c:v>1808.38361047637</c:v>
                </c:pt>
                <c:pt idx="14">
                  <c:v>1857.221055664822</c:v>
                </c:pt>
                <c:pt idx="15">
                  <c:v>1919.3063723642999</c:v>
                </c:pt>
                <c:pt idx="16">
                  <c:v>1989.263786002467</c:v>
                </c:pt>
                <c:pt idx="17">
                  <c:v>2065.5467087322568</c:v>
                </c:pt>
                <c:pt idx="18">
                  <c:v>2146.3445707779201</c:v>
                </c:pt>
                <c:pt idx="19">
                  <c:v>2229.527615766388</c:v>
                </c:pt>
                <c:pt idx="20">
                  <c:v>2312.6103425773008</c:v>
                </c:pt>
                <c:pt idx="21">
                  <c:v>2392.7398052392768</c:v>
                </c:pt>
                <c:pt idx="22">
                  <c:v>2466.7156917195443</c:v>
                </c:pt>
                <c:pt idx="23">
                  <c:v>2531.6643559894128</c:v>
                </c:pt>
                <c:pt idx="24">
                  <c:v>2587.0911022616369</c:v>
                </c:pt>
                <c:pt idx="25">
                  <c:v>2633.2774978832508</c:v>
                </c:pt>
                <c:pt idx="26">
                  <c:v>2670.6783754303979</c:v>
                </c:pt>
                <c:pt idx="27">
                  <c:v>2699.8979801748819</c:v>
                </c:pt>
                <c:pt idx="28">
                  <c:v>2721.5717126452578</c:v>
                </c:pt>
                <c:pt idx="29">
                  <c:v>2736.057391588216</c:v>
                </c:pt>
                <c:pt idx="30">
                  <c:v>2743.6901239651011</c:v>
                </c:pt>
                <c:pt idx="31">
                  <c:v>2744.8637890990449</c:v>
                </c:pt>
                <c:pt idx="32">
                  <c:v>2740.0208084910291</c:v>
                </c:pt>
                <c:pt idx="33">
                  <c:v>2729.64201024368</c:v>
                </c:pt>
                <c:pt idx="34">
                  <c:v>2714.2368333977629</c:v>
                </c:pt>
                <c:pt idx="35">
                  <c:v>2694.334077976132</c:v>
                </c:pt>
                <c:pt idx="36">
                  <c:v>2670.4733656167809</c:v>
                </c:pt>
                <c:pt idx="37">
                  <c:v>2643.1974352002708</c:v>
                </c:pt>
                <c:pt idx="38">
                  <c:v>2613.045359363904</c:v>
                </c:pt>
                <c:pt idx="39">
                  <c:v>2580.546732441484</c:v>
                </c:pt>
                <c:pt idx="40">
                  <c:v>2546.2168490379909</c:v>
                </c:pt>
                <c:pt idx="41">
                  <c:v>2510.5528657002619</c:v>
                </c:pt>
                <c:pt idx="42">
                  <c:v>2474.030916255314</c:v>
                </c:pt>
                <c:pt idx="43">
                  <c:v>2437.1041344020191</c:v>
                </c:pt>
                <c:pt idx="44">
                  <c:v>2400.201524911341</c:v>
                </c:pt>
                <c:pt idx="45">
                  <c:v>2363.7276170262498</c:v>
                </c:pt>
                <c:pt idx="46">
                  <c:v>2328.0628299665418</c:v>
                </c:pt>
                <c:pt idx="47">
                  <c:v>2293.5644803928199</c:v>
                </c:pt>
                <c:pt idx="48">
                  <c:v>2260.5683648053232</c:v>
                </c:pt>
                <c:pt idx="49">
                  <c:v>2229.3908556985139</c:v>
                </c:pt>
                <c:pt idx="50">
                  <c:v>2200.331458451923</c:v>
                </c:pt>
                <c:pt idx="51">
                  <c:v>2173.6757860642911</c:v>
                </c:pt>
                <c:pt idx="52">
                  <c:v>2149.6989206627463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154-4A07-92CC-FB0C2DCF4F71}"/>
            </c:ext>
          </c:extLst>
        </c:ser>
        <c:ser>
          <c:idx val="23"/>
          <c:order val="23"/>
          <c:tx>
            <c:strRef>
              <c:f>'增加值 (2001-2060, 2020RMB)'!$A$37</c:f>
              <c:strCache>
                <c:ptCount val="1"/>
                <c:pt idx="0">
                  <c:v>橡胶和塑料制品业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2020RMB)'!$I$37:$BI$37</c:f>
              <c:numCache>
                <c:formatCode>0_);[Red]\(0\)</c:formatCode>
                <c:ptCount val="53"/>
                <c:pt idx="0">
                  <c:v>3912.843412564428</c:v>
                </c:pt>
                <c:pt idx="1">
                  <c:v>4156.1000193668242</c:v>
                </c:pt>
                <c:pt idx="2">
                  <c:v>4742.3585227380972</c:v>
                </c:pt>
                <c:pt idx="3">
                  <c:v>5142.3942297148078</c:v>
                </c:pt>
                <c:pt idx="4">
                  <c:v>5389.9751928362684</c:v>
                </c:pt>
                <c:pt idx="5">
                  <c:v>5668.1350044047631</c:v>
                </c:pt>
                <c:pt idx="6">
                  <c:v>5901.5425448805636</c:v>
                </c:pt>
                <c:pt idx="7">
                  <c:v>6041.1456642093499</c:v>
                </c:pt>
                <c:pt idx="8">
                  <c:v>6343.5191773229117</c:v>
                </c:pt>
                <c:pt idx="9">
                  <c:v>6825.4963629283529</c:v>
                </c:pt>
                <c:pt idx="10">
                  <c:v>7013.6132378289603</c:v>
                </c:pt>
                <c:pt idx="11">
                  <c:v>7086.8836785019421</c:v>
                </c:pt>
                <c:pt idx="12">
                  <c:v>6979.0004205387331</c:v>
                </c:pt>
                <c:pt idx="13">
                  <c:v>7724.2476257787857</c:v>
                </c:pt>
                <c:pt idx="14">
                  <c:v>7705.3000762763377</c:v>
                </c:pt>
                <c:pt idx="15">
                  <c:v>7827.3300217630776</c:v>
                </c:pt>
                <c:pt idx="16">
                  <c:v>7927.1759275081949</c:v>
                </c:pt>
                <c:pt idx="17">
                  <c:v>8006.1768398242521</c:v>
                </c:pt>
                <c:pt idx="18">
                  <c:v>8065.9357650948259</c:v>
                </c:pt>
                <c:pt idx="19">
                  <c:v>8108.2719452223819</c:v>
                </c:pt>
                <c:pt idx="20">
                  <c:v>8135.1747760141698</c:v>
                </c:pt>
                <c:pt idx="21">
                  <c:v>8148.7608401860989</c:v>
                </c:pt>
                <c:pt idx="22">
                  <c:v>8151.2352290010358</c:v>
                </c:pt>
                <c:pt idx="23">
                  <c:v>8144.4351630729416</c:v>
                </c:pt>
                <c:pt idx="24">
                  <c:v>8128.5396444246271</c:v>
                </c:pt>
                <c:pt idx="25">
                  <c:v>8103.3365313009363</c:v>
                </c:pt>
                <c:pt idx="26">
                  <c:v>8068.6483383754376</c:v>
                </c:pt>
                <c:pt idx="27">
                  <c:v>8024.3347965865505</c:v>
                </c:pt>
                <c:pt idx="28">
                  <c:v>7970.4173445136012</c:v>
                </c:pt>
                <c:pt idx="29">
                  <c:v>7907.4398546191242</c:v>
                </c:pt>
                <c:pt idx="30">
                  <c:v>7836.086870400728</c:v>
                </c:pt>
                <c:pt idx="31">
                  <c:v>7757.0536149289683</c:v>
                </c:pt>
                <c:pt idx="32">
                  <c:v>7671.0400123469262</c:v>
                </c:pt>
                <c:pt idx="33">
                  <c:v>7578.745150902836</c:v>
                </c:pt>
                <c:pt idx="34">
                  <c:v>7480.8622192992343</c:v>
                </c:pt>
                <c:pt idx="35">
                  <c:v>7378.0739379360657</c:v>
                </c:pt>
                <c:pt idx="36">
                  <c:v>7271.0484971560099</c:v>
                </c:pt>
                <c:pt idx="37">
                  <c:v>7160.4360059775809</c:v>
                </c:pt>
                <c:pt idx="38">
                  <c:v>7046.8654470974789</c:v>
                </c:pt>
                <c:pt idx="39">
                  <c:v>6930.942127208039</c:v>
                </c:pt>
                <c:pt idx="40">
                  <c:v>6813.2456059202614</c:v>
                </c:pt>
                <c:pt idx="41">
                  <c:v>6694.328081806153</c:v>
                </c:pt>
                <c:pt idx="42">
                  <c:v>6574.7132102453124</c:v>
                </c:pt>
                <c:pt idx="43">
                  <c:v>6454.8953248387979</c:v>
                </c:pt>
                <c:pt idx="44">
                  <c:v>6335.3390320788021</c:v>
                </c:pt>
                <c:pt idx="45">
                  <c:v>6216.4791476703522</c:v>
                </c:pt>
                <c:pt idx="46">
                  <c:v>6098.7209423154154</c:v>
                </c:pt>
                <c:pt idx="47">
                  <c:v>5982.4406648147569</c:v>
                </c:pt>
                <c:pt idx="48">
                  <c:v>5867.9863109366588</c:v>
                </c:pt>
                <c:pt idx="49">
                  <c:v>5755.6786075686286</c:v>
                </c:pt>
                <c:pt idx="50">
                  <c:v>5645.8121831298558</c:v>
                </c:pt>
                <c:pt idx="51">
                  <c:v>5538.656897008922</c:v>
                </c:pt>
                <c:pt idx="52">
                  <c:v>5434.4593028354393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0154-4A07-92CC-FB0C2DCF4F71}"/>
            </c:ext>
          </c:extLst>
        </c:ser>
        <c:ser>
          <c:idx val="24"/>
          <c:order val="24"/>
          <c:tx>
            <c:strRef>
              <c:f>'增加值 (2001-2060, 2020RMB)'!$A$38</c:f>
              <c:strCache>
                <c:ptCount val="1"/>
                <c:pt idx="0">
                  <c:v>非金属矿物制品业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2020RMB)'!$I$38:$BI$38</c:f>
              <c:numCache>
                <c:formatCode>0_);[Red]\(0\)</c:formatCode>
                <c:ptCount val="53"/>
                <c:pt idx="0">
                  <c:v>7040.9466027408052</c:v>
                </c:pt>
                <c:pt idx="1">
                  <c:v>7655.5452891847908</c:v>
                </c:pt>
                <c:pt idx="2">
                  <c:v>8943.5982804812429</c:v>
                </c:pt>
                <c:pt idx="3">
                  <c:v>10174.976314224867</c:v>
                </c:pt>
                <c:pt idx="4">
                  <c:v>10771.402974474928</c:v>
                </c:pt>
                <c:pt idx="5">
                  <c:v>11409.140798552264</c:v>
                </c:pt>
                <c:pt idx="6">
                  <c:v>11955.524478496358</c:v>
                </c:pt>
                <c:pt idx="7">
                  <c:v>12079.54459046289</c:v>
                </c:pt>
                <c:pt idx="8">
                  <c:v>12554.483415290128</c:v>
                </c:pt>
                <c:pt idx="9">
                  <c:v>13177.964146395359</c:v>
                </c:pt>
                <c:pt idx="10">
                  <c:v>13724.858717022513</c:v>
                </c:pt>
                <c:pt idx="11">
                  <c:v>14410.796017860417</c:v>
                </c:pt>
                <c:pt idx="12">
                  <c:v>14330.826150726112</c:v>
                </c:pt>
                <c:pt idx="13">
                  <c:v>16114.79117583528</c:v>
                </c:pt>
                <c:pt idx="14">
                  <c:v>16124.371416167727</c:v>
                </c:pt>
                <c:pt idx="15">
                  <c:v>16479.100939512271</c:v>
                </c:pt>
                <c:pt idx="16">
                  <c:v>16875.051960994831</c:v>
                </c:pt>
                <c:pt idx="17">
                  <c:v>17300.874401424091</c:v>
                </c:pt>
                <c:pt idx="18">
                  <c:v>17744.050427148839</c:v>
                </c:pt>
                <c:pt idx="19">
                  <c:v>18190.7118062435</c:v>
                </c:pt>
                <c:pt idx="20">
                  <c:v>18625.557887925021</c:v>
                </c:pt>
                <c:pt idx="21">
                  <c:v>19031.893470473751</c:v>
                </c:pt>
                <c:pt idx="22">
                  <c:v>19391.806251030663</c:v>
                </c:pt>
                <c:pt idx="23">
                  <c:v>19690.00243636599</c:v>
                </c:pt>
                <c:pt idx="24">
                  <c:v>19925.129684291311</c:v>
                </c:pt>
                <c:pt idx="25">
                  <c:v>20100.103866130561</c:v>
                </c:pt>
                <c:pt idx="26">
                  <c:v>20218.600090910921</c:v>
                </c:pt>
                <c:pt idx="27">
                  <c:v>20284.923610735314</c:v>
                </c:pt>
                <c:pt idx="28">
                  <c:v>20303.451655574569</c:v>
                </c:pt>
                <c:pt idx="29">
                  <c:v>20277.225251195319</c:v>
                </c:pt>
                <c:pt idx="30">
                  <c:v>20209.151776237592</c:v>
                </c:pt>
                <c:pt idx="31">
                  <c:v>20102.372446751011</c:v>
                </c:pt>
                <c:pt idx="32">
                  <c:v>19960.203908978659</c:v>
                </c:pt>
                <c:pt idx="33">
                  <c:v>19786.082725561198</c:v>
                </c:pt>
                <c:pt idx="34">
                  <c:v>19583.513658879951</c:v>
                </c:pt>
                <c:pt idx="35">
                  <c:v>19356.02245110878</c:v>
                </c:pt>
                <c:pt idx="36">
                  <c:v>19107.113603643029</c:v>
                </c:pt>
                <c:pt idx="37">
                  <c:v>18840.23347472458</c:v>
                </c:pt>
                <c:pt idx="38">
                  <c:v>18558.73884766212</c:v>
                </c:pt>
                <c:pt idx="39">
                  <c:v>18265.870976103961</c:v>
                </c:pt>
                <c:pt idx="40">
                  <c:v>17964.734989143501</c:v>
                </c:pt>
                <c:pt idx="41">
                  <c:v>17658.284438328181</c:v>
                </c:pt>
                <c:pt idx="42">
                  <c:v>17349.310690666265</c:v>
                </c:pt>
                <c:pt idx="43">
                  <c:v>17040.436815509169</c:v>
                </c:pt>
                <c:pt idx="44">
                  <c:v>16734.115577200249</c:v>
                </c:pt>
                <c:pt idx="45">
                  <c:v>16432.631127699991</c:v>
                </c:pt>
                <c:pt idx="46">
                  <c:v>16138.10399188388</c:v>
                </c:pt>
                <c:pt idx="47">
                  <c:v>15852.49895063186</c:v>
                </c:pt>
                <c:pt idx="48">
                  <c:v>15577.635450999631</c:v>
                </c:pt>
                <c:pt idx="49">
                  <c:v>15315.200206622651</c:v>
                </c:pt>
                <c:pt idx="50">
                  <c:v>15066.761693211791</c:v>
                </c:pt>
                <c:pt idx="51">
                  <c:v>14833.786291982509</c:v>
                </c:pt>
                <c:pt idx="52">
                  <c:v>14617.65588685667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154-4A07-92CC-FB0C2DCF4F71}"/>
            </c:ext>
          </c:extLst>
        </c:ser>
        <c:ser>
          <c:idx val="25"/>
          <c:order val="25"/>
          <c:tx>
            <c:strRef>
              <c:f>'增加值 (2001-2060, 2020RMB)'!$A$39</c:f>
              <c:strCache>
                <c:ptCount val="1"/>
                <c:pt idx="0">
                  <c:v>黑色金属冶炼和压延加工业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2020RMB)'!$I$39:$BI$39</c:f>
              <c:numCache>
                <c:formatCode>0_);[Red]\(0\)</c:formatCode>
                <c:ptCount val="53"/>
                <c:pt idx="0">
                  <c:v>13264.987048692667</c:v>
                </c:pt>
                <c:pt idx="1">
                  <c:v>13819.304430255745</c:v>
                </c:pt>
                <c:pt idx="2">
                  <c:v>14976.864655730458</c:v>
                </c:pt>
                <c:pt idx="3">
                  <c:v>15786.903470652162</c:v>
                </c:pt>
                <c:pt idx="4">
                  <c:v>16456.790947555692</c:v>
                </c:pt>
                <c:pt idx="5">
                  <c:v>17181.008126219454</c:v>
                </c:pt>
                <c:pt idx="6">
                  <c:v>17493.177034157219</c:v>
                </c:pt>
                <c:pt idx="7">
                  <c:v>17492.086758347235</c:v>
                </c:pt>
                <c:pt idx="8">
                  <c:v>16780.071954247866</c:v>
                </c:pt>
                <c:pt idx="9">
                  <c:v>17035.915204217312</c:v>
                </c:pt>
                <c:pt idx="10">
                  <c:v>18150.020662910723</c:v>
                </c:pt>
                <c:pt idx="11">
                  <c:v>19232.114006129876</c:v>
                </c:pt>
                <c:pt idx="12">
                  <c:v>19850.963290163178</c:v>
                </c:pt>
                <c:pt idx="13">
                  <c:v>20916.634028655993</c:v>
                </c:pt>
                <c:pt idx="14">
                  <c:v>21502.759178911721</c:v>
                </c:pt>
                <c:pt idx="15">
                  <c:v>21969.586137967792</c:v>
                </c:pt>
                <c:pt idx="16">
                  <c:v>22490.547281439722</c:v>
                </c:pt>
                <c:pt idx="17">
                  <c:v>23050.600250710588</c:v>
                </c:pt>
                <c:pt idx="18">
                  <c:v>23633.178052160001</c:v>
                </c:pt>
                <c:pt idx="19">
                  <c:v>24219.952753384889</c:v>
                </c:pt>
                <c:pt idx="20">
                  <c:v>24790.731274015499</c:v>
                </c:pt>
                <c:pt idx="21">
                  <c:v>25323.508154823801</c:v>
                </c:pt>
                <c:pt idx="22">
                  <c:v>25794.700673512547</c:v>
                </c:pt>
                <c:pt idx="23">
                  <c:v>26184.200716226242</c:v>
                </c:pt>
                <c:pt idx="24">
                  <c:v>26490.277953654</c:v>
                </c:pt>
                <c:pt idx="25">
                  <c:v>26716.818730026582</c:v>
                </c:pt>
                <c:pt idx="26">
                  <c:v>26868.70140867167</c:v>
                </c:pt>
                <c:pt idx="27">
                  <c:v>26951.626821260274</c:v>
                </c:pt>
                <c:pt idx="28">
                  <c:v>26971.388053093331</c:v>
                </c:pt>
                <c:pt idx="29">
                  <c:v>26932.030061700771</c:v>
                </c:pt>
                <c:pt idx="30">
                  <c:v>26837.42228092386</c:v>
                </c:pt>
                <c:pt idx="31">
                  <c:v>26691.738482529781</c:v>
                </c:pt>
                <c:pt idx="32">
                  <c:v>26499.379855352199</c:v>
                </c:pt>
                <c:pt idx="33">
                  <c:v>26264.901969006271</c:v>
                </c:pt>
                <c:pt idx="34">
                  <c:v>25992.94679661977</c:v>
                </c:pt>
                <c:pt idx="35">
                  <c:v>25688.18070310841</c:v>
                </c:pt>
                <c:pt idx="36">
                  <c:v>25355.239047542531</c:v>
                </c:pt>
                <c:pt idx="37">
                  <c:v>24998.677807594609</c:v>
                </c:pt>
                <c:pt idx="38">
                  <c:v>24622.9324165978</c:v>
                </c:pt>
                <c:pt idx="39">
                  <c:v>24232.283813263952</c:v>
                </c:pt>
                <c:pt idx="40">
                  <c:v>23830.831542907388</c:v>
                </c:pt>
                <c:pt idx="41">
                  <c:v>23422.47361793428</c:v>
                </c:pt>
                <c:pt idx="42">
                  <c:v>23010.892744055724</c:v>
                </c:pt>
                <c:pt idx="43">
                  <c:v>22599.548445837529</c:v>
                </c:pt>
                <c:pt idx="44">
                  <c:v>22191.674578795461</c:v>
                </c:pt>
                <c:pt idx="45">
                  <c:v>21790.281692735971</c:v>
                </c:pt>
                <c:pt idx="46">
                  <c:v>21398.16370962534</c:v>
                </c:pt>
                <c:pt idx="47">
                  <c:v>21017.908396009949</c:v>
                </c:pt>
                <c:pt idx="48">
                  <c:v>20651.911142051609</c:v>
                </c:pt>
                <c:pt idx="49">
                  <c:v>20302.391603877601</c:v>
                </c:pt>
                <c:pt idx="50">
                  <c:v>19971.412820773399</c:v>
                </c:pt>
                <c:pt idx="51">
                  <c:v>19660.902481704321</c:v>
                </c:pt>
                <c:pt idx="52">
                  <c:v>19372.676085093153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0154-4A07-92CC-FB0C2DCF4F71}"/>
            </c:ext>
          </c:extLst>
        </c:ser>
        <c:ser>
          <c:idx val="26"/>
          <c:order val="26"/>
          <c:tx>
            <c:strRef>
              <c:f>'增加值 (2001-2060, 2020RMB)'!$A$40</c:f>
              <c:strCache>
                <c:ptCount val="1"/>
                <c:pt idx="0">
                  <c:v>有色金属冶炼和压延加工业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2020RMB)'!$I$40:$BI$40</c:f>
              <c:numCache>
                <c:formatCode>0_);[Red]\(0\)</c:formatCode>
                <c:ptCount val="53"/>
                <c:pt idx="0">
                  <c:v>5588.8650324658547</c:v>
                </c:pt>
                <c:pt idx="1">
                  <c:v>5976.0522078381691</c:v>
                </c:pt>
                <c:pt idx="2">
                  <c:v>6569.4851629081804</c:v>
                </c:pt>
                <c:pt idx="3">
                  <c:v>7170.989527532277</c:v>
                </c:pt>
                <c:pt idx="4">
                  <c:v>7727.8662112813054</c:v>
                </c:pt>
                <c:pt idx="5">
                  <c:v>8412.9829917239895</c:v>
                </c:pt>
                <c:pt idx="6">
                  <c:v>9065.9193956357976</c:v>
                </c:pt>
                <c:pt idx="7">
                  <c:v>9572.8077773458172</c:v>
                </c:pt>
                <c:pt idx="8">
                  <c:v>9921.1618205924387</c:v>
                </c:pt>
                <c:pt idx="9">
                  <c:v>10192.935909207006</c:v>
                </c:pt>
                <c:pt idx="10">
                  <c:v>10940.720685518332</c:v>
                </c:pt>
                <c:pt idx="11">
                  <c:v>11519.159125520338</c:v>
                </c:pt>
                <c:pt idx="12">
                  <c:v>11421.806149839256</c:v>
                </c:pt>
                <c:pt idx="13">
                  <c:v>12356.060657958777</c:v>
                </c:pt>
                <c:pt idx="14">
                  <c:v>13204.368998026079</c:v>
                </c:pt>
                <c:pt idx="15">
                  <c:v>13555.024240247471</c:v>
                </c:pt>
                <c:pt idx="16">
                  <c:v>13947.842262461259</c:v>
                </c:pt>
                <c:pt idx="17">
                  <c:v>14372.714823449578</c:v>
                </c:pt>
                <c:pt idx="18">
                  <c:v>14818.23960504075</c:v>
                </c:pt>
                <c:pt idx="19">
                  <c:v>15271.489937486551</c:v>
                </c:pt>
                <c:pt idx="20">
                  <c:v>15717.887328840079</c:v>
                </c:pt>
                <c:pt idx="21">
                  <c:v>16141.201754793939</c:v>
                </c:pt>
                <c:pt idx="22">
                  <c:v>16523.706209233234</c:v>
                </c:pt>
                <c:pt idx="23">
                  <c:v>16849.948121407531</c:v>
                </c:pt>
                <c:pt idx="24">
                  <c:v>17118.010914227019</c:v>
                </c:pt>
                <c:pt idx="25">
                  <c:v>17330.233345124441</c:v>
                </c:pt>
                <c:pt idx="26">
                  <c:v>17489.792438875491</c:v>
                </c:pt>
                <c:pt idx="27">
                  <c:v>17600.572215232572</c:v>
                </c:pt>
                <c:pt idx="28">
                  <c:v>17666.563275892469</c:v>
                </c:pt>
                <c:pt idx="29">
                  <c:v>17690.325954412379</c:v>
                </c:pt>
                <c:pt idx="30">
                  <c:v>17674.287253511458</c:v>
                </c:pt>
                <c:pt idx="31">
                  <c:v>17621.145264788091</c:v>
                </c:pt>
                <c:pt idx="32">
                  <c:v>17533.81169333035</c:v>
                </c:pt>
                <c:pt idx="33">
                  <c:v>17415.35634335101</c:v>
                </c:pt>
                <c:pt idx="34">
                  <c:v>17268.95464246604</c:v>
                </c:pt>
                <c:pt idx="35">
                  <c:v>17097.839071261758</c:v>
                </c:pt>
                <c:pt idx="36">
                  <c:v>16905.255155898871</c:v>
                </c:pt>
                <c:pt idx="37">
                  <c:v>16694.422482065231</c:v>
                </c:pt>
                <c:pt idx="38">
                  <c:v>16468.501004455102</c:v>
                </c:pt>
                <c:pt idx="39">
                  <c:v>16230.562761423331</c:v>
                </c:pt>
                <c:pt idx="40">
                  <c:v>15983.568962369331</c:v>
                </c:pt>
                <c:pt idx="41">
                  <c:v>15730.352297265041</c:v>
                </c:pt>
                <c:pt idx="42">
                  <c:v>15473.604223918661</c:v>
                </c:pt>
                <c:pt idx="43">
                  <c:v>15215.86691849252</c:v>
                </c:pt>
                <c:pt idx="44">
                  <c:v>14959.529527162809</c:v>
                </c:pt>
                <c:pt idx="45">
                  <c:v>14706.828329792161</c:v>
                </c:pt>
                <c:pt idx="46">
                  <c:v>14459.85041792194</c:v>
                </c:pt>
                <c:pt idx="47">
                  <c:v>14220.54049695729</c:v>
                </c:pt>
                <c:pt idx="48">
                  <c:v>13990.71044377925</c:v>
                </c:pt>
                <c:pt idx="49">
                  <c:v>13772.051283962181</c:v>
                </c:pt>
                <c:pt idx="50">
                  <c:v>13566.1472952935</c:v>
                </c:pt>
                <c:pt idx="51">
                  <c:v>13374.49199468354</c:v>
                </c:pt>
                <c:pt idx="52">
                  <c:v>13198.505822465424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0154-4A07-92CC-FB0C2DCF4F71}"/>
            </c:ext>
          </c:extLst>
        </c:ser>
        <c:ser>
          <c:idx val="27"/>
          <c:order val="27"/>
          <c:tx>
            <c:strRef>
              <c:f>'增加值 (2001-2060, 2020RMB)'!$A$41</c:f>
              <c:strCache>
                <c:ptCount val="1"/>
                <c:pt idx="0">
                  <c:v>金属制品业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2020RMB)'!$I$41:$BI$41</c:f>
              <c:numCache>
                <c:formatCode>0_);[Red]\(0\)</c:formatCode>
                <c:ptCount val="53"/>
                <c:pt idx="0">
                  <c:v>5991.8214005513137</c:v>
                </c:pt>
                <c:pt idx="1">
                  <c:v>6247.8875774577018</c:v>
                </c:pt>
                <c:pt idx="2">
                  <c:v>7220.2243795774129</c:v>
                </c:pt>
                <c:pt idx="3">
                  <c:v>8172.6971404983933</c:v>
                </c:pt>
                <c:pt idx="4">
                  <c:v>8729.5597507721814</c:v>
                </c:pt>
                <c:pt idx="5">
                  <c:v>9321.04171678905</c:v>
                </c:pt>
                <c:pt idx="6">
                  <c:v>9972.9623065646138</c:v>
                </c:pt>
                <c:pt idx="7">
                  <c:v>10161.569210888461</c:v>
                </c:pt>
                <c:pt idx="8">
                  <c:v>10729.678731779901</c:v>
                </c:pt>
                <c:pt idx="9">
                  <c:v>11577.496039816844</c:v>
                </c:pt>
                <c:pt idx="10">
                  <c:v>11965.7485153379</c:v>
                </c:pt>
                <c:pt idx="11">
                  <c:v>12206.123148775057</c:v>
                </c:pt>
                <c:pt idx="12">
                  <c:v>12421.774161186662</c:v>
                </c:pt>
                <c:pt idx="13">
                  <c:v>15002.765371424184</c:v>
                </c:pt>
                <c:pt idx="14">
                  <c:v>15179.327689922766</c:v>
                </c:pt>
                <c:pt idx="15">
                  <c:v>15782.04017115454</c:v>
                </c:pt>
                <c:pt idx="16">
                  <c:v>16369.299186972141</c:v>
                </c:pt>
                <c:pt idx="17">
                  <c:v>16939.547355505969</c:v>
                </c:pt>
                <c:pt idx="18">
                  <c:v>17491.486832378301</c:v>
                </c:pt>
                <c:pt idx="19">
                  <c:v>18024.088190020619</c:v>
                </c:pt>
                <c:pt idx="20">
                  <c:v>18536.5953109486</c:v>
                </c:pt>
                <c:pt idx="21">
                  <c:v>19028.526559794082</c:v>
                </c:pt>
                <c:pt idx="22">
                  <c:v>19499.672569200298</c:v>
                </c:pt>
                <c:pt idx="23">
                  <c:v>19949.203899544329</c:v>
                </c:pt>
                <c:pt idx="24">
                  <c:v>20372.85003097865</c:v>
                </c:pt>
                <c:pt idx="25">
                  <c:v>20765.315789426331</c:v>
                </c:pt>
                <c:pt idx="26">
                  <c:v>21121.19025950319</c:v>
                </c:pt>
                <c:pt idx="27">
                  <c:v>21435.020258543624</c:v>
                </c:pt>
                <c:pt idx="28">
                  <c:v>21702.425471556398</c:v>
                </c:pt>
                <c:pt idx="29">
                  <c:v>21923.36835772391</c:v>
                </c:pt>
                <c:pt idx="30">
                  <c:v>22099.239470107888</c:v>
                </c:pt>
                <c:pt idx="31">
                  <c:v>22231.809984145941</c:v>
                </c:pt>
                <c:pt idx="32">
                  <c:v>22323.185584539959</c:v>
                </c:pt>
                <c:pt idx="33">
                  <c:v>22375.75916899402</c:v>
                </c:pt>
                <c:pt idx="34">
                  <c:v>22392.163519853191</c:v>
                </c:pt>
                <c:pt idx="35">
                  <c:v>22375.224972543481</c:v>
                </c:pt>
                <c:pt idx="36">
                  <c:v>22327.918973783981</c:v>
                </c:pt>
                <c:pt idx="37">
                  <c:v>22253.328279396519</c:v>
                </c:pt>
                <c:pt idx="38">
                  <c:v>22154.60439708631</c:v>
                </c:pt>
                <c:pt idx="39">
                  <c:v>22034.932738895579</c:v>
                </c:pt>
                <c:pt idx="40">
                  <c:v>21897.501815359221</c:v>
                </c:pt>
                <c:pt idx="41">
                  <c:v>21745.47668201787</c:v>
                </c:pt>
                <c:pt idx="42">
                  <c:v>21581.976741306418</c:v>
                </c:pt>
                <c:pt idx="43">
                  <c:v>21410.057910541789</c:v>
                </c:pt>
                <c:pt idx="44">
                  <c:v>21232.699090674279</c:v>
                </c:pt>
                <c:pt idx="45">
                  <c:v>21052.792810902611</c:v>
                </c:pt>
                <c:pt idx="46">
                  <c:v>20873.13988095371</c:v>
                </c:pt>
                <c:pt idx="47">
                  <c:v>20696.44785517297</c:v>
                </c:pt>
                <c:pt idx="48">
                  <c:v>20525.333099678639</c:v>
                </c:pt>
                <c:pt idx="49">
                  <c:v>20362.326254683448</c:v>
                </c:pt>
                <c:pt idx="50">
                  <c:v>20209.880897590701</c:v>
                </c:pt>
                <c:pt idx="51">
                  <c:v>20070.38523762281</c:v>
                </c:pt>
                <c:pt idx="52">
                  <c:v>19946.176708634623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0154-4A07-92CC-FB0C2DCF4F71}"/>
            </c:ext>
          </c:extLst>
        </c:ser>
        <c:ser>
          <c:idx val="28"/>
          <c:order val="28"/>
          <c:tx>
            <c:strRef>
              <c:f>'增加值 (2001-2060, 2020RMB)'!$A$42</c:f>
              <c:strCache>
                <c:ptCount val="1"/>
                <c:pt idx="0">
                  <c:v>通用设备制造业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2020RMB)'!$I$42:$BI$42</c:f>
              <c:numCache>
                <c:formatCode>0_);[Red]\(0\)</c:formatCode>
                <c:ptCount val="53"/>
                <c:pt idx="0">
                  <c:v>6951.0991404058195</c:v>
                </c:pt>
                <c:pt idx="1">
                  <c:v>7314.0533347634755</c:v>
                </c:pt>
                <c:pt idx="2">
                  <c:v>8644.0889558594426</c:v>
                </c:pt>
                <c:pt idx="3">
                  <c:v>9751.1703884161016</c:v>
                </c:pt>
                <c:pt idx="4">
                  <c:v>10062.829332726689</c:v>
                </c:pt>
                <c:pt idx="5">
                  <c:v>10438.751135915945</c:v>
                </c:pt>
                <c:pt idx="6">
                  <c:v>10918.647009586733</c:v>
                </c:pt>
                <c:pt idx="7">
                  <c:v>10659.001446727452</c:v>
                </c:pt>
                <c:pt idx="8">
                  <c:v>11015.676147174541</c:v>
                </c:pt>
                <c:pt idx="9">
                  <c:v>12320.948873046076</c:v>
                </c:pt>
                <c:pt idx="10">
                  <c:v>13151.243446087199</c:v>
                </c:pt>
                <c:pt idx="11">
                  <c:v>13225.233063001493</c:v>
                </c:pt>
                <c:pt idx="12">
                  <c:v>13446.095523164235</c:v>
                </c:pt>
                <c:pt idx="13">
                  <c:v>15735.922300230004</c:v>
                </c:pt>
                <c:pt idx="14">
                  <c:v>15793.232462385689</c:v>
                </c:pt>
                <c:pt idx="15">
                  <c:v>16449.418719198831</c:v>
                </c:pt>
                <c:pt idx="16">
                  <c:v>17090.70067245981</c:v>
                </c:pt>
                <c:pt idx="17">
                  <c:v>17715.320291768166</c:v>
                </c:pt>
                <c:pt idx="18">
                  <c:v>18321.795103518449</c:v>
                </c:pt>
                <c:pt idx="19">
                  <c:v>18908.929900436571</c:v>
                </c:pt>
                <c:pt idx="20">
                  <c:v>19475.824041688651</c:v>
                </c:pt>
                <c:pt idx="21">
                  <c:v>20021.874604316621</c:v>
                </c:pt>
                <c:pt idx="22">
                  <c:v>20546.775730786863</c:v>
                </c:pt>
                <c:pt idx="23">
                  <c:v>21049.552233955281</c:v>
                </c:pt>
                <c:pt idx="24">
                  <c:v>21525.490239775991</c:v>
                </c:pt>
                <c:pt idx="25">
                  <c:v>21968.740743825711</c:v>
                </c:pt>
                <c:pt idx="26">
                  <c:v>22373.303537128821</c:v>
                </c:pt>
                <c:pt idx="27">
                  <c:v>22733.108227909121</c:v>
                </c:pt>
                <c:pt idx="28">
                  <c:v>23043.2276238425</c:v>
                </c:pt>
                <c:pt idx="29">
                  <c:v>23303.442563099979</c:v>
                </c:pt>
                <c:pt idx="30">
                  <c:v>23515.095828630921</c:v>
                </c:pt>
                <c:pt idx="31">
                  <c:v>23679.95829484229</c:v>
                </c:pt>
                <c:pt idx="32">
                  <c:v>23800.17977900969</c:v>
                </c:pt>
                <c:pt idx="33">
                  <c:v>23878.23818402399</c:v>
                </c:pt>
                <c:pt idx="34">
                  <c:v>23916.888232118239</c:v>
                </c:pt>
                <c:pt idx="35">
                  <c:v>23919.110961029721</c:v>
                </c:pt>
                <c:pt idx="36">
                  <c:v>23888.065008357349</c:v>
                </c:pt>
                <c:pt idx="37">
                  <c:v>23827.040554175172</c:v>
                </c:pt>
                <c:pt idx="38">
                  <c:v>23739.416633074081</c:v>
                </c:pt>
                <c:pt idx="39">
                  <c:v>23628.622370653851</c:v>
                </c:pt>
                <c:pt idx="40">
                  <c:v>23498.102551062511</c:v>
                </c:pt>
                <c:pt idx="41">
                  <c:v>23351.287785428369</c:v>
                </c:pt>
                <c:pt idx="42">
                  <c:v>23191.569428927982</c:v>
                </c:pt>
                <c:pt idx="43">
                  <c:v>23022.27928881325</c:v>
                </c:pt>
                <c:pt idx="44">
                  <c:v>22846.67407818358</c:v>
                </c:pt>
                <c:pt idx="45">
                  <c:v>22667.924501111451</c:v>
                </c:pt>
                <c:pt idx="46">
                  <c:v>22489.108803799369</c:v>
                </c:pt>
                <c:pt idx="47">
                  <c:v>22313.21059319935</c:v>
                </c:pt>
                <c:pt idx="48">
                  <c:v>22143.120708082672</c:v>
                </c:pt>
                <c:pt idx="49">
                  <c:v>21981.642926837379</c:v>
                </c:pt>
                <c:pt idx="50">
                  <c:v>21831.503310165299</c:v>
                </c:pt>
                <c:pt idx="51">
                  <c:v>21695.363004259649</c:v>
                </c:pt>
                <c:pt idx="52">
                  <c:v>21575.834370037763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0154-4A07-92CC-FB0C2DCF4F71}"/>
            </c:ext>
          </c:extLst>
        </c:ser>
        <c:ser>
          <c:idx val="29"/>
          <c:order val="29"/>
          <c:tx>
            <c:strRef>
              <c:f>'增加值 (2001-2060, 2020RMB)'!$A$43</c:f>
              <c:strCache>
                <c:ptCount val="1"/>
                <c:pt idx="0">
                  <c:v>专用设备制造业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2020RMB)'!$I$43:$BI$43</c:f>
              <c:numCache>
                <c:formatCode>0_);[Red]\(0\)</c:formatCode>
                <c:ptCount val="53"/>
                <c:pt idx="0">
                  <c:v>4623.3441154702477</c:v>
                </c:pt>
                <c:pt idx="1">
                  <c:v>4952.4069466441206</c:v>
                </c:pt>
                <c:pt idx="2">
                  <c:v>5800.0823303648003</c:v>
                </c:pt>
                <c:pt idx="3">
                  <c:v>6676.677466975384</c:v>
                </c:pt>
                <c:pt idx="4">
                  <c:v>6921.8527542389438</c:v>
                </c:pt>
                <c:pt idx="5">
                  <c:v>7134.4071986105519</c:v>
                </c:pt>
                <c:pt idx="6">
                  <c:v>7311.9149257243444</c:v>
                </c:pt>
                <c:pt idx="7">
                  <c:v>7172.7218386442528</c:v>
                </c:pt>
                <c:pt idx="8">
                  <c:v>7468.7356239592245</c:v>
                </c:pt>
                <c:pt idx="9">
                  <c:v>8452.0023308915206</c:v>
                </c:pt>
                <c:pt idx="10">
                  <c:v>9332.9519669544279</c:v>
                </c:pt>
                <c:pt idx="11">
                  <c:v>9619.4212690179938</c:v>
                </c:pt>
                <c:pt idx="12">
                  <c:v>9891.7322198258898</c:v>
                </c:pt>
                <c:pt idx="13">
                  <c:v>11596.860701442663</c:v>
                </c:pt>
                <c:pt idx="14">
                  <c:v>12204.55859303716</c:v>
                </c:pt>
                <c:pt idx="15">
                  <c:v>12946.418478229991</c:v>
                </c:pt>
                <c:pt idx="16">
                  <c:v>13690.994468145909</c:v>
                </c:pt>
                <c:pt idx="17">
                  <c:v>14435.923411039988</c:v>
                </c:pt>
                <c:pt idx="18">
                  <c:v>15179.057089380811</c:v>
                </c:pt>
                <c:pt idx="19">
                  <c:v>15918.498499994521</c:v>
                </c:pt>
                <c:pt idx="20">
                  <c:v>16652.633316828382</c:v>
                </c:pt>
                <c:pt idx="21">
                  <c:v>17380.156388910891</c:v>
                </c:pt>
                <c:pt idx="22">
                  <c:v>18100.093307266627</c:v>
                </c:pt>
                <c:pt idx="23">
                  <c:v>18810.71537274951</c:v>
                </c:pt>
                <c:pt idx="24">
                  <c:v>19505.918791420499</c:v>
                </c:pt>
                <c:pt idx="25">
                  <c:v>20177.990374110701</c:v>
                </c:pt>
                <c:pt idx="26">
                  <c:v>20818.699955211789</c:v>
                </c:pt>
                <c:pt idx="27">
                  <c:v>21419.399752974245</c:v>
                </c:pt>
                <c:pt idx="28">
                  <c:v>21972.46683946464</c:v>
                </c:pt>
                <c:pt idx="29">
                  <c:v>22475.644972227841</c:v>
                </c:pt>
                <c:pt idx="30">
                  <c:v>22928.590856750219</c:v>
                </c:pt>
                <c:pt idx="31">
                  <c:v>23331.596315996761</c:v>
                </c:pt>
                <c:pt idx="32">
                  <c:v>23685.549340946291</c:v>
                </c:pt>
                <c:pt idx="33">
                  <c:v>23991.887754711861</c:v>
                </c:pt>
                <c:pt idx="34">
                  <c:v>24252.54743599319</c:v>
                </c:pt>
                <c:pt idx="35">
                  <c:v>24469.90700460822</c:v>
                </c:pt>
                <c:pt idx="36">
                  <c:v>24646.730772797309</c:v>
                </c:pt>
                <c:pt idx="37">
                  <c:v>24786.1116228094</c:v>
                </c:pt>
                <c:pt idx="38">
                  <c:v>24891.415296118121</c:v>
                </c:pt>
                <c:pt idx="39">
                  <c:v>24966.22738425088</c:v>
                </c:pt>
                <c:pt idx="40">
                  <c:v>25014.30410656791</c:v>
                </c:pt>
                <c:pt idx="41">
                  <c:v>25039.527756102299</c:v>
                </c:pt>
                <c:pt idx="42">
                  <c:v>25045.867499075885</c:v>
                </c:pt>
                <c:pt idx="43">
                  <c:v>25037.34603368969</c:v>
                </c:pt>
                <c:pt idx="44">
                  <c:v>25018.012454533749</c:v>
                </c:pt>
                <c:pt idx="45">
                  <c:v>24991.921534295911</c:v>
                </c:pt>
                <c:pt idx="46">
                  <c:v>24963.119526963041</c:v>
                </c:pt>
                <c:pt idx="47">
                  <c:v>24935.636517917021</c:v>
                </c:pt>
                <c:pt idx="48">
                  <c:v>24913.485296941119</c:v>
                </c:pt>
                <c:pt idx="49">
                  <c:v>24900.666710295762</c:v>
                </c:pt>
                <c:pt idx="50">
                  <c:v>24901.18145753417</c:v>
                </c:pt>
                <c:pt idx="51">
                  <c:v>24919.048337378121</c:v>
                </c:pt>
                <c:pt idx="52">
                  <c:v>24958.329014765146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0154-4A07-92CC-FB0C2DCF4F71}"/>
            </c:ext>
          </c:extLst>
        </c:ser>
        <c:ser>
          <c:idx val="30"/>
          <c:order val="30"/>
          <c:tx>
            <c:strRef>
              <c:f>'增加值 (2001-2060, 2020RMB)'!$A$44</c:f>
              <c:strCache>
                <c:ptCount val="1"/>
                <c:pt idx="0">
                  <c:v>汽车制造业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2020RMB)'!$I$44:$BI$44</c:f>
              <c:numCache>
                <c:formatCode>0_);[Red]\(0\)</c:formatCode>
                <c:ptCount val="53"/>
                <c:pt idx="0">
                  <c:v>8600.1122331098704</c:v>
                </c:pt>
                <c:pt idx="1">
                  <c:v>9652.4482684707364</c:v>
                </c:pt>
                <c:pt idx="2">
                  <c:v>11473.328463091299</c:v>
                </c:pt>
                <c:pt idx="3">
                  <c:v>12347.438461432741</c:v>
                </c:pt>
                <c:pt idx="4">
                  <c:v>12742.077205557398</c:v>
                </c:pt>
                <c:pt idx="5">
                  <c:v>13908.044110531482</c:v>
                </c:pt>
                <c:pt idx="6">
                  <c:v>14907.451129099412</c:v>
                </c:pt>
                <c:pt idx="7">
                  <c:v>15090.378543997835</c:v>
                </c:pt>
                <c:pt idx="8">
                  <c:v>17009.078938849983</c:v>
                </c:pt>
                <c:pt idx="9">
                  <c:v>19317.208684583806</c:v>
                </c:pt>
                <c:pt idx="10">
                  <c:v>20176.588473930504</c:v>
                </c:pt>
                <c:pt idx="11">
                  <c:v>19803.763108812167</c:v>
                </c:pt>
                <c:pt idx="12">
                  <c:v>20421.849410489154</c:v>
                </c:pt>
                <c:pt idx="13">
                  <c:v>22432.47684124767</c:v>
                </c:pt>
                <c:pt idx="14">
                  <c:v>24223.247878201622</c:v>
                </c:pt>
                <c:pt idx="15">
                  <c:v>25206.816996408241</c:v>
                </c:pt>
                <c:pt idx="16">
                  <c:v>26166.583588736281</c:v>
                </c:pt>
                <c:pt idx="17">
                  <c:v>27099.959371616733</c:v>
                </c:pt>
                <c:pt idx="18">
                  <c:v>28004.774521469521</c:v>
                </c:pt>
                <c:pt idx="19">
                  <c:v>28879.29365919554</c:v>
                </c:pt>
                <c:pt idx="20">
                  <c:v>29722.225276402281</c:v>
                </c:pt>
                <c:pt idx="21">
                  <c:v>30532.725015739339</c:v>
                </c:pt>
                <c:pt idx="22">
                  <c:v>31310.393337915713</c:v>
                </c:pt>
                <c:pt idx="23">
                  <c:v>32053.823258807111</c:v>
                </c:pt>
                <c:pt idx="24">
                  <c:v>32755.998823089922</c:v>
                </c:pt>
                <c:pt idx="25">
                  <c:v>33408.217948280697</c:v>
                </c:pt>
                <c:pt idx="26">
                  <c:v>34001.571368455967</c:v>
                </c:pt>
                <c:pt idx="27">
                  <c:v>34527.063294497995</c:v>
                </c:pt>
                <c:pt idx="28">
                  <c:v>34977.430392883631</c:v>
                </c:pt>
                <c:pt idx="29">
                  <c:v>35352.480520542267</c:v>
                </c:pt>
                <c:pt idx="30">
                  <c:v>35654.357002319768</c:v>
                </c:pt>
                <c:pt idx="31">
                  <c:v>35885.834342425493</c:v>
                </c:pt>
                <c:pt idx="32">
                  <c:v>36050.243736461976</c:v>
                </c:pt>
                <c:pt idx="33">
                  <c:v>36151.396346478061</c:v>
                </c:pt>
                <c:pt idx="34">
                  <c:v>36193.506251520172</c:v>
                </c:pt>
                <c:pt idx="35">
                  <c:v>36181.11479021878</c:v>
                </c:pt>
                <c:pt idx="36">
                  <c:v>36119.017791719103</c:v>
                </c:pt>
                <c:pt idx="37">
                  <c:v>36012.196957707747</c:v>
                </c:pt>
                <c:pt idx="38">
                  <c:v>35865.756421323284</c:v>
                </c:pt>
                <c:pt idx="39">
                  <c:v>35684.865276960612</c:v>
                </c:pt>
                <c:pt idx="40">
                  <c:v>35474.706655543923</c:v>
                </c:pt>
                <c:pt idx="41">
                  <c:v>35240.433718402863</c:v>
                </c:pt>
                <c:pt idx="42">
                  <c:v>34987.13276364941</c:v>
                </c:pt>
                <c:pt idx="43">
                  <c:v>34719.793484740709</c:v>
                </c:pt>
                <c:pt idx="44">
                  <c:v>34443.286293353733</c:v>
                </c:pt>
                <c:pt idx="45">
                  <c:v>34162.346518346087</c:v>
                </c:pt>
                <c:pt idx="46">
                  <c:v>33881.56521916559</c:v>
                </c:pt>
                <c:pt idx="47">
                  <c:v>33605.386304658263</c:v>
                </c:pt>
                <c:pt idx="48">
                  <c:v>33338.109625436118</c:v>
                </c:pt>
                <c:pt idx="49">
                  <c:v>33083.89970815547</c:v>
                </c:pt>
                <c:pt idx="50">
                  <c:v>32846.799821500223</c:v>
                </c:pt>
                <c:pt idx="51">
                  <c:v>32630.75110471038</c:v>
                </c:pt>
                <c:pt idx="52">
                  <c:v>32439.616548716054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0154-4A07-92CC-FB0C2DCF4F71}"/>
            </c:ext>
          </c:extLst>
        </c:ser>
        <c:ser>
          <c:idx val="31"/>
          <c:order val="31"/>
          <c:tx>
            <c:strRef>
              <c:f>'增加值 (2001-2060, 2020RMB)'!$A$45</c:f>
              <c:strCache>
                <c:ptCount val="1"/>
                <c:pt idx="0">
                  <c:v>铁路、船舶、航空航天和其他运输设备制造业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2020RMB)'!$I$45:$BI$45</c:f>
              <c:numCache>
                <c:formatCode>0_);[Red]\(0\)</c:formatCode>
                <c:ptCount val="53"/>
                <c:pt idx="0">
                  <c:v>3188.2277004700304</c:v>
                </c:pt>
                <c:pt idx="1">
                  <c:v>3578.3489927507817</c:v>
                </c:pt>
                <c:pt idx="2">
                  <c:v>4253.3844479133541</c:v>
                </c:pt>
                <c:pt idx="3">
                  <c:v>4577.4339061565579</c:v>
                </c:pt>
                <c:pt idx="4">
                  <c:v>4558.1419551796325</c:v>
                </c:pt>
                <c:pt idx="5">
                  <c:v>4537.9000657809465</c:v>
                </c:pt>
                <c:pt idx="6">
                  <c:v>4903.1409148629937</c:v>
                </c:pt>
                <c:pt idx="7">
                  <c:v>4967.9583726357478</c:v>
                </c:pt>
                <c:pt idx="8">
                  <c:v>5003.297460133128</c:v>
                </c:pt>
                <c:pt idx="9">
                  <c:v>5378.3809294904404</c:v>
                </c:pt>
                <c:pt idx="10">
                  <c:v>5639.0741579686864</c:v>
                </c:pt>
                <c:pt idx="11">
                  <c:v>5839.3471629389132</c:v>
                </c:pt>
                <c:pt idx="12">
                  <c:v>5631.8307687185261</c:v>
                </c:pt>
                <c:pt idx="13">
                  <c:v>6356.3613377239653</c:v>
                </c:pt>
                <c:pt idx="14">
                  <c:v>6611.9630030332355</c:v>
                </c:pt>
                <c:pt idx="15">
                  <c:v>6808.9349535602041</c:v>
                </c:pt>
                <c:pt idx="16">
                  <c:v>6997.2714191327386</c:v>
                </c:pt>
                <c:pt idx="17">
                  <c:v>7176.5994331709744</c:v>
                </c:pt>
                <c:pt idx="18">
                  <c:v>7346.6412188719496</c:v>
                </c:pt>
                <c:pt idx="19">
                  <c:v>7507.2137443218044</c:v>
                </c:pt>
                <c:pt idx="20">
                  <c:v>7658.2271496666444</c:v>
                </c:pt>
                <c:pt idx="21">
                  <c:v>7799.6821668827852</c:v>
                </c:pt>
                <c:pt idx="22">
                  <c:v>7931.6666642531573</c:v>
                </c:pt>
                <c:pt idx="23">
                  <c:v>8054.0478614100857</c:v>
                </c:pt>
                <c:pt idx="24">
                  <c:v>8165.5228236611656</c:v>
                </c:pt>
                <c:pt idx="25">
                  <c:v>8264.4754292904327</c:v>
                </c:pt>
                <c:pt idx="26">
                  <c:v>8349.290253177056</c:v>
                </c:pt>
                <c:pt idx="27">
                  <c:v>8418.3748777502988</c:v>
                </c:pt>
                <c:pt idx="28">
                  <c:v>8470.5367567489429</c:v>
                </c:pt>
                <c:pt idx="29">
                  <c:v>8506.0780697948867</c:v>
                </c:pt>
                <c:pt idx="30">
                  <c:v>8525.7662566432646</c:v>
                </c:pt>
                <c:pt idx="31">
                  <c:v>8530.4700964070289</c:v>
                </c:pt>
                <c:pt idx="32">
                  <c:v>8521.1430265872787</c:v>
                </c:pt>
                <c:pt idx="33">
                  <c:v>8498.8067339218178</c:v>
                </c:pt>
                <c:pt idx="34">
                  <c:v>8464.5353162458341</c:v>
                </c:pt>
                <c:pt idx="35">
                  <c:v>8419.4402692780022</c:v>
                </c:pt>
                <c:pt idx="36">
                  <c:v>8364.6565060029479</c:v>
                </c:pt>
                <c:pt idx="37">
                  <c:v>8301.3295707012658</c:v>
                </c:pt>
                <c:pt idx="38">
                  <c:v>8230.6041660226056</c:v>
                </c:pt>
                <c:pt idx="39">
                  <c:v>8153.6140708837802</c:v>
                </c:pt>
                <c:pt idx="40">
                  <c:v>8071.4734902218152</c:v>
                </c:pt>
                <c:pt idx="41">
                  <c:v>7985.269845316353</c:v>
                </c:pt>
                <c:pt idx="42">
                  <c:v>7896.0579858611645</c:v>
                </c:pt>
                <c:pt idx="43">
                  <c:v>7804.855782362888</c:v>
                </c:pt>
                <c:pt idx="44">
                  <c:v>7712.6410397514119</c:v>
                </c:pt>
                <c:pt idx="45">
                  <c:v>7620.3496601490224</c:v>
                </c:pt>
                <c:pt idx="46">
                  <c:v>7528.8749743006492</c:v>
                </c:pt>
                <c:pt idx="47">
                  <c:v>7439.0681568865884</c:v>
                </c:pt>
                <c:pt idx="48">
                  <c:v>7351.7396404464434</c:v>
                </c:pt>
                <c:pt idx="49">
                  <c:v>7267.6614455478584</c:v>
                </c:pt>
                <c:pt idx="50">
                  <c:v>7187.570350753741</c:v>
                </c:pt>
                <c:pt idx="51">
                  <c:v>7112.1718345209392</c:v>
                </c:pt>
                <c:pt idx="52">
                  <c:v>7042.1447320901125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0154-4A07-92CC-FB0C2DCF4F71}"/>
            </c:ext>
          </c:extLst>
        </c:ser>
        <c:ser>
          <c:idx val="32"/>
          <c:order val="32"/>
          <c:tx>
            <c:strRef>
              <c:f>'增加值 (2001-2060, 2020RMB)'!$A$46</c:f>
              <c:strCache>
                <c:ptCount val="1"/>
                <c:pt idx="0">
                  <c:v>电气机械和器材制造业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2020RMB)'!$I$46:$BI$46</c:f>
              <c:numCache>
                <c:formatCode>0_);[Red]\(0\)</c:formatCode>
                <c:ptCount val="53"/>
                <c:pt idx="0">
                  <c:v>8838.8458981359108</c:v>
                </c:pt>
                <c:pt idx="1">
                  <c:v>9384.156595166769</c:v>
                </c:pt>
                <c:pt idx="2">
                  <c:v>10817.240653312754</c:v>
                </c:pt>
                <c:pt idx="3">
                  <c:v>11901.217689061259</c:v>
                </c:pt>
                <c:pt idx="4">
                  <c:v>12428.8831864778</c:v>
                </c:pt>
                <c:pt idx="5">
                  <c:v>13093.912999248869</c:v>
                </c:pt>
                <c:pt idx="6">
                  <c:v>13733.533913610911</c:v>
                </c:pt>
                <c:pt idx="7">
                  <c:v>13980.230978733629</c:v>
                </c:pt>
                <c:pt idx="8">
                  <c:v>14802.762226490715</c:v>
                </c:pt>
                <c:pt idx="9">
                  <c:v>16571.758972982709</c:v>
                </c:pt>
                <c:pt idx="10">
                  <c:v>17705.011225836581</c:v>
                </c:pt>
                <c:pt idx="11">
                  <c:v>18897.138056727734</c:v>
                </c:pt>
                <c:pt idx="12">
                  <c:v>19907.377761640477</c:v>
                </c:pt>
                <c:pt idx="13">
                  <c:v>24209.543450590434</c:v>
                </c:pt>
                <c:pt idx="14">
                  <c:v>27519.375031440293</c:v>
                </c:pt>
                <c:pt idx="15">
                  <c:v>29731.48670210264</c:v>
                </c:pt>
                <c:pt idx="16">
                  <c:v>32002.565979382001</c:v>
                </c:pt>
                <c:pt idx="17">
                  <c:v>34326.185273463998</c:v>
                </c:pt>
                <c:pt idx="18">
                  <c:v>36696.217203054461</c:v>
                </c:pt>
                <c:pt idx="19">
                  <c:v>39107.001460574029</c:v>
                </c:pt>
                <c:pt idx="20">
                  <c:v>41553.50399073126</c:v>
                </c:pt>
                <c:pt idx="21">
                  <c:v>44031.466365628927</c:v>
                </c:pt>
                <c:pt idx="22">
                  <c:v>46537.543950463085</c:v>
                </c:pt>
                <c:pt idx="23">
                  <c:v>49065.931500733233</c:v>
                </c:pt>
                <c:pt idx="24">
                  <c:v>51596.523818531437</c:v>
                </c:pt>
                <c:pt idx="25">
                  <c:v>54102.980118336469</c:v>
                </c:pt>
                <c:pt idx="26">
                  <c:v>56556.018174881123</c:v>
                </c:pt>
                <c:pt idx="27">
                  <c:v>58923.685059426971</c:v>
                </c:pt>
                <c:pt idx="28">
                  <c:v>61176.119072004272</c:v>
                </c:pt>
                <c:pt idx="29">
                  <c:v>63300.374684725837</c:v>
                </c:pt>
                <c:pt idx="30">
                  <c:v>65289.798676927807</c:v>
                </c:pt>
                <c:pt idx="31">
                  <c:v>67140.013469901998</c:v>
                </c:pt>
                <c:pt idx="32">
                  <c:v>68848.886336660231</c:v>
                </c:pt>
                <c:pt idx="33">
                  <c:v>70416.45732331014</c:v>
                </c:pt>
                <c:pt idx="34">
                  <c:v>71844.832308467943</c:v>
                </c:pt>
                <c:pt idx="35">
                  <c:v>73138.048138940852</c:v>
                </c:pt>
                <c:pt idx="36">
                  <c:v>74301.916984861731</c:v>
                </c:pt>
                <c:pt idx="37">
                  <c:v>75343.856991278357</c:v>
                </c:pt>
                <c:pt idx="38">
                  <c:v>76272.716010046977</c:v>
                </c:pt>
                <c:pt idx="39">
                  <c:v>77098.594724648472</c:v>
                </c:pt>
                <c:pt idx="40">
                  <c:v>77832.674881683968</c:v>
                </c:pt>
                <c:pt idx="41">
                  <c:v>78487.057665591943</c:v>
                </c:pt>
                <c:pt idx="42">
                  <c:v>79074.616543505792</c:v>
                </c:pt>
                <c:pt idx="43">
                  <c:v>79608.868206345462</c:v>
                </c:pt>
                <c:pt idx="44">
                  <c:v>80103.864575746426</c:v>
                </c:pt>
                <c:pt idx="45">
                  <c:v>80574.108263878457</c:v>
                </c:pt>
                <c:pt idx="46">
                  <c:v>81034.493388451519</c:v>
                </c:pt>
                <c:pt idx="47">
                  <c:v>81500.273276935142</c:v>
                </c:pt>
                <c:pt idx="48">
                  <c:v>81987.056356730172</c:v>
                </c:pt>
                <c:pt idx="49">
                  <c:v>82510.831433117128</c:v>
                </c:pt>
                <c:pt idx="50">
                  <c:v>83088.023614019781</c:v>
                </c:pt>
                <c:pt idx="51">
                  <c:v>83735.582359477339</c:v>
                </c:pt>
                <c:pt idx="52">
                  <c:v>84471.103525261831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0154-4A07-92CC-FB0C2DCF4F71}"/>
            </c:ext>
          </c:extLst>
        </c:ser>
        <c:ser>
          <c:idx val="33"/>
          <c:order val="33"/>
          <c:tx>
            <c:strRef>
              <c:f>'增加值 (2001-2060, 2020RMB)'!$A$47</c:f>
              <c:strCache>
                <c:ptCount val="1"/>
                <c:pt idx="0">
                  <c:v>计算机、通信和其他电子设备制造业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2020RMB)'!$I$47:$BI$47</c:f>
              <c:numCache>
                <c:formatCode>0_);[Red]\(0\)</c:formatCode>
                <c:ptCount val="53"/>
                <c:pt idx="0">
                  <c:v>12389.44931527424</c:v>
                </c:pt>
                <c:pt idx="1">
                  <c:v>12366.933798334967</c:v>
                </c:pt>
                <c:pt idx="2">
                  <c:v>14039.352340459805</c:v>
                </c:pt>
                <c:pt idx="3">
                  <c:v>15635.073609400111</c:v>
                </c:pt>
                <c:pt idx="4">
                  <c:v>16685.515258118838</c:v>
                </c:pt>
                <c:pt idx="5">
                  <c:v>17641.706205868722</c:v>
                </c:pt>
                <c:pt idx="6">
                  <c:v>18977.06187241953</c:v>
                </c:pt>
                <c:pt idx="7">
                  <c:v>19894.066811321558</c:v>
                </c:pt>
                <c:pt idx="8">
                  <c:v>21355.755278544293</c:v>
                </c:pt>
                <c:pt idx="9">
                  <c:v>24599.592644385197</c:v>
                </c:pt>
                <c:pt idx="10">
                  <c:v>27702.463848883261</c:v>
                </c:pt>
                <c:pt idx="11">
                  <c:v>29193.809335406564</c:v>
                </c:pt>
                <c:pt idx="12">
                  <c:v>30415.615726595752</c:v>
                </c:pt>
                <c:pt idx="13">
                  <c:v>36640.354816724648</c:v>
                </c:pt>
                <c:pt idx="14">
                  <c:v>40049.197919647981</c:v>
                </c:pt>
                <c:pt idx="15">
                  <c:v>43302.371114592701</c:v>
                </c:pt>
                <c:pt idx="16">
                  <c:v>46657.741816476671</c:v>
                </c:pt>
                <c:pt idx="17">
                  <c:v>50103.572017024075</c:v>
                </c:pt>
                <c:pt idx="18">
                  <c:v>53627.228222274833</c:v>
                </c:pt>
                <c:pt idx="19">
                  <c:v>57215.336053912513</c:v>
                </c:pt>
                <c:pt idx="20">
                  <c:v>60853.946622368792</c:v>
                </c:pt>
                <c:pt idx="21">
                  <c:v>64528.711253061338</c:v>
                </c:pt>
                <c:pt idx="22">
                  <c:v>68225.061047768657</c:v>
                </c:pt>
                <c:pt idx="23">
                  <c:v>71929.604018721846</c:v>
                </c:pt>
                <c:pt idx="24">
                  <c:v>75634.453187037157</c:v>
                </c:pt>
                <c:pt idx="25">
                  <c:v>79334.621240919907</c:v>
                </c:pt>
                <c:pt idx="26">
                  <c:v>83027.072851067336</c:v>
                </c:pt>
                <c:pt idx="27">
                  <c:v>86710.842949538463</c:v>
                </c:pt>
                <c:pt idx="28">
                  <c:v>90385.217803784195</c:v>
                </c:pt>
                <c:pt idx="29">
                  <c:v>94043.446540784324</c:v>
                </c:pt>
                <c:pt idx="30">
                  <c:v>97677.469280304562</c:v>
                </c:pt>
                <c:pt idx="31">
                  <c:v>101279.74556593</c:v>
                </c:pt>
                <c:pt idx="32">
                  <c:v>104843.316766451</c:v>
                </c:pt>
                <c:pt idx="33">
                  <c:v>108361.86112648129</c:v>
                </c:pt>
                <c:pt idx="34">
                  <c:v>111829.7412244086</c:v>
                </c:pt>
                <c:pt idx="35">
                  <c:v>115242.0437448028</c:v>
                </c:pt>
                <c:pt idx="36">
                  <c:v>118594.61161419059</c:v>
                </c:pt>
                <c:pt idx="37">
                  <c:v>121884.0686812112</c:v>
                </c:pt>
                <c:pt idx="38">
                  <c:v>125107.83724277779</c:v>
                </c:pt>
                <c:pt idx="39">
                  <c:v>128264.14882559179</c:v>
                </c:pt>
                <c:pt idx="40">
                  <c:v>131352.04872622321</c:v>
                </c:pt>
                <c:pt idx="41">
                  <c:v>134371.39489256759</c:v>
                </c:pt>
                <c:pt idx="42">
                  <c:v>137322.85179471842</c:v>
                </c:pt>
                <c:pt idx="43">
                  <c:v>140207.8799845537</c:v>
                </c:pt>
                <c:pt idx="44">
                  <c:v>143028.7220812251</c:v>
                </c:pt>
                <c:pt idx="45">
                  <c:v>145788.3859453343</c:v>
                </c:pt>
                <c:pt idx="46">
                  <c:v>148490.62581899701</c:v>
                </c:pt>
                <c:pt idx="47">
                  <c:v>151139.92221373069</c:v>
                </c:pt>
                <c:pt idx="48">
                  <c:v>153741.4613246402</c:v>
                </c:pt>
                <c:pt idx="49">
                  <c:v>156301.11473945429</c:v>
                </c:pt>
                <c:pt idx="50">
                  <c:v>158825.4201962261</c:v>
                </c:pt>
                <c:pt idx="51">
                  <c:v>161321.5641257971</c:v>
                </c:pt>
                <c:pt idx="52">
                  <c:v>163797.36669612661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0154-4A07-92CC-FB0C2DCF4F71}"/>
            </c:ext>
          </c:extLst>
        </c:ser>
        <c:ser>
          <c:idx val="34"/>
          <c:order val="34"/>
          <c:tx>
            <c:strRef>
              <c:f>'增加值 (2001-2060, 2020RMB)'!$A$48</c:f>
              <c:strCache>
                <c:ptCount val="1"/>
                <c:pt idx="0">
                  <c:v>仪器仪表制造业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2020RMB)'!$I$48:$BI$48</c:f>
              <c:numCache>
                <c:formatCode>0_);[Red]\(0\)</c:formatCode>
                <c:ptCount val="53"/>
                <c:pt idx="0">
                  <c:v>1270.0793844876139</c:v>
                </c:pt>
                <c:pt idx="1">
                  <c:v>1228.0405287348781</c:v>
                </c:pt>
                <c:pt idx="2">
                  <c:v>1426.3115727722129</c:v>
                </c:pt>
                <c:pt idx="3">
                  <c:v>1593.909068268578</c:v>
                </c:pt>
                <c:pt idx="4">
                  <c:v>1708.5827273955535</c:v>
                </c:pt>
                <c:pt idx="5">
                  <c:v>1811.3651372659692</c:v>
                </c:pt>
                <c:pt idx="6">
                  <c:v>1899.8480090712155</c:v>
                </c:pt>
                <c:pt idx="7">
                  <c:v>1899.7295995723066</c:v>
                </c:pt>
                <c:pt idx="8">
                  <c:v>2028.186042724089</c:v>
                </c:pt>
                <c:pt idx="9">
                  <c:v>2309.5694704099037</c:v>
                </c:pt>
                <c:pt idx="10">
                  <c:v>2442.2123507432102</c:v>
                </c:pt>
                <c:pt idx="11">
                  <c:v>2601.9437875043291</c:v>
                </c:pt>
                <c:pt idx="12">
                  <c:v>2602.606982377547</c:v>
                </c:pt>
                <c:pt idx="13">
                  <c:v>3034.983345987991</c:v>
                </c:pt>
                <c:pt idx="14">
                  <c:v>3224.8526645654251</c:v>
                </c:pt>
                <c:pt idx="15">
                  <c:v>3407.2386614197399</c:v>
                </c:pt>
                <c:pt idx="16">
                  <c:v>3590.021662120776</c:v>
                </c:pt>
                <c:pt idx="17">
                  <c:v>3772.4508289156779</c:v>
                </c:pt>
                <c:pt idx="18">
                  <c:v>3953.7779835137972</c:v>
                </c:pt>
                <c:pt idx="19">
                  <c:v>4133.2655632615852</c:v>
                </c:pt>
                <c:pt idx="20">
                  <c:v>4310.1943020967183</c:v>
                </c:pt>
                <c:pt idx="21">
                  <c:v>4483.8705166766094</c:v>
                </c:pt>
                <c:pt idx="22">
                  <c:v>4653.6328907833931</c:v>
                </c:pt>
                <c:pt idx="23">
                  <c:v>4818.9054310136362</c:v>
                </c:pt>
                <c:pt idx="24">
                  <c:v>4979.3557263941702</c:v>
                </c:pt>
                <c:pt idx="25">
                  <c:v>5134.7798209540097</c:v>
                </c:pt>
                <c:pt idx="26">
                  <c:v>5285.0594410635485</c:v>
                </c:pt>
                <c:pt idx="27">
                  <c:v>5430.1616751612701</c:v>
                </c:pt>
                <c:pt idx="28">
                  <c:v>5570.0758603170061</c:v>
                </c:pt>
                <c:pt idx="29">
                  <c:v>5704.6139840962833</c:v>
                </c:pt>
                <c:pt idx="30">
                  <c:v>5833.5742513248924</c:v>
                </c:pt>
                <c:pt idx="31">
                  <c:v>5956.8001066626184</c:v>
                </c:pt>
                <c:pt idx="32">
                  <c:v>6074.1801064752799</c:v>
                </c:pt>
                <c:pt idx="33">
                  <c:v>6185.6473747790187</c:v>
                </c:pt>
                <c:pt idx="34">
                  <c:v>6291.1786804936546</c:v>
                </c:pt>
                <c:pt idx="35">
                  <c:v>6390.7931767829659</c:v>
                </c:pt>
                <c:pt idx="36">
                  <c:v>6484.5508458046606</c:v>
                </c:pt>
                <c:pt idx="37">
                  <c:v>6572.5506937896616</c:v>
                </c:pt>
                <c:pt idx="38">
                  <c:v>6654.928742076504</c:v>
                </c:pt>
                <c:pt idx="39">
                  <c:v>6731.8558596239118</c:v>
                </c:pt>
                <c:pt idx="40">
                  <c:v>6803.5354816981171</c:v>
                </c:pt>
                <c:pt idx="41">
                  <c:v>6870.2012579814091</c:v>
                </c:pt>
                <c:pt idx="42">
                  <c:v>6932.1146713754242</c:v>
                </c:pt>
                <c:pt idx="43">
                  <c:v>6989.5626663809226</c:v>
                </c:pt>
                <c:pt idx="44">
                  <c:v>7042.8553232289514</c:v>
                </c:pt>
                <c:pt idx="45">
                  <c:v>7092.3236110152829</c:v>
                </c:pt>
                <c:pt idx="46">
                  <c:v>7138.3172500476039</c:v>
                </c:pt>
                <c:pt idx="47">
                  <c:v>7181.202710539279</c:v>
                </c:pt>
                <c:pt idx="48">
                  <c:v>7221.3613717585104</c:v>
                </c:pt>
                <c:pt idx="49">
                  <c:v>7259.1878628384802</c:v>
                </c:pt>
                <c:pt idx="50">
                  <c:v>7295.088603738378</c:v>
                </c:pt>
                <c:pt idx="51">
                  <c:v>7329.4805623734173</c:v>
                </c:pt>
                <c:pt idx="52">
                  <c:v>7362.7902417532632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0154-4A07-92CC-FB0C2DCF4F71}"/>
            </c:ext>
          </c:extLst>
        </c:ser>
        <c:ser>
          <c:idx val="35"/>
          <c:order val="35"/>
          <c:tx>
            <c:strRef>
              <c:f>'增加值 (2001-2060, 2020RMB)'!$A$49</c:f>
              <c:strCache>
                <c:ptCount val="1"/>
                <c:pt idx="0">
                  <c:v>其他制造业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2020RMB)'!$I$49:$BI$49</c:f>
              <c:numCache>
                <c:formatCode>0_);[Red]\(0\)</c:formatCode>
                <c:ptCount val="53"/>
                <c:pt idx="0">
                  <c:v>531.34866320463868</c:v>
                </c:pt>
                <c:pt idx="1">
                  <c:v>533.40516151922805</c:v>
                </c:pt>
                <c:pt idx="2">
                  <c:v>607.09317693241007</c:v>
                </c:pt>
                <c:pt idx="3">
                  <c:v>691.26269950561482</c:v>
                </c:pt>
                <c:pt idx="4">
                  <c:v>704.14318496130761</c:v>
                </c:pt>
                <c:pt idx="5">
                  <c:v>684.29349662864342</c:v>
                </c:pt>
                <c:pt idx="6">
                  <c:v>690.16619562307301</c:v>
                </c:pt>
                <c:pt idx="7">
                  <c:v>694.70654126146223</c:v>
                </c:pt>
                <c:pt idx="8">
                  <c:v>714.56325097556112</c:v>
                </c:pt>
                <c:pt idx="9">
                  <c:v>765.96223072374698</c:v>
                </c:pt>
                <c:pt idx="10">
                  <c:v>787.83551251096753</c:v>
                </c:pt>
                <c:pt idx="11">
                  <c:v>780.11423979679637</c:v>
                </c:pt>
                <c:pt idx="12">
                  <c:v>726.7325868770115</c:v>
                </c:pt>
                <c:pt idx="13">
                  <c:v>826.27948832290463</c:v>
                </c:pt>
                <c:pt idx="14">
                  <c:v>907.3493796355416</c:v>
                </c:pt>
                <c:pt idx="15">
                  <c:v>941.68738539869457</c:v>
                </c:pt>
                <c:pt idx="16">
                  <c:v>972.44335395428664</c:v>
                </c:pt>
                <c:pt idx="17">
                  <c:v>999.69387054950323</c:v>
                </c:pt>
                <c:pt idx="18">
                  <c:v>1023.610439453898</c:v>
                </c:pt>
                <c:pt idx="19">
                  <c:v>1044.4487809360421</c:v>
                </c:pt>
                <c:pt idx="20">
                  <c:v>1062.5372279299779</c:v>
                </c:pt>
                <c:pt idx="21">
                  <c:v>1078.265062719302</c:v>
                </c:pt>
                <c:pt idx="22">
                  <c:v>1092.0715314954546</c:v>
                </c:pt>
                <c:pt idx="23">
                  <c:v>1104.340222516548</c:v>
                </c:pt>
                <c:pt idx="24">
                  <c:v>1115.095661742409</c:v>
                </c:pt>
                <c:pt idx="25">
                  <c:v>1124.274207341226</c:v>
                </c:pt>
                <c:pt idx="26">
                  <c:v>1131.8182905707049</c:v>
                </c:pt>
                <c:pt idx="27">
                  <c:v>1137.6769581453987</c:v>
                </c:pt>
                <c:pt idx="28">
                  <c:v>1141.8214255856931</c:v>
                </c:pt>
                <c:pt idx="29">
                  <c:v>1144.290938762673</c:v>
                </c:pt>
                <c:pt idx="30">
                  <c:v>1145.14787726081</c:v>
                </c:pt>
                <c:pt idx="31">
                  <c:v>1144.461864541453</c:v>
                </c:pt>
                <c:pt idx="32">
                  <c:v>1142.3087846127939</c:v>
                </c:pt>
                <c:pt idx="33">
                  <c:v>1138.7698028345651</c:v>
                </c:pt>
                <c:pt idx="34">
                  <c:v>1133.9304041060459</c:v>
                </c:pt>
                <c:pt idx="35">
                  <c:v>1127.879460215968</c:v>
                </c:pt>
                <c:pt idx="36">
                  <c:v>1120.7083365890171</c:v>
                </c:pt>
                <c:pt idx="37">
                  <c:v>1112.51004708815</c:v>
                </c:pt>
                <c:pt idx="38">
                  <c:v>1103.378463963131</c:v>
                </c:pt>
                <c:pt idx="39">
                  <c:v>1093.4075885067259</c:v>
                </c:pt>
                <c:pt idx="40">
                  <c:v>1082.690886519516</c:v>
                </c:pt>
                <c:pt idx="41">
                  <c:v>1071.320691315311</c:v>
                </c:pt>
                <c:pt idx="42">
                  <c:v>1059.3876757399962</c:v>
                </c:pt>
                <c:pt idx="43">
                  <c:v>1046.9803935407469</c:v>
                </c:pt>
                <c:pt idx="44">
                  <c:v>1034.184889418384</c:v>
                </c:pt>
                <c:pt idx="45">
                  <c:v>1021.084376228411</c:v>
                </c:pt>
                <c:pt idx="46">
                  <c:v>1007.758977066588</c:v>
                </c:pt>
                <c:pt idx="47">
                  <c:v>994.28552938090843</c:v>
                </c:pt>
                <c:pt idx="48">
                  <c:v>980.73744778887465</c:v>
                </c:pt>
                <c:pt idx="49">
                  <c:v>967.18464194016906</c:v>
                </c:pt>
                <c:pt idx="50">
                  <c:v>953.69348554182591</c:v>
                </c:pt>
                <c:pt idx="51">
                  <c:v>940.3268325465416</c:v>
                </c:pt>
                <c:pt idx="52">
                  <c:v>927.1440764843768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0154-4A07-92CC-FB0C2DCF4F71}"/>
            </c:ext>
          </c:extLst>
        </c:ser>
        <c:ser>
          <c:idx val="36"/>
          <c:order val="36"/>
          <c:tx>
            <c:strRef>
              <c:f>'增加值 (2001-2060, 2020RMB)'!$A$50</c:f>
              <c:strCache>
                <c:ptCount val="1"/>
                <c:pt idx="0">
                  <c:v>废弃资源综合利用业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2020RMB)'!$I$50:$BI$50</c:f>
              <c:numCache>
                <c:formatCode>0_);[Red]\(0\)</c:formatCode>
                <c:ptCount val="53"/>
                <c:pt idx="0">
                  <c:v>277.82138277902817</c:v>
                </c:pt>
                <c:pt idx="1">
                  <c:v>339.99581571765185</c:v>
                </c:pt>
                <c:pt idx="2">
                  <c:v>419.65234009725702</c:v>
                </c:pt>
                <c:pt idx="3">
                  <c:v>470.17292912503825</c:v>
                </c:pt>
                <c:pt idx="4">
                  <c:v>515.18952431708408</c:v>
                </c:pt>
                <c:pt idx="5">
                  <c:v>564.77911820922452</c:v>
                </c:pt>
                <c:pt idx="6">
                  <c:v>630.81220526617665</c:v>
                </c:pt>
                <c:pt idx="7">
                  <c:v>720.54132717818436</c:v>
                </c:pt>
                <c:pt idx="8">
                  <c:v>760.82510418843708</c:v>
                </c:pt>
                <c:pt idx="9">
                  <c:v>780.89655528325477</c:v>
                </c:pt>
                <c:pt idx="10">
                  <c:v>810.97168640436632</c:v>
                </c:pt>
                <c:pt idx="11">
                  <c:v>884.34251709928117</c:v>
                </c:pt>
                <c:pt idx="12">
                  <c:v>878.57955136179089</c:v>
                </c:pt>
                <c:pt idx="13">
                  <c:v>1191.0274591227624</c:v>
                </c:pt>
                <c:pt idx="14">
                  <c:v>1483.3175160522719</c:v>
                </c:pt>
                <c:pt idx="15">
                  <c:v>1586.7963251492431</c:v>
                </c:pt>
                <c:pt idx="16">
                  <c:v>1706.5051396771839</c:v>
                </c:pt>
                <c:pt idx="17">
                  <c:v>1842.5566629645907</c:v>
                </c:pt>
                <c:pt idx="18">
                  <c:v>1994.7497731922949</c:v>
                </c:pt>
                <c:pt idx="19">
                  <c:v>2162.4087999522508</c:v>
                </c:pt>
                <c:pt idx="20">
                  <c:v>2344.2097217650798</c:v>
                </c:pt>
                <c:pt idx="21">
                  <c:v>2538.0016233514748</c:v>
                </c:pt>
                <c:pt idx="22">
                  <c:v>2740.6374118703829</c:v>
                </c:pt>
                <c:pt idx="23">
                  <c:v>2948.5832664211171</c:v>
                </c:pt>
                <c:pt idx="24">
                  <c:v>3160.5071721351228</c:v>
                </c:pt>
                <c:pt idx="25">
                  <c:v>3375.76001815257</c:v>
                </c:pt>
                <c:pt idx="26">
                  <c:v>3593.7476966837648</c:v>
                </c:pt>
                <c:pt idx="27">
                  <c:v>3813.9471259917295</c:v>
                </c:pt>
                <c:pt idx="28">
                  <c:v>4035.8358173130532</c:v>
                </c:pt>
                <c:pt idx="29">
                  <c:v>4258.612090450416</c:v>
                </c:pt>
                <c:pt idx="30">
                  <c:v>4481.395950922978</c:v>
                </c:pt>
                <c:pt idx="31">
                  <c:v>4703.3150026440408</c:v>
                </c:pt>
                <c:pt idx="32">
                  <c:v>4923.5142794994481</c:v>
                </c:pt>
                <c:pt idx="33">
                  <c:v>5141.1656326988086</c:v>
                </c:pt>
                <c:pt idx="34">
                  <c:v>5355.4765282749813</c:v>
                </c:pt>
                <c:pt idx="35">
                  <c:v>5565.6981285655456</c:v>
                </c:pt>
                <c:pt idx="36">
                  <c:v>5771.132553004335</c:v>
                </c:pt>
                <c:pt idx="37">
                  <c:v>5971.1392363436607</c:v>
                </c:pt>
                <c:pt idx="38">
                  <c:v>6165.1403257949614</c:v>
                </c:pt>
                <c:pt idx="39">
                  <c:v>6352.6250818344824</c:v>
                </c:pt>
                <c:pt idx="40">
                  <c:v>6533.1532699505688</c:v>
                </c:pt>
                <c:pt idx="41">
                  <c:v>6706.3575518638008</c:v>
                </c:pt>
                <c:pt idx="42">
                  <c:v>6871.9449042753276</c:v>
                </c:pt>
                <c:pt idx="43">
                  <c:v>7029.6971106308347</c:v>
                </c:pt>
                <c:pt idx="44">
                  <c:v>7179.4703864652693</c:v>
                </c:pt>
                <c:pt idx="45">
                  <c:v>7321.1942114514623</c:v>
                </c:pt>
                <c:pt idx="46">
                  <c:v>7454.8694512384918</c:v>
                </c:pt>
                <c:pt idx="47">
                  <c:v>7580.565859548029</c:v>
                </c:pt>
                <c:pt idx="48">
                  <c:v>7698.4190558796399</c:v>
                </c:pt>
                <c:pt idx="49">
                  <c:v>7808.627076715059</c:v>
                </c:pt>
                <c:pt idx="50">
                  <c:v>7911.4465985029328</c:v>
                </c:pt>
                <c:pt idx="51">
                  <c:v>8007.1889291960388</c:v>
                </c:pt>
                <c:pt idx="52">
                  <c:v>8096.2158619680977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0154-4A07-92CC-FB0C2DCF4F71}"/>
            </c:ext>
          </c:extLst>
        </c:ser>
        <c:ser>
          <c:idx val="37"/>
          <c:order val="37"/>
          <c:tx>
            <c:strRef>
              <c:f>'增加值 (2001-2060, 2020RMB)'!$A$51</c:f>
              <c:strCache>
                <c:ptCount val="1"/>
                <c:pt idx="0">
                  <c:v>金属制品、机械和设备修理业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2020RMB)'!$I$51:$BI$51</c:f>
              <c:numCache>
                <c:formatCode>0_);[Red]\(0\)</c:formatCode>
                <c:ptCount val="53"/>
                <c:pt idx="0">
                  <c:v>163.00121187963498</c:v>
                </c:pt>
                <c:pt idx="1">
                  <c:v>169.9672234422103</c:v>
                </c:pt>
                <c:pt idx="2">
                  <c:v>196.4186255294118</c:v>
                </c:pt>
                <c:pt idx="3">
                  <c:v>222.32964722611601</c:v>
                </c:pt>
                <c:pt idx="4">
                  <c:v>236.20857147082742</c:v>
                </c:pt>
                <c:pt idx="5">
                  <c:v>259.16922848586364</c:v>
                </c:pt>
                <c:pt idx="6">
                  <c:v>278.53808139535778</c:v>
                </c:pt>
                <c:pt idx="7">
                  <c:v>287.50526069023118</c:v>
                </c:pt>
                <c:pt idx="8">
                  <c:v>298.80928044207468</c:v>
                </c:pt>
                <c:pt idx="9">
                  <c:v>332.09867260573429</c:v>
                </c:pt>
                <c:pt idx="10">
                  <c:v>369.0279075690683</c:v>
                </c:pt>
                <c:pt idx="11">
                  <c:v>405.26130946507971</c:v>
                </c:pt>
                <c:pt idx="12">
                  <c:v>379.09823240746709</c:v>
                </c:pt>
                <c:pt idx="13">
                  <c:v>416.42224208501489</c:v>
                </c:pt>
                <c:pt idx="14">
                  <c:v>474.62286420659473</c:v>
                </c:pt>
                <c:pt idx="15">
                  <c:v>500.17571763878033</c:v>
                </c:pt>
                <c:pt idx="16">
                  <c:v>523.74412336160742</c:v>
                </c:pt>
                <c:pt idx="17">
                  <c:v>545.28989121011773</c:v>
                </c:pt>
                <c:pt idx="18">
                  <c:v>564.85446788227046</c:v>
                </c:pt>
                <c:pt idx="19">
                  <c:v>582.55326604811387</c:v>
                </c:pt>
                <c:pt idx="20">
                  <c:v>598.56839182871158</c:v>
                </c:pt>
                <c:pt idx="21">
                  <c:v>613.14063081403606</c:v>
                </c:pt>
                <c:pt idx="22">
                  <c:v>626.56149942110687</c:v>
                </c:pt>
                <c:pt idx="23">
                  <c:v>639.0949291026435</c:v>
                </c:pt>
                <c:pt idx="24">
                  <c:v>650.74744389608952</c:v>
                </c:pt>
                <c:pt idx="25">
                  <c:v>661.46067539287424</c:v>
                </c:pt>
                <c:pt idx="26">
                  <c:v>671.18010703370987</c:v>
                </c:pt>
                <c:pt idx="27">
                  <c:v>679.85553277435372</c:v>
                </c:pt>
                <c:pt idx="28">
                  <c:v>687.44946183230138</c:v>
                </c:pt>
                <c:pt idx="29">
                  <c:v>693.96204179113886</c:v>
                </c:pt>
                <c:pt idx="30">
                  <c:v>699.40819109883944</c:v>
                </c:pt>
                <c:pt idx="31">
                  <c:v>703.8093451079344</c:v>
                </c:pt>
                <c:pt idx="32">
                  <c:v>707.19294438452459</c:v>
                </c:pt>
                <c:pt idx="33">
                  <c:v>709.5918893375291</c:v>
                </c:pt>
                <c:pt idx="34">
                  <c:v>711.04397170179982</c:v>
                </c:pt>
                <c:pt idx="35">
                  <c:v>711.59129292141938</c:v>
                </c:pt>
                <c:pt idx="36">
                  <c:v>711.27967883926294</c:v>
                </c:pt>
                <c:pt idx="37">
                  <c:v>710.15809933691389</c:v>
                </c:pt>
                <c:pt idx="38">
                  <c:v>708.27810071585714</c:v>
                </c:pt>
                <c:pt idx="39">
                  <c:v>705.69325769613124</c:v>
                </c:pt>
                <c:pt idx="40">
                  <c:v>702.45865095983083</c:v>
                </c:pt>
                <c:pt idx="41">
                  <c:v>698.63037520938803</c:v>
                </c:pt>
                <c:pt idx="42">
                  <c:v>694.2650817666846</c:v>
                </c:pt>
                <c:pt idx="43">
                  <c:v>689.419558828238</c:v>
                </c:pt>
                <c:pt idx="44">
                  <c:v>684.15035163007565</c:v>
                </c:pt>
                <c:pt idx="45">
                  <c:v>678.51342397644578</c:v>
                </c:pt>
                <c:pt idx="46">
                  <c:v>672.56386185918291</c:v>
                </c:pt>
                <c:pt idx="47">
                  <c:v>666.35561924624028</c:v>
                </c:pt>
                <c:pt idx="48">
                  <c:v>659.9413055530332</c:v>
                </c:pt>
                <c:pt idx="49">
                  <c:v>653.37201383067645</c:v>
                </c:pt>
                <c:pt idx="50">
                  <c:v>646.697188310809</c:v>
                </c:pt>
                <c:pt idx="51">
                  <c:v>639.96452963565071</c:v>
                </c:pt>
                <c:pt idx="52">
                  <c:v>633.2199358708358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0154-4A07-92CC-FB0C2DCF4F71}"/>
            </c:ext>
          </c:extLst>
        </c:ser>
        <c:ser>
          <c:idx val="38"/>
          <c:order val="38"/>
          <c:tx>
            <c:strRef>
              <c:f>'增加值 (2001-2060, 2020RMB)'!$A$52</c:f>
              <c:strCache>
                <c:ptCount val="1"/>
                <c:pt idx="0">
                  <c:v>电力、热力生产和供应业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2020RMB)'!$I$52:$BI$52</c:f>
              <c:numCache>
                <c:formatCode>0_);[Red]\(0\)</c:formatCode>
                <c:ptCount val="53"/>
                <c:pt idx="0">
                  <c:v>10649.638711539816</c:v>
                </c:pt>
                <c:pt idx="1">
                  <c:v>10700.951638142691</c:v>
                </c:pt>
                <c:pt idx="2">
                  <c:v>11534.955049889852</c:v>
                </c:pt>
                <c:pt idx="3">
                  <c:v>12203.169573535575</c:v>
                </c:pt>
                <c:pt idx="4">
                  <c:v>12198.207729660531</c:v>
                </c:pt>
                <c:pt idx="5">
                  <c:v>12306.267191958539</c:v>
                </c:pt>
                <c:pt idx="6">
                  <c:v>12057.930249434579</c:v>
                </c:pt>
                <c:pt idx="7">
                  <c:v>11496.645752598572</c:v>
                </c:pt>
                <c:pt idx="8">
                  <c:v>11757.936502161634</c:v>
                </c:pt>
                <c:pt idx="9">
                  <c:v>12829.820765210363</c:v>
                </c:pt>
                <c:pt idx="10">
                  <c:v>14000.998845353402</c:v>
                </c:pt>
                <c:pt idx="11">
                  <c:v>14376.753818674912</c:v>
                </c:pt>
                <c:pt idx="12">
                  <c:v>14171.804811655176</c:v>
                </c:pt>
                <c:pt idx="13">
                  <c:v>16363.884569742619</c:v>
                </c:pt>
                <c:pt idx="14">
                  <c:v>17470.728074872739</c:v>
                </c:pt>
                <c:pt idx="15">
                  <c:v>18456.129930863131</c:v>
                </c:pt>
                <c:pt idx="16">
                  <c:v>19523.374045715162</c:v>
                </c:pt>
                <c:pt idx="17">
                  <c:v>20664.45634347801</c:v>
                </c:pt>
                <c:pt idx="18">
                  <c:v>21868.461881668609</c:v>
                </c:pt>
                <c:pt idx="19">
                  <c:v>23121.068948838809</c:v>
                </c:pt>
                <c:pt idx="20">
                  <c:v>24404.126543201452</c:v>
                </c:pt>
                <c:pt idx="21">
                  <c:v>25695.352996942642</c:v>
                </c:pt>
                <c:pt idx="22">
                  <c:v>26968.211203618961</c:v>
                </c:pt>
                <c:pt idx="23">
                  <c:v>28195.972068100651</c:v>
                </c:pt>
                <c:pt idx="24">
                  <c:v>29365.27173680226</c:v>
                </c:pt>
                <c:pt idx="25">
                  <c:v>30466.91738463553</c:v>
                </c:pt>
                <c:pt idx="26">
                  <c:v>31492.421936528081</c:v>
                </c:pt>
                <c:pt idx="27">
                  <c:v>32434.124608891998</c:v>
                </c:pt>
                <c:pt idx="28">
                  <c:v>33286.237749544911</c:v>
                </c:pt>
                <c:pt idx="29">
                  <c:v>34047.934553269697</c:v>
                </c:pt>
                <c:pt idx="30">
                  <c:v>34720.806428201176</c:v>
                </c:pt>
                <c:pt idx="31">
                  <c:v>35307.847967730188</c:v>
                </c:pt>
                <c:pt idx="32">
                  <c:v>35813.316858946368</c:v>
                </c:pt>
                <c:pt idx="33">
                  <c:v>36242.58249834468</c:v>
                </c:pt>
                <c:pt idx="34">
                  <c:v>36601.970076192869</c:v>
                </c:pt>
                <c:pt idx="35">
                  <c:v>36898.606268784861</c:v>
                </c:pt>
                <c:pt idx="36">
                  <c:v>37140.271915643338</c:v>
                </c:pt>
                <c:pt idx="37">
                  <c:v>37335.266222747079</c:v>
                </c:pt>
                <c:pt idx="38">
                  <c:v>37492.286182696298</c:v>
                </c:pt>
                <c:pt idx="39">
                  <c:v>37620.324089446724</c:v>
                </c:pt>
                <c:pt idx="40">
                  <c:v>37728.585290384202</c:v>
                </c:pt>
                <c:pt idx="41">
                  <c:v>37826.427694058308</c:v>
                </c:pt>
                <c:pt idx="42">
                  <c:v>37923.324061087442</c:v>
                </c:pt>
                <c:pt idx="43">
                  <c:v>38028.847764399659</c:v>
                </c:pt>
                <c:pt idx="44">
                  <c:v>38152.682523294337</c:v>
                </c:pt>
                <c:pt idx="45">
                  <c:v>38304.656600419803</c:v>
                </c:pt>
                <c:pt idx="46">
                  <c:v>38494.802106936069</c:v>
                </c:pt>
                <c:pt idx="47">
                  <c:v>38733.440395135403</c:v>
                </c:pt>
                <c:pt idx="48">
                  <c:v>39031.295039331737</c:v>
                </c:pt>
                <c:pt idx="49">
                  <c:v>39399.634630648558</c:v>
                </c:pt>
                <c:pt idx="50">
                  <c:v>39850.448564128143</c:v>
                </c:pt>
                <c:pt idx="51">
                  <c:v>40396.660214313029</c:v>
                </c:pt>
                <c:pt idx="52">
                  <c:v>41052.38343139783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0154-4A07-92CC-FB0C2DCF4F71}"/>
            </c:ext>
          </c:extLst>
        </c:ser>
        <c:ser>
          <c:idx val="39"/>
          <c:order val="39"/>
          <c:tx>
            <c:strRef>
              <c:f>'增加值 (2001-2060, 2020RMB)'!$A$53</c:f>
              <c:strCache>
                <c:ptCount val="1"/>
                <c:pt idx="0">
                  <c:v>燃气生产和供应业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2020RMB)'!$I$53:$BI$53</c:f>
              <c:numCache>
                <c:formatCode>0_);[Red]\(0\)</c:formatCode>
                <c:ptCount val="53"/>
                <c:pt idx="0">
                  <c:v>635.44685597040052</c:v>
                </c:pt>
                <c:pt idx="1">
                  <c:v>690.31214519662922</c:v>
                </c:pt>
                <c:pt idx="2">
                  <c:v>790.36890513133335</c:v>
                </c:pt>
                <c:pt idx="3">
                  <c:v>858.93810846948372</c:v>
                </c:pt>
                <c:pt idx="4">
                  <c:v>913.37500817935734</c:v>
                </c:pt>
                <c:pt idx="5">
                  <c:v>1018.6453797166182</c:v>
                </c:pt>
                <c:pt idx="6">
                  <c:v>1137.7437969036205</c:v>
                </c:pt>
                <c:pt idx="7">
                  <c:v>1199.1978904190339</c:v>
                </c:pt>
                <c:pt idx="8">
                  <c:v>1337.6292732244519</c:v>
                </c:pt>
                <c:pt idx="9">
                  <c:v>1523.2072734394874</c:v>
                </c:pt>
                <c:pt idx="10">
                  <c:v>1785.1032639547602</c:v>
                </c:pt>
                <c:pt idx="11">
                  <c:v>1919.0682487030381</c:v>
                </c:pt>
                <c:pt idx="12">
                  <c:v>1856.4384809055559</c:v>
                </c:pt>
                <c:pt idx="13">
                  <c:v>2282.7594992660579</c:v>
                </c:pt>
                <c:pt idx="14">
                  <c:v>2464.9908072284757</c:v>
                </c:pt>
                <c:pt idx="15">
                  <c:v>2697.1003978645931</c:v>
                </c:pt>
                <c:pt idx="16">
                  <c:v>2958.1893522335981</c:v>
                </c:pt>
                <c:pt idx="17">
                  <c:v>3248.618609852289</c:v>
                </c:pt>
                <c:pt idx="18">
                  <c:v>3567.8964595702778</c:v>
                </c:pt>
                <c:pt idx="19">
                  <c:v>3914.3834673584738</c:v>
                </c:pt>
                <c:pt idx="20">
                  <c:v>4284.981585727257</c:v>
                </c:pt>
                <c:pt idx="21">
                  <c:v>4674.8305290537628</c:v>
                </c:pt>
                <c:pt idx="22">
                  <c:v>5077.0443587889886</c:v>
                </c:pt>
                <c:pt idx="23">
                  <c:v>5483.7190087770914</c:v>
                </c:pt>
                <c:pt idx="24">
                  <c:v>5890.1455748230064</c:v>
                </c:pt>
                <c:pt idx="25">
                  <c:v>6292.5262432065547</c:v>
                </c:pt>
                <c:pt idx="26">
                  <c:v>6687.0379051373011</c:v>
                </c:pt>
                <c:pt idx="27">
                  <c:v>7069.909395588239</c:v>
                </c:pt>
                <c:pt idx="28">
                  <c:v>7437.7664874515503</c:v>
                </c:pt>
                <c:pt idx="29">
                  <c:v>7788.6133804061601</c:v>
                </c:pt>
                <c:pt idx="30">
                  <c:v>8121.2466469102883</c:v>
                </c:pt>
                <c:pt idx="31">
                  <c:v>8435.0222532629323</c:v>
                </c:pt>
                <c:pt idx="32">
                  <c:v>8729.8498525578179</c:v>
                </c:pt>
                <c:pt idx="33">
                  <c:v>9006.1744740438025</c:v>
                </c:pt>
                <c:pt idx="34">
                  <c:v>9264.948502954654</c:v>
                </c:pt>
                <c:pt idx="35">
                  <c:v>9507.5970243092506</c:v>
                </c:pt>
                <c:pt idx="36">
                  <c:v>9735.9796227713377</c:v>
                </c:pt>
                <c:pt idx="37">
                  <c:v>9952.3516224316591</c:v>
                </c:pt>
                <c:pt idx="38">
                  <c:v>10159.327553707861</c:v>
                </c:pt>
                <c:pt idx="39">
                  <c:v>10359.849388941881</c:v>
                </c:pt>
                <c:pt idx="40">
                  <c:v>10557.16183190755</c:v>
                </c:pt>
                <c:pt idx="41">
                  <c:v>10754.79671466839</c:v>
                </c:pt>
                <c:pt idx="42">
                  <c:v>10956.568379938613</c:v>
                </c:pt>
                <c:pt idx="43">
                  <c:v>11166.581836933099</c:v>
                </c:pt>
                <c:pt idx="44">
                  <c:v>11389.255500041099</c:v>
                </c:pt>
                <c:pt idx="45">
                  <c:v>11629.36047838915</c:v>
                </c:pt>
                <c:pt idx="46">
                  <c:v>11892.078708178629</c:v>
                </c:pt>
                <c:pt idx="47">
                  <c:v>12183.082741229569</c:v>
                </c:pt>
                <c:pt idx="48">
                  <c:v>12508.64076387796</c:v>
                </c:pt>
                <c:pt idx="49">
                  <c:v>12875.75147544808</c:v>
                </c:pt>
                <c:pt idx="50">
                  <c:v>13292.314880254309</c:v>
                </c:pt>
                <c:pt idx="51">
                  <c:v>13767.346945322161</c:v>
                </c:pt>
                <c:pt idx="52">
                  <c:v>14311.248591542073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0154-4A07-92CC-FB0C2DCF4F71}"/>
            </c:ext>
          </c:extLst>
        </c:ser>
        <c:ser>
          <c:idx val="40"/>
          <c:order val="40"/>
          <c:tx>
            <c:strRef>
              <c:f>'增加值 (2001-2060, 2020RMB)'!$A$54</c:f>
              <c:strCache>
                <c:ptCount val="1"/>
                <c:pt idx="0">
                  <c:v>水的生产和供应业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numRef>
              <c:f>'增加值 (2001-2060, 2020RMB)'!$I$1:$BI$1</c:f>
              <c:numCache>
                <c:formatCode>General</c:formatCode>
                <c:ptCount val="53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  <c:pt idx="14">
                  <c:v>2022</c:v>
                </c:pt>
                <c:pt idx="15">
                  <c:v>2023</c:v>
                </c:pt>
                <c:pt idx="16">
                  <c:v>2024</c:v>
                </c:pt>
                <c:pt idx="17">
                  <c:v>2025</c:v>
                </c:pt>
                <c:pt idx="18">
                  <c:v>2026</c:v>
                </c:pt>
                <c:pt idx="19">
                  <c:v>2027</c:v>
                </c:pt>
                <c:pt idx="20">
                  <c:v>2028</c:v>
                </c:pt>
                <c:pt idx="21">
                  <c:v>2029</c:v>
                </c:pt>
                <c:pt idx="22">
                  <c:v>2030</c:v>
                </c:pt>
                <c:pt idx="23">
                  <c:v>2031</c:v>
                </c:pt>
                <c:pt idx="24">
                  <c:v>2032</c:v>
                </c:pt>
                <c:pt idx="25">
                  <c:v>2033</c:v>
                </c:pt>
                <c:pt idx="26">
                  <c:v>2034</c:v>
                </c:pt>
                <c:pt idx="27">
                  <c:v>2035</c:v>
                </c:pt>
                <c:pt idx="28">
                  <c:v>2036</c:v>
                </c:pt>
                <c:pt idx="29">
                  <c:v>2037</c:v>
                </c:pt>
                <c:pt idx="30">
                  <c:v>2038</c:v>
                </c:pt>
                <c:pt idx="31">
                  <c:v>2039</c:v>
                </c:pt>
                <c:pt idx="32">
                  <c:v>2040</c:v>
                </c:pt>
                <c:pt idx="33">
                  <c:v>2041</c:v>
                </c:pt>
                <c:pt idx="34">
                  <c:v>2042</c:v>
                </c:pt>
                <c:pt idx="35">
                  <c:v>2043</c:v>
                </c:pt>
                <c:pt idx="36">
                  <c:v>2044</c:v>
                </c:pt>
                <c:pt idx="37">
                  <c:v>2045</c:v>
                </c:pt>
                <c:pt idx="38">
                  <c:v>2046</c:v>
                </c:pt>
                <c:pt idx="39">
                  <c:v>2047</c:v>
                </c:pt>
                <c:pt idx="40">
                  <c:v>2048</c:v>
                </c:pt>
                <c:pt idx="41">
                  <c:v>2049</c:v>
                </c:pt>
                <c:pt idx="42">
                  <c:v>2050</c:v>
                </c:pt>
                <c:pt idx="43">
                  <c:v>2051</c:v>
                </c:pt>
                <c:pt idx="44">
                  <c:v>2052</c:v>
                </c:pt>
                <c:pt idx="45">
                  <c:v>2053</c:v>
                </c:pt>
                <c:pt idx="46">
                  <c:v>2054</c:v>
                </c:pt>
                <c:pt idx="47">
                  <c:v>2055</c:v>
                </c:pt>
                <c:pt idx="48">
                  <c:v>2056</c:v>
                </c:pt>
                <c:pt idx="49">
                  <c:v>2057</c:v>
                </c:pt>
                <c:pt idx="50">
                  <c:v>2058</c:v>
                </c:pt>
                <c:pt idx="51">
                  <c:v>2059</c:v>
                </c:pt>
                <c:pt idx="52">
                  <c:v>2060</c:v>
                </c:pt>
              </c:numCache>
            </c:numRef>
          </c:cat>
          <c:val>
            <c:numRef>
              <c:f>'增加值 (2001-2060, 2020RMB)'!$I$54:$BI$54</c:f>
              <c:numCache>
                <c:formatCode>0_);[Red]\(0\)</c:formatCode>
                <c:ptCount val="53"/>
                <c:pt idx="0">
                  <c:v>772.52531059024352</c:v>
                </c:pt>
                <c:pt idx="1">
                  <c:v>769.65677167553315</c:v>
                </c:pt>
                <c:pt idx="2">
                  <c:v>789.2808019013371</c:v>
                </c:pt>
                <c:pt idx="3">
                  <c:v>813.7681388479034</c:v>
                </c:pt>
                <c:pt idx="4">
                  <c:v>809.56374762604992</c:v>
                </c:pt>
                <c:pt idx="5">
                  <c:v>820.58064700482055</c:v>
                </c:pt>
                <c:pt idx="6">
                  <c:v>844.93068560736822</c:v>
                </c:pt>
                <c:pt idx="7">
                  <c:v>846.48120875534187</c:v>
                </c:pt>
                <c:pt idx="8">
                  <c:v>883.89316881893217</c:v>
                </c:pt>
                <c:pt idx="9">
                  <c:v>972.5233546006923</c:v>
                </c:pt>
                <c:pt idx="10">
                  <c:v>1034.1872244828596</c:v>
                </c:pt>
                <c:pt idx="11">
                  <c:v>1075.902264997181</c:v>
                </c:pt>
                <c:pt idx="12">
                  <c:v>1091.7883404123318</c:v>
                </c:pt>
                <c:pt idx="13">
                  <c:v>1244.7503877019715</c:v>
                </c:pt>
                <c:pt idx="14">
                  <c:v>1298.5975960878834</c:v>
                </c:pt>
                <c:pt idx="15">
                  <c:v>1369.3309303282369</c:v>
                </c:pt>
                <c:pt idx="16">
                  <c:v>1445.7801951071269</c:v>
                </c:pt>
                <c:pt idx="17">
                  <c:v>1527.339699896884</c:v>
                </c:pt>
                <c:pt idx="18">
                  <c:v>1613.199250896663</c:v>
                </c:pt>
                <c:pt idx="19">
                  <c:v>1702.310865304238</c:v>
                </c:pt>
                <c:pt idx="20">
                  <c:v>1793.3609338783899</c:v>
                </c:pt>
                <c:pt idx="21">
                  <c:v>1884.7510736027029</c:v>
                </c:pt>
                <c:pt idx="22">
                  <c:v>1974.5913968579525</c:v>
                </c:pt>
                <c:pt idx="23">
                  <c:v>2060.9905848067119</c:v>
                </c:pt>
                <c:pt idx="24">
                  <c:v>2143.0152125302511</c:v>
                </c:pt>
                <c:pt idx="25">
                  <c:v>2220.0309287172681</c:v>
                </c:pt>
                <c:pt idx="26">
                  <c:v>2291.45517825971</c:v>
                </c:pt>
                <c:pt idx="27">
                  <c:v>2356.7652459111428</c:v>
                </c:pt>
                <c:pt idx="28">
                  <c:v>2415.572657595907</c:v>
                </c:pt>
                <c:pt idx="29">
                  <c:v>2467.8431041199851</c:v>
                </c:pt>
                <c:pt idx="30">
                  <c:v>2513.7127281630128</c:v>
                </c:pt>
                <c:pt idx="31">
                  <c:v>2553.4149629849771</c:v>
                </c:pt>
                <c:pt idx="32">
                  <c:v>2587.270327373184</c:v>
                </c:pt>
                <c:pt idx="33">
                  <c:v>2615.6755219799229</c:v>
                </c:pt>
                <c:pt idx="34">
                  <c:v>2639.092291281645</c:v>
                </c:pt>
                <c:pt idx="35">
                  <c:v>2658.036469518212</c:v>
                </c:pt>
                <c:pt idx="36">
                  <c:v>2673.0675742561771</c:v>
                </c:pt>
                <c:pt idx="37">
                  <c:v>2684.7792521326178</c:v>
                </c:pt>
                <c:pt idx="38">
                  <c:v>2693.790821865814</c:v>
                </c:pt>
                <c:pt idx="39">
                  <c:v>2700.740103149511</c:v>
                </c:pt>
                <c:pt idx="40">
                  <c:v>2706.2776693011101</c:v>
                </c:pt>
                <c:pt idx="41">
                  <c:v>2711.0626185809829</c:v>
                </c:pt>
                <c:pt idx="42">
                  <c:v>2715.7599254136212</c:v>
                </c:pt>
                <c:pt idx="43">
                  <c:v>2721.0394092956381</c:v>
                </c:pt>
                <c:pt idx="44">
                  <c:v>2727.576346565429</c:v>
                </c:pt>
                <c:pt idx="45">
                  <c:v>2736.0537487873262</c:v>
                </c:pt>
                <c:pt idx="46">
                  <c:v>2747.166341528462</c:v>
                </c:pt>
                <c:pt idx="47">
                  <c:v>2761.6262990969581</c:v>
                </c:pt>
                <c:pt idx="48">
                  <c:v>2780.1708249007188</c:v>
                </c:pt>
                <c:pt idx="49">
                  <c:v>2803.571714397302</c:v>
                </c:pt>
                <c:pt idx="50">
                  <c:v>2832.6470996255389</c:v>
                </c:pt>
                <c:pt idx="51">
                  <c:v>2868.2756533039378</c:v>
                </c:pt>
                <c:pt idx="52">
                  <c:v>2911.4136297442415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0154-4A07-92CC-FB0C2DCF4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7096016"/>
        <c:axId val="1997124336"/>
      </c:areaChart>
      <c:catAx>
        <c:axId val="19970960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97124336"/>
        <c:crosses val="autoZero"/>
        <c:auto val="1"/>
        <c:lblAlgn val="ctr"/>
        <c:lblOffset val="100"/>
        <c:noMultiLvlLbl val="0"/>
      </c:catAx>
      <c:valAx>
        <c:axId val="199712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_);[Red]\(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997096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3.8029914605439259E-2"/>
          <c:y val="0.68720380311275431"/>
          <c:w val="0.89505111197705822"/>
          <c:h val="0.294075448057292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10582</xdr:colOff>
      <xdr:row>0</xdr:row>
      <xdr:rowOff>4234</xdr:rowOff>
    </xdr:from>
    <xdr:to>
      <xdr:col>8</xdr:col>
      <xdr:colOff>486832</xdr:colOff>
      <xdr:row>19</xdr:row>
      <xdr:rowOff>137583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4768F95C-63B9-4598-FDF7-CF0C08E771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17144</xdr:colOff>
      <xdr:row>20</xdr:row>
      <xdr:rowOff>4233</xdr:rowOff>
    </xdr:from>
    <xdr:to>
      <xdr:col>8</xdr:col>
      <xdr:colOff>472228</xdr:colOff>
      <xdr:row>43</xdr:row>
      <xdr:rowOff>65404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FB5021A-3F68-A123-B8BC-8A74906C4D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2F23D-41FA-41B6-BCB9-F55190A29591}">
  <dimension ref="A1:BM103"/>
  <sheetViews>
    <sheetView topLeftCell="A16" zoomScale="90" zoomScaleNormal="90" workbookViewId="0">
      <selection activeCell="B39" sqref="B39"/>
    </sheetView>
  </sheetViews>
  <sheetFormatPr defaultRowHeight="14.25" x14ac:dyDescent="0.2"/>
  <cols>
    <col min="1" max="1" width="34.25" customWidth="1"/>
    <col min="2" max="24" width="9.875" customWidth="1"/>
    <col min="25" max="25" width="9.75" customWidth="1"/>
    <col min="26" max="61" width="9.875" customWidth="1"/>
    <col min="64" max="64" width="14.375" customWidth="1"/>
    <col min="65" max="65" width="12.5" customWidth="1"/>
    <col min="66" max="66" width="11.75" customWidth="1"/>
  </cols>
  <sheetData>
    <row r="1" spans="1:65" s="5" customFormat="1" x14ac:dyDescent="0.2">
      <c r="A1" s="96" t="s">
        <v>48</v>
      </c>
      <c r="B1" s="1">
        <v>2001</v>
      </c>
      <c r="C1" s="2">
        <v>2002</v>
      </c>
      <c r="D1" s="2">
        <v>2003</v>
      </c>
      <c r="E1" s="2">
        <v>2004</v>
      </c>
      <c r="F1" s="3">
        <v>2005</v>
      </c>
      <c r="G1" s="1">
        <v>2006</v>
      </c>
      <c r="H1" s="2">
        <v>2007</v>
      </c>
      <c r="I1" s="2">
        <v>2008</v>
      </c>
      <c r="J1" s="2">
        <v>2009</v>
      </c>
      <c r="K1" s="3">
        <v>2010</v>
      </c>
      <c r="L1" s="1">
        <v>2011</v>
      </c>
      <c r="M1" s="2">
        <v>2012</v>
      </c>
      <c r="N1" s="2">
        <v>2013</v>
      </c>
      <c r="O1" s="2">
        <v>2014</v>
      </c>
      <c r="P1" s="3">
        <v>2015</v>
      </c>
      <c r="Q1" s="1">
        <v>2016</v>
      </c>
      <c r="R1" s="2">
        <v>2017</v>
      </c>
      <c r="S1" s="2">
        <v>2018</v>
      </c>
      <c r="T1" s="2">
        <v>2019</v>
      </c>
      <c r="U1" s="3">
        <v>2020</v>
      </c>
      <c r="V1" s="1">
        <v>2021</v>
      </c>
      <c r="W1" s="2">
        <v>2022</v>
      </c>
      <c r="X1" s="42">
        <v>2023</v>
      </c>
      <c r="Y1" s="42">
        <v>2024</v>
      </c>
      <c r="Z1" s="43">
        <v>2025</v>
      </c>
      <c r="AA1" s="42">
        <v>2026</v>
      </c>
      <c r="AB1" s="42">
        <v>2027</v>
      </c>
      <c r="AC1" s="42">
        <v>2028</v>
      </c>
      <c r="AD1" s="42">
        <v>2029</v>
      </c>
      <c r="AE1" s="43">
        <v>2030</v>
      </c>
      <c r="AF1" s="41">
        <v>2031</v>
      </c>
      <c r="AG1" s="42">
        <v>2032</v>
      </c>
      <c r="AH1" s="42">
        <v>2033</v>
      </c>
      <c r="AI1" s="42">
        <v>2034</v>
      </c>
      <c r="AJ1" s="43">
        <v>2035</v>
      </c>
      <c r="AK1" s="41">
        <v>2036</v>
      </c>
      <c r="AL1" s="42">
        <v>2037</v>
      </c>
      <c r="AM1" s="42">
        <v>2038</v>
      </c>
      <c r="AN1" s="42">
        <v>2039</v>
      </c>
      <c r="AO1" s="43">
        <v>2040</v>
      </c>
      <c r="AP1" s="41">
        <v>2041</v>
      </c>
      <c r="AQ1" s="42">
        <v>2042</v>
      </c>
      <c r="AR1" s="42">
        <v>2043</v>
      </c>
      <c r="AS1" s="42">
        <v>2044</v>
      </c>
      <c r="AT1" s="43">
        <v>2045</v>
      </c>
      <c r="AU1" s="41">
        <v>2046</v>
      </c>
      <c r="AV1" s="42">
        <v>2047</v>
      </c>
      <c r="AW1" s="42">
        <v>2048</v>
      </c>
      <c r="AX1" s="42">
        <v>2049</v>
      </c>
      <c r="AY1" s="43">
        <v>2050</v>
      </c>
      <c r="AZ1" s="41">
        <v>2051</v>
      </c>
      <c r="BA1" s="42">
        <v>2052</v>
      </c>
      <c r="BB1" s="42">
        <v>2053</v>
      </c>
      <c r="BC1" s="42">
        <v>2054</v>
      </c>
      <c r="BD1" s="43">
        <v>2055</v>
      </c>
      <c r="BE1" s="41">
        <v>2056</v>
      </c>
      <c r="BF1" s="42">
        <v>2057</v>
      </c>
      <c r="BG1" s="42">
        <v>2058</v>
      </c>
      <c r="BH1" s="42">
        <v>2059</v>
      </c>
      <c r="BI1" s="43">
        <v>2060</v>
      </c>
      <c r="BL1" s="57"/>
    </row>
    <row r="2" spans="1:65" s="9" customFormat="1" x14ac:dyDescent="0.2">
      <c r="A2" s="4" t="s">
        <v>0</v>
      </c>
      <c r="B2" s="6">
        <f>'增加值 (2001-2060, 2020RMB)'!B2*$B$73</f>
        <v>28718.703655940928</v>
      </c>
      <c r="C2" s="7">
        <f>'增加值 (2001-2060, 2020RMB)'!C2*$B$73</f>
        <v>31332.105688631549</v>
      </c>
      <c r="D2" s="7">
        <f>'增加值 (2001-2060, 2020RMB)'!D2*$B$73</f>
        <v>34465.316257494705</v>
      </c>
      <c r="E2" s="7">
        <f>'增加值 (2001-2060, 2020RMB)'!E2*$B$73</f>
        <v>37946.313199501674</v>
      </c>
      <c r="F2" s="7">
        <f>'增加值 (2001-2060, 2020RMB)'!F2*$B$73</f>
        <v>42272.192904244868</v>
      </c>
      <c r="G2" s="6">
        <f>'增加值 (2001-2060, 2020RMB)'!G2*$B$73</f>
        <v>47640.761403083969</v>
      </c>
      <c r="H2" s="7">
        <f>'增加值 (2001-2060, 2020RMB)'!H2*$B$73</f>
        <v>54405.749522321901</v>
      </c>
      <c r="I2" s="7">
        <f>'增加值 (2001-2060, 2020RMB)'!I2*$B$73</f>
        <v>59683.107225987122</v>
      </c>
      <c r="J2" s="7">
        <f>'增加值 (2001-2060, 2020RMB)'!J2*$B$73</f>
        <v>65293.319305229925</v>
      </c>
      <c r="K2" s="8">
        <f>'增加值 (2001-2060, 2020RMB)'!K2*$B$73</f>
        <v>72214.411151584296</v>
      </c>
      <c r="L2" s="6">
        <f>'增加值 (2001-2060, 2020RMB)'!L2*$B$73</f>
        <v>79146.994622136364</v>
      </c>
      <c r="M2" s="7">
        <f>'增加值 (2001-2060, 2020RMB)'!M2*$B$73</f>
        <v>85399.607197285135</v>
      </c>
      <c r="N2" s="7">
        <f>'增加值 (2001-2060, 2020RMB)'!N2*$B$73</f>
        <v>92060.776558673388</v>
      </c>
      <c r="O2" s="7">
        <f>'增加值 (2001-2060, 2020RMB)'!O2*$B$73</f>
        <v>98873.27402401522</v>
      </c>
      <c r="P2" s="8">
        <f>'增加值 (2001-2060, 2020RMB)'!P2*$B$73</f>
        <v>105794.40320569629</v>
      </c>
      <c r="Q2" s="6">
        <f>'增加值 (2001-2060, 2020RMB)'!Q2*$B$73</f>
        <v>112988.42262368364</v>
      </c>
      <c r="R2" s="7">
        <f>'增加值 (2001-2060, 2020RMB)'!R2*$B$73</f>
        <v>120784.62378471781</v>
      </c>
      <c r="S2" s="7">
        <f>'增加值 (2001-2060, 2020RMB)'!S2*$B$73</f>
        <v>128877.1935782939</v>
      </c>
      <c r="T2" s="7">
        <f>'增加值 (2001-2060, 2020RMB)'!T2*$B$73</f>
        <v>136609.82519299156</v>
      </c>
      <c r="U2" s="8">
        <f>'增加值 (2001-2060, 2020RMB)'!U2*$B$73</f>
        <v>139615.24134723734</v>
      </c>
      <c r="V2" s="6">
        <f>'增加值 (2001-2060, 2020RMB)'!V2*$B$73</f>
        <v>151342.92162040531</v>
      </c>
      <c r="W2" s="7">
        <f>'增加值 (2001-2060, 2020RMB)'!W2*$B$73</f>
        <v>155883.20926901748</v>
      </c>
      <c r="X2" s="63">
        <f>'增加值 (2001-2060, 2020RMB)'!X2*$B$73</f>
        <v>163986.06148014319</v>
      </c>
      <c r="Y2" s="63">
        <f>'增加值 (2001-2060, 2020RMB)'!Y2*$B$73</f>
        <v>172719.24217322297</v>
      </c>
      <c r="Z2" s="64">
        <f>'增加值 (2001-2060, 2020RMB)'!Z2*$B$73</f>
        <v>182005.47477184757</v>
      </c>
      <c r="AA2" s="65">
        <f>'增加值 (2001-2060, 2020RMB)'!AA2*$B$73</f>
        <v>191746.0546824818</v>
      </c>
      <c r="AB2" s="63">
        <f>'增加值 (2001-2060, 2020RMB)'!AB2*$B$73</f>
        <v>201815.99063611656</v>
      </c>
      <c r="AC2" s="63">
        <f>'增加值 (2001-2060, 2020RMB)'!AC2*$B$73</f>
        <v>212060.21901791738</v>
      </c>
      <c r="AD2" s="63">
        <f>'增加值 (2001-2060, 2020RMB)'!AD2*$B$73</f>
        <v>222291.44184723441</v>
      </c>
      <c r="AE2" s="66">
        <f>'增加值 (2001-2060, 2020RMB)'!AE2*$B$73</f>
        <v>232290.23172536798</v>
      </c>
      <c r="AF2" s="65">
        <f>'增加值 (2001-2060, 2020RMB)'!AF2*$B$73</f>
        <v>241863.52998969247</v>
      </c>
      <c r="AG2" s="63">
        <f>'增加值 (2001-2060, 2020RMB)'!AG2*$B$73</f>
        <v>251032.72148465578</v>
      </c>
      <c r="AH2" s="63">
        <f>'增加值 (2001-2060, 2020RMB)'!AH2*$B$73</f>
        <v>259896.91671370278</v>
      </c>
      <c r="AI2" s="63">
        <f>'增加值 (2001-2060, 2020RMB)'!AI2*$B$73</f>
        <v>268578.89928978629</v>
      </c>
      <c r="AJ2" s="64">
        <f>'增加值 (2001-2060, 2020RMB)'!AJ2*$B$73</f>
        <v>277223.29700726009</v>
      </c>
      <c r="AK2" s="65">
        <f>'增加值 (2001-2060, 2020RMB)'!AK2*$B$73</f>
        <v>285962.63132864545</v>
      </c>
      <c r="AL2" s="63">
        <f>'增加值 (2001-2060, 2020RMB)'!AL2*$B$73</f>
        <v>294809.09854232281</v>
      </c>
      <c r="AM2" s="63">
        <f>'增加值 (2001-2060, 2020RMB)'!AM2*$B$73</f>
        <v>303741.97696747852</v>
      </c>
      <c r="AN2" s="63">
        <f>'增加值 (2001-2060, 2020RMB)'!AN2*$B$73</f>
        <v>312739.0564853457</v>
      </c>
      <c r="AO2" s="66">
        <f>'增加值 (2001-2060, 2020RMB)'!AO2*$B$73</f>
        <v>321776.34464776085</v>
      </c>
      <c r="AP2" s="65">
        <f>'增加值 (2001-2060, 2020RMB)'!AP2*$B$73</f>
        <v>330827.80046161724</v>
      </c>
      <c r="AQ2" s="63">
        <f>'增加值 (2001-2060, 2020RMB)'!AQ2*$B$73</f>
        <v>339865.10502934409</v>
      </c>
      <c r="AR2" s="63">
        <f>'增加值 (2001-2060, 2020RMB)'!AR2*$B$73</f>
        <v>348857.47856625909</v>
      </c>
      <c r="AS2" s="63">
        <f>'增加值 (2001-2060, 2020RMB)'!AS2*$B$73</f>
        <v>357771.55335997377</v>
      </c>
      <c r="AT2" s="66">
        <f>'增加值 (2001-2060, 2020RMB)'!AT2*$B$73</f>
        <v>366571.31198713707</v>
      </c>
      <c r="AU2" s="65">
        <f>'增加值 (2001-2060, 2020RMB)'!AU2*$B$73</f>
        <v>375218.09955577913</v>
      </c>
      <c r="AV2" s="63">
        <f>'增加值 (2001-2060, 2020RMB)'!AV2*$B$73</f>
        <v>383670.71789041453</v>
      </c>
      <c r="AW2" s="63">
        <f>'增加值 (2001-2060, 2020RMB)'!AW2*$B$73</f>
        <v>391885.60841234372</v>
      </c>
      <c r="AX2" s="63">
        <f>'增加值 (2001-2060, 2020RMB)'!AX2*$B$73</f>
        <v>399817.12897987902</v>
      </c>
      <c r="AY2" s="64">
        <f>'增加值 (2001-2060, 2020RMB)'!AY2*$B$73</f>
        <v>407417.92813654878</v>
      </c>
      <c r="AZ2" s="65">
        <f>'增加值 (2001-2060, 2020RMB)'!AZ2*$B$73</f>
        <v>414639.41807161452</v>
      </c>
      <c r="BA2" s="63">
        <f>'增加值 (2001-2060, 2020RMB)'!BA2*$B$73</f>
        <v>421432.34514088195</v>
      </c>
      <c r="BB2" s="63">
        <f>'增加值 (2001-2060, 2020RMB)'!BB2*$B$73</f>
        <v>427747.45405911584</v>
      </c>
      <c r="BC2" s="63">
        <f>'增加值 (2001-2060, 2020RMB)'!BC2*$B$73</f>
        <v>433536.23891356337</v>
      </c>
      <c r="BD2" s="66">
        <f>'增加值 (2001-2060, 2020RMB)'!BD2*$B$73</f>
        <v>438751.77104396559</v>
      </c>
      <c r="BE2" s="65">
        <f>'增加值 (2001-2060, 2020RMB)'!BE2*$B$73</f>
        <v>443349.59070183511</v>
      </c>
      <c r="BF2" s="63">
        <f>'增加值 (2001-2060, 2020RMB)'!BF2*$B$73</f>
        <v>447288.64638771123</v>
      </c>
      <c r="BG2" s="63">
        <f>'增加值 (2001-2060, 2020RMB)'!BG2*$B$73</f>
        <v>450532.26304929302</v>
      </c>
      <c r="BH2" s="63">
        <f>'增加值 (2001-2060, 2020RMB)'!BH2*$B$73</f>
        <v>453049.11811547843</v>
      </c>
      <c r="BI2" s="64">
        <f>'增加值 (2001-2060, 2020RMB)'!BI2*$B$73</f>
        <v>454814.20287538704</v>
      </c>
    </row>
    <row r="3" spans="1:65" x14ac:dyDescent="0.2">
      <c r="A3" s="10" t="s">
        <v>1</v>
      </c>
      <c r="B3" s="11">
        <f>'增加值 (2001-2060, 2020RMB)'!B3*$B$73</f>
        <v>4087.7545701928575</v>
      </c>
      <c r="C3" s="12">
        <f>'增加值 (2001-2060, 2020RMB)'!C3*$B$73</f>
        <v>4256.5672618335975</v>
      </c>
      <c r="D3" s="12">
        <f>'增加值 (2001-2060, 2020RMB)'!D3*$B$73</f>
        <v>4359.0391330719422</v>
      </c>
      <c r="E3" s="12">
        <f>'增加值 (2001-2060, 2020RMB)'!E3*$B$73</f>
        <v>5020.1194018579472</v>
      </c>
      <c r="F3" s="13">
        <f>'增加值 (2001-2060, 2020RMB)'!F3*$B$73</f>
        <v>5058.6562839101334</v>
      </c>
      <c r="G3" s="11">
        <f>'增加值 (2001-2060, 2020RMB)'!G3*$B$73</f>
        <v>5218.3750681356632</v>
      </c>
      <c r="H3" s="12">
        <f>'增加值 (2001-2060, 2020RMB)'!H3*$B$73</f>
        <v>5737.5832175480764</v>
      </c>
      <c r="I3" s="12">
        <f>'增加值 (2001-2060, 2020RMB)'!I3*$B$73</f>
        <v>6249.4177713922809</v>
      </c>
      <c r="J3" s="12">
        <f>'增加值 (2001-2060, 2020RMB)'!J3*$B$73</f>
        <v>6493.3484271343377</v>
      </c>
      <c r="K3" s="13">
        <f>'增加值 (2001-2060, 2020RMB)'!K3*$B$73</f>
        <v>6942.3168374172674</v>
      </c>
      <c r="L3" s="11">
        <f>'增加值 (2001-2060, 2020RMB)'!L3*$B$73</f>
        <v>7481.3781978999614</v>
      </c>
      <c r="M3" s="12">
        <f>'增加值 (2001-2060, 2020RMB)'!M3*$B$73</f>
        <v>8020.3769385556816</v>
      </c>
      <c r="N3" s="12">
        <f>'增加值 (2001-2060, 2020RMB)'!N3*$B$73</f>
        <v>8491.2939215411498</v>
      </c>
      <c r="O3" s="12">
        <f>'增加值 (2001-2060, 2020RMB)'!O3*$B$73</f>
        <v>8829.6929692877166</v>
      </c>
      <c r="P3" s="13">
        <f>'增加值 (2001-2060, 2020RMB)'!P3*$B$73</f>
        <v>9192.1241516893569</v>
      </c>
      <c r="Q3" s="11">
        <f>'增加值 (2001-2060, 2020RMB)'!Q3*$B$73</f>
        <v>9453.7597865683565</v>
      </c>
      <c r="R3" s="12">
        <f>'增加值 (2001-2060, 2020RMB)'!R3*$B$73</f>
        <v>9386.5346121722068</v>
      </c>
      <c r="S3" s="12">
        <f>'增加值 (2001-2060, 2020RMB)'!S3*$B$73</f>
        <v>9471.2875722103745</v>
      </c>
      <c r="T3" s="12">
        <f>'增加值 (2001-2060, 2020RMB)'!T3*$B$73</f>
        <v>10188.720302781163</v>
      </c>
      <c r="U3" s="13">
        <f>'增加值 (2001-2060, 2020RMB)'!U3*$B$73</f>
        <v>11212.0777337072</v>
      </c>
      <c r="V3" s="11">
        <f>'增加值 (2001-2060, 2020RMB)'!V3*$B$73</f>
        <v>11427.392281670944</v>
      </c>
      <c r="W3" s="12">
        <f>'增加值 (2001-2060, 2020RMB)'!W3*$B$73</f>
        <v>11925.265056948831</v>
      </c>
      <c r="X3" s="67">
        <f>'增加值 (2001-2060, 2020RMB)'!X3*$B$73</f>
        <v>12341.234571135379</v>
      </c>
      <c r="Y3" s="67">
        <f>'增加值 (2001-2060, 2020RMB)'!Y3*$B$73</f>
        <v>12862.381385222679</v>
      </c>
      <c r="Z3" s="68">
        <f>'增加值 (2001-2060, 2020RMB)'!Z3*$B$73</f>
        <v>13468.405133116714</v>
      </c>
      <c r="AA3" s="69">
        <f>'增加值 (2001-2060, 2020RMB)'!AA3*$B$73</f>
        <v>14135.226673478146</v>
      </c>
      <c r="AB3" s="67">
        <f>'增加值 (2001-2060, 2020RMB)'!AB3*$B$73</f>
        <v>14833.410088868957</v>
      </c>
      <c r="AC3" s="67">
        <f>'增加值 (2001-2060, 2020RMB)'!AC3*$B$73</f>
        <v>15527.110874027836</v>
      </c>
      <c r="AD3" s="67">
        <f>'增加值 (2001-2060, 2020RMB)'!AD3*$B$73</f>
        <v>16173.780057017422</v>
      </c>
      <c r="AE3" s="70">
        <f>'增加值 (2001-2060, 2020RMB)'!AE3*$B$73</f>
        <v>16724.896684226511</v>
      </c>
      <c r="AF3" s="69">
        <f>'增加值 (2001-2060, 2020RMB)'!AF3*$B$73</f>
        <v>17141.731246264862</v>
      </c>
      <c r="AG3" s="67">
        <f>'增加值 (2001-2060, 2020RMB)'!AG3*$B$73</f>
        <v>17441.647703916362</v>
      </c>
      <c r="AH3" s="67">
        <f>'增加值 (2001-2060, 2020RMB)'!AH3*$B$73</f>
        <v>17660.893965992975</v>
      </c>
      <c r="AI3" s="67">
        <f>'增加值 (2001-2060, 2020RMB)'!AI3*$B$73</f>
        <v>17839.429234633826</v>
      </c>
      <c r="AJ3" s="68">
        <f>'增加值 (2001-2060, 2020RMB)'!AJ3*$B$73</f>
        <v>18019.514305471923</v>
      </c>
      <c r="AK3" s="69">
        <f>'增加值 (2001-2060, 2020RMB)'!AK3*$B$73</f>
        <v>18237.017715836366</v>
      </c>
      <c r="AL3" s="67">
        <f>'增加值 (2001-2060, 2020RMB)'!AL3*$B$73</f>
        <v>18496.261340445271</v>
      </c>
      <c r="AM3" s="67">
        <f>'增加值 (2001-2060, 2020RMB)'!AM3*$B$73</f>
        <v>18793.525870524372</v>
      </c>
      <c r="AN3" s="67">
        <f>'增加值 (2001-2060, 2020RMB)'!AN3*$B$73</f>
        <v>19125.004456096551</v>
      </c>
      <c r="AO3" s="70">
        <f>'增加值 (2001-2060, 2020RMB)'!AO3*$B$73</f>
        <v>19486.712405153474</v>
      </c>
      <c r="AP3" s="69">
        <f>'增加值 (2001-2060, 2020RMB)'!AP3*$B$73</f>
        <v>19874.405382936984</v>
      </c>
      <c r="AQ3" s="67">
        <f>'增加值 (2001-2060, 2020RMB)'!AQ3*$B$73</f>
        <v>20283.506514592951</v>
      </c>
      <c r="AR3" s="67">
        <f>'增加值 (2001-2060, 2020RMB)'!AR3*$B$73</f>
        <v>20709.043353183937</v>
      </c>
      <c r="AS3" s="67">
        <f>'增加值 (2001-2060, 2020RMB)'!AS3*$B$73</f>
        <v>21145.596175401653</v>
      </c>
      <c r="AT3" s="70">
        <f>'增加值 (2001-2060, 2020RMB)'!AT3*$B$73</f>
        <v>21587.259500004126</v>
      </c>
      <c r="AU3" s="69">
        <f>'增加值 (2001-2060, 2020RMB)'!AU3*$B$73</f>
        <v>22027.619072860354</v>
      </c>
      <c r="AV3" s="67">
        <f>'增加值 (2001-2060, 2020RMB)'!AV3*$B$73</f>
        <v>22459.746805507235</v>
      </c>
      <c r="AW3" s="67">
        <f>'增加值 (2001-2060, 2020RMB)'!AW3*$B$73</f>
        <v>22876.216264769824</v>
      </c>
      <c r="AX3" s="67">
        <f>'增加值 (2001-2060, 2020RMB)'!AX3*$B$73</f>
        <v>23269.141259974022</v>
      </c>
      <c r="AY3" s="68">
        <f>'增加值 (2001-2060, 2020RMB)'!AY3*$B$73</f>
        <v>23630.239831919807</v>
      </c>
      <c r="AZ3" s="69">
        <f>'增加值 (2001-2060, 2020RMB)'!AZ3*$B$73</f>
        <v>23950.925487016189</v>
      </c>
      <c r="BA3" s="67">
        <f>'增加值 (2001-2060, 2020RMB)'!BA3*$B$73</f>
        <v>24222.42681984937</v>
      </c>
      <c r="BB3" s="67">
        <f>'增加值 (2001-2060, 2020RMB)'!BB3*$B$73</f>
        <v>24435.935717158343</v>
      </c>
      <c r="BC3" s="67">
        <f>'增加值 (2001-2060, 2020RMB)'!BC3*$B$73</f>
        <v>24582.783139229654</v>
      </c>
      <c r="BD3" s="70">
        <f>'增加值 (2001-2060, 2020RMB)'!BD3*$B$73</f>
        <v>24654.640053024632</v>
      </c>
      <c r="BE3" s="69">
        <f>'增加值 (2001-2060, 2020RMB)'!BE3*$B$73</f>
        <v>24643.739488726871</v>
      </c>
      <c r="BF3" s="67">
        <f>'增加值 (2001-2060, 2020RMB)'!BF3*$B$73</f>
        <v>24543.113975916684</v>
      </c>
      <c r="BG3" s="67">
        <f>'增加值 (2001-2060, 2020RMB)'!BG3*$B$73</f>
        <v>24346.840880173611</v>
      </c>
      <c r="BH3" s="67">
        <f>'增加值 (2001-2060, 2020RMB)'!BH3*$B$73</f>
        <v>24050.286521714326</v>
      </c>
      <c r="BI3" s="68">
        <f>'增加值 (2001-2060, 2020RMB)'!BI3*$B$73</f>
        <v>23650.338549520147</v>
      </c>
    </row>
    <row r="4" spans="1:65" x14ac:dyDescent="0.2">
      <c r="A4" s="14" t="s">
        <v>2</v>
      </c>
      <c r="B4" s="11">
        <f>'增加值 (2001-2060, 2020RMB)'!B4*$B$73</f>
        <v>11360.305148771144</v>
      </c>
      <c r="C4" s="12">
        <f>'增加值 (2001-2060, 2020RMB)'!C4*$B$73</f>
        <v>12298.062693286282</v>
      </c>
      <c r="D4" s="12">
        <f>'增加值 (2001-2060, 2020RMB)'!D4*$B$73</f>
        <v>13884.790875628891</v>
      </c>
      <c r="E4" s="12">
        <f>'增加值 (2001-2060, 2020RMB)'!E4*$B$73</f>
        <v>15422.095104095906</v>
      </c>
      <c r="F4" s="13">
        <f>'增加值 (2001-2060, 2020RMB)'!F4*$B$73</f>
        <v>17592.823233998242</v>
      </c>
      <c r="G4" s="11">
        <f>'增加值 (2001-2060, 2020RMB)'!G4*$B$73</f>
        <v>20024.670878731729</v>
      </c>
      <c r="H4" s="12">
        <f>'增加值 (2001-2060, 2020RMB)'!H4*$B$73</f>
        <v>22498.315163918967</v>
      </c>
      <c r="I4" s="12">
        <f>'增加值 (2001-2060, 2020RMB)'!I4*$B$73</f>
        <v>24625.937654813672</v>
      </c>
      <c r="J4" s="12">
        <f>'增加值 (2001-2060, 2020RMB)'!J4*$B$73</f>
        <v>25871.065445139207</v>
      </c>
      <c r="K4" s="13">
        <f>'增加值 (2001-2060, 2020RMB)'!K4*$B$73</f>
        <v>28934.018460247236</v>
      </c>
      <c r="L4" s="11">
        <f>'增加值 (2001-2060, 2020RMB)'!L4*$B$73</f>
        <v>31652.799458352747</v>
      </c>
      <c r="M4" s="12">
        <f>'增加值 (2001-2060, 2020RMB)'!M4*$B$73</f>
        <v>33124.32229745431</v>
      </c>
      <c r="N4" s="12">
        <f>'增加值 (2001-2060, 2020RMB)'!N4*$B$73</f>
        <v>34518.444056519606</v>
      </c>
      <c r="O4" s="12">
        <f>'增加值 (2001-2060, 2020RMB)'!O4*$B$73</f>
        <v>35827.085847351853</v>
      </c>
      <c r="P4" s="13">
        <f>'增加值 (2001-2060, 2020RMB)'!P4*$B$73</f>
        <v>36086.373868234325</v>
      </c>
      <c r="Q4" s="11">
        <f>'增加值 (2001-2060, 2020RMB)'!Q4*$B$73</f>
        <v>37149.335570071082</v>
      </c>
      <c r="R4" s="12">
        <f>'增加值 (2001-2060, 2020RMB)'!R4*$B$73</f>
        <v>39938.398266727323</v>
      </c>
      <c r="S4" s="12">
        <f>'增加值 (2001-2060, 2020RMB)'!S4*$B$73</f>
        <v>42210.749247921012</v>
      </c>
      <c r="T4" s="12">
        <f>'增加值 (2001-2060, 2020RMB)'!T4*$B$73</f>
        <v>43185.307729585511</v>
      </c>
      <c r="U4" s="13">
        <f>'增加值 (2001-2060, 2020RMB)'!U4*$B$73</f>
        <v>43101.259119279217</v>
      </c>
      <c r="V4" s="11">
        <f>'增加值 (2001-2060, 2020RMB)'!V4*$B$73</f>
        <v>49064.409191140723</v>
      </c>
      <c r="W4" s="12">
        <f>'增加值 (2001-2060, 2020RMB)'!W4*$B$73</f>
        <v>51734.614096336591</v>
      </c>
      <c r="X4" s="67">
        <f>'增加值 (2001-2060, 2020RMB)'!X4*$B$73</f>
        <v>53745.044890714504</v>
      </c>
      <c r="Y4" s="67">
        <f>'增加值 (2001-2060, 2020RMB)'!Y4*$B$73</f>
        <v>55797.824464302677</v>
      </c>
      <c r="Z4" s="68">
        <f>'增加值 (2001-2060, 2020RMB)'!Z4*$B$73</f>
        <v>57877.740977447531</v>
      </c>
      <c r="AA4" s="69">
        <f>'增加值 (2001-2060, 2020RMB)'!AA4*$B$73</f>
        <v>59968.482795007389</v>
      </c>
      <c r="AB4" s="67">
        <f>'增加值 (2001-2060, 2020RMB)'!AB4*$B$73</f>
        <v>62052.336341136477</v>
      </c>
      <c r="AC4" s="67">
        <f>'增加值 (2001-2060, 2020RMB)'!AC4*$B$73</f>
        <v>64109.980941783375</v>
      </c>
      <c r="AD4" s="67">
        <f>'增加值 (2001-2060, 2020RMB)'!AD4*$B$73</f>
        <v>66120.413332608354</v>
      </c>
      <c r="AE4" s="70">
        <f>'增加值 (2001-2060, 2020RMB)'!AE4*$B$73</f>
        <v>68061.03789553282</v>
      </c>
      <c r="AF4" s="69">
        <f>'增加值 (2001-2060, 2020RMB)'!AF4*$B$73</f>
        <v>69910.804517526878</v>
      </c>
      <c r="AG4" s="67">
        <f>'增加值 (2001-2060, 2020RMB)'!AG4*$B$73</f>
        <v>71659.61879273066</v>
      </c>
      <c r="AH4" s="67">
        <f>'增加值 (2001-2060, 2020RMB)'!AH4*$B$73</f>
        <v>73300.767659547084</v>
      </c>
      <c r="AI4" s="67">
        <f>'增加值 (2001-2060, 2020RMB)'!AI4*$B$73</f>
        <v>74828.176255333849</v>
      </c>
      <c r="AJ4" s="68">
        <f>'增加值 (2001-2060, 2020RMB)'!AJ4*$B$73</f>
        <v>76236.406676996528</v>
      </c>
      <c r="AK4" s="69">
        <f>'增加值 (2001-2060, 2020RMB)'!AK4*$B$73</f>
        <v>77521.430751777065</v>
      </c>
      <c r="AL4" s="67">
        <f>'增加值 (2001-2060, 2020RMB)'!AL4*$B$73</f>
        <v>78683.118000481816</v>
      </c>
      <c r="AM4" s="67">
        <f>'增加值 (2001-2060, 2020RMB)'!AM4*$B$73</f>
        <v>79723.33696034344</v>
      </c>
      <c r="AN4" s="67">
        <f>'增加值 (2001-2060, 2020RMB)'!AN4*$B$73</f>
        <v>80645.174994409215</v>
      </c>
      <c r="AO4" s="70">
        <f>'增加值 (2001-2060, 2020RMB)'!AO4*$B$73</f>
        <v>81452.835395343558</v>
      </c>
      <c r="AP4" s="69">
        <f>'增加值 (2001-2060, 2020RMB)'!AP4*$B$73</f>
        <v>82151.5250684731</v>
      </c>
      <c r="AQ4" s="67">
        <f>'增加值 (2001-2060, 2020RMB)'!AQ4*$B$73</f>
        <v>82747.336776781623</v>
      </c>
      <c r="AR4" s="67">
        <f>'增加值 (2001-2060, 2020RMB)'!AR4*$B$73</f>
        <v>83247.129707321888</v>
      </c>
      <c r="AS4" s="67">
        <f>'增加值 (2001-2060, 2020RMB)'!AS4*$B$73</f>
        <v>83658.41179841086</v>
      </c>
      <c r="AT4" s="70">
        <f>'增加值 (2001-2060, 2020RMB)'!AT4*$B$73</f>
        <v>83989.226879501352</v>
      </c>
      <c r="AU4" s="69">
        <f>'增加值 (2001-2060, 2020RMB)'!AU4*$B$73</f>
        <v>84248.049249642558</v>
      </c>
      <c r="AV4" s="67">
        <f>'增加值 (2001-2060, 2020RMB)'!AV4*$B$73</f>
        <v>84443.687882762853</v>
      </c>
      <c r="AW4" s="67">
        <f>'增加值 (2001-2060, 2020RMB)'!AW4*$B$73</f>
        <v>84585.202022463258</v>
      </c>
      <c r="AX4" s="67">
        <f>'增加值 (2001-2060, 2020RMB)'!AX4*$B$73</f>
        <v>84681.829535909434</v>
      </c>
      <c r="AY4" s="68">
        <f>'增加值 (2001-2060, 2020RMB)'!AY4*$B$73</f>
        <v>84742.929052402149</v>
      </c>
      <c r="AZ4" s="69">
        <f>'增加值 (2001-2060, 2020RMB)'!AZ4*$B$73</f>
        <v>84777.936630462646</v>
      </c>
      <c r="BA4" s="67">
        <f>'增加值 (2001-2060, 2020RMB)'!BA4*$B$73</f>
        <v>84796.33748798247</v>
      </c>
      <c r="BB4" s="67">
        <f>'增加值 (2001-2060, 2020RMB)'!BB4*$B$73</f>
        <v>84807.653201067951</v>
      </c>
      <c r="BC4" s="67">
        <f>'增加值 (2001-2060, 2020RMB)'!BC4*$B$73</f>
        <v>84821.444735188037</v>
      </c>
      <c r="BD4" s="70">
        <f>'增加值 (2001-2060, 2020RMB)'!BD4*$B$73</f>
        <v>84847.331723337484</v>
      </c>
      <c r="BE4" s="69">
        <f>'增加值 (2001-2060, 2020RMB)'!BE4*$B$73</f>
        <v>84895.028557277037</v>
      </c>
      <c r="BF4" s="67">
        <f>'增加值 (2001-2060, 2020RMB)'!BF4*$B$73</f>
        <v>84974.398118952653</v>
      </c>
      <c r="BG4" s="67">
        <f>'增加值 (2001-2060, 2020RMB)'!BG4*$B$73</f>
        <v>85095.524363312361</v>
      </c>
      <c r="BH4" s="67">
        <f>'增加值 (2001-2060, 2020RMB)'!BH4*$B$73</f>
        <v>85268.805490295621</v>
      </c>
      <c r="BI4" s="68">
        <f>'增加值 (2001-2060, 2020RMB)'!BI4*$B$73</f>
        <v>85505.07014057276</v>
      </c>
    </row>
    <row r="5" spans="1:65" x14ac:dyDescent="0.2">
      <c r="A5" s="14" t="s">
        <v>3</v>
      </c>
      <c r="B5" s="11">
        <f>'增加值 (2001-2060, 2020RMB)'!B5*$B$73</f>
        <v>1540.1612672421822</v>
      </c>
      <c r="C5" s="12">
        <f>'增加值 (2001-2060, 2020RMB)'!C5*$B$73</f>
        <v>1668.6015498546517</v>
      </c>
      <c r="D5" s="12">
        <f>'增加值 (2001-2060, 2020RMB)'!D5*$B$73</f>
        <v>1883.7020080248521</v>
      </c>
      <c r="E5" s="12">
        <f>'增加值 (2001-2060, 2020RMB)'!E5*$B$73</f>
        <v>2044.676318098064</v>
      </c>
      <c r="F5" s="13">
        <f>'增加值 (2001-2060, 2020RMB)'!F5*$B$73</f>
        <v>2347.077322686599</v>
      </c>
      <c r="G5" s="11">
        <f>'增加值 (2001-2060, 2020RMB)'!G5*$B$73</f>
        <v>2702.9543290923684</v>
      </c>
      <c r="H5" s="12">
        <f>'增加值 (2001-2060, 2020RMB)'!H5*$B$73</f>
        <v>3091.6077343507995</v>
      </c>
      <c r="I5" s="12">
        <f>'增加值 (2001-2060, 2020RMB)'!I5*$B$73</f>
        <v>3516.1002173990582</v>
      </c>
      <c r="J5" s="12">
        <f>'增加值 (2001-2060, 2020RMB)'!J5*$B$73</f>
        <v>4249.2832410565443</v>
      </c>
      <c r="K5" s="13">
        <f>'增加值 (2001-2060, 2020RMB)'!K5*$B$73</f>
        <v>4776.5642082386867</v>
      </c>
      <c r="L5" s="11">
        <f>'增加值 (2001-2060, 2020RMB)'!L5*$B$73</f>
        <v>5340.8870972831774</v>
      </c>
      <c r="M5" s="12">
        <f>'增加值 (2001-2060, 2020RMB)'!M5*$B$73</f>
        <v>5850.4074549960123</v>
      </c>
      <c r="N5" s="12">
        <f>'增加值 (2001-2060, 2020RMB)'!N5*$B$73</f>
        <v>6349.4516468555794</v>
      </c>
      <c r="O5" s="12">
        <f>'增加值 (2001-2060, 2020RMB)'!O5*$B$73</f>
        <v>6975.2518832358974</v>
      </c>
      <c r="P5" s="13">
        <f>'增加值 (2001-2060, 2020RMB)'!P5*$B$73</f>
        <v>7335.1500059492982</v>
      </c>
      <c r="Q5" s="11">
        <f>'增加值 (2001-2060, 2020RMB)'!Q5*$B$73</f>
        <v>7795.8436193576599</v>
      </c>
      <c r="R5" s="12">
        <f>'增加值 (2001-2060, 2020RMB)'!R5*$B$73</f>
        <v>8406.014825836668</v>
      </c>
      <c r="S5" s="12">
        <f>'增加值 (2001-2060, 2020RMB)'!S5*$B$73</f>
        <v>9181.6899520975694</v>
      </c>
      <c r="T5" s="12">
        <f>'增加值 (2001-2060, 2020RMB)'!T5*$B$73</f>
        <v>9783.1483906350222</v>
      </c>
      <c r="U5" s="13">
        <f>'增加值 (2001-2060, 2020RMB)'!U5*$B$73</f>
        <v>9978.9991927797637</v>
      </c>
      <c r="V5" s="11">
        <f>'增加值 (2001-2060, 2020RMB)'!V5*$B$73</f>
        <v>10553.432167844274</v>
      </c>
      <c r="W5" s="12">
        <f>'增加值 (2001-2060, 2020RMB)'!W5*$B$73</f>
        <v>10740.330438291405</v>
      </c>
      <c r="X5" s="67">
        <f>'增加值 (2001-2060, 2020RMB)'!X5*$B$73</f>
        <v>11256.444781286575</v>
      </c>
      <c r="Y5" s="67">
        <f>'增加值 (2001-2060, 2020RMB)'!Y5*$B$73</f>
        <v>11804.917917435971</v>
      </c>
      <c r="Z5" s="68">
        <f>'增加值 (2001-2060, 2020RMB)'!Z5*$B$73</f>
        <v>12376.372284485637</v>
      </c>
      <c r="AA5" s="69">
        <f>'增加值 (2001-2060, 2020RMB)'!AA5*$B$73</f>
        <v>12959.342449030542</v>
      </c>
      <c r="AB5" s="67">
        <f>'增加值 (2001-2060, 2020RMB)'!AB5*$B$73</f>
        <v>13540.113932930102</v>
      </c>
      <c r="AC5" s="67">
        <f>'增加值 (2001-2060, 2020RMB)'!AC5*$B$73</f>
        <v>14102.690157738773</v>
      </c>
      <c r="AD5" s="67">
        <f>'增加值 (2001-2060, 2020RMB)'!AD5*$B$73</f>
        <v>14628.926077512986</v>
      </c>
      <c r="AE5" s="70">
        <f>'增加值 (2001-2060, 2020RMB)'!AE5*$B$73</f>
        <v>15098.86506214892</v>
      </c>
      <c r="AF5" s="69">
        <f>'增加值 (2001-2060, 2020RMB)'!AF5*$B$73</f>
        <v>15497.126710972914</v>
      </c>
      <c r="AG5" s="67">
        <f>'增加值 (2001-2060, 2020RMB)'!AG5*$B$73</f>
        <v>15832.122354961899</v>
      </c>
      <c r="AH5" s="67">
        <f>'增加值 (2001-2060, 2020RMB)'!AH5*$B$73</f>
        <v>16120.455834419676</v>
      </c>
      <c r="AI5" s="67">
        <f>'增加值 (2001-2060, 2020RMB)'!AI5*$B$73</f>
        <v>16380.7913766168</v>
      </c>
      <c r="AJ5" s="68">
        <f>'增加值 (2001-2060, 2020RMB)'!AJ5*$B$73</f>
        <v>16633.397820435606</v>
      </c>
      <c r="AK5" s="69">
        <f>'增加值 (2001-2060, 2020RMB)'!AK5*$B$73</f>
        <v>16895.955218535491</v>
      </c>
      <c r="AL5" s="67">
        <f>'增加值 (2001-2060, 2020RMB)'!AL5*$B$73</f>
        <v>17171.147449360138</v>
      </c>
      <c r="AM5" s="67">
        <f>'增加值 (2001-2060, 2020RMB)'!AM5*$B$73</f>
        <v>17457.730409893124</v>
      </c>
      <c r="AN5" s="67">
        <f>'增加值 (2001-2060, 2020RMB)'!AN5*$B$73</f>
        <v>17754.369325633328</v>
      </c>
      <c r="AO5" s="70">
        <f>'增加值 (2001-2060, 2020RMB)'!AO5*$B$73</f>
        <v>18059.628977861426</v>
      </c>
      <c r="AP5" s="69">
        <f>'增加值 (2001-2060, 2020RMB)'!AP5*$B$73</f>
        <v>18371.964997828971</v>
      </c>
      <c r="AQ5" s="67">
        <f>'增加值 (2001-2060, 2020RMB)'!AQ5*$B$73</f>
        <v>18689.716389116857</v>
      </c>
      <c r="AR5" s="67">
        <f>'增加值 (2001-2060, 2020RMB)'!AR5*$B$73</f>
        <v>19011.099460740807</v>
      </c>
      <c r="AS5" s="67">
        <f>'增加值 (2001-2060, 2020RMB)'!AS5*$B$73</f>
        <v>19334.203371802545</v>
      </c>
      <c r="AT5" s="70">
        <f>'增加值 (2001-2060, 2020RMB)'!AT5*$B$73</f>
        <v>19656.98750288014</v>
      </c>
      <c r="AU5" s="69">
        <f>'增加值 (2001-2060, 2020RMB)'!AU5*$B$73</f>
        <v>19977.280879106216</v>
      </c>
      <c r="AV5" s="67">
        <f>'增加值 (2001-2060, 2020RMB)'!AV5*$B$73</f>
        <v>20292.783874131026</v>
      </c>
      <c r="AW5" s="67">
        <f>'增加值 (2001-2060, 2020RMB)'!AW5*$B$73</f>
        <v>20601.072421988378</v>
      </c>
      <c r="AX5" s="67">
        <f>'增加值 (2001-2060, 2020RMB)'!AX5*$B$73</f>
        <v>20899.60495437204</v>
      </c>
      <c r="AY5" s="68">
        <f>'增加值 (2001-2060, 2020RMB)'!AY5*$B$73</f>
        <v>21185.732263100537</v>
      </c>
      <c r="AZ5" s="69">
        <f>'增加值 (2001-2060, 2020RMB)'!AZ5*$B$73</f>
        <v>21456.710460817514</v>
      </c>
      <c r="BA5" s="67">
        <f>'增加值 (2001-2060, 2020RMB)'!BA5*$B$73</f>
        <v>21709.717176573817</v>
      </c>
      <c r="BB5" s="67">
        <f>'增加值 (2001-2060, 2020RMB)'!BB5*$B$73</f>
        <v>21941.871076416635</v>
      </c>
      <c r="BC5" s="67">
        <f>'增加值 (2001-2060, 2020RMB)'!BC5*$B$73</f>
        <v>22150.254742252306</v>
      </c>
      <c r="BD5" s="70">
        <f>'增加值 (2001-2060, 2020RMB)'!BD5*$B$73</f>
        <v>22331.940875165765</v>
      </c>
      <c r="BE5" s="69">
        <f>'增加值 (2001-2060, 2020RMB)'!BE5*$B$73</f>
        <v>22484.021712551192</v>
      </c>
      <c r="BF5" s="67">
        <f>'增加值 (2001-2060, 2020RMB)'!BF5*$B$73</f>
        <v>22603.641462741703</v>
      </c>
      <c r="BG5" s="67">
        <f>'增加值 (2001-2060, 2020RMB)'!BG5*$B$73</f>
        <v>22688.031467706296</v>
      </c>
      <c r="BH5" s="67">
        <f>'增加值 (2001-2060, 2020RMB)'!BH5*$B$73</f>
        <v>22734.547705685727</v>
      </c>
      <c r="BI5" s="68">
        <f>'增加值 (2001-2060, 2020RMB)'!BI5*$B$73</f>
        <v>22740.710143769353</v>
      </c>
      <c r="BM5" s="58"/>
    </row>
    <row r="6" spans="1:65" x14ac:dyDescent="0.2">
      <c r="A6" s="14" t="s">
        <v>4</v>
      </c>
      <c r="B6" s="11">
        <f>'增加值 (2001-2060, 2020RMB)'!B6*$B$73</f>
        <v>1779.9865638888584</v>
      </c>
      <c r="C6" s="12">
        <f>'增加值 (2001-2060, 2020RMB)'!C6*$B$73</f>
        <v>1929.1588520812261</v>
      </c>
      <c r="D6" s="12">
        <f>'增加值 (2001-2060, 2020RMB)'!D6*$B$73</f>
        <v>1985.0248512961471</v>
      </c>
      <c r="E6" s="12">
        <f>'增加值 (2001-2060, 2020RMB)'!E6*$B$73</f>
        <v>2182.07444004124</v>
      </c>
      <c r="F6" s="13">
        <f>'增加值 (2001-2060, 2020RMB)'!F6*$B$73</f>
        <v>2407.624493080024</v>
      </c>
      <c r="G6" s="11">
        <f>'增加值 (2001-2060, 2020RMB)'!G6*$B$73</f>
        <v>2645.6825519970384</v>
      </c>
      <c r="H6" s="12">
        <f>'增加值 (2001-2060, 2020RMB)'!H6*$B$73</f>
        <v>2941.9624785618234</v>
      </c>
      <c r="I6" s="12">
        <f>'增加值 (2001-2060, 2020RMB)'!I6*$B$73</f>
        <v>3059.9397008816027</v>
      </c>
      <c r="J6" s="12">
        <f>'增加值 (2001-2060, 2020RMB)'!J6*$B$73</f>
        <v>3095.4018659274147</v>
      </c>
      <c r="K6" s="13">
        <f>'增加值 (2001-2060, 2020RMB)'!K6*$B$73</f>
        <v>3291.39308279641</v>
      </c>
      <c r="L6" s="11">
        <f>'增加值 (2001-2060, 2020RMB)'!L6*$B$73</f>
        <v>3542.9109069855335</v>
      </c>
      <c r="M6" s="12">
        <f>'增加值 (2001-2060, 2020RMB)'!M6*$B$73</f>
        <v>3767.9972255756365</v>
      </c>
      <c r="N6" s="12">
        <f>'增加值 (2001-2060, 2020RMB)'!N6*$B$73</f>
        <v>4043.2714638691973</v>
      </c>
      <c r="O6" s="12">
        <f>'增加值 (2001-2060, 2020RMB)'!O6*$B$73</f>
        <v>4383.8584752774987</v>
      </c>
      <c r="P6" s="13">
        <f>'增加值 (2001-2060, 2020RMB)'!P6*$B$73</f>
        <v>4687.1653536769218</v>
      </c>
      <c r="Q6" s="11">
        <f>'增加值 (2001-2060, 2020RMB)'!Q6*$B$73</f>
        <v>4999.8462132332597</v>
      </c>
      <c r="R6" s="12">
        <f>'增加值 (2001-2060, 2020RMB)'!R6*$B$73</f>
        <v>5388.8957503803813</v>
      </c>
      <c r="S6" s="12">
        <f>'增加值 (2001-2060, 2020RMB)'!S6*$B$73</f>
        <v>5655.0114353556883</v>
      </c>
      <c r="T6" s="12">
        <f>'增加值 (2001-2060, 2020RMB)'!T6*$B$73</f>
        <v>5880.6127058084239</v>
      </c>
      <c r="U6" s="13">
        <f>'增加值 (2001-2060, 2020RMB)'!U6*$B$73</f>
        <v>5590.1498155235904</v>
      </c>
      <c r="V6" s="11">
        <f>'增加值 (2001-2060, 2020RMB)'!V6*$B$73</f>
        <v>6197.4853776568434</v>
      </c>
      <c r="W6" s="12">
        <f>'增加值 (2001-2060, 2020RMB)'!W6*$B$73</f>
        <v>6398.3223470050361</v>
      </c>
      <c r="X6" s="67">
        <f>'增加值 (2001-2060, 2020RMB)'!X6*$B$73</f>
        <v>6654.6812683330163</v>
      </c>
      <c r="Y6" s="111">
        <f>'增加值 (2001-2060, 2020RMB)'!Y6*$B$73</f>
        <v>6927.4432626881326</v>
      </c>
      <c r="Z6" s="71">
        <f>'增加值 (2001-2060, 2020RMB)'!Z6*$B$73</f>
        <v>7213.0466999280616</v>
      </c>
      <c r="AA6" s="69">
        <f>'增加值 (2001-2060, 2020RMB)'!AA6*$B$73</f>
        <v>7507.2353743551575</v>
      </c>
      <c r="AB6" s="67">
        <f>'增加值 (2001-2060, 2020RMB)'!AB6*$B$73</f>
        <v>7804.9893853296271</v>
      </c>
      <c r="AC6" s="67">
        <f>'增加值 (2001-2060, 2020RMB)'!AC6*$B$73</f>
        <v>8100.4858998664104</v>
      </c>
      <c r="AD6" s="67">
        <f>'增加值 (2001-2060, 2020RMB)'!AD6*$B$73</f>
        <v>8387.0989553372656</v>
      </c>
      <c r="AE6" s="70">
        <f>'增加值 (2001-2060, 2020RMB)'!AE6*$B$73</f>
        <v>8657.4477764886633</v>
      </c>
      <c r="AF6" s="69">
        <f>'增加值 (2001-2060, 2020RMB)'!AF6*$B$73</f>
        <v>8905.3976350028079</v>
      </c>
      <c r="AG6" s="67">
        <f>'增加值 (2001-2060, 2020RMB)'!AG6*$B$73</f>
        <v>9132.2902345712137</v>
      </c>
      <c r="AH6" s="67">
        <f>'增加值 (2001-2060, 2020RMB)'!AH6*$B$73</f>
        <v>9341.9838596475292</v>
      </c>
      <c r="AI6" s="67">
        <f>'增加值 (2001-2060, 2020RMB)'!AI6*$B$73</f>
        <v>9538.9725973853128</v>
      </c>
      <c r="AJ6" s="71">
        <f>'增加值 (2001-2060, 2020RMB)'!AJ6*$B$73</f>
        <v>9728.3062712235424</v>
      </c>
      <c r="AK6" s="69">
        <f>'增加值 (2001-2060, 2020RMB)'!AK6*$B$73</f>
        <v>9914.3322963901337</v>
      </c>
      <c r="AL6" s="67">
        <f>'增加值 (2001-2060, 2020RMB)'!AL6*$B$73</f>
        <v>10096.883432646555</v>
      </c>
      <c r="AM6" s="67">
        <f>'增加值 (2001-2060, 2020RMB)'!AM6*$B$73</f>
        <v>10274.56102019303</v>
      </c>
      <c r="AN6" s="67">
        <f>'增加值 (2001-2060, 2020RMB)'!AN6*$B$73</f>
        <v>10445.895997777652</v>
      </c>
      <c r="AO6" s="70">
        <f>'增加值 (2001-2060, 2020RMB)'!AO6*$B$73</f>
        <v>10609.356291394701</v>
      </c>
      <c r="AP6" s="69">
        <f>'增加值 (2001-2060, 2020RMB)'!AP6*$B$73</f>
        <v>10763.356201571021</v>
      </c>
      <c r="AQ6" s="67">
        <f>'增加值 (2001-2060, 2020RMB)'!AQ6*$B$73</f>
        <v>10906.267859856009</v>
      </c>
      <c r="AR6" s="67">
        <f>'增加值 (2001-2060, 2020RMB)'!AR6*$B$73</f>
        <v>11036.434788387274</v>
      </c>
      <c r="AS6" s="67">
        <f>'增加值 (2001-2060, 2020RMB)'!AS6*$B$73</f>
        <v>11152.187552654035</v>
      </c>
      <c r="AT6" s="70">
        <f>'增加值 (2001-2060, 2020RMB)'!AT6*$B$73</f>
        <v>11251.861447122606</v>
      </c>
      <c r="AU6" s="69">
        <f>'增加值 (2001-2060, 2020RMB)'!AU6*$B$73</f>
        <v>11333.816096821827</v>
      </c>
      <c r="AV6" s="67">
        <f>'增加值 (2001-2060, 2020RMB)'!AV6*$B$73</f>
        <v>11396.456796255296</v>
      </c>
      <c r="AW6" s="67">
        <f>'增加值 (2001-2060, 2020RMB)'!AW6*$B$73</f>
        <v>11438.257341413209</v>
      </c>
      <c r="AX6" s="67">
        <f>'增加值 (2001-2060, 2020RMB)'!AX6*$B$73</f>
        <v>11457.784042874751</v>
      </c>
      <c r="AY6" s="71">
        <f>'增加值 (2001-2060, 2020RMB)'!AY6*$B$73</f>
        <v>11453.720540058432</v>
      </c>
      <c r="AZ6" s="69">
        <f>'增加值 (2001-2060, 2020RMB)'!AZ6*$B$73</f>
        <v>11424.892970968287</v>
      </c>
      <c r="BA6" s="67">
        <f>'增加值 (2001-2060, 2020RMB)'!BA6*$B$73</f>
        <v>11370.294990953893</v>
      </c>
      <c r="BB6" s="67">
        <f>'增加值 (2001-2060, 2020RMB)'!BB6*$B$73</f>
        <v>11289.112080928788</v>
      </c>
      <c r="BC6" s="67">
        <f>'增加值 (2001-2060, 2020RMB)'!BC6*$B$73</f>
        <v>11180.744543156237</v>
      </c>
      <c r="BD6" s="70">
        <f>'增加值 (2001-2060, 2020RMB)'!BD6*$B$73</f>
        <v>11044.828554098774</v>
      </c>
      <c r="BE6" s="69">
        <f>'增加值 (2001-2060, 2020RMB)'!BE6*$B$73</f>
        <v>10881.254631771344</v>
      </c>
      <c r="BF6" s="67">
        <f>'增加值 (2001-2060, 2020RMB)'!BF6*$B$73</f>
        <v>10690.182882067844</v>
      </c>
      <c r="BG6" s="67">
        <f>'增加值 (2001-2060, 2020RMB)'!BG6*$B$73</f>
        <v>10472.054416713525</v>
      </c>
      <c r="BH6" s="67">
        <f>'增加值 (2001-2060, 2020RMB)'!BH6*$B$73</f>
        <v>10227.598386255067</v>
      </c>
      <c r="BI6" s="71">
        <f>'增加值 (2001-2060, 2020RMB)'!BI6*$B$73</f>
        <v>9957.8341454785423</v>
      </c>
    </row>
    <row r="7" spans="1:65" x14ac:dyDescent="0.2">
      <c r="A7" s="14" t="s">
        <v>5</v>
      </c>
      <c r="B7" s="11">
        <f>'增加值 (2001-2060, 2020RMB)'!B7*$B$73</f>
        <v>2362.7117797094429</v>
      </c>
      <c r="C7" s="12">
        <f>'增加值 (2001-2060, 2020RMB)'!C7*$B$73</f>
        <v>2573.3444367700249</v>
      </c>
      <c r="D7" s="12">
        <f>'增加值 (2001-2060, 2020RMB)'!D7*$B$73</f>
        <v>2801.7270959215039</v>
      </c>
      <c r="E7" s="12">
        <f>'增加值 (2001-2060, 2020RMB)'!E7*$B$73</f>
        <v>2920.4838349826118</v>
      </c>
      <c r="F7" s="13">
        <f>'增加值 (2001-2060, 2020RMB)'!F7*$B$73</f>
        <v>3152.2666777508543</v>
      </c>
      <c r="G7" s="11">
        <f>'增加值 (2001-2060, 2020RMB)'!G7*$B$73</f>
        <v>3589.4510971490809</v>
      </c>
      <c r="H7" s="12">
        <f>'增加值 (2001-2060, 2020RMB)'!H7*$B$73</f>
        <v>4218.2477668630136</v>
      </c>
      <c r="I7" s="12">
        <f>'增加值 (2001-2060, 2020RMB)'!I7*$B$73</f>
        <v>4895.5370973890995</v>
      </c>
      <c r="J7" s="12">
        <f>'增加值 (2001-2060, 2020RMB)'!J7*$B$73</f>
        <v>5433.8893236138974</v>
      </c>
      <c r="K7" s="13">
        <f>'增加值 (2001-2060, 2020RMB)'!K7*$B$73</f>
        <v>6292.0320746686066</v>
      </c>
      <c r="L7" s="11">
        <f>'增加值 (2001-2060, 2020RMB)'!L7*$B$73</f>
        <v>7094.0132342074357</v>
      </c>
      <c r="M7" s="12">
        <f>'增加值 (2001-2060, 2020RMB)'!M7*$B$73</f>
        <v>7902.1354756587762</v>
      </c>
      <c r="N7" s="12">
        <f>'增加值 (2001-2060, 2020RMB)'!N7*$B$73</f>
        <v>8739.1592692995291</v>
      </c>
      <c r="O7" s="12">
        <f>'增加值 (2001-2060, 2020RMB)'!O7*$B$73</f>
        <v>9705.1311198647836</v>
      </c>
      <c r="P7" s="13">
        <f>'增加值 (2001-2060, 2020RMB)'!P7*$B$73</f>
        <v>10400.3329964403</v>
      </c>
      <c r="Q7" s="11">
        <f>'增加值 (2001-2060, 2020RMB)'!Q7*$B$73</f>
        <v>11160.329112181693</v>
      </c>
      <c r="R7" s="12">
        <f>'增加值 (2001-2060, 2020RMB)'!R7*$B$73</f>
        <v>11781.305829047558</v>
      </c>
      <c r="S7" s="12">
        <f>'增加值 (2001-2060, 2020RMB)'!S7*$B$73</f>
        <v>12463.716870418164</v>
      </c>
      <c r="T7" s="12">
        <f>'增加值 (2001-2060, 2020RMB)'!T7*$B$73</f>
        <v>13245.465177376198</v>
      </c>
      <c r="U7" s="13">
        <f>'增加值 (2001-2060, 2020RMB)'!U7*$B$73</f>
        <v>13235.517772002033</v>
      </c>
      <c r="V7" s="11">
        <f>'增加值 (2001-2060, 2020RMB)'!V7*$B$73</f>
        <v>14550.774153396518</v>
      </c>
      <c r="W7" s="12">
        <f>'增加值 (2001-2060, 2020RMB)'!W7*$B$73</f>
        <v>14750.68615862355</v>
      </c>
      <c r="X7" s="67">
        <f>'增加值 (2001-2060, 2020RMB)'!X7*$B$73</f>
        <v>15380.346091313171</v>
      </c>
      <c r="Y7" s="111">
        <f>'增加值 (2001-2060, 2020RMB)'!Y7*$B$73</f>
        <v>16049.78830366162</v>
      </c>
      <c r="Z7" s="71">
        <f>'增加值 (2001-2060, 2020RMB)'!Z7*$B$73</f>
        <v>16750.917487772898</v>
      </c>
      <c r="AA7" s="69">
        <f>'增加值 (2001-2060, 2020RMB)'!AA7*$B$73</f>
        <v>17473.936635176673</v>
      </c>
      <c r="AB7" s="67">
        <f>'增加值 (2001-2060, 2020RMB)'!AB7*$B$73</f>
        <v>18207.174538389747</v>
      </c>
      <c r="AC7" s="67">
        <f>'增加值 (2001-2060, 2020RMB)'!AC7*$B$73</f>
        <v>18936.982239134733</v>
      </c>
      <c r="AD7" s="67">
        <f>'增加值 (2001-2060, 2020RMB)'!AD7*$B$73</f>
        <v>19647.720943495391</v>
      </c>
      <c r="AE7" s="70">
        <f>'增加值 (2001-2060, 2020RMB)'!AE7*$B$73</f>
        <v>20321.864869144287</v>
      </c>
      <c r="AF7" s="69">
        <f>'增加值 (2001-2060, 2020RMB)'!AF7*$B$73</f>
        <v>20944.702691110662</v>
      </c>
      <c r="AG7" s="67">
        <f>'增加值 (2001-2060, 2020RMB)'!AG7*$B$73</f>
        <v>21519.068710222244</v>
      </c>
      <c r="AH7" s="67">
        <f>'增加值 (2001-2060, 2020RMB)'!AH7*$B$73</f>
        <v>22053.7914524355</v>
      </c>
      <c r="AI7" s="67">
        <f>'增加值 (2001-2060, 2020RMB)'!AI7*$B$73</f>
        <v>22559.291750022923</v>
      </c>
      <c r="AJ7" s="71">
        <f>'增加值 (2001-2060, 2020RMB)'!AJ7*$B$73</f>
        <v>23047.400663140717</v>
      </c>
      <c r="AK7" s="69">
        <f>'增加值 (2001-2060, 2020RMB)'!AK7*$B$73</f>
        <v>23528.374618864615</v>
      </c>
      <c r="AL7" s="67">
        <f>'增加值 (2001-2060, 2020RMB)'!AL7*$B$73</f>
        <v>24001.798507912255</v>
      </c>
      <c r="AM7" s="67">
        <f>'增加值 (2001-2060, 2020RMB)'!AM7*$B$73</f>
        <v>24464.324744891841</v>
      </c>
      <c r="AN7" s="67">
        <f>'增加值 (2001-2060, 2020RMB)'!AN7*$B$73</f>
        <v>24912.423174214495</v>
      </c>
      <c r="AO7" s="70">
        <f>'增加值 (2001-2060, 2020RMB)'!AO7*$B$73</f>
        <v>25342.398013782993</v>
      </c>
      <c r="AP7" s="69">
        <f>'增加值 (2001-2060, 2020RMB)'!AP7*$B$73</f>
        <v>25750.409609970986</v>
      </c>
      <c r="AQ7" s="67">
        <f>'增加值 (2001-2060, 2020RMB)'!AQ7*$B$73</f>
        <v>26132.501198880353</v>
      </c>
      <c r="AR7" s="67">
        <f>'增加值 (2001-2060, 2020RMB)'!AR7*$B$73</f>
        <v>26484.630783257173</v>
      </c>
      <c r="AS7" s="67">
        <f>'增加值 (2001-2060, 2020RMB)'!AS7*$B$73</f>
        <v>26802.708131910789</v>
      </c>
      <c r="AT7" s="70">
        <f>'增加值 (2001-2060, 2020RMB)'!AT7*$B$73</f>
        <v>27082.636789585616</v>
      </c>
      <c r="AU7" s="69">
        <f>'增加值 (2001-2060, 2020RMB)'!AU7*$B$73</f>
        <v>27320.360851281323</v>
      </c>
      <c r="AV7" s="67">
        <f>'增加值 (2001-2060, 2020RMB)'!AV7*$B$73</f>
        <v>27511.916108079207</v>
      </c>
      <c r="AW7" s="67">
        <f>'增加值 (2001-2060, 2020RMB)'!AW7*$B$73</f>
        <v>27653.485014563706</v>
      </c>
      <c r="AX7" s="67">
        <f>'增加值 (2001-2060, 2020RMB)'!AX7*$B$73</f>
        <v>27741.454764743346</v>
      </c>
      <c r="AY7" s="71">
        <f>'增加值 (2001-2060, 2020RMB)'!AY7*$B$73</f>
        <v>27772.477598677458</v>
      </c>
      <c r="AZ7" s="69">
        <f>'增加值 (2001-2060, 2020RMB)'!AZ7*$B$73</f>
        <v>27743.532301310122</v>
      </c>
      <c r="BA7" s="67">
        <f>'增加值 (2001-2060, 2020RMB)'!BA7*$B$73</f>
        <v>27651.985704523384</v>
      </c>
      <c r="BB7" s="67">
        <f>'增加值 (2001-2060, 2020RMB)'!BB7*$B$73</f>
        <v>27495.652869909798</v>
      </c>
      <c r="BC7" s="67">
        <f>'增加值 (2001-2060, 2020RMB)'!BC7*$B$73</f>
        <v>27272.854520322951</v>
      </c>
      <c r="BD7" s="70">
        <f>'增加值 (2001-2060, 2020RMB)'!BD7*$B$73</f>
        <v>26982.47021002421</v>
      </c>
      <c r="BE7" s="69">
        <f>'增加值 (2001-2060, 2020RMB)'!BE7*$B$73</f>
        <v>26623.985683084313</v>
      </c>
      <c r="BF7" s="67">
        <f>'增加值 (2001-2060, 2020RMB)'!BF7*$B$73</f>
        <v>26197.5328738403</v>
      </c>
      <c r="BG7" s="67">
        <f>'增加值 (2001-2060, 2020RMB)'!BG7*$B$73</f>
        <v>25703.92105687235</v>
      </c>
      <c r="BH7" s="67">
        <f>'增加值 (2001-2060, 2020RMB)'!BH7*$B$73</f>
        <v>25144.657760938189</v>
      </c>
      <c r="BI7" s="71">
        <f>'增加值 (2001-2060, 2020RMB)'!BI7*$B$73</f>
        <v>24521.958223601156</v>
      </c>
    </row>
    <row r="8" spans="1:65" x14ac:dyDescent="0.2">
      <c r="A8" s="14" t="s">
        <v>6</v>
      </c>
      <c r="B8" s="11">
        <f>'增加值 (2001-2060, 2020RMB)'!B8*$B$73</f>
        <v>621.73762635740661</v>
      </c>
      <c r="C8" s="12">
        <f>'增加值 (2001-2060, 2020RMB)'!C8*$B$73</f>
        <v>701.40934312089519</v>
      </c>
      <c r="D8" s="12">
        <f>'增加值 (2001-2060, 2020RMB)'!D8*$B$73</f>
        <v>784.023119679194</v>
      </c>
      <c r="E8" s="12">
        <f>'增加值 (2001-2060, 2020RMB)'!E8*$B$73</f>
        <v>859.27753805008717</v>
      </c>
      <c r="F8" s="13">
        <f>'增加值 (2001-2060, 2020RMB)'!F8*$B$73</f>
        <v>946.84220208606928</v>
      </c>
      <c r="G8" s="11">
        <f>'增加值 (2001-2060, 2020RMB)'!G8*$B$73</f>
        <v>1040.4879412701976</v>
      </c>
      <c r="H8" s="12">
        <f>'增加值 (2001-2060, 2020RMB)'!H8*$B$73</f>
        <v>1117.5755063168929</v>
      </c>
      <c r="I8" s="12">
        <f>'增加值 (2001-2060, 2020RMB)'!I8*$B$73</f>
        <v>1236.8867185783361</v>
      </c>
      <c r="J8" s="12">
        <f>'增加值 (2001-2060, 2020RMB)'!J8*$B$73</f>
        <v>1303.3645705985221</v>
      </c>
      <c r="K8" s="13">
        <f>'增加值 (2001-2060, 2020RMB)'!K8*$B$73</f>
        <v>1351.3502978409845</v>
      </c>
      <c r="L8" s="11">
        <f>'增加值 (2001-2060, 2020RMB)'!L8*$B$73</f>
        <v>1389.3621958929532</v>
      </c>
      <c r="M8" s="12">
        <f>'增加值 (2001-2060, 2020RMB)'!M8*$B$73</f>
        <v>1512.2126961264596</v>
      </c>
      <c r="N8" s="12">
        <f>'增加值 (2001-2060, 2020RMB)'!N8*$B$73</f>
        <v>1587.9994591149652</v>
      </c>
      <c r="O8" s="12">
        <f>'增加值 (2001-2060, 2020RMB)'!O8*$B$73</f>
        <v>1725.1118531088246</v>
      </c>
      <c r="P8" s="13">
        <f>'增加值 (2001-2060, 2020RMB)'!P8*$B$73</f>
        <v>1889.9629928040622</v>
      </c>
      <c r="Q8" s="11">
        <f>'增加值 (2001-2060, 2020RMB)'!Q8*$B$73</f>
        <v>2059.9329462084656</v>
      </c>
      <c r="R8" s="12">
        <f>'增加值 (2001-2060, 2020RMB)'!R8*$B$73</f>
        <v>2185.6428258717096</v>
      </c>
      <c r="S8" s="12">
        <f>'增加值 (2001-2060, 2020RMB)'!S8*$B$73</f>
        <v>2316.0799936271524</v>
      </c>
      <c r="T8" s="12">
        <f>'增加值 (2001-2060, 2020RMB)'!T8*$B$73</f>
        <v>2479.1704794945354</v>
      </c>
      <c r="U8" s="13">
        <f>'增加值 (2001-2060, 2020RMB)'!U8*$B$73</f>
        <v>2105.5093645403431</v>
      </c>
      <c r="V8" s="11">
        <f>'增加值 (2001-2060, 2020RMB)'!V8*$B$73</f>
        <v>2351.0073575080228</v>
      </c>
      <c r="W8" s="12">
        <f>'增加值 (2001-2060, 2020RMB)'!W8*$B$73</f>
        <v>2299.888371562397</v>
      </c>
      <c r="X8" s="67">
        <f>'增加值 (2001-2060, 2020RMB)'!X8*$B$73</f>
        <v>2407.4097850830121</v>
      </c>
      <c r="Y8" s="67">
        <f>'增加值 (2001-2060, 2020RMB)'!Y8*$B$73</f>
        <v>2521.6700122670818</v>
      </c>
      <c r="Z8" s="71">
        <f>'增加值 (2001-2060, 2020RMB)'!Z8*$B$73</f>
        <v>2641.4368340070018</v>
      </c>
      <c r="AA8" s="69">
        <f>'增加值 (2001-2060, 2020RMB)'!AA8*$B$73</f>
        <v>2765.1883839285852</v>
      </c>
      <c r="AB8" s="67">
        <f>'增加值 (2001-2060, 2020RMB)'!AB8*$B$73</f>
        <v>2891.0826759934666</v>
      </c>
      <c r="AC8" s="67">
        <f>'增加值 (2001-2060, 2020RMB)'!AC8*$B$73</f>
        <v>3016.937874195798</v>
      </c>
      <c r="AD8" s="67">
        <f>'增加值 (2001-2060, 2020RMB)'!AD8*$B$73</f>
        <v>3140.2271650024791</v>
      </c>
      <c r="AE8" s="70">
        <f>'增加值 (2001-2060, 2020RMB)'!AE8*$B$73</f>
        <v>3258.0923003933144</v>
      </c>
      <c r="AF8" s="69">
        <f>'增加值 (2001-2060, 2020RMB)'!AF8*$B$73</f>
        <v>3368.0982201642851</v>
      </c>
      <c r="AG8" s="67">
        <f>'增加值 (2001-2060, 2020RMB)'!AG8*$B$73</f>
        <v>3470.6211033748696</v>
      </c>
      <c r="AH8" s="67">
        <f>'增加值 (2001-2060, 2020RMB)'!AH8*$B$73</f>
        <v>3567.0192030105163</v>
      </c>
      <c r="AI8" s="67">
        <f>'增加值 (2001-2060, 2020RMB)'!AI8*$B$73</f>
        <v>3658.9306500094258</v>
      </c>
      <c r="AJ8" s="71">
        <f>'增加值 (2001-2060, 2020RMB)'!AJ8*$B$73</f>
        <v>3748.2460608232645</v>
      </c>
      <c r="AK8" s="69">
        <f>'增加值 (2001-2060, 2020RMB)'!AK8*$B$73</f>
        <v>3836.6223605759392</v>
      </c>
      <c r="AL8" s="67">
        <f>'增加值 (2001-2060, 2020RMB)'!AL8*$B$73</f>
        <v>3923.9871115257843</v>
      </c>
      <c r="AM8" s="67">
        <f>'增加值 (2001-2060, 2020RMB)'!AM8*$B$73</f>
        <v>4009.7872007189781</v>
      </c>
      <c r="AN8" s="67">
        <f>'增加值 (2001-2060, 2020RMB)'!AN8*$B$73</f>
        <v>4093.4358489077208</v>
      </c>
      <c r="AO8" s="70">
        <f>'增加值 (2001-2060, 2020RMB)'!AO8*$B$73</f>
        <v>4174.3151931215216</v>
      </c>
      <c r="AP8" s="69">
        <f>'增加值 (2001-2060, 2020RMB)'!AP8*$B$73</f>
        <v>4251.7796705760438</v>
      </c>
      <c r="AQ8" s="67">
        <f>'增加值 (2001-2060, 2020RMB)'!AQ8*$B$73</f>
        <v>4325.1602425498768</v>
      </c>
      <c r="AR8" s="67">
        <f>'增加值 (2001-2060, 2020RMB)'!AR8*$B$73</f>
        <v>4393.7694833686028</v>
      </c>
      <c r="AS8" s="67">
        <f>'增加值 (2001-2060, 2020RMB)'!AS8*$B$73</f>
        <v>4456.9075433129246</v>
      </c>
      <c r="AT8" s="70">
        <f>'增加值 (2001-2060, 2020RMB)'!AT8*$B$73</f>
        <v>4513.8689751757956</v>
      </c>
      <c r="AU8" s="69">
        <f>'增加值 (2001-2060, 2020RMB)'!AU8*$B$73</f>
        <v>4563.95039250838</v>
      </c>
      <c r="AV8" s="67">
        <f>'增加值 (2001-2060, 2020RMB)'!AV8*$B$73</f>
        <v>4606.4589036182833</v>
      </c>
      <c r="AW8" s="67">
        <f>'增加值 (2001-2060, 2020RMB)'!AW8*$B$73</f>
        <v>4640.721239558563</v>
      </c>
      <c r="AX8" s="67">
        <f>'增加值 (2001-2060, 2020RMB)'!AX8*$B$73</f>
        <v>4666.0934672545063</v>
      </c>
      <c r="AY8" s="71">
        <f>'增加值 (2001-2060, 2020RMB)'!AY8*$B$73</f>
        <v>4681.9711512884651</v>
      </c>
      <c r="AZ8" s="69">
        <f>'增加值 (2001-2060, 2020RMB)'!AZ8*$B$73</f>
        <v>4687.7998005632599</v>
      </c>
      <c r="BA8" s="67">
        <f>'增加值 (2001-2060, 2020RMB)'!BA8*$B$73</f>
        <v>4683.085410082148</v>
      </c>
      <c r="BB8" s="67">
        <f>'增加值 (2001-2060, 2020RMB)'!BB8*$B$73</f>
        <v>4667.4048844998179</v>
      </c>
      <c r="BC8" s="67">
        <f>'增加值 (2001-2060, 2020RMB)'!BC8*$B$73</f>
        <v>4640.4161100684778</v>
      </c>
      <c r="BD8" s="70">
        <f>'增加值 (2001-2060, 2020RMB)'!BD8*$B$73</f>
        <v>4601.867426296255</v>
      </c>
      <c r="BE8" s="69">
        <f>'增加值 (2001-2060, 2020RMB)'!BE8*$B$73</f>
        <v>4551.6062392039003</v>
      </c>
      <c r="BF8" s="67">
        <f>'增加值 (2001-2060, 2020RMB)'!BF8*$B$73</f>
        <v>4489.5865155720294</v>
      </c>
      <c r="BG8" s="67">
        <f>'增加值 (2001-2060, 2020RMB)'!BG8*$B$73</f>
        <v>4415.874902939302</v>
      </c>
      <c r="BH8" s="67">
        <f>'增加值 (2001-2060, 2020RMB)'!BH8*$B$73</f>
        <v>4330.6552340552234</v>
      </c>
      <c r="BI8" s="71">
        <f>'增加值 (2001-2060, 2020RMB)'!BI8*$B$73</f>
        <v>4234.2311974560707</v>
      </c>
    </row>
    <row r="9" spans="1:65" x14ac:dyDescent="0.2">
      <c r="A9" s="14" t="s">
        <v>7</v>
      </c>
      <c r="B9" s="11">
        <f>'增加值 (2001-2060, 2020RMB)'!B9*$B$73</f>
        <v>1347.7673940303803</v>
      </c>
      <c r="C9" s="12">
        <f>'增加值 (2001-2060, 2020RMB)'!C9*$B$73</f>
        <v>1430.156352213399</v>
      </c>
      <c r="D9" s="12">
        <f>'增加值 (2001-2060, 2020RMB)'!D9*$B$73</f>
        <v>1516.2562216962042</v>
      </c>
      <c r="E9" s="12">
        <f>'增加值 (2001-2060, 2020RMB)'!E9*$B$73</f>
        <v>1547.534273804351</v>
      </c>
      <c r="F9" s="13">
        <f>'增加值 (2001-2060, 2020RMB)'!F9*$B$73</f>
        <v>1689.363091931338</v>
      </c>
      <c r="G9" s="11">
        <f>'增加值 (2001-2060, 2020RMB)'!G9*$B$73</f>
        <v>2165.0164621977192</v>
      </c>
      <c r="H9" s="12">
        <f>'增加值 (2001-2060, 2020RMB)'!H9*$B$73</f>
        <v>3061.7955148639662</v>
      </c>
      <c r="I9" s="12">
        <f>'增加值 (2001-2060, 2020RMB)'!I9*$B$73</f>
        <v>3429.7288409109169</v>
      </c>
      <c r="J9" s="12">
        <f>'增加值 (2001-2060, 2020RMB)'!J9*$B$73</f>
        <v>4091.0322632234879</v>
      </c>
      <c r="K9" s="13">
        <f>'增加值 (2001-2060, 2020RMB)'!K9*$B$73</f>
        <v>4509.1328253853526</v>
      </c>
      <c r="L9" s="11">
        <f>'增加值 (2001-2060, 2020RMB)'!L9*$B$73</f>
        <v>4987.390817657064</v>
      </c>
      <c r="M9" s="12">
        <f>'增加值 (2001-2060, 2020RMB)'!M9*$B$73</f>
        <v>5592.9147480115871</v>
      </c>
      <c r="N9" s="12">
        <f>'增加值 (2001-2060, 2020RMB)'!N9*$B$73</f>
        <v>6411.0259637493928</v>
      </c>
      <c r="O9" s="12">
        <f>'增加值 (2001-2060, 2020RMB)'!O9*$B$73</f>
        <v>7198.2825882291809</v>
      </c>
      <c r="P9" s="13">
        <f>'增加值 (2001-2060, 2020RMB)'!P9*$B$73</f>
        <v>8646.4873926158689</v>
      </c>
      <c r="Q9" s="11">
        <f>'增加值 (2001-2060, 2020RMB)'!Q9*$B$73</f>
        <v>9077.2806174726575</v>
      </c>
      <c r="R9" s="12">
        <f>'增加值 (2001-2060, 2020RMB)'!R9*$B$73</f>
        <v>9413.2889940005916</v>
      </c>
      <c r="S9" s="12">
        <f>'增加值 (2001-2060, 2020RMB)'!S9*$B$73</f>
        <v>9899.101919664623</v>
      </c>
      <c r="T9" s="12">
        <f>'增加值 (2001-2060, 2020RMB)'!T9*$B$73</f>
        <v>10558.966690894093</v>
      </c>
      <c r="U9" s="13">
        <f>'增加值 (2001-2060, 2020RMB)'!U9*$B$73</f>
        <v>11518.040116145148</v>
      </c>
      <c r="V9" s="11">
        <f>'增加值 (2001-2060, 2020RMB)'!V9*$B$73</f>
        <v>12010.857614349379</v>
      </c>
      <c r="W9" s="12">
        <f>'增加值 (2001-2060, 2020RMB)'!W9*$B$73</f>
        <v>12469.938513456913</v>
      </c>
      <c r="X9" s="67">
        <f>'增加值 (2001-2060, 2020RMB)'!X9*$B$73</f>
        <v>13022.329756315974</v>
      </c>
      <c r="Y9" s="67">
        <f>'增加值 (2001-2060, 2020RMB)'!Y9*$B$73</f>
        <v>13652.903825521787</v>
      </c>
      <c r="Z9" s="71">
        <f>'增加值 (2001-2060, 2020RMB)'!Z9*$B$73</f>
        <v>14351.862269383519</v>
      </c>
      <c r="AA9" s="69">
        <f>'增加值 (2001-2060, 2020RMB)'!AA9*$B$73</f>
        <v>15106.828118347015</v>
      </c>
      <c r="AB9" s="67">
        <f>'增加值 (2001-2060, 2020RMB)'!AB9*$B$73</f>
        <v>15902.120482043809</v>
      </c>
      <c r="AC9" s="67">
        <f>'增加值 (2001-2060, 2020RMB)'!AC9*$B$73</f>
        <v>16718.158228676315</v>
      </c>
      <c r="AD9" s="67">
        <f>'增加值 (2001-2060, 2020RMB)'!AD9*$B$73</f>
        <v>17531.068297297374</v>
      </c>
      <c r="AE9" s="70">
        <f>'增加值 (2001-2060, 2020RMB)'!AE9*$B$73</f>
        <v>18312.591565153089</v>
      </c>
      <c r="AF9" s="69">
        <f>'增加值 (2001-2060, 2020RMB)'!AF9*$B$73</f>
        <v>19036.579879431294</v>
      </c>
      <c r="AG9" s="67">
        <f>'增加值 (2001-2060, 2020RMB)'!AG9*$B$73</f>
        <v>19700.04027799526</v>
      </c>
      <c r="AH9" s="67">
        <f>'增加值 (2001-2060, 2020RMB)'!AH9*$B$73</f>
        <v>20307.995177378845</v>
      </c>
      <c r="AI9" s="67">
        <f>'增加值 (2001-2060, 2020RMB)'!AI9*$B$73</f>
        <v>20867.547684784611</v>
      </c>
      <c r="AJ9" s="71">
        <f>'增加值 (2001-2060, 2020RMB)'!AJ9*$B$73</f>
        <v>21387.640703629972</v>
      </c>
      <c r="AK9" s="69">
        <f>'增加值 (2001-2060, 2020RMB)'!AK9*$B$73</f>
        <v>21876.436636787999</v>
      </c>
      <c r="AL9" s="67">
        <f>'增加值 (2001-2060, 2020RMB)'!AL9*$B$73</f>
        <v>22333.536502939645</v>
      </c>
      <c r="AM9" s="67">
        <f>'增加值 (2001-2060, 2020RMB)'!AM9*$B$73</f>
        <v>22756.373907848894</v>
      </c>
      <c r="AN9" s="67">
        <f>'增加值 (2001-2060, 2020RMB)'!AN9*$B$73</f>
        <v>23142.522968093959</v>
      </c>
      <c r="AO9" s="70">
        <f>'增加值 (2001-2060, 2020RMB)'!AO9*$B$73</f>
        <v>23489.72107766605</v>
      </c>
      <c r="AP9" s="69">
        <f>'增加值 (2001-2060, 2020RMB)'!AP9*$B$73</f>
        <v>23795.89063569433</v>
      </c>
      <c r="AQ9" s="67">
        <f>'增加值 (2001-2060, 2020RMB)'!AQ9*$B$73</f>
        <v>24059.159448673301</v>
      </c>
      <c r="AR9" s="67">
        <f>'增加值 (2001-2060, 2020RMB)'!AR9*$B$73</f>
        <v>24277.879531427905</v>
      </c>
      <c r="AS9" s="67">
        <f>'增加值 (2001-2060, 2020RMB)'!AS9*$B$73</f>
        <v>24450.644046611964</v>
      </c>
      <c r="AT9" s="70">
        <f>'增加值 (2001-2060, 2020RMB)'!AT9*$B$73</f>
        <v>24576.302142648325</v>
      </c>
      <c r="AU9" s="69">
        <f>'增加值 (2001-2060, 2020RMB)'!AU9*$B$73</f>
        <v>24653.971474434136</v>
      </c>
      <c r="AV9" s="67">
        <f>'增加值 (2001-2060, 2020RMB)'!AV9*$B$73</f>
        <v>24683.048219523087</v>
      </c>
      <c r="AW9" s="67">
        <f>'增加值 (2001-2060, 2020RMB)'!AW9*$B$73</f>
        <v>24663.214434421658</v>
      </c>
      <c r="AX9" s="67">
        <f>'增加值 (2001-2060, 2020RMB)'!AX9*$B$73</f>
        <v>24594.442630597456</v>
      </c>
      <c r="AY9" s="71">
        <f>'增加值 (2001-2060, 2020RMB)'!AY9*$B$73</f>
        <v>24476.997487218221</v>
      </c>
      <c r="AZ9" s="69">
        <f>'增加值 (2001-2060, 2020RMB)'!AZ9*$B$73</f>
        <v>24311.434656878111</v>
      </c>
      <c r="BA9" s="67">
        <f>'增加值 (2001-2060, 2020RMB)'!BA9*$B$73</f>
        <v>24098.596660941479</v>
      </c>
      <c r="BB9" s="67">
        <f>'增加值 (2001-2060, 2020RMB)'!BB9*$B$73</f>
        <v>23839.60591192772</v>
      </c>
      <c r="BC9" s="67">
        <f>'增加值 (2001-2060, 2020RMB)'!BC9*$B$73</f>
        <v>23535.854940839585</v>
      </c>
      <c r="BD9" s="70">
        <f>'增加值 (2001-2060, 2020RMB)'!BD9*$B$73</f>
        <v>23188.99394676237</v>
      </c>
      <c r="BE9" s="69">
        <f>'增加值 (2001-2060, 2020RMB)'!BE9*$B$73</f>
        <v>22800.91582372535</v>
      </c>
      <c r="BF9" s="67">
        <f>'增加值 (2001-2060, 2020RMB)'!BF9*$B$73</f>
        <v>22373.738855013962</v>
      </c>
      <c r="BG9" s="67">
        <f>'增加值 (2001-2060, 2020RMB)'!BG9*$B$73</f>
        <v>21909.78729723025</v>
      </c>
      <c r="BH9" s="67">
        <f>'增加值 (2001-2060, 2020RMB)'!BH9*$B$73</f>
        <v>21411.570104822546</v>
      </c>
      <c r="BI9" s="71">
        <f>'增加值 (2001-2060, 2020RMB)'!BI9*$B$73</f>
        <v>20881.758070050953</v>
      </c>
    </row>
    <row r="10" spans="1:65" x14ac:dyDescent="0.2">
      <c r="A10" s="14" t="s">
        <v>8</v>
      </c>
      <c r="B10" s="11">
        <f>'增加值 (2001-2060, 2020RMB)'!B10*$B$73</f>
        <v>1219.0212583278549</v>
      </c>
      <c r="C10" s="12">
        <f>'增加值 (2001-2060, 2020RMB)'!C10*$B$73</f>
        <v>1373.1900105983616</v>
      </c>
      <c r="D10" s="12">
        <f>'增加值 (2001-2060, 2020RMB)'!D10*$B$73</f>
        <v>1544.1701634192118</v>
      </c>
      <c r="E10" s="12">
        <f>'增加值 (2001-2060, 2020RMB)'!E10*$B$73</f>
        <v>1676.9370442829156</v>
      </c>
      <c r="F10" s="13">
        <f>'增加值 (2001-2060, 2020RMB)'!F10*$B$73</f>
        <v>1914.2880443395622</v>
      </c>
      <c r="G10" s="11">
        <f>'增加值 (2001-2060, 2020RMB)'!G10*$B$73</f>
        <v>2240.6985755238452</v>
      </c>
      <c r="H10" s="12">
        <f>'增加值 (2001-2060, 2020RMB)'!H10*$B$73</f>
        <v>2762.4647165029232</v>
      </c>
      <c r="I10" s="12">
        <f>'增加值 (2001-2060, 2020RMB)'!I10*$B$73</f>
        <v>2729.5411431597586</v>
      </c>
      <c r="J10" s="12">
        <f>'增加值 (2001-2060, 2020RMB)'!J10*$B$73</f>
        <v>3514.7004494341772</v>
      </c>
      <c r="K10" s="13">
        <f>'增加值 (2001-2060, 2020RMB)'!K10*$B$73</f>
        <v>4087.449151662021</v>
      </c>
      <c r="L10" s="11">
        <f>'增加值 (2001-2060, 2020RMB)'!L10*$B$73</f>
        <v>4506.2057061483838</v>
      </c>
      <c r="M10" s="12">
        <f>'增加值 (2001-2060, 2020RMB)'!M10*$B$73</f>
        <v>4876.1561524196823</v>
      </c>
      <c r="N10" s="12">
        <f>'增加值 (2001-2060, 2020RMB)'!N10*$B$73</f>
        <v>5486.7901884874836</v>
      </c>
      <c r="O10" s="12">
        <f>'增加值 (2001-2060, 2020RMB)'!O10*$B$73</f>
        <v>5851.371938180193</v>
      </c>
      <c r="P10" s="13">
        <f>'增加值 (2001-2060, 2020RMB)'!P10*$B$73</f>
        <v>6538.4570630046546</v>
      </c>
      <c r="Q10" s="11">
        <f>'增加值 (2001-2060, 2020RMB)'!Q10*$B$73</f>
        <v>7564.3096872579927</v>
      </c>
      <c r="R10" s="12">
        <f>'增加值 (2001-2060, 2020RMB)'!R10*$B$73</f>
        <v>8287.0354913464689</v>
      </c>
      <c r="S10" s="12">
        <f>'增加值 (2001-2060, 2020RMB)'!S10*$B$73</f>
        <v>9059.7216461973221</v>
      </c>
      <c r="T10" s="12">
        <f>'增加值 (2001-2060, 2020RMB)'!T10*$B$73</f>
        <v>9754.9959835948321</v>
      </c>
      <c r="U10" s="13">
        <f>'增加值 (2001-2060, 2020RMB)'!U10*$B$73</f>
        <v>10114.073347389278</v>
      </c>
      <c r="V10" s="11">
        <f>'增加值 (2001-2060, 2020RMB)'!V10*$B$73</f>
        <v>10213.975076695173</v>
      </c>
      <c r="W10" s="12">
        <f>'增加值 (2001-2060, 2020RMB)'!W10*$B$73</f>
        <v>9508.7032670198314</v>
      </c>
      <c r="X10" s="67">
        <f>'增加值 (2001-2060, 2020RMB)'!X10*$B$73</f>
        <v>9977.8830038755095</v>
      </c>
      <c r="Y10" s="67">
        <f>'增加值 (2001-2060, 2020RMB)'!Y10*$B$73</f>
        <v>10472.834069002751</v>
      </c>
      <c r="Z10" s="71">
        <f>'增加值 (2001-2060, 2020RMB)'!Z10*$B$73</f>
        <v>10987.309603015396</v>
      </c>
      <c r="AA10" s="69">
        <f>'增加值 (2001-2060, 2020RMB)'!AA10*$B$73</f>
        <v>11513.634742419581</v>
      </c>
      <c r="AB10" s="67">
        <f>'增加值 (2001-2060, 2020RMB)'!AB10*$B$73</f>
        <v>12042.595541384288</v>
      </c>
      <c r="AC10" s="67">
        <f>'增加值 (2001-2060, 2020RMB)'!AC10*$B$73</f>
        <v>12563.392902269432</v>
      </c>
      <c r="AD10" s="67">
        <f>'增加值 (2001-2060, 2020RMB)'!AD10*$B$73</f>
        <v>13063.681799594095</v>
      </c>
      <c r="AE10" s="70">
        <f>'增加值 (2001-2060, 2020RMB)'!AE10*$B$73</f>
        <v>13529.715878975148</v>
      </c>
      <c r="AF10" s="69">
        <f>'增加值 (2001-2060, 2020RMB)'!AF10*$B$73</f>
        <v>13950.62844603741</v>
      </c>
      <c r="AG10" s="67">
        <f>'增加值 (2001-2060, 2020RMB)'!AG10*$B$73</f>
        <v>14331.719444305971</v>
      </c>
      <c r="AH10" s="67">
        <f>'增加值 (2001-2060, 2020RMB)'!AH10*$B$73</f>
        <v>14684.008636968674</v>
      </c>
      <c r="AI10" s="67">
        <f>'增加值 (2001-2060, 2020RMB)'!AI10*$B$73</f>
        <v>15020.180425249671</v>
      </c>
      <c r="AJ10" s="71">
        <f>'增加值 (2001-2060, 2020RMB)'!AJ10*$B$73</f>
        <v>15354.378066244968</v>
      </c>
      <c r="AK10" s="69">
        <f>'增加值 (2001-2060, 2020RMB)'!AK10*$B$73</f>
        <v>15698.986027928526</v>
      </c>
      <c r="AL10" s="67">
        <f>'增加值 (2001-2060, 2020RMB)'!AL10*$B$73</f>
        <v>16054.708038956538</v>
      </c>
      <c r="AM10" s="67">
        <f>'增加值 (2001-2060, 2020RMB)'!AM10*$B$73</f>
        <v>16419.017069643531</v>
      </c>
      <c r="AN10" s="67">
        <f>'增加值 (2001-2060, 2020RMB)'!AN10*$B$73</f>
        <v>16789.135196870327</v>
      </c>
      <c r="AO10" s="70">
        <f>'增加值 (2001-2060, 2020RMB)'!AO10*$B$73</f>
        <v>17162.020834866107</v>
      </c>
      <c r="AP10" s="69">
        <f>'增加值 (2001-2060, 2020RMB)'!AP10*$B$73</f>
        <v>17534.361126243788</v>
      </c>
      <c r="AQ10" s="67">
        <f>'增加值 (2001-2060, 2020RMB)'!AQ10*$B$73</f>
        <v>17902.570340469239</v>
      </c>
      <c r="AR10" s="67">
        <f>'增加值 (2001-2060, 2020RMB)'!AR10*$B$73</f>
        <v>18262.795148844867</v>
      </c>
      <c r="AS10" s="67">
        <f>'增加值 (2001-2060, 2020RMB)'!AS10*$B$73</f>
        <v>18610.927632037059</v>
      </c>
      <c r="AT10" s="70">
        <f>'增加值 (2001-2060, 2020RMB)'!AT10*$B$73</f>
        <v>18942.626821937811</v>
      </c>
      <c r="AU10" s="69">
        <f>'增加值 (2001-2060, 2020RMB)'!AU10*$B$73</f>
        <v>19253.349478350003</v>
      </c>
      <c r="AV10" s="67">
        <f>'增加值 (2001-2060, 2020RMB)'!AV10*$B$73</f>
        <v>19538.39064766077</v>
      </c>
      <c r="AW10" s="67">
        <f>'增加值 (2001-2060, 2020RMB)'!AW10*$B$73</f>
        <v>19792.9343417665</v>
      </c>
      <c r="AX10" s="67">
        <f>'增加值 (2001-2060, 2020RMB)'!AX10*$B$73</f>
        <v>20012.114409536149</v>
      </c>
      <c r="AY10" s="71">
        <f>'增加值 (2001-2060, 2020RMB)'!AY10*$B$73</f>
        <v>20191.085351176127</v>
      </c>
      <c r="AZ10" s="69">
        <f>'增加值 (2001-2060, 2020RMB)'!AZ10*$B$73</f>
        <v>20325.102452351857</v>
      </c>
      <c r="BA10" s="67">
        <f>'增加值 (2001-2060, 2020RMB)'!BA10*$B$73</f>
        <v>20409.610197898823</v>
      </c>
      <c r="BB10" s="67">
        <f>'增加值 (2001-2060, 2020RMB)'!BB10*$B$73</f>
        <v>20440.337476578763</v>
      </c>
      <c r="BC10" s="67">
        <f>'增加值 (2001-2060, 2020RMB)'!BC10*$B$73</f>
        <v>20413.39762497761</v>
      </c>
      <c r="BD10" s="70">
        <f>'增加值 (2001-2060, 2020RMB)'!BD10*$B$73</f>
        <v>20325.39090078944</v>
      </c>
      <c r="BE10" s="69">
        <f>'增加值 (2001-2060, 2020RMB)'!BE10*$B$73</f>
        <v>20173.506547532503</v>
      </c>
      <c r="BF10" s="67">
        <f>'增加值 (2001-2060, 2020RMB)'!BF10*$B$73</f>
        <v>19955.621241196008</v>
      </c>
      <c r="BG10" s="67">
        <f>'增加值 (2001-2060, 2020RMB)'!BG10*$B$73</f>
        <v>19670.390423071109</v>
      </c>
      <c r="BH10" s="67">
        <f>'增加值 (2001-2060, 2020RMB)'!BH10*$B$73</f>
        <v>19317.328850784306</v>
      </c>
      <c r="BI10" s="71">
        <f>'增加值 (2001-2060, 2020RMB)'!BI10*$B$73</f>
        <v>18896.876668210552</v>
      </c>
    </row>
    <row r="11" spans="1:65" x14ac:dyDescent="0.2">
      <c r="A11" s="15" t="s">
        <v>9</v>
      </c>
      <c r="B11" s="16">
        <f>'增加值 (2001-2060, 2020RMB)'!B11*$B$73</f>
        <v>4399.2839520758689</v>
      </c>
      <c r="C11" s="17">
        <f>'增加值 (2001-2060, 2020RMB)'!C11*$B$73</f>
        <v>5101.6409305548195</v>
      </c>
      <c r="D11" s="17">
        <f>'增加值 (2001-2060, 2020RMB)'!D11*$B$73</f>
        <v>5706.6329485801625</v>
      </c>
      <c r="E11" s="17">
        <f>'增加值 (2001-2060, 2020RMB)'!E11*$B$73</f>
        <v>6273.0917975100583</v>
      </c>
      <c r="F11" s="18">
        <f>'增加值 (2001-2060, 2020RMB)'!F11*$B$73</f>
        <v>7163.2289874958215</v>
      </c>
      <c r="G11" s="16">
        <f>'增加值 (2001-2060, 2020RMB)'!G11*$B$73</f>
        <v>8013.4462092884878</v>
      </c>
      <c r="H11" s="17">
        <f>'增加值 (2001-2060, 2020RMB)'!H11*$B$73</f>
        <v>8976.197423395437</v>
      </c>
      <c r="I11" s="17">
        <f>'增加值 (2001-2060, 2020RMB)'!I11*$B$73</f>
        <v>9940.0554716686747</v>
      </c>
      <c r="J11" s="17">
        <f>'增加值 (2001-2060, 2020RMB)'!J11*$B$73</f>
        <v>11241.233719102325</v>
      </c>
      <c r="K11" s="18">
        <f>'增加值 (2001-2060, 2020RMB)'!K11*$B$73</f>
        <v>12030.154213327729</v>
      </c>
      <c r="L11" s="16">
        <f>'增加值 (2001-2060, 2020RMB)'!L11*$B$73</f>
        <v>13152.04700770911</v>
      </c>
      <c r="M11" s="17">
        <f>'增加值 (2001-2060, 2020RMB)'!M11*$B$73</f>
        <v>14753.084208486993</v>
      </c>
      <c r="N11" s="17">
        <f>'增加值 (2001-2060, 2020RMB)'!N11*$B$73</f>
        <v>16433.371640329231</v>
      </c>
      <c r="O11" s="17">
        <f>'增加值 (2001-2060, 2020RMB)'!O11*$B$73</f>
        <v>18377.487349479274</v>
      </c>
      <c r="P11" s="18">
        <f>'增加值 (2001-2060, 2020RMB)'!P11*$B$73</f>
        <v>21018.334023345262</v>
      </c>
      <c r="Q11" s="16">
        <f>'增加值 (2001-2060, 2020RMB)'!Q11*$B$73</f>
        <v>23727.769933448726</v>
      </c>
      <c r="R11" s="17">
        <f>'增加值 (2001-2060, 2020RMB)'!R11*$B$73</f>
        <v>25997.521706091175</v>
      </c>
      <c r="S11" s="17">
        <f>'增加值 (2001-2060, 2020RMB)'!S11*$B$73</f>
        <v>28619.820921456478</v>
      </c>
      <c r="T11" s="17">
        <f>'增加值 (2001-2060, 2020RMB)'!T11*$B$73</f>
        <v>31533.437732821782</v>
      </c>
      <c r="U11" s="18">
        <f>'增加值 (2001-2060, 2020RMB)'!U11*$B$73</f>
        <v>32759.587336583696</v>
      </c>
      <c r="V11" s="16">
        <f>'增加值 (2001-2060, 2020RMB)'!V11*$B$73</f>
        <v>34240.431142295572</v>
      </c>
      <c r="W11" s="17">
        <f>'增加值 (2001-2060, 2020RMB)'!W11*$B$73</f>
        <v>36055.461019772934</v>
      </c>
      <c r="X11" s="72">
        <f>'增加值 (2001-2060, 2020RMB)'!X11*$B$73</f>
        <v>39200.687332086018</v>
      </c>
      <c r="Y11" s="72">
        <f>'增加值 (2001-2060, 2020RMB)'!Y11*$B$73</f>
        <v>42629.478933120256</v>
      </c>
      <c r="Z11" s="73">
        <f>'增加值 (2001-2060, 2020RMB)'!Z11*$B$73</f>
        <v>46338.383482690828</v>
      </c>
      <c r="AA11" s="74">
        <f>'增加值 (2001-2060, 2020RMB)'!AA11*$B$73</f>
        <v>50316.179510738795</v>
      </c>
      <c r="AB11" s="72">
        <f>'增加值 (2001-2060, 2020RMB)'!AB11*$B$73</f>
        <v>54542.167650040028</v>
      </c>
      <c r="AC11" s="72">
        <f>'增加值 (2001-2060, 2020RMB)'!AC11*$B$73</f>
        <v>58984.479900224753</v>
      </c>
      <c r="AD11" s="72">
        <f>'增加值 (2001-2060, 2020RMB)'!AD11*$B$73</f>
        <v>63598.525219369083</v>
      </c>
      <c r="AE11" s="75">
        <f>'增加值 (2001-2060, 2020RMB)'!AE11*$B$73</f>
        <v>68325.719693305233</v>
      </c>
      <c r="AF11" s="74">
        <f>'增加值 (2001-2060, 2020RMB)'!AF11*$B$73</f>
        <v>73108.460643181257</v>
      </c>
      <c r="AG11" s="72">
        <f>'增加值 (2001-2060, 2020RMB)'!AG11*$B$73</f>
        <v>77945.592862577309</v>
      </c>
      <c r="AH11" s="72">
        <f>'增加值 (2001-2060, 2020RMB)'!AH11*$B$73</f>
        <v>82860.00092430193</v>
      </c>
      <c r="AI11" s="72">
        <f>'增加值 (2001-2060, 2020RMB)'!AI11*$B$73</f>
        <v>87885.579315749812</v>
      </c>
      <c r="AJ11" s="73">
        <f>'增加值 (2001-2060, 2020RMB)'!AJ11*$B$73</f>
        <v>93068.006439293633</v>
      </c>
      <c r="AK11" s="74">
        <f>'增加值 (2001-2060, 2020RMB)'!AK11*$B$73</f>
        <v>98453.47570194937</v>
      </c>
      <c r="AL11" s="72">
        <f>'增加值 (2001-2060, 2020RMB)'!AL11*$B$73</f>
        <v>104047.65815805482</v>
      </c>
      <c r="AM11" s="72">
        <f>'增加值 (2001-2060, 2020RMB)'!AM11*$B$73</f>
        <v>109843.31978342141</v>
      </c>
      <c r="AN11" s="72">
        <f>'增加值 (2001-2060, 2020RMB)'!AN11*$B$73</f>
        <v>115831.09452334247</v>
      </c>
      <c r="AO11" s="75">
        <f>'增加值 (2001-2060, 2020RMB)'!AO11*$B$73</f>
        <v>121999.35645857107</v>
      </c>
      <c r="AP11" s="74">
        <f>'增加值 (2001-2060, 2020RMB)'!AP11*$B$73</f>
        <v>128334.10776832195</v>
      </c>
      <c r="AQ11" s="72">
        <f>'增加值 (2001-2060, 2020RMB)'!AQ11*$B$73</f>
        <v>134818.886258424</v>
      </c>
      <c r="AR11" s="72">
        <f>'增加值 (2001-2060, 2020RMB)'!AR11*$B$73</f>
        <v>141434.69630972674</v>
      </c>
      <c r="AS11" s="72">
        <f>'增加值 (2001-2060, 2020RMB)'!AS11*$B$73</f>
        <v>148159.96710783208</v>
      </c>
      <c r="AT11" s="75">
        <f>'增加值 (2001-2060, 2020RMB)'!AT11*$B$73</f>
        <v>154970.54192828122</v>
      </c>
      <c r="AU11" s="74">
        <f>'增加值 (2001-2060, 2020RMB)'!AU11*$B$73</f>
        <v>161839.70206077441</v>
      </c>
      <c r="AV11" s="72">
        <f>'增加值 (2001-2060, 2020RMB)'!AV11*$B$73</f>
        <v>168738.22865287671</v>
      </c>
      <c r="AW11" s="72">
        <f>'增加值 (2001-2060, 2020RMB)'!AW11*$B$73</f>
        <v>175634.5053313986</v>
      </c>
      <c r="AX11" s="72">
        <f>'增加值 (2001-2060, 2020RMB)'!AX11*$B$73</f>
        <v>182494.66391461735</v>
      </c>
      <c r="AY11" s="73">
        <f>'增加值 (2001-2060, 2020RMB)'!AY11*$B$73</f>
        <v>189282.77486070761</v>
      </c>
      <c r="AZ11" s="74">
        <f>'增加值 (2001-2060, 2020RMB)'!AZ11*$B$73</f>
        <v>195961.08331124656</v>
      </c>
      <c r="BA11" s="72">
        <f>'增加值 (2001-2060, 2020RMB)'!BA11*$B$73</f>
        <v>202490.2906920767</v>
      </c>
      <c r="BB11" s="72">
        <f>'增加值 (2001-2060, 2020RMB)'!BB11*$B$73</f>
        <v>208829.88084062809</v>
      </c>
      <c r="BC11" s="72">
        <f>'增加值 (2001-2060, 2020RMB)'!BC11*$B$73</f>
        <v>214938.48855752844</v>
      </c>
      <c r="BD11" s="75">
        <f>'增加值 (2001-2060, 2020RMB)'!BD11*$B$73</f>
        <v>220774.3073544667</v>
      </c>
      <c r="BE11" s="74">
        <f>'增加值 (2001-2060, 2020RMB)'!BE11*$B$73</f>
        <v>226295.53201796257</v>
      </c>
      <c r="BF11" s="72">
        <f>'增加值 (2001-2060, 2020RMB)'!BF11*$B$73</f>
        <v>231460.83046240988</v>
      </c>
      <c r="BG11" s="72">
        <f>'增加值 (2001-2060, 2020RMB)'!BG11*$B$73</f>
        <v>236229.83824127426</v>
      </c>
      <c r="BH11" s="72">
        <f>'增加值 (2001-2060, 2020RMB)'!BH11*$B$73</f>
        <v>240563.66806092745</v>
      </c>
      <c r="BI11" s="73">
        <f>'增加值 (2001-2060, 2020RMB)'!BI11*$B$73</f>
        <v>244425.42573672745</v>
      </c>
    </row>
    <row r="12" spans="1:65" x14ac:dyDescent="0.2">
      <c r="A12" s="32"/>
      <c r="B12" s="11"/>
      <c r="C12" s="12"/>
      <c r="D12" s="12"/>
      <c r="E12" s="12"/>
      <c r="F12" s="13"/>
      <c r="G12" s="11"/>
      <c r="H12" s="12"/>
      <c r="I12" s="12"/>
      <c r="J12" s="12"/>
      <c r="K12" s="13"/>
      <c r="L12" s="11"/>
      <c r="M12" s="12"/>
      <c r="N12" s="12"/>
      <c r="O12" s="12"/>
      <c r="P12" s="13"/>
      <c r="Q12" s="11"/>
      <c r="R12" s="12"/>
      <c r="S12" s="12"/>
      <c r="T12" s="12"/>
      <c r="U12" s="13"/>
      <c r="V12" s="11"/>
      <c r="W12" s="12"/>
      <c r="X12" s="59"/>
      <c r="Y12" s="59"/>
      <c r="Z12" s="60"/>
      <c r="AA12" s="61"/>
      <c r="AB12" s="59"/>
      <c r="AC12" s="59"/>
      <c r="AD12" s="59"/>
      <c r="AE12" s="60"/>
      <c r="AF12" s="61"/>
      <c r="AG12" s="59"/>
      <c r="AH12" s="59"/>
      <c r="AI12" s="59"/>
      <c r="AJ12" s="60"/>
      <c r="AK12" s="61"/>
      <c r="AL12" s="59"/>
      <c r="AM12" s="59"/>
      <c r="AN12" s="59"/>
      <c r="AO12" s="60"/>
      <c r="AP12" s="61"/>
      <c r="AQ12" s="59"/>
      <c r="AR12" s="59"/>
      <c r="AS12" s="59"/>
      <c r="AT12" s="60"/>
      <c r="AU12" s="61"/>
      <c r="AV12" s="59"/>
      <c r="AW12" s="59"/>
      <c r="AX12" s="59"/>
      <c r="AY12" s="60"/>
      <c r="AZ12" s="61"/>
      <c r="BA12" s="59"/>
      <c r="BB12" s="59"/>
      <c r="BC12" s="59"/>
      <c r="BD12" s="60"/>
      <c r="BE12" s="61"/>
      <c r="BF12" s="59"/>
      <c r="BG12" s="59"/>
      <c r="BH12" s="59"/>
      <c r="BI12" s="60"/>
    </row>
    <row r="13" spans="1:65" s="9" customFormat="1" x14ac:dyDescent="0.2">
      <c r="A13" s="4" t="s">
        <v>2</v>
      </c>
      <c r="B13" s="6">
        <f>'增加值 (2001-2060, 2020RMB)'!B13*$B$73</f>
        <v>11360.305148771144</v>
      </c>
      <c r="C13" s="7">
        <f>'增加值 (2001-2060, 2020RMB)'!C13*$B$73</f>
        <v>12298.062693286282</v>
      </c>
      <c r="D13" s="7">
        <f>'增加值 (2001-2060, 2020RMB)'!D13*$B$73</f>
        <v>13884.790875628891</v>
      </c>
      <c r="E13" s="7">
        <f>'增加值 (2001-2060, 2020RMB)'!E13*$B$73</f>
        <v>15422.095104095906</v>
      </c>
      <c r="F13" s="8">
        <f>'增加值 (2001-2060, 2020RMB)'!F13*$B$73</f>
        <v>17592.823233998242</v>
      </c>
      <c r="G13" s="6">
        <f>'增加值 (2001-2060, 2020RMB)'!G13*$B$73</f>
        <v>20024.670878731729</v>
      </c>
      <c r="H13" s="7">
        <f>'增加值 (2001-2060, 2020RMB)'!H13*$B$73</f>
        <v>22498.315163918967</v>
      </c>
      <c r="I13" s="7">
        <f>'增加值 (2001-2060, 2020RMB)'!I13*$B$73</f>
        <v>24625.937654813672</v>
      </c>
      <c r="J13" s="7">
        <f>'增加值 (2001-2060, 2020RMB)'!J13*$B$73</f>
        <v>25871.065445139207</v>
      </c>
      <c r="K13" s="8">
        <f>'增加值 (2001-2060, 2020RMB)'!K13*$B$73</f>
        <v>28934.018460247236</v>
      </c>
      <c r="L13" s="6">
        <f>'增加值 (2001-2060, 2020RMB)'!L13*$B$73</f>
        <v>31652.799458352747</v>
      </c>
      <c r="M13" s="39">
        <f>'增加值 (2001-2060, 2020RMB)'!M13*$B$73</f>
        <v>33124.32229745431</v>
      </c>
      <c r="N13" s="39">
        <f>'增加值 (2001-2060, 2020RMB)'!N13*$B$73</f>
        <v>34518.444056519606</v>
      </c>
      <c r="O13" s="39">
        <f>'增加值 (2001-2060, 2020RMB)'!O13*$B$73</f>
        <v>35827.085847351853</v>
      </c>
      <c r="P13" s="40">
        <f>'增加值 (2001-2060, 2020RMB)'!P13*$B$73</f>
        <v>36086.373868234325</v>
      </c>
      <c r="Q13" s="38">
        <f>'增加值 (2001-2060, 2020RMB)'!Q13*$B$73</f>
        <v>37149.335570071082</v>
      </c>
      <c r="R13" s="39">
        <f>'增加值 (2001-2060, 2020RMB)'!R13*$B$73</f>
        <v>39938.398266727323</v>
      </c>
      <c r="S13" s="39">
        <f>'增加值 (2001-2060, 2020RMB)'!S13*$B$73</f>
        <v>42210.749247921012</v>
      </c>
      <c r="T13" s="39">
        <f>'增加值 (2001-2060, 2020RMB)'!T13*$B$73</f>
        <v>43185.307729585511</v>
      </c>
      <c r="U13" s="40">
        <f>'增加值 (2001-2060, 2020RMB)'!U13*$B$73</f>
        <v>43101.259119279217</v>
      </c>
      <c r="V13" s="38">
        <f>'增加值 (2001-2060, 2020RMB)'!V13*$B$73</f>
        <v>49064.409191140723</v>
      </c>
      <c r="W13" s="39">
        <f>'增加值 (2001-2060, 2020RMB)'!W13*$B$73</f>
        <v>51734.614096336591</v>
      </c>
      <c r="X13" s="81">
        <f>'增加值 (2001-2060, 2020RMB)'!X13*$B$73</f>
        <v>53745.044890714504</v>
      </c>
      <c r="Y13" s="81">
        <f>'增加值 (2001-2060, 2020RMB)'!Y13*$B$73</f>
        <v>55797.824464302677</v>
      </c>
      <c r="Z13" s="82">
        <f>'增加值 (2001-2060, 2020RMB)'!Z13*$B$73</f>
        <v>57877.740977447531</v>
      </c>
      <c r="AA13" s="83">
        <f>'增加值 (2001-2060, 2020RMB)'!AA13*$B$73</f>
        <v>59968.482795007389</v>
      </c>
      <c r="AB13" s="81">
        <f>'增加值 (2001-2060, 2020RMB)'!AB13*$B$73</f>
        <v>62052.336341136477</v>
      </c>
      <c r="AC13" s="81">
        <f>'增加值 (2001-2060, 2020RMB)'!AC13*$B$73</f>
        <v>64109.980941783375</v>
      </c>
      <c r="AD13" s="81">
        <f>'增加值 (2001-2060, 2020RMB)'!AD13*$B$73</f>
        <v>66120.413332608354</v>
      </c>
      <c r="AE13" s="84">
        <f>'增加值 (2001-2060, 2020RMB)'!AE13*$B$73</f>
        <v>68061.03789553282</v>
      </c>
      <c r="AF13" s="83">
        <f>'增加值 (2001-2060, 2020RMB)'!AF13*$B$73</f>
        <v>69910.804517526878</v>
      </c>
      <c r="AG13" s="81">
        <f>'增加值 (2001-2060, 2020RMB)'!AG13*$B$73</f>
        <v>71659.61879273066</v>
      </c>
      <c r="AH13" s="81">
        <f>'增加值 (2001-2060, 2020RMB)'!AH13*$B$73</f>
        <v>73300.767659547084</v>
      </c>
      <c r="AI13" s="81">
        <f>'增加值 (2001-2060, 2020RMB)'!AI13*$B$73</f>
        <v>74828.176255333849</v>
      </c>
      <c r="AJ13" s="104">
        <f>'增加值 (2001-2060, 2020RMB)'!AJ13*$B$73</f>
        <v>76236.406676996528</v>
      </c>
      <c r="AK13" s="83">
        <f>'增加值 (2001-2060, 2020RMB)'!AK13*$B$73</f>
        <v>77521.430751777065</v>
      </c>
      <c r="AL13" s="81">
        <f>'增加值 (2001-2060, 2020RMB)'!AL13*$B$73</f>
        <v>78683.118000481816</v>
      </c>
      <c r="AM13" s="81">
        <f>'增加值 (2001-2060, 2020RMB)'!AM13*$B$73</f>
        <v>79723.33696034344</v>
      </c>
      <c r="AN13" s="81">
        <f>'增加值 (2001-2060, 2020RMB)'!AN13*$B$73</f>
        <v>80645.174994409215</v>
      </c>
      <c r="AO13" s="84">
        <f>'增加值 (2001-2060, 2020RMB)'!AO13*$B$73</f>
        <v>81452.835395343558</v>
      </c>
      <c r="AP13" s="83">
        <f>'增加值 (2001-2060, 2020RMB)'!AP13*$B$73</f>
        <v>82151.5250684731</v>
      </c>
      <c r="AQ13" s="81">
        <f>'增加值 (2001-2060, 2020RMB)'!AQ13*$B$73</f>
        <v>82747.336776781623</v>
      </c>
      <c r="AR13" s="81">
        <f>'增加值 (2001-2060, 2020RMB)'!AR13*$B$73</f>
        <v>83247.129707321888</v>
      </c>
      <c r="AS13" s="81">
        <f>'增加值 (2001-2060, 2020RMB)'!AS13*$B$73</f>
        <v>83658.41179841086</v>
      </c>
      <c r="AT13" s="84">
        <f>'增加值 (2001-2060, 2020RMB)'!AT13*$B$73</f>
        <v>83989.226879501352</v>
      </c>
      <c r="AU13" s="83">
        <f>'增加值 (2001-2060, 2020RMB)'!AU13*$B$73</f>
        <v>84248.049249642558</v>
      </c>
      <c r="AV13" s="81">
        <f>'增加值 (2001-2060, 2020RMB)'!AV13*$B$73</f>
        <v>84443.687882762853</v>
      </c>
      <c r="AW13" s="81">
        <f>'增加值 (2001-2060, 2020RMB)'!AW13*$B$73</f>
        <v>84585.202022463258</v>
      </c>
      <c r="AX13" s="81">
        <f>'增加值 (2001-2060, 2020RMB)'!AX13*$B$73</f>
        <v>84681.829535909434</v>
      </c>
      <c r="AY13" s="84">
        <f>'增加值 (2001-2060, 2020RMB)'!AY13*$B$73</f>
        <v>84742.929052402149</v>
      </c>
      <c r="AZ13" s="83">
        <f>'增加值 (2001-2060, 2020RMB)'!AZ13*$B$73</f>
        <v>84777.936630462646</v>
      </c>
      <c r="BA13" s="81">
        <f>'增加值 (2001-2060, 2020RMB)'!BA13*$B$73</f>
        <v>84796.33748798247</v>
      </c>
      <c r="BB13" s="81">
        <f>'增加值 (2001-2060, 2020RMB)'!BB13*$B$73</f>
        <v>84807.653201067951</v>
      </c>
      <c r="BC13" s="81">
        <f>'增加值 (2001-2060, 2020RMB)'!BC13*$B$73</f>
        <v>84821.444735188037</v>
      </c>
      <c r="BD13" s="84">
        <f>'增加值 (2001-2060, 2020RMB)'!BD13*$B$73</f>
        <v>84847.331723337484</v>
      </c>
      <c r="BE13" s="83">
        <f>'增加值 (2001-2060, 2020RMB)'!BE13*$B$73</f>
        <v>84895.028557277037</v>
      </c>
      <c r="BF13" s="81">
        <f>'增加值 (2001-2060, 2020RMB)'!BF13*$B$73</f>
        <v>84974.398118952653</v>
      </c>
      <c r="BG13" s="81">
        <f>'增加值 (2001-2060, 2020RMB)'!BG13*$B$73</f>
        <v>85095.524363312361</v>
      </c>
      <c r="BH13" s="81">
        <f>'增加值 (2001-2060, 2020RMB)'!BH13*$B$73</f>
        <v>85268.805490295621</v>
      </c>
      <c r="BI13" s="104">
        <f>'增加值 (2001-2060, 2020RMB)'!BI13*$B$73</f>
        <v>85505.07014057276</v>
      </c>
    </row>
    <row r="14" spans="1:65" x14ac:dyDescent="0.2">
      <c r="A14" s="29" t="s">
        <v>71</v>
      </c>
      <c r="B14" s="22"/>
      <c r="C14" s="23"/>
      <c r="D14" s="23"/>
      <c r="E14" s="23"/>
      <c r="F14" s="24"/>
      <c r="G14" s="22"/>
      <c r="H14" s="23"/>
      <c r="I14" s="23">
        <f>'增加值 (2001-2060, 2020RMB)'!I14*$B$73</f>
        <v>1608.2848584278597</v>
      </c>
      <c r="J14" s="23">
        <f>'增加值 (2001-2060, 2020RMB)'!J14*$B$73</f>
        <v>1651.0989121675054</v>
      </c>
      <c r="K14" s="24">
        <f>'增加值 (2001-2060, 2020RMB)'!K14*$B$73</f>
        <v>1879.1923219537205</v>
      </c>
      <c r="L14" s="22">
        <f>'增加值 (2001-2060, 2020RMB)'!L14*$B$73</f>
        <v>2105.4222125807664</v>
      </c>
      <c r="M14" s="23">
        <f>'增加值 (2001-2060, 2020RMB)'!M14*$B$73</f>
        <v>2200.7748797618237</v>
      </c>
      <c r="N14" s="23">
        <f>'增加值 (2001-2060, 2020RMB)'!N14*$B$73</f>
        <v>2209.8174876911885</v>
      </c>
      <c r="O14" s="23">
        <f>'增加值 (2001-2060, 2020RMB)'!O14*$B$73</f>
        <v>2171.579848017881</v>
      </c>
      <c r="P14" s="23">
        <f>'增加值 (2001-2060, 2020RMB)'!P14*$B$73</f>
        <v>2099.3377117375903</v>
      </c>
      <c r="Q14" s="22">
        <f>'增加值 (2001-2060, 2020RMB)'!Q14*$B$73</f>
        <v>2017.9816653801363</v>
      </c>
      <c r="R14" s="23">
        <f>'增加值 (2001-2060, 2020RMB)'!R14*$B$73</f>
        <v>1999.7266103568845</v>
      </c>
      <c r="S14" s="23">
        <f>'增加值 (2001-2060, 2020RMB)'!S14*$B$73</f>
        <v>2034.9296418416018</v>
      </c>
      <c r="T14" s="23">
        <f>'增加值 (2001-2060, 2020RMB)'!T14*$B$73</f>
        <v>2069.922408755594</v>
      </c>
      <c r="U14" s="24">
        <f>'增加值 (2001-2060, 2020RMB)'!U14*$B$73</f>
        <v>2036.4097192215513</v>
      </c>
      <c r="V14" s="23">
        <f>'增加值 (2001-2060, 2020RMB)'!V14*$B$73</f>
        <v>2262.3473207375118</v>
      </c>
      <c r="W14" s="23">
        <f>'增加值 (2001-2060, 2020RMB)'!W14*$B$73</f>
        <v>2479.7197729678542</v>
      </c>
      <c r="X14" s="98">
        <f>'增加值 (2001-2060, 2020RMB)'!X14*$B$73</f>
        <v>2521.8209793500132</v>
      </c>
      <c r="Y14" s="98">
        <f>'增加值 (2001-2060, 2020RMB)'!Y14*$B$73</f>
        <v>2567.7101881185945</v>
      </c>
      <c r="Z14" s="98">
        <f>'增加值 (2001-2060, 2020RMB)'!Z14*$B$73</f>
        <v>2615.7264061614287</v>
      </c>
      <c r="AA14" s="100">
        <f>'增加值 (2001-2060, 2020RMB)'!AA14*$B$73</f>
        <v>2664.082375045105</v>
      </c>
      <c r="AB14" s="98">
        <f>'增加值 (2001-2060, 2020RMB)'!AB14*$B$73</f>
        <v>2710.8560785374152</v>
      </c>
      <c r="AC14" s="98">
        <f>'增加值 (2001-2060, 2020RMB)'!AC14*$B$73</f>
        <v>2753.9954025629559</v>
      </c>
      <c r="AD14" s="98">
        <f>'增加值 (2001-2060, 2020RMB)'!AD14*$B$73</f>
        <v>2791.3375473429815</v>
      </c>
      <c r="AE14" s="99">
        <f>'增加值 (2001-2060, 2020RMB)'!AE14*$B$73</f>
        <v>2820.6445413865099</v>
      </c>
      <c r="AF14" s="98">
        <f>'增加值 (2001-2060, 2020RMB)'!AF14*$B$73</f>
        <v>2840.2015477946884</v>
      </c>
      <c r="AG14" s="98">
        <f>'增加值 (2001-2060, 2020RMB)'!AG14*$B$73</f>
        <v>2850.5366809326442</v>
      </c>
      <c r="AH14" s="98">
        <f>'增加值 (2001-2060, 2020RMB)'!AH14*$B$73</f>
        <v>2852.8316347397495</v>
      </c>
      <c r="AI14" s="98">
        <f>'增加值 (2001-2060, 2020RMB)'!AI14*$B$73</f>
        <v>2848.3479614191579</v>
      </c>
      <c r="AJ14" s="105">
        <f>'增加值 (2001-2060, 2020RMB)'!AJ14*$B$73</f>
        <v>2838.3941075272182</v>
      </c>
      <c r="AK14" s="100">
        <f>'增加值 (2001-2060, 2020RMB)'!AK14*$B$73</f>
        <v>2824.1211531150961</v>
      </c>
      <c r="AL14" s="98">
        <f>'增加值 (2001-2060, 2020RMB)'!AL14*$B$73</f>
        <v>2805.9801123218008</v>
      </c>
      <c r="AM14" s="98">
        <f>'增加值 (2001-2060, 2020RMB)'!AM14*$B$73</f>
        <v>2784.2550518144708</v>
      </c>
      <c r="AN14" s="98">
        <f>'增加值 (2001-2060, 2020RMB)'!AN14*$B$73</f>
        <v>2759.2378076208147</v>
      </c>
      <c r="AO14" s="99">
        <f>'增加值 (2001-2060, 2020RMB)'!AO14*$B$73</f>
        <v>2731.2248890615938</v>
      </c>
      <c r="AP14" s="98">
        <f>'增加值 (2001-2060, 2020RMB)'!AP14*$B$73</f>
        <v>2700.5145980019452</v>
      </c>
      <c r="AQ14" s="98">
        <f>'增加值 (2001-2060, 2020RMB)'!AQ14*$B$73</f>
        <v>2667.4043860525394</v>
      </c>
      <c r="AR14" s="98">
        <f>'增加值 (2001-2060, 2020RMB)'!AR14*$B$73</f>
        <v>2632.1884658756417</v>
      </c>
      <c r="AS14" s="98">
        <f>'增加值 (2001-2060, 2020RMB)'!AS14*$B$73</f>
        <v>2595.1556867037793</v>
      </c>
      <c r="AT14" s="98">
        <f>'增加值 (2001-2060, 2020RMB)'!AT14*$B$73</f>
        <v>2556.5876786507829</v>
      </c>
      <c r="AU14" s="100">
        <f>'增加值 (2001-2060, 2020RMB)'!AU14*$B$73</f>
        <v>2516.7572654509659</v>
      </c>
      <c r="AV14" s="98">
        <f>'增加值 (2001-2060, 2020RMB)'!AV14*$B$73</f>
        <v>2475.9271409422931</v>
      </c>
      <c r="AW14" s="98">
        <f>'增加值 (2001-2060, 2020RMB)'!AW14*$B$73</f>
        <v>2434.348800933692</v>
      </c>
      <c r="AX14" s="98">
        <f>'增加值 (2001-2060, 2020RMB)'!AX14*$B$73</f>
        <v>2392.2617190637993</v>
      </c>
      <c r="AY14" s="99">
        <f>'增加值 (2001-2060, 2020RMB)'!AY14*$B$73</f>
        <v>2349.8927528532017</v>
      </c>
      <c r="AZ14" s="100">
        <f>'增加值 (2001-2060, 2020RMB)'!AZ14*$B$73</f>
        <v>2307.4557643452972</v>
      </c>
      <c r="BA14" s="98">
        <f>'增加值 (2001-2060, 2020RMB)'!BA14*$B$73</f>
        <v>2265.151438482344</v>
      </c>
      <c r="BB14" s="98">
        <f>'增加值 (2001-2060, 2020RMB)'!BB14*$B$73</f>
        <v>2223.1672816265959</v>
      </c>
      <c r="BC14" s="98">
        <f>'增加值 (2001-2060, 2020RMB)'!BC14*$B$73</f>
        <v>2181.6777823595112</v>
      </c>
      <c r="BD14" s="99">
        <f>'增加值 (2001-2060, 2020RMB)'!BD14*$B$73</f>
        <v>2140.8447168205826</v>
      </c>
      <c r="BE14" s="98">
        <f>'增加值 (2001-2060, 2020RMB)'!BE14*$B$73</f>
        <v>2100.8175813263238</v>
      </c>
      <c r="BF14" s="98">
        <f>'增加值 (2001-2060, 2020RMB)'!BF14*$B$73</f>
        <v>2061.7341357852833</v>
      </c>
      <c r="BG14" s="98">
        <f>'增加值 (2001-2060, 2020RMB)'!BG14*$B$73</f>
        <v>2023.721042445821</v>
      </c>
      <c r="BH14" s="98">
        <f>'增加值 (2001-2060, 2020RMB)'!BH14*$B$73</f>
        <v>1986.894585731462</v>
      </c>
      <c r="BI14" s="108">
        <f>'增加值 (2001-2060, 2020RMB)'!BI14*$B$73</f>
        <v>1951.3614602916741</v>
      </c>
    </row>
    <row r="15" spans="1:65" x14ac:dyDescent="0.2">
      <c r="A15" s="30" t="s">
        <v>72</v>
      </c>
      <c r="B15" s="19"/>
      <c r="C15" s="20"/>
      <c r="D15" s="20"/>
      <c r="E15" s="20"/>
      <c r="F15" s="21"/>
      <c r="G15" s="19"/>
      <c r="H15" s="20"/>
      <c r="I15" s="20">
        <f>'增加值 (2001-2060, 2020RMB)'!I15*$B$73</f>
        <v>1691.9642035906934</v>
      </c>
      <c r="J15" s="20">
        <f>'增加值 (2001-2060, 2020RMB)'!J15*$B$73</f>
        <v>1680.8699560030407</v>
      </c>
      <c r="K15" s="21">
        <f>'增加值 (2001-2060, 2020RMB)'!K15*$B$73</f>
        <v>1629.0528811988204</v>
      </c>
      <c r="L15" s="19">
        <f>'增加值 (2001-2060, 2020RMB)'!L15*$B$73</f>
        <v>1645.1568841099402</v>
      </c>
      <c r="M15" s="20">
        <f>'增加值 (2001-2060, 2020RMB)'!M15*$B$73</f>
        <v>1616.2967364381511</v>
      </c>
      <c r="N15" s="20">
        <f>'增加值 (2001-2060, 2020RMB)'!N15*$B$73</f>
        <v>1570.7335794601238</v>
      </c>
      <c r="O15" s="20">
        <f>'增加值 (2001-2060, 2020RMB)'!O15*$B$73</f>
        <v>1558.6134131412034</v>
      </c>
      <c r="P15" s="20">
        <f>'增加值 (2001-2060, 2020RMB)'!P15*$B$73</f>
        <v>1540.772253083157</v>
      </c>
      <c r="Q15" s="19">
        <f>'增加值 (2001-2060, 2020RMB)'!Q15*$B$73</f>
        <v>1502.1130367157548</v>
      </c>
      <c r="R15" s="20">
        <f>'增加值 (2001-2060, 2020RMB)'!R15*$B$73</f>
        <v>1479.4019047376719</v>
      </c>
      <c r="S15" s="20">
        <f>'增加值 (2001-2060, 2020RMB)'!S15*$B$73</f>
        <v>1502.499103959708</v>
      </c>
      <c r="T15" s="20">
        <f>'增加值 (2001-2060, 2020RMB)'!T15*$B$73</f>
        <v>1502.2602870929002</v>
      </c>
      <c r="U15" s="21">
        <f>'增加值 (2001-2060, 2020RMB)'!U15*$B$73</f>
        <v>1460.4994252894223</v>
      </c>
      <c r="V15" s="20">
        <f>'增加值 (2001-2060, 2020RMB)'!V15*$B$73</f>
        <v>1579.9619826365199</v>
      </c>
      <c r="W15" s="20">
        <f>'增加值 (2001-2060, 2020RMB)'!W15*$B$73</f>
        <v>1694.8545592328228</v>
      </c>
      <c r="X15" s="90">
        <f>'增加值 (2001-2060, 2020RMB)'!X15*$B$73</f>
        <v>1704.8526895879286</v>
      </c>
      <c r="Y15" s="90">
        <f>'增加值 (2001-2060, 2020RMB)'!Y15*$B$73</f>
        <v>1715.8045728767156</v>
      </c>
      <c r="Z15" s="90">
        <f>'增加值 (2001-2060, 2020RMB)'!Z15*$B$73</f>
        <v>1726.9504102729618</v>
      </c>
      <c r="AA15" s="89">
        <f>'增加值 (2001-2060, 2020RMB)'!AA15*$B$73</f>
        <v>1737.5109176764749</v>
      </c>
      <c r="AB15" s="90">
        <f>'增加值 (2001-2060, 2020RMB)'!AB15*$B$73</f>
        <v>1746.6882230264282</v>
      </c>
      <c r="AC15" s="90">
        <f>'增加值 (2001-2060, 2020RMB)'!AC15*$B$73</f>
        <v>1753.6703602919993</v>
      </c>
      <c r="AD15" s="90">
        <f>'增加值 (2001-2060, 2020RMB)'!AD15*$B$73</f>
        <v>1757.6394702335426</v>
      </c>
      <c r="AE15" s="101">
        <f>'增加值 (2001-2060, 2020RMB)'!AE15*$B$73</f>
        <v>1757.7837368861406</v>
      </c>
      <c r="AF15" s="90">
        <f>'增加值 (2001-2060, 2020RMB)'!AF15*$B$73</f>
        <v>1753.5643008238969</v>
      </c>
      <c r="AG15" s="90">
        <f>'增加值 (2001-2060, 2020RMB)'!AG15*$B$73</f>
        <v>1745.4779404895933</v>
      </c>
      <c r="AH15" s="90">
        <f>'增加值 (2001-2060, 2020RMB)'!AH15*$B$73</f>
        <v>1734.2891576841864</v>
      </c>
      <c r="AI15" s="90">
        <f>'增加值 (2001-2060, 2020RMB)'!AI15*$B$73</f>
        <v>1720.7635133679328</v>
      </c>
      <c r="AJ15" s="106">
        <f>'增加值 (2001-2060, 2020RMB)'!AJ15*$B$73</f>
        <v>1705.6560686797889</v>
      </c>
      <c r="AK15" s="89">
        <f>'增加值 (2001-2060, 2020RMB)'!AK15*$B$73</f>
        <v>1689.5921839625428</v>
      </c>
      <c r="AL15" s="90">
        <f>'增加值 (2001-2060, 2020RMB)'!AL15*$B$73</f>
        <v>1672.7383833196252</v>
      </c>
      <c r="AM15" s="90">
        <f>'增加值 (2001-2060, 2020RMB)'!AM15*$B$73</f>
        <v>1655.1482664618311</v>
      </c>
      <c r="AN15" s="90">
        <f>'增加值 (2001-2060, 2020RMB)'!AN15*$B$73</f>
        <v>1636.8752511191149</v>
      </c>
      <c r="AO15" s="101">
        <f>'增加值 (2001-2060, 2020RMB)'!AO15*$B$73</f>
        <v>1617.9723919128053</v>
      </c>
      <c r="AP15" s="90">
        <f>'增加值 (2001-2060, 2020RMB)'!AP15*$B$73</f>
        <v>1598.492210717005</v>
      </c>
      <c r="AQ15" s="90">
        <f>'增加值 (2001-2060, 2020RMB)'!AQ15*$B$73</f>
        <v>1578.4865388028618</v>
      </c>
      <c r="AR15" s="90">
        <f>'增加值 (2001-2060, 2020RMB)'!AR15*$B$73</f>
        <v>1558.0063709581525</v>
      </c>
      <c r="AS15" s="90">
        <f>'增加值 (2001-2060, 2020RMB)'!AS15*$B$73</f>
        <v>1537.1017316798695</v>
      </c>
      <c r="AT15" s="90">
        <f>'增加值 (2001-2060, 2020RMB)'!AT15*$B$73</f>
        <v>1515.8215534482686</v>
      </c>
      <c r="AU15" s="89">
        <f>'增加值 (2001-2060, 2020RMB)'!AU15*$B$73</f>
        <v>1494.2135670086343</v>
      </c>
      <c r="AV15" s="90">
        <f>'增加值 (2001-2060, 2020RMB)'!AV15*$B$73</f>
        <v>1472.3242035113292</v>
      </c>
      <c r="AW15" s="90">
        <f>'增加值 (2001-2060, 2020RMB)'!AW15*$B$73</f>
        <v>1450.1985082918588</v>
      </c>
      <c r="AX15" s="90">
        <f>'增加值 (2001-2060, 2020RMB)'!AX15*$B$73</f>
        <v>1427.8800660110471</v>
      </c>
      <c r="AY15" s="101">
        <f>'增加值 (2001-2060, 2020RMB)'!AY15*$B$73</f>
        <v>1405.410936820633</v>
      </c>
      <c r="AZ15" s="89">
        <f>'增加值 (2001-2060, 2020RMB)'!AZ15*$B$73</f>
        <v>1382.8316031715485</v>
      </c>
      <c r="BA15" s="90">
        <f>'增加值 (2001-2060, 2020RMB)'!BA15*$B$73</f>
        <v>1360.180926841163</v>
      </c>
      <c r="BB15" s="90">
        <f>'增加值 (2001-2060, 2020RMB)'!BB15*$B$73</f>
        <v>1337.4961157210364</v>
      </c>
      <c r="BC15" s="90">
        <f>'增加值 (2001-2060, 2020RMB)'!BC15*$B$73</f>
        <v>1314.8126998784103</v>
      </c>
      <c r="BD15" s="101">
        <f>'增加值 (2001-2060, 2020RMB)'!BD15*$B$73</f>
        <v>1292.1645163823719</v>
      </c>
      <c r="BE15" s="90">
        <f>'增加值 (2001-2060, 2020RMB)'!BE15*$B$73</f>
        <v>1269.5837023689007</v>
      </c>
      <c r="BF15" s="90">
        <f>'增加值 (2001-2060, 2020RMB)'!BF15*$B$73</f>
        <v>1247.1006958078256</v>
      </c>
      <c r="BG15" s="90">
        <f>'增加值 (2001-2060, 2020RMB)'!BG15*$B$73</f>
        <v>1224.7442434281816</v>
      </c>
      <c r="BH15" s="90">
        <f>'增加值 (2001-2060, 2020RMB)'!BH15*$B$73</f>
        <v>1202.5414152568696</v>
      </c>
      <c r="BI15" s="109">
        <f>'增加值 (2001-2060, 2020RMB)'!BI15*$B$73</f>
        <v>1180.5176252278802</v>
      </c>
    </row>
    <row r="16" spans="1:65" x14ac:dyDescent="0.2">
      <c r="A16" s="30" t="s">
        <v>73</v>
      </c>
      <c r="B16" s="19"/>
      <c r="C16" s="20"/>
      <c r="D16" s="20"/>
      <c r="E16" s="20"/>
      <c r="F16" s="21"/>
      <c r="G16" s="19"/>
      <c r="H16" s="20"/>
      <c r="I16" s="20">
        <f>'增加值 (2001-2060, 2020RMB)'!I16*$B$73</f>
        <v>281.41760114748359</v>
      </c>
      <c r="J16" s="20">
        <f>'增加值 (2001-2060, 2020RMB)'!J16*$B$73</f>
        <v>334.25967698073606</v>
      </c>
      <c r="K16" s="21">
        <f>'增加值 (2001-2060, 2020RMB)'!K16*$B$73</f>
        <v>391.47300839708839</v>
      </c>
      <c r="L16" s="19">
        <f>'增加值 (2001-2060, 2020RMB)'!L16*$B$73</f>
        <v>451.39057847242503</v>
      </c>
      <c r="M16" s="20">
        <f>'增加值 (2001-2060, 2020RMB)'!M16*$B$73</f>
        <v>518.24351654025588</v>
      </c>
      <c r="N16" s="20">
        <f>'增加值 (2001-2060, 2020RMB)'!N16*$B$73</f>
        <v>566.15782799022406</v>
      </c>
      <c r="O16" s="20">
        <f>'增加值 (2001-2060, 2020RMB)'!O16*$B$73</f>
        <v>600.32741241287295</v>
      </c>
      <c r="P16" s="20">
        <f>'增加值 (2001-2060, 2020RMB)'!P16*$B$73</f>
        <v>583.77347861042574</v>
      </c>
      <c r="Q16" s="19">
        <f>'增加值 (2001-2060, 2020RMB)'!Q16*$B$73</f>
        <v>554.88373631663364</v>
      </c>
      <c r="R16" s="20">
        <f>'增加值 (2001-2060, 2020RMB)'!R16*$B$73</f>
        <v>545.93253708691338</v>
      </c>
      <c r="S16" s="20">
        <f>'增加值 (2001-2060, 2020RMB)'!S16*$B$73</f>
        <v>518.03577854326159</v>
      </c>
      <c r="T16" s="20">
        <f>'增加值 (2001-2060, 2020RMB)'!T16*$B$73</f>
        <v>534.93551856059025</v>
      </c>
      <c r="U16" s="21">
        <f>'增加值 (2001-2060, 2020RMB)'!U16*$B$73</f>
        <v>509.19798397796114</v>
      </c>
      <c r="V16" s="103">
        <f>'增加值 (2001-2060, 2020RMB)'!V16*$B$73</f>
        <v>548.19732663518835</v>
      </c>
      <c r="W16" s="103">
        <f>'增加值 (2001-2060, 2020RMB)'!W16*$B$73</f>
        <v>629.2703042869897</v>
      </c>
      <c r="X16" s="90">
        <f>'增加值 (2001-2060, 2020RMB)'!X16*$B$73</f>
        <v>633.85767859976568</v>
      </c>
      <c r="Y16" s="90">
        <f>'增加值 (2001-2060, 2020RMB)'!Y16*$B$73</f>
        <v>637.04148407398736</v>
      </c>
      <c r="Z16" s="90">
        <f>'增加值 (2001-2060, 2020RMB)'!Z16*$B$73</f>
        <v>638.92037684806894</v>
      </c>
      <c r="AA16" s="89">
        <f>'增加值 (2001-2060, 2020RMB)'!AA16*$B$73</f>
        <v>639.60294580432196</v>
      </c>
      <c r="AB16" s="90">
        <f>'增加值 (2001-2060, 2020RMB)'!AB16*$B$73</f>
        <v>639.20547828513224</v>
      </c>
      <c r="AC16" s="90">
        <f>'增加值 (2001-2060, 2020RMB)'!AC16*$B$73</f>
        <v>637.84985923362558</v>
      </c>
      <c r="AD16" s="90">
        <f>'增加值 (2001-2060, 2020RMB)'!AD16*$B$73</f>
        <v>635.66164517493428</v>
      </c>
      <c r="AE16" s="101">
        <f>'增加值 (2001-2060, 2020RMB)'!AE16*$B$73</f>
        <v>632.7683445019486</v>
      </c>
      <c r="AF16" s="90">
        <f>'增加值 (2001-2060, 2020RMB)'!AF16*$B$73</f>
        <v>629.27405821299226</v>
      </c>
      <c r="AG16" s="90">
        <f>'增加值 (2001-2060, 2020RMB)'!AG16*$B$73</f>
        <v>625.18784150746694</v>
      </c>
      <c r="AH16" s="90">
        <f>'增加值 (2001-2060, 2020RMB)'!AH16*$B$73</f>
        <v>620.49690840651783</v>
      </c>
      <c r="AI16" s="90">
        <f>'增加值 (2001-2060, 2020RMB)'!AI16*$B$73</f>
        <v>615.19091955146928</v>
      </c>
      <c r="AJ16" s="106">
        <f>'增加值 (2001-2060, 2020RMB)'!AJ16*$B$73</f>
        <v>609.26215068334864</v>
      </c>
      <c r="AK16" s="89">
        <f>'增加值 (2001-2060, 2020RMB)'!AK16*$B$73</f>
        <v>602.715377919459</v>
      </c>
      <c r="AL16" s="90">
        <f>'增加值 (2001-2060, 2020RMB)'!AL16*$B$73</f>
        <v>595.59628206615844</v>
      </c>
      <c r="AM16" s="90">
        <f>'增加值 (2001-2060, 2020RMB)'!AM16*$B$73</f>
        <v>587.96052397858307</v>
      </c>
      <c r="AN16" s="90">
        <f>'增加值 (2001-2060, 2020RMB)'!AN16*$B$73</f>
        <v>579.86339639344851</v>
      </c>
      <c r="AO16" s="101">
        <f>'增加值 (2001-2060, 2020RMB)'!AO16*$B$73</f>
        <v>571.35944395783451</v>
      </c>
      <c r="AP16" s="90">
        <f>'增加值 (2001-2060, 2020RMB)'!AP16*$B$73</f>
        <v>562.50212302291584</v>
      </c>
      <c r="AQ16" s="90">
        <f>'增加值 (2001-2060, 2020RMB)'!AQ16*$B$73</f>
        <v>553.34350177563726</v>
      </c>
      <c r="AR16" s="90">
        <f>'增加值 (2001-2060, 2020RMB)'!AR16*$B$73</f>
        <v>543.93400063810316</v>
      </c>
      <c r="AS16" s="90">
        <f>'增加值 (2001-2060, 2020RMB)'!AS16*$B$73</f>
        <v>534.3221722947136</v>
      </c>
      <c r="AT16" s="90">
        <f>'增加值 (2001-2060, 2020RMB)'!AT16*$B$73</f>
        <v>524.55452021378687</v>
      </c>
      <c r="AU16" s="89">
        <f>'增加值 (2001-2060, 2020RMB)'!AU16*$B$73</f>
        <v>514.6753541136577</v>
      </c>
      <c r="AV16" s="90">
        <f>'增加值 (2001-2060, 2020RMB)'!AV16*$B$73</f>
        <v>504.7266804821362</v>
      </c>
      <c r="AW16" s="90">
        <f>'增加值 (2001-2060, 2020RMB)'!AW16*$B$73</f>
        <v>494.74812598971357</v>
      </c>
      <c r="AX16" s="90">
        <f>'增加值 (2001-2060, 2020RMB)'!AX16*$B$73</f>
        <v>484.77689143738525</v>
      </c>
      <c r="AY16" s="101">
        <f>'增加值 (2001-2060, 2020RMB)'!AY16*$B$73</f>
        <v>474.84773374425748</v>
      </c>
      <c r="AZ16" s="89">
        <f>'增加值 (2001-2060, 2020RMB)'!AZ16*$B$73</f>
        <v>464.99297340302553</v>
      </c>
      <c r="BA16" s="90">
        <f>'增加值 (2001-2060, 2020RMB)'!BA16*$B$73</f>
        <v>455.24252480662392</v>
      </c>
      <c r="BB16" s="90">
        <f>'增加值 (2001-2060, 2020RMB)'!BB16*$B$73</f>
        <v>445.62394687100192</v>
      </c>
      <c r="BC16" s="90">
        <f>'增加值 (2001-2060, 2020RMB)'!BC16*$B$73</f>
        <v>436.16251144050739</v>
      </c>
      <c r="BD16" s="101">
        <f>'增加值 (2001-2060, 2020RMB)'!BD16*$B$73</f>
        <v>426.8812870578268</v>
      </c>
      <c r="BE16" s="90">
        <f>'增加值 (2001-2060, 2020RMB)'!BE16*$B$73</f>
        <v>417.80123580385299</v>
      </c>
      <c r="BF16" s="90">
        <f>'增加值 (2001-2060, 2020RMB)'!BF16*$B$73</f>
        <v>408.94132105864611</v>
      </c>
      <c r="BG16" s="90">
        <f>'增加值 (2001-2060, 2020RMB)'!BG16*$B$73</f>
        <v>400.31862419777769</v>
      </c>
      <c r="BH16" s="90">
        <f>'增加值 (2001-2060, 2020RMB)'!BH16*$B$73</f>
        <v>391.94846841402506</v>
      </c>
      <c r="BI16" s="109">
        <f>'增加值 (2001-2060, 2020RMB)'!BI16*$B$73</f>
        <v>383.84454803867675</v>
      </c>
    </row>
    <row r="17" spans="1:61" x14ac:dyDescent="0.2">
      <c r="A17" s="30" t="s">
        <v>74</v>
      </c>
      <c r="B17" s="19"/>
      <c r="C17" s="20"/>
      <c r="D17" s="20"/>
      <c r="E17" s="20"/>
      <c r="F17" s="21"/>
      <c r="G17" s="19"/>
      <c r="H17" s="20"/>
      <c r="I17" s="20">
        <f>'增加值 (2001-2060, 2020RMB)'!I17*$B$73</f>
        <v>180.55744315966231</v>
      </c>
      <c r="J17" s="20">
        <f>'增加值 (2001-2060, 2020RMB)'!J17*$B$73</f>
        <v>205.04721531755015</v>
      </c>
      <c r="K17" s="21">
        <f>'增加值 (2001-2060, 2020RMB)'!K17*$B$73</f>
        <v>221.42629294097941</v>
      </c>
      <c r="L17" s="19">
        <f>'增加值 (2001-2060, 2020RMB)'!L17*$B$73</f>
        <v>245.74268226384467</v>
      </c>
      <c r="M17" s="20">
        <f>'增加值 (2001-2060, 2020RMB)'!M17*$B$73</f>
        <v>269.73914786371449</v>
      </c>
      <c r="N17" s="20">
        <f>'增加值 (2001-2060, 2020RMB)'!N17*$B$73</f>
        <v>280.58464392128678</v>
      </c>
      <c r="O17" s="20">
        <f>'增加值 (2001-2060, 2020RMB)'!O17*$B$73</f>
        <v>288.91075657785944</v>
      </c>
      <c r="P17" s="20">
        <f>'增加值 (2001-2060, 2020RMB)'!P17*$B$73</f>
        <v>285.87774026638181</v>
      </c>
      <c r="Q17" s="19">
        <f>'增加值 (2001-2060, 2020RMB)'!Q17*$B$73</f>
        <v>285.95841694819694</v>
      </c>
      <c r="R17" s="20">
        <f>'增加值 (2001-2060, 2020RMB)'!R17*$B$73</f>
        <v>279.02983095396297</v>
      </c>
      <c r="S17" s="20">
        <f>'增加值 (2001-2060, 2020RMB)'!S17*$B$73</f>
        <v>281.99704316943155</v>
      </c>
      <c r="T17" s="20">
        <f>'增加值 (2001-2060, 2020RMB)'!T17*$B$73</f>
        <v>280.04897528340433</v>
      </c>
      <c r="U17" s="21">
        <f>'增加值 (2001-2060, 2020RMB)'!U17*$B$73</f>
        <v>270.36761575125257</v>
      </c>
      <c r="V17" s="103">
        <f>'增加值 (2001-2060, 2020RMB)'!V17*$B$73</f>
        <v>276.71830453233645</v>
      </c>
      <c r="W17" s="103">
        <f>'增加值 (2001-2060, 2020RMB)'!W17*$B$73</f>
        <v>295.71646681740617</v>
      </c>
      <c r="X17" s="90">
        <f>'增加值 (2001-2060, 2020RMB)'!X17*$B$73</f>
        <v>294.2493775624464</v>
      </c>
      <c r="Y17" s="90">
        <f>'增加值 (2001-2060, 2020RMB)'!Y17*$B$73</f>
        <v>292.46499841071017</v>
      </c>
      <c r="Z17" s="90">
        <f>'增加值 (2001-2060, 2020RMB)'!Z17*$B$73</f>
        <v>290.3852308261088</v>
      </c>
      <c r="AA17" s="89">
        <f>'增加值 (2001-2060, 2020RMB)'!AA17*$B$73</f>
        <v>288.03244471533594</v>
      </c>
      <c r="AB17" s="90">
        <f>'增加值 (2001-2060, 2020RMB)'!AB17*$B$73</f>
        <v>285.42928995740061</v>
      </c>
      <c r="AC17" s="90">
        <f>'增加值 (2001-2060, 2020RMB)'!AC17*$B$73</f>
        <v>282.59852031926903</v>
      </c>
      <c r="AD17" s="90">
        <f>'增加值 (2001-2060, 2020RMB)'!AD17*$B$73</f>
        <v>279.56283083874473</v>
      </c>
      <c r="AE17" s="101">
        <f>'增加值 (2001-2060, 2020RMB)'!AE17*$B$73</f>
        <v>276.34470946296375</v>
      </c>
      <c r="AF17" s="90">
        <f>'增加值 (2001-2060, 2020RMB)'!AF17*$B$73</f>
        <v>272.96154112624998</v>
      </c>
      <c r="AG17" s="90">
        <f>'增加值 (2001-2060, 2020RMB)'!AG17*$B$73</f>
        <v>269.41169537171902</v>
      </c>
      <c r="AH17" s="90">
        <f>'增加值 (2001-2060, 2020RMB)'!AH17*$B$73</f>
        <v>265.68964112468274</v>
      </c>
      <c r="AI17" s="90">
        <f>'增加值 (2001-2060, 2020RMB)'!AI17*$B$73</f>
        <v>261.79087884212441</v>
      </c>
      <c r="AJ17" s="106">
        <f>'增加值 (2001-2060, 2020RMB)'!AJ17*$B$73</f>
        <v>257.71199267651622</v>
      </c>
      <c r="AK17" s="89">
        <f>'增加值 (2001-2060, 2020RMB)'!AK17*$B$73</f>
        <v>253.45508527497535</v>
      </c>
      <c r="AL17" s="90">
        <f>'增加值 (2001-2060, 2020RMB)'!AL17*$B$73</f>
        <v>249.04036704282495</v>
      </c>
      <c r="AM17" s="90">
        <f>'增加值 (2001-2060, 2020RMB)'!AM17*$B$73</f>
        <v>244.49188905960258</v>
      </c>
      <c r="AN17" s="90">
        <f>'增加值 (2001-2060, 2020RMB)'!AN17*$B$73</f>
        <v>239.83289287784879</v>
      </c>
      <c r="AO17" s="101">
        <f>'增加值 (2001-2060, 2020RMB)'!AO17*$B$73</f>
        <v>235.08570900487203</v>
      </c>
      <c r="AP17" s="90">
        <f>'增加值 (2001-2060, 2020RMB)'!AP17*$B$73</f>
        <v>230.27167316584763</v>
      </c>
      <c r="AQ17" s="90">
        <f>'增加值 (2001-2060, 2020RMB)'!AQ17*$B$73</f>
        <v>225.41105963153134</v>
      </c>
      <c r="AR17" s="90">
        <f>'增加值 (2001-2060, 2020RMB)'!AR17*$B$73</f>
        <v>220.52303073373912</v>
      </c>
      <c r="AS17" s="90">
        <f>'增加值 (2001-2060, 2020RMB)'!AS17*$B$73</f>
        <v>215.62560156479708</v>
      </c>
      <c r="AT17" s="90">
        <f>'增加值 (2001-2060, 2020RMB)'!AT17*$B$73</f>
        <v>210.735618761729</v>
      </c>
      <c r="AU17" s="89">
        <f>'增加值 (2001-2060, 2020RMB)'!AU17*$B$73</f>
        <v>205.86875220985257</v>
      </c>
      <c r="AV17" s="90">
        <f>'增加值 (2001-2060, 2020RMB)'!AV17*$B$73</f>
        <v>201.03949846129143</v>
      </c>
      <c r="AW17" s="90">
        <f>'增加值 (2001-2060, 2020RMB)'!AW17*$B$73</f>
        <v>196.26119464894393</v>
      </c>
      <c r="AX17" s="90">
        <f>'增加值 (2001-2060, 2020RMB)'!AX17*$B$73</f>
        <v>191.54604168290695</v>
      </c>
      <c r="AY17" s="101">
        <f>'增加值 (2001-2060, 2020RMB)'!AY17*$B$73</f>
        <v>186.90513554133818</v>
      </c>
      <c r="AZ17" s="89">
        <f>'增加值 (2001-2060, 2020RMB)'!AZ17*$B$73</f>
        <v>182.34850550847921</v>
      </c>
      <c r="BA17" s="90">
        <f>'增加值 (2001-2060, 2020RMB)'!BA17*$B$73</f>
        <v>177.88515826624402</v>
      </c>
      <c r="BB17" s="90">
        <f>'增加值 (2001-2060, 2020RMB)'!BB17*$B$73</f>
        <v>173.52312680988337</v>
      </c>
      <c r="BC17" s="90">
        <f>'增加值 (2001-2060, 2020RMB)'!BC17*$B$73</f>
        <v>169.26952323028868</v>
      </c>
      <c r="BD17" s="101">
        <f>'增加值 (2001-2060, 2020RMB)'!BD17*$B$73</f>
        <v>165.13059448332453</v>
      </c>
      <c r="BE17" s="90">
        <f>'增加值 (2001-2060, 2020RMB)'!BE17*$B$73</f>
        <v>161.11178034817306</v>
      </c>
      <c r="BF17" s="90">
        <f>'增加值 (2001-2060, 2020RMB)'!BF17*$B$73</f>
        <v>157.21777286031252</v>
      </c>
      <c r="BG17" s="90">
        <f>'增加值 (2001-2060, 2020RMB)'!BG17*$B$73</f>
        <v>153.45257658890154</v>
      </c>
      <c r="BH17" s="90">
        <f>'增加值 (2001-2060, 2020RMB)'!BH17*$B$73</f>
        <v>149.81956921176834</v>
      </c>
      <c r="BI17" s="109">
        <f>'增加值 (2001-2060, 2020RMB)'!BI17*$B$73</f>
        <v>146.32156192285655</v>
      </c>
    </row>
    <row r="18" spans="1:61" x14ac:dyDescent="0.2">
      <c r="A18" s="30" t="s">
        <v>75</v>
      </c>
      <c r="B18" s="19"/>
      <c r="C18" s="20"/>
      <c r="D18" s="20"/>
      <c r="E18" s="20"/>
      <c r="F18" s="21"/>
      <c r="G18" s="19"/>
      <c r="H18" s="20"/>
      <c r="I18" s="20">
        <f>'增加值 (2001-2060, 2020RMB)'!I18*$B$73</f>
        <v>102.03795037952338</v>
      </c>
      <c r="J18" s="20">
        <f>'增加值 (2001-2060, 2020RMB)'!J18*$B$73</f>
        <v>116.26469469947607</v>
      </c>
      <c r="K18" s="21">
        <f>'增加值 (2001-2060, 2020RMB)'!K18*$B$73</f>
        <v>140.90712934413563</v>
      </c>
      <c r="L18" s="19">
        <f>'增加值 (2001-2060, 2020RMB)'!L18*$B$73</f>
        <v>167.34812806775255</v>
      </c>
      <c r="M18" s="20">
        <f>'增加值 (2001-2060, 2020RMB)'!M18*$B$73</f>
        <v>175.564430846253</v>
      </c>
      <c r="N18" s="20">
        <f>'增加值 (2001-2060, 2020RMB)'!N18*$B$73</f>
        <v>186.79289546330421</v>
      </c>
      <c r="O18" s="20">
        <f>'增加值 (2001-2060, 2020RMB)'!O18*$B$73</f>
        <v>193.05215160489129</v>
      </c>
      <c r="P18" s="20">
        <f>'增加值 (2001-2060, 2020RMB)'!P18*$B$73</f>
        <v>195.23791970177572</v>
      </c>
      <c r="Q18" s="19">
        <f>'增加值 (2001-2060, 2020RMB)'!Q18*$B$73</f>
        <v>198.72255310909739</v>
      </c>
      <c r="R18" s="20">
        <f>'增加值 (2001-2060, 2020RMB)'!R18*$B$73</f>
        <v>200.34440319082623</v>
      </c>
      <c r="S18" s="20">
        <f>'增加值 (2001-2060, 2020RMB)'!S18*$B$73</f>
        <v>202.27538939889473</v>
      </c>
      <c r="T18" s="20">
        <f>'增加值 (2001-2060, 2020RMB)'!T18*$B$73</f>
        <v>195.41728536645851</v>
      </c>
      <c r="U18" s="21">
        <f>'增加值 (2001-2060, 2020RMB)'!U18*$B$73</f>
        <v>187.90550446643661</v>
      </c>
      <c r="V18" s="20">
        <f>'增加值 (2001-2060, 2020RMB)'!V18*$B$73</f>
        <v>210.31859201206336</v>
      </c>
      <c r="W18" s="20">
        <f>'增加值 (2001-2060, 2020RMB)'!W18*$B$73</f>
        <v>211.08457143053002</v>
      </c>
      <c r="X18" s="90">
        <f>'增加值 (2001-2060, 2020RMB)'!X18*$B$73</f>
        <v>210.76903737809195</v>
      </c>
      <c r="Y18" s="90">
        <f>'增加值 (2001-2060, 2020RMB)'!Y18*$B$73</f>
        <v>210.1521399441414</v>
      </c>
      <c r="Z18" s="90">
        <f>'增加值 (2001-2060, 2020RMB)'!Z18*$B$73</f>
        <v>209.25600504079509</v>
      </c>
      <c r="AA18" s="89">
        <f>'增加值 (2001-2060, 2020RMB)'!AA18*$B$73</f>
        <v>208.10359182875456</v>
      </c>
      <c r="AB18" s="90">
        <f>'增加值 (2001-2060, 2020RMB)'!AB18*$B$73</f>
        <v>206.71842160001398</v>
      </c>
      <c r="AC18" s="90">
        <f>'增加值 (2001-2060, 2020RMB)'!AC18*$B$73</f>
        <v>205.12432597879445</v>
      </c>
      <c r="AD18" s="90">
        <f>'增加值 (2001-2060, 2020RMB)'!AD18*$B$73</f>
        <v>203.34521675731625</v>
      </c>
      <c r="AE18" s="101">
        <f>'增加值 (2001-2060, 2020RMB)'!AE18*$B$73</f>
        <v>201.40487902662935</v>
      </c>
      <c r="AF18" s="90">
        <f>'增加值 (2001-2060, 2020RMB)'!AF18*$B$73</f>
        <v>199.32214565142897</v>
      </c>
      <c r="AG18" s="90">
        <f>'增加值 (2001-2060, 2020RMB)'!AG18*$B$73</f>
        <v>197.09722221021121</v>
      </c>
      <c r="AH18" s="90">
        <f>'增加值 (2001-2060, 2020RMB)'!AH18*$B$73</f>
        <v>194.72627848611228</v>
      </c>
      <c r="AI18" s="90">
        <f>'增加值 (2001-2060, 2020RMB)'!AI18*$B$73</f>
        <v>192.20623040921606</v>
      </c>
      <c r="AJ18" s="106">
        <f>'增加值 (2001-2060, 2020RMB)'!AJ18*$B$73</f>
        <v>189.53478310583424</v>
      </c>
      <c r="AK18" s="89">
        <f>'增加值 (2001-2060, 2020RMB)'!AK18*$B$73</f>
        <v>186.71364093065577</v>
      </c>
      <c r="AL18" s="90">
        <f>'增加值 (2001-2060, 2020RMB)'!AL18*$B$73</f>
        <v>183.75765066807185</v>
      </c>
      <c r="AM18" s="90">
        <f>'增加值 (2001-2060, 2020RMB)'!AM18*$B$73</f>
        <v>180.68455675832453</v>
      </c>
      <c r="AN18" s="90">
        <f>'增加值 (2001-2060, 2020RMB)'!AN18*$B$73</f>
        <v>177.51163681214791</v>
      </c>
      <c r="AO18" s="101">
        <f>'增加值 (2001-2060, 2020RMB)'!AO18*$B$73</f>
        <v>174.25561358203146</v>
      </c>
      <c r="AP18" s="90">
        <f>'增加值 (2001-2060, 2020RMB)'!AP18*$B$73</f>
        <v>170.93258006355595</v>
      </c>
      <c r="AQ18" s="90">
        <f>'增加值 (2001-2060, 2020RMB)'!AQ18*$B$73</f>
        <v>167.55793738</v>
      </c>
      <c r="AR18" s="90">
        <f>'增加值 (2001-2060, 2020RMB)'!AR18*$B$73</f>
        <v>164.14634496040435</v>
      </c>
      <c r="AS18" s="90">
        <f>'增加值 (2001-2060, 2020RMB)'!AS18*$B$73</f>
        <v>160.71168240301387</v>
      </c>
      <c r="AT18" s="90">
        <f>'增加值 (2001-2060, 2020RMB)'!AT18*$B$73</f>
        <v>157.26702232172718</v>
      </c>
      <c r="AU18" s="89">
        <f>'增加值 (2001-2060, 2020RMB)'!AU18*$B$73</f>
        <v>153.82461340169368</v>
      </c>
      <c r="AV18" s="90">
        <f>'增加值 (2001-2060, 2020RMB)'!AV18*$B$73</f>
        <v>150.39587284005177</v>
      </c>
      <c r="AW18" s="90">
        <f>'增加值 (2001-2060, 2020RMB)'!AW18*$B$73</f>
        <v>146.99138731719174</v>
      </c>
      <c r="AX18" s="90">
        <f>'增加值 (2001-2060, 2020RMB)'!AX18*$B$73</f>
        <v>143.62092163100709</v>
      </c>
      <c r="AY18" s="101">
        <f>'增加值 (2001-2060, 2020RMB)'!AY18*$B$73</f>
        <v>140.2934341293082</v>
      </c>
      <c r="AZ18" s="89">
        <f>'增加值 (2001-2060, 2020RMB)'!AZ18*$B$73</f>
        <v>137.01709809187366</v>
      </c>
      <c r="BA18" s="90">
        <f>'增加值 (2001-2060, 2020RMB)'!BA18*$B$73</f>
        <v>133.79932824149927</v>
      </c>
      <c r="BB18" s="90">
        <f>'增加值 (2001-2060, 2020RMB)'!BB18*$B$73</f>
        <v>130.64681160085689</v>
      </c>
      <c r="BC18" s="90">
        <f>'增加值 (2001-2060, 2020RMB)'!BC18*$B$73</f>
        <v>127.56554195716794</v>
      </c>
      <c r="BD18" s="101">
        <f>'增加值 (2001-2060, 2020RMB)'!BD18*$B$73</f>
        <v>124.56085724784177</v>
      </c>
      <c r="BE18" s="90">
        <f>'增加值 (2001-2060, 2020RMB)'!BE18*$B$73</f>
        <v>121.63747923577316</v>
      </c>
      <c r="BF18" s="90">
        <f>'增加值 (2001-2060, 2020RMB)'!BF18*$B$73</f>
        <v>118.7995549014604</v>
      </c>
      <c r="BG18" s="90">
        <f>'增加值 (2001-2060, 2020RMB)'!BG18*$B$73</f>
        <v>116.0506990392654</v>
      </c>
      <c r="BH18" s="90">
        <f>'增加值 (2001-2060, 2020RMB)'!BH18*$B$73</f>
        <v>113.39403760588607</v>
      </c>
      <c r="BI18" s="109">
        <f>'增加值 (2001-2060, 2020RMB)'!BI18*$B$73</f>
        <v>110.8322514295371</v>
      </c>
    </row>
    <row r="19" spans="1:61" x14ac:dyDescent="0.2">
      <c r="A19" s="30" t="s">
        <v>76</v>
      </c>
      <c r="B19" s="19"/>
      <c r="C19" s="20"/>
      <c r="D19" s="20"/>
      <c r="E19" s="20"/>
      <c r="F19" s="21"/>
      <c r="G19" s="19"/>
      <c r="H19" s="20"/>
      <c r="I19" s="20">
        <f>'增加值 (2001-2060, 2020RMB)'!I19*$B$73</f>
        <v>85.717112951651657</v>
      </c>
      <c r="J19" s="20">
        <f>'增加值 (2001-2060, 2020RMB)'!J19*$B$73</f>
        <v>97.654765552391325</v>
      </c>
      <c r="K19" s="21">
        <f>'增加值 (2001-2060, 2020RMB)'!K19*$B$73</f>
        <v>109.73871815817594</v>
      </c>
      <c r="L19" s="19">
        <f>'增加值 (2001-2060, 2020RMB)'!L19*$B$73</f>
        <v>123.65277982158658</v>
      </c>
      <c r="M19" s="20">
        <f>'增加值 (2001-2060, 2020RMB)'!M19*$B$73</f>
        <v>134.43243577545192</v>
      </c>
      <c r="N19" s="20">
        <f>'增加值 (2001-2060, 2020RMB)'!N19*$B$73</f>
        <v>134.21856221675833</v>
      </c>
      <c r="O19" s="20">
        <f>'增加值 (2001-2060, 2020RMB)'!O19*$B$73</f>
        <v>124.43271801437129</v>
      </c>
      <c r="P19" s="20">
        <f>'增加值 (2001-2060, 2020RMB)'!P19*$B$73</f>
        <v>104.00226953853614</v>
      </c>
      <c r="Q19" s="19">
        <f>'增加值 (2001-2060, 2020RMB)'!Q19*$B$73</f>
        <v>86.777594969769794</v>
      </c>
      <c r="R19" s="20">
        <f>'增加值 (2001-2060, 2020RMB)'!R19*$B$73</f>
        <v>105.31676501870939</v>
      </c>
      <c r="S19" s="20">
        <f>'增加值 (2001-2060, 2020RMB)'!S19*$B$73</f>
        <v>129.92618703400919</v>
      </c>
      <c r="T19" s="20">
        <f>'增加值 (2001-2060, 2020RMB)'!T19*$B$73</f>
        <v>152.45423045719491</v>
      </c>
      <c r="U19" s="21">
        <f>'增加值 (2001-2060, 2020RMB)'!U19*$B$73</f>
        <v>128.89647919768316</v>
      </c>
      <c r="V19" s="20">
        <f>'增加值 (2001-2060, 2020RMB)'!V19*$B$73</f>
        <v>141.72115138199769</v>
      </c>
      <c r="W19" s="20">
        <f>'增加值 (2001-2060, 2020RMB)'!W19*$B$73</f>
        <v>157.64154113199345</v>
      </c>
      <c r="X19" s="90">
        <f>'增加值 (2001-2060, 2020RMB)'!X19*$B$73</f>
        <v>169.28153751929545</v>
      </c>
      <c r="Y19" s="90">
        <f>'增加值 (2001-2060, 2020RMB)'!Y19*$B$73</f>
        <v>180.31788371717508</v>
      </c>
      <c r="Z19" s="90">
        <f>'增加值 (2001-2060, 2020RMB)'!Z19*$B$73</f>
        <v>190.69149444734362</v>
      </c>
      <c r="AA19" s="89">
        <f>'增加值 (2001-2060, 2020RMB)'!AA19*$B$73</f>
        <v>200.3826828323254</v>
      </c>
      <c r="AB19" s="90">
        <f>'增加值 (2001-2060, 2020RMB)'!AB19*$B$73</f>
        <v>209.41048633008884</v>
      </c>
      <c r="AC19" s="90">
        <f>'增加值 (2001-2060, 2020RMB)'!AC19*$B$73</f>
        <v>217.83069037673974</v>
      </c>
      <c r="AD19" s="90">
        <f>'增加值 (2001-2060, 2020RMB)'!AD19*$B$73</f>
        <v>225.73304732120704</v>
      </c>
      <c r="AE19" s="101">
        <f>'增加值 (2001-2060, 2020RMB)'!AE19*$B$73</f>
        <v>233.23820212674059</v>
      </c>
      <c r="AF19" s="90">
        <f>'增加值 (2001-2060, 2020RMB)'!AF19*$B$73</f>
        <v>240.46094244316751</v>
      </c>
      <c r="AG19" s="90">
        <f>'增加值 (2001-2060, 2020RMB)'!AG19*$B$73</f>
        <v>247.39839586909088</v>
      </c>
      <c r="AH19" s="90">
        <f>'增加值 (2001-2060, 2020RMB)'!AH19*$B$73</f>
        <v>254.01693345078536</v>
      </c>
      <c r="AI19" s="90">
        <f>'增加值 (2001-2060, 2020RMB)'!AI19*$B$73</f>
        <v>260.28425264970542</v>
      </c>
      <c r="AJ19" s="106">
        <f>'增加值 (2001-2060, 2020RMB)'!AJ19*$B$73</f>
        <v>266.16965080567121</v>
      </c>
      <c r="AK19" s="89">
        <f>'增加值 (2001-2060, 2020RMB)'!AK19*$B$73</f>
        <v>271.64689423997208</v>
      </c>
      <c r="AL19" s="90">
        <f>'增加值 (2001-2060, 2020RMB)'!AL19*$B$73</f>
        <v>276.70267703050376</v>
      </c>
      <c r="AM19" s="90">
        <f>'增加值 (2001-2060, 2020RMB)'!AM19*$B$73</f>
        <v>281.32957896942469</v>
      </c>
      <c r="AN19" s="90">
        <f>'增加值 (2001-2060, 2020RMB)'!AN19*$B$73</f>
        <v>285.52350178148191</v>
      </c>
      <c r="AO19" s="101">
        <f>'增加值 (2001-2060, 2020RMB)'!AO19*$B$73</f>
        <v>289.28356923241176</v>
      </c>
      <c r="AP19" s="90">
        <f>'增加值 (2001-2060, 2020RMB)'!AP19*$B$73</f>
        <v>292.61199489641888</v>
      </c>
      <c r="AQ19" s="90">
        <f>'增加值 (2001-2060, 2020RMB)'!AQ19*$B$73</f>
        <v>295.51392188827674</v>
      </c>
      <c r="AR19" s="90">
        <f>'增加值 (2001-2060, 2020RMB)'!AR19*$B$73</f>
        <v>297.99723904526496</v>
      </c>
      <c r="AS19" s="90">
        <f>'增加值 (2001-2060, 2020RMB)'!AS19*$B$73</f>
        <v>300.07237811399204</v>
      </c>
      <c r="AT19" s="90">
        <f>'增加值 (2001-2060, 2020RMB)'!AT19*$B$73</f>
        <v>301.75209646630128</v>
      </c>
      <c r="AU19" s="89">
        <f>'增加值 (2001-2060, 2020RMB)'!AU19*$B$73</f>
        <v>303.0512497480093</v>
      </c>
      <c r="AV19" s="90">
        <f>'增加值 (2001-2060, 2020RMB)'!AV19*$B$73</f>
        <v>303.98655866636074</v>
      </c>
      <c r="AW19" s="90">
        <f>'增加值 (2001-2060, 2020RMB)'!AW19*$B$73</f>
        <v>304.57637385986652</v>
      </c>
      <c r="AX19" s="90">
        <f>'增加值 (2001-2060, 2020RMB)'!AX19*$B$73</f>
        <v>304.84044248083916</v>
      </c>
      <c r="AY19" s="101">
        <f>'增加值 (2001-2060, 2020RMB)'!AY19*$B$73</f>
        <v>304.79967976956902</v>
      </c>
      <c r="AZ19" s="89">
        <f>'增加值 (2001-2060, 2020RMB)'!AZ19*$B$73</f>
        <v>304.47594852222261</v>
      </c>
      <c r="BA19" s="90">
        <f>'增加值 (2001-2060, 2020RMB)'!BA19*$B$73</f>
        <v>303.89184896398376</v>
      </c>
      <c r="BB19" s="90">
        <f>'增加值 (2001-2060, 2020RMB)'!BB19*$B$73</f>
        <v>303.07052114533428</v>
      </c>
      <c r="BC19" s="90">
        <f>'增加值 (2001-2060, 2020RMB)'!BC19*$B$73</f>
        <v>302.03546159219889</v>
      </c>
      <c r="BD19" s="101">
        <f>'增加值 (2001-2060, 2020RMB)'!BD19*$B$73</f>
        <v>300.81035556814203</v>
      </c>
      <c r="BE19" s="90">
        <f>'增加值 (2001-2060, 2020RMB)'!BE19*$B$73</f>
        <v>299.41892595565076</v>
      </c>
      <c r="BF19" s="90">
        <f>'增加值 (2001-2060, 2020RMB)'!BF19*$B$73</f>
        <v>297.88479943936017</v>
      </c>
      <c r="BG19" s="90">
        <f>'增加值 (2001-2060, 2020RMB)'!BG19*$B$73</f>
        <v>296.23139038092324</v>
      </c>
      <c r="BH19" s="90">
        <f>'增加值 (2001-2060, 2020RMB)'!BH19*$B$73</f>
        <v>294.48180251617771</v>
      </c>
      <c r="BI19" s="109">
        <f>'增加值 (2001-2060, 2020RMB)'!BI19*$B$73</f>
        <v>292.65874838211033</v>
      </c>
    </row>
    <row r="20" spans="1:61" x14ac:dyDescent="0.2">
      <c r="A20" s="30" t="s">
        <v>77</v>
      </c>
      <c r="B20" s="19"/>
      <c r="C20" s="20"/>
      <c r="D20" s="20"/>
      <c r="E20" s="20"/>
      <c r="F20" s="21"/>
      <c r="G20" s="19"/>
      <c r="H20" s="20"/>
      <c r="I20" s="20">
        <f>'增加值 (2001-2060, 2020RMB)'!I20*$B$73</f>
        <v>0.57954863718673966</v>
      </c>
      <c r="J20" s="20">
        <f>'增加值 (2001-2060, 2020RMB)'!J20*$B$73</f>
        <v>0.78396292295007353</v>
      </c>
      <c r="K20" s="21">
        <f>'增加值 (2001-2060, 2020RMB)'!K20*$B$73</f>
        <v>0.91891072406341079</v>
      </c>
      <c r="L20" s="19">
        <f>'增加值 (2001-2060, 2020RMB)'!L20*$B$73</f>
        <v>1.0842791521723463</v>
      </c>
      <c r="M20" s="20">
        <f>'增加值 (2001-2060, 2020RMB)'!M20*$B$73</f>
        <v>1.0889994158201428</v>
      </c>
      <c r="N20" s="20">
        <f>'增加值 (2001-2060, 2020RMB)'!N20*$B$73</f>
        <v>1.1648549132551371</v>
      </c>
      <c r="O20" s="20">
        <f>'增加值 (2001-2060, 2020RMB)'!O20*$B$73</f>
        <v>1.0832759500273152</v>
      </c>
      <c r="P20" s="20">
        <f>'增加值 (2001-2060, 2020RMB)'!P20*$B$73</f>
        <v>1.0523770744126235</v>
      </c>
      <c r="Q20" s="19">
        <f>'增加值 (2001-2060, 2020RMB)'!Q20*$B$73</f>
        <v>0.91094818874093397</v>
      </c>
      <c r="R20" s="20">
        <f>'增加值 (2001-2060, 2020RMB)'!R20*$B$73</f>
        <v>1.0539272289753696</v>
      </c>
      <c r="S20" s="20">
        <f>'增加值 (2001-2060, 2020RMB)'!S20*$B$73</f>
        <v>1.0808756323636981</v>
      </c>
      <c r="T20" s="20">
        <f>'增加值 (2001-2060, 2020RMB)'!T20*$B$73</f>
        <v>1.0817459755270802</v>
      </c>
      <c r="U20" s="21">
        <f>'增加值 (2001-2060, 2020RMB)'!U20*$B$73</f>
        <v>1.0579535148456456</v>
      </c>
      <c r="V20" s="20">
        <f>'增加值 (2001-2060, 2020RMB)'!V20*$B$73</f>
        <v>0.98256465864026232</v>
      </c>
      <c r="W20" s="103">
        <f>'增加值 (2001-2060, 2020RMB)'!W20*$B$73</f>
        <v>1.2755981295838204</v>
      </c>
      <c r="X20" s="90">
        <f>'增加值 (2001-2060, 2020RMB)'!X20*$B$73</f>
        <v>1.3199071296910179</v>
      </c>
      <c r="Y20" s="90">
        <f>'增加值 (2001-2060, 2020RMB)'!Y20*$B$73</f>
        <v>1.3593058767457806</v>
      </c>
      <c r="Z20" s="90">
        <f>'增加值 (2001-2060, 2020RMB)'!Z20*$B$73</f>
        <v>1.3939314946979444</v>
      </c>
      <c r="AA20" s="89">
        <f>'增加值 (2001-2060, 2020RMB)'!AA20*$B$73</f>
        <v>1.4240399762891505</v>
      </c>
      <c r="AB20" s="90">
        <f>'增加值 (2001-2060, 2020RMB)'!AB20*$B$73</f>
        <v>1.4499917915134752</v>
      </c>
      <c r="AC20" s="90">
        <f>'增加值 (2001-2060, 2020RMB)'!AC20*$B$73</f>
        <v>1.4722366197429226</v>
      </c>
      <c r="AD20" s="90">
        <f>'增加值 (2001-2060, 2020RMB)'!AD20*$B$73</f>
        <v>1.4912982074901218</v>
      </c>
      <c r="AE20" s="101">
        <f>'增加值 (2001-2060, 2020RMB)'!AE20*$B$73</f>
        <v>1.5077602205254759</v>
      </c>
      <c r="AF20" s="90">
        <f>'增加值 (2001-2060, 2020RMB)'!AF20*$B$73</f>
        <v>1.522128957229741</v>
      </c>
      <c r="AG20" s="90">
        <f>'增加值 (2001-2060, 2020RMB)'!AG20*$B$73</f>
        <v>1.5344402725113306</v>
      </c>
      <c r="AH20" s="90">
        <f>'增加值 (2001-2060, 2020RMB)'!AH20*$B$73</f>
        <v>1.5446150845695914</v>
      </c>
      <c r="AI20" s="90">
        <f>'增加值 (2001-2060, 2020RMB)'!AI20*$B$73</f>
        <v>1.5525824350673343</v>
      </c>
      <c r="AJ20" s="106">
        <f>'增加值 (2001-2060, 2020RMB)'!AJ20*$B$73</f>
        <v>1.5582801861562781</v>
      </c>
      <c r="AK20" s="89">
        <f>'增加值 (2001-2060, 2020RMB)'!AK20*$B$73</f>
        <v>1.561676726687075</v>
      </c>
      <c r="AL20" s="90">
        <f>'增加值 (2001-2060, 2020RMB)'!AL20*$B$73</f>
        <v>1.5628348542603585</v>
      </c>
      <c r="AM20" s="90">
        <f>'增加值 (2001-2060, 2020RMB)'!AM20*$B$73</f>
        <v>1.5618485044964516</v>
      </c>
      <c r="AN20" s="90">
        <f>'增加值 (2001-2060, 2020RMB)'!AN20*$B$73</f>
        <v>1.5588204647178157</v>
      </c>
      <c r="AO20" s="101">
        <f>'增加值 (2001-2060, 2020RMB)'!AO20*$B$73</f>
        <v>1.5538610243281061</v>
      </c>
      <c r="AP20" s="90">
        <f>'增加值 (2001-2060, 2020RMB)'!AP20*$B$73</f>
        <v>1.5470866450388758</v>
      </c>
      <c r="AQ20" s="90">
        <f>'增加值 (2001-2060, 2020RMB)'!AQ20*$B$73</f>
        <v>1.5386186675622484</v>
      </c>
      <c r="AR20" s="90">
        <f>'增加值 (2001-2060, 2020RMB)'!AR20*$B$73</f>
        <v>1.5285820692934389</v>
      </c>
      <c r="AS20" s="90">
        <f>'增加值 (2001-2060, 2020RMB)'!AS20*$B$73</f>
        <v>1.517104285355126</v>
      </c>
      <c r="AT20" s="90">
        <f>'增加值 (2001-2060, 2020RMB)'!AT20*$B$73</f>
        <v>1.5043141032197278</v>
      </c>
      <c r="AU20" s="89">
        <f>'增加值 (2001-2060, 2020RMB)'!AU20*$B$73</f>
        <v>1.4903406390131535</v>
      </c>
      <c r="AV20" s="90">
        <f>'增加值 (2001-2060, 2020RMB)'!AV20*$B$73</f>
        <v>1.4753124015749361</v>
      </c>
      <c r="AW20" s="90">
        <f>'增加值 (2001-2060, 2020RMB)'!AW20*$B$73</f>
        <v>1.459356448438454</v>
      </c>
      <c r="AX20" s="90">
        <f>'增加值 (2001-2060, 2020RMB)'!AX20*$B$73</f>
        <v>1.4425976361278829</v>
      </c>
      <c r="AY20" s="101">
        <f>'增加值 (2001-2060, 2020RMB)'!AY20*$B$73</f>
        <v>1.4251579655654041</v>
      </c>
      <c r="AZ20" s="89">
        <f>'增加值 (2001-2060, 2020RMB)'!AZ20*$B$73</f>
        <v>1.4071560219567552</v>
      </c>
      <c r="BA20" s="90">
        <f>'增加值 (2001-2060, 2020RMB)'!BA20*$B$73</f>
        <v>1.3887065072832294</v>
      </c>
      <c r="BB20" s="90">
        <f>'增加值 (2001-2060, 2020RMB)'!BB20*$B$73</f>
        <v>1.3699198624763835</v>
      </c>
      <c r="BC20" s="90">
        <f>'增加值 (2001-2060, 2020RMB)'!BC20*$B$73</f>
        <v>1.3509019754862048</v>
      </c>
      <c r="BD20" s="101">
        <f>'增加值 (2001-2060, 2020RMB)'!BD20*$B$73</f>
        <v>1.3317539707687998</v>
      </c>
      <c r="BE20" s="90">
        <f>'增加值 (2001-2060, 2020RMB)'!BE20*$B$73</f>
        <v>1.3125720752070857</v>
      </c>
      <c r="BF20" s="90">
        <f>'增加值 (2001-2060, 2020RMB)'!BF20*$B$73</f>
        <v>1.2934475551265987</v>
      </c>
      <c r="BG20" s="90">
        <f>'增加值 (2001-2060, 2020RMB)'!BG20*$B$73</f>
        <v>1.2744667188656325</v>
      </c>
      <c r="BH20" s="90">
        <f>'增加值 (2001-2060, 2020RMB)'!BH20*$B$73</f>
        <v>1.2557109792906993</v>
      </c>
      <c r="BI20" s="109">
        <f>'增加值 (2001-2060, 2020RMB)'!BI20*$B$73</f>
        <v>1.2372569707005079</v>
      </c>
    </row>
    <row r="21" spans="1:61" x14ac:dyDescent="0.2">
      <c r="A21" s="30" t="s">
        <v>79</v>
      </c>
      <c r="B21" s="19"/>
      <c r="C21" s="20"/>
      <c r="D21" s="20"/>
      <c r="E21" s="20"/>
      <c r="F21" s="21"/>
      <c r="G21" s="19"/>
      <c r="H21" s="20"/>
      <c r="I21" s="20">
        <f>'增加值 (2001-2060, 2020RMB)'!I21*$B$73</f>
        <v>833.39094027453166</v>
      </c>
      <c r="J21" s="20">
        <f>'增加值 (2001-2060, 2020RMB)'!J21*$B$73</f>
        <v>915.6170524396332</v>
      </c>
      <c r="K21" s="21">
        <f>'增加值 (2001-2060, 2020RMB)'!K21*$B$73</f>
        <v>1022.5445517944347</v>
      </c>
      <c r="L21" s="19">
        <f>'增加值 (2001-2060, 2020RMB)'!L21*$B$73</f>
        <v>1121.0818054996585</v>
      </c>
      <c r="M21" s="20">
        <f>'增加值 (2001-2060, 2020RMB)'!M21*$B$73</f>
        <v>1212.4105737013122</v>
      </c>
      <c r="N21" s="20">
        <f>'增加值 (2001-2060, 2020RMB)'!N21*$B$73</f>
        <v>1260.0066459506525</v>
      </c>
      <c r="O21" s="20">
        <f>'增加值 (2001-2060, 2020RMB)'!O21*$B$73</f>
        <v>1301.0202924060955</v>
      </c>
      <c r="P21" s="20">
        <f>'增加值 (2001-2060, 2020RMB)'!P21*$B$73</f>
        <v>1302.1734929795896</v>
      </c>
      <c r="Q21" s="19">
        <f>'增加值 (2001-2060, 2020RMB)'!Q21*$B$73</f>
        <v>1348.2887559727169</v>
      </c>
      <c r="R21" s="20">
        <f>'增加值 (2001-2060, 2020RMB)'!R21*$B$73</f>
        <v>1457.5547709704783</v>
      </c>
      <c r="S21" s="20">
        <f>'增加值 (2001-2060, 2020RMB)'!S21*$B$73</f>
        <v>1536.9110032013343</v>
      </c>
      <c r="T21" s="20">
        <f>'增加值 (2001-2060, 2020RMB)'!T21*$B$73</f>
        <v>1509.993620350115</v>
      </c>
      <c r="U21" s="21">
        <f>'增加值 (2001-2060, 2020RMB)'!U21*$B$73</f>
        <v>1438.8034978249595</v>
      </c>
      <c r="V21" s="20">
        <f>'增加值 (2001-2060, 2020RMB)'!V21*$B$73</f>
        <v>1613.4179608362692</v>
      </c>
      <c r="W21" s="20">
        <f>'增加值 (2001-2060, 2020RMB)'!W21*$B$73</f>
        <v>1650.4342918518221</v>
      </c>
      <c r="X21" s="90">
        <f>'增加值 (2001-2060, 2020RMB)'!X21*$B$73</f>
        <v>1678.2461477994625</v>
      </c>
      <c r="Y21" s="90">
        <f>'增加值 (2001-2060, 2020RMB)'!Y21*$B$73</f>
        <v>1701.1936036322568</v>
      </c>
      <c r="Z21" s="90">
        <f>'增加值 (2001-2060, 2020RMB)'!Z21*$B$73</f>
        <v>1719.5633937866735</v>
      </c>
      <c r="AA21" s="89">
        <f>'增加值 (2001-2060, 2020RMB)'!AA21*$B$73</f>
        <v>1733.703059404465</v>
      </c>
      <c r="AB21" s="90">
        <f>'增加值 (2001-2060, 2020RMB)'!AB21*$B$73</f>
        <v>1744.0101988837937</v>
      </c>
      <c r="AC21" s="90">
        <f>'增加值 (2001-2060, 2020RMB)'!AC21*$B$73</f>
        <v>1750.9220491455289</v>
      </c>
      <c r="AD21" s="90">
        <f>'增加值 (2001-2060, 2020RMB)'!AD21*$B$73</f>
        <v>1754.9057465857072</v>
      </c>
      <c r="AE21" s="101">
        <f>'增加值 (2001-2060, 2020RMB)'!AE21*$B$73</f>
        <v>1756.4495475162742</v>
      </c>
      <c r="AF21" s="90">
        <f>'增加值 (2001-2060, 2020RMB)'!AF21*$B$73</f>
        <v>1755.9611602770428</v>
      </c>
      <c r="AG21" s="90">
        <f>'增加值 (2001-2060, 2020RMB)'!AG21*$B$73</f>
        <v>1753.4802008117347</v>
      </c>
      <c r="AH21" s="90">
        <f>'增加值 (2001-2060, 2020RMB)'!AH21*$B$73</f>
        <v>1748.9592535481725</v>
      </c>
      <c r="AI21" s="90">
        <f>'增加值 (2001-2060, 2020RMB)'!AI21*$B$73</f>
        <v>1742.3584682824046</v>
      </c>
      <c r="AJ21" s="106">
        <f>'增加值 (2001-2060, 2020RMB)'!AJ21*$B$73</f>
        <v>1733.6461223755641</v>
      </c>
      <c r="AK21" s="89">
        <f>'增加值 (2001-2060, 2020RMB)'!AK21*$B$73</f>
        <v>1722.8253696176027</v>
      </c>
      <c r="AL21" s="90">
        <f>'增加值 (2001-2060, 2020RMB)'!AL21*$B$73</f>
        <v>1710.0118222907781</v>
      </c>
      <c r="AM21" s="90">
        <f>'增加值 (2001-2060, 2020RMB)'!AM21*$B$73</f>
        <v>1695.3517240734059</v>
      </c>
      <c r="AN21" s="90">
        <f>'增加值 (2001-2060, 2020RMB)'!AN21*$B$73</f>
        <v>1678.9940320005676</v>
      </c>
      <c r="AO21" s="101">
        <f>'增加值 (2001-2060, 2020RMB)'!AO21*$B$73</f>
        <v>1661.0891042200342</v>
      </c>
      <c r="AP21" s="90">
        <f>'增加值 (2001-2060, 2020RMB)'!AP21*$B$73</f>
        <v>1641.7874803448426</v>
      </c>
      <c r="AQ21" s="90">
        <f>'增加值 (2001-2060, 2020RMB)'!AQ21*$B$73</f>
        <v>1621.2387619093959</v>
      </c>
      <c r="AR21" s="90">
        <f>'增加值 (2001-2060, 2020RMB)'!AR21*$B$73</f>
        <v>1599.5905981979761</v>
      </c>
      <c r="AS21" s="90">
        <f>'增加值 (2001-2060, 2020RMB)'!AS21*$B$73</f>
        <v>1576.987780627225</v>
      </c>
      <c r="AT21" s="90">
        <f>'增加值 (2001-2060, 2020RMB)'!AT21*$B$73</f>
        <v>1553.5714469537206</v>
      </c>
      <c r="AU21" s="89">
        <f>'增加值 (2001-2060, 2020RMB)'!AU21*$B$73</f>
        <v>1529.4783948613913</v>
      </c>
      <c r="AV21" s="90">
        <f>'增加值 (2001-2060, 2020RMB)'!AV21*$B$73</f>
        <v>1504.8405029737701</v>
      </c>
      <c r="AW21" s="90">
        <f>'增加值 (2001-2060, 2020RMB)'!AW21*$B$73</f>
        <v>1479.784256037156</v>
      </c>
      <c r="AX21" s="90">
        <f>'增加值 (2001-2060, 2020RMB)'!AX21*$B$73</f>
        <v>1454.430369933739</v>
      </c>
      <c r="AY21" s="101">
        <f>'增加值 (2001-2060, 2020RMB)'!AY21*$B$73</f>
        <v>1428.8935113028137</v>
      </c>
      <c r="AZ21" s="89">
        <f>'增加值 (2001-2060, 2020RMB)'!AZ21*$B$73</f>
        <v>1403.2821058659893</v>
      </c>
      <c r="BA21" s="90">
        <f>'增加值 (2001-2060, 2020RMB)'!BA21*$B$73</f>
        <v>1377.6982290562082</v>
      </c>
      <c r="BB21" s="90">
        <f>'增加值 (2001-2060, 2020RMB)'!BB21*$B$73</f>
        <v>1352.2375722271918</v>
      </c>
      <c r="BC21" s="90">
        <f>'增加值 (2001-2060, 2020RMB)'!BC21*$B$73</f>
        <v>1326.9894775537734</v>
      </c>
      <c r="BD21" s="101">
        <f>'增加值 (2001-2060, 2020RMB)'!BD21*$B$73</f>
        <v>1302.0370347076257</v>
      </c>
      <c r="BE21" s="90">
        <f>'增加值 (2001-2060, 2020RMB)'!BE21*$B$73</f>
        <v>1277.4572324908679</v>
      </c>
      <c r="BF21" s="90">
        <f>'增加值 (2001-2060, 2020RMB)'!BF21*$B$73</f>
        <v>1253.3211588140043</v>
      </c>
      <c r="BG21" s="90">
        <f>'增加值 (2001-2060, 2020RMB)'!BG21*$B$73</f>
        <v>1229.6942426989108</v>
      </c>
      <c r="BH21" s="90">
        <f>'增加值 (2001-2060, 2020RMB)'!BH21*$B$73</f>
        <v>1206.6365323559103</v>
      </c>
      <c r="BI21" s="109">
        <f>'增加值 (2001-2060, 2020RMB)'!BI21*$B$73</f>
        <v>1184.203003812243</v>
      </c>
    </row>
    <row r="22" spans="1:61" x14ac:dyDescent="0.2">
      <c r="A22" s="30" t="s">
        <v>80</v>
      </c>
      <c r="B22" s="19"/>
      <c r="C22" s="20"/>
      <c r="D22" s="20"/>
      <c r="E22" s="20"/>
      <c r="F22" s="21"/>
      <c r="G22" s="19"/>
      <c r="H22" s="20"/>
      <c r="I22" s="20">
        <f>'增加值 (2001-2060, 2020RMB)'!I22*$B$73</f>
        <v>391.28880568769222</v>
      </c>
      <c r="J22" s="20">
        <f>'增加值 (2001-2060, 2020RMB)'!J22*$B$73</f>
        <v>423.21858349686204</v>
      </c>
      <c r="K22" s="21">
        <f>'增加值 (2001-2060, 2020RMB)'!K22*$B$73</f>
        <v>473.46484150296209</v>
      </c>
      <c r="L22" s="19">
        <f>'增加值 (2001-2060, 2020RMB)'!L22*$B$73</f>
        <v>532.73845955027809</v>
      </c>
      <c r="M22" s="20">
        <f>'增加值 (2001-2060, 2020RMB)'!M22*$B$73</f>
        <v>567.00897566965182</v>
      </c>
      <c r="N22" s="20">
        <f>'增加值 (2001-2060, 2020RMB)'!N22*$B$73</f>
        <v>592.50008564898212</v>
      </c>
      <c r="O22" s="20">
        <f>'增加值 (2001-2060, 2020RMB)'!O22*$B$73</f>
        <v>616.898584911184</v>
      </c>
      <c r="P22" s="20">
        <f>'增加值 (2001-2060, 2020RMB)'!P22*$B$73</f>
        <v>629.15051844987215</v>
      </c>
      <c r="Q22" s="19">
        <f>'增加值 (2001-2060, 2020RMB)'!Q22*$B$73</f>
        <v>668.00872114290121</v>
      </c>
      <c r="R22" s="20">
        <f>'增加值 (2001-2060, 2020RMB)'!R22*$B$73</f>
        <v>737.69629270652126</v>
      </c>
      <c r="S22" s="20">
        <f>'增加值 (2001-2060, 2020RMB)'!S22*$B$73</f>
        <v>783.73618171684529</v>
      </c>
      <c r="T22" s="20">
        <f>'增加值 (2001-2060, 2020RMB)'!T22*$B$73</f>
        <v>795.70204914280976</v>
      </c>
      <c r="U22" s="21">
        <f>'增加值 (2001-2060, 2020RMB)'!U22*$B$73</f>
        <v>781.27991692211458</v>
      </c>
      <c r="V22" s="20">
        <f>'增加值 (2001-2060, 2020RMB)'!V22*$B$73</f>
        <v>878.53711842257519</v>
      </c>
      <c r="W22" s="103">
        <f>'增加值 (2001-2060, 2020RMB)'!W22*$B$73</f>
        <v>912.97236037763207</v>
      </c>
      <c r="X22" s="90">
        <f>'增加值 (2001-2060, 2020RMB)'!X22*$B$73</f>
        <v>941.72245348967976</v>
      </c>
      <c r="Y22" s="90">
        <f>'增加值 (2001-2060, 2020RMB)'!Y22*$B$73</f>
        <v>967.06882479513945</v>
      </c>
      <c r="Z22" s="90">
        <f>'增加值 (2001-2060, 2020RMB)'!Z22*$B$73</f>
        <v>989.12848558071994</v>
      </c>
      <c r="AA22" s="89">
        <f>'增加值 (2001-2060, 2020RMB)'!AA22*$B$73</f>
        <v>1008.0930230369382</v>
      </c>
      <c r="AB22" s="90">
        <f>'增加值 (2001-2060, 2020RMB)'!AB22*$B$73</f>
        <v>1024.2189074274306</v>
      </c>
      <c r="AC22" s="90">
        <f>'增加值 (2001-2060, 2020RMB)'!AC22*$B$73</f>
        <v>1037.8174157633728</v>
      </c>
      <c r="AD22" s="90">
        <f>'增加值 (2001-2060, 2020RMB)'!AD22*$B$73</f>
        <v>1049.2447665007103</v>
      </c>
      <c r="AE22" s="101">
        <f>'增加值 (2001-2060, 2020RMB)'!AE22*$B$73</f>
        <v>1058.8929738867405</v>
      </c>
      <c r="AF22" s="90">
        <f>'增加值 (2001-2060, 2020RMB)'!AF22*$B$73</f>
        <v>1067.0997392962865</v>
      </c>
      <c r="AG22" s="90">
        <f>'增加值 (2001-2060, 2020RMB)'!AG22*$B$73</f>
        <v>1073.8912470273672</v>
      </c>
      <c r="AH22" s="90">
        <f>'增加值 (2001-2060, 2020RMB)'!AH22*$B$73</f>
        <v>1079.2179771828607</v>
      </c>
      <c r="AI22" s="90">
        <f>'增加值 (2001-2060, 2020RMB)'!AI22*$B$73</f>
        <v>1083.0359112702372</v>
      </c>
      <c r="AJ22" s="106">
        <f>'增加值 (2001-2060, 2020RMB)'!AJ22*$B$73</f>
        <v>1085.3069874791656</v>
      </c>
      <c r="AK22" s="89">
        <f>'增加值 (2001-2060, 2020RMB)'!AK22*$B$73</f>
        <v>1086.014512601075</v>
      </c>
      <c r="AL22" s="90">
        <f>'增加值 (2001-2060, 2020RMB)'!AL22*$B$73</f>
        <v>1085.2084188662141</v>
      </c>
      <c r="AM22" s="90">
        <f>'增加值 (2001-2060, 2020RMB)'!AM22*$B$73</f>
        <v>1082.9599038110225</v>
      </c>
      <c r="AN22" s="90">
        <f>'增加值 (2001-2060, 2020RMB)'!AN22*$B$73</f>
        <v>1079.3455364248925</v>
      </c>
      <c r="AO22" s="101">
        <f>'增加值 (2001-2060, 2020RMB)'!AO22*$B$73</f>
        <v>1074.4463225281822</v>
      </c>
      <c r="AP22" s="90">
        <f>'增加值 (2001-2060, 2020RMB)'!AP22*$B$73</f>
        <v>1068.3467936730733</v>
      </c>
      <c r="AQ22" s="90">
        <f>'增加值 (2001-2060, 2020RMB)'!AQ22*$B$73</f>
        <v>1061.1341299698342</v>
      </c>
      <c r="AR22" s="90">
        <f>'增加值 (2001-2060, 2020RMB)'!AR22*$B$73</f>
        <v>1052.8973257455273</v>
      </c>
      <c r="AS22" s="90">
        <f>'增加值 (2001-2060, 2020RMB)'!AS22*$B$73</f>
        <v>1043.7264054365835</v>
      </c>
      <c r="AT22" s="90">
        <f>'增加值 (2001-2060, 2020RMB)'!AT22*$B$73</f>
        <v>1033.7116956346088</v>
      </c>
      <c r="AU22" s="89">
        <f>'增加值 (2001-2060, 2020RMB)'!AU22*$B$73</f>
        <v>1022.9431577755996</v>
      </c>
      <c r="AV22" s="90">
        <f>'增加值 (2001-2060, 2020RMB)'!AV22*$B$73</f>
        <v>1011.5097846107353</v>
      </c>
      <c r="AW22" s="90">
        <f>'增加值 (2001-2060, 2020RMB)'!AW22*$B$73</f>
        <v>999.49906234138905</v>
      </c>
      <c r="AX22" s="90">
        <f>'增加值 (2001-2060, 2020RMB)'!AX22*$B$73</f>
        <v>986.99649915726138</v>
      </c>
      <c r="AY22" s="101">
        <f>'增加值 (2001-2060, 2020RMB)'!AY22*$B$73</f>
        <v>974.08521989436542</v>
      </c>
      <c r="AZ22" s="89">
        <f>'增加值 (2001-2060, 2020RMB)'!AZ22*$B$73</f>
        <v>960.8456256357855</v>
      </c>
      <c r="BA22" s="90">
        <f>'增加值 (2001-2060, 2020RMB)'!BA22*$B$73</f>
        <v>947.3551163149009</v>
      </c>
      <c r="BB22" s="90">
        <f>'增加值 (2001-2060, 2020RMB)'!BB22*$B$73</f>
        <v>933.68787374768726</v>
      </c>
      <c r="BC22" s="90">
        <f>'增加值 (2001-2060, 2020RMB)'!BC22*$B$73</f>
        <v>919.91470201426091</v>
      </c>
      <c r="BD22" s="101">
        <f>'增加值 (2001-2060, 2020RMB)'!BD22*$B$73</f>
        <v>906.10292172458878</v>
      </c>
      <c r="BE22" s="90">
        <f>'增加值 (2001-2060, 2020RMB)'!BE22*$B$73</f>
        <v>892.316314431617</v>
      </c>
      <c r="BF22" s="90">
        <f>'增加值 (2001-2060, 2020RMB)'!BF22*$B$73</f>
        <v>878.61511328852316</v>
      </c>
      <c r="BG22" s="90">
        <f>'增加值 (2001-2060, 2020RMB)'!BG22*$B$73</f>
        <v>865.05603597578454</v>
      </c>
      <c r="BH22" s="90">
        <f>'增加值 (2001-2060, 2020RMB)'!BH22*$B$73</f>
        <v>851.69235593809572</v>
      </c>
      <c r="BI22" s="109">
        <f>'增加值 (2001-2060, 2020RMB)'!BI22*$B$73</f>
        <v>838.57400806094336</v>
      </c>
    </row>
    <row r="23" spans="1:61" x14ac:dyDescent="0.2">
      <c r="A23" s="30" t="s">
        <v>81</v>
      </c>
      <c r="B23" s="19"/>
      <c r="C23" s="20"/>
      <c r="D23" s="20"/>
      <c r="E23" s="20"/>
      <c r="F23" s="21"/>
      <c r="G23" s="19"/>
      <c r="H23" s="20"/>
      <c r="I23" s="20">
        <f>'增加值 (2001-2060, 2020RMB)'!I23*$B$73</f>
        <v>416.04114103076466</v>
      </c>
      <c r="J23" s="20">
        <f>'增加值 (2001-2060, 2020RMB)'!J23*$B$73</f>
        <v>451.96266195450079</v>
      </c>
      <c r="K23" s="21">
        <f>'增加值 (2001-2060, 2020RMB)'!K23*$B$73</f>
        <v>502.98809016179717</v>
      </c>
      <c r="L23" s="19">
        <f>'增加值 (2001-2060, 2020RMB)'!L23*$B$73</f>
        <v>574.6573651611958</v>
      </c>
      <c r="M23" s="20">
        <f>'增加值 (2001-2060, 2020RMB)'!M23*$B$73</f>
        <v>615.45397266684449</v>
      </c>
      <c r="N23" s="20">
        <f>'增加值 (2001-2060, 2020RMB)'!N23*$B$73</f>
        <v>644.29234645209567</v>
      </c>
      <c r="O23" s="20">
        <f>'增加值 (2001-2060, 2020RMB)'!O23*$B$73</f>
        <v>657.85186687048679</v>
      </c>
      <c r="P23" s="20">
        <f>'增加值 (2001-2060, 2020RMB)'!P23*$B$73</f>
        <v>672.16537230123561</v>
      </c>
      <c r="Q23" s="19">
        <f>'增加值 (2001-2060, 2020RMB)'!Q23*$B$73</f>
        <v>708.43265072745317</v>
      </c>
      <c r="R23" s="20">
        <f>'增加值 (2001-2060, 2020RMB)'!R23*$B$73</f>
        <v>782.33730119535221</v>
      </c>
      <c r="S23" s="20">
        <f>'增加值 (2001-2060, 2020RMB)'!S23*$B$73</f>
        <v>835.83708420068547</v>
      </c>
      <c r="T23" s="20">
        <f>'增加值 (2001-2060, 2020RMB)'!T23*$B$73</f>
        <v>855.85139170274385</v>
      </c>
      <c r="U23" s="21">
        <f>'增加值 (2001-2060, 2020RMB)'!U23*$B$73</f>
        <v>805.56639983284151</v>
      </c>
      <c r="V23" s="20">
        <f>'增加值 (2001-2060, 2020RMB)'!V23*$B$73</f>
        <v>927.65431597354814</v>
      </c>
      <c r="W23" s="20">
        <f>'增加值 (2001-2060, 2020RMB)'!W23*$B$73</f>
        <v>1001.7083980576186</v>
      </c>
      <c r="X23" s="90">
        <f>'增加值 (2001-2060, 2020RMB)'!X23*$B$73</f>
        <v>1037.8259165829722</v>
      </c>
      <c r="Y23" s="90">
        <f>'增加值 (2001-2060, 2020RMB)'!Y23*$B$73</f>
        <v>1070.0434996100014</v>
      </c>
      <c r="Z23" s="90">
        <f>'增加值 (2001-2060, 2020RMB)'!Z23*$B$73</f>
        <v>1098.4593920565621</v>
      </c>
      <c r="AA23" s="89">
        <f>'增加值 (2001-2060, 2020RMB)'!AA23*$B$73</f>
        <v>1123.2699990568017</v>
      </c>
      <c r="AB23" s="90">
        <f>'增加值 (2001-2060, 2020RMB)'!AB23*$B$73</f>
        <v>1144.758350174523</v>
      </c>
      <c r="AC23" s="90">
        <f>'增加值 (2001-2060, 2020RMB)'!AC23*$B$73</f>
        <v>1163.281751632162</v>
      </c>
      <c r="AD23" s="90">
        <f>'增加值 (2001-2060, 2020RMB)'!AD23*$B$73</f>
        <v>1179.2594718077644</v>
      </c>
      <c r="AE23" s="101">
        <f>'增加值 (2001-2060, 2020RMB)'!AE23*$B$73</f>
        <v>1193.1611967976378</v>
      </c>
      <c r="AF23" s="90">
        <f>'增加值 (2001-2060, 2020RMB)'!AF23*$B$73</f>
        <v>1205.3955129406552</v>
      </c>
      <c r="AG23" s="90">
        <f>'增加值 (2001-2060, 2020RMB)'!AG23*$B$73</f>
        <v>1215.9901808886059</v>
      </c>
      <c r="AH23" s="90">
        <f>'增加值 (2001-2060, 2020RMB)'!AH23*$B$73</f>
        <v>1224.8797198505638</v>
      </c>
      <c r="AI23" s="90">
        <f>'增加值 (2001-2060, 2020RMB)'!AI23*$B$73</f>
        <v>1232.0051671567935</v>
      </c>
      <c r="AJ23" s="106">
        <f>'增加值 (2001-2060, 2020RMB)'!AJ23*$B$73</f>
        <v>1237.3146467546205</v>
      </c>
      <c r="AK23" s="89">
        <f>'增加值 (2001-2060, 2020RMB)'!AK23*$B$73</f>
        <v>1240.780468528535</v>
      </c>
      <c r="AL23" s="90">
        <f>'增加值 (2001-2060, 2020RMB)'!AL23*$B$73</f>
        <v>1242.4494943869465</v>
      </c>
      <c r="AM23" s="90">
        <f>'增加值 (2001-2060, 2020RMB)'!AM23*$B$73</f>
        <v>1242.3934987295379</v>
      </c>
      <c r="AN23" s="90">
        <f>'增加值 (2001-2060, 2020RMB)'!AN23*$B$73</f>
        <v>1240.6916475461435</v>
      </c>
      <c r="AO23" s="101">
        <f>'增加值 (2001-2060, 2020RMB)'!AO23*$B$73</f>
        <v>1237.4294267429045</v>
      </c>
      <c r="AP23" s="90">
        <f>'增加值 (2001-2060, 2020RMB)'!AP23*$B$73</f>
        <v>1232.6975815215173</v>
      </c>
      <c r="AQ23" s="90">
        <f>'增加值 (2001-2060, 2020RMB)'!AQ23*$B$73</f>
        <v>1226.591080530917</v>
      </c>
      <c r="AR23" s="90">
        <f>'增加值 (2001-2060, 2020RMB)'!AR23*$B$73</f>
        <v>1219.2081168721415</v>
      </c>
      <c r="AS23" s="90">
        <f>'增加值 (2001-2060, 2020RMB)'!AS23*$B$73</f>
        <v>1210.6491563383192</v>
      </c>
      <c r="AT23" s="90">
        <f>'增加值 (2001-2060, 2020RMB)'!AT23*$B$73</f>
        <v>1201.0160415567489</v>
      </c>
      <c r="AU23" s="89">
        <f>'增加值 (2001-2060, 2020RMB)'!AU23*$B$73</f>
        <v>1190.4111590083544</v>
      </c>
      <c r="AV23" s="90">
        <f>'增加值 (2001-2060, 2020RMB)'!AV23*$B$73</f>
        <v>1178.9366742649734</v>
      </c>
      <c r="AW23" s="90">
        <f>'增加值 (2001-2060, 2020RMB)'!AW23*$B$73</f>
        <v>1166.6938392359914</v>
      </c>
      <c r="AX23" s="90">
        <f>'增加值 (2001-2060, 2020RMB)'!AX23*$B$73</f>
        <v>1153.7823737749713</v>
      </c>
      <c r="AY23" s="101">
        <f>'增加值 (2001-2060, 2020RMB)'!AY23*$B$73</f>
        <v>1140.2999226823013</v>
      </c>
      <c r="AZ23" s="89">
        <f>'增加值 (2001-2060, 2020RMB)'!AZ23*$B$73</f>
        <v>1126.3415879633744</v>
      </c>
      <c r="BA23" s="90">
        <f>'增加值 (2001-2060, 2020RMB)'!BA23*$B$73</f>
        <v>1111.9995351713469</v>
      </c>
      <c r="BB23" s="90">
        <f>'增加值 (2001-2060, 2020RMB)'!BB23*$B$73</f>
        <v>1097.3626717822292</v>
      </c>
      <c r="BC23" s="90">
        <f>'增加值 (2001-2060, 2020RMB)'!BC23*$B$73</f>
        <v>1082.5163948178547</v>
      </c>
      <c r="BD23" s="101">
        <f>'增加值 (2001-2060, 2020RMB)'!BD23*$B$73</f>
        <v>1067.542404345261</v>
      </c>
      <c r="BE23" s="90">
        <f>'增加值 (2001-2060, 2020RMB)'!BE23*$B$73</f>
        <v>1052.518579033524</v>
      </c>
      <c r="BF23" s="90">
        <f>'增加值 (2001-2060, 2020RMB)'!BF23*$B$73</f>
        <v>1037.5189096324573</v>
      </c>
      <c r="BG23" s="90">
        <f>'增加值 (2001-2060, 2020RMB)'!BG23*$B$73</f>
        <v>1022.6134860424604</v>
      </c>
      <c r="BH23" s="90">
        <f>'增加值 (2001-2060, 2020RMB)'!BH23*$B$73</f>
        <v>1007.8685335604564</v>
      </c>
      <c r="BI23" s="109">
        <f>'增加值 (2001-2060, 2020RMB)'!BI23*$B$73</f>
        <v>993.34649390188281</v>
      </c>
    </row>
    <row r="24" spans="1:61" x14ac:dyDescent="0.2">
      <c r="A24" s="30" t="s">
        <v>82</v>
      </c>
      <c r="B24" s="19"/>
      <c r="C24" s="20"/>
      <c r="D24" s="20"/>
      <c r="E24" s="20"/>
      <c r="F24" s="21"/>
      <c r="G24" s="19"/>
      <c r="H24" s="20"/>
      <c r="I24" s="20">
        <f>'增加值 (2001-2060, 2020RMB)'!I24*$B$73</f>
        <v>814.11627430874023</v>
      </c>
      <c r="J24" s="20">
        <f>'增加值 (2001-2060, 2020RMB)'!J24*$B$73</f>
        <v>835.01707948040792</v>
      </c>
      <c r="K24" s="21">
        <f>'增加值 (2001-2060, 2020RMB)'!K24*$B$73</f>
        <v>907.39414275234458</v>
      </c>
      <c r="L24" s="19">
        <f>'增加值 (2001-2060, 2020RMB)'!L24*$B$73</f>
        <v>981.75649437877132</v>
      </c>
      <c r="M24" s="20">
        <f>'增加值 (2001-2060, 2020RMB)'!M24*$B$73</f>
        <v>1021.5462277456062</v>
      </c>
      <c r="N24" s="20">
        <f>'增加值 (2001-2060, 2020RMB)'!N24*$B$73</f>
        <v>1040.3000235379272</v>
      </c>
      <c r="O24" s="20">
        <f>'增加值 (2001-2060, 2020RMB)'!O24*$B$73</f>
        <v>1079.148969615429</v>
      </c>
      <c r="P24" s="20">
        <f>'增加值 (2001-2060, 2020RMB)'!P24*$B$73</f>
        <v>1058.6057770282716</v>
      </c>
      <c r="Q24" s="19">
        <f>'增加值 (2001-2060, 2020RMB)'!Q24*$B$73</f>
        <v>947.33214392277785</v>
      </c>
      <c r="R24" s="20">
        <f>'增加值 (2001-2060, 2020RMB)'!R24*$B$73</f>
        <v>992.46075246780401</v>
      </c>
      <c r="S24" s="20">
        <f>'增加值 (2001-2060, 2020RMB)'!S24*$B$73</f>
        <v>1047.4832402189634</v>
      </c>
      <c r="T24" s="20">
        <f>'增加值 (2001-2060, 2020RMB)'!T24*$B$73</f>
        <v>1062.4659761973628</v>
      </c>
      <c r="U24" s="21">
        <f>'增加值 (2001-2060, 2020RMB)'!U24*$B$73</f>
        <v>1060.6811984790204</v>
      </c>
      <c r="V24" s="20">
        <f>'增加值 (2001-2060, 2020RMB)'!V24*$B$73</f>
        <v>1143.0228686473731</v>
      </c>
      <c r="W24" s="20">
        <f>'增加值 (2001-2060, 2020RMB)'!W24*$B$73</f>
        <v>1242.3975261070618</v>
      </c>
      <c r="X24" s="90">
        <f>'增加值 (2001-2060, 2020RMB)'!X24*$B$73</f>
        <v>1274.6814840504048</v>
      </c>
      <c r="Y24" s="90">
        <f>'增加值 (2001-2060, 2020RMB)'!Y24*$B$73</f>
        <v>1302.6425287795921</v>
      </c>
      <c r="Z24" s="90">
        <f>'增加值 (2001-2060, 2020RMB)'!Z24*$B$73</f>
        <v>1326.4729518402623</v>
      </c>
      <c r="AA24" s="89">
        <f>'增加值 (2001-2060, 2020RMB)'!AA24*$B$73</f>
        <v>1346.4437303709706</v>
      </c>
      <c r="AB24" s="90">
        <f>'增加值 (2001-2060, 2020RMB)'!AB24*$B$73</f>
        <v>1362.8930469746113</v>
      </c>
      <c r="AC24" s="90">
        <f>'增加值 (2001-2060, 2020RMB)'!AC24*$B$73</f>
        <v>1376.214708419308</v>
      </c>
      <c r="AD24" s="90">
        <f>'增加值 (2001-2060, 2020RMB)'!AD24*$B$73</f>
        <v>1386.8470268210731</v>
      </c>
      <c r="AE24" s="101">
        <f>'增加值 (2001-2060, 2020RMB)'!AE24*$B$73</f>
        <v>1395.2626344934336</v>
      </c>
      <c r="AF24" s="90">
        <f>'增加值 (2001-2060, 2020RMB)'!AF24*$B$73</f>
        <v>1401.8639630257537</v>
      </c>
      <c r="AG24" s="90">
        <f>'增加值 (2001-2060, 2020RMB)'!AG24*$B$73</f>
        <v>1406.6862098333625</v>
      </c>
      <c r="AH24" s="90">
        <f>'增加值 (2001-2060, 2020RMB)'!AH24*$B$73</f>
        <v>1409.6761621105843</v>
      </c>
      <c r="AI24" s="90">
        <f>'增加值 (2001-2060, 2020RMB)'!AI24*$B$73</f>
        <v>1410.7873810740987</v>
      </c>
      <c r="AJ24" s="106">
        <f>'增加值 (2001-2060, 2020RMB)'!AJ24*$B$73</f>
        <v>1409.9807356788801</v>
      </c>
      <c r="AK24" s="89">
        <f>'增加值 (2001-2060, 2020RMB)'!AK24*$B$73</f>
        <v>1407.2450758100415</v>
      </c>
      <c r="AL24" s="90">
        <f>'增加值 (2001-2060, 2020RMB)'!AL24*$B$73</f>
        <v>1402.6576808469022</v>
      </c>
      <c r="AM24" s="90">
        <f>'增加值 (2001-2060, 2020RMB)'!AM24*$B$73</f>
        <v>1396.3224718299937</v>
      </c>
      <c r="AN24" s="90">
        <f>'增加值 (2001-2060, 2020RMB)'!AN24*$B$73</f>
        <v>1388.3485660079602</v>
      </c>
      <c r="AO24" s="101">
        <f>'增加值 (2001-2060, 2020RMB)'!AO24*$B$73</f>
        <v>1378.8490962511319</v>
      </c>
      <c r="AP24" s="90">
        <f>'增加值 (2001-2060, 2020RMB)'!AP24*$B$73</f>
        <v>1367.9400803229607</v>
      </c>
      <c r="AQ24" s="90">
        <f>'增加值 (2001-2060, 2020RMB)'!AQ24*$B$73</f>
        <v>1355.7393508045552</v>
      </c>
      <c r="AR24" s="90">
        <f>'增加值 (2001-2060, 2020RMB)'!AR24*$B$73</f>
        <v>1342.3655545083882</v>
      </c>
      <c r="AS24" s="90">
        <f>'增加值 (2001-2060, 2020RMB)'!AS24*$B$73</f>
        <v>1327.9372283041969</v>
      </c>
      <c r="AT24" s="90">
        <f>'增加值 (2001-2060, 2020RMB)'!AT24*$B$73</f>
        <v>1312.5719564486512</v>
      </c>
      <c r="AU24" s="89">
        <f>'增加值 (2001-2060, 2020RMB)'!AU24*$B$73</f>
        <v>1296.3856127895865</v>
      </c>
      <c r="AV24" s="90">
        <f>'增加值 (2001-2060, 2020RMB)'!AV24*$B$73</f>
        <v>1279.491689628657</v>
      </c>
      <c r="AW24" s="90">
        <f>'增加值 (2001-2060, 2020RMB)'!AW24*$B$73</f>
        <v>1262.0007135901385</v>
      </c>
      <c r="AX24" s="90">
        <f>'增加值 (2001-2060, 2020RMB)'!AX24*$B$73</f>
        <v>1244.0197475695982</v>
      </c>
      <c r="AY24" s="101">
        <f>'增加值 (2001-2060, 2020RMB)'!AY24*$B$73</f>
        <v>1225.651976730639</v>
      </c>
      <c r="AZ24" s="89">
        <f>'增加值 (2001-2060, 2020RMB)'!AZ24*$B$73</f>
        <v>1206.9963755826257</v>
      </c>
      <c r="BA24" s="90">
        <f>'增加值 (2001-2060, 2020RMB)'!BA24*$B$73</f>
        <v>1188.1474524048074</v>
      </c>
      <c r="BB24" s="90">
        <f>'增加值 (2001-2060, 2020RMB)'!BB24*$B$73</f>
        <v>1169.1950666770776</v>
      </c>
      <c r="BC24" s="90">
        <f>'增加值 (2001-2060, 2020RMB)'!BC24*$B$73</f>
        <v>1150.2243147264337</v>
      </c>
      <c r="BD24" s="101">
        <f>'增加值 (2001-2060, 2020RMB)'!BD24*$B$73</f>
        <v>1131.3154784906117</v>
      </c>
      <c r="BE24" s="90">
        <f>'增加值 (2001-2060, 2020RMB)'!BE24*$B$73</f>
        <v>1112.5440321244214</v>
      </c>
      <c r="BF24" s="90">
        <f>'增加值 (2001-2060, 2020RMB)'!BF24*$B$73</f>
        <v>1093.9807011173159</v>
      </c>
      <c r="BG24" s="90">
        <f>'增加值 (2001-2060, 2020RMB)'!BG24*$B$73</f>
        <v>1075.6915686391926</v>
      </c>
      <c r="BH24" s="90">
        <f>'增加值 (2001-2060, 2020RMB)'!BH24*$B$73</f>
        <v>1057.7382239718377</v>
      </c>
      <c r="BI24" s="109">
        <f>'增加值 (2001-2060, 2020RMB)'!BI24*$B$73</f>
        <v>1040.1779481031397</v>
      </c>
    </row>
    <row r="25" spans="1:61" x14ac:dyDescent="0.2">
      <c r="A25" s="30" t="s">
        <v>83</v>
      </c>
      <c r="B25" s="19"/>
      <c r="C25" s="20"/>
      <c r="D25" s="20"/>
      <c r="E25" s="20"/>
      <c r="F25" s="21"/>
      <c r="G25" s="19"/>
      <c r="H25" s="20"/>
      <c r="I25" s="20">
        <f>'增加值 (2001-2060, 2020RMB)'!I25*$B$73</f>
        <v>777.95991739521935</v>
      </c>
      <c r="J25" s="20">
        <f>'增加值 (2001-2060, 2020RMB)'!J25*$B$73</f>
        <v>800.14486261054606</v>
      </c>
      <c r="K25" s="21">
        <f>'增加值 (2001-2060, 2020RMB)'!K25*$B$73</f>
        <v>867.16819741371125</v>
      </c>
      <c r="L25" s="19">
        <f>'增加值 (2001-2060, 2020RMB)'!L25*$B$73</f>
        <v>902.40443183874095</v>
      </c>
      <c r="M25" s="20">
        <f>'增加值 (2001-2060, 2020RMB)'!M25*$B$73</f>
        <v>963.89151239458693</v>
      </c>
      <c r="N25" s="20">
        <f>'增加值 (2001-2060, 2020RMB)'!N25*$B$73</f>
        <v>995.32175969285993</v>
      </c>
      <c r="O25" s="20">
        <f>'增加值 (2001-2060, 2020RMB)'!O25*$B$73</f>
        <v>1018.1773917073065</v>
      </c>
      <c r="P25" s="20">
        <f>'增加值 (2001-2060, 2020RMB)'!P25*$B$73</f>
        <v>1033.569172982455</v>
      </c>
      <c r="Q25" s="19">
        <f>'增加值 (2001-2060, 2020RMB)'!Q25*$B$73</f>
        <v>1064.120195424287</v>
      </c>
      <c r="R25" s="20">
        <f>'增加值 (2001-2060, 2020RMB)'!R25*$B$73</f>
        <v>1120.1978705238769</v>
      </c>
      <c r="S25" s="20">
        <f>'增加值 (2001-2060, 2020RMB)'!S25*$B$73</f>
        <v>1126.5331937839655</v>
      </c>
      <c r="T25" s="20">
        <f>'增加值 (2001-2060, 2020RMB)'!T25*$B$73</f>
        <v>1100.2861515096881</v>
      </c>
      <c r="U25" s="21">
        <f>'增加值 (2001-2060, 2020RMB)'!U25*$B$73</f>
        <v>1071.8283979331518</v>
      </c>
      <c r="V25" s="20">
        <f>'增加值 (2001-2060, 2020RMB)'!V25*$B$73</f>
        <v>1131.5999339945606</v>
      </c>
      <c r="W25" s="20">
        <f>'增加值 (2001-2060, 2020RMB)'!W25*$B$73</f>
        <v>1118.4784851316513</v>
      </c>
      <c r="X25" s="90">
        <f>'增加值 (2001-2060, 2020RMB)'!X25*$B$73</f>
        <v>1114.9334264238066</v>
      </c>
      <c r="Y25" s="90">
        <f>'增加值 (2001-2060, 2020RMB)'!Y25*$B$73</f>
        <v>1111.2224135916374</v>
      </c>
      <c r="Z25" s="90">
        <f>'增加值 (2001-2060, 2020RMB)'!Z25*$B$73</f>
        <v>1107.1746530518378</v>
      </c>
      <c r="AA25" s="89">
        <f>'增加值 (2001-2060, 2020RMB)'!AA25*$B$73</f>
        <v>1102.6221006988644</v>
      </c>
      <c r="AB25" s="90">
        <f>'增加值 (2001-2060, 2020RMB)'!AB25*$B$73</f>
        <v>1097.4001073536353</v>
      </c>
      <c r="AC25" s="90">
        <f>'增加值 (2001-2060, 2020RMB)'!AC25*$B$73</f>
        <v>1091.3483119988275</v>
      </c>
      <c r="AD25" s="90">
        <f>'增加值 (2001-2060, 2020RMB)'!AD25*$B$73</f>
        <v>1084.311769751374</v>
      </c>
      <c r="AE25" s="101">
        <f>'增加值 (2001-2060, 2020RMB)'!AE25*$B$73</f>
        <v>1076.1422972674986</v>
      </c>
      <c r="AF25" s="90">
        <f>'增加值 (2001-2060, 2020RMB)'!AF25*$B$73</f>
        <v>1066.7296939987264</v>
      </c>
      <c r="AG25" s="90">
        <f>'增加值 (2001-2060, 2020RMB)'!AG25*$B$73</f>
        <v>1056.0901007000468</v>
      </c>
      <c r="AH25" s="90">
        <f>'增加值 (2001-2060, 2020RMB)'!AH25*$B$73</f>
        <v>1044.2735983516559</v>
      </c>
      <c r="AI25" s="90">
        <f>'增加值 (2001-2060, 2020RMB)'!AI25*$B$73</f>
        <v>1031.3336751641671</v>
      </c>
      <c r="AJ25" s="106">
        <f>'增加值 (2001-2060, 2020RMB)'!AJ25*$B$73</f>
        <v>1017.3268524017122</v>
      </c>
      <c r="AK25" s="89">
        <f>'增加值 (2001-2060, 2020RMB)'!AK25*$B$73</f>
        <v>1002.3220726022535</v>
      </c>
      <c r="AL25" s="90">
        <f>'增加值 (2001-2060, 2020RMB)'!AL25*$B$73</f>
        <v>986.42838173087819</v>
      </c>
      <c r="AM25" s="90">
        <f>'增加值 (2001-2060, 2020RMB)'!AM25*$B$73</f>
        <v>969.76283931319688</v>
      </c>
      <c r="AN25" s="90">
        <f>'增加值 (2001-2060, 2020RMB)'!AN25*$B$73</f>
        <v>952.43964776939492</v>
      </c>
      <c r="AO25" s="101">
        <f>'增加值 (2001-2060, 2020RMB)'!AO25*$B$73</f>
        <v>934.56944272528006</v>
      </c>
      <c r="AP25" s="90">
        <f>'增加值 (2001-2060, 2020RMB)'!AP25*$B$73</f>
        <v>916.25869045139439</v>
      </c>
      <c r="AQ25" s="90">
        <f>'增加值 (2001-2060, 2020RMB)'!AQ25*$B$73</f>
        <v>897.60918994767326</v>
      </c>
      <c r="AR25" s="90">
        <f>'增加值 (2001-2060, 2020RMB)'!AR25*$B$73</f>
        <v>878.71767577564162</v>
      </c>
      <c r="AS25" s="90">
        <f>'增加值 (2001-2060, 2020RMB)'!AS25*$B$73</f>
        <v>859.67551657582419</v>
      </c>
      <c r="AT25" s="90">
        <f>'增加值 (2001-2060, 2020RMB)'!AT25*$B$73</f>
        <v>840.56850328783844</v>
      </c>
      <c r="AU25" s="89">
        <f>'增加值 (2001-2060, 2020RMB)'!AU25*$B$73</f>
        <v>821.47672040272539</v>
      </c>
      <c r="AV25" s="90">
        <f>'增加值 (2001-2060, 2020RMB)'!AV25*$B$73</f>
        <v>802.47449310498973</v>
      </c>
      <c r="AW25" s="90">
        <f>'增加值 (2001-2060, 2020RMB)'!AW25*$B$73</f>
        <v>783.63040288719867</v>
      </c>
      <c r="AX25" s="90">
        <f>'增加值 (2001-2060, 2020RMB)'!AX25*$B$73</f>
        <v>765.00736412128754</v>
      </c>
      <c r="AY25" s="101">
        <f>'增加值 (2001-2060, 2020RMB)'!AY25*$B$73</f>
        <v>746.66275412670745</v>
      </c>
      <c r="AZ25" s="89">
        <f>'增加值 (2001-2060, 2020RMB)'!AZ25*$B$73</f>
        <v>728.64858946340678</v>
      </c>
      <c r="BA25" s="90">
        <f>'增加值 (2001-2060, 2020RMB)'!BA25*$B$73</f>
        <v>711.01174147602126</v>
      </c>
      <c r="BB25" s="90">
        <f>'增加值 (2001-2060, 2020RMB)'!BB25*$B$73</f>
        <v>693.79418450317803</v>
      </c>
      <c r="BC25" s="90">
        <f>'增加值 (2001-2060, 2020RMB)'!BC25*$B$73</f>
        <v>677.0332706231992</v>
      </c>
      <c r="BD25" s="101">
        <f>'增加值 (2001-2060, 2020RMB)'!BD25*$B$73</f>
        <v>660.76202531655633</v>
      </c>
      <c r="BE25" s="90">
        <f>'增加值 (2001-2060, 2020RMB)'!BE25*$B$73</f>
        <v>645.00945897007762</v>
      </c>
      <c r="BF25" s="90">
        <f>'增加值 (2001-2060, 2020RMB)'!BF25*$B$73</f>
        <v>629.80088971403018</v>
      </c>
      <c r="BG25" s="90">
        <f>'增加值 (2001-2060, 2020RMB)'!BG25*$B$73</f>
        <v>615.15827365874463</v>
      </c>
      <c r="BH25" s="90">
        <f>'增加值 (2001-2060, 2020RMB)'!BH25*$B$73</f>
        <v>601.10053917229936</v>
      </c>
      <c r="BI25" s="109">
        <f>'增加值 (2001-2060, 2020RMB)'!BI25*$B$73</f>
        <v>587.64392240703955</v>
      </c>
    </row>
    <row r="26" spans="1:61" ht="13.9" customHeight="1" x14ac:dyDescent="0.2">
      <c r="A26" s="30" t="s">
        <v>84</v>
      </c>
      <c r="B26" s="19"/>
      <c r="C26" s="20"/>
      <c r="D26" s="20"/>
      <c r="E26" s="20"/>
      <c r="F26" s="21"/>
      <c r="G26" s="19"/>
      <c r="H26" s="20"/>
      <c r="I26" s="20">
        <f>'增加值 (2001-2060, 2020RMB)'!I26*$B$73</f>
        <v>476.7254918794149</v>
      </c>
      <c r="J26" s="20">
        <f>'增加值 (2001-2060, 2020RMB)'!J26*$B$73</f>
        <v>496.64690042756814</v>
      </c>
      <c r="K26" s="21">
        <f>'增加值 (2001-2060, 2020RMB)'!K26*$B$73</f>
        <v>554.64626925052289</v>
      </c>
      <c r="L26" s="19">
        <f>'增加值 (2001-2060, 2020RMB)'!L26*$B$73</f>
        <v>616.08885280120433</v>
      </c>
      <c r="M26" s="20">
        <f>'增加值 (2001-2060, 2020RMB)'!M26*$B$73</f>
        <v>628.74162899988778</v>
      </c>
      <c r="N26" s="20">
        <f>'增加值 (2001-2060, 2020RMB)'!N26*$B$73</f>
        <v>640.28422178339451</v>
      </c>
      <c r="O26" s="20">
        <f>'增加值 (2001-2060, 2020RMB)'!O26*$B$73</f>
        <v>658.05639887173447</v>
      </c>
      <c r="P26" s="20">
        <f>'增加值 (2001-2060, 2020RMB)'!P26*$B$73</f>
        <v>651.77235477871579</v>
      </c>
      <c r="Q26" s="19">
        <f>'增加值 (2001-2060, 2020RMB)'!Q26*$B$73</f>
        <v>660.22500337453687</v>
      </c>
      <c r="R26" s="20">
        <f>'增加值 (2001-2060, 2020RMB)'!R26*$B$73</f>
        <v>707.04711262930834</v>
      </c>
      <c r="S26" s="20">
        <f>'增加值 (2001-2060, 2020RMB)'!S26*$B$73</f>
        <v>734.98204225344136</v>
      </c>
      <c r="T26" s="20">
        <f>'增加值 (2001-2060, 2020RMB)'!T26*$B$73</f>
        <v>715.02314991124069</v>
      </c>
      <c r="U26" s="21">
        <f>'增加值 (2001-2060, 2020RMB)'!U26*$B$73</f>
        <v>629.43608541742412</v>
      </c>
      <c r="V26" s="20">
        <f>'增加值 (2001-2060, 2020RMB)'!V26*$B$73</f>
        <v>711.06790152819349</v>
      </c>
      <c r="W26" s="20">
        <f>'增加值 (2001-2060, 2020RMB)'!W26*$B$73</f>
        <v>708.60132920643639</v>
      </c>
      <c r="X26" s="90">
        <f>'增加值 (2001-2060, 2020RMB)'!X26*$B$73</f>
        <v>708.2418106005149</v>
      </c>
      <c r="Y26" s="90">
        <f>'增加值 (2001-2060, 2020RMB)'!Y26*$B$73</f>
        <v>707.93381262076105</v>
      </c>
      <c r="Z26" s="90">
        <f>'增加值 (2001-2060, 2020RMB)'!Z26*$B$73</f>
        <v>707.51728350800431</v>
      </c>
      <c r="AA26" s="89">
        <f>'增加值 (2001-2060, 2020RMB)'!AA26*$B$73</f>
        <v>706.83258514358181</v>
      </c>
      <c r="AB26" s="90">
        <f>'增加值 (2001-2060, 2020RMB)'!AB26*$B$73</f>
        <v>705.72091812374629</v>
      </c>
      <c r="AC26" s="90">
        <f>'增加值 (2001-2060, 2020RMB)'!AC26*$B$73</f>
        <v>704.02510428112805</v>
      </c>
      <c r="AD26" s="90">
        <f>'增加值 (2001-2060, 2020RMB)'!AD26*$B$73</f>
        <v>701.59071952902377</v>
      </c>
      <c r="AE26" s="101">
        <f>'增加值 (2001-2060, 2020RMB)'!AE26*$B$73</f>
        <v>698.2675638997971</v>
      </c>
      <c r="AF26" s="90">
        <f>'增加值 (2001-2060, 2020RMB)'!AF26*$B$73</f>
        <v>693.94206079054766</v>
      </c>
      <c r="AG26" s="90">
        <f>'增加值 (2001-2060, 2020RMB)'!AG26*$B$73</f>
        <v>688.629254962397</v>
      </c>
      <c r="AH26" s="90">
        <f>'增加值 (2001-2060, 2020RMB)'!AH26*$B$73</f>
        <v>682.37860921291133</v>
      </c>
      <c r="AI26" s="90">
        <f>'增加值 (2001-2060, 2020RMB)'!AI26*$B$73</f>
        <v>675.24251968431497</v>
      </c>
      <c r="AJ26" s="106">
        <f>'增加值 (2001-2060, 2020RMB)'!AJ26*$B$73</f>
        <v>667.27578487892572</v>
      </c>
      <c r="AK26" s="89">
        <f>'增加值 (2001-2060, 2020RMB)'!AK26*$B$73</f>
        <v>658.5392605676227</v>
      </c>
      <c r="AL26" s="90">
        <f>'增加值 (2001-2060, 2020RMB)'!AL26*$B$73</f>
        <v>649.1114037444944</v>
      </c>
      <c r="AM26" s="90">
        <f>'增加值 (2001-2060, 2020RMB)'!AM26*$B$73</f>
        <v>639.07430702917361</v>
      </c>
      <c r="AN26" s="90">
        <f>'增加值 (2001-2060, 2020RMB)'!AN26*$B$73</f>
        <v>628.50873683102282</v>
      </c>
      <c r="AO26" s="101">
        <f>'增加值 (2001-2060, 2020RMB)'!AO26*$B$73</f>
        <v>617.493533819194</v>
      </c>
      <c r="AP26" s="90">
        <f>'增加值 (2001-2060, 2020RMB)'!AP26*$B$73</f>
        <v>606.1050938637751</v>
      </c>
      <c r="AQ26" s="90">
        <f>'增加值 (2001-2060, 2020RMB)'!AQ26*$B$73</f>
        <v>594.41692888673208</v>
      </c>
      <c r="AR26" s="90">
        <f>'增加值 (2001-2060, 2020RMB)'!AR26*$B$73</f>
        <v>582.49930574727489</v>
      </c>
      <c r="AS26" s="90">
        <f>'增加值 (2001-2060, 2020RMB)'!AS26*$B$73</f>
        <v>570.41896017686076</v>
      </c>
      <c r="AT26" s="90">
        <f>'增加值 (2001-2060, 2020RMB)'!AT26*$B$73</f>
        <v>558.23888187326952</v>
      </c>
      <c r="AU26" s="89">
        <f>'增加值 (2001-2060, 2020RMB)'!AU26*$B$73</f>
        <v>546.01816615491805</v>
      </c>
      <c r="AV26" s="90">
        <f>'增加值 (2001-2060, 2020RMB)'!AV26*$B$73</f>
        <v>533.81192705530168</v>
      </c>
      <c r="AW26" s="90">
        <f>'增加值 (2001-2060, 2020RMB)'!AW26*$B$73</f>
        <v>521.67126638960099</v>
      </c>
      <c r="AX26" s="90">
        <f>'增加值 (2001-2060, 2020RMB)'!AX26*$B$73</f>
        <v>509.64329313480283</v>
      </c>
      <c r="AY26" s="101">
        <f>'增加值 (2001-2060, 2020RMB)'!AY26*$B$73</f>
        <v>497.77118741383379</v>
      </c>
      <c r="AZ26" s="89">
        <f>'增加值 (2001-2060, 2020RMB)'!AZ26*$B$73</f>
        <v>486.09430344476431</v>
      </c>
      <c r="BA26" s="90">
        <f>'增加值 (2001-2060, 2020RMB)'!BA26*$B$73</f>
        <v>474.64830598965807</v>
      </c>
      <c r="BB26" s="90">
        <f>'增加值 (2001-2060, 2020RMB)'!BB26*$B$73</f>
        <v>463.46533509641898</v>
      </c>
      <c r="BC26" s="90">
        <f>'增加值 (2001-2060, 2020RMB)'!BC26*$B$73</f>
        <v>452.5741942536838</v>
      </c>
      <c r="BD26" s="101">
        <f>'增加值 (2001-2060, 2020RMB)'!BD26*$B$73</f>
        <v>442.00055745788671</v>
      </c>
      <c r="BE26" s="90">
        <f>'增加值 (2001-2060, 2020RMB)'!BE26*$B$73</f>
        <v>431.76719110863058</v>
      </c>
      <c r="BF26" s="90">
        <f>'增加值 (2001-2060, 2020RMB)'!BF26*$B$73</f>
        <v>421.89418709091012</v>
      </c>
      <c r="BG26" s="90">
        <f>'增加值 (2001-2060, 2020RMB)'!BG26*$B$73</f>
        <v>412.39920385955378</v>
      </c>
      <c r="BH26" s="90">
        <f>'增加值 (2001-2060, 2020RMB)'!BH26*$B$73</f>
        <v>403.29771280360745</v>
      </c>
      <c r="BI26" s="109">
        <f>'增加值 (2001-2060, 2020RMB)'!BI26*$B$73</f>
        <v>394.60324762870943</v>
      </c>
    </row>
    <row r="27" spans="1:61" ht="13.9" customHeight="1" x14ac:dyDescent="0.2">
      <c r="A27" s="30" t="s">
        <v>85</v>
      </c>
      <c r="B27" s="19"/>
      <c r="C27" s="20"/>
      <c r="D27" s="20"/>
      <c r="E27" s="20"/>
      <c r="F27" s="21"/>
      <c r="G27" s="19"/>
      <c r="H27" s="20"/>
      <c r="I27" s="20">
        <f>'增加值 (2001-2060, 2020RMB)'!I27*$B$73</f>
        <v>317.40570200504726</v>
      </c>
      <c r="J27" s="20">
        <f>'增加值 (2001-2060, 2020RMB)'!J27*$B$73</f>
        <v>328.86416119741517</v>
      </c>
      <c r="K27" s="21">
        <f>'增加值 (2001-2060, 2020RMB)'!K27*$B$73</f>
        <v>372.06001518974961</v>
      </c>
      <c r="L27" s="19">
        <f>'增加值 (2001-2060, 2020RMB)'!L27*$B$73</f>
        <v>404.33843438097756</v>
      </c>
      <c r="M27" s="20">
        <f>'增加值 (2001-2060, 2020RMB)'!M27*$B$73</f>
        <v>414.56707567507476</v>
      </c>
      <c r="N27" s="20">
        <f>'增加值 (2001-2060, 2020RMB)'!N27*$B$73</f>
        <v>425.72220273226264</v>
      </c>
      <c r="O27" s="20">
        <f>'增加值 (2001-2060, 2020RMB)'!O27*$B$73</f>
        <v>433.45732712865822</v>
      </c>
      <c r="P27" s="20">
        <f>'增加值 (2001-2060, 2020RMB)'!P27*$B$73</f>
        <v>431.37419054235727</v>
      </c>
      <c r="Q27" s="19">
        <f>'增加值 (2001-2060, 2020RMB)'!Q27*$B$73</f>
        <v>435.28467205973448</v>
      </c>
      <c r="R27" s="20">
        <f>'增加值 (2001-2060, 2020RMB)'!R27*$B$73</f>
        <v>460.86717494499976</v>
      </c>
      <c r="S27" s="20">
        <f>'增加值 (2001-2060, 2020RMB)'!S27*$B$73</f>
        <v>480.45236428562674</v>
      </c>
      <c r="T27" s="20">
        <f>'增加值 (2001-2060, 2020RMB)'!T27*$B$73</f>
        <v>472.96421799246747</v>
      </c>
      <c r="U27" s="21">
        <f>'增加值 (2001-2060, 2020RMB)'!U27*$B$73</f>
        <v>403.99792185347974</v>
      </c>
      <c r="V27" s="20">
        <f>'增加值 (2001-2060, 2020RMB)'!V27*$B$73</f>
        <v>456.8132112388443</v>
      </c>
      <c r="W27" s="20">
        <f>'增加值 (2001-2060, 2020RMB)'!W27*$B$73</f>
        <v>462.18928676227665</v>
      </c>
      <c r="X27" s="90">
        <f>'增加值 (2001-2060, 2020RMB)'!X27*$B$73</f>
        <v>461.48817864287764</v>
      </c>
      <c r="Y27" s="90">
        <f>'增加值 (2001-2060, 2020RMB)'!Y27*$B$73</f>
        <v>460.12822151361581</v>
      </c>
      <c r="Z27" s="90">
        <f>'增加值 (2001-2060, 2020RMB)'!Z27*$B$73</f>
        <v>458.15778017929614</v>
      </c>
      <c r="AA27" s="89">
        <f>'增加值 (2001-2060, 2020RMB)'!AA27*$B$73</f>
        <v>455.62703492910015</v>
      </c>
      <c r="AB27" s="90">
        <f>'增加值 (2001-2060, 2020RMB)'!AB27*$B$73</f>
        <v>452.58739005693241</v>
      </c>
      <c r="AC27" s="90">
        <f>'增加值 (2001-2060, 2020RMB)'!AC27*$B$73</f>
        <v>449.09092452401404</v>
      </c>
      <c r="AD27" s="90">
        <f>'增加值 (2001-2060, 2020RMB)'!AD27*$B$73</f>
        <v>445.18988980547226</v>
      </c>
      <c r="AE27" s="101">
        <f>'增加值 (2001-2060, 2020RMB)'!AE27*$B$73</f>
        <v>440.9362585338514</v>
      </c>
      <c r="AF27" s="90">
        <f>'增加值 (2001-2060, 2020RMB)'!AF27*$B$73</f>
        <v>436.37117762814592</v>
      </c>
      <c r="AG27" s="90">
        <f>'增加值 (2001-2060, 2020RMB)'!AG27*$B$73</f>
        <v>431.49507908167692</v>
      </c>
      <c r="AH27" s="90">
        <f>'增加值 (2001-2060, 2020RMB)'!AH27*$B$73</f>
        <v>426.29957578787082</v>
      </c>
      <c r="AI27" s="90">
        <f>'增加值 (2001-2060, 2020RMB)'!AI27*$B$73</f>
        <v>420.77791417868639</v>
      </c>
      <c r="AJ27" s="106">
        <f>'增加值 (2001-2060, 2020RMB)'!AJ27*$B$73</f>
        <v>414.92506840687486</v>
      </c>
      <c r="AK27" s="89">
        <f>'增加值 (2001-2060, 2020RMB)'!AK27*$B$73</f>
        <v>408.74476839986534</v>
      </c>
      <c r="AL27" s="90">
        <f>'增加值 (2001-2060, 2020RMB)'!AL27*$B$73</f>
        <v>402.26951757657991</v>
      </c>
      <c r="AM27" s="90">
        <f>'增加值 (2001-2060, 2020RMB)'!AM27*$B$73</f>
        <v>395.5381617753423</v>
      </c>
      <c r="AN27" s="90">
        <f>'增加值 (2001-2060, 2020RMB)'!AN27*$B$73</f>
        <v>388.58852302051321</v>
      </c>
      <c r="AO27" s="101">
        <f>'增加值 (2001-2060, 2020RMB)'!AO27*$B$73</f>
        <v>381.45720699361539</v>
      </c>
      <c r="AP27" s="90">
        <f>'增加值 (2001-2060, 2020RMB)'!AP27*$B$73</f>
        <v>374.17943924915642</v>
      </c>
      <c r="AQ27" s="90">
        <f>'增加值 (2001-2060, 2020RMB)'!AQ27*$B$73</f>
        <v>366.78892941328701</v>
      </c>
      <c r="AR27" s="90">
        <f>'增加值 (2001-2060, 2020RMB)'!AR27*$B$73</f>
        <v>359.31776229072977</v>
      </c>
      <c r="AS27" s="90">
        <f>'增加值 (2001-2060, 2020RMB)'!AS27*$B$73</f>
        <v>351.79631454683118</v>
      </c>
      <c r="AT27" s="90">
        <f>'增加值 (2001-2060, 2020RMB)'!AT27*$B$73</f>
        <v>344.25319542550062</v>
      </c>
      <c r="AU27" s="89">
        <f>'增加值 (2001-2060, 2020RMB)'!AU27*$B$73</f>
        <v>336.71520980764916</v>
      </c>
      <c r="AV27" s="90">
        <f>'增加值 (2001-2060, 2020RMB)'!AV27*$B$73</f>
        <v>329.20734180522589</v>
      </c>
      <c r="AW27" s="90">
        <f>'增加值 (2001-2060, 2020RMB)'!AW27*$B$73</f>
        <v>321.75275701924505</v>
      </c>
      <c r="AX27" s="90">
        <f>'增加值 (2001-2060, 2020RMB)'!AX27*$B$73</f>
        <v>314.37282156216617</v>
      </c>
      <c r="AY27" s="101">
        <f>'增加值 (2001-2060, 2020RMB)'!AY27*$B$73</f>
        <v>307.0871359511309</v>
      </c>
      <c r="AZ27" s="89">
        <f>'增加值 (2001-2060, 2020RMB)'!AZ27*$B$73</f>
        <v>299.91358201447548</v>
      </c>
      <c r="BA27" s="90">
        <f>'增加值 (2001-2060, 2020RMB)'!BA27*$B$73</f>
        <v>292.8683810151324</v>
      </c>
      <c r="BB27" s="90">
        <f>'增加值 (2001-2060, 2020RMB)'!BB27*$B$73</f>
        <v>285.96616127667818</v>
      </c>
      <c r="BC27" s="90">
        <f>'增加值 (2001-2060, 2020RMB)'!BC27*$B$73</f>
        <v>279.22003369683915</v>
      </c>
      <c r="BD27" s="101">
        <f>'增加值 (2001-2060, 2020RMB)'!BD27*$B$73</f>
        <v>272.6416736453267</v>
      </c>
      <c r="BE27" s="90">
        <f>'增加值 (2001-2060, 2020RMB)'!BE27*$B$73</f>
        <v>266.24140786453404</v>
      </c>
      <c r="BF27" s="90">
        <f>'增加值 (2001-2060, 2020RMB)'!BF27*$B$73</f>
        <v>260.02830511968335</v>
      </c>
      <c r="BG27" s="90">
        <f>'增加值 (2001-2060, 2020RMB)'!BG27*$B$73</f>
        <v>254.01026947674046</v>
      </c>
      <c r="BH27" s="90">
        <f>'增加值 (2001-2060, 2020RMB)'!BH27*$B$73</f>
        <v>248.19413521941172</v>
      </c>
      <c r="BI27" s="109">
        <f>'增加值 (2001-2060, 2020RMB)'!BI27*$B$73</f>
        <v>242.58576254883533</v>
      </c>
    </row>
    <row r="28" spans="1:61" ht="13.9" customHeight="1" x14ac:dyDescent="0.2">
      <c r="A28" s="30" t="s">
        <v>86</v>
      </c>
      <c r="B28" s="19"/>
      <c r="C28" s="20"/>
      <c r="D28" s="20"/>
      <c r="E28" s="20"/>
      <c r="F28" s="21"/>
      <c r="G28" s="19"/>
      <c r="H28" s="20"/>
      <c r="I28" s="20">
        <f>'增加值 (2001-2060, 2020RMB)'!I28*$B$73</f>
        <v>183.06258888169535</v>
      </c>
      <c r="J28" s="20">
        <f>'增加值 (2001-2060, 2020RMB)'!J28*$B$73</f>
        <v>204.24795840987005</v>
      </c>
      <c r="K28" s="21">
        <f>'增加值 (2001-2060, 2020RMB)'!K28*$B$73</f>
        <v>242.7781894886572</v>
      </c>
      <c r="L28" s="19">
        <f>'增加值 (2001-2060, 2020RMB)'!L28*$B$73</f>
        <v>282.2698285326012</v>
      </c>
      <c r="M28" s="20">
        <f>'增加值 (2001-2060, 2020RMB)'!M28*$B$73</f>
        <v>302.04027033522306</v>
      </c>
      <c r="N28" s="20">
        <f>'增加值 (2001-2060, 2020RMB)'!N28*$B$73</f>
        <v>320.49689172431061</v>
      </c>
      <c r="O28" s="20">
        <f>'增加值 (2001-2060, 2020RMB)'!O28*$B$73</f>
        <v>336.46002467903793</v>
      </c>
      <c r="P28" s="20">
        <f>'增加值 (2001-2060, 2020RMB)'!P28*$B$73</f>
        <v>339.31187379870977</v>
      </c>
      <c r="Q28" s="19">
        <f>'增加值 (2001-2060, 2020RMB)'!Q28*$B$73</f>
        <v>353.64619395247428</v>
      </c>
      <c r="R28" s="20">
        <f>'增加值 (2001-2060, 2020RMB)'!R28*$B$73</f>
        <v>380.15807784697552</v>
      </c>
      <c r="S28" s="20">
        <f>'增加值 (2001-2060, 2020RMB)'!S28*$B$73</f>
        <v>389.12148812811552</v>
      </c>
      <c r="T28" s="20">
        <f>'增加值 (2001-2060, 2020RMB)'!T28*$B$73</f>
        <v>383.43196789554264</v>
      </c>
      <c r="U28" s="21">
        <f>'增加值 (2001-2060, 2020RMB)'!U28*$B$73</f>
        <v>363.87101977345213</v>
      </c>
      <c r="V28" s="20">
        <f>'增加值 (2001-2060, 2020RMB)'!V28*$B$73</f>
        <v>418.25991064157745</v>
      </c>
      <c r="W28" s="20">
        <f>'增加值 (2001-2060, 2020RMB)'!W28*$B$73</f>
        <v>422.75738400977508</v>
      </c>
      <c r="X28" s="90">
        <f>'增加值 (2001-2060, 2020RMB)'!X28*$B$73</f>
        <v>428.56476975356998</v>
      </c>
      <c r="Y28" s="90">
        <f>'增加值 (2001-2060, 2020RMB)'!Y28*$B$73</f>
        <v>433.21726820648524</v>
      </c>
      <c r="Z28" s="90">
        <f>'增加值 (2001-2060, 2020RMB)'!Z28*$B$73</f>
        <v>436.7878141334424</v>
      </c>
      <c r="AA28" s="89">
        <f>'增加值 (2001-2060, 2020RMB)'!AA28*$B$73</f>
        <v>439.36166705184041</v>
      </c>
      <c r="AB28" s="90">
        <f>'增加值 (2001-2060, 2020RMB)'!AB28*$B$73</f>
        <v>441.03407295410102</v>
      </c>
      <c r="AC28" s="90">
        <f>'增加值 (2001-2060, 2020RMB)'!AC28*$B$73</f>
        <v>441.90802323289745</v>
      </c>
      <c r="AD28" s="90">
        <f>'增加值 (2001-2060, 2020RMB)'!AD28*$B$73</f>
        <v>442.09217531278125</v>
      </c>
      <c r="AE28" s="101">
        <f>'增加值 (2001-2060, 2020RMB)'!AE28*$B$73</f>
        <v>441.69898588784127</v>
      </c>
      <c r="AF28" s="90">
        <f>'增加值 (2001-2060, 2020RMB)'!AF28*$B$73</f>
        <v>440.82171214284944</v>
      </c>
      <c r="AG28" s="90">
        <f>'增加值 (2001-2060, 2020RMB)'!AG28*$B$73</f>
        <v>439.4694201097883</v>
      </c>
      <c r="AH28" s="90">
        <f>'增加值 (2001-2060, 2020RMB)'!AH28*$B$73</f>
        <v>437.6314206654186</v>
      </c>
      <c r="AI28" s="90">
        <f>'增加值 (2001-2060, 2020RMB)'!AI28*$B$73</f>
        <v>435.29885427831067</v>
      </c>
      <c r="AJ28" s="106">
        <f>'增加值 (2001-2060, 2020RMB)'!AJ28*$B$73</f>
        <v>432.46482436518573</v>
      </c>
      <c r="AK28" s="89">
        <f>'增加值 (2001-2060, 2020RMB)'!AK28*$B$73</f>
        <v>429.13118262242352</v>
      </c>
      <c r="AL28" s="90">
        <f>'增加值 (2001-2060, 2020RMB)'!AL28*$B$73</f>
        <v>425.32815053835998</v>
      </c>
      <c r="AM28" s="90">
        <f>'增加值 (2001-2060, 2020RMB)'!AM28*$B$73</f>
        <v>421.0934072850182</v>
      </c>
      <c r="AN28" s="90">
        <f>'增加值 (2001-2060, 2020RMB)'!AN28*$B$73</f>
        <v>416.46499880967269</v>
      </c>
      <c r="AO28" s="101">
        <f>'增加值 (2001-2060, 2020RMB)'!AO28*$B$73</f>
        <v>411.4810270350406</v>
      </c>
      <c r="AP28" s="90">
        <f>'增加值 (2001-2060, 2020RMB)'!AP28*$B$73</f>
        <v>406.17936418649134</v>
      </c>
      <c r="AQ28" s="90">
        <f>'增加值 (2001-2060, 2020RMB)'!AQ28*$B$73</f>
        <v>400.59739363059572</v>
      </c>
      <c r="AR28" s="90">
        <f>'增加值 (2001-2060, 2020RMB)'!AR28*$B$73</f>
        <v>394.77177807841974</v>
      </c>
      <c r="AS28" s="90">
        <f>'增加值 (2001-2060, 2020RMB)'!AS28*$B$73</f>
        <v>388.73825551969833</v>
      </c>
      <c r="AT28" s="90">
        <f>'增加值 (2001-2060, 2020RMB)'!AT28*$B$73</f>
        <v>382.53146281514756</v>
      </c>
      <c r="AU28" s="89">
        <f>'增加值 (2001-2060, 2020RMB)'!AU28*$B$73</f>
        <v>376.18478648683094</v>
      </c>
      <c r="AV28" s="90">
        <f>'增加值 (2001-2060, 2020RMB)'!AV28*$B$73</f>
        <v>369.73023991216695</v>
      </c>
      <c r="AW28" s="90">
        <f>'增加值 (2001-2060, 2020RMB)'!AW28*$B$73</f>
        <v>363.19836584608504</v>
      </c>
      <c r="AX28" s="90">
        <f>'增加值 (2001-2060, 2020RMB)'!AX28*$B$73</f>
        <v>356.61816296690398</v>
      </c>
      <c r="AY28" s="101">
        <f>'增加值 (2001-2060, 2020RMB)'!AY28*$B$73</f>
        <v>350.01703496277906</v>
      </c>
      <c r="AZ28" s="89">
        <f>'增加值 (2001-2060, 2020RMB)'!AZ28*$B$73</f>
        <v>343.42076054412627</v>
      </c>
      <c r="BA28" s="90">
        <f>'增加值 (2001-2060, 2020RMB)'!BA28*$B$73</f>
        <v>336.85348267994294</v>
      </c>
      <c r="BB28" s="90">
        <f>'增加值 (2001-2060, 2020RMB)'!BB28*$B$73</f>
        <v>330.33771530843831</v>
      </c>
      <c r="BC28" s="90">
        <f>'增加值 (2001-2060, 2020RMB)'!BC28*$B$73</f>
        <v>323.89436576076673</v>
      </c>
      <c r="BD28" s="101">
        <f>'增加值 (2001-2060, 2020RMB)'!BD28*$B$73</f>
        <v>317.54277115660562</v>
      </c>
      <c r="BE28" s="90">
        <f>'增加值 (2001-2060, 2020RMB)'!BE28*$B$73</f>
        <v>311.30074707752459</v>
      </c>
      <c r="BF28" s="90">
        <f>'增加值 (2001-2060, 2020RMB)'!BF28*$B$73</f>
        <v>305.18464689440458</v>
      </c>
      <c r="BG28" s="90">
        <f>'增加值 (2001-2060, 2020RMB)'!BG28*$B$73</f>
        <v>299.20943021449347</v>
      </c>
      <c r="BH28" s="90">
        <f>'增加值 (2001-2060, 2020RMB)'!BH28*$B$73</f>
        <v>293.38873901835728</v>
      </c>
      <c r="BI28" s="109">
        <f>'增加值 (2001-2060, 2020RMB)'!BI28*$B$73</f>
        <v>287.73498017350801</v>
      </c>
    </row>
    <row r="29" spans="1:61" ht="13.9" customHeight="1" x14ac:dyDescent="0.2">
      <c r="A29" s="30" t="s">
        <v>87</v>
      </c>
      <c r="B29" s="19"/>
      <c r="C29" s="20"/>
      <c r="D29" s="20"/>
      <c r="E29" s="20"/>
      <c r="F29" s="21"/>
      <c r="G29" s="19"/>
      <c r="H29" s="20"/>
      <c r="I29" s="20">
        <f>'增加值 (2001-2060, 2020RMB)'!I29*$B$73</f>
        <v>129.81889472982971</v>
      </c>
      <c r="J29" s="20">
        <f>'增加值 (2001-2060, 2020RMB)'!J29*$B$73</f>
        <v>133.8900994239722</v>
      </c>
      <c r="K29" s="21">
        <f>'增加值 (2001-2060, 2020RMB)'!K29*$B$73</f>
        <v>155.6371038995149</v>
      </c>
      <c r="L29" s="19">
        <f>'增加值 (2001-2060, 2020RMB)'!L29*$B$73</f>
        <v>172.28007045156349</v>
      </c>
      <c r="M29" s="20">
        <f>'增加值 (2001-2060, 2020RMB)'!M29*$B$73</f>
        <v>182.37861258806183</v>
      </c>
      <c r="N29" s="20">
        <f>'增加值 (2001-2060, 2020RMB)'!N29*$B$73</f>
        <v>190.92434116214173</v>
      </c>
      <c r="O29" s="20">
        <f>'增加值 (2001-2060, 2020RMB)'!O29*$B$73</f>
        <v>198.96943926643203</v>
      </c>
      <c r="P29" s="20">
        <f>'增加值 (2001-2060, 2020RMB)'!P29*$B$73</f>
        <v>201.78849524439579</v>
      </c>
      <c r="Q29" s="19">
        <f>'增加值 (2001-2060, 2020RMB)'!Q29*$B$73</f>
        <v>209.91925901214057</v>
      </c>
      <c r="R29" s="20">
        <f>'增加值 (2001-2060, 2020RMB)'!R29*$B$73</f>
        <v>233.30569642673959</v>
      </c>
      <c r="S29" s="20">
        <f>'增加值 (2001-2060, 2020RMB)'!S29*$B$73</f>
        <v>245.31106464866127</v>
      </c>
      <c r="T29" s="20">
        <f>'增加值 (2001-2060, 2020RMB)'!T29*$B$73</f>
        <v>242.43382368782244</v>
      </c>
      <c r="U29" s="21">
        <f>'增加值 (2001-2060, 2020RMB)'!U29*$B$73</f>
        <v>224.20291022259102</v>
      </c>
      <c r="V29" s="20">
        <f>'增加值 (2001-2060, 2020RMB)'!V29*$B$73</f>
        <v>261.91706865328678</v>
      </c>
      <c r="W29" s="20">
        <f>'增加值 (2001-2060, 2020RMB)'!W29*$B$73</f>
        <v>248.2374641170465</v>
      </c>
      <c r="X29" s="90">
        <f>'增加值 (2001-2060, 2020RMB)'!X29*$B$73</f>
        <v>251.33377678961273</v>
      </c>
      <c r="Y29" s="90">
        <f>'增加值 (2001-2060, 2020RMB)'!Y29*$B$73</f>
        <v>253.77489558026411</v>
      </c>
      <c r="Z29" s="90">
        <f>'增加值 (2001-2060, 2020RMB)'!Z29*$B$73</f>
        <v>255.60323504467596</v>
      </c>
      <c r="AA29" s="89">
        <f>'增加值 (2001-2060, 2020RMB)'!AA29*$B$73</f>
        <v>256.86772649872626</v>
      </c>
      <c r="AB29" s="90">
        <f>'增加值 (2001-2060, 2020RMB)'!AB29*$B$73</f>
        <v>257.62254365104718</v>
      </c>
      <c r="AC29" s="90">
        <f>'增加值 (2001-2060, 2020RMB)'!AC29*$B$73</f>
        <v>257.92588632976441</v>
      </c>
      <c r="AD29" s="90">
        <f>'增加值 (2001-2060, 2020RMB)'!AD29*$B$73</f>
        <v>257.83885505973825</v>
      </c>
      <c r="AE29" s="101">
        <f>'增加值 (2001-2060, 2020RMB)'!AE29*$B$73</f>
        <v>257.42444216159805</v>
      </c>
      <c r="AF29" s="90">
        <f>'增加值 (2001-2060, 2020RMB)'!AF29*$B$73</f>
        <v>256.73473462099753</v>
      </c>
      <c r="AG29" s="90">
        <f>'增加值 (2001-2060, 2020RMB)'!AG29*$B$73</f>
        <v>255.77475899823563</v>
      </c>
      <c r="AH29" s="90">
        <f>'增加值 (2001-2060, 2020RMB)'!AH29*$B$73</f>
        <v>254.53853725944251</v>
      </c>
      <c r="AI29" s="90">
        <f>'增加值 (2001-2060, 2020RMB)'!AI29*$B$73</f>
        <v>253.02114174796665</v>
      </c>
      <c r="AJ29" s="106">
        <f>'增加值 (2001-2060, 2020RMB)'!AJ29*$B$73</f>
        <v>251.21877107506089</v>
      </c>
      <c r="AK29" s="89">
        <f>'增加值 (2001-2060, 2020RMB)'!AK29*$B$73</f>
        <v>249.13271820899479</v>
      </c>
      <c r="AL29" s="90">
        <f>'增加值 (2001-2060, 2020RMB)'!AL29*$B$73</f>
        <v>246.78083109484123</v>
      </c>
      <c r="AM29" s="90">
        <f>'增加值 (2001-2060, 2020RMB)'!AM29*$B$73</f>
        <v>244.18524676705849</v>
      </c>
      <c r="AN29" s="90">
        <f>'增加值 (2001-2060, 2020RMB)'!AN29*$B$73</f>
        <v>241.36824280389371</v>
      </c>
      <c r="AO29" s="101">
        <f>'增加值 (2001-2060, 2020RMB)'!AO29*$B$73</f>
        <v>238.35206105241733</v>
      </c>
      <c r="AP29" s="90">
        <f>'增加值 (2001-2060, 2020RMB)'!AP29*$B$73</f>
        <v>235.15874637153124</v>
      </c>
      <c r="AQ29" s="90">
        <f>'增加值 (2001-2060, 2020RMB)'!AQ29*$B$73</f>
        <v>231.81000108330059</v>
      </c>
      <c r="AR29" s="90">
        <f>'增加值 (2001-2060, 2020RMB)'!AR29*$B$73</f>
        <v>228.32705552198433</v>
      </c>
      <c r="AS29" s="90">
        <f>'增加值 (2001-2060, 2020RMB)'!AS29*$B$73</f>
        <v>224.73055479572508</v>
      </c>
      <c r="AT29" s="90">
        <f>'增加值 (2001-2060, 2020RMB)'!AT29*$B$73</f>
        <v>221.04046163042418</v>
      </c>
      <c r="AU29" s="89">
        <f>'增加值 (2001-2060, 2020RMB)'!AU29*$B$73</f>
        <v>217.27597495034584</v>
      </c>
      <c r="AV29" s="90">
        <f>'增加值 (2001-2060, 2020RMB)'!AV29*$B$73</f>
        <v>213.45546366605893</v>
      </c>
      <c r="AW29" s="90">
        <f>'增加值 (2001-2060, 2020RMB)'!AW29*$B$73</f>
        <v>209.59641498728826</v>
      </c>
      <c r="AX29" s="90">
        <f>'增加值 (2001-2060, 2020RMB)'!AX29*$B$73</f>
        <v>205.71539645525192</v>
      </c>
      <c r="AY29" s="101">
        <f>'增加值 (2001-2060, 2020RMB)'!AY29*$B$73</f>
        <v>201.82803079481479</v>
      </c>
      <c r="AZ29" s="89">
        <f>'增加值 (2001-2060, 2020RMB)'!AZ29*$B$73</f>
        <v>197.94898261941879</v>
      </c>
      <c r="BA29" s="90">
        <f>'增加值 (2001-2060, 2020RMB)'!BA29*$B$73</f>
        <v>194.09195597922636</v>
      </c>
      <c r="BB29" s="90">
        <f>'增加值 (2001-2060, 2020RMB)'!BB29*$B$73</f>
        <v>190.26970172285758</v>
      </c>
      <c r="BC29" s="90">
        <f>'增加值 (2001-2060, 2020RMB)'!BC29*$B$73</f>
        <v>186.4940336430538</v>
      </c>
      <c r="BD29" s="101">
        <f>'增加值 (2001-2060, 2020RMB)'!BD29*$B$73</f>
        <v>182.77585239407179</v>
      </c>
      <c r="BE29" s="90">
        <f>'增加值 (2001-2060, 2020RMB)'!BE29*$B$73</f>
        <v>179.1251762010647</v>
      </c>
      <c r="BF29" s="90">
        <f>'增加值 (2001-2060, 2020RMB)'!BF29*$B$73</f>
        <v>175.55117742675455</v>
      </c>
      <c r="BG29" s="90">
        <f>'增加值 (2001-2060, 2020RMB)'!BG29*$B$73</f>
        <v>172.06222411601908</v>
      </c>
      <c r="BH29" s="90">
        <f>'增加值 (2001-2060, 2020RMB)'!BH29*$B$73</f>
        <v>168.66592570249557</v>
      </c>
      <c r="BI29" s="109">
        <f>'增加值 (2001-2060, 2020RMB)'!BI29*$B$73</f>
        <v>165.36918213096519</v>
      </c>
    </row>
    <row r="30" spans="1:61" ht="13.9" customHeight="1" x14ac:dyDescent="0.2">
      <c r="A30" s="30" t="s">
        <v>88</v>
      </c>
      <c r="B30" s="19"/>
      <c r="C30" s="20"/>
      <c r="D30" s="20"/>
      <c r="E30" s="20"/>
      <c r="F30" s="21"/>
      <c r="G30" s="19"/>
      <c r="H30" s="20"/>
      <c r="I30" s="20">
        <f>'增加值 (2001-2060, 2020RMB)'!I30*$B$73</f>
        <v>330.51097925239907</v>
      </c>
      <c r="J30" s="20">
        <f>'增加值 (2001-2060, 2020RMB)'!J30*$B$73</f>
        <v>346.82881592155036</v>
      </c>
      <c r="K30" s="21">
        <f>'增加值 (2001-2060, 2020RMB)'!K30*$B$73</f>
        <v>391.37387085407408</v>
      </c>
      <c r="L30" s="19">
        <f>'增加值 (2001-2060, 2020RMB)'!L30*$B$73</f>
        <v>430.21670812444341</v>
      </c>
      <c r="M30" s="20">
        <f>'增加值 (2001-2060, 2020RMB)'!M30*$B$73</f>
        <v>445.60519760051397</v>
      </c>
      <c r="N30" s="20">
        <f>'增加值 (2001-2060, 2020RMB)'!N30*$B$73</f>
        <v>458.865417905372</v>
      </c>
      <c r="O30" s="20">
        <f>'增加值 (2001-2060, 2020RMB)'!O30*$B$73</f>
        <v>468.52251694999666</v>
      </c>
      <c r="P30" s="20">
        <f>'增加值 (2001-2060, 2020RMB)'!P30*$B$73</f>
        <v>468.04882510911114</v>
      </c>
      <c r="Q30" s="19">
        <f>'增加值 (2001-2060, 2020RMB)'!Q30*$B$73</f>
        <v>483.71081514868058</v>
      </c>
      <c r="R30" s="20">
        <f>'增加值 (2001-2060, 2020RMB)'!R30*$B$73</f>
        <v>510.18094586861395</v>
      </c>
      <c r="S30" s="20">
        <f>'增加值 (2001-2060, 2020RMB)'!S30*$B$73</f>
        <v>513.06629433986552</v>
      </c>
      <c r="T30" s="20">
        <f>'增加值 (2001-2060, 2020RMB)'!T30*$B$73</f>
        <v>515.4581519234448</v>
      </c>
      <c r="U30" s="21">
        <f>'增加值 (2001-2060, 2020RMB)'!U30*$B$73</f>
        <v>504.61954407507056</v>
      </c>
      <c r="V30" s="20">
        <f>'增加值 (2001-2060, 2020RMB)'!V30*$B$73</f>
        <v>558.50495491767742</v>
      </c>
      <c r="W30" s="20">
        <f>'增加值 (2001-2060, 2020RMB)'!W30*$B$73</f>
        <v>563.9431107539109</v>
      </c>
      <c r="X30" s="90">
        <f>'增加值 (2001-2060, 2020RMB)'!X30*$B$73</f>
        <v>569.4373385583682</v>
      </c>
      <c r="Y30" s="90">
        <f>'增加值 (2001-2060, 2020RMB)'!Y30*$B$73</f>
        <v>575.5335875121832</v>
      </c>
      <c r="Z30" s="90">
        <f>'增加值 (2001-2060, 2020RMB)'!Z30*$B$73</f>
        <v>581.96298879641688</v>
      </c>
      <c r="AA30" s="89">
        <f>'增加值 (2001-2060, 2020RMB)'!AA30*$B$73</f>
        <v>588.44501540130227</v>
      </c>
      <c r="AB30" s="90">
        <f>'增加值 (2001-2060, 2020RMB)'!AB30*$B$73</f>
        <v>594.68654637920451</v>
      </c>
      <c r="AC30" s="90">
        <f>'增加值 (2001-2060, 2020RMB)'!AC30*$B$73</f>
        <v>600.38234495230256</v>
      </c>
      <c r="AD30" s="90">
        <f>'增加值 (2001-2060, 2020RMB)'!AD30*$B$73</f>
        <v>605.21705454865128</v>
      </c>
      <c r="AE30" s="101">
        <f>'增加值 (2001-2060, 2020RMB)'!AE30*$B$73</f>
        <v>608.86879927829216</v>
      </c>
      <c r="AF30" s="90">
        <f>'增加值 (2001-2060, 2020RMB)'!AF30*$B$73</f>
        <v>611.07914160109465</v>
      </c>
      <c r="AG30" s="90">
        <f>'增加值 (2001-2060, 2020RMB)'!AG30*$B$73</f>
        <v>611.85455167526993</v>
      </c>
      <c r="AH30" s="90">
        <f>'增加值 (2001-2060, 2020RMB)'!AH30*$B$73</f>
        <v>611.27654470620257</v>
      </c>
      <c r="AI30" s="90">
        <f>'增加值 (2001-2060, 2020RMB)'!AI30*$B$73</f>
        <v>609.43567885739367</v>
      </c>
      <c r="AJ30" s="106">
        <f>'增加值 (2001-2060, 2020RMB)'!AJ30*$B$73</f>
        <v>606.42965982988562</v>
      </c>
      <c r="AK30" s="89">
        <f>'增加值 (2001-2060, 2020RMB)'!AK30*$B$73</f>
        <v>602.35761658389993</v>
      </c>
      <c r="AL30" s="90">
        <f>'增加值 (2001-2060, 2020RMB)'!AL30*$B$73</f>
        <v>597.30695186487026</v>
      </c>
      <c r="AM30" s="90">
        <f>'增加值 (2001-2060, 2020RMB)'!AM30*$B$73</f>
        <v>591.36401604181515</v>
      </c>
      <c r="AN30" s="90">
        <f>'增加值 (2001-2060, 2020RMB)'!AN30*$B$73</f>
        <v>584.61688252358226</v>
      </c>
      <c r="AO30" s="101">
        <f>'增加值 (2001-2060, 2020RMB)'!AO30*$B$73</f>
        <v>577.1542723322724</v>
      </c>
      <c r="AP30" s="90">
        <f>'增加值 (2001-2060, 2020RMB)'!AP30*$B$73</f>
        <v>569.06457605907042</v>
      </c>
      <c r="AQ30" s="90">
        <f>'增加值 (2001-2060, 2020RMB)'!AQ30*$B$73</f>
        <v>560.43498066892334</v>
      </c>
      <c r="AR30" s="90">
        <f>'增加值 (2001-2060, 2020RMB)'!AR30*$B$73</f>
        <v>551.3507055371382</v>
      </c>
      <c r="AS30" s="90">
        <f>'增加值 (2001-2060, 2020RMB)'!AS30*$B$73</f>
        <v>541.89434931694927</v>
      </c>
      <c r="AT30" s="90">
        <f>'增加值 (2001-2060, 2020RMB)'!AT30*$B$73</f>
        <v>532.14534679111136</v>
      </c>
      <c r="AU30" s="89">
        <f>'增加值 (2001-2060, 2020RMB)'!AU30*$B$73</f>
        <v>522.17953277492074</v>
      </c>
      <c r="AV30" s="90">
        <f>'增加值 (2001-2060, 2020RMB)'!AV30*$B$73</f>
        <v>512.06880841995473</v>
      </c>
      <c r="AW30" s="90">
        <f>'增加值 (2001-2060, 2020RMB)'!AW30*$B$73</f>
        <v>501.88090391223443</v>
      </c>
      <c r="AX30" s="90">
        <f>'增加值 (2001-2060, 2020RMB)'!AX30*$B$73</f>
        <v>491.6792305498879</v>
      </c>
      <c r="AY30" s="101">
        <f>'增加值 (2001-2060, 2020RMB)'!AY30*$B$73</f>
        <v>481.52281450043495</v>
      </c>
      <c r="AZ30" s="89">
        <f>'增加值 (2001-2060, 2020RMB)'!AZ30*$B$73</f>
        <v>471.46630414738877</v>
      </c>
      <c r="BA30" s="90">
        <f>'增加值 (2001-2060, 2020RMB)'!BA30*$B$73</f>
        <v>461.56004280713705</v>
      </c>
      <c r="BB30" s="90">
        <f>'增加值 (2001-2060, 2020RMB)'!BB30*$B$73</f>
        <v>451.85019869550814</v>
      </c>
      <c r="BC30" s="90">
        <f>'增加值 (2001-2060, 2020RMB)'!BC30*$B$73</f>
        <v>442.37894431396955</v>
      </c>
      <c r="BD30" s="101">
        <f>'增加值 (2001-2060, 2020RMB)'!BD30*$B$73</f>
        <v>433.18467787442415</v>
      </c>
      <c r="BE30" s="90">
        <f>'增加值 (2001-2060, 2020RMB)'!BE30*$B$73</f>
        <v>424.30227995695361</v>
      </c>
      <c r="BF30" s="90">
        <f>'增加值 (2001-2060, 2020RMB)'!BF30*$B$73</f>
        <v>415.76339926819435</v>
      </c>
      <c r="BG30" s="90">
        <f>'增加值 (2001-2060, 2020RMB)'!BG30*$B$73</f>
        <v>407.59676211343657</v>
      </c>
      <c r="BH30" s="90">
        <f>'增加值 (2001-2060, 2020RMB)'!BH30*$B$73</f>
        <v>399.8285009920051</v>
      </c>
      <c r="BI30" s="109">
        <f>'增加值 (2001-2060, 2020RMB)'!BI30*$B$73</f>
        <v>392.48249855518293</v>
      </c>
    </row>
    <row r="31" spans="1:61" ht="13.9" customHeight="1" x14ac:dyDescent="0.2">
      <c r="A31" s="30" t="s">
        <v>89</v>
      </c>
      <c r="B31" s="19"/>
      <c r="C31" s="20"/>
      <c r="D31" s="20"/>
      <c r="E31" s="20"/>
      <c r="F31" s="21"/>
      <c r="G31" s="19"/>
      <c r="H31" s="20"/>
      <c r="I31" s="20">
        <f>'增加值 (2001-2060, 2020RMB)'!I31*$B$73</f>
        <v>132.30534533453411</v>
      </c>
      <c r="J31" s="20">
        <f>'增加值 (2001-2060, 2020RMB)'!J31*$B$73</f>
        <v>136.45452673148776</v>
      </c>
      <c r="K31" s="21">
        <f>'增加值 (2001-2060, 2020RMB)'!K31*$B$73</f>
        <v>152.25743267504157</v>
      </c>
      <c r="L31" s="19">
        <f>'增加值 (2001-2060, 2020RMB)'!L31*$B$73</f>
        <v>166.63708022402926</v>
      </c>
      <c r="M31" s="20">
        <f>'增加值 (2001-2060, 2020RMB)'!M31*$B$73</f>
        <v>174.65983518420302</v>
      </c>
      <c r="N31" s="20">
        <f>'增加值 (2001-2060, 2020RMB)'!N31*$B$73</f>
        <v>185.6645251013515</v>
      </c>
      <c r="O31" s="20">
        <f>'增加值 (2001-2060, 2020RMB)'!O31*$B$73</f>
        <v>195.80201081827016</v>
      </c>
      <c r="P31" s="20">
        <f>'增加值 (2001-2060, 2020RMB)'!P31*$B$73</f>
        <v>198.2046721022628</v>
      </c>
      <c r="Q31" s="19">
        <f>'增加值 (2001-2060, 2020RMB)'!Q31*$B$73</f>
        <v>205.2239061979808</v>
      </c>
      <c r="R31" s="20">
        <f>'增加值 (2001-2060, 2020RMB)'!R31*$B$73</f>
        <v>228.50270875026825</v>
      </c>
      <c r="S31" s="20">
        <f>'增加值 (2001-2060, 2020RMB)'!S31*$B$73</f>
        <v>242.53612456989296</v>
      </c>
      <c r="T31" s="20">
        <f>'增加值 (2001-2060, 2020RMB)'!T31*$B$73</f>
        <v>239.69143073965321</v>
      </c>
      <c r="U31" s="21">
        <f>'增加值 (2001-2060, 2020RMB)'!U31*$B$73</f>
        <v>227.23159947633118</v>
      </c>
      <c r="V31" s="20">
        <f>'增加值 (2001-2060, 2020RMB)'!V31*$B$73</f>
        <v>263.08931594356079</v>
      </c>
      <c r="W31" s="20">
        <f>'增加值 (2001-2060, 2020RMB)'!W31*$B$73</f>
        <v>268.32355876398901</v>
      </c>
      <c r="X31" s="90">
        <f>'增加值 (2001-2060, 2020RMB)'!X31*$B$73</f>
        <v>275.18705635637662</v>
      </c>
      <c r="Y31" s="90">
        <f>'增加值 (2001-2060, 2020RMB)'!Y31*$B$73</f>
        <v>281.12242104687328</v>
      </c>
      <c r="Z31" s="90">
        <f>'增加值 (2001-2060, 2020RMB)'!Z31*$B$73</f>
        <v>286.17159180848313</v>
      </c>
      <c r="AA31" s="89">
        <f>'增加值 (2001-2060, 2020RMB)'!AA31*$B$73</f>
        <v>290.39315568980123</v>
      </c>
      <c r="AB31" s="90">
        <f>'增加值 (2001-2060, 2020RMB)'!AB31*$B$73</f>
        <v>293.85989839107447</v>
      </c>
      <c r="AC31" s="90">
        <f>'增加值 (2001-2060, 2020RMB)'!AC31*$B$73</f>
        <v>296.65633824530568</v>
      </c>
      <c r="AD31" s="90">
        <f>'增加值 (2001-2060, 2020RMB)'!AD31*$B$73</f>
        <v>298.87636184134891</v>
      </c>
      <c r="AE31" s="101">
        <f>'增加值 (2001-2060, 2020RMB)'!AE31*$B$73</f>
        <v>300.62105995654281</v>
      </c>
      <c r="AF31" s="90">
        <f>'增加值 (2001-2060, 2020RMB)'!AF31*$B$73</f>
        <v>301.97643443068529</v>
      </c>
      <c r="AG31" s="90">
        <f>'增加值 (2001-2060, 2020RMB)'!AG31*$B$73</f>
        <v>302.95006212272642</v>
      </c>
      <c r="AH31" s="90">
        <f>'增加值 (2001-2060, 2020RMB)'!AH31*$B$73</f>
        <v>303.53065298251431</v>
      </c>
      <c r="AI31" s="90">
        <f>'增加值 (2001-2060, 2020RMB)'!AI31*$B$73</f>
        <v>303.70836887221014</v>
      </c>
      <c r="AJ31" s="106">
        <f>'增加值 (2001-2060, 2020RMB)'!AJ31*$B$73</f>
        <v>303.47493760842872</v>
      </c>
      <c r="AK31" s="89">
        <f>'增加值 (2001-2060, 2020RMB)'!AK31*$B$73</f>
        <v>302.82811287232386</v>
      </c>
      <c r="AL31" s="90">
        <f>'增加值 (2001-2060, 2020RMB)'!AL31*$B$73</f>
        <v>301.78471064744724</v>
      </c>
      <c r="AM31" s="90">
        <f>'增加值 (2001-2060, 2020RMB)'!AM31*$B$73</f>
        <v>300.36726497027263</v>
      </c>
      <c r="AN31" s="90">
        <f>'增加值 (2001-2060, 2020RMB)'!AN31*$B$73</f>
        <v>298.59939974565378</v>
      </c>
      <c r="AO31" s="101">
        <f>'增加值 (2001-2060, 2020RMB)'!AO31*$B$73</f>
        <v>296.50557540777311</v>
      </c>
      <c r="AP31" s="90">
        <f>'增加值 (2001-2060, 2020RMB)'!AP31*$B$73</f>
        <v>294.11084659454036</v>
      </c>
      <c r="AQ31" s="90">
        <f>'增加值 (2001-2060, 2020RMB)'!AQ31*$B$73</f>
        <v>291.44063311468545</v>
      </c>
      <c r="AR31" s="90">
        <f>'增加值 (2001-2060, 2020RMB)'!AR31*$B$73</f>
        <v>288.52050606555315</v>
      </c>
      <c r="AS31" s="90">
        <f>'增加值 (2001-2060, 2020RMB)'!AS31*$B$73</f>
        <v>285.37599054910743</v>
      </c>
      <c r="AT31" s="90">
        <f>'增加值 (2001-2060, 2020RMB)'!AT31*$B$73</f>
        <v>282.03238604148044</v>
      </c>
      <c r="AU31" s="89">
        <f>'增加值 (2001-2060, 2020RMB)'!AU31*$B$73</f>
        <v>278.51460510360624</v>
      </c>
      <c r="AV31" s="90">
        <f>'增加值 (2001-2060, 2020RMB)'!AV31*$B$73</f>
        <v>274.84703078195412</v>
      </c>
      <c r="AW31" s="90">
        <f>'增加值 (2001-2060, 2020RMB)'!AW31*$B$73</f>
        <v>271.05339274262201</v>
      </c>
      <c r="AX31" s="90">
        <f>'增加值 (2001-2060, 2020RMB)'!AX31*$B$73</f>
        <v>267.15666191138962</v>
      </c>
      <c r="AY31" s="101">
        <f>'增加值 (2001-2060, 2020RMB)'!AY31*$B$73</f>
        <v>263.17896315803574</v>
      </c>
      <c r="AZ31" s="89">
        <f>'增加值 (2001-2060, 2020RMB)'!AZ31*$B$73</f>
        <v>259.14150536555479</v>
      </c>
      <c r="BA31" s="90">
        <f>'增加值 (2001-2060, 2020RMB)'!BA31*$B$73</f>
        <v>255.06452806326334</v>
      </c>
      <c r="BB31" s="90">
        <f>'增加值 (2001-2060, 2020RMB)'!BB31*$B$73</f>
        <v>250.96726367594769</v>
      </c>
      <c r="BC31" s="90">
        <f>'增加值 (2001-2060, 2020RMB)'!BC31*$B$73</f>
        <v>246.86791434728622</v>
      </c>
      <c r="BD31" s="101">
        <f>'增加值 (2001-2060, 2020RMB)'!BD31*$B$73</f>
        <v>242.7836422325247</v>
      </c>
      <c r="BE31" s="90">
        <f>'增加值 (2001-2060, 2020RMB)'!BE31*$B$73</f>
        <v>238.73057212019583</v>
      </c>
      <c r="BF31" s="90">
        <f>'增加值 (2001-2060, 2020RMB)'!BF31*$B$73</f>
        <v>234.72380523277491</v>
      </c>
      <c r="BG31" s="90">
        <f>'增加值 (2001-2060, 2020RMB)'!BG31*$B$73</f>
        <v>230.7774430686695</v>
      </c>
      <c r="BH31" s="90">
        <f>'增加值 (2001-2060, 2020RMB)'!BH31*$B$73</f>
        <v>226.90462017995875</v>
      </c>
      <c r="BI31" s="109">
        <f>'增加值 (2001-2060, 2020RMB)'!BI31*$B$73</f>
        <v>223.11754482901927</v>
      </c>
    </row>
    <row r="32" spans="1:61" ht="13.9" customHeight="1" x14ac:dyDescent="0.2">
      <c r="A32" s="30" t="s">
        <v>90</v>
      </c>
      <c r="B32" s="19"/>
      <c r="C32" s="20"/>
      <c r="D32" s="20"/>
      <c r="E32" s="20"/>
      <c r="F32" s="21"/>
      <c r="G32" s="19"/>
      <c r="H32" s="20"/>
      <c r="I32" s="20">
        <f>'增加值 (2001-2060, 2020RMB)'!I32*$B$73</f>
        <v>170.42468956755869</v>
      </c>
      <c r="J32" s="20">
        <f>'增加值 (2001-2060, 2020RMB)'!J32*$B$73</f>
        <v>173.66913344109759</v>
      </c>
      <c r="K32" s="21">
        <f>'增加值 (2001-2060, 2020RMB)'!K32*$B$73</f>
        <v>191.42075515659477</v>
      </c>
      <c r="L32" s="19">
        <f>'增加值 (2001-2060, 2020RMB)'!L32*$B$73</f>
        <v>206.37225177144529</v>
      </c>
      <c r="M32" s="20">
        <f>'增加值 (2001-2060, 2020RMB)'!M32*$B$73</f>
        <v>217.87978028933472</v>
      </c>
      <c r="N32" s="20">
        <f>'增加值 (2001-2060, 2020RMB)'!N32*$B$73</f>
        <v>234.91924084417857</v>
      </c>
      <c r="O32" s="20">
        <f>'增加值 (2001-2060, 2020RMB)'!O32*$B$73</f>
        <v>255.85414158302899</v>
      </c>
      <c r="P32" s="20">
        <f>'增加值 (2001-2060, 2020RMB)'!P32*$B$73</f>
        <v>256.80911821767586</v>
      </c>
      <c r="Q32" s="19">
        <f>'增加值 (2001-2060, 2020RMB)'!Q32*$B$73</f>
        <v>258.63590484068948</v>
      </c>
      <c r="R32" s="20">
        <f>'增加值 (2001-2060, 2020RMB)'!R32*$B$73</f>
        <v>285.61715157751394</v>
      </c>
      <c r="S32" s="20">
        <f>'增加值 (2001-2060, 2020RMB)'!S32*$B$73</f>
        <v>306.57089441525198</v>
      </c>
      <c r="T32" s="20">
        <f>'增加值 (2001-2060, 2020RMB)'!T32*$B$73</f>
        <v>298.83694300207299</v>
      </c>
      <c r="U32" s="21">
        <f>'增加值 (2001-2060, 2020RMB)'!U32*$B$73</f>
        <v>271.73919261461918</v>
      </c>
      <c r="V32" s="20">
        <f>'增加值 (2001-2060, 2020RMB)'!V32*$B$73</f>
        <v>325.08880077316945</v>
      </c>
      <c r="W32" s="20">
        <f>'增加值 (2001-2060, 2020RMB)'!W32*$B$73</f>
        <v>321.64947440422594</v>
      </c>
      <c r="X32" s="90">
        <f>'增加值 (2001-2060, 2020RMB)'!X32*$B$73</f>
        <v>327.75629359242367</v>
      </c>
      <c r="Y32" s="90">
        <f>'增加值 (2001-2060, 2020RMB)'!Y32*$B$73</f>
        <v>332.87080027031345</v>
      </c>
      <c r="Z32" s="90">
        <f>'增加值 (2001-2060, 2020RMB)'!Z32*$B$73</f>
        <v>337.04839908782884</v>
      </c>
      <c r="AA32" s="89">
        <f>'增加值 (2001-2060, 2020RMB)'!AA32*$B$73</f>
        <v>340.35817556412076</v>
      </c>
      <c r="AB32" s="90">
        <f>'增加值 (2001-2060, 2020RMB)'!AB32*$B$73</f>
        <v>342.88058667412218</v>
      </c>
      <c r="AC32" s="90">
        <f>'增加值 (2001-2060, 2020RMB)'!AC32*$B$73</f>
        <v>344.70520364705027</v>
      </c>
      <c r="AD32" s="90">
        <f>'增加值 (2001-2060, 2020RMB)'!AD32*$B$73</f>
        <v>345.92859015968787</v>
      </c>
      <c r="AE32" s="101">
        <f>'增加值 (2001-2060, 2020RMB)'!AE32*$B$73</f>
        <v>346.65238331118763</v>
      </c>
      <c r="AF32" s="90">
        <f>'增加值 (2001-2060, 2020RMB)'!AF32*$B$73</f>
        <v>346.96184659832193</v>
      </c>
      <c r="AG32" s="90">
        <f>'增加值 (2001-2060, 2020RMB)'!AG32*$B$73</f>
        <v>346.86516205116999</v>
      </c>
      <c r="AH32" s="90">
        <f>'增加值 (2001-2060, 2020RMB)'!AH32*$B$73</f>
        <v>346.35220132674357</v>
      </c>
      <c r="AI32" s="90">
        <f>'增加值 (2001-2060, 2020RMB)'!AI32*$B$73</f>
        <v>345.41437131295208</v>
      </c>
      <c r="AJ32" s="106">
        <f>'增加值 (2001-2060, 2020RMB)'!AJ32*$B$73</f>
        <v>344.04472965013986</v>
      </c>
      <c r="AK32" s="89">
        <f>'增加值 (2001-2060, 2020RMB)'!AK32*$B$73</f>
        <v>342.24323145904242</v>
      </c>
      <c r="AL32" s="90">
        <f>'增加值 (2001-2060, 2020RMB)'!AL32*$B$73</f>
        <v>340.03197719502498</v>
      </c>
      <c r="AM32" s="90">
        <f>'增加值 (2001-2060, 2020RMB)'!AM32*$B$73</f>
        <v>337.4392461181173</v>
      </c>
      <c r="AN32" s="90">
        <f>'增加值 (2001-2060, 2020RMB)'!AN32*$B$73</f>
        <v>334.49402615558353</v>
      </c>
      <c r="AO32" s="101">
        <f>'增加值 (2001-2060, 2020RMB)'!AO32*$B$73</f>
        <v>331.22574552386976</v>
      </c>
      <c r="AP32" s="90">
        <f>'增加值 (2001-2060, 2020RMB)'!AP32*$B$73</f>
        <v>327.66402146758577</v>
      </c>
      <c r="AQ32" s="90">
        <f>'增加值 (2001-2060, 2020RMB)'!AQ32*$B$73</f>
        <v>323.83842787371168</v>
      </c>
      <c r="AR32" s="90">
        <f>'增加值 (2001-2060, 2020RMB)'!AR32*$B$73</f>
        <v>319.7782830629468</v>
      </c>
      <c r="AS32" s="90">
        <f>'增加值 (2001-2060, 2020RMB)'!AS32*$B$73</f>
        <v>315.51245863007716</v>
      </c>
      <c r="AT32" s="90">
        <f>'增加值 (2001-2060, 2020RMB)'!AT32*$B$73</f>
        <v>311.06920980731172</v>
      </c>
      <c r="AU32" s="89">
        <f>'增加值 (2001-2060, 2020RMB)'!AU32*$B$73</f>
        <v>306.47602746317727</v>
      </c>
      <c r="AV32" s="90">
        <f>'增加值 (2001-2060, 2020RMB)'!AV32*$B$73</f>
        <v>301.7595115277104</v>
      </c>
      <c r="AW32" s="90">
        <f>'增加值 (2001-2060, 2020RMB)'!AW32*$B$73</f>
        <v>296.94526535417214</v>
      </c>
      <c r="AX32" s="90">
        <f>'增加值 (2001-2060, 2020RMB)'!AX32*$B$73</f>
        <v>292.05781028885502</v>
      </c>
      <c r="AY32" s="101">
        <f>'增加值 (2001-2060, 2020RMB)'!AY32*$B$73</f>
        <v>287.12051952337936</v>
      </c>
      <c r="AZ32" s="89">
        <f>'增加值 (2001-2060, 2020RMB)'!AZ32*$B$73</f>
        <v>282.15557014692638</v>
      </c>
      <c r="BA32" s="90">
        <f>'增加值 (2001-2060, 2020RMB)'!BA32*$B$73</f>
        <v>277.18391219713482</v>
      </c>
      <c r="BB32" s="90">
        <f>'增加值 (2001-2060, 2020RMB)'!BB32*$B$73</f>
        <v>272.22525342547306</v>
      </c>
      <c r="BC32" s="90">
        <f>'增加值 (2001-2060, 2020RMB)'!BC32*$B$73</f>
        <v>267.29805844280071</v>
      </c>
      <c r="BD32" s="101">
        <f>'增加值 (2001-2060, 2020RMB)'!BD32*$B$73</f>
        <v>262.41956089044919</v>
      </c>
      <c r="BE32" s="90">
        <f>'增加值 (2001-2060, 2020RMB)'!BE32*$B$73</f>
        <v>257.60578728814681</v>
      </c>
      <c r="BF32" s="90">
        <f>'增加值 (2001-2060, 2020RMB)'!BF32*$B$73</f>
        <v>252.8715912391132</v>
      </c>
      <c r="BG32" s="90">
        <f>'增加值 (2001-2060, 2020RMB)'!BG32*$B$73</f>
        <v>248.23069672136529</v>
      </c>
      <c r="BH32" s="90">
        <f>'增加值 (2001-2060, 2020RMB)'!BH32*$B$73</f>
        <v>243.69574925952872</v>
      </c>
      <c r="BI32" s="109">
        <f>'增加值 (2001-2060, 2020RMB)'!BI32*$B$73</f>
        <v>239.27837385021562</v>
      </c>
    </row>
    <row r="33" spans="1:61" ht="13.9" customHeight="1" x14ac:dyDescent="0.2">
      <c r="A33" s="30" t="s">
        <v>91</v>
      </c>
      <c r="B33" s="19"/>
      <c r="C33" s="20"/>
      <c r="D33" s="20"/>
      <c r="E33" s="20"/>
      <c r="F33" s="21"/>
      <c r="G33" s="19"/>
      <c r="H33" s="20"/>
      <c r="I33" s="20">
        <f>'增加值 (2001-2060, 2020RMB)'!I33*$B$73</f>
        <v>637.16698879349872</v>
      </c>
      <c r="J33" s="20">
        <f>'增加值 (2001-2060, 2020RMB)'!J33*$B$73</f>
        <v>635.4050592414402</v>
      </c>
      <c r="K33" s="21">
        <f>'增加值 (2001-2060, 2020RMB)'!K33*$B$73</f>
        <v>676.28810522775109</v>
      </c>
      <c r="L33" s="19">
        <f>'增加值 (2001-2060, 2020RMB)'!L33*$B$73</f>
        <v>699.21935440753566</v>
      </c>
      <c r="M33" s="20">
        <f>'增加值 (2001-2060, 2020RMB)'!M33*$B$73</f>
        <v>707.5885313743712</v>
      </c>
      <c r="N33" s="20">
        <f>'增加值 (2001-2060, 2020RMB)'!N33*$B$73</f>
        <v>713.18461791746836</v>
      </c>
      <c r="O33" s="20">
        <f>'增加值 (2001-2060, 2020RMB)'!O33*$B$73</f>
        <v>720.67276491046107</v>
      </c>
      <c r="P33" s="20">
        <f>'增加值 (2001-2060, 2020RMB)'!P33*$B$73</f>
        <v>734.30200114359138</v>
      </c>
      <c r="Q33" s="19">
        <f>'增加值 (2001-2060, 2020RMB)'!Q33*$B$73</f>
        <v>764.60618968075028</v>
      </c>
      <c r="R33" s="20">
        <f>'增加值 (2001-2060, 2020RMB)'!R33*$B$73</f>
        <v>811.09142498845029</v>
      </c>
      <c r="S33" s="20">
        <f>'增加值 (2001-2060, 2020RMB)'!S33*$B$73</f>
        <v>859.28912273215599</v>
      </c>
      <c r="T33" s="20">
        <f>'增加值 (2001-2060, 2020RMB)'!T33*$B$73</f>
        <v>869.92301724643733</v>
      </c>
      <c r="U33" s="21">
        <f>'增加值 (2001-2060, 2020RMB)'!U33*$B$73</f>
        <v>847.42336584085638</v>
      </c>
      <c r="V33" s="20">
        <f>'增加值 (2001-2060, 2020RMB)'!V33*$B$73</f>
        <v>889.38677171330733</v>
      </c>
      <c r="W33" s="20">
        <f>'增加值 (2001-2060, 2020RMB)'!W33*$B$73</f>
        <v>857.39068108754168</v>
      </c>
      <c r="X33" s="90">
        <f>'增加值 (2001-2060, 2020RMB)'!X33*$B$73</f>
        <v>861.74166056360559</v>
      </c>
      <c r="Y33" s="90">
        <f>'增加值 (2001-2060, 2020RMB)'!Y33*$B$73</f>
        <v>866.59524779758567</v>
      </c>
      <c r="Z33" s="90">
        <f>'增加值 (2001-2060, 2020RMB)'!Z33*$B$73</f>
        <v>871.63520168201808</v>
      </c>
      <c r="AA33" s="89">
        <f>'增加值 (2001-2060, 2020RMB)'!AA33*$B$73</f>
        <v>876.53815295658933</v>
      </c>
      <c r="AB33" s="90">
        <f>'增加值 (2001-2060, 2020RMB)'!AB33*$B$73</f>
        <v>880.97351654000943</v>
      </c>
      <c r="AC33" s="90">
        <f>'增加值 (2001-2060, 2020RMB)'!AC33*$B$73</f>
        <v>884.60462993610986</v>
      </c>
      <c r="AD33" s="90">
        <f>'增加值 (2001-2060, 2020RMB)'!AD33*$B$73</f>
        <v>887.09115749257535</v>
      </c>
      <c r="AE33" s="101">
        <f>'增加值 (2001-2060, 2020RMB)'!AE33*$B$73</f>
        <v>888.09278159247401</v>
      </c>
      <c r="AF33" s="90">
        <f>'增加值 (2001-2060, 2020RMB)'!AF33*$B$73</f>
        <v>887.34333065961778</v>
      </c>
      <c r="AG33" s="90">
        <f>'增加值 (2001-2060, 2020RMB)'!AG33*$B$73</f>
        <v>884.86275116504351</v>
      </c>
      <c r="AH33" s="90">
        <f>'增加值 (2001-2060, 2020RMB)'!AH33*$B$73</f>
        <v>880.74964919465674</v>
      </c>
      <c r="AI33" s="90">
        <f>'增加值 (2001-2060, 2020RMB)'!AI33*$B$73</f>
        <v>875.11041308652591</v>
      </c>
      <c r="AJ33" s="106">
        <f>'增加值 (2001-2060, 2020RMB)'!AJ33*$B$73</f>
        <v>868.05750884136296</v>
      </c>
      <c r="AK33" s="89">
        <f>'增加值 (2001-2060, 2020RMB)'!AK33*$B$73</f>
        <v>859.70724216960468</v>
      </c>
      <c r="AL33" s="90">
        <f>'增加值 (2001-2060, 2020RMB)'!AL33*$B$73</f>
        <v>850.17647072874684</v>
      </c>
      <c r="AM33" s="90">
        <f>'增加值 (2001-2060, 2020RMB)'!AM33*$B$73</f>
        <v>839.58303690623552</v>
      </c>
      <c r="AN33" s="90">
        <f>'增加值 (2001-2060, 2020RMB)'!AN33*$B$73</f>
        <v>828.04507098003296</v>
      </c>
      <c r="AO33" s="101">
        <f>'增加值 (2001-2060, 2020RMB)'!AO33*$B$73</f>
        <v>815.67981066227412</v>
      </c>
      <c r="AP33" s="90">
        <f>'增加值 (2001-2060, 2020RMB)'!AP33*$B$73</f>
        <v>802.60254825236154</v>
      </c>
      <c r="AQ33" s="90">
        <f>'增加值 (2001-2060, 2020RMB)'!AQ33*$B$73</f>
        <v>788.92570961429249</v>
      </c>
      <c r="AR33" s="90">
        <f>'增加值 (2001-2060, 2020RMB)'!AR33*$B$73</f>
        <v>774.75806615257761</v>
      </c>
      <c r="AS33" s="90">
        <f>'增加值 (2001-2060, 2020RMB)'!AS33*$B$73</f>
        <v>760.20407828915893</v>
      </c>
      <c r="AT33" s="90">
        <f>'增加值 (2001-2060, 2020RMB)'!AT33*$B$73</f>
        <v>745.3633666609137</v>
      </c>
      <c r="AU33" s="89">
        <f>'增加值 (2001-2060, 2020RMB)'!AU33*$B$73</f>
        <v>730.33030536962292</v>
      </c>
      <c r="AV33" s="90">
        <f>'增加值 (2001-2060, 2020RMB)'!AV33*$B$73</f>
        <v>715.19373011758955</v>
      </c>
      <c r="AW33" s="90">
        <f>'增加值 (2001-2060, 2020RMB)'!AW33*$B$73</f>
        <v>700.03675293554068</v>
      </c>
      <c r="AX33" s="90">
        <f>'增加值 (2001-2060, 2020RMB)'!AX33*$B$73</f>
        <v>684.93667443103209</v>
      </c>
      <c r="AY33" s="101">
        <f>'增加值 (2001-2060, 2020RMB)'!AY33*$B$73</f>
        <v>669.9649840244407</v>
      </c>
      <c r="AZ33" s="89">
        <f>'增加值 (2001-2060, 2020RMB)'!AZ33*$B$73</f>
        <v>655.18743846197333</v>
      </c>
      <c r="BA33" s="90">
        <f>'增加值 (2001-2060, 2020RMB)'!BA33*$B$73</f>
        <v>640.66420896445572</v>
      </c>
      <c r="BB33" s="90">
        <f>'增加值 (2001-2060, 2020RMB)'!BB33*$B$73</f>
        <v>626.45008765024215</v>
      </c>
      <c r="BC33" s="90">
        <f>'增加值 (2001-2060, 2020RMB)'!BC33*$B$73</f>
        <v>612.59474432439015</v>
      </c>
      <c r="BD33" s="101">
        <f>'增加值 (2001-2060, 2020RMB)'!BD33*$B$73</f>
        <v>599.14302531990131</v>
      </c>
      <c r="BE33" s="90">
        <f>'增加值 (2001-2060, 2020RMB)'!BE33*$B$73</f>
        <v>586.1352867789858</v>
      </c>
      <c r="BF33" s="90">
        <f>'增加值 (2001-2060, 2020RMB)'!BF33*$B$73</f>
        <v>573.60775554438021</v>
      </c>
      <c r="BG33" s="90">
        <f>'增加值 (2001-2060, 2020RMB)'!BG33*$B$73</f>
        <v>561.59291166816058</v>
      </c>
      <c r="BH33" s="90">
        <f>'增加值 (2001-2060, 2020RMB)'!BH33*$B$73</f>
        <v>550.11988741741004</v>
      </c>
      <c r="BI33" s="109">
        <f>'增加值 (2001-2060, 2020RMB)'!BI33*$B$73</f>
        <v>539.21487854556517</v>
      </c>
    </row>
    <row r="34" spans="1:61" ht="13.9" customHeight="1" x14ac:dyDescent="0.2">
      <c r="A34" s="30" t="s">
        <v>92</v>
      </c>
      <c r="B34" s="19"/>
      <c r="C34" s="20"/>
      <c r="D34" s="20"/>
      <c r="E34" s="20"/>
      <c r="F34" s="21"/>
      <c r="G34" s="19"/>
      <c r="H34" s="20"/>
      <c r="I34" s="20">
        <f>'增加值 (2001-2060, 2020RMB)'!I34*$B$73</f>
        <v>1419.8380757555262</v>
      </c>
      <c r="J34" s="20">
        <f>'增加值 (2001-2060, 2020RMB)'!J34*$B$73</f>
        <v>1542.4286998947809</v>
      </c>
      <c r="K34" s="21">
        <f>'增加值 (2001-2060, 2020RMB)'!K34*$B$73</f>
        <v>1730.0458304753768</v>
      </c>
      <c r="L34" s="19">
        <f>'增加值 (2001-2060, 2020RMB)'!L34*$B$73</f>
        <v>1906.7354752745023</v>
      </c>
      <c r="M34" s="20">
        <f>'增加值 (2001-2060, 2020RMB)'!M34*$B$73</f>
        <v>2027.5786033384431</v>
      </c>
      <c r="N34" s="20">
        <f>'增加值 (2001-2060, 2020RMB)'!N34*$B$73</f>
        <v>2159.1813020087934</v>
      </c>
      <c r="O34" s="20">
        <f>'增加值 (2001-2060, 2020RMB)'!O34*$B$73</f>
        <v>2283.2851622002017</v>
      </c>
      <c r="P34" s="20">
        <f>'增加值 (2001-2060, 2020RMB)'!P34*$B$73</f>
        <v>2371.9558120290712</v>
      </c>
      <c r="Q34" s="19">
        <f>'增加值 (2001-2060, 2020RMB)'!Q34*$B$73</f>
        <v>2492.9925213528795</v>
      </c>
      <c r="R34" s="20">
        <f>'增加值 (2001-2060, 2020RMB)'!R34*$B$73</f>
        <v>2619.3229436382521</v>
      </c>
      <c r="S34" s="20">
        <f>'增加值 (2001-2060, 2020RMB)'!S34*$B$73</f>
        <v>2701.9460856533151</v>
      </c>
      <c r="T34" s="20">
        <f>'增加值 (2001-2060, 2020RMB)'!T34*$B$73</f>
        <v>2727.5678902198274</v>
      </c>
      <c r="U34" s="21">
        <f>'增加值 (2001-2060, 2020RMB)'!U34*$B$73</f>
        <v>2728.2631047167106</v>
      </c>
      <c r="V34" s="20">
        <f>'增加值 (2001-2060, 2020RMB)'!V34*$B$73</f>
        <v>3059.367524259646</v>
      </c>
      <c r="W34" s="20">
        <f>'增加值 (2001-2060, 2020RMB)'!W34*$B$73</f>
        <v>3312.9183905035534</v>
      </c>
      <c r="X34" s="90">
        <f>'增加值 (2001-2060, 2020RMB)'!X34*$B$73</f>
        <v>3400.6257229458238</v>
      </c>
      <c r="Y34" s="90">
        <f>'增加值 (2001-2060, 2020RMB)'!Y34*$B$73</f>
        <v>3498.8724000252009</v>
      </c>
      <c r="Z34" s="90">
        <f>'增加值 (2001-2060, 2020RMB)'!Z34*$B$73</f>
        <v>3605.1255806635363</v>
      </c>
      <c r="AA34" s="89">
        <f>'增加值 (2001-2060, 2020RMB)'!AA34*$B$73</f>
        <v>3716.5293544549663</v>
      </c>
      <c r="AB34" s="90">
        <f>'增加值 (2001-2060, 2020RMB)'!AB34*$B$73</f>
        <v>3829.8473748182851</v>
      </c>
      <c r="AC34" s="90">
        <f>'增加值 (2001-2060, 2020RMB)'!AC34*$B$73</f>
        <v>3941.4311934835519</v>
      </c>
      <c r="AD34" s="90">
        <f>'增加值 (2001-2060, 2020RMB)'!AD34*$B$73</f>
        <v>4047.2205105608059</v>
      </c>
      <c r="AE34" s="101">
        <f>'增加值 (2001-2060, 2020RMB)'!AE34*$B$73</f>
        <v>4142.7819347220839</v>
      </c>
      <c r="AF34" s="90">
        <f>'增加值 (2001-2060, 2020RMB)'!AF34*$B$73</f>
        <v>4224.252297546569</v>
      </c>
      <c r="AG34" s="90">
        <f>'增加值 (2001-2060, 2020RMB)'!AG34*$B$73</f>
        <v>4291.154809858177</v>
      </c>
      <c r="AH34" s="90">
        <f>'增加值 (2001-2060, 2020RMB)'!AH34*$B$73</f>
        <v>4344.0767727726097</v>
      </c>
      <c r="AI34" s="90">
        <f>'增加值 (2001-2060, 2020RMB)'!AI34*$B$73</f>
        <v>4383.8147534921573</v>
      </c>
      <c r="AJ34" s="106">
        <f>'增加值 (2001-2060, 2020RMB)'!AJ34*$B$73</f>
        <v>4411.3417654206705</v>
      </c>
      <c r="AK34" s="89">
        <f>'增加值 (2001-2060, 2020RMB)'!AK34*$B$73</f>
        <v>4427.6572997695221</v>
      </c>
      <c r="AL34" s="90">
        <f>'增加值 (2001-2060, 2020RMB)'!AL34*$B$73</f>
        <v>4433.403551596487</v>
      </c>
      <c r="AM34" s="90">
        <f>'增加值 (2001-2060, 2020RMB)'!AM34*$B$73</f>
        <v>4429.189361974557</v>
      </c>
      <c r="AN34" s="90">
        <f>'增加值 (2001-2060, 2020RMB)'!AN34*$B$73</f>
        <v>4415.6911988250295</v>
      </c>
      <c r="AO34" s="101">
        <f>'增加值 (2001-2060, 2020RMB)'!AO34*$B$73</f>
        <v>4393.638781012789</v>
      </c>
      <c r="AP34" s="90">
        <f>'增加值 (2001-2060, 2020RMB)'!AP34*$B$73</f>
        <v>4363.8011969943582</v>
      </c>
      <c r="AQ34" s="90">
        <f>'增加值 (2001-2060, 2020RMB)'!AQ34*$B$73</f>
        <v>4326.9737866954738</v>
      </c>
      <c r="AR34" s="90">
        <f>'增加值 (2001-2060, 2020RMB)'!AR34*$B$73</f>
        <v>4283.9660025667627</v>
      </c>
      <c r="AS34" s="90">
        <f>'增加值 (2001-2060, 2020RMB)'!AS34*$B$73</f>
        <v>4235.5904135816618</v>
      </c>
      <c r="AT34" s="90">
        <f>'增加值 (2001-2060, 2020RMB)'!AT34*$B$73</f>
        <v>4182.6529661401346</v>
      </c>
      <c r="AU34" s="89">
        <f>'增加值 (2001-2060, 2020RMB)'!AU34*$B$73</f>
        <v>4125.9445698787003</v>
      </c>
      <c r="AV34" s="90">
        <f>'增加值 (2001-2060, 2020RMB)'!AV34*$B$73</f>
        <v>4066.2340353310287</v>
      </c>
      <c r="AW34" s="90">
        <f>'增加值 (2001-2060, 2020RMB)'!AW34*$B$73</f>
        <v>4004.2623549372029</v>
      </c>
      <c r="AX34" s="90">
        <f>'增加值 (2001-2060, 2020RMB)'!AX34*$B$73</f>
        <v>3940.7382894389543</v>
      </c>
      <c r="AY34" s="101">
        <f>'增加值 (2001-2060, 2020RMB)'!AY34*$B$73</f>
        <v>3876.3351983113794</v>
      </c>
      <c r="AZ34" s="89">
        <f>'增加值 (2001-2060, 2020RMB)'!AZ34*$B$73</f>
        <v>3811.6890354236934</v>
      </c>
      <c r="BA34" s="90">
        <f>'增加值 (2001-2060, 2020RMB)'!BA34*$B$73</f>
        <v>3747.3974192658384</v>
      </c>
      <c r="BB34" s="90">
        <f>'增加值 (2001-2060, 2020RMB)'!BB34*$B$73</f>
        <v>3684.0196803653348</v>
      </c>
      <c r="BC34" s="90">
        <f>'增加值 (2001-2060, 2020RMB)'!BC34*$B$73</f>
        <v>3622.0777864100992</v>
      </c>
      <c r="BD34" s="101">
        <f>'增加值 (2001-2060, 2020RMB)'!BD34*$B$73</f>
        <v>3562.0580475066126</v>
      </c>
      <c r="BE34" s="90">
        <f>'增加值 (2001-2060, 2020RMB)'!BE34*$B$73</f>
        <v>3504.4135093574437</v>
      </c>
      <c r="BF34" s="90">
        <f>'增加值 (2001-2060, 2020RMB)'!BF34*$B$73</f>
        <v>3449.5669503826957</v>
      </c>
      <c r="BG34" s="90">
        <f>'增加值 (2001-2060, 2020RMB)'!BG34*$B$73</f>
        <v>3397.9144094372141</v>
      </c>
      <c r="BH34" s="90">
        <f>'增加值 (2001-2060, 2020RMB)'!BH34*$B$73</f>
        <v>3349.8291833634735</v>
      </c>
      <c r="BI34" s="109">
        <f>'增加值 (2001-2060, 2020RMB)'!BI34*$B$73</f>
        <v>3305.6662478305716</v>
      </c>
    </row>
    <row r="35" spans="1:61" ht="13.9" customHeight="1" x14ac:dyDescent="0.2">
      <c r="A35" s="30" t="s">
        <v>93</v>
      </c>
      <c r="B35" s="19"/>
      <c r="C35" s="20"/>
      <c r="D35" s="20"/>
      <c r="E35" s="20"/>
      <c r="F35" s="21"/>
      <c r="G35" s="19"/>
      <c r="H35" s="20"/>
      <c r="I35" s="20">
        <f>'增加值 (2001-2060, 2020RMB)'!I35*$B$73</f>
        <v>483.71746576031296</v>
      </c>
      <c r="J35" s="20">
        <f>'增加值 (2001-2060, 2020RMB)'!J35*$B$73</f>
        <v>526.39931856443491</v>
      </c>
      <c r="K35" s="21">
        <f>'增加值 (2001-2060, 2020RMB)'!K35*$B$73</f>
        <v>588.89561954508417</v>
      </c>
      <c r="L35" s="19">
        <f>'增加值 (2001-2060, 2020RMB)'!L35*$B$73</f>
        <v>667.14701885654767</v>
      </c>
      <c r="M35" s="20">
        <f>'增加值 (2001-2060, 2020RMB)'!M35*$B$73</f>
        <v>727.21213278788082</v>
      </c>
      <c r="N35" s="20">
        <f>'增加值 (2001-2060, 2020RMB)'!N35*$B$73</f>
        <v>784.08433283869726</v>
      </c>
      <c r="O35" s="20">
        <f>'增加值 (2001-2060, 2020RMB)'!O35*$B$73</f>
        <v>844.18584088878629</v>
      </c>
      <c r="P35" s="20">
        <f>'增加值 (2001-2060, 2020RMB)'!P35*$B$73</f>
        <v>880.17306998213451</v>
      </c>
      <c r="Q35" s="19">
        <f>'增加值 (2001-2060, 2020RMB)'!Q35*$B$73</f>
        <v>951.71412557052213</v>
      </c>
      <c r="R35" s="20">
        <f>'增加值 (2001-2060, 2020RMB)'!R35*$B$73</f>
        <v>1082.788275133966</v>
      </c>
      <c r="S35" s="20">
        <f>'增加值 (2001-2060, 2020RMB)'!S35*$B$73</f>
        <v>1182.709399569696</v>
      </c>
      <c r="T35" s="20">
        <f>'增加值 (2001-2060, 2020RMB)'!T35*$B$73</f>
        <v>1215.5909598218193</v>
      </c>
      <c r="U35" s="21">
        <f>'增加值 (2001-2060, 2020RMB)'!U35*$B$73</f>
        <v>1245.2987832640374</v>
      </c>
      <c r="V35" s="20">
        <f>'增加值 (2001-2060, 2020RMB)'!V35*$B$73</f>
        <v>1618.1465370188198</v>
      </c>
      <c r="W35" s="20">
        <f>'增加值 (2001-2060, 2020RMB)'!W35*$B$73</f>
        <v>1587.8769898349155</v>
      </c>
      <c r="X35" s="90">
        <f>'增加值 (2001-2060, 2020RMB)'!X35*$B$73</f>
        <v>1688.9919496589109</v>
      </c>
      <c r="Y35" s="90">
        <f>'增加值 (2001-2060, 2020RMB)'!Y35*$B$73</f>
        <v>1791.2239240218746</v>
      </c>
      <c r="Z35" s="90">
        <f>'增加值 (2001-2060, 2020RMB)'!Z35*$B$73</f>
        <v>1894.1592212510143</v>
      </c>
      <c r="AA35" s="89">
        <f>'增加值 (2001-2060, 2020RMB)'!AA35*$B$73</f>
        <v>1997.3772841381642</v>
      </c>
      <c r="AB35" s="90">
        <f>'增加值 (2001-2060, 2020RMB)'!AB35*$B$73</f>
        <v>2100.4554519209614</v>
      </c>
      <c r="AC35" s="90">
        <f>'增加值 (2001-2060, 2020RMB)'!AC35*$B$73</f>
        <v>2202.9736942056097</v>
      </c>
      <c r="AD35" s="90">
        <f>'增加值 (2001-2060, 2020RMB)'!AD35*$B$73</f>
        <v>2304.5192347561638</v>
      </c>
      <c r="AE35" s="101">
        <f>'增加值 (2001-2060, 2020RMB)'!AE35*$B$73</f>
        <v>2404.6909884322477</v>
      </c>
      <c r="AF35" s="90">
        <f>'增加值 (2001-2060, 2020RMB)'!AF35*$B$73</f>
        <v>2503.1332694765561</v>
      </c>
      <c r="AG35" s="90">
        <f>'增加值 (2001-2060, 2020RMB)'!AG35*$B$73</f>
        <v>2599.6373347885847</v>
      </c>
      <c r="AH35" s="90">
        <f>'增加值 (2001-2060, 2020RMB)'!AH35*$B$73</f>
        <v>2694.071490276609</v>
      </c>
      <c r="AI35" s="90">
        <f>'增加值 (2001-2060, 2020RMB)'!AI35*$B$73</f>
        <v>2786.3552434311273</v>
      </c>
      <c r="AJ35" s="106">
        <f>'增加值 (2001-2060, 2020RMB)'!AJ35*$B$73</f>
        <v>2876.4599745737728</v>
      </c>
      <c r="AK35" s="89">
        <f>'增加值 (2001-2060, 2020RMB)'!AK35*$B$73</f>
        <v>2964.3673590136705</v>
      </c>
      <c r="AL35" s="90">
        <f>'增加值 (2001-2060, 2020RMB)'!AL35*$B$73</f>
        <v>3049.9343316688619</v>
      </c>
      <c r="AM35" s="90">
        <f>'增加值 (2001-2060, 2020RMB)'!AM35*$B$73</f>
        <v>3133.0012684538851</v>
      </c>
      <c r="AN35" s="90">
        <f>'增加值 (2001-2060, 2020RMB)'!AN35*$B$73</f>
        <v>3213.4319399912224</v>
      </c>
      <c r="AO35" s="101">
        <f>'增加值 (2001-2060, 2020RMB)'!AO35*$B$73</f>
        <v>3291.1140447493531</v>
      </c>
      <c r="AP35" s="90">
        <f>'增加值 (2001-2060, 2020RMB)'!AP35*$B$73</f>
        <v>3365.9594942170056</v>
      </c>
      <c r="AQ35" s="90">
        <f>'增加值 (2001-2060, 2020RMB)'!AQ35*$B$73</f>
        <v>3437.9044636734643</v>
      </c>
      <c r="AR35" s="90">
        <f>'增加值 (2001-2060, 2020RMB)'!AR35*$B$73</f>
        <v>3506.9092251011411</v>
      </c>
      <c r="AS35" s="90">
        <f>'增加值 (2001-2060, 2020RMB)'!AS35*$B$73</f>
        <v>3572.9577812602547</v>
      </c>
      <c r="AT35" s="90">
        <f>'增加值 (2001-2060, 2020RMB)'!AT35*$B$73</f>
        <v>3636.0573219016014</v>
      </c>
      <c r="AU35" s="89">
        <f>'增加值 (2001-2060, 2020RMB)'!AU35*$B$73</f>
        <v>3696.2375245419844</v>
      </c>
      <c r="AV35" s="90">
        <f>'增加值 (2001-2060, 2020RMB)'!AV35*$B$73</f>
        <v>3753.5497231891095</v>
      </c>
      <c r="AW35" s="90">
        <f>'增加值 (2001-2060, 2020RMB)'!AW35*$B$73</f>
        <v>3808.0659689095319</v>
      </c>
      <c r="AX35" s="90">
        <f>'增加值 (2001-2060, 2020RMB)'!AX35*$B$73</f>
        <v>3859.8780062233468</v>
      </c>
      <c r="AY35" s="101">
        <f>'增加值 (2001-2060, 2020RMB)'!AY35*$B$73</f>
        <v>3909.0961890296098</v>
      </c>
      <c r="AZ35" s="89">
        <f>'增加值 (2001-2060, 2020RMB)'!AZ35*$B$73</f>
        <v>3955.8483591642548</v>
      </c>
      <c r="BA35" s="90">
        <f>'增加值 (2001-2060, 2020RMB)'!BA35*$B$73</f>
        <v>4000.2787098235935</v>
      </c>
      <c r="BB35" s="90">
        <f>'增加值 (2001-2060, 2020RMB)'!BB35*$B$73</f>
        <v>4042.5466550017218</v>
      </c>
      <c r="BC35" s="90">
        <f>'增加值 (2001-2060, 2020RMB)'!BC35*$B$73</f>
        <v>4082.8257248464092</v>
      </c>
      <c r="BD35" s="101">
        <f>'增加值 (2001-2060, 2020RMB)'!BD35*$B$73</f>
        <v>4121.3025054854606</v>
      </c>
      <c r="BE35" s="90">
        <f>'增加值 (2001-2060, 2020RMB)'!BE35*$B$73</f>
        <v>4158.1756404660955</v>
      </c>
      <c r="BF35" s="90">
        <f>'增加值 (2001-2060, 2020RMB)'!BF35*$B$73</f>
        <v>4193.6549095308437</v>
      </c>
      <c r="BG35" s="90">
        <f>'增加值 (2001-2060, 2020RMB)'!BG35*$B$73</f>
        <v>4227.9603990685273</v>
      </c>
      <c r="BH35" s="90">
        <f>'增加值 (2001-2060, 2020RMB)'!BH35*$B$73</f>
        <v>4261.3217772696235</v>
      </c>
      <c r="BI35" s="109">
        <f>'增加值 (2001-2060, 2020RMB)'!BI35*$B$73</f>
        <v>4293.9776858179612</v>
      </c>
    </row>
    <row r="36" spans="1:61" ht="13.9" customHeight="1" x14ac:dyDescent="0.2">
      <c r="A36" s="30" t="s">
        <v>94</v>
      </c>
      <c r="B36" s="19"/>
      <c r="C36" s="20"/>
      <c r="D36" s="20"/>
      <c r="E36" s="20"/>
      <c r="F36" s="21"/>
      <c r="G36" s="19"/>
      <c r="H36" s="20"/>
      <c r="I36" s="20">
        <f>'增加值 (2001-2060, 2020RMB)'!I36*$B$73</f>
        <v>118.34009269006653</v>
      </c>
      <c r="J36" s="20">
        <f>'增加值 (2001-2060, 2020RMB)'!J36*$B$73</f>
        <v>123.62182795184819</v>
      </c>
      <c r="K36" s="21">
        <f>'增加值 (2001-2060, 2020RMB)'!K36*$B$73</f>
        <v>133.37663196120397</v>
      </c>
      <c r="L36" s="19">
        <f>'增加值 (2001-2060, 2020RMB)'!L36*$B$73</f>
        <v>142.25650870419096</v>
      </c>
      <c r="M36" s="20">
        <f>'增加值 (2001-2060, 2020RMB)'!M36*$B$73</f>
        <v>153.16827823699467</v>
      </c>
      <c r="N36" s="20">
        <f>'增加值 (2001-2060, 2020RMB)'!N36*$B$73</f>
        <v>160.49079984258429</v>
      </c>
      <c r="O36" s="20">
        <f>'增加值 (2001-2060, 2020RMB)'!O36*$B$73</f>
        <v>166.94576669297967</v>
      </c>
      <c r="P36" s="20">
        <f>'增加值 (2001-2060, 2020RMB)'!P36*$B$73</f>
        <v>176.1215580414071</v>
      </c>
      <c r="Q36" s="19">
        <f>'增加值 (2001-2060, 2020RMB)'!Q36*$B$73</f>
        <v>182.35873919401584</v>
      </c>
      <c r="R36" s="20">
        <f>'增加值 (2001-2060, 2020RMB)'!R36*$B$73</f>
        <v>195.29133151703161</v>
      </c>
      <c r="S36" s="20">
        <f>'增加值 (2001-2060, 2020RMB)'!S36*$B$73</f>
        <v>209.22959491007907</v>
      </c>
      <c r="T36" s="20">
        <f>'增加值 (2001-2060, 2020RMB)'!T36*$B$73</f>
        <v>225.7383827465211</v>
      </c>
      <c r="U36" s="21">
        <f>'增加值 (2001-2060, 2020RMB)'!U36*$B$73</f>
        <v>223.1754643875409</v>
      </c>
      <c r="V36" s="20">
        <f>'增加值 (2001-2060, 2020RMB)'!V36*$B$73</f>
        <v>249.09839628267974</v>
      </c>
      <c r="W36" s="20">
        <f>'增加值 (2001-2060, 2020RMB)'!W36*$B$73</f>
        <v>255.82558027423454</v>
      </c>
      <c r="X36" s="90">
        <f>'增加值 (2001-2060, 2020RMB)'!X36*$B$73</f>
        <v>264.37761134383061</v>
      </c>
      <c r="Y36" s="90">
        <f>'增加值 (2001-2060, 2020RMB)'!Y36*$B$73</f>
        <v>274.0139957063061</v>
      </c>
      <c r="Z36" s="90">
        <f>'增加值 (2001-2060, 2020RMB)'!Z36*$B$73</f>
        <v>284.52169639860591</v>
      </c>
      <c r="AA36" s="89">
        <f>'增加值 (2001-2060, 2020RMB)'!AA36*$B$73</f>
        <v>295.65131388797374</v>
      </c>
      <c r="AB36" s="90">
        <f>'增加值 (2001-2060, 2020RMB)'!AB36*$B$73</f>
        <v>307.10948182562663</v>
      </c>
      <c r="AC36" s="90">
        <f>'增加值 (2001-2060, 2020RMB)'!AC36*$B$73</f>
        <v>318.55383129190977</v>
      </c>
      <c r="AD36" s="90">
        <f>'增加值 (2001-2060, 2020RMB)'!AD36*$B$73</f>
        <v>329.59137914871275</v>
      </c>
      <c r="AE36" s="101">
        <f>'增加值 (2001-2060, 2020RMB)'!AE36*$B$73</f>
        <v>339.78129382116992</v>
      </c>
      <c r="AF36" s="90">
        <f>'增加值 (2001-2060, 2020RMB)'!AF36*$B$73</f>
        <v>348.72774081206285</v>
      </c>
      <c r="AG36" s="90">
        <f>'增加值 (2001-2060, 2020RMB)'!AG36*$B$73</f>
        <v>356.36257754006272</v>
      </c>
      <c r="AH36" s="90">
        <f>'增加值 (2001-2060, 2020RMB)'!AH36*$B$73</f>
        <v>362.72458890356472</v>
      </c>
      <c r="AI36" s="90">
        <f>'增加值 (2001-2060, 2020RMB)'!AI36*$B$73</f>
        <v>367.87642646866243</v>
      </c>
      <c r="AJ36" s="106">
        <f>'增加值 (2001-2060, 2020RMB)'!AJ36*$B$73</f>
        <v>371.90132286768886</v>
      </c>
      <c r="AK36" s="89">
        <f>'增加值 (2001-2060, 2020RMB)'!AK36*$B$73</f>
        <v>374.88680225854017</v>
      </c>
      <c r="AL36" s="90">
        <f>'增加值 (2001-2060, 2020RMB)'!AL36*$B$73</f>
        <v>376.88215289811279</v>
      </c>
      <c r="AM36" s="90">
        <f>'增加值 (2001-2060, 2020RMB)'!AM36*$B$73</f>
        <v>377.9335345758289</v>
      </c>
      <c r="AN36" s="90">
        <f>'增加值 (2001-2060, 2020RMB)'!AN36*$B$73</f>
        <v>378.09520276445028</v>
      </c>
      <c r="AO36" s="101">
        <f>'增加值 (2001-2060, 2020RMB)'!AO36*$B$73</f>
        <v>377.42809944870686</v>
      </c>
      <c r="AP36" s="90">
        <f>'增加值 (2001-2060, 2020RMB)'!AP36*$B$73</f>
        <v>375.99845698580316</v>
      </c>
      <c r="AQ36" s="90">
        <f>'增加值 (2001-2060, 2020RMB)'!AQ36*$B$73</f>
        <v>373.87644878768737</v>
      </c>
      <c r="AR36" s="90">
        <f>'增加值 (2001-2060, 2020RMB)'!AR36*$B$73</f>
        <v>371.13491517257756</v>
      </c>
      <c r="AS36" s="90">
        <f>'增加值 (2001-2060, 2020RMB)'!AS36*$B$73</f>
        <v>367.84818709760293</v>
      </c>
      <c r="AT36" s="90">
        <f>'增加值 (2001-2060, 2020RMB)'!AT36*$B$73</f>
        <v>364.09102490894492</v>
      </c>
      <c r="AU36" s="89">
        <f>'增加值 (2001-2060, 2020RMB)'!AU36*$B$73</f>
        <v>359.93768394084458</v>
      </c>
      <c r="AV36" s="90">
        <f>'增加值 (2001-2060, 2020RMB)'!AV36*$B$73</f>
        <v>355.46111392502178</v>
      </c>
      <c r="AW36" s="90">
        <f>'增加值 (2001-2060, 2020RMB)'!AW36*$B$73</f>
        <v>350.73229485652286</v>
      </c>
      <c r="AX36" s="90">
        <f>'增加值 (2001-2060, 2020RMB)'!AX36*$B$73</f>
        <v>345.81970827753906</v>
      </c>
      <c r="AY36" s="101">
        <f>'增加值 (2001-2060, 2020RMB)'!AY36*$B$73</f>
        <v>340.78893992554259</v>
      </c>
      <c r="AZ36" s="89">
        <f>'增加值 (2001-2060, 2020RMB)'!AZ36*$B$73</f>
        <v>335.7024073523387</v>
      </c>
      <c r="BA36" s="90">
        <f>'增加值 (2001-2060, 2020RMB)'!BA36*$B$73</f>
        <v>330.61920443592186</v>
      </c>
      <c r="BB36" s="90">
        <f>'增加值 (2001-2060, 2020RMB)'!BB36*$B$73</f>
        <v>325.59505363754948</v>
      </c>
      <c r="BC36" s="90">
        <f>'增加值 (2001-2060, 2020RMB)'!BC36*$B$73</f>
        <v>320.68235634872798</v>
      </c>
      <c r="BD36" s="101">
        <f>'增加值 (2001-2060, 2020RMB)'!BD36*$B$73</f>
        <v>315.93033166578488</v>
      </c>
      <c r="BE36" s="90">
        <f>'增加值 (2001-2060, 2020RMB)'!BE36*$B$73</f>
        <v>311.38523435966732</v>
      </c>
      <c r="BF36" s="90">
        <f>'增加值 (2001-2060, 2020RMB)'!BF36*$B$73</f>
        <v>307.09064361376409</v>
      </c>
      <c r="BG36" s="90">
        <f>'增加值 (2001-2060, 2020RMB)'!BG36*$B$73</f>
        <v>303.087815226506</v>
      </c>
      <c r="BH36" s="90">
        <f>'增加值 (2001-2060, 2020RMB)'!BH36*$B$73</f>
        <v>299.41609137038978</v>
      </c>
      <c r="BI36" s="109">
        <f>'增加值 (2001-2060, 2020RMB)'!BI36*$B$73</f>
        <v>296.11336362788546</v>
      </c>
    </row>
    <row r="37" spans="1:61" ht="13.9" customHeight="1" x14ac:dyDescent="0.2">
      <c r="A37" s="30" t="s">
        <v>95</v>
      </c>
      <c r="B37" s="19"/>
      <c r="C37" s="20"/>
      <c r="D37" s="20"/>
      <c r="E37" s="20"/>
      <c r="F37" s="21"/>
      <c r="G37" s="19"/>
      <c r="H37" s="20"/>
      <c r="I37" s="20">
        <f>'增加值 (2001-2060, 2020RMB)'!I37*$B$73</f>
        <v>538.98023258366788</v>
      </c>
      <c r="J37" s="20">
        <f>'增加值 (2001-2060, 2020RMB)'!J37*$B$73</f>
        <v>572.48796307215707</v>
      </c>
      <c r="K37" s="21">
        <f>'增加值 (2001-2060, 2020RMB)'!K37*$B$73</f>
        <v>653.24298216813247</v>
      </c>
      <c r="L37" s="19">
        <f>'增加值 (2001-2060, 2020RMB)'!L37*$B$73</f>
        <v>708.3464748598501</v>
      </c>
      <c r="M37" s="20">
        <f>'增加值 (2001-2060, 2020RMB)'!M37*$B$73</f>
        <v>742.44987001693801</v>
      </c>
      <c r="N37" s="20">
        <f>'增加值 (2001-2060, 2020RMB)'!N37*$B$73</f>
        <v>780.76539254799661</v>
      </c>
      <c r="O37" s="20">
        <f>'增加值 (2001-2060, 2020RMB)'!O37*$B$73</f>
        <v>812.91644925741389</v>
      </c>
      <c r="P37" s="20">
        <f>'增加值 (2001-2060, 2020RMB)'!P37*$B$73</f>
        <v>832.14628132368648</v>
      </c>
      <c r="Q37" s="19">
        <f>'增加值 (2001-2060, 2020RMB)'!Q37*$B$73</f>
        <v>873.79715493180709</v>
      </c>
      <c r="R37" s="20">
        <f>'增加值 (2001-2060, 2020RMB)'!R37*$B$73</f>
        <v>940.18779422073999</v>
      </c>
      <c r="S37" s="20">
        <f>'增加值 (2001-2060, 2020RMB)'!S37*$B$73</f>
        <v>966.10022318768188</v>
      </c>
      <c r="T37" s="20">
        <f>'增加值 (2001-2060, 2020RMB)'!T37*$B$73</f>
        <v>976.19296521477702</v>
      </c>
      <c r="U37" s="21">
        <f>'增加值 (2001-2060, 2020RMB)'!U37*$B$73</f>
        <v>961.33243098481523</v>
      </c>
      <c r="V37" s="20">
        <f>'增加值 (2001-2060, 2020RMB)'!V37*$B$73</f>
        <v>1063.9875770412123</v>
      </c>
      <c r="W37" s="20">
        <f>'增加值 (2001-2060, 2020RMB)'!W37*$B$73</f>
        <v>1061.3776196365975</v>
      </c>
      <c r="X37" s="90">
        <f>'增加值 (2001-2060, 2020RMB)'!X37*$B$73</f>
        <v>1078.1868096464552</v>
      </c>
      <c r="Y37" s="90">
        <f>'增加值 (2001-2060, 2020RMB)'!Y37*$B$73</f>
        <v>1091.9402272578595</v>
      </c>
      <c r="Z37" s="90">
        <f>'增加值 (2001-2060, 2020RMB)'!Z37*$B$73</f>
        <v>1102.8223213272779</v>
      </c>
      <c r="AA37" s="89">
        <f>'增加值 (2001-2060, 2020RMB)'!AA37*$B$73</f>
        <v>1111.0539002700639</v>
      </c>
      <c r="AB37" s="90">
        <f>'增加值 (2001-2060, 2020RMB)'!AB37*$B$73</f>
        <v>1116.8855581735165</v>
      </c>
      <c r="AC37" s="90">
        <f>'增加值 (2001-2060, 2020RMB)'!AC37*$B$73</f>
        <v>1120.5913272187986</v>
      </c>
      <c r="AD37" s="90">
        <f>'增加值 (2001-2060, 2020RMB)'!AD37*$B$73</f>
        <v>1122.462759130377</v>
      </c>
      <c r="AE37" s="101">
        <f>'增加值 (2001-2060, 2020RMB)'!AE37*$B$73</f>
        <v>1122.8035973695703</v>
      </c>
      <c r="AF37" s="90">
        <f>'增加值 (2001-2060, 2020RMB)'!AF37*$B$73</f>
        <v>1121.8669125271001</v>
      </c>
      <c r="AG37" s="90">
        <f>'增加值 (2001-2060, 2020RMB)'!AG37*$B$73</f>
        <v>1119.6773614935482</v>
      </c>
      <c r="AH37" s="90">
        <f>'增加值 (2001-2060, 2020RMB)'!AH37*$B$73</f>
        <v>1116.2057224983305</v>
      </c>
      <c r="AI37" s="90">
        <f>'增加值 (2001-2060, 2020RMB)'!AI37*$B$73</f>
        <v>1111.4275475703851</v>
      </c>
      <c r="AJ37" s="106">
        <f>'增加值 (2001-2060, 2020RMB)'!AJ37*$B$73</f>
        <v>1105.3235151464739</v>
      </c>
      <c r="AK37" s="89">
        <f>'增加值 (2001-2060, 2020RMB)'!AK37*$B$73</f>
        <v>1097.8965783144806</v>
      </c>
      <c r="AL37" s="90">
        <f>'增加值 (2001-2060, 2020RMB)'!AL37*$B$73</f>
        <v>1089.2216535674627</v>
      </c>
      <c r="AM37" s="90">
        <f>'增加值 (2001-2060, 2020RMB)'!AM37*$B$73</f>
        <v>1079.3930343321315</v>
      </c>
      <c r="AN37" s="90">
        <f>'增加值 (2001-2060, 2020RMB)'!AN37*$B$73</f>
        <v>1068.5064851083037</v>
      </c>
      <c r="AO37" s="101">
        <f>'增加值 (2001-2060, 2020RMB)'!AO37*$B$73</f>
        <v>1056.658417951779</v>
      </c>
      <c r="AP37" s="90">
        <f>'增加值 (2001-2060, 2020RMB)'!AP37*$B$73</f>
        <v>1043.9451297768221</v>
      </c>
      <c r="AQ37" s="90">
        <f>'增加值 (2001-2060, 2020RMB)'!AQ37*$B$73</f>
        <v>1030.4621048563067</v>
      </c>
      <c r="AR37" s="90">
        <f>'增加值 (2001-2060, 2020RMB)'!AR37*$B$73</f>
        <v>1016.3033854917394</v>
      </c>
      <c r="AS37" s="90">
        <f>'增加值 (2001-2060, 2020RMB)'!AS37*$B$73</f>
        <v>1001.561012521031</v>
      </c>
      <c r="AT37" s="90">
        <f>'增加值 (2001-2060, 2020RMB)'!AT37*$B$73</f>
        <v>986.32453614414078</v>
      </c>
      <c r="AU37" s="89">
        <f>'增加值 (2001-2060, 2020RMB)'!AU37*$B$73</f>
        <v>970.68059648550343</v>
      </c>
      <c r="AV37" s="90">
        <f>'增加值 (2001-2060, 2020RMB)'!AV37*$B$73</f>
        <v>954.71257238434669</v>
      </c>
      <c r="AW37" s="90">
        <f>'增加值 (2001-2060, 2020RMB)'!AW37*$B$73</f>
        <v>938.50029611122079</v>
      </c>
      <c r="AX37" s="90">
        <f>'增加值 (2001-2060, 2020RMB)'!AX37*$B$73</f>
        <v>922.11983105108447</v>
      </c>
      <c r="AY37" s="101">
        <f>'增加值 (2001-2060, 2020RMB)'!AY37*$B$73</f>
        <v>905.6433088658855</v>
      </c>
      <c r="AZ37" s="89">
        <f>'增加值 (2001-2060, 2020RMB)'!AZ37*$B$73</f>
        <v>889.13882224709653</v>
      </c>
      <c r="BA37" s="90">
        <f>'增加值 (2001-2060, 2020RMB)'!BA37*$B$73</f>
        <v>872.67036908290731</v>
      </c>
      <c r="BB37" s="90">
        <f>'增加值 (2001-2060, 2020RMB)'!BB37*$B$73</f>
        <v>856.29784368676621</v>
      </c>
      <c r="BC37" s="90">
        <f>'增加值 (2001-2060, 2020RMB)'!BC37*$B$73</f>
        <v>840.07707065326474</v>
      </c>
      <c r="BD37" s="101">
        <f>'增加值 (2001-2060, 2020RMB)'!BD37*$B$73</f>
        <v>824.05987691355324</v>
      </c>
      <c r="BE37" s="90">
        <f>'增加值 (2001-2060, 2020RMB)'!BE37*$B$73</f>
        <v>808.29419764426689</v>
      </c>
      <c r="BF37" s="90">
        <f>'增加值 (2001-2060, 2020RMB)'!BF37*$B$73</f>
        <v>792.82421183091515</v>
      </c>
      <c r="BG37" s="90">
        <f>'增加值 (2001-2060, 2020RMB)'!BG37*$B$73</f>
        <v>777.6905034880258</v>
      </c>
      <c r="BH37" s="90">
        <f>'增加值 (2001-2060, 2020RMB)'!BH37*$B$73</f>
        <v>762.93024478445079</v>
      </c>
      <c r="BI37" s="109">
        <f>'增加值 (2001-2060, 2020RMB)'!BI37*$B$73</f>
        <v>748.5773976038181</v>
      </c>
    </row>
    <row r="38" spans="1:61" x14ac:dyDescent="0.2">
      <c r="A38" s="30" t="s">
        <v>96</v>
      </c>
      <c r="B38" s="19"/>
      <c r="C38" s="20"/>
      <c r="D38" s="20"/>
      <c r="E38" s="20"/>
      <c r="F38" s="21"/>
      <c r="G38" s="19"/>
      <c r="H38" s="20"/>
      <c r="I38" s="20">
        <f>'增加值 (2001-2060, 2020RMB)'!I38*$B$73</f>
        <v>969.86529677334454</v>
      </c>
      <c r="J38" s="20">
        <f>'增加值 (2001-2060, 2020RMB)'!J38*$B$73</f>
        <v>1054.5240750677958</v>
      </c>
      <c r="K38" s="21">
        <f>'增加值 (2001-2060, 2020RMB)'!K38*$B$73</f>
        <v>1231.9487832991067</v>
      </c>
      <c r="L38" s="19">
        <f>'增加值 (2001-2060, 2020RMB)'!L38*$B$73</f>
        <v>1401.566718147817</v>
      </c>
      <c r="M38" s="20">
        <f>'增加值 (2001-2060, 2020RMB)'!M38*$B$73</f>
        <v>1483.7223646090169</v>
      </c>
      <c r="N38" s="20">
        <f>'增加值 (2001-2060, 2020RMB)'!N38*$B$73</f>
        <v>1571.5684766320201</v>
      </c>
      <c r="O38" s="20">
        <f>'增加值 (2001-2060, 2020RMB)'!O38*$B$73</f>
        <v>1646.8308809364089</v>
      </c>
      <c r="P38" s="20">
        <f>'增加值 (2001-2060, 2020RMB)'!P38*$B$73</f>
        <v>1663.9142092848247</v>
      </c>
      <c r="Q38" s="19">
        <f>'增加值 (2001-2060, 2020RMB)'!Q38*$B$73</f>
        <v>1729.3353394650969</v>
      </c>
      <c r="R38" s="20">
        <f>'增加值 (2001-2060, 2020RMB)'!R38*$B$73</f>
        <v>1815.2175877512082</v>
      </c>
      <c r="S38" s="20">
        <f>'增加值 (2001-2060, 2020RMB)'!S38*$B$73</f>
        <v>1890.5503654260967</v>
      </c>
      <c r="T38" s="20">
        <f>'增加值 (2001-2060, 2020RMB)'!T38*$B$73</f>
        <v>1985.0357835637794</v>
      </c>
      <c r="U38" s="21">
        <f>'增加值 (2001-2060, 2020RMB)'!U38*$B$73</f>
        <v>1974.020219422028</v>
      </c>
      <c r="V38" s="20">
        <f>'增加值 (2001-2060, 2020RMB)'!V38*$B$73</f>
        <v>2219.755042611464</v>
      </c>
      <c r="W38" s="20">
        <f>'增加值 (2001-2060, 2020RMB)'!W38*$B$73</f>
        <v>2221.0746865680835</v>
      </c>
      <c r="X38" s="90">
        <f>'增加值 (2001-2060, 2020RMB)'!X38*$B$73</f>
        <v>2269.9374139602924</v>
      </c>
      <c r="Y38" s="90">
        <f>'增加值 (2001-2060, 2020RMB)'!Y38*$B$73</f>
        <v>2324.4782557852263</v>
      </c>
      <c r="Z38" s="90">
        <f>'增加值 (2001-2060, 2020RMB)'!Z38*$B$73</f>
        <v>2383.1337790921225</v>
      </c>
      <c r="AA38" s="89">
        <f>'增加值 (2001-2060, 2020RMB)'!AA38*$B$73</f>
        <v>2444.1796969158777</v>
      </c>
      <c r="AB38" s="90">
        <f>'增加值 (2001-2060, 2020RMB)'!AB38*$B$73</f>
        <v>2505.7057097426477</v>
      </c>
      <c r="AC38" s="90">
        <f>'增加值 (2001-2060, 2020RMB)'!AC38*$B$73</f>
        <v>2565.604207466889</v>
      </c>
      <c r="AD38" s="90">
        <f>'增加值 (2001-2060, 2020RMB)'!AD38*$B$73</f>
        <v>2621.5754855624773</v>
      </c>
      <c r="AE38" s="101">
        <f>'增加值 (2001-2060, 2020RMB)'!AE38*$B$73</f>
        <v>2671.1521881597487</v>
      </c>
      <c r="AF38" s="90">
        <f>'增加值 (2001-2060, 2020RMB)'!AF38*$B$73</f>
        <v>2712.2276497566804</v>
      </c>
      <c r="AG38" s="90">
        <f>'增加值 (2001-2060, 2020RMB)'!AG38*$B$73</f>
        <v>2744.6155900372987</v>
      </c>
      <c r="AH38" s="90">
        <f>'增加值 (2001-2060, 2020RMB)'!AH38*$B$73</f>
        <v>2768.7176598827282</v>
      </c>
      <c r="AI38" s="90">
        <f>'增加值 (2001-2060, 2020RMB)'!AI38*$B$73</f>
        <v>2785.04009246138</v>
      </c>
      <c r="AJ38" s="106">
        <f>'增加值 (2001-2060, 2020RMB)'!AJ38*$B$73</f>
        <v>2794.1759209041775</v>
      </c>
      <c r="AK38" s="89">
        <f>'增加值 (2001-2060, 2020RMB)'!AK38*$B$73</f>
        <v>2796.7280930367792</v>
      </c>
      <c r="AL38" s="90">
        <f>'增加值 (2001-2060, 2020RMB)'!AL38*$B$73</f>
        <v>2793.1154993186738</v>
      </c>
      <c r="AM38" s="90">
        <f>'增加值 (2001-2060, 2020RMB)'!AM38*$B$73</f>
        <v>2783.738620794049</v>
      </c>
      <c r="AN38" s="90">
        <f>'增加值 (2001-2060, 2020RMB)'!AN38*$B$73</f>
        <v>2769.0301487767429</v>
      </c>
      <c r="AO38" s="101">
        <f>'增加值 (2001-2060, 2020RMB)'!AO38*$B$73</f>
        <v>2749.4469394644125</v>
      </c>
      <c r="AP38" s="90">
        <f>'增加值 (2001-2060, 2020RMB)'!AP38*$B$73</f>
        <v>2725.4623671110353</v>
      </c>
      <c r="AQ38" s="90">
        <f>'增加值 (2001-2060, 2020RMB)'!AQ38*$B$73</f>
        <v>2697.5592002417638</v>
      </c>
      <c r="AR38" s="90">
        <f>'增加值 (2001-2060, 2020RMB)'!AR38*$B$73</f>
        <v>2666.2230972733892</v>
      </c>
      <c r="AS38" s="90">
        <f>'增加值 (2001-2060, 2020RMB)'!AS38*$B$73</f>
        <v>2631.9367907811752</v>
      </c>
      <c r="AT38" s="90">
        <f>'增加值 (2001-2060, 2020RMB)'!AT38*$B$73</f>
        <v>2595.1750043282514</v>
      </c>
      <c r="AU38" s="89">
        <f>'增加值 (2001-2060, 2020RMB)'!AU38*$B$73</f>
        <v>2556.400122849991</v>
      </c>
      <c r="AV38" s="90">
        <f>'增加值 (2001-2060, 2020RMB)'!AV38*$B$73</f>
        <v>2516.0586174828627</v>
      </c>
      <c r="AW38" s="90">
        <f>'增加值 (2001-2060, 2020RMB)'!AW38*$B$73</f>
        <v>2474.5782086911167</v>
      </c>
      <c r="AX38" s="90">
        <f>'增加值 (2001-2060, 2020RMB)'!AX38*$B$73</f>
        <v>2432.365737672354</v>
      </c>
      <c r="AY38" s="101">
        <f>'增加值 (2001-2060, 2020RMB)'!AY38*$B$73</f>
        <v>2389.805705282015</v>
      </c>
      <c r="AZ38" s="89">
        <f>'增加值 (2001-2060, 2020RMB)'!AZ38*$B$73</f>
        <v>2347.259429973215</v>
      </c>
      <c r="BA38" s="90">
        <f>'增加值 (2001-2060, 2020RMB)'!BA38*$B$73</f>
        <v>2305.0647712912682</v>
      </c>
      <c r="BB38" s="90">
        <f>'增加值 (2001-2060, 2020RMB)'!BB38*$B$73</f>
        <v>2263.5363630267752</v>
      </c>
      <c r="BC38" s="90">
        <f>'增加值 (2001-2060, 2020RMB)'!BC38*$B$73</f>
        <v>2222.9662999226321</v>
      </c>
      <c r="BD38" s="101">
        <f>'增加值 (2001-2060, 2020RMB)'!BD38*$B$73</f>
        <v>2183.6252235415063</v>
      </c>
      <c r="BE38" s="90">
        <f>'增加值 (2001-2060, 2020RMB)'!BE38*$B$73</f>
        <v>2145.7637562298241</v>
      </c>
      <c r="BF38" s="90">
        <f>'增加值 (2001-2060, 2020RMB)'!BF38*$B$73</f>
        <v>2109.6142367785069</v>
      </c>
      <c r="BG38" s="90">
        <f>'增加值 (2001-2060, 2020RMB)'!BG38*$B$73</f>
        <v>2075.3927171258288</v>
      </c>
      <c r="BH38" s="90">
        <f>'增加值 (2001-2060, 2020RMB)'!BH38*$B$73</f>
        <v>2043.3011860572406</v>
      </c>
      <c r="BI38" s="109">
        <f>'增加值 (2001-2060, 2020RMB)'!BI38*$B$73</f>
        <v>2013.5299931571953</v>
      </c>
    </row>
    <row r="39" spans="1:61" x14ac:dyDescent="0.2">
      <c r="A39" s="30" t="s">
        <v>97</v>
      </c>
      <c r="B39" s="19"/>
      <c r="C39" s="20"/>
      <c r="D39" s="20"/>
      <c r="E39" s="20"/>
      <c r="F39" s="21"/>
      <c r="G39" s="19"/>
      <c r="H39" s="20"/>
      <c r="I39" s="20">
        <f>'增加值 (2001-2060, 2020RMB)'!I39*$B$73</f>
        <v>1827.2046823458188</v>
      </c>
      <c r="J39" s="20">
        <f>'增加值 (2001-2060, 2020RMB)'!J39*$B$73</f>
        <v>1903.5599257682049</v>
      </c>
      <c r="K39" s="21">
        <f>'增加值 (2001-2060, 2020RMB)'!K39*$B$73</f>
        <v>2063.0097206545961</v>
      </c>
      <c r="L39" s="19">
        <f>'增加值 (2001-2060, 2020RMB)'!L39*$B$73</f>
        <v>2174.5896799921866</v>
      </c>
      <c r="M39" s="20">
        <f>'增加值 (2001-2060, 2020RMB)'!M39*$B$73</f>
        <v>2266.8642920931907</v>
      </c>
      <c r="N39" s="20">
        <f>'增加值 (2001-2060, 2020RMB)'!N39*$B$73</f>
        <v>2366.6226269511294</v>
      </c>
      <c r="O39" s="20">
        <f>'增加值 (2001-2060, 2020RMB)'!O39*$B$73</f>
        <v>2409.6227812801817</v>
      </c>
      <c r="P39" s="20">
        <f>'增加值 (2001-2060, 2020RMB)'!P39*$B$73</f>
        <v>2409.4725996736911</v>
      </c>
      <c r="Q39" s="19">
        <f>'增加值 (2001-2060, 2020RMB)'!Q39*$B$73</f>
        <v>2311.3950984161133</v>
      </c>
      <c r="R39" s="20">
        <f>'增加值 (2001-2060, 2020RMB)'!R39*$B$73</f>
        <v>2346.6365941352378</v>
      </c>
      <c r="S39" s="20">
        <f>'增加值 (2001-2060, 2020RMB)'!S39*$B$73</f>
        <v>2500.100649793872</v>
      </c>
      <c r="T39" s="20">
        <f>'增加值 (2001-2060, 2020RMB)'!T39*$B$73</f>
        <v>2649.1551506544774</v>
      </c>
      <c r="U39" s="21">
        <f>'增加值 (2001-2060, 2020RMB)'!U39*$B$73</f>
        <v>2734.3994336154205</v>
      </c>
      <c r="V39" s="20">
        <f>'增加值 (2001-2060, 2020RMB)'!V39*$B$73</f>
        <v>2881.1917792140471</v>
      </c>
      <c r="W39" s="20">
        <f>'增加值 (2001-2060, 2020RMB)'!W39*$B$73</f>
        <v>2961.9284293936989</v>
      </c>
      <c r="X39" s="90">
        <f>'增加值 (2001-2060, 2020RMB)'!X39*$B$73</f>
        <v>3026.2321789790844</v>
      </c>
      <c r="Y39" s="90">
        <f>'增加值 (2001-2060, 2020RMB)'!Y39*$B$73</f>
        <v>3097.9927195041469</v>
      </c>
      <c r="Z39" s="90">
        <f>'增加值 (2001-2060, 2020RMB)'!Z39*$B$73</f>
        <v>3175.1380196885343</v>
      </c>
      <c r="AA39" s="89">
        <f>'增加值 (2001-2060, 2020RMB)'!AA39*$B$73</f>
        <v>3255.3860352147922</v>
      </c>
      <c r="AB39" s="90">
        <f>'增加值 (2001-2060, 2020RMB)'!AB39*$B$73</f>
        <v>3336.212158725094</v>
      </c>
      <c r="AC39" s="90">
        <f>'增加值 (2001-2060, 2020RMB)'!AC39*$B$73</f>
        <v>3414.8348653776011</v>
      </c>
      <c r="AD39" s="90">
        <f>'增加值 (2001-2060, 2020RMB)'!AD39*$B$73</f>
        <v>3488.2229816030499</v>
      </c>
      <c r="AE39" s="101">
        <f>'增加值 (2001-2060, 2020RMB)'!AE39*$B$73</f>
        <v>3553.1280714666127</v>
      </c>
      <c r="AF39" s="90">
        <f>'增加值 (2001-2060, 2020RMB)'!AF39*$B$73</f>
        <v>3606.7803139609241</v>
      </c>
      <c r="AG39" s="90">
        <f>'增加值 (2001-2060, 2020RMB)'!AG39*$B$73</f>
        <v>3648.9413623912424</v>
      </c>
      <c r="AH39" s="90">
        <f>'增加值 (2001-2060, 2020RMB)'!AH39*$B$73</f>
        <v>3680.1465468223146</v>
      </c>
      <c r="AI39" s="90">
        <f>'增加值 (2001-2060, 2020RMB)'!AI39*$B$73</f>
        <v>3701.0678444133951</v>
      </c>
      <c r="AJ39" s="106">
        <f>'增加值 (2001-2060, 2020RMB)'!AJ39*$B$73</f>
        <v>3712.4905244063084</v>
      </c>
      <c r="AK39" s="89">
        <f>'增加值 (2001-2060, 2020RMB)'!AK39*$B$73</f>
        <v>3715.2125636515589</v>
      </c>
      <c r="AL39" s="90">
        <f>'增加值 (2001-2060, 2020RMB)'!AL39*$B$73</f>
        <v>3709.7911406304715</v>
      </c>
      <c r="AM39" s="90">
        <f>'增加值 (2001-2060, 2020RMB)'!AM39*$B$73</f>
        <v>3696.7592560619182</v>
      </c>
      <c r="AN39" s="90">
        <f>'增加值 (2001-2060, 2020RMB)'!AN39*$B$73</f>
        <v>3676.691832129241</v>
      </c>
      <c r="AO39" s="101">
        <f>'增加值 (2001-2060, 2020RMB)'!AO39*$B$73</f>
        <v>3650.1951169060526</v>
      </c>
      <c r="AP39" s="90">
        <f>'增加值 (2001-2060, 2020RMB)'!AP39*$B$73</f>
        <v>3617.8966238683188</v>
      </c>
      <c r="AQ39" s="90">
        <f>'增加值 (2001-2060, 2020RMB)'!AQ39*$B$73</f>
        <v>3580.4357682678792</v>
      </c>
      <c r="AR39" s="90">
        <f>'增加值 (2001-2060, 2020RMB)'!AR39*$B$73</f>
        <v>3538.4553252384167</v>
      </c>
      <c r="AS39" s="90">
        <f>'增加值 (2001-2060, 2020RMB)'!AS39*$B$73</f>
        <v>3492.5937989689355</v>
      </c>
      <c r="AT39" s="90">
        <f>'增加值 (2001-2060, 2020RMB)'!AT39*$B$73</f>
        <v>3443.4787591438435</v>
      </c>
      <c r="AU39" s="89">
        <f>'增加值 (2001-2060, 2020RMB)'!AU39*$B$73</f>
        <v>3391.7211708944906</v>
      </c>
      <c r="AV39" s="90">
        <f>'增加值 (2001-2060, 2020RMB)'!AV39*$B$73</f>
        <v>3337.9107182688463</v>
      </c>
      <c r="AW39" s="90">
        <f>'增加值 (2001-2060, 2020RMB)'!AW39*$B$73</f>
        <v>3282.6120990209547</v>
      </c>
      <c r="AX39" s="90">
        <f>'增加值 (2001-2060, 2020RMB)'!AX39*$B$73</f>
        <v>3226.3622504651339</v>
      </c>
      <c r="AY39" s="101">
        <f>'增加值 (2001-2060, 2020RMB)'!AY39*$B$73</f>
        <v>3169.6684521859265</v>
      </c>
      <c r="AZ39" s="89">
        <f>'增加值 (2001-2060, 2020RMB)'!AZ39*$B$73</f>
        <v>3113.0072413606495</v>
      </c>
      <c r="BA39" s="90">
        <f>'增加值 (2001-2060, 2020RMB)'!BA39*$B$73</f>
        <v>3056.8240700593847</v>
      </c>
      <c r="BB39" s="90">
        <f>'增加值 (2001-2060, 2020RMB)'!BB39*$B$73</f>
        <v>3001.5336307867369</v>
      </c>
      <c r="BC39" s="90">
        <f>'增加值 (2001-2060, 2020RMB)'!BC39*$B$73</f>
        <v>2947.5207763345074</v>
      </c>
      <c r="BD39" s="101">
        <f>'增加值 (2001-2060, 2020RMB)'!BD39*$B$73</f>
        <v>2895.1419623202564</v>
      </c>
      <c r="BE39" s="90">
        <f>'增加值 (2001-2060, 2020RMB)'!BE39*$B$73</f>
        <v>2844.7271452003033</v>
      </c>
      <c r="BF39" s="90">
        <f>'增加值 (2001-2060, 2020RMB)'!BF39*$B$73</f>
        <v>2796.5820746941213</v>
      </c>
      <c r="BG39" s="90">
        <f>'增加值 (2001-2060, 2020RMB)'!BG39*$B$73</f>
        <v>2750.9909271094939</v>
      </c>
      <c r="BH39" s="90">
        <f>'增加值 (2001-2060, 2020RMB)'!BH39*$B$73</f>
        <v>2708.2192347300638</v>
      </c>
      <c r="BI39" s="109">
        <f>'增加值 (2001-2060, 2020RMB)'!BI39*$B$73</f>
        <v>2668.5170759921484</v>
      </c>
    </row>
    <row r="40" spans="1:61" x14ac:dyDescent="0.2">
      <c r="A40" s="30" t="s">
        <v>98</v>
      </c>
      <c r="B40" s="19"/>
      <c r="C40" s="20"/>
      <c r="D40" s="20"/>
      <c r="E40" s="20"/>
      <c r="F40" s="21"/>
      <c r="G40" s="19"/>
      <c r="H40" s="20"/>
      <c r="I40" s="20">
        <f>'增加值 (2001-2060, 2020RMB)'!I40*$B$73</f>
        <v>769.84623647460489</v>
      </c>
      <c r="J40" s="20">
        <f>'增加值 (2001-2060, 2020RMB)'!J40*$B$73</f>
        <v>823.17988973695537</v>
      </c>
      <c r="K40" s="21">
        <f>'增加值 (2001-2060, 2020RMB)'!K40*$B$73</f>
        <v>904.92316398079311</v>
      </c>
      <c r="L40" s="19">
        <f>'增加值 (2001-2060, 2020RMB)'!L40*$B$73</f>
        <v>987.77824611982282</v>
      </c>
      <c r="M40" s="20">
        <f>'增加值 (2001-2060, 2020RMB)'!M40*$B$73</f>
        <v>1064.486024295582</v>
      </c>
      <c r="N40" s="20">
        <f>'增加值 (2001-2060, 2020RMB)'!N40*$B$73</f>
        <v>1158.858418673603</v>
      </c>
      <c r="O40" s="20">
        <f>'增加值 (2001-2060, 2020RMB)'!O40*$B$73</f>
        <v>1248.7980808928194</v>
      </c>
      <c r="P40" s="20">
        <f>'增加值 (2001-2060, 2020RMB)'!P40*$B$73</f>
        <v>1318.6201486481377</v>
      </c>
      <c r="Q40" s="19">
        <f>'增加值 (2001-2060, 2020RMB)'!Q40*$B$73</f>
        <v>1366.6046763825284</v>
      </c>
      <c r="R40" s="20">
        <f>'增加值 (2001-2060, 2020RMB)'!R40*$B$73</f>
        <v>1404.0405883388651</v>
      </c>
      <c r="S40" s="20">
        <f>'增加值 (2001-2060, 2020RMB)'!S40*$B$73</f>
        <v>1507.0452757650496</v>
      </c>
      <c r="T40" s="20">
        <f>'增加值 (2001-2060, 2020RMB)'!T40*$B$73</f>
        <v>1586.7231090068576</v>
      </c>
      <c r="U40" s="21">
        <f>'增加值 (2001-2060, 2020RMB)'!U40*$B$73</f>
        <v>1573.3130836256189</v>
      </c>
      <c r="V40" s="20">
        <f>'增加值 (2001-2060, 2020RMB)'!V40*$B$73</f>
        <v>1702.0033119290772</v>
      </c>
      <c r="W40" s="20">
        <f>'增加值 (2001-2060, 2020RMB)'!W40*$B$73</f>
        <v>1818.8547619421211</v>
      </c>
      <c r="X40" s="90">
        <f>'增加值 (2001-2060, 2020RMB)'!X40*$B$73</f>
        <v>1867.1562716325643</v>
      </c>
      <c r="Y40" s="90">
        <f>'增加值 (2001-2060, 2020RMB)'!Y40*$B$73</f>
        <v>1921.2655539759344</v>
      </c>
      <c r="Z40" s="90">
        <f>'增加值 (2001-2060, 2020RMB)'!Z40*$B$73</f>
        <v>1979.7902347757265</v>
      </c>
      <c r="AA40" s="89">
        <f>'增加值 (2001-2060, 2020RMB)'!AA40*$B$73</f>
        <v>2041.1596853478413</v>
      </c>
      <c r="AB40" s="90">
        <f>'增加值 (2001-2060, 2020RMB)'!AB40*$B$73</f>
        <v>2103.5933030121259</v>
      </c>
      <c r="AC40" s="90">
        <f>'增加值 (2001-2060, 2020RMB)'!AC40*$B$73</f>
        <v>2165.082952468551</v>
      </c>
      <c r="AD40" s="90">
        <f>'增加值 (2001-2060, 2020RMB)'!AD40*$B$73</f>
        <v>2223.3930057213852</v>
      </c>
      <c r="AE40" s="101">
        <f>'增加值 (2001-2060, 2020RMB)'!AE40*$B$73</f>
        <v>2276.0816308669705</v>
      </c>
      <c r="AF40" s="90">
        <f>'增加值 (2001-2060, 2020RMB)'!AF40*$B$73</f>
        <v>2321.0202913657818</v>
      </c>
      <c r="AG40" s="90">
        <f>'增加值 (2001-2060, 2020RMB)'!AG40*$B$73</f>
        <v>2357.944985555418</v>
      </c>
      <c r="AH40" s="90">
        <f>'增加值 (2001-2060, 2020RMB)'!AH40*$B$73</f>
        <v>2387.1778689356397</v>
      </c>
      <c r="AI40" s="90">
        <f>'增加值 (2001-2060, 2020RMB)'!AI40*$B$73</f>
        <v>2409.1565653446578</v>
      </c>
      <c r="AJ40" s="106">
        <f>'增加值 (2001-2060, 2020RMB)'!AJ40*$B$73</f>
        <v>2424.4160846586124</v>
      </c>
      <c r="AK40" s="89">
        <f>'增加值 (2001-2060, 2020RMB)'!AK40*$B$73</f>
        <v>2433.5061180365651</v>
      </c>
      <c r="AL40" s="90">
        <f>'增加值 (2001-2060, 2020RMB)'!AL40*$B$73</f>
        <v>2436.7793422996028</v>
      </c>
      <c r="AM40" s="90">
        <f>'增加值 (2001-2060, 2020RMB)'!AM40*$B$73</f>
        <v>2434.5700684211338</v>
      </c>
      <c r="AN40" s="90">
        <f>'增加值 (2001-2060, 2020RMB)'!AN40*$B$73</f>
        <v>2427.249948901373</v>
      </c>
      <c r="AO40" s="101">
        <f>'增加值 (2001-2060, 2020RMB)'!AO40*$B$73</f>
        <v>2415.2200607373065</v>
      </c>
      <c r="AP40" s="90">
        <f>'增加值 (2001-2060, 2020RMB)'!AP40*$B$73</f>
        <v>2398.9032585167952</v>
      </c>
      <c r="AQ40" s="90">
        <f>'增加值 (2001-2060, 2020RMB)'!AQ40*$B$73</f>
        <v>2378.7369460749919</v>
      </c>
      <c r="AR40" s="90">
        <f>'增加值 (2001-2060, 2020RMB)'!AR40*$B$73</f>
        <v>2355.1663860903473</v>
      </c>
      <c r="AS40" s="90">
        <f>'增加值 (2001-2060, 2020RMB)'!AS40*$B$73</f>
        <v>2328.6386382226824</v>
      </c>
      <c r="AT40" s="90">
        <f>'增加值 (2001-2060, 2020RMB)'!AT40*$B$73</f>
        <v>2299.5971889241487</v>
      </c>
      <c r="AU40" s="89">
        <f>'增加值 (2001-2060, 2020RMB)'!AU40*$B$73</f>
        <v>2268.4773106900875</v>
      </c>
      <c r="AV40" s="90">
        <f>'增加值 (2001-2060, 2020RMB)'!AV40*$B$73</f>
        <v>2235.7021658534677</v>
      </c>
      <c r="AW40" s="90">
        <f>'增加值 (2001-2060, 2020RMB)'!AW40*$B$73</f>
        <v>2201.679650453701</v>
      </c>
      <c r="AX40" s="90">
        <f>'增加值 (2001-2060, 2020RMB)'!AX40*$B$73</f>
        <v>2166.7999574371779</v>
      </c>
      <c r="AY40" s="101">
        <f>'增加值 (2001-2060, 2020RMB)'!AY40*$B$73</f>
        <v>2131.4338255231623</v>
      </c>
      <c r="AZ40" s="89">
        <f>'增加值 (2001-2060, 2020RMB)'!AZ40*$B$73</f>
        <v>2095.9314304163199</v>
      </c>
      <c r="BA40" s="90">
        <f>'增加值 (2001-2060, 2020RMB)'!BA40*$B$73</f>
        <v>2060.6218684862069</v>
      </c>
      <c r="BB40" s="90">
        <f>'增加值 (2001-2060, 2020RMB)'!BB40*$B$73</f>
        <v>2025.8131793125863</v>
      </c>
      <c r="BC40" s="90">
        <f>'增加值 (2001-2060, 2020RMB)'!BC40*$B$73</f>
        <v>1991.7928523157548</v>
      </c>
      <c r="BD40" s="101">
        <f>'增加值 (2001-2060, 2020RMB)'!BD40*$B$73</f>
        <v>1958.8287637332853</v>
      </c>
      <c r="BE40" s="90">
        <f>'增加值 (2001-2060, 2020RMB)'!BE40*$B$73</f>
        <v>1927.1704931470285</v>
      </c>
      <c r="BF40" s="90">
        <f>'增加值 (2001-2060, 2020RMB)'!BF40*$B$73</f>
        <v>1897.0509733021202</v>
      </c>
      <c r="BG40" s="90">
        <f>'增加值 (2001-2060, 2020RMB)'!BG40*$B$73</f>
        <v>1868.6884328165511</v>
      </c>
      <c r="BH40" s="90">
        <f>'增加值 (2001-2060, 2020RMB)'!BH40*$B$73</f>
        <v>1842.2885983210151</v>
      </c>
      <c r="BI40" s="109">
        <f>'增加值 (2001-2060, 2020RMB)'!BI40*$B$73</f>
        <v>1818.04713040818</v>
      </c>
    </row>
    <row r="41" spans="1:61" x14ac:dyDescent="0.2">
      <c r="A41" s="30" t="s">
        <v>99</v>
      </c>
      <c r="B41" s="19"/>
      <c r="C41" s="20"/>
      <c r="D41" s="20"/>
      <c r="E41" s="20"/>
      <c r="F41" s="21"/>
      <c r="G41" s="19"/>
      <c r="H41" s="20"/>
      <c r="I41" s="20">
        <f>'增加值 (2001-2060, 2020RMB)'!I41*$B$73</f>
        <v>825.35203982323162</v>
      </c>
      <c r="J41" s="20">
        <f>'增加值 (2001-2060, 2020RMB)'!J41*$B$73</f>
        <v>860.62424293328729</v>
      </c>
      <c r="K41" s="21">
        <f>'增加值 (2001-2060, 2020RMB)'!K41*$B$73</f>
        <v>994.5601714893121</v>
      </c>
      <c r="L41" s="19">
        <f>'增加值 (2001-2060, 2020RMB)'!L41*$B$73</f>
        <v>1125.7598991764332</v>
      </c>
      <c r="M41" s="20">
        <f>'增加值 (2001-2060, 2020RMB)'!M41*$B$73</f>
        <v>1202.4657387811435</v>
      </c>
      <c r="N41" s="20">
        <f>'增加值 (2001-2060, 2020RMB)'!N41*$B$73</f>
        <v>1283.9402712372946</v>
      </c>
      <c r="O41" s="20">
        <f>'增加值 (2001-2060, 2020RMB)'!O41*$B$73</f>
        <v>1373.7400086801558</v>
      </c>
      <c r="P41" s="20">
        <f>'增加值 (2001-2060, 2020RMB)'!P41*$B$73</f>
        <v>1399.7199374534182</v>
      </c>
      <c r="Q41" s="19">
        <f>'增加值 (2001-2060, 2020RMB)'!Q41*$B$73</f>
        <v>1477.9749989056179</v>
      </c>
      <c r="R41" s="20">
        <f>'增加值 (2001-2060, 2020RMB)'!R41*$B$73</f>
        <v>1594.7588110067843</v>
      </c>
      <c r="S41" s="20">
        <f>'增加值 (2001-2060, 2020RMB)'!S41*$B$73</f>
        <v>1648.2392055673163</v>
      </c>
      <c r="T41" s="20">
        <f>'增加值 (2001-2060, 2020RMB)'!T41*$B$73</f>
        <v>1681.3499544976607</v>
      </c>
      <c r="U41" s="21">
        <f>'增加值 (2001-2060, 2020RMB)'!U41*$B$73</f>
        <v>1711.0551127601359</v>
      </c>
      <c r="V41" s="20">
        <f>'增加值 (2001-2060, 2020RMB)'!V41*$B$73</f>
        <v>2066.5774519172019</v>
      </c>
      <c r="W41" s="20">
        <f>'增加值 (2001-2060, 2020RMB)'!W41*$B$73</f>
        <v>2090.8982819264734</v>
      </c>
      <c r="X41" s="90">
        <f>'增加值 (2001-2060, 2020RMB)'!X41*$B$73</f>
        <v>2173.9197778218277</v>
      </c>
      <c r="Y41" s="90">
        <f>'增加值 (2001-2060, 2020RMB)'!Y41*$B$73</f>
        <v>2254.8126139409155</v>
      </c>
      <c r="Z41" s="90">
        <f>'增加值 (2001-2060, 2020RMB)'!Z41*$B$73</f>
        <v>2333.3622664825534</v>
      </c>
      <c r="AA41" s="89">
        <f>'增加值 (2001-2060, 2020RMB)'!AA41*$B$73</f>
        <v>2409.3899620099319</v>
      </c>
      <c r="AB41" s="90">
        <f>'增加值 (2001-2060, 2020RMB)'!AB41*$B$73</f>
        <v>2482.7539005449262</v>
      </c>
      <c r="AC41" s="90">
        <f>'增加值 (2001-2060, 2020RMB)'!AC41*$B$73</f>
        <v>2553.3499295992838</v>
      </c>
      <c r="AD41" s="90">
        <f>'增加值 (2001-2060, 2020RMB)'!AD41*$B$73</f>
        <v>2621.1117056178496</v>
      </c>
      <c r="AE41" s="101">
        <f>'增加值 (2001-2060, 2020RMB)'!AE41*$B$73</f>
        <v>2686.0103889935285</v>
      </c>
      <c r="AF41" s="90">
        <f>'增加值 (2001-2060, 2020RMB)'!AF41*$B$73</f>
        <v>2747.9317273748356</v>
      </c>
      <c r="AG41" s="90">
        <f>'增加值 (2001-2060, 2020RMB)'!AG41*$B$73</f>
        <v>2806.287471875225</v>
      </c>
      <c r="AH41" s="90">
        <f>'增加值 (2001-2060, 2020RMB)'!AH41*$B$73</f>
        <v>2860.3482311404732</v>
      </c>
      <c r="AI41" s="90">
        <f>'增加值 (2001-2060, 2020RMB)'!AI41*$B$73</f>
        <v>2909.368670863847</v>
      </c>
      <c r="AJ41" s="106">
        <f>'增加值 (2001-2060, 2020RMB)'!AJ41*$B$73</f>
        <v>2952.597634571262</v>
      </c>
      <c r="AK41" s="89">
        <f>'增加值 (2001-2060, 2020RMB)'!AK41*$B$73</f>
        <v>2989.4317494864949</v>
      </c>
      <c r="AL41" s="90">
        <f>'增加值 (2001-2060, 2020RMB)'!AL41*$B$73</f>
        <v>3019.8658444957368</v>
      </c>
      <c r="AM41" s="90">
        <f>'增加值 (2001-2060, 2020RMB)'!AM41*$B$73</f>
        <v>3044.0914633265552</v>
      </c>
      <c r="AN41" s="90">
        <f>'增加值 (2001-2060, 2020RMB)'!AN41*$B$73</f>
        <v>3062.3525790820504</v>
      </c>
      <c r="AO41" s="101">
        <f>'增加值 (2001-2060, 2020RMB)'!AO41*$B$73</f>
        <v>3074.9392423241052</v>
      </c>
      <c r="AP41" s="90">
        <f>'增加值 (2001-2060, 2020RMB)'!AP41*$B$73</f>
        <v>3082.1810661818699</v>
      </c>
      <c r="AQ41" s="90">
        <f>'增加值 (2001-2060, 2020RMB)'!AQ41*$B$73</f>
        <v>3084.4407070387133</v>
      </c>
      <c r="AR41" s="90">
        <f>'增加值 (2001-2060, 2020RMB)'!AR41*$B$73</f>
        <v>3082.1074825249743</v>
      </c>
      <c r="AS41" s="90">
        <f>'增加值 (2001-2060, 2020RMB)'!AS41*$B$73</f>
        <v>3075.5912498201014</v>
      </c>
      <c r="AT41" s="90">
        <f>'增加值 (2001-2060, 2020RMB)'!AT41*$B$73</f>
        <v>3065.3166475499374</v>
      </c>
      <c r="AU41" s="89">
        <f>'增加值 (2001-2060, 2020RMB)'!AU41*$B$73</f>
        <v>3051.7177846671916</v>
      </c>
      <c r="AV41" s="90">
        <f>'增加值 (2001-2060, 2020RMB)'!AV41*$B$73</f>
        <v>3035.2334403261434</v>
      </c>
      <c r="AW41" s="90">
        <f>'增加值 (2001-2060, 2020RMB)'!AW41*$B$73</f>
        <v>3016.3028204873935</v>
      </c>
      <c r="AX41" s="90">
        <f>'增加值 (2001-2060, 2020RMB)'!AX41*$B$73</f>
        <v>2995.3619002696882</v>
      </c>
      <c r="AY41" s="101">
        <f>'增加值 (2001-2060, 2020RMB)'!AY41*$B$73</f>
        <v>2972.8403662391916</v>
      </c>
      <c r="AZ41" s="89">
        <f>'增加值 (2001-2060, 2020RMB)'!AZ41*$B$73</f>
        <v>2949.1591601133623</v>
      </c>
      <c r="BA41" s="90">
        <f>'增加值 (2001-2060, 2020RMB)'!BA41*$B$73</f>
        <v>2924.7286148796838</v>
      </c>
      <c r="BB41" s="90">
        <f>'增加值 (2001-2060, 2020RMB)'!BB41*$B$73</f>
        <v>2899.9471661247371</v>
      </c>
      <c r="BC41" s="90">
        <f>'增加值 (2001-2060, 2020RMB)'!BC41*$B$73</f>
        <v>2875.2006154048004</v>
      </c>
      <c r="BD41" s="101">
        <f>'增加值 (2001-2060, 2020RMB)'!BD41*$B$73</f>
        <v>2850.8619186797587</v>
      </c>
      <c r="BE41" s="90">
        <f>'增加值 (2001-2060, 2020RMB)'!BE41*$B$73</f>
        <v>2827.2914710562527</v>
      </c>
      <c r="BF41" s="90">
        <f>'增加值 (2001-2060, 2020RMB)'!BF41*$B$73</f>
        <v>2804.8378592030103</v>
      </c>
      <c r="BG41" s="90">
        <f>'增加值 (2001-2060, 2020RMB)'!BG41*$B$73</f>
        <v>2783.839054661456</v>
      </c>
      <c r="BH41" s="90">
        <f>'增加值 (2001-2060, 2020RMB)'!BH41*$B$73</f>
        <v>2764.6240247391029</v>
      </c>
      <c r="BI41" s="109">
        <f>'增加值 (2001-2060, 2020RMB)'!BI41*$B$73</f>
        <v>2747.5147426175745</v>
      </c>
    </row>
    <row r="42" spans="1:61" x14ac:dyDescent="0.2">
      <c r="A42" s="30" t="s">
        <v>100</v>
      </c>
      <c r="B42" s="19"/>
      <c r="C42" s="20"/>
      <c r="D42" s="20"/>
      <c r="E42" s="20"/>
      <c r="F42" s="21"/>
      <c r="G42" s="19"/>
      <c r="H42" s="20"/>
      <c r="I42" s="20">
        <f>'增加值 (2001-2060, 2020RMB)'!I42*$B$73</f>
        <v>957.48912910180843</v>
      </c>
      <c r="J42" s="20">
        <f>'增加值 (2001-2060, 2020RMB)'!J42*$B$73</f>
        <v>1007.4847756088832</v>
      </c>
      <c r="K42" s="21">
        <f>'增加值 (2001-2060, 2020RMB)'!K42*$B$73</f>
        <v>1190.6924414462044</v>
      </c>
      <c r="L42" s="19">
        <f>'增加值 (2001-2060, 2020RMB)'!L42*$B$73</f>
        <v>1343.1889625419417</v>
      </c>
      <c r="M42" s="20">
        <f>'增加值 (2001-2060, 2020RMB)'!M42*$B$73</f>
        <v>1386.1188711991374</v>
      </c>
      <c r="N42" s="20">
        <f>'增加值 (2001-2060, 2020RMB)'!N42*$B$73</f>
        <v>1437.9007595991709</v>
      </c>
      <c r="O42" s="20">
        <f>'增加值 (2001-2060, 2020RMB)'!O42*$B$73</f>
        <v>1504.0047055880304</v>
      </c>
      <c r="P42" s="20">
        <f>'增加值 (2001-2060, 2020RMB)'!P42*$B$73</f>
        <v>1468.2394548218376</v>
      </c>
      <c r="Q42" s="19">
        <f>'增加值 (2001-2060, 2020RMB)'!Q42*$B$73</f>
        <v>1517.3701234262553</v>
      </c>
      <c r="R42" s="20">
        <f>'增加值 (2001-2060, 2020RMB)'!R42*$B$73</f>
        <v>1697.1667887148062</v>
      </c>
      <c r="S42" s="20">
        <f>'增加值 (2001-2060, 2020RMB)'!S42*$B$73</f>
        <v>1811.5369065308341</v>
      </c>
      <c r="T42" s="20">
        <f>'增加值 (2001-2060, 2020RMB)'!T42*$B$73</f>
        <v>1821.7287125216355</v>
      </c>
      <c r="U42" s="21">
        <f>'增加值 (2001-2060, 2020RMB)'!U42*$B$73</f>
        <v>1852.1517291354023</v>
      </c>
      <c r="V42" s="20">
        <f>'增加值 (2001-2060, 2020RMB)'!V42*$B$73</f>
        <v>2167.5672054910888</v>
      </c>
      <c r="W42" s="20">
        <f>'增加值 (2001-2060, 2020RMB)'!W42*$B$73</f>
        <v>2175.4614760435193</v>
      </c>
      <c r="X42" s="90">
        <f>'增加值 (2001-2060, 2020RMB)'!X42*$B$73</f>
        <v>2265.8487939156553</v>
      </c>
      <c r="Y42" s="90">
        <f>'增加值 (2001-2060, 2020RMB)'!Y42*$B$73</f>
        <v>2354.1830971005056</v>
      </c>
      <c r="Z42" s="90">
        <f>'增加值 (2001-2060, 2020RMB)'!Z42*$B$73</f>
        <v>2440.222223176982</v>
      </c>
      <c r="AA42" s="89">
        <f>'增加值 (2001-2060, 2020RMB)'!AA42*$B$73</f>
        <v>2523.7619666902729</v>
      </c>
      <c r="AB42" s="90">
        <f>'增加值 (2001-2060, 2020RMB)'!AB42*$B$73</f>
        <v>2604.6376920987414</v>
      </c>
      <c r="AC42" s="90">
        <f>'增加值 (2001-2060, 2020RMB)'!AC42*$B$73</f>
        <v>2682.7253393378915</v>
      </c>
      <c r="AD42" s="90">
        <f>'增加值 (2001-2060, 2020RMB)'!AD42*$B$73</f>
        <v>2757.9418579193953</v>
      </c>
      <c r="AE42" s="101">
        <f>'增加值 (2001-2060, 2020RMB)'!AE42*$B$73</f>
        <v>2830.2451170582381</v>
      </c>
      <c r="AF42" s="90">
        <f>'增加值 (2001-2060, 2020RMB)'!AF42*$B$73</f>
        <v>2899.5007882014174</v>
      </c>
      <c r="AG42" s="90">
        <f>'增加值 (2001-2060, 2020RMB)'!AG42*$B$73</f>
        <v>2965.0595520019169</v>
      </c>
      <c r="AH42" s="90">
        <f>'增加值 (2001-2060, 2020RMB)'!AH42*$B$73</f>
        <v>3026.1157289494563</v>
      </c>
      <c r="AI42" s="90">
        <f>'增加值 (2001-2060, 2020RMB)'!AI42*$B$73</f>
        <v>3081.842811645643</v>
      </c>
      <c r="AJ42" s="106">
        <f>'增加值 (2001-2060, 2020RMB)'!AJ42*$B$73</f>
        <v>3131.4046252614767</v>
      </c>
      <c r="AK42" s="89">
        <f>'增加值 (2001-2060, 2020RMB)'!AK42*$B$73</f>
        <v>3174.122466617498</v>
      </c>
      <c r="AL42" s="90">
        <f>'增加值 (2001-2060, 2020RMB)'!AL42*$B$73</f>
        <v>3209.966146952976</v>
      </c>
      <c r="AM42" s="90">
        <f>'增加值 (2001-2060, 2020RMB)'!AM42*$B$73</f>
        <v>3239.1206298327793</v>
      </c>
      <c r="AN42" s="90">
        <f>'增加值 (2001-2060, 2020RMB)'!AN42*$B$73</f>
        <v>3261.8298468941093</v>
      </c>
      <c r="AO42" s="101">
        <f>'增加值 (2001-2060, 2020RMB)'!AO42*$B$73</f>
        <v>3278.3899278035651</v>
      </c>
      <c r="AP42" s="90">
        <f>'增加值 (2001-2060, 2020RMB)'!AP42*$B$73</f>
        <v>3289.1421948517741</v>
      </c>
      <c r="AQ42" s="90">
        <f>'增加值 (2001-2060, 2020RMB)'!AQ42*$B$73</f>
        <v>3294.4661012070133</v>
      </c>
      <c r="AR42" s="90">
        <f>'增加值 (2001-2060, 2020RMB)'!AR42*$B$73</f>
        <v>3294.7722741915582</v>
      </c>
      <c r="AS42" s="90">
        <f>'增加值 (2001-2060, 2020RMB)'!AS42*$B$73</f>
        <v>3290.4958048755602</v>
      </c>
      <c r="AT42" s="90">
        <f>'增加值 (2001-2060, 2020RMB)'!AT42*$B$73</f>
        <v>3282.0899038362327</v>
      </c>
      <c r="AU42" s="89">
        <f>'增加值 (2001-2060, 2020RMB)'!AU42*$B$73</f>
        <v>3270.0200210437579</v>
      </c>
      <c r="AV42" s="90">
        <f>'增加值 (2001-2060, 2020RMB)'!AV42*$B$73</f>
        <v>3254.7585063262409</v>
      </c>
      <c r="AW42" s="90">
        <f>'增加值 (2001-2060, 2020RMB)'!AW42*$B$73</f>
        <v>3236.7798664209927</v>
      </c>
      <c r="AX42" s="90">
        <f>'增加值 (2001-2060, 2020RMB)'!AX42*$B$73</f>
        <v>3216.5566557823781</v>
      </c>
      <c r="AY42" s="101">
        <f>'增加值 (2001-2060, 2020RMB)'!AY42*$B$73</f>
        <v>3194.5560214973375</v>
      </c>
      <c r="AZ42" s="89">
        <f>'增加值 (2001-2060, 2020RMB)'!AZ42*$B$73</f>
        <v>3171.2369081384518</v>
      </c>
      <c r="BA42" s="90">
        <f>'增加值 (2001-2060, 2020RMB)'!BA42*$B$73</f>
        <v>3147.0479163264708</v>
      </c>
      <c r="BB42" s="90">
        <f>'增加值 (2001-2060, 2020RMB)'!BB42*$B$73</f>
        <v>3122.4257992452694</v>
      </c>
      <c r="BC42" s="90">
        <f>'增加值 (2001-2060, 2020RMB)'!BC42*$B$73</f>
        <v>3097.7945743367031</v>
      </c>
      <c r="BD42" s="101">
        <f>'增加值 (2001-2060, 2020RMB)'!BD42*$B$73</f>
        <v>3073.5652228232179</v>
      </c>
      <c r="BE42" s="90">
        <f>'增加值 (2001-2060, 2020RMB)'!BE42*$B$73</f>
        <v>3050.1359474410392</v>
      </c>
      <c r="BF42" s="90">
        <f>'增加值 (2001-2060, 2020RMB)'!BF42*$B$73</f>
        <v>3027.8929586689324</v>
      </c>
      <c r="BG42" s="90">
        <f>'增加值 (2001-2060, 2020RMB)'!BG42*$B$73</f>
        <v>3007.2117616514147</v>
      </c>
      <c r="BH42" s="90">
        <f>'增加值 (2001-2060, 2020RMB)'!BH42*$B$73</f>
        <v>2988.4589197908331</v>
      </c>
      <c r="BI42" s="109">
        <f>'增加值 (2001-2060, 2020RMB)'!BI42*$B$73</f>
        <v>2971.9942764916786</v>
      </c>
    </row>
    <row r="43" spans="1:61" x14ac:dyDescent="0.2">
      <c r="A43" s="30" t="s">
        <v>101</v>
      </c>
      <c r="B43" s="19"/>
      <c r="C43" s="20"/>
      <c r="D43" s="20"/>
      <c r="E43" s="20"/>
      <c r="F43" s="21"/>
      <c r="G43" s="19"/>
      <c r="H43" s="20"/>
      <c r="I43" s="20">
        <f>'增加值 (2001-2060, 2020RMB)'!I43*$B$73</f>
        <v>636.84917179891238</v>
      </c>
      <c r="J43" s="20">
        <f>'增加值 (2001-2060, 2020RMB)'!J43*$B$73</f>
        <v>682.17640383462935</v>
      </c>
      <c r="K43" s="21">
        <f>'增加值 (2001-2060, 2020RMB)'!K43*$B$73</f>
        <v>798.94066636712569</v>
      </c>
      <c r="L43" s="19">
        <f>'增加值 (2001-2060, 2020RMB)'!L43*$B$73</f>
        <v>919.68852177451481</v>
      </c>
      <c r="M43" s="20">
        <f>'增加值 (2001-2060, 2020RMB)'!M43*$B$73</f>
        <v>953.46054365731106</v>
      </c>
      <c r="N43" s="20">
        <f>'增加值 (2001-2060, 2020RMB)'!N43*$B$73</f>
        <v>982.73916071012547</v>
      </c>
      <c r="O43" s="20">
        <f>'增加值 (2001-2060, 2020RMB)'!O43*$B$73</f>
        <v>1007.190217386193</v>
      </c>
      <c r="P43" s="20">
        <f>'增加值 (2001-2060, 2020RMB)'!P43*$B$73</f>
        <v>988.01686580060073</v>
      </c>
      <c r="Q43" s="19">
        <f>'增加值 (2001-2060, 2020RMB)'!Q43*$B$73</f>
        <v>1028.7917095739863</v>
      </c>
      <c r="R43" s="20">
        <f>'增加值 (2001-2060, 2020RMB)'!R43*$B$73</f>
        <v>1164.2331935578331</v>
      </c>
      <c r="S43" s="20">
        <f>'增加值 (2001-2060, 2020RMB)'!S43*$B$73</f>
        <v>1285.5808657429811</v>
      </c>
      <c r="T43" s="20">
        <f>'增加值 (2001-2060, 2020RMB)'!T43*$B$73</f>
        <v>1325.0409909702028</v>
      </c>
      <c r="U43" s="21">
        <f>'增加值 (2001-2060, 2020RMB)'!U43*$B$73</f>
        <v>1362.5508537800022</v>
      </c>
      <c r="V43" s="20">
        <f>'增加值 (2001-2060, 2020RMB)'!V43*$B$73</f>
        <v>1597.4262241195795</v>
      </c>
      <c r="W43" s="20">
        <f>'增加值 (2001-2060, 2020RMB)'!W43*$B$73</f>
        <v>1681.134442521691</v>
      </c>
      <c r="X43" s="90">
        <f>'增加值 (2001-2060, 2020RMB)'!X43*$B$73</f>
        <v>1783.3229973158298</v>
      </c>
      <c r="Y43" s="90">
        <f>'增加值 (2001-2060, 2020RMB)'!Y43*$B$73</f>
        <v>1885.8856858539027</v>
      </c>
      <c r="Z43" s="90">
        <f>'增加值 (2001-2060, 2020RMB)'!Z43*$B$73</f>
        <v>1988.4969924066015</v>
      </c>
      <c r="AA43" s="89">
        <f>'增加值 (2001-2060, 2020RMB)'!AA43*$B$73</f>
        <v>2090.8610076663863</v>
      </c>
      <c r="AB43" s="90">
        <f>'增加值 (2001-2060, 2020RMB)'!AB43*$B$73</f>
        <v>2192.7164262080069</v>
      </c>
      <c r="AC43" s="90">
        <f>'增加值 (2001-2060, 2020RMB)'!AC43*$B$73</f>
        <v>2293.8408803720331</v>
      </c>
      <c r="AD43" s="90">
        <f>'增加值 (2001-2060, 2020RMB)'!AD43*$B$73</f>
        <v>2394.0545902644062</v>
      </c>
      <c r="AE43" s="101">
        <f>'增加值 (2001-2060, 2020RMB)'!AE43*$B$73</f>
        <v>2493.2233345220848</v>
      </c>
      <c r="AF43" s="90">
        <f>'增加值 (2001-2060, 2020RMB)'!AF43*$B$73</f>
        <v>2591.1089909997177</v>
      </c>
      <c r="AG43" s="90">
        <f>'增加值 (2001-2060, 2020RMB)'!AG43*$B$73</f>
        <v>2686.8707838394357</v>
      </c>
      <c r="AH43" s="90">
        <f>'增加值 (2001-2060, 2020RMB)'!AH43*$B$73</f>
        <v>2779.4462487272158</v>
      </c>
      <c r="AI43" s="90">
        <f>'增加值 (2001-2060, 2020RMB)'!AI43*$B$73</f>
        <v>2867.701709687286</v>
      </c>
      <c r="AJ43" s="106">
        <f>'增加值 (2001-2060, 2020RMB)'!AJ43*$B$73</f>
        <v>2950.4459656090376</v>
      </c>
      <c r="AK43" s="89">
        <f>'增加值 (2001-2060, 2020RMB)'!AK43*$B$73</f>
        <v>3026.6289853418921</v>
      </c>
      <c r="AL43" s="90">
        <f>'增加值 (2001-2060, 2020RMB)'!AL43*$B$73</f>
        <v>3095.9399795301269</v>
      </c>
      <c r="AM43" s="90">
        <f>'增加值 (2001-2060, 2020RMB)'!AM43*$B$73</f>
        <v>3158.3316605781774</v>
      </c>
      <c r="AN43" s="90">
        <f>'增加值 (2001-2060, 2020RMB)'!AN43*$B$73</f>
        <v>3213.844226059256</v>
      </c>
      <c r="AO43" s="101">
        <f>'增加值 (2001-2060, 2020RMB)'!AO43*$B$73</f>
        <v>3262.5999935654131</v>
      </c>
      <c r="AP43" s="90">
        <f>'增加值 (2001-2060, 2020RMB)'!AP43*$B$73</f>
        <v>3304.7970181052906</v>
      </c>
      <c r="AQ43" s="90">
        <f>'增加值 (2001-2060, 2020RMB)'!AQ43*$B$73</f>
        <v>3340.7019600692524</v>
      </c>
      <c r="AR43" s="90">
        <f>'增加值 (2001-2060, 2020RMB)'!AR43*$B$73</f>
        <v>3370.6424658585279</v>
      </c>
      <c r="AS43" s="90">
        <f>'增加值 (2001-2060, 2020RMB)'!AS43*$B$73</f>
        <v>3394.9993096307185</v>
      </c>
      <c r="AT43" s="90">
        <f>'增加值 (2001-2060, 2020RMB)'!AT43*$B$73</f>
        <v>3414.1985248909045</v>
      </c>
      <c r="AU43" s="89">
        <f>'增加值 (2001-2060, 2020RMB)'!AU43*$B$73</f>
        <v>3428.7037305297499</v>
      </c>
      <c r="AV43" s="90">
        <f>'增加值 (2001-2060, 2020RMB)'!AV43*$B$73</f>
        <v>3439.0088289991613</v>
      </c>
      <c r="AW43" s="90">
        <f>'增加值 (2001-2060, 2020RMB)'!AW43*$B$73</f>
        <v>3445.6312261268067</v>
      </c>
      <c r="AX43" s="90">
        <f>'增加值 (2001-2060, 2020RMB)'!AX43*$B$73</f>
        <v>3449.1056939393957</v>
      </c>
      <c r="AY43" s="101">
        <f>'增加值 (2001-2060, 2020RMB)'!AY43*$B$73</f>
        <v>3449.9789709357228</v>
      </c>
      <c r="AZ43" s="89">
        <f>'增加值 (2001-2060, 2020RMB)'!AZ43*$B$73</f>
        <v>3448.8051694539008</v>
      </c>
      <c r="BA43" s="90">
        <f>'增加值 (2001-2060, 2020RMB)'!BA43*$B$73</f>
        <v>3446.1420378405369</v>
      </c>
      <c r="BB43" s="90">
        <f>'增加值 (2001-2060, 2020RMB)'!BB43*$B$73</f>
        <v>3442.5481065799718</v>
      </c>
      <c r="BC43" s="90">
        <f>'增加值 (2001-2060, 2020RMB)'!BC43*$B$73</f>
        <v>3438.5807327358511</v>
      </c>
      <c r="BD43" s="101">
        <f>'增加值 (2001-2060, 2020RMB)'!BD43*$B$73</f>
        <v>3434.795046204119</v>
      </c>
      <c r="BE43" s="90">
        <f>'增加值 (2001-2060, 2020RMB)'!BE43*$B$73</f>
        <v>3431.7437944736594</v>
      </c>
      <c r="BF43" s="90">
        <f>'增加值 (2001-2060, 2020RMB)'!BF43*$B$73</f>
        <v>3429.9780798556599</v>
      </c>
      <c r="BG43" s="90">
        <f>'增加值 (2001-2060, 2020RMB)'!BG43*$B$73</f>
        <v>3430.0489844529125</v>
      </c>
      <c r="BH43" s="90">
        <f>'增加值 (2001-2060, 2020RMB)'!BH43*$B$73</f>
        <v>3432.5100834641621</v>
      </c>
      <c r="BI43" s="109">
        <f>'增加值 (2001-2060, 2020RMB)'!BI43*$B$73</f>
        <v>3437.9208567565761</v>
      </c>
    </row>
    <row r="44" spans="1:61" x14ac:dyDescent="0.2">
      <c r="A44" s="30" t="s">
        <v>46</v>
      </c>
      <c r="B44" s="19"/>
      <c r="C44" s="20"/>
      <c r="D44" s="20"/>
      <c r="E44" s="20"/>
      <c r="F44" s="21"/>
      <c r="G44" s="19"/>
      <c r="H44" s="20"/>
      <c r="I44" s="20">
        <f>'增加值 (2001-2060, 2020RMB)'!I44*$B$73</f>
        <v>1184.6348046443532</v>
      </c>
      <c r="J44" s="20">
        <f>'增加值 (2001-2060, 2020RMB)'!J44*$B$73</f>
        <v>1329.5903424186711</v>
      </c>
      <c r="K44" s="21">
        <f>'增加值 (2001-2060, 2020RMB)'!K44*$B$73</f>
        <v>1580.4100986226067</v>
      </c>
      <c r="L44" s="19">
        <f>'增加值 (2001-2060, 2020RMB)'!L44*$B$73</f>
        <v>1700.8156350918027</v>
      </c>
      <c r="M44" s="20">
        <f>'增加值 (2001-2060, 2020RMB)'!M44*$B$73</f>
        <v>1755.1757153883541</v>
      </c>
      <c r="N44" s="20">
        <f>'增加值 (2001-2060, 2020RMB)'!N44*$B$73</f>
        <v>1915.783500409816</v>
      </c>
      <c r="O44" s="20">
        <f>'增加值 (2001-2060, 2020RMB)'!O44*$B$73</f>
        <v>2053.4482547886432</v>
      </c>
      <c r="P44" s="20">
        <f>'增加值 (2001-2060, 2020RMB)'!P44*$B$73</f>
        <v>2078.6458541383354</v>
      </c>
      <c r="Q44" s="19">
        <f>'增加值 (2001-2060, 2020RMB)'!Q44*$B$73</f>
        <v>2342.9399942398995</v>
      </c>
      <c r="R44" s="20">
        <f>'增加值 (2001-2060, 2020RMB)'!R44*$B$73</f>
        <v>2660.8766392878988</v>
      </c>
      <c r="S44" s="20">
        <f>'增加值 (2001-2060, 2020RMB)'!S44*$B$73</f>
        <v>2779.2531419745264</v>
      </c>
      <c r="T44" s="20">
        <f>'增加值 (2001-2060, 2020RMB)'!T44*$B$73</f>
        <v>2727.8977768813766</v>
      </c>
      <c r="U44" s="21">
        <f>'增加值 (2001-2060, 2020RMB)'!U44*$B$73</f>
        <v>2813.0369617424208</v>
      </c>
      <c r="V44" s="20">
        <f>'增加值 (2001-2060, 2020RMB)'!V44*$B$73</f>
        <v>3089.9937233622504</v>
      </c>
      <c r="W44" s="20">
        <f>'增加值 (2001-2060, 2020RMB)'!W44*$B$73</f>
        <v>3336.6660504229862</v>
      </c>
      <c r="X44" s="90">
        <f>'增加值 (2001-2060, 2020RMB)'!X44*$B$73</f>
        <v>3472.1491904819131</v>
      </c>
      <c r="Y44" s="90">
        <f>'增加值 (2001-2060, 2020RMB)'!Y44*$B$73</f>
        <v>3604.3536174461838</v>
      </c>
      <c r="Z44" s="90">
        <f>'增加值 (2001-2060, 2020RMB)'!Z44*$B$73</f>
        <v>3732.9228044802139</v>
      </c>
      <c r="AA44" s="89">
        <f>'增加值 (2001-2060, 2020RMB)'!AA44*$B$73</f>
        <v>3857.5578661202771</v>
      </c>
      <c r="AB44" s="90">
        <f>'增加值 (2001-2060, 2020RMB)'!AB44*$B$73</f>
        <v>3978.019760081304</v>
      </c>
      <c r="AC44" s="90">
        <f>'增加值 (2001-2060, 2020RMB)'!AC44*$B$73</f>
        <v>4094.130585685863</v>
      </c>
      <c r="AD44" s="90">
        <f>'增加值 (2001-2060, 2020RMB)'!AD44*$B$73</f>
        <v>4205.774035718684</v>
      </c>
      <c r="AE44" s="101">
        <f>'增加值 (2001-2060, 2020RMB)'!AE44*$B$73</f>
        <v>4312.8950750666063</v>
      </c>
      <c r="AF44" s="90">
        <f>'增加值 (2001-2060, 2020RMB)'!AF44*$B$73</f>
        <v>4415.299896681764</v>
      </c>
      <c r="AG44" s="90">
        <f>'增加值 (2001-2060, 2020RMB)'!AG44*$B$73</f>
        <v>4512.0220777269997</v>
      </c>
      <c r="AH44" s="90">
        <f>'增加值 (2001-2060, 2020RMB)'!AH44*$B$73</f>
        <v>4601.8629373591648</v>
      </c>
      <c r="AI44" s="90">
        <f>'增加值 (2001-2060, 2020RMB)'!AI44*$B$73</f>
        <v>4683.5952559547577</v>
      </c>
      <c r="AJ44" s="106">
        <f>'增加值 (2001-2060, 2020RMB)'!AJ44*$B$73</f>
        <v>4755.9798956286832</v>
      </c>
      <c r="AK44" s="89">
        <f>'增加值 (2001-2060, 2020RMB)'!AK44*$B$73</f>
        <v>4818.0163580785911</v>
      </c>
      <c r="AL44" s="90">
        <f>'增加值 (2001-2060, 2020RMB)'!AL44*$B$73</f>
        <v>4869.6781762814062</v>
      </c>
      <c r="AM44" s="90">
        <f>'增加值 (2001-2060, 2020RMB)'!AM44*$B$73</f>
        <v>4911.260585594674</v>
      </c>
      <c r="AN44" s="90">
        <f>'增加值 (2001-2060, 2020RMB)'!AN44*$B$73</f>
        <v>4943.1457640833942</v>
      </c>
      <c r="AO44" s="101">
        <f>'增加值 (2001-2060, 2020RMB)'!AO44*$B$73</f>
        <v>4965.7925720676294</v>
      </c>
      <c r="AP44" s="90">
        <f>'增加值 (2001-2060, 2020RMB)'!AP44*$B$73</f>
        <v>4979.7259835345558</v>
      </c>
      <c r="AQ44" s="90">
        <f>'增加值 (2001-2060, 2020RMB)'!AQ44*$B$73</f>
        <v>4985.5264728515558</v>
      </c>
      <c r="AR44" s="90">
        <f>'增加值 (2001-2060, 2020RMB)'!AR44*$B$73</f>
        <v>4983.819593227181</v>
      </c>
      <c r="AS44" s="90">
        <f>'增加值 (2001-2060, 2020RMB)'!AS44*$B$73</f>
        <v>4975.2659530312476</v>
      </c>
      <c r="AT44" s="90">
        <f>'增加值 (2001-2060, 2020RMB)'!AT44*$B$73</f>
        <v>4960.5517639135987</v>
      </c>
      <c r="AU44" s="89">
        <f>'增加值 (2001-2060, 2020RMB)'!AU44*$B$73</f>
        <v>4940.3801020201709</v>
      </c>
      <c r="AV44" s="90">
        <f>'增加值 (2001-2060, 2020RMB)'!AV44*$B$73</f>
        <v>4915.4629916784052</v>
      </c>
      <c r="AW44" s="90">
        <f>'增加值 (2001-2060, 2020RMB)'!AW44*$B$73</f>
        <v>4886.5143906976173</v>
      </c>
      <c r="AX44" s="90">
        <f>'增加值 (2001-2060, 2020RMB)'!AX44*$B$73</f>
        <v>4854.2441286823041</v>
      </c>
      <c r="AY44" s="101">
        <f>'增加值 (2001-2060, 2020RMB)'!AY44*$B$73</f>
        <v>4819.3528250670633</v>
      </c>
      <c r="AZ44" s="89">
        <f>'增加值 (2001-2060, 2020RMB)'!AZ44*$B$73</f>
        <v>4782.5277923396416</v>
      </c>
      <c r="BA44" s="90">
        <f>'增加值 (2001-2060, 2020RMB)'!BA44*$B$73</f>
        <v>4744.4399123477515</v>
      </c>
      <c r="BB44" s="90">
        <f>'增加值 (2001-2060, 2020RMB)'!BB44*$B$73</f>
        <v>4705.7414597622483</v>
      </c>
      <c r="BC44" s="90">
        <f>'增加值 (2001-2060, 2020RMB)'!BC44*$B$73</f>
        <v>4667.0648366570413</v>
      </c>
      <c r="BD44" s="101">
        <f>'增加值 (2001-2060, 2020RMB)'!BD44*$B$73</f>
        <v>4629.0221756351657</v>
      </c>
      <c r="BE44" s="90">
        <f>'增加值 (2001-2060, 2020RMB)'!BE44*$B$73</f>
        <v>4592.2057657914283</v>
      </c>
      <c r="BF44" s="90">
        <f>'增加值 (2001-2060, 2020RMB)'!BF44*$B$73</f>
        <v>4557.1892558281015</v>
      </c>
      <c r="BG44" s="90">
        <f>'增加值 (2001-2060, 2020RMB)'!BG44*$B$73</f>
        <v>4524.5295915939905</v>
      </c>
      <c r="BH44" s="90">
        <f>'增加值 (2001-2060, 2020RMB)'!BH44*$B$73</f>
        <v>4494.7696509710477</v>
      </c>
      <c r="BI44" s="109">
        <f>'增加值 (2001-2060, 2020RMB)'!BI44*$B$73</f>
        <v>4468.4415471900993</v>
      </c>
    </row>
    <row r="45" spans="1:61" x14ac:dyDescent="0.2">
      <c r="A45" s="30" t="s">
        <v>102</v>
      </c>
      <c r="B45" s="19"/>
      <c r="C45" s="20"/>
      <c r="D45" s="20"/>
      <c r="E45" s="20"/>
      <c r="F45" s="21"/>
      <c r="G45" s="19"/>
      <c r="H45" s="20"/>
      <c r="I45" s="20">
        <f>'增加值 (2001-2060, 2020RMB)'!I45*$B$73</f>
        <v>439.16700116624838</v>
      </c>
      <c r="J45" s="20">
        <f>'增加值 (2001-2060, 2020RMB)'!J45*$B$73</f>
        <v>492.90481857395127</v>
      </c>
      <c r="K45" s="21">
        <f>'增加值 (2001-2060, 2020RMB)'!K45*$B$73</f>
        <v>585.88854632995037</v>
      </c>
      <c r="L45" s="19">
        <f>'增加值 (2001-2060, 2020RMB)'!L45*$B$73</f>
        <v>630.52520411484909</v>
      </c>
      <c r="M45" s="20">
        <f>'增加值 (2001-2060, 2020RMB)'!M45*$B$73</f>
        <v>627.86780663475895</v>
      </c>
      <c r="N45" s="20">
        <f>'增加值 (2001-2060, 2020RMB)'!N45*$B$73</f>
        <v>625.07955852316729</v>
      </c>
      <c r="O45" s="20">
        <f>'增加值 (2001-2060, 2020RMB)'!O45*$B$73</f>
        <v>675.39018356764871</v>
      </c>
      <c r="P45" s="20">
        <f>'增加值 (2001-2060, 2020RMB)'!P45*$B$73</f>
        <v>684.31855733125531</v>
      </c>
      <c r="Q45" s="19">
        <f>'增加值 (2001-2060, 2020RMB)'!Q45*$B$73</f>
        <v>689.18639066633614</v>
      </c>
      <c r="R45" s="20">
        <f>'增加值 (2001-2060, 2020RMB)'!R45*$B$73</f>
        <v>740.85280156929605</v>
      </c>
      <c r="S45" s="20">
        <f>'增加值 (2001-2060, 2020RMB)'!S45*$B$73</f>
        <v>776.76236454005254</v>
      </c>
      <c r="T45" s="20">
        <f>'增加值 (2001-2060, 2020RMB)'!T45*$B$73</f>
        <v>804.34925709304082</v>
      </c>
      <c r="U45" s="21">
        <f>'增加值 (2001-2060, 2020RMB)'!U45*$B$73</f>
        <v>775.76461349021258</v>
      </c>
      <c r="V45" s="20">
        <f>'增加值 (2001-2060, 2020RMB)'!V45*$B$73</f>
        <v>875.56611675062425</v>
      </c>
      <c r="W45" s="20">
        <f>'增加值 (2001-2060, 2020RMB)'!W45*$B$73</f>
        <v>910.77433504394821</v>
      </c>
      <c r="X45" s="90">
        <f>'增加值 (2001-2060, 2020RMB)'!X45*$B$73</f>
        <v>937.90651911412692</v>
      </c>
      <c r="Y45" s="90">
        <f>'增加值 (2001-2060, 2020RMB)'!Y45*$B$73</f>
        <v>963.84919591338644</v>
      </c>
      <c r="Z45" s="90">
        <f>'增加值 (2001-2060, 2020RMB)'!Z45*$B$73</f>
        <v>988.55099062480565</v>
      </c>
      <c r="AA45" s="89">
        <f>'增加值 (2001-2060, 2020RMB)'!AA45*$B$73</f>
        <v>1011.9736404839239</v>
      </c>
      <c r="AB45" s="90">
        <f>'增加值 (2001-2060, 2020RMB)'!AB45*$B$73</f>
        <v>1034.091933497032</v>
      </c>
      <c r="AC45" s="90">
        <f>'增加值 (2001-2060, 2020RMB)'!AC45*$B$73</f>
        <v>1054.8934917895651</v>
      </c>
      <c r="AD45" s="90">
        <f>'增加值 (2001-2060, 2020RMB)'!AD45*$B$73</f>
        <v>1074.378416188652</v>
      </c>
      <c r="AE45" s="101">
        <f>'增加值 (2001-2060, 2020RMB)'!AE45*$B$73</f>
        <v>1092.5588102370555</v>
      </c>
      <c r="AF45" s="90">
        <f>'增加值 (2001-2060, 2020RMB)'!AF45*$B$73</f>
        <v>1109.4163839124301</v>
      </c>
      <c r="AG45" s="90">
        <f>'增加值 (2001-2060, 2020RMB)'!AG45*$B$73</f>
        <v>1124.7716626052631</v>
      </c>
      <c r="AH45" s="90">
        <f>'增加值 (2001-2060, 2020RMB)'!AH45*$B$73</f>
        <v>1138.4020313099152</v>
      </c>
      <c r="AI45" s="90">
        <f>'增加值 (2001-2060, 2020RMB)'!AI45*$B$73</f>
        <v>1150.0849709742436</v>
      </c>
      <c r="AJ45" s="106">
        <f>'增加值 (2001-2060, 2020RMB)'!AJ45*$B$73</f>
        <v>1159.6011317541197</v>
      </c>
      <c r="AK45" s="89">
        <f>'增加值 (2001-2060, 2020RMB)'!AK45*$B$73</f>
        <v>1166.7862446529423</v>
      </c>
      <c r="AL45" s="90">
        <f>'增加值 (2001-2060, 2020RMB)'!AL45*$B$73</f>
        <v>1171.6819338364962</v>
      </c>
      <c r="AM45" s="90">
        <f>'增加值 (2001-2060, 2020RMB)'!AM45*$B$73</f>
        <v>1174.3939113954793</v>
      </c>
      <c r="AN45" s="90">
        <f>'增加值 (2001-2060, 2020RMB)'!AN45*$B$73</f>
        <v>1175.0418485559005</v>
      </c>
      <c r="AO45" s="101">
        <f>'增加值 (2001-2060, 2020RMB)'!AO45*$B$73</f>
        <v>1173.7570779349678</v>
      </c>
      <c r="AP45" s="90">
        <f>'增加值 (2001-2060, 2020RMB)'!AP45*$B$73</f>
        <v>1170.6803332389677</v>
      </c>
      <c r="AQ45" s="90">
        <f>'增加值 (2001-2060, 2020RMB)'!AQ45*$B$73</f>
        <v>1165.9595676160295</v>
      </c>
      <c r="AR45" s="90">
        <f>'增加值 (2001-2060, 2020RMB)'!AR45*$B$73</f>
        <v>1159.7478856394273</v>
      </c>
      <c r="AS45" s="90">
        <f>'增加值 (2001-2060, 2020RMB)'!AS45*$B$73</f>
        <v>1152.2016175273473</v>
      </c>
      <c r="AT45" s="90">
        <f>'增加值 (2001-2060, 2020RMB)'!AT45*$B$73</f>
        <v>1143.4785579211</v>
      </c>
      <c r="AU45" s="89">
        <f>'增加值 (2001-2060, 2020RMB)'!AU45*$B$73</f>
        <v>1133.7363855303333</v>
      </c>
      <c r="AV45" s="90">
        <f>'增加值 (2001-2060, 2020RMB)'!AV45*$B$73</f>
        <v>1123.1312743594351</v>
      </c>
      <c r="AW45" s="90">
        <f>'增加值 (2001-2060, 2020RMB)'!AW45*$B$73</f>
        <v>1111.8167021668494</v>
      </c>
      <c r="AX45" s="90">
        <f>'增加值 (2001-2060, 2020RMB)'!AX45*$B$73</f>
        <v>1099.9424573576875</v>
      </c>
      <c r="AY45" s="101">
        <f>'增加值 (2001-2060, 2020RMB)'!AY45*$B$73</f>
        <v>1087.6538417172101</v>
      </c>
      <c r="AZ45" s="89">
        <f>'增加值 (2001-2060, 2020RMB)'!AZ45*$B$73</f>
        <v>1075.0910632794632</v>
      </c>
      <c r="BA45" s="90">
        <f>'增加值 (2001-2060, 2020RMB)'!BA45*$B$73</f>
        <v>1062.388811188112</v>
      </c>
      <c r="BB45" s="90">
        <f>'增加值 (2001-2060, 2020RMB)'!BB45*$B$73</f>
        <v>1049.6760026244383</v>
      </c>
      <c r="BC45" s="90">
        <f>'增加值 (2001-2060, 2020RMB)'!BC45*$B$73</f>
        <v>1037.0756907142404</v>
      </c>
      <c r="BD45" s="101">
        <f>'增加值 (2001-2060, 2020RMB)'!BD45*$B$73</f>
        <v>1024.7051217356814</v>
      </c>
      <c r="BE45" s="90">
        <f>'增加值 (2001-2060, 2020RMB)'!BE45*$B$73</f>
        <v>1012.6759298822694</v>
      </c>
      <c r="BF45" s="90">
        <f>'增加值 (2001-2060, 2020RMB)'!BF45*$B$73</f>
        <v>1001.0944582352979</v>
      </c>
      <c r="BG45" s="90">
        <f>'增加值 (2001-2060, 2020RMB)'!BG45*$B$73</f>
        <v>990.06219541552855</v>
      </c>
      <c r="BH45" s="90">
        <f>'增加值 (2001-2060, 2020RMB)'!BH45*$B$73</f>
        <v>979.67631856568414</v>
      </c>
      <c r="BI45" s="109">
        <f>'增加值 (2001-2060, 2020RMB)'!BI45*$B$73</f>
        <v>970.03033482042849</v>
      </c>
    </row>
    <row r="46" spans="1:61" x14ac:dyDescent="0.2">
      <c r="A46" s="30" t="s">
        <v>103</v>
      </c>
      <c r="B46" s="19"/>
      <c r="C46" s="20"/>
      <c r="D46" s="20"/>
      <c r="E46" s="20"/>
      <c r="F46" s="21"/>
      <c r="G46" s="19"/>
      <c r="H46" s="20"/>
      <c r="I46" s="20">
        <f>'增加值 (2001-2060, 2020RMB)'!I46*$B$73</f>
        <v>1217.5195160253679</v>
      </c>
      <c r="J46" s="20">
        <f>'增加值 (2001-2060, 2020RMB)'!J46*$B$73</f>
        <v>1292.6341207581518</v>
      </c>
      <c r="K46" s="21">
        <f>'增加值 (2001-2060, 2020RMB)'!K46*$B$73</f>
        <v>1490.0363414785679</v>
      </c>
      <c r="L46" s="19">
        <f>'增加值 (2001-2060, 2020RMB)'!L46*$B$73</f>
        <v>1639.350314270589</v>
      </c>
      <c r="M46" s="20">
        <f>'增加值 (2001-2060, 2020RMB)'!M46*$B$73</f>
        <v>1712.0343556535668</v>
      </c>
      <c r="N46" s="20">
        <f>'增加值 (2001-2060, 2020RMB)'!N46*$B$73</f>
        <v>1803.6398418356748</v>
      </c>
      <c r="O46" s="20">
        <f>'增加值 (2001-2060, 2020RMB)'!O46*$B$73</f>
        <v>1891.7453428330407</v>
      </c>
      <c r="P46" s="20">
        <f>'增加值 (2001-2060, 2020RMB)'!P46*$B$73</f>
        <v>1925.726984191494</v>
      </c>
      <c r="Q46" s="19">
        <f>'增加值 (2001-2060, 2020RMB)'!Q46*$B$73</f>
        <v>2039.0277316223494</v>
      </c>
      <c r="R46" s="20">
        <f>'增加值 (2001-2060, 2020RMB)'!R46*$B$73</f>
        <v>2282.7007277873363</v>
      </c>
      <c r="S46" s="20">
        <f>'增加值 (2001-2060, 2020RMB)'!S46*$B$73</f>
        <v>2438.8021860920107</v>
      </c>
      <c r="T46" s="20">
        <f>'增加值 (2001-2060, 2020RMB)'!T46*$B$73</f>
        <v>2603.0134076603781</v>
      </c>
      <c r="U46" s="21">
        <f>'增加值 (2001-2060, 2020RMB)'!U46*$B$73</f>
        <v>2742.170325969631</v>
      </c>
      <c r="V46" s="20">
        <f>'增加值 (2001-2060, 2020RMB)'!V46*$B$73</f>
        <v>3334.778314369561</v>
      </c>
      <c r="W46" s="20">
        <f>'增加值 (2001-2060, 2020RMB)'!W46*$B$73</f>
        <v>3790.6958165959172</v>
      </c>
      <c r="X46" s="90">
        <f>'增加值 (2001-2060, 2020RMB)'!X46*$B$73</f>
        <v>4095.4063140633407</v>
      </c>
      <c r="Y46" s="90">
        <f>'增加值 (2001-2060, 2020RMB)'!Y46*$B$73</f>
        <v>4408.2393891497113</v>
      </c>
      <c r="Z46" s="90">
        <f>'增加值 (2001-2060, 2020RMB)'!Z46*$B$73</f>
        <v>4728.3096642695164</v>
      </c>
      <c r="AA46" s="89">
        <f>'增加值 (2001-2060, 2020RMB)'!AA46*$B$73</f>
        <v>5054.7731144907957</v>
      </c>
      <c r="AB46" s="90">
        <f>'增加值 (2001-2060, 2020RMB)'!AB46*$B$73</f>
        <v>5386.8500526208991</v>
      </c>
      <c r="AC46" s="90">
        <f>'增加值 (2001-2060, 2020RMB)'!AC46*$B$73</f>
        <v>5723.8470554875366</v>
      </c>
      <c r="AD46" s="90">
        <f>'增加值 (2001-2060, 2020RMB)'!AD46*$B$73</f>
        <v>6065.1775398272111</v>
      </c>
      <c r="AE46" s="101">
        <f>'增加值 (2001-2060, 2020RMB)'!AE46*$B$73</f>
        <v>6410.3807941177738</v>
      </c>
      <c r="AF46" s="90">
        <f>'增加值 (2001-2060, 2020RMB)'!AF46*$B$73</f>
        <v>6758.6571666223217</v>
      </c>
      <c r="AG46" s="90">
        <f>'增加值 (2001-2060, 2020RMB)'!AG46*$B$73</f>
        <v>7107.2372379948711</v>
      </c>
      <c r="AH46" s="90">
        <f>'增加值 (2001-2060, 2020RMB)'!AH46*$B$73</f>
        <v>7452.4926589227262</v>
      </c>
      <c r="AI46" s="90">
        <f>'增加值 (2001-2060, 2020RMB)'!AI46*$B$73</f>
        <v>7790.3899072530685</v>
      </c>
      <c r="AJ46" s="106">
        <f>'增加值 (2001-2060, 2020RMB)'!AJ46*$B$73</f>
        <v>8116.5275809497552</v>
      </c>
      <c r="AK46" s="89">
        <f>'增加值 (2001-2060, 2020RMB)'!AK46*$B$73</f>
        <v>8426.7923372852583</v>
      </c>
      <c r="AL46" s="90">
        <f>'增加值 (2001-2060, 2020RMB)'!AL46*$B$73</f>
        <v>8719.4009759380006</v>
      </c>
      <c r="AM46" s="90">
        <f>'增加值 (2001-2060, 2020RMB)'!AM46*$B$73</f>
        <v>8993.4370394772268</v>
      </c>
      <c r="AN46" s="90">
        <f>'增加值 (2001-2060, 2020RMB)'!AN46*$B$73</f>
        <v>9248.2975320399491</v>
      </c>
      <c r="AO46" s="101">
        <f>'增加值 (2001-2060, 2020RMB)'!AO46*$B$73</f>
        <v>9483.6886780857421</v>
      </c>
      <c r="AP46" s="90">
        <f>'增加值 (2001-2060, 2020RMB)'!AP46*$B$73</f>
        <v>9699.6159938231849</v>
      </c>
      <c r="AQ46" s="90">
        <f>'增加值 (2001-2060, 2020RMB)'!AQ46*$B$73</f>
        <v>9896.369556525171</v>
      </c>
      <c r="AR46" s="90">
        <f>'增加值 (2001-2060, 2020RMB)'!AR46*$B$73</f>
        <v>10074.505427449878</v>
      </c>
      <c r="AS46" s="90">
        <f>'增加值 (2001-2060, 2020RMB)'!AS46*$B$73</f>
        <v>10234.824212315383</v>
      </c>
      <c r="AT46" s="90">
        <f>'增加值 (2001-2060, 2020RMB)'!AT46*$B$73</f>
        <v>10378.347734159719</v>
      </c>
      <c r="AU46" s="89">
        <f>'增加值 (2001-2060, 2020RMB)'!AU46*$B$73</f>
        <v>10506.294753037544</v>
      </c>
      <c r="AV46" s="90">
        <f>'增加值 (2001-2060, 2020RMB)'!AV46*$B$73</f>
        <v>10620.056602094028</v>
      </c>
      <c r="AW46" s="90">
        <f>'增加值 (2001-2060, 2020RMB)'!AW46*$B$73</f>
        <v>10721.173527065666</v>
      </c>
      <c r="AX46" s="90">
        <f>'增加值 (2001-2060, 2020RMB)'!AX46*$B$73</f>
        <v>10811.312422973671</v>
      </c>
      <c r="AY46" s="101">
        <f>'增加值 (2001-2060, 2020RMB)'!AY46*$B$73</f>
        <v>10892.246564027646</v>
      </c>
      <c r="AZ46" s="89">
        <f>'增加值 (2001-2060, 2020RMB)'!AZ46*$B$73</f>
        <v>10965.837826220992</v>
      </c>
      <c r="BA46" s="90">
        <f>'增加值 (2001-2060, 2020RMB)'!BA46*$B$73</f>
        <v>11034.021811670324</v>
      </c>
      <c r="BB46" s="90">
        <f>'增加值 (2001-2060, 2020RMB)'!BB46*$B$73</f>
        <v>11098.796203506845</v>
      </c>
      <c r="BC46" s="90">
        <f>'增加值 (2001-2060, 2020RMB)'!BC46*$B$73</f>
        <v>11162.21261335439</v>
      </c>
      <c r="BD46" s="101">
        <f>'增加值 (2001-2060, 2020RMB)'!BD46*$B$73</f>
        <v>11226.372132700748</v>
      </c>
      <c r="BE46" s="90">
        <f>'增加值 (2001-2060, 2020RMB)'!BE46*$B$73</f>
        <v>11293.424766783482</v>
      </c>
      <c r="BF46" s="90">
        <f>'增加值 (2001-2060, 2020RMB)'!BF46*$B$73</f>
        <v>11365.572916537207</v>
      </c>
      <c r="BG46" s="90">
        <f>'增加值 (2001-2060, 2020RMB)'!BG46*$B$73</f>
        <v>11445.079082030423</v>
      </c>
      <c r="BH46" s="90">
        <f>'增加值 (2001-2060, 2020RMB)'!BH46*$B$73</f>
        <v>11534.277990966459</v>
      </c>
      <c r="BI46" s="109">
        <f>'增加值 (2001-2060, 2020RMB)'!BI46*$B$73</f>
        <v>11635.593409756733</v>
      </c>
    </row>
    <row r="47" spans="1:61" x14ac:dyDescent="0.2">
      <c r="A47" s="30" t="s">
        <v>104</v>
      </c>
      <c r="B47" s="19"/>
      <c r="C47" s="20"/>
      <c r="D47" s="20"/>
      <c r="E47" s="20"/>
      <c r="F47" s="21"/>
      <c r="G47" s="19"/>
      <c r="H47" s="20"/>
      <c r="I47" s="20">
        <f>'增加值 (2001-2060, 2020RMB)'!I47*$B$73</f>
        <v>1706.6024804589906</v>
      </c>
      <c r="J47" s="20">
        <f>'增加值 (2001-2060, 2020RMB)'!J47*$B$73</f>
        <v>1703.5010482581254</v>
      </c>
      <c r="K47" s="21">
        <f>'增加值 (2001-2060, 2020RMB)'!K47*$B$73</f>
        <v>1933.8707410286615</v>
      </c>
      <c r="L47" s="19">
        <f>'增加值 (2001-2060, 2020RMB)'!L47*$B$73</f>
        <v>2153.675657808727</v>
      </c>
      <c r="M47" s="20">
        <f>'增加值 (2001-2060, 2020RMB)'!M47*$B$73</f>
        <v>2298.3702505757124</v>
      </c>
      <c r="N47" s="20">
        <f>'增加值 (2001-2060, 2020RMB)'!N47*$B$73</f>
        <v>2430.0821452448795</v>
      </c>
      <c r="O47" s="20">
        <f>'增加值 (2001-2060, 2020RMB)'!O47*$B$73</f>
        <v>2614.0226283800762</v>
      </c>
      <c r="P47" s="20">
        <f>'增加值 (2001-2060, 2020RMB)'!P47*$B$73</f>
        <v>2740.3367900106496</v>
      </c>
      <c r="Q47" s="19">
        <f>'增加值 (2001-2060, 2020RMB)'!Q47*$B$73</f>
        <v>2941.6791661197531</v>
      </c>
      <c r="R47" s="20">
        <f>'增加值 (2001-2060, 2020RMB)'!R47*$B$73</f>
        <v>3388.5062004678171</v>
      </c>
      <c r="S47" s="20">
        <f>'增加值 (2001-2060, 2020RMB)'!S47*$B$73</f>
        <v>3815.9156485707945</v>
      </c>
      <c r="T47" s="20">
        <f>'增加值 (2001-2060, 2020RMB)'!T47*$B$73</f>
        <v>4021.3431733748421</v>
      </c>
      <c r="U47" s="21">
        <f>'增加值 (2001-2060, 2020RMB)'!U47*$B$73</f>
        <v>4189.6426485802067</v>
      </c>
      <c r="V47" s="20">
        <f>'增加值 (2001-2060, 2020RMB)'!V47*$B$73</f>
        <v>5047.07826989772</v>
      </c>
      <c r="W47" s="20">
        <f>'增加值 (2001-2060, 2020RMB)'!W47*$B$73</f>
        <v>5516.6342563589078</v>
      </c>
      <c r="X47" s="90">
        <f>'增加值 (2001-2060, 2020RMB)'!X47*$B$73</f>
        <v>5964.7472678880622</v>
      </c>
      <c r="Y47" s="90">
        <f>'增加值 (2001-2060, 2020RMB)'!Y47*$B$73</f>
        <v>6426.9376217107301</v>
      </c>
      <c r="Z47" s="90">
        <f>'增加值 (2001-2060, 2020RMB)'!Z47*$B$73</f>
        <v>6901.5884490275475</v>
      </c>
      <c r="AA47" s="89">
        <f>'增加值 (2001-2060, 2020RMB)'!AA47*$B$73</f>
        <v>7386.9595310781424</v>
      </c>
      <c r="AB47" s="90">
        <f>'增加值 (2001-2060, 2020RMB)'!AB47*$B$73</f>
        <v>7881.2085949229668</v>
      </c>
      <c r="AC47" s="90">
        <f>'增加值 (2001-2060, 2020RMB)'!AC47*$B$73</f>
        <v>8382.4142307453967</v>
      </c>
      <c r="AD47" s="90">
        <f>'增加值 (2001-2060, 2020RMB)'!AD47*$B$73</f>
        <v>8888.5999597681748</v>
      </c>
      <c r="AE47" s="101">
        <f>'增加值 (2001-2060, 2020RMB)'!AE47*$B$73</f>
        <v>9397.7589681927529</v>
      </c>
      <c r="AF47" s="90">
        <f>'增加值 (2001-2060, 2020RMB)'!AF47*$B$73</f>
        <v>9908.0465574402733</v>
      </c>
      <c r="AG47" s="90">
        <f>'增加值 (2001-2060, 2020RMB)'!AG47*$B$73</f>
        <v>10418.376324282972</v>
      </c>
      <c r="AH47" s="90">
        <f>'增加值 (2001-2060, 2020RMB)'!AH47*$B$73</f>
        <v>10928.061284298617</v>
      </c>
      <c r="AI47" s="90">
        <f>'增加值 (2001-2060, 2020RMB)'!AI47*$B$73</f>
        <v>11436.683331695314</v>
      </c>
      <c r="AJ47" s="106">
        <f>'增加值 (2001-2060, 2020RMB)'!AJ47*$B$73</f>
        <v>11944.109531804219</v>
      </c>
      <c r="AK47" s="89">
        <f>'增加值 (2001-2060, 2020RMB)'!AK47*$B$73</f>
        <v>12450.241570510825</v>
      </c>
      <c r="AL47" s="90">
        <f>'增加值 (2001-2060, 2020RMB)'!AL47*$B$73</f>
        <v>12954.149539120372</v>
      </c>
      <c r="AM47" s="90">
        <f>'增加值 (2001-2060, 2020RMB)'!AM47*$B$73</f>
        <v>13454.723217860374</v>
      </c>
      <c r="AN47" s="90">
        <f>'增加值 (2001-2060, 2020RMB)'!AN47*$B$73</f>
        <v>13950.923935737954</v>
      </c>
      <c r="AO47" s="101">
        <f>'增加值 (2001-2060, 2020RMB)'!AO47*$B$73</f>
        <v>14441.793166108322</v>
      </c>
      <c r="AP47" s="90">
        <f>'增加值 (2001-2060, 2020RMB)'!AP47*$B$73</f>
        <v>14926.460109701187</v>
      </c>
      <c r="AQ47" s="90">
        <f>'增加值 (2001-2060, 2020RMB)'!AQ47*$B$73</f>
        <v>15404.148231784289</v>
      </c>
      <c r="AR47" s="90">
        <f>'增加值 (2001-2060, 2020RMB)'!AR47*$B$73</f>
        <v>15874.180740670847</v>
      </c>
      <c r="AS47" s="90">
        <f>'增加值 (2001-2060, 2020RMB)'!AS47*$B$73</f>
        <v>16335.985014307982</v>
      </c>
      <c r="AT47" s="90">
        <f>'增加值 (2001-2060, 2020RMB)'!AT47*$B$73</f>
        <v>16789.095999880181</v>
      </c>
      <c r="AU47" s="89">
        <f>'增加值 (2001-2060, 2020RMB)'!AU47*$B$73</f>
        <v>17233.158627975568</v>
      </c>
      <c r="AV47" s="90">
        <f>'增加值 (2001-2060, 2020RMB)'!AV47*$B$73</f>
        <v>17667.929297701059</v>
      </c>
      <c r="AW47" s="90">
        <f>'增加值 (2001-2060, 2020RMB)'!AW47*$B$73</f>
        <v>18093.276502062257</v>
      </c>
      <c r="AX47" s="90">
        <f>'增加值 (2001-2060, 2020RMB)'!AX47*$B$73</f>
        <v>18509.180673888121</v>
      </c>
      <c r="AY47" s="101">
        <f>'增加值 (2001-2060, 2020RMB)'!AY47*$B$73</f>
        <v>18915.733341565501</v>
      </c>
      <c r="AZ47" s="89">
        <f>'增加值 (2001-2060, 2020RMB)'!AZ47*$B$73</f>
        <v>19313.135690909388</v>
      </c>
      <c r="BA47" s="90">
        <f>'增加值 (2001-2060, 2020RMB)'!BA47*$B$73</f>
        <v>19701.696634714015</v>
      </c>
      <c r="BB47" s="90">
        <f>'增加值 (2001-2060, 2020RMB)'!BB47*$B$73</f>
        <v>20081.830495055616</v>
      </c>
      <c r="BC47" s="90">
        <f>'增加值 (2001-2060, 2020RMB)'!BC47*$B$73</f>
        <v>20454.054405403473</v>
      </c>
      <c r="BD47" s="101">
        <f>'增加值 (2001-2060, 2020RMB)'!BD47*$B$73</f>
        <v>20818.985540248144</v>
      </c>
      <c r="BE47" s="90">
        <f>'增加值 (2001-2060, 2020RMB)'!BE47*$B$73</f>
        <v>21177.33827947891</v>
      </c>
      <c r="BF47" s="90">
        <f>'增加值 (2001-2060, 2020RMB)'!BF47*$B$73</f>
        <v>21529.92141337588</v>
      </c>
      <c r="BG47" s="90">
        <f>'增加值 (2001-2060, 2020RMB)'!BG47*$B$73</f>
        <v>21877.635492051828</v>
      </c>
      <c r="BH47" s="90">
        <f>'增加值 (2001-2060, 2020RMB)'!BH47*$B$73</f>
        <v>22221.470420738828</v>
      </c>
      <c r="BI47" s="109">
        <f>'增加值 (2001-2060, 2020RMB)'!BI47*$B$73</f>
        <v>22562.503399697955</v>
      </c>
    </row>
    <row r="48" spans="1:61" x14ac:dyDescent="0.2">
      <c r="A48" s="30" t="s">
        <v>105</v>
      </c>
      <c r="B48" s="19"/>
      <c r="C48" s="20"/>
      <c r="D48" s="20"/>
      <c r="E48" s="20"/>
      <c r="F48" s="21"/>
      <c r="G48" s="19"/>
      <c r="H48" s="20"/>
      <c r="I48" s="20">
        <f>'增加值 (2001-2060, 2020RMB)'!I48*$B$73</f>
        <v>174.94890796108089</v>
      </c>
      <c r="J48" s="20">
        <f>'增加值 (2001-2060, 2020RMB)'!J48*$B$73</f>
        <v>169.15820543043426</v>
      </c>
      <c r="K48" s="21">
        <f>'增加值 (2001-2060, 2020RMB)'!K48*$B$73</f>
        <v>196.46933500099175</v>
      </c>
      <c r="L48" s="19">
        <f>'增加值 (2001-2060, 2020RMB)'!L48*$B$73</f>
        <v>219.55529259720151</v>
      </c>
      <c r="M48" s="20">
        <f>'增加值 (2001-2060, 2020RMB)'!M48*$B$73</f>
        <v>235.35118038279785</v>
      </c>
      <c r="N48" s="20">
        <f>'增加值 (2001-2060, 2020RMB)'!N48*$B$73</f>
        <v>249.50909097016776</v>
      </c>
      <c r="O48" s="20">
        <f>'增加值 (2001-2060, 2020RMB)'!O48*$B$73</f>
        <v>261.69729116037337</v>
      </c>
      <c r="P48" s="20">
        <f>'增加值 (2001-2060, 2020RMB)'!P48*$B$73</f>
        <v>261.68098067397437</v>
      </c>
      <c r="Q48" s="19">
        <f>'增加值 (2001-2060, 2020RMB)'!Q48*$B$73</f>
        <v>279.37539782966684</v>
      </c>
      <c r="R48" s="20">
        <f>'增加值 (2001-2060, 2020RMB)'!R48*$B$73</f>
        <v>318.13496199016924</v>
      </c>
      <c r="S48" s="20">
        <f>'增加值 (2001-2060, 2020RMB)'!S48*$B$73</f>
        <v>336.40604594488298</v>
      </c>
      <c r="T48" s="20">
        <f>'增加值 (2001-2060, 2020RMB)'!T48*$B$73</f>
        <v>358.40848198921412</v>
      </c>
      <c r="U48" s="21">
        <f>'增加值 (2001-2060, 2020RMB)'!U48*$B$73</f>
        <v>358.49983471901351</v>
      </c>
      <c r="V48" s="20">
        <f>'增加值 (2001-2060, 2020RMB)'!V48*$B$73</f>
        <v>418.05813758237923</v>
      </c>
      <c r="W48" s="20">
        <f>'增加值 (2001-2060, 2020RMB)'!W48*$B$73</f>
        <v>444.2119594191438</v>
      </c>
      <c r="X48" s="90">
        <f>'增加值 (2001-2060, 2020RMB)'!X48*$B$73</f>
        <v>469.33498036316786</v>
      </c>
      <c r="Y48" s="90">
        <f>'增加值 (2001-2060, 2020RMB)'!Y48*$B$73</f>
        <v>494.51268717194063</v>
      </c>
      <c r="Z48" s="90">
        <f>'增加值 (2001-2060, 2020RMB)'!Z48*$B$73</f>
        <v>519.64165462139943</v>
      </c>
      <c r="AA48" s="89">
        <f>'增加值 (2001-2060, 2020RMB)'!AA48*$B$73</f>
        <v>544.61882381892099</v>
      </c>
      <c r="AB48" s="90">
        <f>'增加值 (2001-2060, 2020RMB)'!AB48*$B$73</f>
        <v>569.34259813805227</v>
      </c>
      <c r="AC48" s="90">
        <f>'增加值 (2001-2060, 2020RMB)'!AC48*$B$73</f>
        <v>593.71390124256277</v>
      </c>
      <c r="AD48" s="90">
        <f>'增加值 (2001-2060, 2020RMB)'!AD48*$B$73</f>
        <v>617.63718072467509</v>
      </c>
      <c r="AE48" s="101">
        <f>'增加值 (2001-2060, 2020RMB)'!AE48*$B$73</f>
        <v>641.02134263266794</v>
      </c>
      <c r="AF48" s="90">
        <f>'增加值 (2001-2060, 2020RMB)'!AF48*$B$73</f>
        <v>663.78704592837153</v>
      </c>
      <c r="AG48" s="90">
        <f>'增加值 (2001-2060, 2020RMB)'!AG48*$B$73</f>
        <v>685.88850218512493</v>
      </c>
      <c r="AH48" s="90">
        <f>'增加值 (2001-2060, 2020RMB)'!AH48*$B$73</f>
        <v>707.29761719493456</v>
      </c>
      <c r="AI48" s="90">
        <f>'增加值 (2001-2060, 2020RMB)'!AI48*$B$73</f>
        <v>727.99809918691381</v>
      </c>
      <c r="AJ48" s="106">
        <f>'增加值 (2001-2060, 2020RMB)'!AJ48*$B$73</f>
        <v>747.98541471077829</v>
      </c>
      <c r="AK48" s="89">
        <f>'增加值 (2001-2060, 2020RMB)'!AK48*$B$73</f>
        <v>767.25809498590581</v>
      </c>
      <c r="AL48" s="90">
        <f>'增加值 (2001-2060, 2020RMB)'!AL48*$B$73</f>
        <v>785.79024196962598</v>
      </c>
      <c r="AM48" s="90">
        <f>'增加值 (2001-2060, 2020RMB)'!AM48*$B$73</f>
        <v>803.55405909599892</v>
      </c>
      <c r="AN48" s="90">
        <f>'增加值 (2001-2060, 2020RMB)'!AN48*$B$73</f>
        <v>820.52798142495828</v>
      </c>
      <c r="AO48" s="101">
        <f>'增加值 (2001-2060, 2020RMB)'!AO48*$B$73</f>
        <v>836.69665799314123</v>
      </c>
      <c r="AP48" s="90">
        <f>'增加值 (2001-2060, 2020RMB)'!AP48*$B$73</f>
        <v>852.05087687215337</v>
      </c>
      <c r="AQ48" s="90">
        <f>'增加值 (2001-2060, 2020RMB)'!AQ48*$B$73</f>
        <v>866.58743806350822</v>
      </c>
      <c r="AR48" s="90">
        <f>'增加值 (2001-2060, 2020RMB)'!AR48*$B$73</f>
        <v>880.30897984724402</v>
      </c>
      <c r="AS48" s="90">
        <f>'增加值 (2001-2060, 2020RMB)'!AS48*$B$73</f>
        <v>893.22376455177596</v>
      </c>
      <c r="AT48" s="90">
        <f>'增加值 (2001-2060, 2020RMB)'!AT48*$B$73</f>
        <v>905.3454299325017</v>
      </c>
      <c r="AU48" s="89">
        <f>'增加值 (2001-2060, 2020RMB)'!AU48*$B$73</f>
        <v>916.69271244395077</v>
      </c>
      <c r="AV48" s="90">
        <f>'增加值 (2001-2060, 2020RMB)'!AV48*$B$73</f>
        <v>927.28914867611752</v>
      </c>
      <c r="AW48" s="90">
        <f>'增加值 (2001-2060, 2020RMB)'!AW48*$B$73</f>
        <v>937.16276111177194</v>
      </c>
      <c r="AX48" s="90">
        <f>'增加值 (2001-2060, 2020RMB)'!AX48*$B$73</f>
        <v>946.34573416179512</v>
      </c>
      <c r="AY48" s="101">
        <f>'增加值 (2001-2060, 2020RMB)'!AY48*$B$73</f>
        <v>954.87408616382027</v>
      </c>
      <c r="AZ48" s="89">
        <f>'增加值 (2001-2060, 2020RMB)'!AZ48*$B$73</f>
        <v>962.78734270000143</v>
      </c>
      <c r="BA48" s="90">
        <f>'增加值 (2001-2060, 2020RMB)'!BA48*$B$73</f>
        <v>970.12821621687112</v>
      </c>
      <c r="BB48" s="90">
        <f>'增加值 (2001-2060, 2020RMB)'!BB48*$B$73</f>
        <v>976.94229652761851</v>
      </c>
      <c r="BC48" s="90">
        <f>'增加值 (2001-2060, 2020RMB)'!BC48*$B$73</f>
        <v>983.27775635803448</v>
      </c>
      <c r="BD48" s="101">
        <f>'增加值 (2001-2060, 2020RMB)'!BD48*$B$73</f>
        <v>989.18507567371125</v>
      </c>
      <c r="BE48" s="90">
        <f>'增加值 (2001-2060, 2020RMB)'!BE48*$B$73</f>
        <v>994.71678810940125</v>
      </c>
      <c r="BF48" s="90">
        <f>'增加值 (2001-2060, 2020RMB)'!BF48*$B$73</f>
        <v>999.92725242152767</v>
      </c>
      <c r="BG48" s="90">
        <f>'增加值 (2001-2060, 2020RMB)'!BG48*$B$73</f>
        <v>1004.8724515107679</v>
      </c>
      <c r="BH48" s="90">
        <f>'增加值 (2001-2060, 2020RMB)'!BH48*$B$73</f>
        <v>1009.6098212211424</v>
      </c>
      <c r="BI48" s="109">
        <f>'增加值 (2001-2060, 2020RMB)'!BI48*$B$73</f>
        <v>1014.1981108219446</v>
      </c>
    </row>
    <row r="49" spans="1:61" x14ac:dyDescent="0.2">
      <c r="A49" s="30" t="s">
        <v>106</v>
      </c>
      <c r="B49" s="19"/>
      <c r="C49" s="20"/>
      <c r="D49" s="20"/>
      <c r="E49" s="20"/>
      <c r="F49" s="21"/>
      <c r="G49" s="19"/>
      <c r="H49" s="20"/>
      <c r="I49" s="20">
        <f>'增加值 (2001-2060, 2020RMB)'!I49*$B$73</f>
        <v>73.191384341486625</v>
      </c>
      <c r="J49" s="20">
        <f>'增加值 (2001-2060, 2020RMB)'!J49*$B$73</f>
        <v>73.474659653845421</v>
      </c>
      <c r="K49" s="21">
        <f>'增加值 (2001-2060, 2020RMB)'!K49*$B$73</f>
        <v>83.624921112940243</v>
      </c>
      <c r="L49" s="19">
        <f>'增加值 (2001-2060, 2020RMB)'!L49*$B$73</f>
        <v>95.218972821549272</v>
      </c>
      <c r="M49" s="20">
        <f>'增加值 (2001-2060, 2020RMB)'!M49*$B$73</f>
        <v>96.993213780031667</v>
      </c>
      <c r="N49" s="20">
        <f>'增加值 (2001-2060, 2020RMB)'!N49*$B$73</f>
        <v>94.258989967267098</v>
      </c>
      <c r="O49" s="20">
        <f>'增加值 (2001-2060, 2020RMB)'!O49*$B$73</f>
        <v>95.067933320263947</v>
      </c>
      <c r="P49" s="20">
        <f>'增加值 (2001-2060, 2020RMB)'!P49*$B$73</f>
        <v>95.693349747696558</v>
      </c>
      <c r="Q49" s="19">
        <f>'增加值 (2001-2060, 2020RMB)'!Q49*$B$73</f>
        <v>98.428540730725757</v>
      </c>
      <c r="R49" s="20">
        <f>'增加值 (2001-2060, 2020RMB)'!R49*$B$73</f>
        <v>105.50856697718477</v>
      </c>
      <c r="S49" s="20">
        <f>'增加值 (2001-2060, 2020RMB)'!S49*$B$73</f>
        <v>108.5215335751294</v>
      </c>
      <c r="T49" s="20">
        <f>'增加值 (2001-2060, 2020RMB)'!T49*$B$73</f>
        <v>107.45795578155793</v>
      </c>
      <c r="U49" s="21">
        <f>'增加值 (2001-2060, 2020RMB)'!U49*$B$73</f>
        <v>100.10482337303415</v>
      </c>
      <c r="V49" s="20">
        <f>'增加值 (2001-2060, 2020RMB)'!V49*$B$73</f>
        <v>113.81705420803372</v>
      </c>
      <c r="W49" s="20">
        <f>'增加值 (2001-2060, 2020RMB)'!W49*$B$73</f>
        <v>124.98414275926726</v>
      </c>
      <c r="X49" s="90">
        <f>'增加值 (2001-2060, 2020RMB)'!X49*$B$73</f>
        <v>129.7140806538568</v>
      </c>
      <c r="Y49" s="90">
        <f>'增加值 (2001-2060, 2020RMB)'!Y49*$B$73</f>
        <v>133.95060569142908</v>
      </c>
      <c r="Z49" s="90">
        <f>'增加值 (2001-2060, 2020RMB)'!Z49*$B$73</f>
        <v>137.70426721679254</v>
      </c>
      <c r="AA49" s="89">
        <f>'增加值 (2001-2060, 2020RMB)'!AA49*$B$73</f>
        <v>140.99868933174389</v>
      </c>
      <c r="AB49" s="90">
        <f>'增加值 (2001-2060, 2020RMB)'!AB49*$B$73</f>
        <v>143.86909659175305</v>
      </c>
      <c r="AC49" s="90">
        <f>'增加值 (2001-2060, 2020RMB)'!AC49*$B$73</f>
        <v>146.36071568812758</v>
      </c>
      <c r="AD49" s="90">
        <f>'增加值 (2001-2060, 2020RMB)'!AD49*$B$73</f>
        <v>148.52716886781968</v>
      </c>
      <c r="AE49" s="101">
        <f>'增加值 (2001-2060, 2020RMB)'!AE49*$B$73</f>
        <v>150.4289607279884</v>
      </c>
      <c r="AF49" s="90">
        <f>'增加值 (2001-2060, 2020RMB)'!AF49*$B$73</f>
        <v>152.11892918387207</v>
      </c>
      <c r="AG49" s="90">
        <f>'增加值 (2001-2060, 2020RMB)'!AG49*$B$73</f>
        <v>153.60045259901298</v>
      </c>
      <c r="AH49" s="90">
        <f>'增加值 (2001-2060, 2020RMB)'!AH49*$B$73</f>
        <v>154.8647645379331</v>
      </c>
      <c r="AI49" s="90">
        <f>'增加值 (2001-2060, 2020RMB)'!AI49*$B$73</f>
        <v>155.90393511158769</v>
      </c>
      <c r="AJ49" s="106">
        <f>'增加值 (2001-2060, 2020RMB)'!AJ49*$B$73</f>
        <v>156.71094568653152</v>
      </c>
      <c r="AK49" s="89">
        <f>'增加值 (2001-2060, 2020RMB)'!AK49*$B$73</f>
        <v>157.28183130330126</v>
      </c>
      <c r="AL49" s="90">
        <f>'增加值 (2001-2060, 2020RMB)'!AL49*$B$73</f>
        <v>157.6219979407453</v>
      </c>
      <c r="AM49" s="90">
        <f>'增加值 (2001-2060, 2020RMB)'!AM49*$B$73</f>
        <v>157.74003816426989</v>
      </c>
      <c r="AN49" s="90">
        <f>'增加值 (2001-2060, 2020RMB)'!AN49*$B$73</f>
        <v>157.64554235750003</v>
      </c>
      <c r="AO49" s="101">
        <f>'增加值 (2001-2060, 2020RMB)'!AO49*$B$73</f>
        <v>157.34896327207241</v>
      </c>
      <c r="AP49" s="90">
        <f>'增加值 (2001-2060, 2020RMB)'!AP49*$B$73</f>
        <v>156.86148114697272</v>
      </c>
      <c r="AQ49" s="90">
        <f>'增加值 (2001-2060, 2020RMB)'!AQ49*$B$73</f>
        <v>156.1948712223622</v>
      </c>
      <c r="AR49" s="90">
        <f>'增加值 (2001-2060, 2020RMB)'!AR49*$B$73</f>
        <v>155.36137527035132</v>
      </c>
      <c r="AS49" s="90">
        <f>'增加值 (2001-2060, 2020RMB)'!AS49*$B$73</f>
        <v>154.37357855251457</v>
      </c>
      <c r="AT49" s="90">
        <f>'增加值 (2001-2060, 2020RMB)'!AT49*$B$73</f>
        <v>153.24429339692242</v>
      </c>
      <c r="AU49" s="89">
        <f>'增加值 (2001-2060, 2020RMB)'!AU49*$B$73</f>
        <v>151.98645037136822</v>
      </c>
      <c r="AV49" s="90">
        <f>'增加值 (2001-2060, 2020RMB)'!AV49*$B$73</f>
        <v>150.61299781885887</v>
      </c>
      <c r="AW49" s="90">
        <f>'增加值 (2001-2060, 2020RMB)'!AW49*$B$73</f>
        <v>149.13681032026162</v>
      </c>
      <c r="AX49" s="90">
        <f>'增加值 (2001-2060, 2020RMB)'!AX49*$B$73</f>
        <v>147.57060646042771</v>
      </c>
      <c r="AY49" s="101">
        <f>'增加值 (2001-2060, 2020RMB)'!AY49*$B$73</f>
        <v>145.9268761006706</v>
      </c>
      <c r="AZ49" s="89">
        <f>'增加值 (2001-2060, 2020RMB)'!AZ49*$B$73</f>
        <v>144.21781720401012</v>
      </c>
      <c r="BA49" s="90">
        <f>'增加值 (2001-2060, 2020RMB)'!BA49*$B$73</f>
        <v>142.45528212127434</v>
      </c>
      <c r="BB49" s="90">
        <f>'增加值 (2001-2060, 2020RMB)'!BB49*$B$73</f>
        <v>140.65073312669307</v>
      </c>
      <c r="BC49" s="90">
        <f>'增加值 (2001-2060, 2020RMB)'!BC49*$B$73</f>
        <v>138.81520689110511</v>
      </c>
      <c r="BD49" s="101">
        <f>'增加值 (2001-2060, 2020RMB)'!BD49*$B$73</f>
        <v>136.95928749908117</v>
      </c>
      <c r="BE49" s="90">
        <f>'增加值 (2001-2060, 2020RMB)'!BE49*$B$73</f>
        <v>135.09308755249268</v>
      </c>
      <c r="BF49" s="90">
        <f>'增加值 (2001-2060, 2020RMB)'!BF49*$B$73</f>
        <v>133.22623685638743</v>
      </c>
      <c r="BG49" s="90">
        <f>'增加值 (2001-2060, 2020RMB)'!BG49*$B$73</f>
        <v>131.36787815231756</v>
      </c>
      <c r="BH49" s="90">
        <f>'增加值 (2001-2060, 2020RMB)'!BH49*$B$73</f>
        <v>129.52666934822133</v>
      </c>
      <c r="BI49" s="109">
        <f>'增加值 (2001-2060, 2020RMB)'!BI49*$B$73</f>
        <v>127.71079169115387</v>
      </c>
    </row>
    <row r="50" spans="1:61" x14ac:dyDescent="0.2">
      <c r="A50" s="30" t="s">
        <v>47</v>
      </c>
      <c r="B50" s="19"/>
      <c r="C50" s="20"/>
      <c r="D50" s="20"/>
      <c r="E50" s="20"/>
      <c r="F50" s="21"/>
      <c r="G50" s="19"/>
      <c r="H50" s="20"/>
      <c r="I50" s="20">
        <f>'增加值 (2001-2060, 2020RMB)'!I50*$B$73</f>
        <v>38.268905171653408</v>
      </c>
      <c r="J50" s="20">
        <f>'增加值 (2001-2060, 2020RMB)'!J50*$B$73</f>
        <v>46.833211685533172</v>
      </c>
      <c r="K50" s="21">
        <f>'增加值 (2001-2060, 2020RMB)'!K50*$B$73</f>
        <v>57.80561397974823</v>
      </c>
      <c r="L50" s="19">
        <f>'增加值 (2001-2060, 2020RMB)'!L50*$B$73</f>
        <v>64.764645035532666</v>
      </c>
      <c r="M50" s="20">
        <f>'增加值 (2001-2060, 2020RMB)'!M50*$B$73</f>
        <v>70.965520559665123</v>
      </c>
      <c r="N50" s="20">
        <f>'增加值 (2001-2060, 2020RMB)'!N50*$B$73</f>
        <v>77.796310354086884</v>
      </c>
      <c r="O50" s="20">
        <f>'增加值 (2001-2060, 2020RMB)'!O50*$B$73</f>
        <v>86.892132718429352</v>
      </c>
      <c r="P50" s="20">
        <f>'增加值 (2001-2060, 2020RMB)'!P50*$B$73</f>
        <v>99.251999418529735</v>
      </c>
      <c r="Q50" s="19">
        <f>'增加值 (2001-2060, 2020RMB)'!Q50*$B$73</f>
        <v>104.80094610845228</v>
      </c>
      <c r="R50" s="20">
        <f>'增加值 (2001-2060, 2020RMB)'!R50*$B$73</f>
        <v>107.56571695122068</v>
      </c>
      <c r="S50" s="20">
        <f>'增加值 (2001-2060, 2020RMB)'!S50*$B$73</f>
        <v>111.70845905906732</v>
      </c>
      <c r="T50" s="20">
        <f>'增加值 (2001-2060, 2020RMB)'!T50*$B$73</f>
        <v>121.81502945383929</v>
      </c>
      <c r="U50" s="21">
        <f>'增加值 (2001-2060, 2020RMB)'!U50*$B$73</f>
        <v>121.02120146583695</v>
      </c>
      <c r="V50" s="20">
        <f>'增加值 (2001-2060, 2020RMB)'!V50*$B$73</f>
        <v>164.0597870260292</v>
      </c>
      <c r="W50" s="20">
        <f>'增加值 (2001-2060, 2020RMB)'!W50*$B$73</f>
        <v>204.32170048770587</v>
      </c>
      <c r="X50" s="90">
        <f>'增加值 (2001-2060, 2020RMB)'!X50*$B$73</f>
        <v>218.57553758618909</v>
      </c>
      <c r="Y50" s="90">
        <f>'增加值 (2001-2060, 2020RMB)'!Y50*$B$73</f>
        <v>235.06500008024238</v>
      </c>
      <c r="Z50" s="90">
        <f>'增加值 (2001-2060, 2020RMB)'!Z50*$B$73</f>
        <v>253.80561245163034</v>
      </c>
      <c r="AA50" s="89">
        <f>'增加值 (2001-2060, 2020RMB)'!AA50*$B$73</f>
        <v>274.76967088666981</v>
      </c>
      <c r="AB50" s="90">
        <f>'增加值 (2001-2060, 2020RMB)'!AB50*$B$73</f>
        <v>297.86410419510838</v>
      </c>
      <c r="AC50" s="90">
        <f>'增加值 (2001-2060, 2020RMB)'!AC50*$B$73</f>
        <v>322.90653313769269</v>
      </c>
      <c r="AD50" s="90">
        <f>'增加值 (2001-2060, 2020RMB)'!AD50*$B$73</f>
        <v>349.60067680172733</v>
      </c>
      <c r="AE50" s="101">
        <f>'增加值 (2001-2060, 2020RMB)'!AE50*$B$73</f>
        <v>377.51303436630383</v>
      </c>
      <c r="AF50" s="90">
        <f>'增加值 (2001-2060, 2020RMB)'!AF50*$B$73</f>
        <v>406.15683459880773</v>
      </c>
      <c r="AG50" s="90">
        <f>'增加值 (2001-2060, 2020RMB)'!AG50*$B$73</f>
        <v>435.34859719911935</v>
      </c>
      <c r="AH50" s="90">
        <f>'增加值 (2001-2060, 2020RMB)'!AH50*$B$73</f>
        <v>464.99890946008048</v>
      </c>
      <c r="AI50" s="90">
        <f>'增加值 (2001-2060, 2020RMB)'!AI50*$B$73</f>
        <v>495.02593515138335</v>
      </c>
      <c r="AJ50" s="106">
        <f>'增加值 (2001-2060, 2020RMB)'!AJ50*$B$73</f>
        <v>525.35762162830633</v>
      </c>
      <c r="AK50" s="89">
        <f>'增加值 (2001-2060, 2020RMB)'!AK50*$B$73</f>
        <v>555.92199792612314</v>
      </c>
      <c r="AL50" s="90">
        <f>'增加值 (2001-2060, 2020RMB)'!AL50*$B$73</f>
        <v>586.60863545527616</v>
      </c>
      <c r="AM50" s="90">
        <f>'增加值 (2001-2060, 2020RMB)'!AM50*$B$73</f>
        <v>617.2963181128074</v>
      </c>
      <c r="AN50" s="90">
        <f>'增加值 (2001-2060, 2020RMB)'!AN50*$B$73</f>
        <v>647.86487644746728</v>
      </c>
      <c r="AO50" s="101">
        <f>'增加值 (2001-2060, 2020RMB)'!AO50*$B$73</f>
        <v>678.19654192459393</v>
      </c>
      <c r="AP50" s="90">
        <f>'增加值 (2001-2060, 2020RMB)'!AP50*$B$73</f>
        <v>708.17724000028261</v>
      </c>
      <c r="AQ50" s="90">
        <f>'增加值 (2001-2060, 2020RMB)'!AQ50*$B$73</f>
        <v>737.69780194558064</v>
      </c>
      <c r="AR50" s="90">
        <f>'增加值 (2001-2060, 2020RMB)'!AR50*$B$73</f>
        <v>766.65507804175354</v>
      </c>
      <c r="AS50" s="90">
        <f>'增加值 (2001-2060, 2020RMB)'!AS50*$B$73</f>
        <v>794.95293772843661</v>
      </c>
      <c r="AT50" s="90">
        <f>'增加值 (2001-2060, 2020RMB)'!AT50*$B$73</f>
        <v>822.50314542608305</v>
      </c>
      <c r="AU50" s="89">
        <f>'增加值 (2001-2060, 2020RMB)'!AU50*$B$73</f>
        <v>849.2261039728495</v>
      </c>
      <c r="AV50" s="90">
        <f>'增加值 (2001-2060, 2020RMB)'!AV50*$B$73</f>
        <v>875.0514608198913</v>
      </c>
      <c r="AW50" s="90">
        <f>'增加值 (2001-2060, 2020RMB)'!AW50*$B$73</f>
        <v>899.91857523246279</v>
      </c>
      <c r="AX50" s="90">
        <f>'增加值 (2001-2060, 2020RMB)'!AX50*$B$73</f>
        <v>923.77684767196683</v>
      </c>
      <c r="AY50" s="101">
        <f>'增加值 (2001-2060, 2020RMB)'!AY50*$B$73</f>
        <v>946.58591522348081</v>
      </c>
      <c r="AZ50" s="89">
        <f>'增加值 (2001-2060, 2020RMB)'!AZ50*$B$73</f>
        <v>968.31571933449004</v>
      </c>
      <c r="BA50" s="90">
        <f>'增加值 (2001-2060, 2020RMB)'!BA50*$B$73</f>
        <v>988.9464542074594</v>
      </c>
      <c r="BB50" s="90">
        <f>'增加值 (2001-2060, 2020RMB)'!BB50*$B$73</f>
        <v>1008.4684059186941</v>
      </c>
      <c r="BC50" s="90">
        <f>'增加值 (2001-2060, 2020RMB)'!BC50*$B$73</f>
        <v>1026.8816937082688</v>
      </c>
      <c r="BD50" s="101">
        <f>'增加值 (2001-2060, 2020RMB)'!BD50*$B$73</f>
        <v>1044.1959259027039</v>
      </c>
      <c r="BE50" s="90">
        <f>'增加值 (2001-2060, 2020RMB)'!BE50*$B$73</f>
        <v>1060.4297836046428</v>
      </c>
      <c r="BF50" s="90">
        <f>'增加值 (2001-2060, 2020RMB)'!BF50*$B$73</f>
        <v>1075.6105456335354</v>
      </c>
      <c r="BG50" s="90">
        <f>'增加值 (2001-2060, 2020RMB)'!BG50*$B$73</f>
        <v>1089.7735682552482</v>
      </c>
      <c r="BH50" s="90">
        <f>'增加值 (2001-2060, 2020RMB)'!BH50*$B$73</f>
        <v>1102.9617330306057</v>
      </c>
      <c r="BI50" s="109">
        <f>'增加值 (2001-2060, 2020RMB)'!BI50*$B$73</f>
        <v>1115.2248756796614</v>
      </c>
    </row>
    <row r="51" spans="1:61" x14ac:dyDescent="0.2">
      <c r="A51" s="30" t="s">
        <v>107</v>
      </c>
      <c r="B51" s="19"/>
      <c r="C51" s="20"/>
      <c r="D51" s="20"/>
      <c r="E51" s="20"/>
      <c r="F51" s="21"/>
      <c r="G51" s="19"/>
      <c r="H51" s="20"/>
      <c r="I51" s="20">
        <f>'增加值 (2001-2060, 2020RMB)'!I51*$B$73</f>
        <v>22.452835911654002</v>
      </c>
      <c r="J51" s="20">
        <f>'增加值 (2001-2060, 2020RMB)'!J51*$B$73</f>
        <v>23.412379173753692</v>
      </c>
      <c r="K51" s="21">
        <f>'增加值 (2001-2060, 2020RMB)'!K51*$B$73</f>
        <v>27.055965524115788</v>
      </c>
      <c r="L51" s="19">
        <f>'增加值 (2001-2060, 2020RMB)'!L51*$B$73</f>
        <v>30.625116401895806</v>
      </c>
      <c r="M51" s="20">
        <f>'增加值 (2001-2060, 2020RMB)'!M51*$B$73</f>
        <v>32.536888744587912</v>
      </c>
      <c r="N51" s="20">
        <f>'增加值 (2001-2060, 2020RMB)'!N51*$B$73</f>
        <v>35.699637404168797</v>
      </c>
      <c r="O51" s="20">
        <f>'增加值 (2001-2060, 2020RMB)'!O51*$B$73</f>
        <v>38.367627851350051</v>
      </c>
      <c r="P51" s="20">
        <f>'增加值 (2001-2060, 2020RMB)'!P51*$B$73</f>
        <v>39.602824835326153</v>
      </c>
      <c r="Q51" s="19">
        <f>'增加值 (2001-2060, 2020RMB)'!Q51*$B$73</f>
        <v>41.15991326248249</v>
      </c>
      <c r="R51" s="20">
        <f>'增加值 (2001-2060, 2020RMB)'!R51*$B$73</f>
        <v>45.745408371569674</v>
      </c>
      <c r="S51" s="20">
        <f>'增加值 (2001-2060, 2020RMB)'!S51*$B$73</f>
        <v>50.832278851937239</v>
      </c>
      <c r="T51" s="20">
        <f>'增加值 (2001-2060, 2020RMB)'!T51*$B$73</f>
        <v>55.823300807607737</v>
      </c>
      <c r="U51" s="21">
        <f>'增加值 (2001-2060, 2020RMB)'!U51*$B$73</f>
        <v>52.219430202324659</v>
      </c>
      <c r="V51" s="20">
        <f>'增加值 (2001-2060, 2020RMB)'!V51*$B$73</f>
        <v>57.360679492383881</v>
      </c>
      <c r="W51" s="20">
        <f>'增加值 (2001-2060, 2020RMB)'!W51*$B$73</f>
        <v>65.377607731033848</v>
      </c>
      <c r="X51" s="90">
        <f>'增加值 (2001-2060, 2020RMB)'!X51*$B$73</f>
        <v>68.897422207082471</v>
      </c>
      <c r="Y51" s="90">
        <f>'增加值 (2001-2060, 2020RMB)'!Y51*$B$73</f>
        <v>72.143886084815392</v>
      </c>
      <c r="Z51" s="90">
        <f>'增加值 (2001-2060, 2020RMB)'!Z51*$B$73</f>
        <v>75.11173880514005</v>
      </c>
      <c r="AA51" s="89">
        <f>'增加值 (2001-2060, 2020RMB)'!AA51*$B$73</f>
        <v>77.806689502961845</v>
      </c>
      <c r="AB51" s="90">
        <f>'增加值 (2001-2060, 2020RMB)'!AB51*$B$73</f>
        <v>80.244635862186513</v>
      </c>
      <c r="AC51" s="90">
        <f>'增加值 (2001-2060, 2020RMB)'!AC51*$B$73</f>
        <v>82.450662351865546</v>
      </c>
      <c r="AD51" s="90">
        <f>'增加值 (2001-2060, 2020RMB)'!AD51*$B$73</f>
        <v>84.457936328727158</v>
      </c>
      <c r="AE51" s="101">
        <f>'增加值 (2001-2060, 2020RMB)'!AE51*$B$73</f>
        <v>86.30661314009312</v>
      </c>
      <c r="AF51" s="90">
        <f>'增加值 (2001-2060, 2020RMB)'!AF51*$B$73</f>
        <v>88.033048402780594</v>
      </c>
      <c r="AG51" s="90">
        <f>'增加值 (2001-2060, 2020RMB)'!AG51*$B$73</f>
        <v>89.63814077969225</v>
      </c>
      <c r="AH51" s="90">
        <f>'增加值 (2001-2060, 2020RMB)'!AH51*$B$73</f>
        <v>91.113850230604157</v>
      </c>
      <c r="AI51" s="90">
        <f>'增加值 (2001-2060, 2020RMB)'!AI51*$B$73</f>
        <v>92.452667293801014</v>
      </c>
      <c r="AJ51" s="106">
        <f>'增加值 (2001-2060, 2020RMB)'!AJ51*$B$73</f>
        <v>93.647676265649963</v>
      </c>
      <c r="AK51" s="89">
        <f>'增加值 (2001-2060, 2020RMB)'!AK51*$B$73</f>
        <v>94.693712924498527</v>
      </c>
      <c r="AL51" s="90">
        <f>'增加值 (2001-2060, 2020RMB)'!AL51*$B$73</f>
        <v>95.590797599459606</v>
      </c>
      <c r="AM51" s="90">
        <f>'增加值 (2001-2060, 2020RMB)'!AM51*$B$73</f>
        <v>96.340985253564071</v>
      </c>
      <c r="AN51" s="90">
        <f>'增加值 (2001-2060, 2020RMB)'!AN51*$B$73</f>
        <v>96.947228530215895</v>
      </c>
      <c r="AO51" s="101">
        <f>'增加值 (2001-2060, 2020RMB)'!AO51*$B$73</f>
        <v>97.41330726958239</v>
      </c>
      <c r="AP51" s="90">
        <f>'增加值 (2001-2060, 2020RMB)'!AP51*$B$73</f>
        <v>97.743753385717241</v>
      </c>
      <c r="AQ51" s="90">
        <f>'增加值 (2001-2060, 2020RMB)'!AQ51*$B$73</f>
        <v>97.943772555386076</v>
      </c>
      <c r="AR51" s="90">
        <f>'增加值 (2001-2060, 2020RMB)'!AR51*$B$73</f>
        <v>98.01916410243885</v>
      </c>
      <c r="AS51" s="90">
        <f>'增加值 (2001-2060, 2020RMB)'!AS51*$B$73</f>
        <v>97.976240373383476</v>
      </c>
      <c r="AT51" s="90">
        <f>'增加值 (2001-2060, 2020RMB)'!AT51*$B$73</f>
        <v>97.821746794852828</v>
      </c>
      <c r="AU51" s="89">
        <f>'增加值 (2001-2060, 2020RMB)'!AU51*$B$73</f>
        <v>97.56278368613745</v>
      </c>
      <c r="AV51" s="90">
        <f>'增加值 (2001-2060, 2020RMB)'!AV51*$B$73</f>
        <v>97.206730773953311</v>
      </c>
      <c r="AW51" s="90">
        <f>'增加值 (2001-2060, 2020RMB)'!AW51*$B$73</f>
        <v>96.761175225921477</v>
      </c>
      <c r="AX51" s="90">
        <f>'增加值 (2001-2060, 2020RMB)'!AX51*$B$73</f>
        <v>96.233843887350019</v>
      </c>
      <c r="AY51" s="101">
        <f>'增加值 (2001-2060, 2020RMB)'!AY51*$B$73</f>
        <v>95.632540275892126</v>
      </c>
      <c r="AZ51" s="89">
        <f>'增加值 (2001-2060, 2020RMB)'!AZ51*$B$73</f>
        <v>94.965086763194094</v>
      </c>
      <c r="BA51" s="90">
        <f>'增加值 (2001-2060, 2020RMB)'!BA51*$B$73</f>
        <v>94.239272253960834</v>
      </c>
      <c r="BB51" s="90">
        <f>'增加值 (2001-2060, 2020RMB)'!BB51*$B$73</f>
        <v>93.462805562742147</v>
      </c>
      <c r="BC51" s="90">
        <f>'增加值 (2001-2060, 2020RMB)'!BC51*$B$73</f>
        <v>92.643274588556878</v>
      </c>
      <c r="BD51" s="101">
        <f>'增加值 (2001-2060, 2020RMB)'!BD51*$B$73</f>
        <v>91.788111298169383</v>
      </c>
      <c r="BE51" s="90">
        <f>'增加值 (2001-2060, 2020RMB)'!BE51*$B$73</f>
        <v>90.904562451024589</v>
      </c>
      <c r="BF51" s="90">
        <f>'增加值 (2001-2060, 2020RMB)'!BF51*$B$73</f>
        <v>89.999665932790236</v>
      </c>
      <c r="BG51" s="90">
        <f>'增加值 (2001-2060, 2020RMB)'!BG51*$B$73</f>
        <v>89.080232510128496</v>
      </c>
      <c r="BH51" s="90">
        <f>'增加值 (2001-2060, 2020RMB)'!BH51*$B$73</f>
        <v>88.152832776474185</v>
      </c>
      <c r="BI51" s="109">
        <f>'增加值 (2001-2060, 2020RMB)'!BI51*$B$73</f>
        <v>87.223789026762816</v>
      </c>
    </row>
    <row r="52" spans="1:61" x14ac:dyDescent="0.2">
      <c r="A52" s="30" t="s">
        <v>108</v>
      </c>
      <c r="B52" s="19"/>
      <c r="C52" s="20"/>
      <c r="D52" s="20"/>
      <c r="E52" s="20"/>
      <c r="F52" s="21"/>
      <c r="G52" s="19"/>
      <c r="H52" s="20"/>
      <c r="I52" s="20">
        <f>'增加值 (2001-2060, 2020RMB)'!I52*$B$73</f>
        <v>1466.9497714236093</v>
      </c>
      <c r="J52" s="20">
        <f>'增加值 (2001-2060, 2020RMB)'!J52*$B$73</f>
        <v>1474.0179441560417</v>
      </c>
      <c r="K52" s="21">
        <f>'增加值 (2001-2060, 2020RMB)'!K52*$B$73</f>
        <v>1588.8989412835126</v>
      </c>
      <c r="L52" s="19">
        <f>'增加值 (2001-2060, 2020RMB)'!L52*$B$73</f>
        <v>1680.9431100365668</v>
      </c>
      <c r="M52" s="20">
        <f>'增加值 (2001-2060, 2020RMB)'!M52*$B$73</f>
        <v>1680.2596337294835</v>
      </c>
      <c r="N52" s="20">
        <f>'增加值 (2001-2060, 2020RMB)'!N52*$B$73</f>
        <v>1695.144439478476</v>
      </c>
      <c r="O52" s="20">
        <f>'增加值 (2001-2060, 2020RMB)'!O52*$B$73</f>
        <v>1660.9369108534145</v>
      </c>
      <c r="P52" s="20">
        <f>'增加值 (2001-2060, 2020RMB)'!P52*$B$73</f>
        <v>1583.6219721367613</v>
      </c>
      <c r="Q52" s="19">
        <f>'增加值 (2001-2060, 2020RMB)'!Q52*$B$73</f>
        <v>1619.613841507062</v>
      </c>
      <c r="R52" s="20">
        <f>'增加值 (2001-2060, 2020RMB)'!R52*$B$73</f>
        <v>1767.2620779648926</v>
      </c>
      <c r="S52" s="20">
        <f>'增加值 (2001-2060, 2020RMB)'!S52*$B$73</f>
        <v>1928.5876837904223</v>
      </c>
      <c r="T52" s="20">
        <f>'增加值 (2001-2060, 2020RMB)'!T52*$B$73</f>
        <v>1980.3465919708456</v>
      </c>
      <c r="U52" s="21">
        <f>'增加值 (2001-2060, 2020RMB)'!U52*$B$73</f>
        <v>1952.1155968033461</v>
      </c>
      <c r="V52" s="20">
        <f>'增加值 (2001-2060, 2020RMB)'!V52*$B$73</f>
        <v>2254.0667697181825</v>
      </c>
      <c r="W52" s="20">
        <f>'增加值 (2001-2060, 2020RMB)'!W52*$B$73</f>
        <v>2406.5305171590167</v>
      </c>
      <c r="X52" s="90">
        <f>'增加值 (2001-2060, 2020RMB)'!X52*$B$73</f>
        <v>2542.2661103147866</v>
      </c>
      <c r="Y52" s="90">
        <f>'增加值 (2001-2060, 2020RMB)'!Y52*$B$73</f>
        <v>2689.2751828985279</v>
      </c>
      <c r="Z52" s="90">
        <f>'增加值 (2001-2060, 2020RMB)'!Z52*$B$73</f>
        <v>2846.4552019788848</v>
      </c>
      <c r="AA52" s="89">
        <f>'增加值 (2001-2060, 2020RMB)'!AA52*$B$73</f>
        <v>3012.3026731355926</v>
      </c>
      <c r="AB52" s="90">
        <f>'增加值 (2001-2060, 2020RMB)'!AB52*$B$73</f>
        <v>3184.8448316670197</v>
      </c>
      <c r="AC52" s="90">
        <f>'增加值 (2001-2060, 2020RMB)'!AC52*$B$73</f>
        <v>3361.5814417770034</v>
      </c>
      <c r="AD52" s="90">
        <f>'增加值 (2001-2060, 2020RMB)'!AD52*$B$73</f>
        <v>3539.4432831481349</v>
      </c>
      <c r="AE52" s="101">
        <f>'增加值 (2001-2060, 2020RMB)'!AE52*$B$73</f>
        <v>3714.7749639604799</v>
      </c>
      <c r="AF52" s="90">
        <f>'增加值 (2001-2060, 2020RMB)'!AF52*$B$73</f>
        <v>3883.8946466369125</v>
      </c>
      <c r="AG52" s="90">
        <f>'增加值 (2001-2060, 2020RMB)'!AG52*$B$73</f>
        <v>4044.9615079820628</v>
      </c>
      <c r="AH52" s="90">
        <f>'增加值 (2001-2060, 2020RMB)'!AH52*$B$73</f>
        <v>4196.7092691082398</v>
      </c>
      <c r="AI52" s="90">
        <f>'增加值 (2001-2060, 2020RMB)'!AI52*$B$73</f>
        <v>4337.968865676763</v>
      </c>
      <c r="AJ52" s="106">
        <f>'增加值 (2001-2060, 2020RMB)'!AJ52*$B$73</f>
        <v>4467.685052055589</v>
      </c>
      <c r="AK52" s="89">
        <f>'增加值 (2001-2060, 2020RMB)'!AK52*$B$73</f>
        <v>4585.0605997869261</v>
      </c>
      <c r="AL52" s="90">
        <f>'增加值 (2001-2060, 2020RMB)'!AL52*$B$73</f>
        <v>4689.9816193993011</v>
      </c>
      <c r="AM52" s="90">
        <f>'增加值 (2001-2060, 2020RMB)'!AM52*$B$73</f>
        <v>4782.6673216906411</v>
      </c>
      <c r="AN52" s="90">
        <f>'增加值 (2001-2060, 2020RMB)'!AN52*$B$73</f>
        <v>4863.5302012261791</v>
      </c>
      <c r="AO52" s="101">
        <f>'增加值 (2001-2060, 2020RMB)'!AO52*$B$73</f>
        <v>4933.1567392258048</v>
      </c>
      <c r="AP52" s="90">
        <f>'增加值 (2001-2060, 2020RMB)'!AP52*$B$73</f>
        <v>4992.2865509172589</v>
      </c>
      <c r="AQ52" s="90">
        <f>'增加值 (2001-2060, 2020RMB)'!AQ52*$B$73</f>
        <v>5041.7909087135113</v>
      </c>
      <c r="AR52" s="90">
        <f>'增加值 (2001-2060, 2020RMB)'!AR52*$B$73</f>
        <v>5082.651486870709</v>
      </c>
      <c r="AS52" s="90">
        <f>'增加值 (2001-2060, 2020RMB)'!AS52*$B$73</f>
        <v>5115.9400682979676</v>
      </c>
      <c r="AT52" s="90">
        <f>'增加值 (2001-2060, 2020RMB)'!AT52*$B$73</f>
        <v>5142.7998390359908</v>
      </c>
      <c r="AU52" s="89">
        <f>'增加值 (2001-2060, 2020RMB)'!AU52*$B$73</f>
        <v>5164.4287788146576</v>
      </c>
      <c r="AV52" s="90">
        <f>'增加值 (2001-2060, 2020RMB)'!AV52*$B$73</f>
        <v>5182.0655440729543</v>
      </c>
      <c r="AW52" s="90">
        <f>'增加值 (2001-2060, 2020RMB)'!AW52*$B$73</f>
        <v>5196.9781386004279</v>
      </c>
      <c r="AX52" s="90">
        <f>'增加值 (2001-2060, 2020RMB)'!AX52*$B$73</f>
        <v>5210.4555809431185</v>
      </c>
      <c r="AY52" s="101">
        <f>'增加值 (2001-2060, 2020RMB)'!AY52*$B$73</f>
        <v>5223.8027101101525</v>
      </c>
      <c r="AZ52" s="89">
        <f>'增加值 (2001-2060, 2020RMB)'!AZ52*$B$73</f>
        <v>5238.3382240976734</v>
      </c>
      <c r="BA52" s="90">
        <f>'增加值 (2001-2060, 2020RMB)'!BA52*$B$73</f>
        <v>5255.3960207211403</v>
      </c>
      <c r="BB52" s="90">
        <f>'增加值 (2001-2060, 2020RMB)'!BB52*$B$73</f>
        <v>5276.3299081270989</v>
      </c>
      <c r="BC52" s="90">
        <f>'增加值 (2001-2060, 2020RMB)'!BC52*$B$73</f>
        <v>5302.5217738679539</v>
      </c>
      <c r="BD52" s="101">
        <f>'增加值 (2001-2060, 2020RMB)'!BD52*$B$73</f>
        <v>5335.3933474310652</v>
      </c>
      <c r="BE52" s="90">
        <f>'增加值 (2001-2060, 2020RMB)'!BE52*$B$73</f>
        <v>5376.4217629535378</v>
      </c>
      <c r="BF52" s="90">
        <f>'增加值 (2001-2060, 2020RMB)'!BF52*$B$73</f>
        <v>5427.1592286952609</v>
      </c>
      <c r="BG52" s="90">
        <f>'增加值 (2001-2060, 2020RMB)'!BG52*$B$73</f>
        <v>5489.2572410865969</v>
      </c>
      <c r="BH52" s="90">
        <f>'增加值 (2001-2060, 2020RMB)'!BH52*$B$73</f>
        <v>5564.4959489048624</v>
      </c>
      <c r="BI52" s="109">
        <f>'增加值 (2001-2060, 2020RMB)'!BI52*$B$73</f>
        <v>5654.8194847049444</v>
      </c>
    </row>
    <row r="53" spans="1:61" x14ac:dyDescent="0.2">
      <c r="A53" s="30" t="s">
        <v>109</v>
      </c>
      <c r="B53" s="19"/>
      <c r="C53" s="20"/>
      <c r="D53" s="20"/>
      <c r="E53" s="20"/>
      <c r="F53" s="21"/>
      <c r="G53" s="19"/>
      <c r="H53" s="20"/>
      <c r="I53" s="20">
        <f>'增加值 (2001-2060, 2020RMB)'!I53*$B$73</f>
        <v>87.53053933252626</v>
      </c>
      <c r="J53" s="20">
        <f>'增加值 (2001-2060, 2020RMB)'!J53*$B$73</f>
        <v>95.08803735377785</v>
      </c>
      <c r="K53" s="21">
        <f>'增加值 (2001-2060, 2020RMB)'!K53*$B$73</f>
        <v>108.87049937819883</v>
      </c>
      <c r="L53" s="19">
        <f>'增加值 (2001-2060, 2020RMB)'!L53*$B$73</f>
        <v>118.31566272018181</v>
      </c>
      <c r="M53" s="20">
        <f>'增加值 (2001-2060, 2020RMB)'!M53*$B$73</f>
        <v>125.81415161256815</v>
      </c>
      <c r="N53" s="20">
        <f>'增加值 (2001-2060, 2020RMB)'!N53*$B$73</f>
        <v>140.31477005110062</v>
      </c>
      <c r="O53" s="20">
        <f>'增加值 (2001-2060, 2020RMB)'!O53*$B$73</f>
        <v>156.72015248722698</v>
      </c>
      <c r="P53" s="20">
        <f>'增加值 (2001-2060, 2020RMB)'!P53*$B$73</f>
        <v>165.1852348132401</v>
      </c>
      <c r="Q53" s="19">
        <f>'增加值 (2001-2060, 2020RMB)'!Q53*$B$73</f>
        <v>184.25366435012344</v>
      </c>
      <c r="R53" s="20">
        <f>'增加值 (2001-2060, 2020RMB)'!R53*$B$73</f>
        <v>209.81637237905477</v>
      </c>
      <c r="S53" s="20">
        <f>'增加值 (2001-2060, 2020RMB)'!S53*$B$73</f>
        <v>245.89161153311522</v>
      </c>
      <c r="T53" s="20">
        <f>'增加值 (2001-2060, 2020RMB)'!T53*$B$73</f>
        <v>264.34481065829374</v>
      </c>
      <c r="U53" s="21">
        <f>'增加值 (2001-2060, 2020RMB)'!U53*$B$73</f>
        <v>255.71778339066671</v>
      </c>
      <c r="V53" s="20">
        <f>'增加值 (2001-2060, 2020RMB)'!V53*$B$73</f>
        <v>314.44198403038911</v>
      </c>
      <c r="W53" s="20">
        <f>'增加值 (2001-2060, 2020RMB)'!W53*$B$73</f>
        <v>339.54369713094945</v>
      </c>
      <c r="X53" s="90">
        <f>'增加值 (2001-2060, 2020RMB)'!X53*$B$73</f>
        <v>371.51596587654797</v>
      </c>
      <c r="Y53" s="90">
        <f>'增加值 (2001-2060, 2020RMB)'!Y53*$B$73</f>
        <v>407.48003867817476</v>
      </c>
      <c r="Z53" s="90">
        <f>'增加值 (2001-2060, 2020RMB)'!Z53*$B$73</f>
        <v>447.48563366768457</v>
      </c>
      <c r="AA53" s="89">
        <f>'增加值 (2001-2060, 2020RMB)'!AA53*$B$73</f>
        <v>491.46501938683684</v>
      </c>
      <c r="AB53" s="90">
        <f>'增加值 (2001-2060, 2020RMB)'!AB53*$B$73</f>
        <v>539.1923696419567</v>
      </c>
      <c r="AC53" s="90">
        <f>'增加值 (2001-2060, 2020RMB)'!AC53*$B$73</f>
        <v>590.24093943447133</v>
      </c>
      <c r="AD53" s="90">
        <f>'增加值 (2001-2060, 2020RMB)'!AD53*$B$73</f>
        <v>643.94124174452645</v>
      </c>
      <c r="AE53" s="101">
        <f>'增加值 (2001-2060, 2020RMB)'!AE53*$B$73</f>
        <v>699.34476308221815</v>
      </c>
      <c r="AF53" s="90">
        <f>'增加值 (2001-2060, 2020RMB)'!AF53*$B$73</f>
        <v>755.36274650895973</v>
      </c>
      <c r="AG53" s="90">
        <f>'增加值 (2001-2060, 2020RMB)'!AG53*$B$73</f>
        <v>811.34655725697087</v>
      </c>
      <c r="AH53" s="90">
        <f>'增加值 (2001-2060, 2020RMB)'!AH53*$B$73</f>
        <v>866.77306002376554</v>
      </c>
      <c r="AI53" s="90">
        <f>'增加值 (2001-2060, 2020RMB)'!AI53*$B$73</f>
        <v>921.11563520109553</v>
      </c>
      <c r="AJ53" s="106">
        <f>'增加值 (2001-2060, 2020RMB)'!AJ53*$B$73</f>
        <v>973.8548182489692</v>
      </c>
      <c r="AK53" s="89">
        <f>'增加值 (2001-2060, 2020RMB)'!AK53*$B$73</f>
        <v>1024.525821410861</v>
      </c>
      <c r="AL53" s="90">
        <f>'增加值 (2001-2060, 2020RMB)'!AL53*$B$73</f>
        <v>1072.8537303066578</v>
      </c>
      <c r="AM53" s="90">
        <f>'增加值 (2001-2060, 2020RMB)'!AM53*$B$73</f>
        <v>1118.6727770821485</v>
      </c>
      <c r="AN53" s="90">
        <f>'增加值 (2001-2060, 2020RMB)'!AN53*$B$73</f>
        <v>1161.8942483907056</v>
      </c>
      <c r="AO53" s="101">
        <f>'增加值 (2001-2060, 2020RMB)'!AO53*$B$73</f>
        <v>1202.5056992680347</v>
      </c>
      <c r="AP53" s="90">
        <f>'增加值 (2001-2060, 2020RMB)'!AP53*$B$73</f>
        <v>1240.5684309068408</v>
      </c>
      <c r="AQ53" s="90">
        <f>'增加值 (2001-2060, 2020RMB)'!AQ53*$B$73</f>
        <v>1276.2136309782575</v>
      </c>
      <c r="AR53" s="90">
        <f>'增加值 (2001-2060, 2020RMB)'!AR53*$B$73</f>
        <v>1309.6375998638589</v>
      </c>
      <c r="AS53" s="90">
        <f>'增加值 (2001-2060, 2020RMB)'!AS53*$B$73</f>
        <v>1341.096488722507</v>
      </c>
      <c r="AT53" s="90">
        <f>'增加值 (2001-2060, 2020RMB)'!AT53*$B$73</f>
        <v>1370.9009604085031</v>
      </c>
      <c r="AU53" s="89">
        <f>'增加值 (2001-2060, 2020RMB)'!AU53*$B$73</f>
        <v>1399.4111571672731</v>
      </c>
      <c r="AV53" s="90">
        <f>'增加值 (2001-2060, 2020RMB)'!AV53*$B$73</f>
        <v>1427.0323252021328</v>
      </c>
      <c r="AW53" s="90">
        <f>'增加值 (2001-2060, 2020RMB)'!AW53*$B$73</f>
        <v>1454.2114108920427</v>
      </c>
      <c r="AX53" s="90">
        <f>'增加值 (2001-2060, 2020RMB)'!AX53*$B$73</f>
        <v>1481.4349115143871</v>
      </c>
      <c r="AY53" s="101">
        <f>'增加值 (2001-2060, 2020RMB)'!AY53*$B$73</f>
        <v>1509.2282391816614</v>
      </c>
      <c r="AZ53" s="89">
        <f>'增加值 (2001-2060, 2020RMB)'!AZ53*$B$73</f>
        <v>1538.156844280735</v>
      </c>
      <c r="BA53" s="90">
        <f>'增加值 (2001-2060, 2020RMB)'!BA53*$B$73</f>
        <v>1568.8293476441011</v>
      </c>
      <c r="BB53" s="90">
        <f>'增加值 (2001-2060, 2020RMB)'!BB53*$B$73</f>
        <v>1601.902952547118</v>
      </c>
      <c r="BC53" s="90">
        <f>'增加值 (2001-2060, 2020RMB)'!BC53*$B$73</f>
        <v>1638.0914522302937</v>
      </c>
      <c r="BD53" s="101">
        <f>'增加值 (2001-2060, 2020RMB)'!BD53*$B$73</f>
        <v>1678.1762204867841</v>
      </c>
      <c r="BE53" s="90">
        <f>'增加值 (2001-2060, 2020RMB)'!BE53*$B$73</f>
        <v>1723.0206776411553</v>
      </c>
      <c r="BF53" s="90">
        <f>'增加值 (2001-2060, 2020RMB)'!BF53*$B$73</f>
        <v>1773.5888695781643</v>
      </c>
      <c r="BG53" s="90">
        <f>'增加值 (2001-2060, 2020RMB)'!BG53*$B$73</f>
        <v>1830.9689937322148</v>
      </c>
      <c r="BH53" s="90">
        <f>'增加值 (2001-2060, 2020RMB)'!BH53*$B$73</f>
        <v>1896.4029674232729</v>
      </c>
      <c r="BI53" s="109">
        <f>'增加值 (2001-2060, 2020RMB)'!BI53*$B$73</f>
        <v>1971.3234804294707</v>
      </c>
    </row>
    <row r="54" spans="1:61" x14ac:dyDescent="0.2">
      <c r="A54" s="31" t="s">
        <v>110</v>
      </c>
      <c r="B54" s="19"/>
      <c r="C54" s="20"/>
      <c r="D54" s="20"/>
      <c r="E54" s="20"/>
      <c r="F54" s="21"/>
      <c r="G54" s="19"/>
      <c r="H54" s="20"/>
      <c r="I54" s="20">
        <f>'增加值 (2001-2060, 2020RMB)'!I54*$B$73</f>
        <v>106.41260783441682</v>
      </c>
      <c r="J54" s="20">
        <f>'增加值 (2001-2060, 2020RMB)'!J54*$B$73</f>
        <v>106.01747682394466</v>
      </c>
      <c r="K54" s="21">
        <f>'增加值 (2001-2060, 2020RMB)'!K54*$B$73</f>
        <v>108.72061703685718</v>
      </c>
      <c r="L54" s="25">
        <f>'增加值 (2001-2060, 2020RMB)'!L54*$B$73</f>
        <v>112.09366041509065</v>
      </c>
      <c r="M54" s="26">
        <f>'增加值 (2001-2060, 2020RMB)'!M54*$B$73</f>
        <v>111.51452051101201</v>
      </c>
      <c r="N54" s="26">
        <f>'增加值 (2001-2060, 2020RMB)'!N54*$B$73</f>
        <v>113.03205913023037</v>
      </c>
      <c r="O54" s="26">
        <f>'增加值 (2001-2060, 2020RMB)'!O54*$B$73</f>
        <v>116.38619015098108</v>
      </c>
      <c r="P54" s="26">
        <f>'增加值 (2001-2060, 2020RMB)'!P54*$B$73</f>
        <v>116.59976918770862</v>
      </c>
      <c r="Q54" s="25">
        <f>'增加值 (2001-2060, 2020RMB)'!Q54*$B$73</f>
        <v>121.7531333299423</v>
      </c>
      <c r="R54" s="26">
        <f>'增加值 (2001-2060, 2020RMB)'!R54*$B$73</f>
        <v>133.96162549530575</v>
      </c>
      <c r="S54" s="26">
        <f>'增加值 (2001-2060, 2020RMB)'!S54*$B$73</f>
        <v>142.45560376808243</v>
      </c>
      <c r="T54" s="26">
        <f>'增加值 (2001-2060, 2020RMB)'!T54*$B$73</f>
        <v>148.20170190389067</v>
      </c>
      <c r="U54" s="27">
        <f>'增加值 (2001-2060, 2020RMB)'!U54*$B$73</f>
        <v>150.38995216573491</v>
      </c>
      <c r="V54" s="26">
        <f>'增加值 (2001-2060, 2020RMB)'!V54*$B$73</f>
        <v>171.45992894014705</v>
      </c>
      <c r="W54" s="26">
        <f>'增加值 (2001-2060, 2020RMB)'!W54*$B$73</f>
        <v>178.87718995463754</v>
      </c>
      <c r="X54" s="92">
        <f>'增加值 (2001-2060, 2020RMB)'!X54*$B$73</f>
        <v>188.62045461426217</v>
      </c>
      <c r="Y54" s="92">
        <f>'增加值 (2001-2060, 2020RMB)'!Y54*$B$73</f>
        <v>199.15106833089223</v>
      </c>
      <c r="Z54" s="92">
        <f>'增加值 (2001-2060, 2020RMB)'!Z54*$B$73</f>
        <v>210.38559939335096</v>
      </c>
      <c r="AA54" s="91">
        <f>'增加值 (2001-2060, 2020RMB)'!AA54*$B$73</f>
        <v>222.21244649354222</v>
      </c>
      <c r="AB54" s="92">
        <f>'增加值 (2001-2060, 2020RMB)'!AB54*$B$73</f>
        <v>234.48725373603881</v>
      </c>
      <c r="AC54" s="92">
        <f>'增加值 (2001-2060, 2020RMB)'!AC54*$B$73</f>
        <v>247.0290761302789</v>
      </c>
      <c r="AD54" s="92">
        <f>'增加值 (2001-2060, 2020RMB)'!AD54*$B$73</f>
        <v>259.61774211325553</v>
      </c>
      <c r="AE54" s="102">
        <f>'增加值 (2001-2060, 2020RMB)'!AE54*$B$73</f>
        <v>271.99292640200559</v>
      </c>
      <c r="AF54" s="92">
        <f>'增加值 (2001-2060, 2020RMB)'!AF54*$B$73</f>
        <v>283.89410656836003</v>
      </c>
      <c r="AG54" s="92">
        <f>'增加值 (2001-2060, 2020RMB)'!AG54*$B$73</f>
        <v>295.19270665699668</v>
      </c>
      <c r="AH54" s="92">
        <f>'增加值 (2001-2060, 2020RMB)'!AH54*$B$73</f>
        <v>305.8013470359561</v>
      </c>
      <c r="AI54" s="92">
        <f>'增加值 (2001-2060, 2020RMB)'!AI54*$B$73</f>
        <v>315.63978281564636</v>
      </c>
      <c r="AJ54" s="107">
        <f>'增加值 (2001-2060, 2020RMB)'!AJ54*$B$73</f>
        <v>324.63601183411203</v>
      </c>
      <c r="AK54" s="91">
        <f>'增加值 (2001-2060, 2020RMB)'!AK54*$B$73</f>
        <v>332.73652317216334</v>
      </c>
      <c r="AL54" s="92">
        <f>'增加值 (2001-2060, 2020RMB)'!AL54*$B$73</f>
        <v>339.9365908606211</v>
      </c>
      <c r="AM54" s="92">
        <f>'增加值 (2001-2060, 2020RMB)'!AM54*$B$73</f>
        <v>346.25496806831859</v>
      </c>
      <c r="AN54" s="92">
        <f>'增加值 (2001-2060, 2020RMB)'!AN54*$B$73</f>
        <v>351.72380939473635</v>
      </c>
      <c r="AO54" s="102">
        <f>'增加值 (2001-2060, 2020RMB)'!AO54*$B$73</f>
        <v>356.38726516032278</v>
      </c>
      <c r="AP54" s="92">
        <f>'增加值 (2001-2060, 2020RMB)'!AP54*$B$73</f>
        <v>360.29997946587446</v>
      </c>
      <c r="AQ54" s="92">
        <f>'增加值 (2001-2060, 2020RMB)'!AQ54*$B$73</f>
        <v>363.52555596711466</v>
      </c>
      <c r="AR54" s="92">
        <f>'增加值 (2001-2060, 2020RMB)'!AR54*$B$73</f>
        <v>366.13504899187114</v>
      </c>
      <c r="AS54" s="92">
        <f>'增加值 (2001-2060, 2020RMB)'!AS54*$B$73</f>
        <v>368.20553009051253</v>
      </c>
      <c r="AT54" s="92">
        <f>'增加值 (2001-2060, 2020RMB)'!AT54*$B$73</f>
        <v>369.81877197121736</v>
      </c>
      <c r="AU54" s="91">
        <f>'增加值 (2001-2060, 2020RMB)'!AU54*$B$73</f>
        <v>371.06008357984081</v>
      </c>
      <c r="AV54" s="92">
        <f>'增加值 (2001-2060, 2020RMB)'!AV54*$B$73</f>
        <v>372.0173223056608</v>
      </c>
      <c r="AW54" s="92">
        <f>'增加值 (2001-2060, 2020RMB)'!AW54*$B$73</f>
        <v>372.78010230415305</v>
      </c>
      <c r="AX54" s="92">
        <f>'增加值 (2001-2060, 2020RMB)'!AX54*$B$73</f>
        <v>373.4392120112999</v>
      </c>
      <c r="AY54" s="102">
        <f>'增加值 (2001-2060, 2020RMB)'!AY54*$B$73</f>
        <v>374.08624928374547</v>
      </c>
      <c r="AZ54" s="91">
        <f>'增加值 (2001-2060, 2020RMB)'!AZ54*$B$73</f>
        <v>374.81347936954802</v>
      </c>
      <c r="BA54" s="92">
        <f>'增加值 (2001-2060, 2020RMB)'!BA54*$B$73</f>
        <v>375.71391917727027</v>
      </c>
      <c r="BB54" s="92">
        <f>'增加值 (2001-2060, 2020RMB)'!BB54*$B$73</f>
        <v>376.88165111527513</v>
      </c>
      <c r="BC54" s="92">
        <f>'增加值 (2001-2060, 2020RMB)'!BC54*$B$73</f>
        <v>378.41237115405625</v>
      </c>
      <c r="BD54" s="102">
        <f>'增加值 (2001-2060, 2020RMB)'!BD54*$B$73</f>
        <v>380.40417876598161</v>
      </c>
      <c r="BE54" s="92">
        <f>'增加值 (2001-2060, 2020RMB)'!BE54*$B$73</f>
        <v>382.95862109269723</v>
      </c>
      <c r="BF54" s="92">
        <f>'增加值 (2001-2060, 2020RMB)'!BF54*$B$73</f>
        <v>386.18201020738377</v>
      </c>
      <c r="BG54" s="92">
        <f>'增加值 (2001-2060, 2020RMB)'!BG54*$B$73</f>
        <v>390.18704088212377</v>
      </c>
      <c r="BH54" s="92">
        <f>'增加值 (2001-2060, 2020RMB)'!BH54*$B$73</f>
        <v>395.09474715182535</v>
      </c>
      <c r="BI54" s="110">
        <f>'增加值 (2001-2060, 2020RMB)'!BI54*$B$73</f>
        <v>401.03684963932193</v>
      </c>
    </row>
    <row r="55" spans="1:61" x14ac:dyDescent="0.2">
      <c r="A55" s="32"/>
      <c r="B55" s="35"/>
      <c r="C55" s="36"/>
      <c r="D55" s="36"/>
      <c r="E55" s="36"/>
      <c r="F55" s="37"/>
      <c r="G55" s="35"/>
      <c r="H55" s="36"/>
      <c r="I55" s="36"/>
      <c r="J55" s="36"/>
      <c r="K55" s="37"/>
      <c r="L55" s="25"/>
      <c r="M55" s="26"/>
      <c r="N55" s="26"/>
      <c r="O55" s="26"/>
      <c r="P55" s="27"/>
      <c r="Q55" s="25"/>
      <c r="R55" s="26"/>
      <c r="S55" s="26"/>
      <c r="T55" s="26"/>
      <c r="U55" s="27"/>
      <c r="V55" s="25"/>
      <c r="W55" s="26"/>
      <c r="X55" s="26"/>
      <c r="Y55" s="26"/>
      <c r="Z55" s="27"/>
      <c r="AA55" s="25"/>
      <c r="AB55" s="26"/>
      <c r="AC55" s="26"/>
      <c r="AD55" s="26"/>
      <c r="AE55" s="27"/>
      <c r="AF55" s="25"/>
      <c r="AG55" s="26"/>
      <c r="AH55" s="26"/>
      <c r="AI55" s="26"/>
      <c r="AJ55" s="27"/>
      <c r="AK55" s="25"/>
      <c r="AL55" s="26"/>
      <c r="AM55" s="26"/>
      <c r="AN55" s="26"/>
      <c r="AO55" s="27"/>
      <c r="AP55" s="25"/>
      <c r="AQ55" s="26"/>
      <c r="AR55" s="26"/>
      <c r="AS55" s="26"/>
      <c r="AT55" s="27"/>
      <c r="AU55" s="25"/>
      <c r="AV55" s="26"/>
      <c r="AW55" s="26"/>
      <c r="AX55" s="26"/>
      <c r="AY55" s="27"/>
      <c r="AZ55" s="25"/>
      <c r="BA55" s="26"/>
      <c r="BB55" s="26"/>
      <c r="BC55" s="26"/>
      <c r="BD55" s="27"/>
      <c r="BE55" s="25"/>
      <c r="BF55" s="26"/>
      <c r="BG55" s="26"/>
      <c r="BH55" s="26"/>
      <c r="BI55" s="27"/>
    </row>
    <row r="56" spans="1:61" s="9" customFormat="1" x14ac:dyDescent="0.2">
      <c r="A56" s="4" t="s">
        <v>35</v>
      </c>
      <c r="B56" s="6">
        <f>'增加值 (2001-2060, 2020RMB)'!B56*$B$73</f>
        <v>11730.482669734743</v>
      </c>
      <c r="C56" s="7">
        <f>'增加值 (2001-2060, 2020RMB)'!C56*$B$73</f>
        <v>13108.874183657019</v>
      </c>
      <c r="D56" s="7">
        <f>'增加值 (2001-2060, 2020RMB)'!D56*$B$73</f>
        <v>14337.784240769022</v>
      </c>
      <c r="E56" s="7">
        <f>'增加值 (2001-2060, 2020RMB)'!E56*$B$73</f>
        <v>15459.422375449758</v>
      </c>
      <c r="F56" s="8">
        <f>'增加值 (2001-2060, 2020RMB)'!F56*$B$73</f>
        <v>17273.636063649894</v>
      </c>
      <c r="G56" s="6">
        <f>'增加值 (2001-2060, 2020RMB)'!G56*$B$73</f>
        <v>19694.761127124206</v>
      </c>
      <c r="H56" s="7">
        <f>'增加值 (2001-2060, 2020RMB)'!H56*$B$73</f>
        <v>23078.243406504054</v>
      </c>
      <c r="I56" s="7">
        <f>'增加值 (2001-2060, 2020RMB)'!I56*$B$73</f>
        <v>25291.651582382106</v>
      </c>
      <c r="J56" s="7">
        <f>'增加值 (2001-2060, 2020RMB)'!J56*$B$73</f>
        <v>28679.622191899831</v>
      </c>
      <c r="K56" s="8">
        <f>'增加值 (2001-2060, 2020RMB)'!K56*$B$73</f>
        <v>31561.511645681105</v>
      </c>
      <c r="L56" s="6">
        <f>'增加值 (2001-2060, 2020RMB)'!L56*$B$73</f>
        <v>34671.929868600484</v>
      </c>
      <c r="M56" s="7">
        <f>'增加值 (2001-2060, 2020RMB)'!M56*$B$73</f>
        <v>38404.500506279139</v>
      </c>
      <c r="N56" s="7">
        <f>'增加值 (2001-2060, 2020RMB)'!N56*$B$73</f>
        <v>42701.586933757055</v>
      </c>
      <c r="O56" s="7">
        <f>'增加值 (2001-2060, 2020RMB)'!O56*$B$73</f>
        <v>47241.243324139745</v>
      </c>
      <c r="P56" s="8">
        <f>'增加值 (2001-2060, 2020RMB)'!P56*$B$73</f>
        <v>53180.755179823311</v>
      </c>
      <c r="Q56" s="6">
        <f>'增加值 (2001-2060, 2020RMB)'!Q56*$B$73</f>
        <v>58589.483647686553</v>
      </c>
      <c r="R56" s="7">
        <f>'增加值 (2001-2060, 2020RMB)'!R56*$B$73</f>
        <v>63053.676079981604</v>
      </c>
      <c r="S56" s="7">
        <f>'增加值 (2001-2060, 2020RMB)'!S56*$B$73</f>
        <v>68013.466806064927</v>
      </c>
      <c r="T56" s="7">
        <f>'增加值 (2001-2060, 2020RMB)'!T56*$B$73</f>
        <v>73452.648769989857</v>
      </c>
      <c r="U56" s="8">
        <f>'增加值 (2001-2060, 2020RMB)'!U56*$B$73</f>
        <v>75322.905301471183</v>
      </c>
      <c r="V56" s="6">
        <f>'增加值 (2001-2060, 2020RMB)'!V56*$B$73</f>
        <v>80297.687979749375</v>
      </c>
      <c r="W56" s="7">
        <f>'增加值 (2001-2060, 2020RMB)'!W56*$B$73</f>
        <v>81482.999677440661</v>
      </c>
      <c r="X56" s="85">
        <f>'增加值 (2001-2060, 2020RMB)'!X56*$B$73</f>
        <v>86643.337237006679</v>
      </c>
      <c r="Y56" s="85">
        <f>'增加值 (2001-2060, 2020RMB)'!Y56*$B$73</f>
        <v>92254.118406261594</v>
      </c>
      <c r="Z56" s="86">
        <f>'增加值 (2001-2060, 2020RMB)'!Z56*$B$73</f>
        <v>98282.956376797694</v>
      </c>
      <c r="AA56" s="87">
        <f>'增加值 (2001-2060, 2020RMB)'!AA56*$B$73</f>
        <v>104683.00276496579</v>
      </c>
      <c r="AB56" s="85">
        <f>'增加值 (2001-2060, 2020RMB)'!AB56*$B$73</f>
        <v>111390.13027318096</v>
      </c>
      <c r="AC56" s="85">
        <f>'增加值 (2001-2060, 2020RMB)'!AC56*$B$73</f>
        <v>118320.43704436744</v>
      </c>
      <c r="AD56" s="85">
        <f>'增加值 (2001-2060, 2020RMB)'!AD56*$B$73</f>
        <v>125368.32238009569</v>
      </c>
      <c r="AE56" s="88">
        <f>'增加值 (2001-2060, 2020RMB)'!AE56*$B$73</f>
        <v>132405.43208345975</v>
      </c>
      <c r="AF56" s="87">
        <f>'增加值 (2001-2060, 2020RMB)'!AF56*$B$73</f>
        <v>139313.86751492773</v>
      </c>
      <c r="AG56" s="85">
        <f>'增加值 (2001-2060, 2020RMB)'!AG56*$B$73</f>
        <v>146099.33263304684</v>
      </c>
      <c r="AH56" s="85">
        <f>'增加值 (2001-2060, 2020RMB)'!AH56*$B$73</f>
        <v>152814.79925374303</v>
      </c>
      <c r="AI56" s="85">
        <f>'增加值 (2001-2060, 2020RMB)'!AI56*$B$73</f>
        <v>159530.50242320175</v>
      </c>
      <c r="AJ56" s="88">
        <f>'增加值 (2001-2060, 2020RMB)'!AJ56*$B$73</f>
        <v>166333.97820435607</v>
      </c>
      <c r="AK56" s="87">
        <f>'增加值 (2001-2060, 2020RMB)'!AK56*$B$73</f>
        <v>173308.22764249661</v>
      </c>
      <c r="AL56" s="85">
        <f>'增加值 (2001-2060, 2020RMB)'!AL56*$B$73</f>
        <v>180458.57175203558</v>
      </c>
      <c r="AM56" s="85">
        <f>'增加值 (2001-2060, 2020RMB)'!AM56*$B$73</f>
        <v>187767.38372671767</v>
      </c>
      <c r="AN56" s="85">
        <f>'增加值 (2001-2060, 2020RMB)'!AN56*$B$73</f>
        <v>195214.50770920658</v>
      </c>
      <c r="AO56" s="88">
        <f>'增加值 (2001-2060, 2020RMB)'!AO56*$B$73</f>
        <v>202777.16786940247</v>
      </c>
      <c r="AP56" s="87">
        <f>'增加值 (2001-2060, 2020RMB)'!AP56*$B$73</f>
        <v>210429.90501237809</v>
      </c>
      <c r="AQ56" s="85">
        <f>'增加值 (2001-2060, 2020RMB)'!AQ56*$B$73</f>
        <v>218144.54534885276</v>
      </c>
      <c r="AR56" s="85">
        <f>'增加值 (2001-2060, 2020RMB)'!AR56*$B$73</f>
        <v>225890.20604501251</v>
      </c>
      <c r="AS56" s="85">
        <f>'增加值 (2001-2060, 2020RMB)'!AS56*$B$73</f>
        <v>233633.34201435882</v>
      </c>
      <c r="AT56" s="88">
        <f>'增加值 (2001-2060, 2020RMB)'!AT56*$B$73</f>
        <v>241337.8381047514</v>
      </c>
      <c r="AU56" s="87">
        <f>'增加值 (2001-2060, 2020RMB)'!AU56*$B$73</f>
        <v>248965.15035417004</v>
      </c>
      <c r="AV56" s="85">
        <f>'增加值 (2001-2060, 2020RMB)'!AV56*$B$73</f>
        <v>256474.49932801328</v>
      </c>
      <c r="AW56" s="85">
        <f>'增加值 (2001-2060, 2020RMB)'!AW56*$B$73</f>
        <v>263823.11770312226</v>
      </c>
      <c r="AX56" s="85">
        <f>'增加值 (2001-2060, 2020RMB)'!AX56*$B$73</f>
        <v>270966.55322962353</v>
      </c>
      <c r="AY56" s="88">
        <f>'增加值 (2001-2060, 2020RMB)'!AY56*$B$73</f>
        <v>277859.02698912629</v>
      </c>
      <c r="AZ56" s="87">
        <f>'增加值 (2001-2060, 2020RMB)'!AZ56*$B$73</f>
        <v>284453.84549331816</v>
      </c>
      <c r="BA56" s="85">
        <f>'增加值 (2001-2060, 2020RMB)'!BA56*$B$73</f>
        <v>290703.86365647631</v>
      </c>
      <c r="BB56" s="85">
        <f>'增加值 (2001-2060, 2020RMB)'!BB56*$B$73</f>
        <v>296561.99406447296</v>
      </c>
      <c r="BC56" s="85">
        <f>'增加值 (2001-2060, 2020RMB)'!BC56*$B$73</f>
        <v>301981.75629689341</v>
      </c>
      <c r="BD56" s="88">
        <f>'增加值 (2001-2060, 2020RMB)'!BD56*$B$73</f>
        <v>306917.85839243786</v>
      </c>
      <c r="BE56" s="87">
        <f>'增加值 (2001-2060, 2020RMB)'!BE56*$B$73</f>
        <v>311326.80094327999</v>
      </c>
      <c r="BF56" s="85">
        <f>'增加值 (2001-2060, 2020RMB)'!BF56*$B$73</f>
        <v>315167.49283010006</v>
      </c>
      <c r="BG56" s="85">
        <f>'增加值 (2001-2060, 2020RMB)'!BG56*$B$73</f>
        <v>318401.86633810081</v>
      </c>
      <c r="BH56" s="85">
        <f>'增加值 (2001-2060, 2020RMB)'!BH56*$B$73</f>
        <v>320995.47839778278</v>
      </c>
      <c r="BI56" s="88">
        <f>'增加值 (2001-2060, 2020RMB)'!BI56*$B$73</f>
        <v>322918.08404152474</v>
      </c>
    </row>
    <row r="57" spans="1:61" s="9" customFormat="1" x14ac:dyDescent="0.2">
      <c r="A57" s="10" t="s">
        <v>4</v>
      </c>
      <c r="B57" s="22">
        <f>'增加值 (2001-2060, 2020RMB)'!B57*$B$73</f>
        <v>1779.9865638888584</v>
      </c>
      <c r="C57" s="23">
        <f>'增加值 (2001-2060, 2020RMB)'!C57*$B$73</f>
        <v>1929.1588520812261</v>
      </c>
      <c r="D57" s="23">
        <f>'增加值 (2001-2060, 2020RMB)'!D57*$B$73</f>
        <v>1985.0248512961471</v>
      </c>
      <c r="E57" s="23">
        <f>'增加值 (2001-2060, 2020RMB)'!E57*$B$73</f>
        <v>2182.07444004124</v>
      </c>
      <c r="F57" s="24">
        <f>'增加值 (2001-2060, 2020RMB)'!F57*$B$73</f>
        <v>2407.624493080024</v>
      </c>
      <c r="G57" s="22">
        <f>'增加值 (2001-2060, 2020RMB)'!G57*$B$73</f>
        <v>2645.6825519970384</v>
      </c>
      <c r="H57" s="23">
        <f>'增加值 (2001-2060, 2020RMB)'!H57*$B$73</f>
        <v>2941.9624785618234</v>
      </c>
      <c r="I57" s="23">
        <f>'增加值 (2001-2060, 2020RMB)'!I57*$B$73</f>
        <v>3059.9397008816027</v>
      </c>
      <c r="J57" s="23">
        <f>'增加值 (2001-2060, 2020RMB)'!J57*$B$73</f>
        <v>3095.4018659274147</v>
      </c>
      <c r="K57" s="24">
        <f>'增加值 (2001-2060, 2020RMB)'!K57*$B$73</f>
        <v>3291.39308279641</v>
      </c>
      <c r="L57" s="22">
        <f>'增加值 (2001-2060, 2020RMB)'!L57*$B$73</f>
        <v>3542.9109069855335</v>
      </c>
      <c r="M57" s="23">
        <f>'增加值 (2001-2060, 2020RMB)'!M57*$B$73</f>
        <v>3767.9972255756365</v>
      </c>
      <c r="N57" s="23">
        <f>'增加值 (2001-2060, 2020RMB)'!N57*$B$73</f>
        <v>4043.2714638691973</v>
      </c>
      <c r="O57" s="23">
        <f>'增加值 (2001-2060, 2020RMB)'!O57*$B$73</f>
        <v>4383.8584752774987</v>
      </c>
      <c r="P57" s="24">
        <f>'增加值 (2001-2060, 2020RMB)'!P57*$B$73</f>
        <v>4687.1653536769218</v>
      </c>
      <c r="Q57" s="22">
        <f>'增加值 (2001-2060, 2020RMB)'!Q57*$B$73</f>
        <v>4999.8462132332597</v>
      </c>
      <c r="R57" s="23">
        <f>'增加值 (2001-2060, 2020RMB)'!R57*$B$73</f>
        <v>5388.8957503803813</v>
      </c>
      <c r="S57" s="23">
        <f>'增加值 (2001-2060, 2020RMB)'!S57*$B$73</f>
        <v>5655.0114353556883</v>
      </c>
      <c r="T57" s="23">
        <f>'增加值 (2001-2060, 2020RMB)'!T57*$B$73</f>
        <v>5880.6127058084239</v>
      </c>
      <c r="U57" s="23">
        <f>'增加值 (2001-2060, 2020RMB)'!U57*$B$73</f>
        <v>5590.1498155235904</v>
      </c>
      <c r="V57" s="22">
        <f>'增加值 (2001-2060, 2020RMB)'!V57*$B$73</f>
        <v>6197.4853776568434</v>
      </c>
      <c r="W57" s="23">
        <f>'增加值 (2001-2060, 2020RMB)'!W57*$B$73</f>
        <v>6398.3223470050361</v>
      </c>
      <c r="X57" s="98">
        <f>'增加值 (2001-2060, 2020RMB)'!X57*$B$73</f>
        <v>6654.6812683330163</v>
      </c>
      <c r="Y57" s="98">
        <f>'增加值 (2001-2060, 2020RMB)'!Y57*$B$73</f>
        <v>6927.4432626881326</v>
      </c>
      <c r="Z57" s="99">
        <f>'增加值 (2001-2060, 2020RMB)'!Z57*$B$73</f>
        <v>7213.0466999280616</v>
      </c>
      <c r="AA57" s="98">
        <f>'增加值 (2001-2060, 2020RMB)'!AA57*$B$73</f>
        <v>7507.2353743551575</v>
      </c>
      <c r="AB57" s="98">
        <f>'增加值 (2001-2060, 2020RMB)'!AB57*$B$73</f>
        <v>7804.9893853296271</v>
      </c>
      <c r="AC57" s="98">
        <f>'增加值 (2001-2060, 2020RMB)'!AC57*$B$73</f>
        <v>8100.4858998664104</v>
      </c>
      <c r="AD57" s="98">
        <f>'增加值 (2001-2060, 2020RMB)'!AD57*$B$73</f>
        <v>8387.0989553372656</v>
      </c>
      <c r="AE57" s="98">
        <f>'增加值 (2001-2060, 2020RMB)'!AE57*$B$73</f>
        <v>8657.4477764886633</v>
      </c>
      <c r="AF57" s="100">
        <f>'增加值 (2001-2060, 2020RMB)'!AF57*$B$73</f>
        <v>8905.3976350028079</v>
      </c>
      <c r="AG57" s="98">
        <f>'增加值 (2001-2060, 2020RMB)'!AG57*$B$73</f>
        <v>9132.2902345712137</v>
      </c>
      <c r="AH57" s="98">
        <f>'增加值 (2001-2060, 2020RMB)'!AH57*$B$73</f>
        <v>9341.9838596475292</v>
      </c>
      <c r="AI57" s="98">
        <f>'增加值 (2001-2060, 2020RMB)'!AI57*$B$73</f>
        <v>9538.9725973853128</v>
      </c>
      <c r="AJ57" s="99">
        <f>'增加值 (2001-2060, 2020RMB)'!AJ57*$B$73</f>
        <v>9728.3062712235424</v>
      </c>
      <c r="AK57" s="98">
        <f>'增加值 (2001-2060, 2020RMB)'!AK57*$B$73</f>
        <v>9914.3322963901337</v>
      </c>
      <c r="AL57" s="98">
        <f>'增加值 (2001-2060, 2020RMB)'!AL57*$B$73</f>
        <v>10096.883432646555</v>
      </c>
      <c r="AM57" s="98">
        <f>'增加值 (2001-2060, 2020RMB)'!AM57*$B$73</f>
        <v>10274.56102019303</v>
      </c>
      <c r="AN57" s="98">
        <f>'增加值 (2001-2060, 2020RMB)'!AN57*$B$73</f>
        <v>10445.895997777652</v>
      </c>
      <c r="AO57" s="98">
        <f>'增加值 (2001-2060, 2020RMB)'!AO57*$B$73</f>
        <v>10609.356291394701</v>
      </c>
      <c r="AP57" s="100">
        <f>'增加值 (2001-2060, 2020RMB)'!AP57*$B$73</f>
        <v>10763.356201571021</v>
      </c>
      <c r="AQ57" s="98">
        <f>'增加值 (2001-2060, 2020RMB)'!AQ57*$B$73</f>
        <v>10906.267859856009</v>
      </c>
      <c r="AR57" s="98">
        <f>'增加值 (2001-2060, 2020RMB)'!AR57*$B$73</f>
        <v>11036.434788387274</v>
      </c>
      <c r="AS57" s="98">
        <f>'增加值 (2001-2060, 2020RMB)'!AS57*$B$73</f>
        <v>11152.187552654035</v>
      </c>
      <c r="AT57" s="99">
        <f>'增加值 (2001-2060, 2020RMB)'!AT57*$B$73</f>
        <v>11251.861447122606</v>
      </c>
      <c r="AU57" s="98">
        <f>'增加值 (2001-2060, 2020RMB)'!AU57*$B$73</f>
        <v>11333.816096821827</v>
      </c>
      <c r="AV57" s="98">
        <f>'增加值 (2001-2060, 2020RMB)'!AV57*$B$73</f>
        <v>11396.456796255296</v>
      </c>
      <c r="AW57" s="98">
        <f>'增加值 (2001-2060, 2020RMB)'!AW57*$B$73</f>
        <v>11438.257341413209</v>
      </c>
      <c r="AX57" s="98">
        <f>'增加值 (2001-2060, 2020RMB)'!AX57*$B$73</f>
        <v>11457.784042874751</v>
      </c>
      <c r="AY57" s="98">
        <f>'增加值 (2001-2060, 2020RMB)'!AY57*$B$73</f>
        <v>11453.720540058432</v>
      </c>
      <c r="AZ57" s="100">
        <f>'增加值 (2001-2060, 2020RMB)'!AZ57*$B$73</f>
        <v>11424.892970968287</v>
      </c>
      <c r="BA57" s="98">
        <f>'增加值 (2001-2060, 2020RMB)'!BA57*$B$73</f>
        <v>11370.294990953893</v>
      </c>
      <c r="BB57" s="98">
        <f>'增加值 (2001-2060, 2020RMB)'!BB57*$B$73</f>
        <v>11289.112080928788</v>
      </c>
      <c r="BC57" s="98">
        <f>'增加值 (2001-2060, 2020RMB)'!BC57*$B$73</f>
        <v>11180.744543156237</v>
      </c>
      <c r="BD57" s="99">
        <f>'增加值 (2001-2060, 2020RMB)'!BD57*$B$73</f>
        <v>11044.828554098774</v>
      </c>
      <c r="BE57" s="98">
        <f>'增加值 (2001-2060, 2020RMB)'!BE57*$B$73</f>
        <v>10881.254631771344</v>
      </c>
      <c r="BF57" s="98">
        <f>'增加值 (2001-2060, 2020RMB)'!BF57*$B$73</f>
        <v>10690.182882067844</v>
      </c>
      <c r="BG57" s="98">
        <f>'增加值 (2001-2060, 2020RMB)'!BG57*$B$73</f>
        <v>10472.054416713525</v>
      </c>
      <c r="BH57" s="98">
        <f>'增加值 (2001-2060, 2020RMB)'!BH57*$B$73</f>
        <v>10227.598386255067</v>
      </c>
      <c r="BI57" s="99">
        <f>'增加值 (2001-2060, 2020RMB)'!BI57*$B$73</f>
        <v>9957.8341454785423</v>
      </c>
    </row>
    <row r="58" spans="1:61" s="9" customFormat="1" x14ac:dyDescent="0.2">
      <c r="A58" s="14" t="s">
        <v>5</v>
      </c>
      <c r="B58" s="19">
        <f>'增加值 (2001-2060, 2020RMB)'!B58*$B$73</f>
        <v>2362.7117797094429</v>
      </c>
      <c r="C58" s="20">
        <f>'增加值 (2001-2060, 2020RMB)'!C58*$B$73</f>
        <v>2573.3444367700249</v>
      </c>
      <c r="D58" s="20">
        <f>'增加值 (2001-2060, 2020RMB)'!D58*$B$73</f>
        <v>2801.7270959215039</v>
      </c>
      <c r="E58" s="20">
        <f>'增加值 (2001-2060, 2020RMB)'!E58*$B$73</f>
        <v>2920.4838349826118</v>
      </c>
      <c r="F58" s="21">
        <f>'增加值 (2001-2060, 2020RMB)'!F58*$B$73</f>
        <v>3152.2666777508543</v>
      </c>
      <c r="G58" s="19">
        <f>'增加值 (2001-2060, 2020RMB)'!G58*$B$73</f>
        <v>3589.4510971490809</v>
      </c>
      <c r="H58" s="20">
        <f>'增加值 (2001-2060, 2020RMB)'!H58*$B$73</f>
        <v>4218.2477668630136</v>
      </c>
      <c r="I58" s="20">
        <f>'增加值 (2001-2060, 2020RMB)'!I58*$B$73</f>
        <v>4895.5370973890995</v>
      </c>
      <c r="J58" s="20">
        <f>'增加值 (2001-2060, 2020RMB)'!J58*$B$73</f>
        <v>5433.8893236138974</v>
      </c>
      <c r="K58" s="21">
        <f>'增加值 (2001-2060, 2020RMB)'!K58*$B$73</f>
        <v>6292.0320746686066</v>
      </c>
      <c r="L58" s="19">
        <f>'增加值 (2001-2060, 2020RMB)'!L58*$B$73</f>
        <v>7094.0132342074357</v>
      </c>
      <c r="M58" s="20">
        <f>'增加值 (2001-2060, 2020RMB)'!M58*$B$73</f>
        <v>7902.1354756587762</v>
      </c>
      <c r="N58" s="20">
        <f>'增加值 (2001-2060, 2020RMB)'!N58*$B$73</f>
        <v>8739.1592692995291</v>
      </c>
      <c r="O58" s="20">
        <f>'增加值 (2001-2060, 2020RMB)'!O58*$B$73</f>
        <v>9705.1311198647836</v>
      </c>
      <c r="P58" s="21">
        <f>'增加值 (2001-2060, 2020RMB)'!P58*$B$73</f>
        <v>10400.3329964403</v>
      </c>
      <c r="Q58" s="19">
        <f>'增加值 (2001-2060, 2020RMB)'!Q58*$B$73</f>
        <v>11160.329112181693</v>
      </c>
      <c r="R58" s="20">
        <f>'增加值 (2001-2060, 2020RMB)'!R58*$B$73</f>
        <v>11781.305829047558</v>
      </c>
      <c r="S58" s="20">
        <f>'增加值 (2001-2060, 2020RMB)'!S58*$B$73</f>
        <v>12463.716870418164</v>
      </c>
      <c r="T58" s="20">
        <f>'增加值 (2001-2060, 2020RMB)'!T58*$B$73</f>
        <v>13245.465177376198</v>
      </c>
      <c r="U58" s="20">
        <f>'增加值 (2001-2060, 2020RMB)'!U58*$B$73</f>
        <v>13235.517772002033</v>
      </c>
      <c r="V58" s="19">
        <f>'增加值 (2001-2060, 2020RMB)'!V58*$B$73</f>
        <v>14550.774153396518</v>
      </c>
      <c r="W58" s="20">
        <f>'增加值 (2001-2060, 2020RMB)'!W58*$B$73</f>
        <v>14750.68615862355</v>
      </c>
      <c r="X58" s="90">
        <f>'增加值 (2001-2060, 2020RMB)'!X58*$B$73</f>
        <v>15380.346091313171</v>
      </c>
      <c r="Y58" s="90">
        <f>'增加值 (2001-2060, 2020RMB)'!Y58*$B$73</f>
        <v>16049.78830366162</v>
      </c>
      <c r="Z58" s="101">
        <f>'增加值 (2001-2060, 2020RMB)'!Z58*$B$73</f>
        <v>16750.917487772898</v>
      </c>
      <c r="AA58" s="90">
        <f>'增加值 (2001-2060, 2020RMB)'!AA58*$B$73</f>
        <v>17473.936635176673</v>
      </c>
      <c r="AB58" s="90">
        <f>'增加值 (2001-2060, 2020RMB)'!AB58*$B$73</f>
        <v>18207.174538389747</v>
      </c>
      <c r="AC58" s="90">
        <f>'增加值 (2001-2060, 2020RMB)'!AC58*$B$73</f>
        <v>18936.982239134733</v>
      </c>
      <c r="AD58" s="90">
        <f>'增加值 (2001-2060, 2020RMB)'!AD58*$B$73</f>
        <v>19647.720943495391</v>
      </c>
      <c r="AE58" s="90">
        <f>'增加值 (2001-2060, 2020RMB)'!AE58*$B$73</f>
        <v>20321.864869144287</v>
      </c>
      <c r="AF58" s="89">
        <f>'增加值 (2001-2060, 2020RMB)'!AF58*$B$73</f>
        <v>20944.702691110662</v>
      </c>
      <c r="AG58" s="90">
        <f>'增加值 (2001-2060, 2020RMB)'!AG58*$B$73</f>
        <v>21519.068710222244</v>
      </c>
      <c r="AH58" s="90">
        <f>'增加值 (2001-2060, 2020RMB)'!AH58*$B$73</f>
        <v>22053.7914524355</v>
      </c>
      <c r="AI58" s="90">
        <f>'增加值 (2001-2060, 2020RMB)'!AI58*$B$73</f>
        <v>22559.291750022923</v>
      </c>
      <c r="AJ58" s="101">
        <f>'增加值 (2001-2060, 2020RMB)'!AJ58*$B$73</f>
        <v>23047.400663140717</v>
      </c>
      <c r="AK58" s="90">
        <f>'增加值 (2001-2060, 2020RMB)'!AK58*$B$73</f>
        <v>23528.374618864615</v>
      </c>
      <c r="AL58" s="90">
        <f>'增加值 (2001-2060, 2020RMB)'!AL58*$B$73</f>
        <v>24001.798507912255</v>
      </c>
      <c r="AM58" s="90">
        <f>'增加值 (2001-2060, 2020RMB)'!AM58*$B$73</f>
        <v>24464.324744891841</v>
      </c>
      <c r="AN58" s="90">
        <f>'增加值 (2001-2060, 2020RMB)'!AN58*$B$73</f>
        <v>24912.423174214495</v>
      </c>
      <c r="AO58" s="90">
        <f>'增加值 (2001-2060, 2020RMB)'!AO58*$B$73</f>
        <v>25342.398013782993</v>
      </c>
      <c r="AP58" s="89">
        <f>'增加值 (2001-2060, 2020RMB)'!AP58*$B$73</f>
        <v>25750.409609970986</v>
      </c>
      <c r="AQ58" s="90">
        <f>'增加值 (2001-2060, 2020RMB)'!AQ58*$B$73</f>
        <v>26132.501198880353</v>
      </c>
      <c r="AR58" s="90">
        <f>'增加值 (2001-2060, 2020RMB)'!AR58*$B$73</f>
        <v>26484.630783257173</v>
      </c>
      <c r="AS58" s="90">
        <f>'增加值 (2001-2060, 2020RMB)'!AS58*$B$73</f>
        <v>26802.708131910789</v>
      </c>
      <c r="AT58" s="101">
        <f>'增加值 (2001-2060, 2020RMB)'!AT58*$B$73</f>
        <v>27082.636789585616</v>
      </c>
      <c r="AU58" s="90">
        <f>'增加值 (2001-2060, 2020RMB)'!AU58*$B$73</f>
        <v>27320.360851281323</v>
      </c>
      <c r="AV58" s="90">
        <f>'增加值 (2001-2060, 2020RMB)'!AV58*$B$73</f>
        <v>27511.916108079207</v>
      </c>
      <c r="AW58" s="90">
        <f>'增加值 (2001-2060, 2020RMB)'!AW58*$B$73</f>
        <v>27653.485014563706</v>
      </c>
      <c r="AX58" s="90">
        <f>'增加值 (2001-2060, 2020RMB)'!AX58*$B$73</f>
        <v>27741.454764743346</v>
      </c>
      <c r="AY58" s="90">
        <f>'增加值 (2001-2060, 2020RMB)'!AY58*$B$73</f>
        <v>27772.477598677458</v>
      </c>
      <c r="AZ58" s="89">
        <f>'增加值 (2001-2060, 2020RMB)'!AZ58*$B$73</f>
        <v>27743.532301310122</v>
      </c>
      <c r="BA58" s="90">
        <f>'增加值 (2001-2060, 2020RMB)'!BA58*$B$73</f>
        <v>27651.985704523384</v>
      </c>
      <c r="BB58" s="90">
        <f>'增加值 (2001-2060, 2020RMB)'!BB58*$B$73</f>
        <v>27495.652869909798</v>
      </c>
      <c r="BC58" s="90">
        <f>'增加值 (2001-2060, 2020RMB)'!BC58*$B$73</f>
        <v>27272.854520322951</v>
      </c>
      <c r="BD58" s="101">
        <f>'增加值 (2001-2060, 2020RMB)'!BD58*$B$73</f>
        <v>26982.47021002421</v>
      </c>
      <c r="BE58" s="90">
        <f>'增加值 (2001-2060, 2020RMB)'!BE58*$B$73</f>
        <v>26623.985683084313</v>
      </c>
      <c r="BF58" s="90">
        <f>'增加值 (2001-2060, 2020RMB)'!BF58*$B$73</f>
        <v>26197.5328738403</v>
      </c>
      <c r="BG58" s="90">
        <f>'增加值 (2001-2060, 2020RMB)'!BG58*$B$73</f>
        <v>25703.92105687235</v>
      </c>
      <c r="BH58" s="90">
        <f>'增加值 (2001-2060, 2020RMB)'!BH58*$B$73</f>
        <v>25144.657760938189</v>
      </c>
      <c r="BI58" s="101">
        <f>'增加值 (2001-2060, 2020RMB)'!BI58*$B$73</f>
        <v>24521.958223601156</v>
      </c>
    </row>
    <row r="59" spans="1:61" s="9" customFormat="1" x14ac:dyDescent="0.2">
      <c r="A59" s="14" t="s">
        <v>6</v>
      </c>
      <c r="B59" s="19">
        <f>'增加值 (2001-2060, 2020RMB)'!B59*$B$73</f>
        <v>621.73762635740661</v>
      </c>
      <c r="C59" s="20">
        <f>'增加值 (2001-2060, 2020RMB)'!C59*$B$73</f>
        <v>701.40934312089519</v>
      </c>
      <c r="D59" s="20">
        <f>'增加值 (2001-2060, 2020RMB)'!D59*$B$73</f>
        <v>784.023119679194</v>
      </c>
      <c r="E59" s="20">
        <f>'增加值 (2001-2060, 2020RMB)'!E59*$B$73</f>
        <v>859.27753805008717</v>
      </c>
      <c r="F59" s="21">
        <f>'增加值 (2001-2060, 2020RMB)'!F59*$B$73</f>
        <v>946.84220208606928</v>
      </c>
      <c r="G59" s="19">
        <f>'增加值 (2001-2060, 2020RMB)'!G59*$B$73</f>
        <v>1040.4879412701976</v>
      </c>
      <c r="H59" s="20">
        <f>'增加值 (2001-2060, 2020RMB)'!H59*$B$73</f>
        <v>1117.5755063168929</v>
      </c>
      <c r="I59" s="20">
        <f>'增加值 (2001-2060, 2020RMB)'!I59*$B$73</f>
        <v>1236.8867185783361</v>
      </c>
      <c r="J59" s="20">
        <f>'增加值 (2001-2060, 2020RMB)'!J59*$B$73</f>
        <v>1303.3645705985221</v>
      </c>
      <c r="K59" s="21">
        <f>'增加值 (2001-2060, 2020RMB)'!K59*$B$73</f>
        <v>1351.3502978409845</v>
      </c>
      <c r="L59" s="19">
        <f>'增加值 (2001-2060, 2020RMB)'!L59*$B$73</f>
        <v>1389.3621958929532</v>
      </c>
      <c r="M59" s="20">
        <f>'增加值 (2001-2060, 2020RMB)'!M59*$B$73</f>
        <v>1512.2126961264596</v>
      </c>
      <c r="N59" s="20">
        <f>'增加值 (2001-2060, 2020RMB)'!N59*$B$73</f>
        <v>1587.9994591149652</v>
      </c>
      <c r="O59" s="20">
        <f>'增加值 (2001-2060, 2020RMB)'!O59*$B$73</f>
        <v>1725.1118531088246</v>
      </c>
      <c r="P59" s="21">
        <f>'增加值 (2001-2060, 2020RMB)'!P59*$B$73</f>
        <v>1889.9629928040622</v>
      </c>
      <c r="Q59" s="19">
        <f>'增加值 (2001-2060, 2020RMB)'!Q59*$B$73</f>
        <v>2059.9329462084656</v>
      </c>
      <c r="R59" s="20">
        <f>'增加值 (2001-2060, 2020RMB)'!R59*$B$73</f>
        <v>2185.6428258717096</v>
      </c>
      <c r="S59" s="20">
        <f>'增加值 (2001-2060, 2020RMB)'!S59*$B$73</f>
        <v>2316.0799936271524</v>
      </c>
      <c r="T59" s="20">
        <f>'增加值 (2001-2060, 2020RMB)'!T59*$B$73</f>
        <v>2479.1704794945354</v>
      </c>
      <c r="U59" s="20">
        <f>'增加值 (2001-2060, 2020RMB)'!U59*$B$73</f>
        <v>2105.5093645403431</v>
      </c>
      <c r="V59" s="19">
        <f>'增加值 (2001-2060, 2020RMB)'!V59*$B$73</f>
        <v>2351.0073575080228</v>
      </c>
      <c r="W59" s="20">
        <f>'增加值 (2001-2060, 2020RMB)'!W59*$B$73</f>
        <v>2299.888371562397</v>
      </c>
      <c r="X59" s="90">
        <f>'增加值 (2001-2060, 2020RMB)'!X59*$B$73</f>
        <v>2407.4097850830121</v>
      </c>
      <c r="Y59" s="90">
        <f>'增加值 (2001-2060, 2020RMB)'!Y59*$B$73</f>
        <v>2521.6700122670818</v>
      </c>
      <c r="Z59" s="101">
        <f>'增加值 (2001-2060, 2020RMB)'!Z59*$B$73</f>
        <v>2641.4368340070018</v>
      </c>
      <c r="AA59" s="90">
        <f>'增加值 (2001-2060, 2020RMB)'!AA59*$B$73</f>
        <v>2765.1883839285852</v>
      </c>
      <c r="AB59" s="90">
        <f>'增加值 (2001-2060, 2020RMB)'!AB59*$B$73</f>
        <v>2891.0826759934666</v>
      </c>
      <c r="AC59" s="90">
        <f>'增加值 (2001-2060, 2020RMB)'!AC59*$B$73</f>
        <v>3016.937874195798</v>
      </c>
      <c r="AD59" s="90">
        <f>'增加值 (2001-2060, 2020RMB)'!AD59*$B$73</f>
        <v>3140.2271650024791</v>
      </c>
      <c r="AE59" s="90">
        <f>'增加值 (2001-2060, 2020RMB)'!AE59*$B$73</f>
        <v>3258.0923003933144</v>
      </c>
      <c r="AF59" s="89">
        <f>'增加值 (2001-2060, 2020RMB)'!AF59*$B$73</f>
        <v>3368.0982201642851</v>
      </c>
      <c r="AG59" s="90">
        <f>'增加值 (2001-2060, 2020RMB)'!AG59*$B$73</f>
        <v>3470.6211033748696</v>
      </c>
      <c r="AH59" s="90">
        <f>'增加值 (2001-2060, 2020RMB)'!AH59*$B$73</f>
        <v>3567.0192030105163</v>
      </c>
      <c r="AI59" s="90">
        <f>'增加值 (2001-2060, 2020RMB)'!AI59*$B$73</f>
        <v>3658.9306500094258</v>
      </c>
      <c r="AJ59" s="101">
        <f>'增加值 (2001-2060, 2020RMB)'!AJ59*$B$73</f>
        <v>3748.2460608232645</v>
      </c>
      <c r="AK59" s="90">
        <f>'增加值 (2001-2060, 2020RMB)'!AK59*$B$73</f>
        <v>3836.6223605759392</v>
      </c>
      <c r="AL59" s="90">
        <f>'增加值 (2001-2060, 2020RMB)'!AL59*$B$73</f>
        <v>3923.9871115257843</v>
      </c>
      <c r="AM59" s="90">
        <f>'增加值 (2001-2060, 2020RMB)'!AM59*$B$73</f>
        <v>4009.7872007189781</v>
      </c>
      <c r="AN59" s="90">
        <f>'增加值 (2001-2060, 2020RMB)'!AN59*$B$73</f>
        <v>4093.4358489077208</v>
      </c>
      <c r="AO59" s="90">
        <f>'增加值 (2001-2060, 2020RMB)'!AO59*$B$73</f>
        <v>4174.3151931215216</v>
      </c>
      <c r="AP59" s="89">
        <f>'增加值 (2001-2060, 2020RMB)'!AP59*$B$73</f>
        <v>4251.7796705760438</v>
      </c>
      <c r="AQ59" s="90">
        <f>'增加值 (2001-2060, 2020RMB)'!AQ59*$B$73</f>
        <v>4325.1602425498768</v>
      </c>
      <c r="AR59" s="90">
        <f>'增加值 (2001-2060, 2020RMB)'!AR59*$B$73</f>
        <v>4393.7694833686028</v>
      </c>
      <c r="AS59" s="90">
        <f>'增加值 (2001-2060, 2020RMB)'!AS59*$B$73</f>
        <v>4456.9075433129246</v>
      </c>
      <c r="AT59" s="101">
        <f>'增加值 (2001-2060, 2020RMB)'!AT59*$B$73</f>
        <v>4513.8689751757956</v>
      </c>
      <c r="AU59" s="90">
        <f>'增加值 (2001-2060, 2020RMB)'!AU59*$B$73</f>
        <v>4563.95039250838</v>
      </c>
      <c r="AV59" s="90">
        <f>'增加值 (2001-2060, 2020RMB)'!AV59*$B$73</f>
        <v>4606.4589036182833</v>
      </c>
      <c r="AW59" s="90">
        <f>'增加值 (2001-2060, 2020RMB)'!AW59*$B$73</f>
        <v>4640.721239558563</v>
      </c>
      <c r="AX59" s="90">
        <f>'增加值 (2001-2060, 2020RMB)'!AX59*$B$73</f>
        <v>4666.0934672545063</v>
      </c>
      <c r="AY59" s="90">
        <f>'增加值 (2001-2060, 2020RMB)'!AY59*$B$73</f>
        <v>4681.9711512884651</v>
      </c>
      <c r="AZ59" s="89">
        <f>'增加值 (2001-2060, 2020RMB)'!AZ59*$B$73</f>
        <v>4687.7998005632599</v>
      </c>
      <c r="BA59" s="90">
        <f>'增加值 (2001-2060, 2020RMB)'!BA59*$B$73</f>
        <v>4683.085410082148</v>
      </c>
      <c r="BB59" s="90">
        <f>'增加值 (2001-2060, 2020RMB)'!BB59*$B$73</f>
        <v>4667.4048844998179</v>
      </c>
      <c r="BC59" s="90">
        <f>'增加值 (2001-2060, 2020RMB)'!BC59*$B$73</f>
        <v>4640.4161100684778</v>
      </c>
      <c r="BD59" s="101">
        <f>'增加值 (2001-2060, 2020RMB)'!BD59*$B$73</f>
        <v>4601.867426296255</v>
      </c>
      <c r="BE59" s="90">
        <f>'增加值 (2001-2060, 2020RMB)'!BE59*$B$73</f>
        <v>4551.6062392039003</v>
      </c>
      <c r="BF59" s="90">
        <f>'增加值 (2001-2060, 2020RMB)'!BF59*$B$73</f>
        <v>4489.5865155720294</v>
      </c>
      <c r="BG59" s="90">
        <f>'增加值 (2001-2060, 2020RMB)'!BG59*$B$73</f>
        <v>4415.874902939302</v>
      </c>
      <c r="BH59" s="90">
        <f>'增加值 (2001-2060, 2020RMB)'!BH59*$B$73</f>
        <v>4330.6552340552234</v>
      </c>
      <c r="BI59" s="101">
        <f>'增加值 (2001-2060, 2020RMB)'!BI59*$B$73</f>
        <v>4234.2311974560707</v>
      </c>
    </row>
    <row r="60" spans="1:61" s="9" customFormat="1" x14ac:dyDescent="0.2">
      <c r="A60" s="14" t="s">
        <v>7</v>
      </c>
      <c r="B60" s="19">
        <f>'增加值 (2001-2060, 2020RMB)'!B60*$B$73</f>
        <v>1347.7673940303803</v>
      </c>
      <c r="C60" s="20">
        <f>'增加值 (2001-2060, 2020RMB)'!C60*$B$73</f>
        <v>1430.156352213399</v>
      </c>
      <c r="D60" s="20">
        <f>'增加值 (2001-2060, 2020RMB)'!D60*$B$73</f>
        <v>1516.2562216962042</v>
      </c>
      <c r="E60" s="20">
        <f>'增加值 (2001-2060, 2020RMB)'!E60*$B$73</f>
        <v>1547.534273804351</v>
      </c>
      <c r="F60" s="21">
        <f>'增加值 (2001-2060, 2020RMB)'!F60*$B$73</f>
        <v>1689.363091931338</v>
      </c>
      <c r="G60" s="19">
        <f>'增加值 (2001-2060, 2020RMB)'!G60*$B$73</f>
        <v>2165.0164621977192</v>
      </c>
      <c r="H60" s="20">
        <f>'增加值 (2001-2060, 2020RMB)'!H60*$B$73</f>
        <v>3061.7955148639662</v>
      </c>
      <c r="I60" s="20">
        <f>'增加值 (2001-2060, 2020RMB)'!I60*$B$73</f>
        <v>3429.7288409109169</v>
      </c>
      <c r="J60" s="20">
        <f>'增加值 (2001-2060, 2020RMB)'!J60*$B$73</f>
        <v>4091.0322632234879</v>
      </c>
      <c r="K60" s="21">
        <f>'增加值 (2001-2060, 2020RMB)'!K60*$B$73</f>
        <v>4509.1328253853526</v>
      </c>
      <c r="L60" s="19">
        <f>'增加值 (2001-2060, 2020RMB)'!L60*$B$73</f>
        <v>4987.390817657064</v>
      </c>
      <c r="M60" s="20">
        <f>'增加值 (2001-2060, 2020RMB)'!M60*$B$73</f>
        <v>5592.9147480115871</v>
      </c>
      <c r="N60" s="20">
        <f>'增加值 (2001-2060, 2020RMB)'!N60*$B$73</f>
        <v>6411.0259637493928</v>
      </c>
      <c r="O60" s="20">
        <f>'增加值 (2001-2060, 2020RMB)'!O60*$B$73</f>
        <v>7198.2825882291809</v>
      </c>
      <c r="P60" s="21">
        <f>'增加值 (2001-2060, 2020RMB)'!P60*$B$73</f>
        <v>8646.4873926158689</v>
      </c>
      <c r="Q60" s="19">
        <f>'增加值 (2001-2060, 2020RMB)'!Q60*$B$73</f>
        <v>9077.2806174726575</v>
      </c>
      <c r="R60" s="20">
        <f>'增加值 (2001-2060, 2020RMB)'!R60*$B$73</f>
        <v>9413.2889940005916</v>
      </c>
      <c r="S60" s="20">
        <f>'增加值 (2001-2060, 2020RMB)'!S60*$B$73</f>
        <v>9899.101919664623</v>
      </c>
      <c r="T60" s="20">
        <f>'增加值 (2001-2060, 2020RMB)'!T60*$B$73</f>
        <v>10558.966690894093</v>
      </c>
      <c r="U60" s="20">
        <f>'增加值 (2001-2060, 2020RMB)'!U60*$B$73</f>
        <v>11518.040116145148</v>
      </c>
      <c r="V60" s="19">
        <f>'增加值 (2001-2060, 2020RMB)'!V60*$B$73</f>
        <v>12010.857614349379</v>
      </c>
      <c r="W60" s="20">
        <f>'增加值 (2001-2060, 2020RMB)'!W60*$B$73</f>
        <v>12469.938513456913</v>
      </c>
      <c r="X60" s="90">
        <f>'增加值 (2001-2060, 2020RMB)'!X60*$B$73</f>
        <v>13022.329756315974</v>
      </c>
      <c r="Y60" s="90">
        <f>'增加值 (2001-2060, 2020RMB)'!Y60*$B$73</f>
        <v>13652.903825521787</v>
      </c>
      <c r="Z60" s="101">
        <f>'增加值 (2001-2060, 2020RMB)'!Z60*$B$73</f>
        <v>14351.862269383519</v>
      </c>
      <c r="AA60" s="90">
        <f>'增加值 (2001-2060, 2020RMB)'!AA60*$B$73</f>
        <v>15106.828118347015</v>
      </c>
      <c r="AB60" s="90">
        <f>'增加值 (2001-2060, 2020RMB)'!AB60*$B$73</f>
        <v>15902.120482043809</v>
      </c>
      <c r="AC60" s="90">
        <f>'增加值 (2001-2060, 2020RMB)'!AC60*$B$73</f>
        <v>16718.158228676315</v>
      </c>
      <c r="AD60" s="90">
        <f>'增加值 (2001-2060, 2020RMB)'!AD60*$B$73</f>
        <v>17531.068297297374</v>
      </c>
      <c r="AE60" s="90">
        <f>'增加值 (2001-2060, 2020RMB)'!AE60*$B$73</f>
        <v>18312.591565153089</v>
      </c>
      <c r="AF60" s="89">
        <f>'增加值 (2001-2060, 2020RMB)'!AF60*$B$73</f>
        <v>19036.579879431294</v>
      </c>
      <c r="AG60" s="90">
        <f>'增加值 (2001-2060, 2020RMB)'!AG60*$B$73</f>
        <v>19700.04027799526</v>
      </c>
      <c r="AH60" s="90">
        <f>'增加值 (2001-2060, 2020RMB)'!AH60*$B$73</f>
        <v>20307.995177378845</v>
      </c>
      <c r="AI60" s="90">
        <f>'增加值 (2001-2060, 2020RMB)'!AI60*$B$73</f>
        <v>20867.547684784611</v>
      </c>
      <c r="AJ60" s="101">
        <f>'增加值 (2001-2060, 2020RMB)'!AJ60*$B$73</f>
        <v>21387.640703629972</v>
      </c>
      <c r="AK60" s="90">
        <f>'增加值 (2001-2060, 2020RMB)'!AK60*$B$73</f>
        <v>21876.436636787999</v>
      </c>
      <c r="AL60" s="90">
        <f>'增加值 (2001-2060, 2020RMB)'!AL60*$B$73</f>
        <v>22333.536502939645</v>
      </c>
      <c r="AM60" s="90">
        <f>'增加值 (2001-2060, 2020RMB)'!AM60*$B$73</f>
        <v>22756.373907848894</v>
      </c>
      <c r="AN60" s="90">
        <f>'增加值 (2001-2060, 2020RMB)'!AN60*$B$73</f>
        <v>23142.522968093959</v>
      </c>
      <c r="AO60" s="90">
        <f>'增加值 (2001-2060, 2020RMB)'!AO60*$B$73</f>
        <v>23489.72107766605</v>
      </c>
      <c r="AP60" s="89">
        <f>'增加值 (2001-2060, 2020RMB)'!AP60*$B$73</f>
        <v>23795.89063569433</v>
      </c>
      <c r="AQ60" s="90">
        <f>'增加值 (2001-2060, 2020RMB)'!AQ60*$B$73</f>
        <v>24059.159448673301</v>
      </c>
      <c r="AR60" s="90">
        <f>'增加值 (2001-2060, 2020RMB)'!AR60*$B$73</f>
        <v>24277.879531427905</v>
      </c>
      <c r="AS60" s="90">
        <f>'增加值 (2001-2060, 2020RMB)'!AS60*$B$73</f>
        <v>24450.644046611964</v>
      </c>
      <c r="AT60" s="101">
        <f>'增加值 (2001-2060, 2020RMB)'!AT60*$B$73</f>
        <v>24576.302142648325</v>
      </c>
      <c r="AU60" s="90">
        <f>'增加值 (2001-2060, 2020RMB)'!AU60*$B$73</f>
        <v>24653.971474434136</v>
      </c>
      <c r="AV60" s="90">
        <f>'增加值 (2001-2060, 2020RMB)'!AV60*$B$73</f>
        <v>24683.048219523087</v>
      </c>
      <c r="AW60" s="90">
        <f>'增加值 (2001-2060, 2020RMB)'!AW60*$B$73</f>
        <v>24663.214434421658</v>
      </c>
      <c r="AX60" s="90">
        <f>'增加值 (2001-2060, 2020RMB)'!AX60*$B$73</f>
        <v>24594.442630597456</v>
      </c>
      <c r="AY60" s="90">
        <f>'增加值 (2001-2060, 2020RMB)'!AY60*$B$73</f>
        <v>24476.997487218221</v>
      </c>
      <c r="AZ60" s="89">
        <f>'增加值 (2001-2060, 2020RMB)'!AZ60*$B$73</f>
        <v>24311.434656878111</v>
      </c>
      <c r="BA60" s="90">
        <f>'增加值 (2001-2060, 2020RMB)'!BA60*$B$73</f>
        <v>24098.596660941479</v>
      </c>
      <c r="BB60" s="90">
        <f>'增加值 (2001-2060, 2020RMB)'!BB60*$B$73</f>
        <v>23839.60591192772</v>
      </c>
      <c r="BC60" s="90">
        <f>'增加值 (2001-2060, 2020RMB)'!BC60*$B$73</f>
        <v>23535.854940839585</v>
      </c>
      <c r="BD60" s="101">
        <f>'增加值 (2001-2060, 2020RMB)'!BD60*$B$73</f>
        <v>23188.99394676237</v>
      </c>
      <c r="BE60" s="90">
        <f>'增加值 (2001-2060, 2020RMB)'!BE60*$B$73</f>
        <v>22800.91582372535</v>
      </c>
      <c r="BF60" s="90">
        <f>'增加值 (2001-2060, 2020RMB)'!BF60*$B$73</f>
        <v>22373.738855013962</v>
      </c>
      <c r="BG60" s="90">
        <f>'增加值 (2001-2060, 2020RMB)'!BG60*$B$73</f>
        <v>21909.78729723025</v>
      </c>
      <c r="BH60" s="90">
        <f>'增加值 (2001-2060, 2020RMB)'!BH60*$B$73</f>
        <v>21411.570104822546</v>
      </c>
      <c r="BI60" s="101">
        <f>'增加值 (2001-2060, 2020RMB)'!BI60*$B$73</f>
        <v>20881.758070050953</v>
      </c>
    </row>
    <row r="61" spans="1:61" s="9" customFormat="1" x14ac:dyDescent="0.2">
      <c r="A61" s="14" t="s">
        <v>8</v>
      </c>
      <c r="B61" s="19">
        <f>'增加值 (2001-2060, 2020RMB)'!B61*$B$73</f>
        <v>1219.0212583278549</v>
      </c>
      <c r="C61" s="20">
        <f>'增加值 (2001-2060, 2020RMB)'!C61*$B$73</f>
        <v>1373.1900105983616</v>
      </c>
      <c r="D61" s="20">
        <f>'增加值 (2001-2060, 2020RMB)'!D61*$B$73</f>
        <v>1544.1701634192118</v>
      </c>
      <c r="E61" s="20">
        <f>'增加值 (2001-2060, 2020RMB)'!E61*$B$73</f>
        <v>1676.9370442829156</v>
      </c>
      <c r="F61" s="21">
        <f>'增加值 (2001-2060, 2020RMB)'!F61*$B$73</f>
        <v>1914.2880443395622</v>
      </c>
      <c r="G61" s="19">
        <f>'增加值 (2001-2060, 2020RMB)'!G61*$B$73</f>
        <v>2240.6985755238452</v>
      </c>
      <c r="H61" s="20">
        <f>'增加值 (2001-2060, 2020RMB)'!H61*$B$73</f>
        <v>2762.4647165029232</v>
      </c>
      <c r="I61" s="20">
        <f>'增加值 (2001-2060, 2020RMB)'!I61*$B$73</f>
        <v>2729.5411431597586</v>
      </c>
      <c r="J61" s="20">
        <f>'增加值 (2001-2060, 2020RMB)'!J61*$B$73</f>
        <v>3514.7004494341772</v>
      </c>
      <c r="K61" s="21">
        <f>'增加值 (2001-2060, 2020RMB)'!K61*$B$73</f>
        <v>4087.449151662021</v>
      </c>
      <c r="L61" s="19">
        <f>'增加值 (2001-2060, 2020RMB)'!L61*$B$73</f>
        <v>4506.2057061483838</v>
      </c>
      <c r="M61" s="20">
        <f>'增加值 (2001-2060, 2020RMB)'!M61*$B$73</f>
        <v>4876.1561524196823</v>
      </c>
      <c r="N61" s="20">
        <f>'增加值 (2001-2060, 2020RMB)'!N61*$B$73</f>
        <v>5486.7901884874836</v>
      </c>
      <c r="O61" s="20">
        <f>'增加值 (2001-2060, 2020RMB)'!O61*$B$73</f>
        <v>5851.371938180193</v>
      </c>
      <c r="P61" s="21">
        <f>'增加值 (2001-2060, 2020RMB)'!P61*$B$73</f>
        <v>6538.4570630046546</v>
      </c>
      <c r="Q61" s="19">
        <f>'增加值 (2001-2060, 2020RMB)'!Q61*$B$73</f>
        <v>7564.3096872579927</v>
      </c>
      <c r="R61" s="20">
        <f>'增加值 (2001-2060, 2020RMB)'!R61*$B$73</f>
        <v>8287.0354913464689</v>
      </c>
      <c r="S61" s="20">
        <f>'增加值 (2001-2060, 2020RMB)'!S61*$B$73</f>
        <v>9059.7216461973221</v>
      </c>
      <c r="T61" s="20">
        <f>'增加值 (2001-2060, 2020RMB)'!T61*$B$73</f>
        <v>9754.9959835948321</v>
      </c>
      <c r="U61" s="20">
        <f>'增加值 (2001-2060, 2020RMB)'!U61*$B$73</f>
        <v>10114.073347389278</v>
      </c>
      <c r="V61" s="19">
        <f>'增加值 (2001-2060, 2020RMB)'!V61*$B$73</f>
        <v>10213.975076695173</v>
      </c>
      <c r="W61" s="20">
        <f>'增加值 (2001-2060, 2020RMB)'!W61*$B$73</f>
        <v>9508.7032670198314</v>
      </c>
      <c r="X61" s="90">
        <f>'增加值 (2001-2060, 2020RMB)'!X61*$B$73</f>
        <v>9977.8830038755095</v>
      </c>
      <c r="Y61" s="90">
        <f>'增加值 (2001-2060, 2020RMB)'!Y61*$B$73</f>
        <v>10472.834069002751</v>
      </c>
      <c r="Z61" s="101">
        <f>'增加值 (2001-2060, 2020RMB)'!Z61*$B$73</f>
        <v>10987.309603015396</v>
      </c>
      <c r="AA61" s="90">
        <f>'增加值 (2001-2060, 2020RMB)'!AA61*$B$73</f>
        <v>11513.634742419581</v>
      </c>
      <c r="AB61" s="90">
        <f>'增加值 (2001-2060, 2020RMB)'!AB61*$B$73</f>
        <v>12042.595541384288</v>
      </c>
      <c r="AC61" s="90">
        <f>'增加值 (2001-2060, 2020RMB)'!AC61*$B$73</f>
        <v>12563.392902269432</v>
      </c>
      <c r="AD61" s="90">
        <f>'增加值 (2001-2060, 2020RMB)'!AD61*$B$73</f>
        <v>13063.681799594095</v>
      </c>
      <c r="AE61" s="90">
        <f>'增加值 (2001-2060, 2020RMB)'!AE61*$B$73</f>
        <v>13529.715878975148</v>
      </c>
      <c r="AF61" s="89">
        <f>'增加值 (2001-2060, 2020RMB)'!AF61*$B$73</f>
        <v>13950.62844603741</v>
      </c>
      <c r="AG61" s="90">
        <f>'增加值 (2001-2060, 2020RMB)'!AG61*$B$73</f>
        <v>14331.719444305971</v>
      </c>
      <c r="AH61" s="90">
        <f>'增加值 (2001-2060, 2020RMB)'!AH61*$B$73</f>
        <v>14684.008636968674</v>
      </c>
      <c r="AI61" s="90">
        <f>'增加值 (2001-2060, 2020RMB)'!AI61*$B$73</f>
        <v>15020.180425249671</v>
      </c>
      <c r="AJ61" s="101">
        <f>'增加值 (2001-2060, 2020RMB)'!AJ61*$B$73</f>
        <v>15354.378066244968</v>
      </c>
      <c r="AK61" s="90">
        <f>'增加值 (2001-2060, 2020RMB)'!AK61*$B$73</f>
        <v>15698.986027928526</v>
      </c>
      <c r="AL61" s="90">
        <f>'增加值 (2001-2060, 2020RMB)'!AL61*$B$73</f>
        <v>16054.708038956538</v>
      </c>
      <c r="AM61" s="90">
        <f>'增加值 (2001-2060, 2020RMB)'!AM61*$B$73</f>
        <v>16419.017069643531</v>
      </c>
      <c r="AN61" s="90">
        <f>'增加值 (2001-2060, 2020RMB)'!AN61*$B$73</f>
        <v>16789.135196870327</v>
      </c>
      <c r="AO61" s="90">
        <f>'增加值 (2001-2060, 2020RMB)'!AO61*$B$73</f>
        <v>17162.020834866107</v>
      </c>
      <c r="AP61" s="89">
        <f>'增加值 (2001-2060, 2020RMB)'!AP61*$B$73</f>
        <v>17534.361126243788</v>
      </c>
      <c r="AQ61" s="90">
        <f>'增加值 (2001-2060, 2020RMB)'!AQ61*$B$73</f>
        <v>17902.570340469239</v>
      </c>
      <c r="AR61" s="90">
        <f>'增加值 (2001-2060, 2020RMB)'!AR61*$B$73</f>
        <v>18262.795148844867</v>
      </c>
      <c r="AS61" s="90">
        <f>'增加值 (2001-2060, 2020RMB)'!AS61*$B$73</f>
        <v>18610.927632037059</v>
      </c>
      <c r="AT61" s="101">
        <f>'增加值 (2001-2060, 2020RMB)'!AT61*$B$73</f>
        <v>18942.626821937811</v>
      </c>
      <c r="AU61" s="90">
        <f>'增加值 (2001-2060, 2020RMB)'!AU61*$B$73</f>
        <v>19253.349478350003</v>
      </c>
      <c r="AV61" s="90">
        <f>'增加值 (2001-2060, 2020RMB)'!AV61*$B$73</f>
        <v>19538.39064766077</v>
      </c>
      <c r="AW61" s="90">
        <f>'增加值 (2001-2060, 2020RMB)'!AW61*$B$73</f>
        <v>19792.9343417665</v>
      </c>
      <c r="AX61" s="90">
        <f>'增加值 (2001-2060, 2020RMB)'!AX61*$B$73</f>
        <v>20012.114409536149</v>
      </c>
      <c r="AY61" s="90">
        <f>'增加值 (2001-2060, 2020RMB)'!AY61*$B$73</f>
        <v>20191.085351176127</v>
      </c>
      <c r="AZ61" s="89">
        <f>'增加值 (2001-2060, 2020RMB)'!AZ61*$B$73</f>
        <v>20325.102452351857</v>
      </c>
      <c r="BA61" s="90">
        <f>'增加值 (2001-2060, 2020RMB)'!BA61*$B$73</f>
        <v>20409.610197898823</v>
      </c>
      <c r="BB61" s="90">
        <f>'增加值 (2001-2060, 2020RMB)'!BB61*$B$73</f>
        <v>20440.337476578763</v>
      </c>
      <c r="BC61" s="90">
        <f>'增加值 (2001-2060, 2020RMB)'!BC61*$B$73</f>
        <v>20413.39762497761</v>
      </c>
      <c r="BD61" s="101">
        <f>'增加值 (2001-2060, 2020RMB)'!BD61*$B$73</f>
        <v>20325.39090078944</v>
      </c>
      <c r="BE61" s="90">
        <f>'增加值 (2001-2060, 2020RMB)'!BE61*$B$73</f>
        <v>20173.506547532503</v>
      </c>
      <c r="BF61" s="90">
        <f>'增加值 (2001-2060, 2020RMB)'!BF61*$B$73</f>
        <v>19955.621241196008</v>
      </c>
      <c r="BG61" s="90">
        <f>'增加值 (2001-2060, 2020RMB)'!BG61*$B$73</f>
        <v>19670.390423071109</v>
      </c>
      <c r="BH61" s="90">
        <f>'增加值 (2001-2060, 2020RMB)'!BH61*$B$73</f>
        <v>19317.328850784306</v>
      </c>
      <c r="BI61" s="101">
        <f>'增加值 (2001-2060, 2020RMB)'!BI61*$B$73</f>
        <v>18896.876668210552</v>
      </c>
    </row>
    <row r="62" spans="1:61" x14ac:dyDescent="0.2">
      <c r="A62" s="33" t="s">
        <v>36</v>
      </c>
      <c r="B62" s="19"/>
      <c r="C62" s="20"/>
      <c r="D62" s="20"/>
      <c r="E62" s="20"/>
      <c r="F62" s="21"/>
      <c r="G62" s="19"/>
      <c r="H62" s="20"/>
      <c r="I62" s="20"/>
      <c r="J62" s="20"/>
      <c r="K62" s="21">
        <f>'增加值 (2001-2060, 2020RMB)'!K62*$B$73</f>
        <v>1585.7513991664366</v>
      </c>
      <c r="L62" s="19">
        <f>'增加值 (2001-2060, 2020RMB)'!L62*$B$73</f>
        <v>1671.5039059749345</v>
      </c>
      <c r="M62" s="20">
        <f>'增加值 (2001-2060, 2020RMB)'!M62*$B$73</f>
        <v>1891.4669953846324</v>
      </c>
      <c r="N62" s="20">
        <f>'增加值 (2001-2060, 2020RMB)'!N62*$B$73</f>
        <v>2131.6109396293364</v>
      </c>
      <c r="O62" s="20">
        <f>'增加值 (2001-2060, 2020RMB)'!O62*$B$73</f>
        <v>2376.8125815727003</v>
      </c>
      <c r="P62" s="21">
        <f>'增加值 (2001-2060, 2020RMB)'!P62*$B$73</f>
        <v>2690.2189769585975</v>
      </c>
      <c r="Q62" s="19">
        <f>'增加值 (2001-2060, 2020RMB)'!Q62*$B$73</f>
        <v>3046.3628656207311</v>
      </c>
      <c r="R62" s="20">
        <f>'增加值 (2001-2060, 2020RMB)'!R62*$B$73</f>
        <v>3456.2799865101592</v>
      </c>
      <c r="S62" s="20">
        <f>'增加值 (2001-2060, 2020RMB)'!S62*$B$73</f>
        <v>4028.2486409020134</v>
      </c>
      <c r="T62" s="20">
        <f>'增加值 (2001-2060, 2020RMB)'!T62*$B$73</f>
        <v>4624.0016989898741</v>
      </c>
      <c r="U62" s="20">
        <f>'增加值 (2001-2060, 2020RMB)'!U62*$B$73</f>
        <v>5267.9884522758539</v>
      </c>
      <c r="V62" s="89">
        <f>'增加值 (2001-2060, 2020RMB)'!V62*$B$73</f>
        <v>5624.0165034330857</v>
      </c>
      <c r="W62" s="90">
        <f>'增加值 (2001-2060, 2020RMB)'!W62*$B$73</f>
        <v>5797.9897714259087</v>
      </c>
      <c r="X62" s="90">
        <f>'增加值 (2001-2060, 2020RMB)'!X62*$B$73</f>
        <v>6563.263961297801</v>
      </c>
      <c r="Y62" s="90">
        <f>'增加值 (2001-2060, 2020RMB)'!Y62*$B$73</f>
        <v>7419.9029601098046</v>
      </c>
      <c r="Z62" s="101">
        <f>'增加值 (2001-2060, 2020RMB)'!Z62*$B$73</f>
        <v>8372.6260052088946</v>
      </c>
      <c r="AA62" s="90">
        <f>'增加值 (2001-2060, 2020RMB)'!AA62*$B$73</f>
        <v>9424.5246686969585</v>
      </c>
      <c r="AB62" s="90">
        <f>'增加值 (2001-2060, 2020RMB)'!AB62*$B$73</f>
        <v>10576.468968363457</v>
      </c>
      <c r="AC62" s="90">
        <f>'增加值 (2001-2060, 2020RMB)'!AC62*$B$73</f>
        <v>11826.455671775957</v>
      </c>
      <c r="AD62" s="90">
        <f>'增加值 (2001-2060, 2020RMB)'!AD62*$B$73</f>
        <v>13168.926267448465</v>
      </c>
      <c r="AE62" s="90">
        <f>'增加值 (2001-2060, 2020RMB)'!AE62*$B$73</f>
        <v>14594.094597433617</v>
      </c>
      <c r="AF62" s="89">
        <f>'增加值 (2001-2060, 2020RMB)'!AF62*$B$73</f>
        <v>16090.855695125078</v>
      </c>
      <c r="AG62" s="90">
        <f>'增加值 (2001-2060, 2020RMB)'!AG62*$B$73</f>
        <v>17659.580132934028</v>
      </c>
      <c r="AH62" s="90">
        <f>'增加值 (2001-2060, 2020RMB)'!AH62*$B$73</f>
        <v>19306.337388544969</v>
      </c>
      <c r="AI62" s="90">
        <f>'增加值 (2001-2060, 2020RMB)'!AI62*$B$73</f>
        <v>21040.532480810329</v>
      </c>
      <c r="AJ62" s="101">
        <f>'增加值 (2001-2060, 2020RMB)'!AJ62*$B$73</f>
        <v>22875.464012869303</v>
      </c>
      <c r="AK62" s="90">
        <f>'增加值 (2001-2060, 2020RMB)'!AK62*$B$73</f>
        <v>24825.81769860554</v>
      </c>
      <c r="AL62" s="90">
        <f>'增加值 (2001-2060, 2020RMB)'!AL62*$B$73</f>
        <v>26896.892621648032</v>
      </c>
      <c r="AM62" s="90">
        <f>'增加值 (2001-2060, 2020RMB)'!AM62*$B$73</f>
        <v>29090.759994886834</v>
      </c>
      <c r="AN62" s="90">
        <f>'增加值 (2001-2060, 2020RMB)'!AN62*$B$73</f>
        <v>31408.843804909659</v>
      </c>
      <c r="AO62" s="90">
        <f>'增加值 (2001-2060, 2020RMB)'!AO62*$B$73</f>
        <v>33851.839267065174</v>
      </c>
      <c r="AP62" s="89">
        <f>'增加值 (2001-2060, 2020RMB)'!AP62*$B$73</f>
        <v>36419.63103427727</v>
      </c>
      <c r="AQ62" s="90">
        <f>'增加值 (2001-2060, 2020RMB)'!AQ62*$B$73</f>
        <v>39111.21232126699</v>
      </c>
      <c r="AR62" s="90">
        <f>'增加值 (2001-2060, 2020RMB)'!AR62*$B$73</f>
        <v>41924.606228083154</v>
      </c>
      <c r="AS62" s="90">
        <f>'增加值 (2001-2060, 2020RMB)'!AS62*$B$73</f>
        <v>44856.790658572361</v>
      </c>
      <c r="AT62" s="101">
        <f>'增加值 (2001-2060, 2020RMB)'!AT62*$B$73</f>
        <v>47903.628326770071</v>
      </c>
      <c r="AU62" s="90">
        <f>'增加值 (2001-2060, 2020RMB)'!AU62*$B$73</f>
        <v>51059.803423150232</v>
      </c>
      <c r="AV62" s="90">
        <f>'增加值 (2001-2060, 2020RMB)'!AV62*$B$73</f>
        <v>54318.766569169413</v>
      </c>
      <c r="AW62" s="90">
        <f>'增加值 (2001-2060, 2020RMB)'!AW62*$B$73</f>
        <v>57672.689718594789</v>
      </c>
      <c r="AX62" s="90">
        <f>'增加值 (2001-2060, 2020RMB)'!AX62*$B$73</f>
        <v>61112.432663883257</v>
      </c>
      <c r="AY62" s="90">
        <f>'增加值 (2001-2060, 2020RMB)'!AY62*$B$73</f>
        <v>64627.522771905096</v>
      </c>
      <c r="AZ62" s="89">
        <f>'增加值 (2001-2060, 2020RMB)'!AZ62*$B$73</f>
        <v>68206.149502521919</v>
      </c>
      <c r="BA62" s="90">
        <f>'增加值 (2001-2060, 2020RMB)'!BA62*$B$73</f>
        <v>71835.175153510238</v>
      </c>
      <c r="BB62" s="90">
        <f>'增加值 (2001-2060, 2020RMB)'!BB62*$B$73</f>
        <v>75500.163124371727</v>
      </c>
      <c r="BC62" s="90">
        <f>'增加值 (2001-2060, 2020RMB)'!BC62*$B$73</f>
        <v>79185.424798873311</v>
      </c>
      <c r="BD62" s="101">
        <f>'增加值 (2001-2060, 2020RMB)'!BD62*$B$73</f>
        <v>82874.085911930059</v>
      </c>
      <c r="BE62" s="90">
        <f>'增加值 (2001-2060, 2020RMB)'!BE62*$B$73</f>
        <v>86548.172991963962</v>
      </c>
      <c r="BF62" s="90">
        <f>'增加值 (2001-2060, 2020RMB)'!BF62*$B$73</f>
        <v>90188.720157694799</v>
      </c>
      <c r="BG62" s="90">
        <f>'增加值 (2001-2060, 2020RMB)'!BG62*$B$73</f>
        <v>93775.89620219676</v>
      </c>
      <c r="BH62" s="90">
        <f>'增加值 (2001-2060, 2020RMB)'!BH62*$B$73</f>
        <v>97289.151522043088</v>
      </c>
      <c r="BI62" s="101">
        <f>'增加值 (2001-2060, 2020RMB)'!BI62*$B$73</f>
        <v>100707.38405178892</v>
      </c>
    </row>
    <row r="63" spans="1:61" x14ac:dyDescent="0.2">
      <c r="A63" s="33" t="s">
        <v>37</v>
      </c>
      <c r="B63" s="19"/>
      <c r="C63" s="20"/>
      <c r="D63" s="20"/>
      <c r="E63" s="20"/>
      <c r="F63" s="21"/>
      <c r="G63" s="19"/>
      <c r="H63" s="20"/>
      <c r="I63" s="20"/>
      <c r="J63" s="20"/>
      <c r="K63" s="21">
        <f>'增加值 (2001-2060, 2020RMB)'!K63*$B$73</f>
        <v>1272.1126675656094</v>
      </c>
      <c r="L63" s="19">
        <f>'增加值 (2001-2060, 2020RMB)'!L63*$B$73</f>
        <v>1484.2204642935185</v>
      </c>
      <c r="M63" s="20">
        <f>'增加值 (2001-2060, 2020RMB)'!M63*$B$73</f>
        <v>1726.3538998843667</v>
      </c>
      <c r="N63" s="20">
        <f>'增加值 (2001-2060, 2020RMB)'!N63*$B$73</f>
        <v>2003.5562331895542</v>
      </c>
      <c r="O63" s="20">
        <f>'增加值 (2001-2060, 2020RMB)'!O63*$B$73</f>
        <v>2373.8474423522207</v>
      </c>
      <c r="P63" s="21">
        <f>'增加值 (2001-2060, 2020RMB)'!P63*$B$73</f>
        <v>2778.204593732185</v>
      </c>
      <c r="Q63" s="19">
        <f>'增加值 (2001-2060, 2020RMB)'!Q63*$B$73</f>
        <v>3258.9744430211772</v>
      </c>
      <c r="R63" s="20">
        <f>'增加值 (2001-2060, 2020RMB)'!R63*$B$73</f>
        <v>3668.8633655089989</v>
      </c>
      <c r="S63" s="20">
        <f>'增加值 (2001-2060, 2020RMB)'!S63*$B$73</f>
        <v>4131.290830369463</v>
      </c>
      <c r="T63" s="20">
        <f>'增加值 (2001-2060, 2020RMB)'!T63*$B$73</f>
        <v>4519.6176142535451</v>
      </c>
      <c r="U63" s="20">
        <f>'增加值 (2001-2060, 2020RMB)'!U63*$B$73</f>
        <v>4472.2961678562579</v>
      </c>
      <c r="V63" s="89">
        <f>'增加值 (2001-2060, 2020RMB)'!V63*$B$73</f>
        <v>4774.5487075617966</v>
      </c>
      <c r="W63" s="90">
        <f>'增加值 (2001-2060, 2020RMB)'!W63*$B$73</f>
        <v>4922.2445475968289</v>
      </c>
      <c r="X63" s="90">
        <f>'增加值 (2001-2060, 2020RMB)'!X63*$B$73</f>
        <v>5417.2195755467137</v>
      </c>
      <c r="Y63" s="90">
        <f>'增加值 (2001-2060, 2020RMB)'!Y63*$B$73</f>
        <v>5958.748607937202</v>
      </c>
      <c r="Z63" s="101">
        <f>'增加值 (2001-2060, 2020RMB)'!Z63*$B$73</f>
        <v>6546.9172175813264</v>
      </c>
      <c r="AA63" s="90">
        <f>'增加值 (2001-2060, 2020RMB)'!AA63*$B$73</f>
        <v>7180.581027828458</v>
      </c>
      <c r="AB63" s="90">
        <f>'增加值 (2001-2060, 2020RMB)'!AB63*$B$73</f>
        <v>7857.0780386904817</v>
      </c>
      <c r="AC63" s="90">
        <f>'增加值 (2001-2060, 2020RMB)'!AC63*$B$73</f>
        <v>8571.9391172997384</v>
      </c>
      <c r="AD63" s="90">
        <f>'增加值 (2001-2060, 2020RMB)'!AD63*$B$73</f>
        <v>9318.6158866930236</v>
      </c>
      <c r="AE63" s="90">
        <f>'增加值 (2001-2060, 2020RMB)'!AE63*$B$73</f>
        <v>10088.250434731781</v>
      </c>
      <c r="AF63" s="89">
        <f>'增加值 (2001-2060, 2020RMB)'!AF63*$B$73</f>
        <v>10871.869844707078</v>
      </c>
      <c r="AG63" s="90">
        <f>'增加值 (2001-2060, 2020RMB)'!AG63*$B$73</f>
        <v>11668.756804623727</v>
      </c>
      <c r="AH63" s="90">
        <f>'增加值 (2001-2060, 2020RMB)'!AH63*$B$73</f>
        <v>12481.849442448129</v>
      </c>
      <c r="AI63" s="90">
        <f>'增加值 (2001-2060, 2020RMB)'!AI63*$B$73</f>
        <v>13315.864000760479</v>
      </c>
      <c r="AJ63" s="101">
        <f>'增加值 (2001-2060, 2020RMB)'!AJ63*$B$73</f>
        <v>14177.44185419243</v>
      </c>
      <c r="AK63" s="90">
        <f>'增加值 (2001-2060, 2020RMB)'!AK63*$B$73</f>
        <v>15073.441317257935</v>
      </c>
      <c r="AL63" s="90">
        <f>'增加值 (2001-2060, 2020RMB)'!AL63*$B$73</f>
        <v>16004.579739538105</v>
      </c>
      <c r="AM63" s="90">
        <f>'增加值 (2001-2060, 2020RMB)'!AM63*$B$73</f>
        <v>16969.561098037626</v>
      </c>
      <c r="AN63" s="90">
        <f>'增加值 (2001-2060, 2020RMB)'!AN63*$B$73</f>
        <v>17966.710709863448</v>
      </c>
      <c r="AO63" s="90">
        <f>'增加值 (2001-2060, 2020RMB)'!AO63*$B$73</f>
        <v>18993.95151972683</v>
      </c>
      <c r="AP63" s="89">
        <f>'增加值 (2001-2060, 2020RMB)'!AP63*$B$73</f>
        <v>20048.782985525875</v>
      </c>
      <c r="AQ63" s="90">
        <f>'增加值 (2001-2060, 2020RMB)'!AQ63*$B$73</f>
        <v>21128.26324036513</v>
      </c>
      <c r="AR63" s="90">
        <f>'增加值 (2001-2060, 2020RMB)'!AR63*$B$73</f>
        <v>22228.9952352742</v>
      </c>
      <c r="AS63" s="90">
        <f>'增加值 (2001-2060, 2020RMB)'!AS63*$B$73</f>
        <v>23347.117579974583</v>
      </c>
      <c r="AT63" s="101">
        <f>'增加值 (2001-2060, 2020RMB)'!AT63*$B$73</f>
        <v>24478.30079701807</v>
      </c>
      <c r="AU63" s="90">
        <f>'增加值 (2001-2060, 2020RMB)'!AU63*$B$73</f>
        <v>25617.749685310264</v>
      </c>
      <c r="AV63" s="90">
        <f>'增加值 (2001-2060, 2020RMB)'!AV63*$B$73</f>
        <v>26760.212450454466</v>
      </c>
      <c r="AW63" s="90">
        <f>'增加值 (2001-2060, 2020RMB)'!AW63*$B$73</f>
        <v>27899.997199825793</v>
      </c>
      <c r="AX63" s="90">
        <f>'增加值 (2001-2060, 2020RMB)'!AX63*$B$73</f>
        <v>29030.996318541191</v>
      </c>
      <c r="AY63" s="90">
        <f>'增加值 (2001-2060, 2020RMB)'!AY63*$B$73</f>
        <v>30146.719137761458</v>
      </c>
      <c r="AZ63" s="89">
        <f>'增加值 (2001-2060, 2020RMB)'!AZ63*$B$73</f>
        <v>31240.333178917543</v>
      </c>
      <c r="BA63" s="90">
        <f>'增加值 (2001-2060, 2020RMB)'!BA63*$B$73</f>
        <v>32304.714107073069</v>
      </c>
      <c r="BB63" s="90">
        <f>'增加值 (2001-2060, 2020RMB)'!BB63*$B$73</f>
        <v>33332.504355104269</v>
      </c>
      <c r="BC63" s="90">
        <f>'增加值 (2001-2060, 2020RMB)'!BC63*$B$73</f>
        <v>34316.180189959487</v>
      </c>
      <c r="BD63" s="101">
        <f>'增加值 (2001-2060, 2020RMB)'!BD63*$B$73</f>
        <v>35248.126786131863</v>
      </c>
      <c r="BE63" s="90">
        <f>'增加值 (2001-2060, 2020RMB)'!BE63*$B$73</f>
        <v>36120.720653723154</v>
      </c>
      <c r="BF63" s="90">
        <f>'增加值 (2001-2060, 2020RMB)'!BF63*$B$73</f>
        <v>36926.418544112079</v>
      </c>
      <c r="BG63" s="90">
        <f>'增加值 (2001-2060, 2020RMB)'!BG63*$B$73</f>
        <v>37657.851731079107</v>
      </c>
      <c r="BH63" s="90">
        <f>'增加值 (2001-2060, 2020RMB)'!BH63*$B$73</f>
        <v>38307.924345843407</v>
      </c>
      <c r="BI63" s="101">
        <f>'增加值 (2001-2060, 2020RMB)'!BI63*$B$73</f>
        <v>38869.9142379685</v>
      </c>
    </row>
    <row r="64" spans="1:61" x14ac:dyDescent="0.2">
      <c r="A64" s="33" t="s">
        <v>38</v>
      </c>
      <c r="B64" s="19"/>
      <c r="C64" s="20"/>
      <c r="D64" s="20"/>
      <c r="E64" s="20"/>
      <c r="F64" s="21"/>
      <c r="G64" s="19"/>
      <c r="H64" s="20"/>
      <c r="I64" s="20"/>
      <c r="J64" s="20"/>
      <c r="K64" s="21">
        <f>'增加值 (2001-2060, 2020RMB)'!K64*$B$73</f>
        <v>1132.7196227092165</v>
      </c>
      <c r="L64" s="19">
        <f>'增加值 (2001-2060, 2020RMB)'!L64*$B$73</f>
        <v>1288.6969404733388</v>
      </c>
      <c r="M64" s="20">
        <f>'增加值 (2001-2060, 2020RMB)'!M64*$B$73</f>
        <v>1499.4006937098445</v>
      </c>
      <c r="N64" s="20">
        <f>'增加值 (2001-2060, 2020RMB)'!N64*$B$73</f>
        <v>1711.4120271908421</v>
      </c>
      <c r="O64" s="20">
        <f>'增加值 (2001-2060, 2020RMB)'!O64*$B$73</f>
        <v>1916.7397365131933</v>
      </c>
      <c r="P64" s="21">
        <f>'增加值 (2001-2060, 2020RMB)'!P64*$B$73</f>
        <v>2132.7873228454646</v>
      </c>
      <c r="Q64" s="19">
        <f>'增加值 (2001-2060, 2020RMB)'!Q64*$B$73</f>
        <v>2330.3561016859712</v>
      </c>
      <c r="R64" s="20">
        <f>'增加值 (2001-2060, 2020RMB)'!R64*$B$73</f>
        <v>2532.4045831883782</v>
      </c>
      <c r="S64" s="20">
        <f>'增加值 (2001-2060, 2020RMB)'!S64*$B$73</f>
        <v>2828.4450138267316</v>
      </c>
      <c r="T64" s="20">
        <f>'增加值 (2001-2060, 2020RMB)'!T64*$B$73</f>
        <v>3132.9488568587681</v>
      </c>
      <c r="U64" s="20">
        <f>'增加值 (2001-2060, 2020RMB)'!U64*$B$73</f>
        <v>3328.8079085503055</v>
      </c>
      <c r="V64" s="89">
        <f>'增加值 (2001-2060, 2020RMB)'!V64*$B$73</f>
        <v>3553.7797366198879</v>
      </c>
      <c r="W64" s="90">
        <f>'增加值 (2001-2060, 2020RMB)'!W64*$B$73</f>
        <v>3663.7123220113112</v>
      </c>
      <c r="X64" s="90">
        <f>'增加值 (2001-2060, 2020RMB)'!X64*$B$73</f>
        <v>3993.3144826410362</v>
      </c>
      <c r="Y64" s="90">
        <f>'增加值 (2001-2060, 2020RMB)'!Y64*$B$73</f>
        <v>4351.3725604795063</v>
      </c>
      <c r="Z64" s="101">
        <f>'增加值 (2001-2060, 2020RMB)'!Z64*$B$73</f>
        <v>4737.3269302156305</v>
      </c>
      <c r="AA64" s="90">
        <f>'增加值 (2001-2060, 2020RMB)'!AA64*$B$73</f>
        <v>5149.7779511404124</v>
      </c>
      <c r="AB64" s="90">
        <f>'增加值 (2001-2060, 2020RMB)'!AB64*$B$73</f>
        <v>5586.3151576030914</v>
      </c>
      <c r="AC64" s="90">
        <f>'增加值 (2001-2060, 2020RMB)'!AC64*$B$73</f>
        <v>6043.3517327934342</v>
      </c>
      <c r="AD64" s="90">
        <f>'增加值 (2001-2060, 2020RMB)'!AD64*$B$73</f>
        <v>6515.9770196800091</v>
      </c>
      <c r="AE64" s="90">
        <f>'增加值 (2001-2060, 2020RMB)'!AE64*$B$73</f>
        <v>6997.8426931320773</v>
      </c>
      <c r="AF64" s="89">
        <f>'增加值 (2001-2060, 2020RMB)'!AF64*$B$73</f>
        <v>7482.7153047645106</v>
      </c>
      <c r="AG64" s="90">
        <f>'增加值 (2001-2060, 2020RMB)'!AG64*$B$73</f>
        <v>7970.1603485542455</v>
      </c>
      <c r="AH64" s="90">
        <f>'增加值 (2001-2060, 2020RMB)'!AH64*$B$73</f>
        <v>8462.2098821863965</v>
      </c>
      <c r="AI64" s="90">
        <f>'增加值 (2001-2060, 2020RMB)'!AI64*$B$73</f>
        <v>8962.0121682428016</v>
      </c>
      <c r="AJ64" s="101">
        <f>'增加值 (2001-2060, 2020RMB)'!AJ64*$B$73</f>
        <v>9473.8908061760121</v>
      </c>
      <c r="AK64" s="90">
        <f>'增加值 (2001-2060, 2020RMB)'!AK64*$B$73</f>
        <v>10002.177650683712</v>
      </c>
      <c r="AL64" s="90">
        <f>'增加值 (2001-2060, 2020RMB)'!AL64*$B$73</f>
        <v>10547.046095929054</v>
      </c>
      <c r="AM64" s="90">
        <f>'增加值 (2001-2060, 2020RMB)'!AM64*$B$73</f>
        <v>11107.340656094217</v>
      </c>
      <c r="AN64" s="90">
        <f>'增加值 (2001-2060, 2020RMB)'!AN64*$B$73</f>
        <v>11681.676700235937</v>
      </c>
      <c r="AO64" s="90">
        <f>'增加值 (2001-2060, 2020RMB)'!AO64*$B$73</f>
        <v>12268.430108470066</v>
      </c>
      <c r="AP64" s="89">
        <f>'增加值 (2001-2060, 2020RMB)'!AP64*$B$73</f>
        <v>12865.72900006981</v>
      </c>
      <c r="AQ64" s="90">
        <f>'增加值 (2001-2060, 2020RMB)'!AQ64*$B$73</f>
        <v>13471.44794362991</v>
      </c>
      <c r="AR64" s="90">
        <f>'增加值 (2001-2060, 2020RMB)'!AR64*$B$73</f>
        <v>14083.205064635504</v>
      </c>
      <c r="AS64" s="90">
        <f>'增加值 (2001-2060, 2020RMB)'!AS64*$B$73</f>
        <v>14698.362461524748</v>
      </c>
      <c r="AT64" s="101">
        <f>'增加值 (2001-2060, 2020RMB)'!AT64*$B$73</f>
        <v>15314.030326295508</v>
      </c>
      <c r="AU64" s="90">
        <f>'增加值 (2001-2060, 2020RMB)'!AU64*$B$73</f>
        <v>15927.075138650265</v>
      </c>
      <c r="AV64" s="90">
        <f>'增加值 (2001-2060, 2020RMB)'!AV64*$B$73</f>
        <v>16534.132262574374</v>
      </c>
      <c r="AW64" s="90">
        <f>'增加值 (2001-2060, 2020RMB)'!AW64*$B$73</f>
        <v>17131.623220331872</v>
      </c>
      <c r="AX64" s="90">
        <f>'增加值 (2001-2060, 2020RMB)'!AX64*$B$73</f>
        <v>17715.777850717441</v>
      </c>
      <c r="AY64" s="90">
        <f>'增加值 (2001-2060, 2020RMB)'!AY64*$B$73</f>
        <v>18282.661476008132</v>
      </c>
      <c r="AZ64" s="89">
        <f>'增加值 (2001-2060, 2020RMB)'!AZ64*$B$73</f>
        <v>18828.207105875423</v>
      </c>
      <c r="BA64" s="90">
        <f>'增加值 (2001-2060, 2020RMB)'!BA64*$B$73</f>
        <v>19348.252597542927</v>
      </c>
      <c r="BB64" s="90">
        <f>'增加值 (2001-2060, 2020RMB)'!BB64*$B$73</f>
        <v>19838.582571285337</v>
      </c>
      <c r="BC64" s="90">
        <f>'增加值 (2001-2060, 2020RMB)'!BC64*$B$73</f>
        <v>20294.974751139558</v>
      </c>
      <c r="BD64" s="101">
        <f>'增加值 (2001-2060, 2020RMB)'!BD64*$B$73</f>
        <v>20713.250265234503</v>
      </c>
      <c r="BE64" s="90">
        <f>'增加值 (2001-2060, 2020RMB)'!BE64*$B$73</f>
        <v>21089.327301823589</v>
      </c>
      <c r="BF64" s="90">
        <f>'增加值 (2001-2060, 2020RMB)'!BF64*$B$73</f>
        <v>21419.277379857736</v>
      </c>
      <c r="BG64" s="90">
        <f>'增加值 (2001-2060, 2020RMB)'!BG64*$B$73</f>
        <v>21699.383361145596</v>
      </c>
      <c r="BH64" s="90">
        <f>'增加值 (2001-2060, 2020RMB)'!BH64*$B$73</f>
        <v>21926.198209568694</v>
      </c>
      <c r="BI64" s="101">
        <f>'增加值 (2001-2060, 2020RMB)'!BI64*$B$73</f>
        <v>22096.603396389783</v>
      </c>
    </row>
    <row r="65" spans="1:61" x14ac:dyDescent="0.2">
      <c r="A65" s="33" t="s">
        <v>39</v>
      </c>
      <c r="B65" s="19"/>
      <c r="C65" s="20"/>
      <c r="D65" s="20"/>
      <c r="E65" s="20"/>
      <c r="F65" s="21"/>
      <c r="G65" s="19"/>
      <c r="H65" s="20"/>
      <c r="I65" s="20"/>
      <c r="J65" s="20"/>
      <c r="K65" s="21">
        <f>'增加值 (2001-2060, 2020RMB)'!K65*$B$73</f>
        <v>356.60438163072968</v>
      </c>
      <c r="L65" s="19">
        <f>'增加值 (2001-2060, 2020RMB)'!L65*$B$73</f>
        <v>405.40230884666897</v>
      </c>
      <c r="M65" s="20">
        <f>'增加值 (2001-2060, 2020RMB)'!M65*$B$73</f>
        <v>479.60969937544712</v>
      </c>
      <c r="N65" s="20">
        <f>'增加值 (2001-2060, 2020RMB)'!N65*$B$73</f>
        <v>569.02679991809589</v>
      </c>
      <c r="O65" s="20">
        <f>'增加值 (2001-2060, 2020RMB)'!O65*$B$73</f>
        <v>605.45684735691282</v>
      </c>
      <c r="P65" s="21">
        <f>'增加值 (2001-2060, 2020RMB)'!P65*$B$73</f>
        <v>634.06775599831394</v>
      </c>
      <c r="Q65" s="19">
        <f>'增加值 (2001-2060, 2020RMB)'!Q65*$B$73</f>
        <v>659.19428618581878</v>
      </c>
      <c r="R65" s="20">
        <f>'增加值 (2001-2060, 2020RMB)'!R65*$B$73</f>
        <v>668.14822465177554</v>
      </c>
      <c r="S65" s="20">
        <f>'增加值 (2001-2060, 2020RMB)'!S65*$B$73</f>
        <v>714.43986631982693</v>
      </c>
      <c r="T65" s="20">
        <f>'增加值 (2001-2060, 2020RMB)'!T65*$B$73</f>
        <v>811.65618979178566</v>
      </c>
      <c r="U65" s="20">
        <f>'增加值 (2001-2060, 2020RMB)'!U65*$B$73</f>
        <v>807.62112573020568</v>
      </c>
      <c r="V65" s="89">
        <f>'增加值 (2001-2060, 2020RMB)'!V65*$B$73</f>
        <v>862.20282765912987</v>
      </c>
      <c r="W65" s="90">
        <f>'增加值 (2001-2060, 2020RMB)'!W65*$B$73</f>
        <v>888.87420095772279</v>
      </c>
      <c r="X65" s="90">
        <f>'增加值 (2001-2060, 2020RMB)'!X65*$B$73</f>
        <v>942.71468474644553</v>
      </c>
      <c r="Y65" s="90">
        <f>'增加值 (2001-2060, 2020RMB)'!Y65*$B$73</f>
        <v>1000.3047054125595</v>
      </c>
      <c r="Z65" s="101">
        <f>'增加值 (2001-2060, 2020RMB)'!Z65*$B$73</f>
        <v>1061.2512812055181</v>
      </c>
      <c r="AA65" s="90">
        <f>'增加值 (2001-2060, 2020RMB)'!AA65*$B$73</f>
        <v>1125.018922862814</v>
      </c>
      <c r="AB65" s="90">
        <f>'增加值 (2001-2060, 2020RMB)'!AB65*$B$73</f>
        <v>1190.9099363253649</v>
      </c>
      <c r="AC65" s="90">
        <f>'增加值 (2001-2060, 2020RMB)'!AC65*$B$73</f>
        <v>1258.0482836105427</v>
      </c>
      <c r="AD65" s="90">
        <f>'增加值 (2001-2060, 2020RMB)'!AD65*$B$73</f>
        <v>1325.3689967844164</v>
      </c>
      <c r="AE65" s="90">
        <f>'增加值 (2001-2060, 2020RMB)'!AE65*$B$73</f>
        <v>1391.6153794261979</v>
      </c>
      <c r="AF65" s="89">
        <f>'增加值 (2001-2060, 2020RMB)'!AF65*$B$73</f>
        <v>1455.6575495716281</v>
      </c>
      <c r="AG65" s="90">
        <f>'增加值 (2001-2060, 2020RMB)'!AG65*$B$73</f>
        <v>1517.549691137642</v>
      </c>
      <c r="AH65" s="90">
        <f>'增加值 (2001-2060, 2020RMB)'!AH65*$B$73</f>
        <v>1577.7904173146806</v>
      </c>
      <c r="AI65" s="90">
        <f>'增加值 (2001-2060, 2020RMB)'!AI65*$B$73</f>
        <v>1637.0327997712604</v>
      </c>
      <c r="AJ65" s="101">
        <f>'增加值 (2001-2060, 2020RMB)'!AJ65*$B$73</f>
        <v>1696.0791113561099</v>
      </c>
      <c r="AK65" s="90">
        <f>'增加值 (2001-2060, 2020RMB)'!AK65*$B$73</f>
        <v>1755.6640759483378</v>
      </c>
      <c r="AL65" s="90">
        <f>'增加值 (2001-2060, 2020RMB)'!AL65*$B$73</f>
        <v>1815.7542752149234</v>
      </c>
      <c r="AM65" s="90">
        <f>'增加值 (2001-2060, 2020RMB)'!AM65*$B$73</f>
        <v>1876.090384021735</v>
      </c>
      <c r="AN65" s="90">
        <f>'增加值 (2001-2060, 2020RMB)'!AN65*$B$73</f>
        <v>1936.3870215798415</v>
      </c>
      <c r="AO65" s="90">
        <f>'增加值 (2001-2060, 2020RMB)'!AO65*$B$73</f>
        <v>1996.3330037168357</v>
      </c>
      <c r="AP65" s="89">
        <f>'增加值 (2001-2060, 2020RMB)'!AP65*$B$73</f>
        <v>2055.5920154866039</v>
      </c>
      <c r="AQ65" s="90">
        <f>'增加值 (2001-2060, 2020RMB)'!AQ65*$B$73</f>
        <v>2113.8037480479111</v>
      </c>
      <c r="AR65" s="90">
        <f>'增加值 (2001-2060, 2020RMB)'!AR65*$B$73</f>
        <v>2170.5855395908975</v>
      </c>
      <c r="AS65" s="90">
        <f>'增加值 (2001-2060, 2020RMB)'!AS65*$B$73</f>
        <v>2225.5345541868123</v>
      </c>
      <c r="AT65" s="101">
        <f>'增加值 (2001-2060, 2020RMB)'!AT65*$B$73</f>
        <v>2278.2305246720753</v>
      </c>
      <c r="AU65" s="90">
        <f>'增加值 (2001-2060, 2020RMB)'!AU65*$B$73</f>
        <v>2328.2390759961904</v>
      </c>
      <c r="AV65" s="90">
        <f>'增加值 (2001-2060, 2020RMB)'!AV65*$B$73</f>
        <v>2375.1156338670362</v>
      </c>
      <c r="AW65" s="90">
        <f>'增加值 (2001-2060, 2020RMB)'!AW65*$B$73</f>
        <v>2418.4099100917033</v>
      </c>
      <c r="AX65" s="90">
        <f>'增加值 (2001-2060, 2020RMB)'!AX65*$B$73</f>
        <v>2457.6709408947754</v>
      </c>
      <c r="AY65" s="90">
        <f>'增加值 (2001-2060, 2020RMB)'!AY65*$B$73</f>
        <v>2492.4526379445747</v>
      </c>
      <c r="AZ65" s="89">
        <f>'增加值 (2001-2060, 2020RMB)'!AZ65*$B$73</f>
        <v>2522.3197941763133</v>
      </c>
      <c r="BA65" s="90">
        <f>'增加值 (2001-2060, 2020RMB)'!BA65*$B$73</f>
        <v>2546.8544682067013</v>
      </c>
      <c r="BB65" s="90">
        <f>'增加值 (2001-2060, 2020RMB)'!BB65*$B$73</f>
        <v>2565.66265272191</v>
      </c>
      <c r="BC65" s="90">
        <f>'增加值 (2001-2060, 2020RMB)'!BC65*$B$73</f>
        <v>2578.3811143079147</v>
      </c>
      <c r="BD65" s="101">
        <f>'增加值 (2001-2060, 2020RMB)'!BD65*$B$73</f>
        <v>2584.6842754701452</v>
      </c>
      <c r="BE65" s="90">
        <f>'增加值 (2001-2060, 2020RMB)'!BE65*$B$73</f>
        <v>2584.2909948005499</v>
      </c>
      <c r="BF65" s="90">
        <f>'增加值 (2001-2060, 2020RMB)'!BF65*$B$73</f>
        <v>2576.9710891649388</v>
      </c>
      <c r="BG65" s="90">
        <f>'增加值 (2001-2060, 2020RMB)'!BG65*$B$73</f>
        <v>2562.5514331659965</v>
      </c>
      <c r="BH65" s="90">
        <f>'增加值 (2001-2060, 2020RMB)'!BH65*$B$73</f>
        <v>2540.9214667144875</v>
      </c>
      <c r="BI65" s="101">
        <f>'增加值 (2001-2060, 2020RMB)'!BI65*$B$73</f>
        <v>2512.0379419583792</v>
      </c>
    </row>
    <row r="66" spans="1:61" x14ac:dyDescent="0.2">
      <c r="A66" s="33" t="s">
        <v>40</v>
      </c>
      <c r="B66" s="19"/>
      <c r="C66" s="20"/>
      <c r="D66" s="20"/>
      <c r="E66" s="20"/>
      <c r="F66" s="21"/>
      <c r="G66" s="19"/>
      <c r="H66" s="20"/>
      <c r="I66" s="20"/>
      <c r="J66" s="20"/>
      <c r="K66" s="21">
        <f>'增加值 (2001-2060, 2020RMB)'!K66*$B$73</f>
        <v>1131.6156928756584</v>
      </c>
      <c r="L66" s="19">
        <f>'增加值 (2001-2060, 2020RMB)'!L66*$B$73</f>
        <v>1228.6643735529401</v>
      </c>
      <c r="M66" s="20">
        <f>'增加值 (2001-2060, 2020RMB)'!M66*$B$73</f>
        <v>1304.6360579632044</v>
      </c>
      <c r="N66" s="20">
        <f>'增加值 (2001-2060, 2020RMB)'!N66*$B$73</f>
        <v>1351.9180010495766</v>
      </c>
      <c r="O66" s="20">
        <f>'增加值 (2001-2060, 2020RMB)'!O66*$B$73</f>
        <v>1480.0346466575704</v>
      </c>
      <c r="P66" s="21">
        <f>'增加值 (2001-2060, 2020RMB)'!P66*$B$73</f>
        <v>1625.8986369295526</v>
      </c>
      <c r="Q66" s="19">
        <f>'增加值 (2001-2060, 2020RMB)'!Q66*$B$73</f>
        <v>1844.3240678236632</v>
      </c>
      <c r="R66" s="20">
        <f>'增加值 (2001-2060, 2020RMB)'!R66*$B$73</f>
        <v>1992.4828667786642</v>
      </c>
      <c r="S66" s="20">
        <f>'增加值 (2001-2060, 2020RMB)'!S66*$B$73</f>
        <v>2073.9238387058922</v>
      </c>
      <c r="T66" s="20">
        <f>'增加值 (2001-2060, 2020RMB)'!T66*$B$73</f>
        <v>2351.8130335778433</v>
      </c>
      <c r="U66" s="20">
        <f>'增加值 (2001-2060, 2020RMB)'!U66*$B$73</f>
        <v>2252.5950083217408</v>
      </c>
      <c r="V66" s="89">
        <f>'增加值 (2001-2060, 2020RMB)'!V66*$B$73</f>
        <v>2404.8328156223297</v>
      </c>
      <c r="W66" s="90">
        <f>'增加值 (2001-2060, 2020RMB)'!W66*$B$73</f>
        <v>2479.2238889157334</v>
      </c>
      <c r="X66" s="90">
        <f>'增加值 (2001-2060, 2020RMB)'!X66*$B$73</f>
        <v>2658.1682332480618</v>
      </c>
      <c r="Y66" s="90">
        <f>'增加值 (2001-2060, 2020RMB)'!Y66*$B$73</f>
        <v>2850.5472565838913</v>
      </c>
      <c r="Z66" s="101">
        <f>'增加值 (2001-2060, 2020RMB)'!Z66*$B$73</f>
        <v>3055.4819500153085</v>
      </c>
      <c r="AA66" s="90">
        <f>'增加值 (2001-2060, 2020RMB)'!AA66*$B$73</f>
        <v>3271.6250553532595</v>
      </c>
      <c r="AB66" s="90">
        <f>'增加值 (2001-2060, 2020RMB)'!AB66*$B$73</f>
        <v>3497.0857707862451</v>
      </c>
      <c r="AC66" s="90">
        <f>'增加值 (2001-2060, 2020RMB)'!AC66*$B$73</f>
        <v>3729.362745584081</v>
      </c>
      <c r="AD66" s="90">
        <f>'增加值 (2001-2060, 2020RMB)'!AD66*$B$73</f>
        <v>3965.2921247792697</v>
      </c>
      <c r="AE66" s="90">
        <f>'增加值 (2001-2060, 2020RMB)'!AE66*$B$73</f>
        <v>4201.018481024299</v>
      </c>
      <c r="AF66" s="89">
        <f>'增加值 (2001-2060, 2020RMB)'!AF66*$B$73</f>
        <v>4432.9484024288731</v>
      </c>
      <c r="AG66" s="90">
        <f>'增加值 (2001-2060, 2020RMB)'!AG66*$B$73</f>
        <v>4661.0320895505356</v>
      </c>
      <c r="AH66" s="90">
        <f>'增加值 (2001-2060, 2020RMB)'!AH66*$B$73</f>
        <v>4886.6214725736827</v>
      </c>
      <c r="AI66" s="90">
        <f>'增加值 (2001-2060, 2020RMB)'!AI66*$B$73</f>
        <v>5111.6175419642705</v>
      </c>
      <c r="AJ66" s="101">
        <f>'增加值 (2001-2060, 2020RMB)'!AJ66*$B$73</f>
        <v>5338.4712560562548</v>
      </c>
      <c r="AK66" s="90">
        <f>'增加值 (2001-2060, 2020RMB)'!AK66*$B$73</f>
        <v>5569.5081505951384</v>
      </c>
      <c r="AL66" s="90">
        <f>'增加值 (2001-2060, 2020RMB)'!AL66*$B$73</f>
        <v>5804.6641929150719</v>
      </c>
      <c r="AM66" s="90">
        <f>'增加值 (2001-2060, 2020RMB)'!AM66*$B$73</f>
        <v>6043.148108538433</v>
      </c>
      <c r="AN66" s="90">
        <f>'增加值 (2001-2060, 2020RMB)'!AN66*$B$73</f>
        <v>6284.0671607112899</v>
      </c>
      <c r="AO66" s="90">
        <f>'增加值 (2001-2060, 2020RMB)'!AO66*$B$73</f>
        <v>6526.4257172593516</v>
      </c>
      <c r="AP66" s="89">
        <f>'增加值 (2001-2060, 2020RMB)'!AP66*$B$73</f>
        <v>6769.1251360870374</v>
      </c>
      <c r="AQ66" s="90">
        <f>'增加值 (2001-2060, 2020RMB)'!AQ66*$B$73</f>
        <v>7010.9651470004655</v>
      </c>
      <c r="AR66" s="90">
        <f>'增加值 (2001-2060, 2020RMB)'!AR66*$B$73</f>
        <v>7250.6469000365914</v>
      </c>
      <c r="AS66" s="90">
        <f>'增加值 (2001-2060, 2020RMB)'!AS66*$B$73</f>
        <v>7486.7778373415549</v>
      </c>
      <c r="AT66" s="101">
        <f>'增加值 (2001-2060, 2020RMB)'!AT66*$B$73</f>
        <v>7717.8785263361342</v>
      </c>
      <c r="AU66" s="90">
        <f>'增加值 (2001-2060, 2020RMB)'!AU66*$B$73</f>
        <v>7942.3915660361763</v>
      </c>
      <c r="AV66" s="90">
        <f>'增加值 (2001-2060, 2020RMB)'!AV66*$B$73</f>
        <v>8158.6926457246927</v>
      </c>
      <c r="AW66" s="90">
        <f>'增加值 (2001-2060, 2020RMB)'!AW66*$B$73</f>
        <v>8365.1037956695473</v>
      </c>
      <c r="AX66" s="90">
        <f>'增加值 (2001-2060, 2020RMB)'!AX66*$B$73</f>
        <v>8559.9088234533028</v>
      </c>
      <c r="AY66" s="90">
        <f>'增加值 (2001-2060, 2020RMB)'!AY66*$B$73</f>
        <v>8741.3708772129667</v>
      </c>
      <c r="AZ66" s="89">
        <f>'增加值 (2001-2060, 2020RMB)'!AZ66*$B$73</f>
        <v>8907.7520194613571</v>
      </c>
      <c r="BA66" s="90">
        <f>'增加值 (2001-2060, 2020RMB)'!BA66*$B$73</f>
        <v>9057.3346332780784</v>
      </c>
      <c r="BB66" s="90">
        <f>'增加值 (2001-2060, 2020RMB)'!BB66*$B$73</f>
        <v>9188.4444179447437</v>
      </c>
      <c r="BC66" s="90">
        <f>'增加值 (2001-2060, 2020RMB)'!BC66*$B$73</f>
        <v>9299.4746652984068</v>
      </c>
      <c r="BD66" s="101">
        <f>'增加值 (2001-2060, 2020RMB)'!BD66*$B$73</f>
        <v>9388.911443225812</v>
      </c>
      <c r="BE66" s="90">
        <f>'增加值 (2001-2060, 2020RMB)'!BE66*$B$73</f>
        <v>9455.3592511036586</v>
      </c>
      <c r="BF66" s="90">
        <f>'增加值 (2001-2060, 2020RMB)'!BF66*$B$73</f>
        <v>9497.5666560871286</v>
      </c>
      <c r="BG66" s="90">
        <f>'增加值 (2001-2060, 2020RMB)'!BG66*$B$73</f>
        <v>9514.4513715444464</v>
      </c>
      <c r="BH66" s="90">
        <f>'增加值 (2001-2060, 2020RMB)'!BH66*$B$73</f>
        <v>9505.1242022356782</v>
      </c>
      <c r="BI66" s="101">
        <f>'增加值 (2001-2060, 2020RMB)'!BI66*$B$73</f>
        <v>9468.9112575438321</v>
      </c>
    </row>
    <row r="67" spans="1:61" x14ac:dyDescent="0.2">
      <c r="A67" s="33" t="s">
        <v>41</v>
      </c>
      <c r="B67" s="19"/>
      <c r="C67" s="20"/>
      <c r="D67" s="20"/>
      <c r="E67" s="20"/>
      <c r="F67" s="21"/>
      <c r="G67" s="19"/>
      <c r="H67" s="20"/>
      <c r="I67" s="20"/>
      <c r="J67" s="20"/>
      <c r="K67" s="21">
        <f>'增加值 (2001-2060, 2020RMB)'!K67*$B$73</f>
        <v>2167.1894902317831</v>
      </c>
      <c r="L67" s="19">
        <f>'增加值 (2001-2060, 2020RMB)'!L67*$B$73</f>
        <v>2396.5338103813046</v>
      </c>
      <c r="M67" s="20">
        <f>'增加值 (2001-2060, 2020RMB)'!M67*$B$73</f>
        <v>2639.4152057704505</v>
      </c>
      <c r="N67" s="20">
        <f>'增加值 (2001-2060, 2020RMB)'!N67*$B$73</f>
        <v>2942.3083943051492</v>
      </c>
      <c r="O67" s="20">
        <f>'增加值 (2001-2060, 2020RMB)'!O67*$B$73</f>
        <v>3258.7340935541315</v>
      </c>
      <c r="P67" s="21">
        <f>'增加值 (2001-2060, 2020RMB)'!P67*$B$73</f>
        <v>3742.8058536929975</v>
      </c>
      <c r="Q67" s="19">
        <f>'增加值 (2001-2060, 2020RMB)'!Q67*$B$73</f>
        <v>4081.9152178321742</v>
      </c>
      <c r="R67" s="20">
        <f>'增加值 (2001-2060, 2020RMB)'!R67*$B$73</f>
        <v>4385.2798047996121</v>
      </c>
      <c r="S67" s="20">
        <f>'增加值 (2001-2060, 2020RMB)'!S67*$B$73</f>
        <v>4766.7737428007631</v>
      </c>
      <c r="T67" s="20">
        <f>'增加值 (2001-2060, 2020RMB)'!T67*$B$73</f>
        <v>5253.006512067388</v>
      </c>
      <c r="U67" s="20">
        <f>'增加值 (2001-2060, 2020RMB)'!U67*$B$73</f>
        <v>5522.5163157140132</v>
      </c>
      <c r="V67" s="89">
        <f>'增加值 (2001-2060, 2020RMB)'!V67*$B$73</f>
        <v>5895.746200171764</v>
      </c>
      <c r="W67" s="90">
        <f>'增加值 (2001-2060, 2020RMB)'!W67*$B$73</f>
        <v>6078.1251517758401</v>
      </c>
      <c r="X67" s="90">
        <f>'增加值 (2001-2060, 2020RMB)'!X67*$B$73</f>
        <v>6535.4211218801274</v>
      </c>
      <c r="Y67" s="90">
        <f>'增加值 (2001-2060, 2020RMB)'!Y67*$B$73</f>
        <v>7027.8421162135519</v>
      </c>
      <c r="Z67" s="101">
        <f>'增加值 (2001-2060, 2020RMB)'!Z67*$B$73</f>
        <v>7553.4049757818602</v>
      </c>
      <c r="AA67" s="90">
        <f>'增加值 (2001-2060, 2020RMB)'!AA67*$B$73</f>
        <v>8108.9341487051606</v>
      </c>
      <c r="AB67" s="90">
        <f>'增加值 (2001-2060, 2020RMB)'!AB67*$B$73</f>
        <v>8689.8620492129085</v>
      </c>
      <c r="AC67" s="90">
        <f>'增加值 (2001-2060, 2020RMB)'!AC67*$B$73</f>
        <v>9290.0482720819073</v>
      </c>
      <c r="AD67" s="90">
        <f>'增加值 (2001-2060, 2020RMB)'!AD67*$B$73</f>
        <v>9901.6350267089747</v>
      </c>
      <c r="AE67" s="90">
        <f>'增加值 (2001-2060, 2020RMB)'!AE67*$B$73</f>
        <v>10514.959105606387</v>
      </c>
      <c r="AF67" s="89">
        <f>'增加值 (2001-2060, 2020RMB)'!AF67*$B$73</f>
        <v>11120.931399261222</v>
      </c>
      <c r="AG67" s="90">
        <f>'增加值 (2001-2060, 2020RMB)'!AG67*$B$73</f>
        <v>11719.308443986094</v>
      </c>
      <c r="AH67" s="90">
        <f>'增加值 (2001-2060, 2020RMB)'!AH67*$B$73</f>
        <v>12313.391867037195</v>
      </c>
      <c r="AI67" s="90">
        <f>'增加值 (2001-2060, 2020RMB)'!AI67*$B$73</f>
        <v>12907.910758903854</v>
      </c>
      <c r="AJ67" s="101">
        <f>'增加值 (2001-2060, 2020RMB)'!AJ67*$B$73</f>
        <v>13509.03691956788</v>
      </c>
      <c r="AK67" s="90">
        <f>'增加值 (2001-2060, 2020RMB)'!AK67*$B$73</f>
        <v>14122.681965859776</v>
      </c>
      <c r="AL67" s="90">
        <f>'增加值 (2001-2060, 2020RMB)'!AL67*$B$73</f>
        <v>14748.730000616839</v>
      </c>
      <c r="AM67" s="90">
        <f>'增加值 (2001-2060, 2020RMB)'!AM67*$B$73</f>
        <v>15385.214555670917</v>
      </c>
      <c r="AN67" s="90">
        <f>'增加值 (2001-2060, 2020RMB)'!AN67*$B$73</f>
        <v>16029.899708301995</v>
      </c>
      <c r="AO67" s="90">
        <f>'增加值 (2001-2060, 2020RMB)'!AO67*$B$73</f>
        <v>16680.274747640087</v>
      </c>
      <c r="AP67" s="89">
        <f>'增加值 (2001-2060, 2020RMB)'!AP67*$B$73</f>
        <v>17333.552146236103</v>
      </c>
      <c r="AQ67" s="90">
        <f>'增加值 (2001-2060, 2020RMB)'!AQ67*$B$73</f>
        <v>17986.669311649595</v>
      </c>
      <c r="AR67" s="90">
        <f>'增加值 (2001-2060, 2020RMB)'!AR67*$B$73</f>
        <v>18636.294578104455</v>
      </c>
      <c r="AS67" s="90">
        <f>'增加值 (2001-2060, 2020RMB)'!AS67*$B$73</f>
        <v>19278.837869217357</v>
      </c>
      <c r="AT67" s="101">
        <f>'增加值 (2001-2060, 2020RMB)'!AT67*$B$73</f>
        <v>19910.466418066917</v>
      </c>
      <c r="AU67" s="90">
        <f>'增加值 (2001-2060, 2020RMB)'!AU67*$B$73</f>
        <v>20527.125869289037</v>
      </c>
      <c r="AV67" s="90">
        <f>'增加值 (2001-2060, 2020RMB)'!AV67*$B$73</f>
        <v>21124.567008705635</v>
      </c>
      <c r="AW67" s="90">
        <f>'增加值 (2001-2060, 2020RMB)'!AW67*$B$73</f>
        <v>21698.378268955454</v>
      </c>
      <c r="AX67" s="90">
        <f>'增加值 (2001-2060, 2020RMB)'!AX67*$B$73</f>
        <v>22244.024045027603</v>
      </c>
      <c r="AY67" s="90">
        <f>'增加值 (2001-2060, 2020RMB)'!AY67*$B$73</f>
        <v>22756.888722513202</v>
      </c>
      <c r="AZ67" s="89">
        <f>'增加值 (2001-2060, 2020RMB)'!AZ67*$B$73</f>
        <v>23232.326175549471</v>
      </c>
      <c r="BA67" s="90">
        <f>'增加值 (2001-2060, 2020RMB)'!BA67*$B$73</f>
        <v>23665.714333410193</v>
      </c>
      <c r="BB67" s="90">
        <f>'增加值 (2001-2060, 2020RMB)'!BB67*$B$73</f>
        <v>24052.514247892788</v>
      </c>
      <c r="BC67" s="90">
        <f>'增加值 (2001-2060, 2020RMB)'!BC67*$B$73</f>
        <v>24388.332922299029</v>
      </c>
      <c r="BD67" s="101">
        <f>'增加值 (2001-2060, 2020RMB)'!BD67*$B$73</f>
        <v>24668.988991900173</v>
      </c>
      <c r="BE67" s="90">
        <f>'增加值 (2001-2060, 2020RMB)'!BE67*$B$73</f>
        <v>24890.580181004534</v>
      </c>
      <c r="BF67" s="90">
        <f>'增加值 (2001-2060, 2020RMB)'!BF67*$B$73</f>
        <v>25049.55130933156</v>
      </c>
      <c r="BG67" s="90">
        <f>'增加值 (2001-2060, 2020RMB)'!BG67*$B$73</f>
        <v>25142.761486930332</v>
      </c>
      <c r="BH67" s="90">
        <f>'增加值 (2001-2060, 2020RMB)'!BH67*$B$73</f>
        <v>25167.549029070451</v>
      </c>
      <c r="BI67" s="101">
        <f>'增加值 (2001-2060, 2020RMB)'!BI67*$B$73</f>
        <v>25121.792546950688</v>
      </c>
    </row>
    <row r="68" spans="1:61" x14ac:dyDescent="0.2">
      <c r="A68" s="33" t="s">
        <v>42</v>
      </c>
      <c r="B68" s="19"/>
      <c r="C68" s="20"/>
      <c r="D68" s="20"/>
      <c r="E68" s="20"/>
      <c r="F68" s="21"/>
      <c r="G68" s="19"/>
      <c r="H68" s="20"/>
      <c r="I68" s="20"/>
      <c r="J68" s="20"/>
      <c r="K68" s="21">
        <f>'增加值 (2001-2060, 2020RMB)'!K68*$B$73</f>
        <v>1031.981644723119</v>
      </c>
      <c r="L68" s="19">
        <f>'增加值 (2001-2060, 2020RMB)'!L68*$B$73</f>
        <v>1204.9984683551932</v>
      </c>
      <c r="M68" s="20">
        <f>'增加值 (2001-2060, 2020RMB)'!M68*$B$73</f>
        <v>1428.8553982252886</v>
      </c>
      <c r="N68" s="20">
        <f>'增加值 (2001-2060, 2020RMB)'!N68*$B$73</f>
        <v>1713.1508883840104</v>
      </c>
      <c r="O68" s="20">
        <f>'增加值 (2001-2060, 2020RMB)'!O68*$B$73</f>
        <v>1943.9790724609161</v>
      </c>
      <c r="P68" s="21">
        <f>'增加值 (2001-2060, 2020RMB)'!P68*$B$73</f>
        <v>2267.6607189888832</v>
      </c>
      <c r="Q68" s="19">
        <f>'增加值 (2001-2060, 2020RMB)'!Q68*$B$73</f>
        <v>2538.1386941671763</v>
      </c>
      <c r="R68" s="20">
        <f>'增加值 (2001-2060, 2020RMB)'!R68*$B$73</f>
        <v>2692.6840893018843</v>
      </c>
      <c r="S68" s="20">
        <f>'增加值 (2001-2060, 2020RMB)'!S68*$B$73</f>
        <v>2895.3593499257977</v>
      </c>
      <c r="T68" s="20">
        <f>'增加值 (2001-2060, 2020RMB)'!T68*$B$73</f>
        <v>3095.6015662599511</v>
      </c>
      <c r="U68" s="20">
        <f>'增加值 (2001-2060, 2020RMB)'!U68*$B$73</f>
        <v>3360.4758140619583</v>
      </c>
      <c r="V68" s="89">
        <f>'增加值 (2001-2060, 2020RMB)'!V68*$B$73</f>
        <v>3587.5878637333317</v>
      </c>
      <c r="W68" s="90">
        <f>'增加值 (2001-2060, 2020RMB)'!W68*$B$73</f>
        <v>3698.5662693770705</v>
      </c>
      <c r="X68" s="90">
        <f>'增加值 (2001-2060, 2020RMB)'!X68*$B$73</f>
        <v>3911.0253068314223</v>
      </c>
      <c r="Y68" s="90">
        <f>'增加值 (2001-2060, 2020RMB)'!Y68*$B$73</f>
        <v>4138.0549097763342</v>
      </c>
      <c r="Z68" s="101">
        <f>'增加值 (2001-2060, 2020RMB)'!Z68*$B$73</f>
        <v>4377.9495739992726</v>
      </c>
      <c r="AA68" s="90">
        <f>'增加值 (2001-2060, 2020RMB)'!AA68*$B$73</f>
        <v>4628.4398535513546</v>
      </c>
      <c r="AB68" s="90">
        <f>'增加值 (2001-2060, 2020RMB)'!AB68*$B$73</f>
        <v>4886.617418577659</v>
      </c>
      <c r="AC68" s="90">
        <f>'增加值 (2001-2060, 2020RMB)'!AC68*$B$73</f>
        <v>5148.8753593474021</v>
      </c>
      <c r="AD68" s="90">
        <f>'增加值 (2001-2060, 2020RMB)'!AD68*$B$73</f>
        <v>5410.8715703110038</v>
      </c>
      <c r="AE68" s="90">
        <f>'增加值 (2001-2060, 2020RMB)'!AE68*$B$73</f>
        <v>5667.5239084120185</v>
      </c>
      <c r="AF68" s="89">
        <f>'增加值 (2001-2060, 2020RMB)'!AF68*$B$73</f>
        <v>5914.3093357445296</v>
      </c>
      <c r="AG68" s="90">
        <f>'增加值 (2001-2060, 2020RMB)'!AG68*$B$73</f>
        <v>6151.5362132653563</v>
      </c>
      <c r="AH68" s="90">
        <f>'增加值 (2001-2060, 2020RMB)'!AH68*$B$73</f>
        <v>6381.2992949483287</v>
      </c>
      <c r="AI68" s="90">
        <f>'增加值 (2001-2060, 2020RMB)'!AI68*$B$73</f>
        <v>6606.2914442324791</v>
      </c>
      <c r="AJ68" s="101">
        <f>'增加值 (2001-2060, 2020RMB)'!AJ68*$B$73</f>
        <v>6829.7771782707323</v>
      </c>
      <c r="AK68" s="90">
        <f>'增加值 (2001-2060, 2020RMB)'!AK68*$B$73</f>
        <v>7054.7183767544839</v>
      </c>
      <c r="AL68" s="90">
        <f>'增加值 (2001-2060, 2020RMB)'!AL68*$B$73</f>
        <v>7280.9742378110604</v>
      </c>
      <c r="AM68" s="90">
        <f>'增加值 (2001-2060, 2020RMB)'!AM68*$B$73</f>
        <v>7507.5000510641239</v>
      </c>
      <c r="AN68" s="90">
        <f>'增加值 (2001-2060, 2020RMB)'!AN68*$B$73</f>
        <v>7733.1529467897708</v>
      </c>
      <c r="AO68" s="90">
        <f>'增加值 (2001-2060, 2020RMB)'!AO68*$B$73</f>
        <v>7956.6935607221267</v>
      </c>
      <c r="AP68" s="89">
        <f>'增加值 (2001-2060, 2020RMB)'!AP68*$B$73</f>
        <v>8176.7893799787635</v>
      </c>
      <c r="AQ68" s="90">
        <f>'增加值 (2001-2060, 2020RMB)'!AQ68*$B$73</f>
        <v>8392.0199331071744</v>
      </c>
      <c r="AR68" s="90">
        <f>'增加值 (2001-2060, 2020RMB)'!AR68*$B$73</f>
        <v>8600.8839688868447</v>
      </c>
      <c r="AS68" s="90">
        <f>'增加值 (2001-2060, 2020RMB)'!AS68*$B$73</f>
        <v>8801.808743192285</v>
      </c>
      <c r="AT68" s="101">
        <f>'增加值 (2001-2060, 2020RMB)'!AT68*$B$73</f>
        <v>8993.1615005638523</v>
      </c>
      <c r="AU68" s="90">
        <f>'增加值 (2001-2060, 2020RMB)'!AU68*$B$73</f>
        <v>9173.2631969969989</v>
      </c>
      <c r="AV68" s="90">
        <f>'增加值 (2001-2060, 2020RMB)'!AV68*$B$73</f>
        <v>9340.4044629351774</v>
      </c>
      <c r="AW68" s="90">
        <f>'增加值 (2001-2060, 2020RMB)'!AW68*$B$73</f>
        <v>9492.863750939654</v>
      </c>
      <c r="AX68" s="90">
        <f>'增加值 (2001-2060, 2020RMB)'!AX68*$B$73</f>
        <v>9628.9275517314618</v>
      </c>
      <c r="AY68" s="90">
        <f>'增加值 (2001-2060, 2020RMB)'!AY68*$B$73</f>
        <v>9746.912496350129</v>
      </c>
      <c r="AZ68" s="89">
        <f>'增加值 (2001-2060, 2020RMB)'!AZ68*$B$73</f>
        <v>9845.1890925194457</v>
      </c>
      <c r="BA68" s="90">
        <f>'增加值 (2001-2060, 2020RMB)'!BA68*$B$73</f>
        <v>9922.2067718002472</v>
      </c>
      <c r="BB68" s="90">
        <f>'增加值 (2001-2060, 2020RMB)'!BB68*$B$73</f>
        <v>9976.5198529560366</v>
      </c>
      <c r="BC68" s="90">
        <f>'增加值 (2001-2060, 2020RMB)'!BC68*$B$73</f>
        <v>10006.813958696448</v>
      </c>
      <c r="BD68" s="101">
        <f>'增加值 (2001-2060, 2020RMB)'!BD68*$B$73</f>
        <v>10011.932360390108</v>
      </c>
      <c r="BE68" s="90">
        <f>'增加值 (2001-2060, 2020RMB)'!BE68*$B$73</f>
        <v>9990.9016714288464</v>
      </c>
      <c r="BF68" s="90">
        <f>'增加值 (2001-2060, 2020RMB)'!BF68*$B$73</f>
        <v>9942.9562677196154</v>
      </c>
      <c r="BG68" s="90">
        <f>'增加值 (2001-2060, 2020RMB)'!BG68*$B$73</f>
        <v>9867.5607862578836</v>
      </c>
      <c r="BH68" s="90">
        <f>'增加值 (2001-2060, 2020RMB)'!BH68*$B$73</f>
        <v>9764.4300426671289</v>
      </c>
      <c r="BI68" s="101">
        <f>'增加值 (2001-2060, 2020RMB)'!BI68*$B$73</f>
        <v>9633.5457183736053</v>
      </c>
    </row>
    <row r="69" spans="1:61" x14ac:dyDescent="0.2">
      <c r="A69" s="33" t="s">
        <v>43</v>
      </c>
      <c r="B69" s="19"/>
      <c r="C69" s="20"/>
      <c r="D69" s="20"/>
      <c r="E69" s="20"/>
      <c r="F69" s="21"/>
      <c r="G69" s="19"/>
      <c r="H69" s="20"/>
      <c r="I69" s="20"/>
      <c r="J69" s="20"/>
      <c r="K69" s="21">
        <f>'增加值 (2001-2060, 2020RMB)'!K69*$B$73</f>
        <v>495.48926830977069</v>
      </c>
      <c r="L69" s="19">
        <f>'增加值 (2001-2060, 2020RMB)'!L69*$B$73</f>
        <v>539.48207057701609</v>
      </c>
      <c r="M69" s="20">
        <f>'增加值 (2001-2060, 2020RMB)'!M69*$B$73</f>
        <v>595.91667675895314</v>
      </c>
      <c r="N69" s="20">
        <f>'增加值 (2001-2060, 2020RMB)'!N69*$B$73</f>
        <v>642.43158314400387</v>
      </c>
      <c r="O69" s="20">
        <f>'增加值 (2001-2060, 2020RMB)'!O69*$B$73</f>
        <v>688.3885650364432</v>
      </c>
      <c r="P69" s="21">
        <f>'增加值 (2001-2060, 2020RMB)'!P69*$B$73</f>
        <v>777.69517580396791</v>
      </c>
      <c r="Q69" s="19">
        <f>'增加值 (2001-2060, 2020RMB)'!Q69*$B$73</f>
        <v>844.66363800570241</v>
      </c>
      <c r="R69" s="20">
        <f>'增加值 (2001-2060, 2020RMB)'!R69*$B$73</f>
        <v>961.79317073129823</v>
      </c>
      <c r="S69" s="20">
        <f>'增加值 (2001-2060, 2020RMB)'!S69*$B$73</f>
        <v>1023.5944734131891</v>
      </c>
      <c r="T69" s="20">
        <f>'增加值 (2001-2060, 2020RMB)'!T69*$B$73</f>
        <v>1126.8994491473895</v>
      </c>
      <c r="U69" s="20">
        <f>'增加值 (2001-2060, 2020RMB)'!U69*$B$73</f>
        <v>961.63541521511002</v>
      </c>
      <c r="V69" s="89">
        <f>'增加值 (2001-2060, 2020RMB)'!V69*$B$73</f>
        <v>1026.6259112848011</v>
      </c>
      <c r="W69" s="90">
        <f>'增加值 (2001-2060, 2020RMB)'!W69*$B$73</f>
        <v>1058.3835465412587</v>
      </c>
      <c r="X69" s="90">
        <f>'增加值 (2001-2060, 2020RMB)'!X69*$B$73</f>
        <v>1140.2351883666922</v>
      </c>
      <c r="Y69" s="90">
        <f>'增加值 (2001-2060, 2020RMB)'!Y69*$B$73</f>
        <v>1228.1306044506944</v>
      </c>
      <c r="Z69" s="101">
        <f>'增加值 (2001-2060, 2020RMB)'!Z69*$B$73</f>
        <v>1321.6805672361654</v>
      </c>
      <c r="AA69" s="90">
        <f>'增加值 (2001-2060, 2020RMB)'!AA69*$B$73</f>
        <v>1420.278042624147</v>
      </c>
      <c r="AB69" s="90">
        <f>'增加值 (2001-2060, 2020RMB)'!AB69*$B$73</f>
        <v>1523.064306757549</v>
      </c>
      <c r="AC69" s="90">
        <f>'增加值 (2001-2060, 2020RMB)'!AC69*$B$73</f>
        <v>1628.8991200548273</v>
      </c>
      <c r="AD69" s="90">
        <f>'增加值 (2001-2060, 2020RMB)'!AD69*$B$73</f>
        <v>1736.3381163245488</v>
      </c>
      <c r="AE69" s="90">
        <f>'增加值 (2001-2060, 2020RMB)'!AE69*$B$73</f>
        <v>1843.6210282273164</v>
      </c>
      <c r="AF69" s="89">
        <f>'增加值 (2001-2060, 2020RMB)'!AF69*$B$73</f>
        <v>1949.0950269906086</v>
      </c>
      <c r="AG69" s="90">
        <f>'增加值 (2001-2060, 2020RMB)'!AG69*$B$73</f>
        <v>2052.6734651048641</v>
      </c>
      <c r="AH69" s="90">
        <f>'增加值 (2001-2060, 2020RMB)'!AH69*$B$73</f>
        <v>2154.9013181229184</v>
      </c>
      <c r="AI69" s="90">
        <f>'增加值 (2001-2060, 2020RMB)'!AI69*$B$73</f>
        <v>2256.5800195950119</v>
      </c>
      <c r="AJ69" s="101">
        <f>'增加值 (2001-2060, 2020RMB)'!AJ69*$B$73</f>
        <v>2358.7672677171604</v>
      </c>
      <c r="AK69" s="90">
        <f>'增加值 (2001-2060, 2020RMB)'!AK69*$B$73</f>
        <v>2462.4747772429428</v>
      </c>
      <c r="AL69" s="90">
        <f>'增加值 (2001-2060, 2020RMB)'!AL69*$B$73</f>
        <v>2567.6561546676285</v>
      </c>
      <c r="AM69" s="90">
        <f>'增加值 (2001-2060, 2020RMB)'!AM69*$B$73</f>
        <v>2673.9453070989243</v>
      </c>
      <c r="AN69" s="90">
        <f>'增加值 (2001-2060, 2020RMB)'!AN69*$B$73</f>
        <v>2780.9357783472469</v>
      </c>
      <c r="AO69" s="90">
        <f>'增加值 (2001-2060, 2020RMB)'!AO69*$B$73</f>
        <v>2888.1808786643537</v>
      </c>
      <c r="AP69" s="89">
        <f>'增加值 (2001-2060, 2020RMB)'!AP69*$B$73</f>
        <v>2995.1943701926971</v>
      </c>
      <c r="AQ69" s="90">
        <f>'增加值 (2001-2060, 2020RMB)'!AQ69*$B$73</f>
        <v>3101.4517635044745</v>
      </c>
      <c r="AR69" s="90">
        <f>'增加值 (2001-2060, 2020RMB)'!AR69*$B$73</f>
        <v>3206.3922753500046</v>
      </c>
      <c r="AS69" s="90">
        <f>'增加值 (2001-2060, 2020RMB)'!AS69*$B$73</f>
        <v>3309.4214905355489</v>
      </c>
      <c r="AT69" s="101">
        <f>'增加值 (2001-2060, 2020RMB)'!AT69*$B$73</f>
        <v>3409.9147616245859</v>
      </c>
      <c r="AU69" s="90">
        <f>'增加值 (2001-2060, 2020RMB)'!AU69*$B$73</f>
        <v>3507.2213688723368</v>
      </c>
      <c r="AV69" s="90">
        <f>'增加值 (2001-2060, 2020RMB)'!AV69*$B$73</f>
        <v>3600.6694494857652</v>
      </c>
      <c r="AW69" s="90">
        <f>'增加值 (2001-2060, 2020RMB)'!AW69*$B$73</f>
        <v>3689.5716900500697</v>
      </c>
      <c r="AX69" s="90">
        <f>'增加值 (2001-2060, 2020RMB)'!AX69*$B$73</f>
        <v>3773.2317589517343</v>
      </c>
      <c r="AY69" s="90">
        <f>'增加值 (2001-2060, 2020RMB)'!AY69*$B$73</f>
        <v>3850.9514371162627</v>
      </c>
      <c r="AZ69" s="89">
        <f>'增加值 (2001-2060, 2020RMB)'!AZ69*$B$73</f>
        <v>3922.0383857110601</v>
      </c>
      <c r="BA69" s="90">
        <f>'增加值 (2001-2060, 2020RMB)'!BA69*$B$73</f>
        <v>3985.8144690703371</v>
      </c>
      <c r="BB69" s="90">
        <f>'增加值 (2001-2060, 2020RMB)'!BB69*$B$73</f>
        <v>4041.6245304949957</v>
      </c>
      <c r="BC69" s="90">
        <f>'增加值 (2001-2060, 2020RMB)'!BC69*$B$73</f>
        <v>4088.8454983529946</v>
      </c>
      <c r="BD69" s="101">
        <f>'增加值 (2001-2060, 2020RMB)'!BD69*$B$73</f>
        <v>4126.8956807084587</v>
      </c>
      <c r="BE69" s="90">
        <f>'增加值 (2001-2060, 2020RMB)'!BE69*$B$73</f>
        <v>4155.2440892377326</v>
      </c>
      <c r="BF69" s="90">
        <f>'增加值 (2001-2060, 2020RMB)'!BF69*$B$73</f>
        <v>4173.4196181733942</v>
      </c>
      <c r="BG69" s="90">
        <f>'增加值 (2001-2060, 2020RMB)'!BG69*$B$73</f>
        <v>4181.0198921772972</v>
      </c>
      <c r="BH69" s="90">
        <f>'增加值 (2001-2060, 2020RMB)'!BH69*$B$73</f>
        <v>4177.7195890804387</v>
      </c>
      <c r="BI69" s="101">
        <f>'增加值 (2001-2060, 2020RMB)'!BI69*$B$73</f>
        <v>4163.2780399804124</v>
      </c>
    </row>
    <row r="70" spans="1:61" x14ac:dyDescent="0.2">
      <c r="A70" s="34" t="s">
        <v>44</v>
      </c>
      <c r="B70" s="25"/>
      <c r="C70" s="26"/>
      <c r="D70" s="26"/>
      <c r="E70" s="26"/>
      <c r="F70" s="27"/>
      <c r="G70" s="25"/>
      <c r="H70" s="26"/>
      <c r="I70" s="26"/>
      <c r="J70" s="26"/>
      <c r="K70" s="27">
        <f>'增加值 (2001-2060, 2020RMB)'!K70*$B$73</f>
        <v>2856.6725234196342</v>
      </c>
      <c r="L70" s="25">
        <f>'增加值 (2001-2060, 2020RMB)'!L70*$B$73</f>
        <v>2932.5284446200644</v>
      </c>
      <c r="M70" s="26">
        <f>'增加值 (2001-2060, 2020RMB)'!M70*$B$73</f>
        <v>3187.413724976172</v>
      </c>
      <c r="N70" s="26">
        <f>'增加值 (2001-2060, 2020RMB)'!N70*$B$73</f>
        <v>3367.9567735186633</v>
      </c>
      <c r="O70" s="26">
        <f>'增加值 (2001-2060, 2020RMB)'!O70*$B$73</f>
        <v>3733.4943639751859</v>
      </c>
      <c r="P70" s="27">
        <f>'增加值 (2001-2060, 2020RMB)'!P70*$B$73</f>
        <v>4368.9949883952995</v>
      </c>
      <c r="Q70" s="25">
        <f>'增加值 (2001-2060, 2020RMB)'!Q70*$B$73</f>
        <v>5123.840619106315</v>
      </c>
      <c r="R70" s="26">
        <f>'增加值 (2001-2060, 2020RMB)'!R70*$B$73</f>
        <v>5639.5856146204096</v>
      </c>
      <c r="S70" s="26">
        <f>'增加值 (2001-2060, 2020RMB)'!S70*$B$73</f>
        <v>6157.7311458472932</v>
      </c>
      <c r="T70" s="26">
        <f>'增加值 (2001-2060, 2020RMB)'!T70*$B$73</f>
        <v>6617.8928118752383</v>
      </c>
      <c r="U70" s="26">
        <f>'增加值 (2001-2060, 2020RMB)'!U70*$B$73</f>
        <v>6785.6511288582524</v>
      </c>
      <c r="V70" s="91">
        <f>'增加值 (2001-2060, 2020RMB)'!V70*$B$73</f>
        <v>7244.2478340572889</v>
      </c>
      <c r="W70" s="92">
        <f>'增加值 (2001-2060, 2020RMB)'!W70*$B$73</f>
        <v>7468.3413211712659</v>
      </c>
      <c r="X70" s="92">
        <f>'增加值 (2001-2060, 2020RMB)'!X70*$B$73</f>
        <v>8039.3247775277086</v>
      </c>
      <c r="Y70" s="92">
        <f>'增加值 (2001-2060, 2020RMB)'!Y70*$B$73</f>
        <v>8654.5752121567111</v>
      </c>
      <c r="Z70" s="102">
        <f>'增加值 (2001-2060, 2020RMB)'!Z70*$B$73</f>
        <v>9311.7449814468546</v>
      </c>
      <c r="AA70" s="92">
        <f>'增加值 (2001-2060, 2020RMB)'!AA70*$B$73</f>
        <v>10006.999839976223</v>
      </c>
      <c r="AB70" s="92">
        <f>'增加值 (2001-2060, 2020RMB)'!AB70*$B$73</f>
        <v>10734.766003723267</v>
      </c>
      <c r="AC70" s="92">
        <f>'增加值 (2001-2060, 2020RMB)'!AC70*$B$73</f>
        <v>11487.499597676873</v>
      </c>
      <c r="AD70" s="92">
        <f>'增加值 (2001-2060, 2020RMB)'!AD70*$B$73</f>
        <v>12255.500210639366</v>
      </c>
      <c r="AE70" s="92">
        <f>'增加值 (2001-2060, 2020RMB)'!AE70*$B$73</f>
        <v>13026.794065311542</v>
      </c>
      <c r="AF70" s="91">
        <f>'增加值 (2001-2060, 2020RMB)'!AF70*$B$73</f>
        <v>13790.078084587749</v>
      </c>
      <c r="AG70" s="92">
        <f>'增加值 (2001-2060, 2020RMB)'!AG70*$B$73</f>
        <v>14544.995673420826</v>
      </c>
      <c r="AH70" s="92">
        <f>'增加值 (2001-2060, 2020RMB)'!AH70*$B$73</f>
        <v>15295.599841125657</v>
      </c>
      <c r="AI70" s="92">
        <f>'增加值 (2001-2060, 2020RMB)'!AI70*$B$73</f>
        <v>16047.738101469327</v>
      </c>
      <c r="AJ70" s="102">
        <f>'增加值 (2001-2060, 2020RMB)'!AJ70*$B$73</f>
        <v>16809.078033087753</v>
      </c>
      <c r="AK70" s="92">
        <f>'增加值 (2001-2060, 2020RMB)'!AK70*$B$73</f>
        <v>17586.991689001523</v>
      </c>
      <c r="AL70" s="92">
        <f>'增加值 (2001-2060, 2020RMB)'!AL70*$B$73</f>
        <v>18381.360839714103</v>
      </c>
      <c r="AM70" s="92">
        <f>'增加值 (2001-2060, 2020RMB)'!AM70*$B$73</f>
        <v>19189.759628008571</v>
      </c>
      <c r="AN70" s="92">
        <f>'增加值 (2001-2060, 2020RMB)'!AN70*$B$73</f>
        <v>20009.420692603278</v>
      </c>
      <c r="AO70" s="92">
        <f>'增加值 (2001-2060, 2020RMB)'!AO70*$B$73</f>
        <v>20837.227655306222</v>
      </c>
      <c r="AP70" s="91">
        <f>'增加值 (2001-2060, 2020RMB)'!AP70*$B$73</f>
        <v>21669.711700467775</v>
      </c>
      <c r="AQ70" s="92">
        <f>'增加值 (2001-2060, 2020RMB)'!AQ70*$B$73</f>
        <v>22503.052849852331</v>
      </c>
      <c r="AR70" s="92">
        <f>'增加值 (2001-2060, 2020RMB)'!AR70*$B$73</f>
        <v>23333.086519765071</v>
      </c>
      <c r="AS70" s="92">
        <f>'增加值 (2001-2060, 2020RMB)'!AS70*$B$73</f>
        <v>24155.315913286795</v>
      </c>
      <c r="AT70" s="102">
        <f>'增加值 (2001-2060, 2020RMB)'!AT70*$B$73</f>
        <v>24964.930746934009</v>
      </c>
      <c r="AU70" s="92">
        <f>'增加值 (2001-2060, 2020RMB)'!AU70*$B$73</f>
        <v>25756.832736472908</v>
      </c>
      <c r="AV70" s="92">
        <f>'增加值 (2001-2060, 2020RMB)'!AV70*$B$73</f>
        <v>26525.668169960099</v>
      </c>
      <c r="AW70" s="92">
        <f>'增加值 (2001-2060, 2020RMB)'!AW70*$B$73</f>
        <v>27265.867776939696</v>
      </c>
      <c r="AX70" s="92">
        <f>'增加值 (2001-2060, 2020RMB)'!AX70*$B$73</f>
        <v>27971.693961416571</v>
      </c>
      <c r="AY70" s="92">
        <f>'增加值 (2001-2060, 2020RMB)'!AY70*$B$73</f>
        <v>28637.295303895808</v>
      </c>
      <c r="AZ70" s="91">
        <f>'增加值 (2001-2060, 2020RMB)'!AZ70*$B$73</f>
        <v>29256.768056514022</v>
      </c>
      <c r="BA70" s="92">
        <f>'增加值 (2001-2060, 2020RMB)'!BA70*$B$73</f>
        <v>29824.224158184868</v>
      </c>
      <c r="BB70" s="92">
        <f>'增加值 (2001-2060, 2020RMB)'!BB70*$B$73</f>
        <v>30333.865087856266</v>
      </c>
      <c r="BC70" s="92">
        <f>'增加值 (2001-2060, 2020RMB)'!BC70*$B$73</f>
        <v>30780.060658601338</v>
      </c>
      <c r="BD70" s="102">
        <f>'增加值 (2001-2060, 2020RMB)'!BD70*$B$73</f>
        <v>31157.431639475664</v>
      </c>
      <c r="BE70" s="92">
        <f>'增加值 (2001-2060, 2020RMB)'!BE70*$B$73</f>
        <v>31460.934882876485</v>
      </c>
      <c r="BF70" s="92">
        <f>'增加值 (2001-2060, 2020RMB)'!BF70*$B$73</f>
        <v>31685.949440268632</v>
      </c>
      <c r="BG70" s="92">
        <f>'增加值 (2001-2060, 2020RMB)'!BG70*$B$73</f>
        <v>31828.36197677681</v>
      </c>
      <c r="BH70" s="92">
        <f>'增加值 (2001-2060, 2020RMB)'!BH70*$B$73</f>
        <v>31884.64965370404</v>
      </c>
      <c r="BI70" s="102">
        <f>'增加值 (2001-2060, 2020RMB)'!BI70*$B$73</f>
        <v>31851.958545773334</v>
      </c>
    </row>
    <row r="73" spans="1:61" x14ac:dyDescent="0.2">
      <c r="A73" s="119" t="s">
        <v>286</v>
      </c>
      <c r="B73" s="120">
        <v>0.13774643545738699</v>
      </c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20"/>
      <c r="AB73" s="120"/>
      <c r="AC73" s="120"/>
      <c r="AD73" s="120"/>
      <c r="AE73" s="120"/>
      <c r="AF73" s="120"/>
      <c r="AG73" s="120"/>
      <c r="AH73" s="120"/>
      <c r="AI73" s="120"/>
      <c r="AJ73" s="120"/>
      <c r="AK73" s="120"/>
      <c r="AL73" s="120"/>
      <c r="AM73" s="120"/>
      <c r="AN73" s="120"/>
      <c r="AO73" s="120"/>
      <c r="AP73" s="120"/>
      <c r="AQ73" s="120"/>
      <c r="AR73" s="120"/>
      <c r="AS73" s="120"/>
      <c r="AT73" s="120"/>
      <c r="AU73" s="120"/>
      <c r="AV73" s="120"/>
      <c r="AW73" s="120"/>
      <c r="AX73" s="120"/>
      <c r="AY73" s="120"/>
      <c r="AZ73" s="120"/>
      <c r="BA73" s="120"/>
      <c r="BB73" s="120"/>
      <c r="BC73" s="120"/>
      <c r="BD73" s="120"/>
      <c r="BE73" s="120"/>
      <c r="BF73" s="120"/>
      <c r="BG73" s="120"/>
      <c r="BH73" s="120"/>
      <c r="BI73" s="120"/>
    </row>
    <row r="74" spans="1:61" x14ac:dyDescent="0.2">
      <c r="A74" s="175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  <c r="AG74" s="28"/>
      <c r="AH74" s="28"/>
      <c r="AI74" s="28"/>
      <c r="AJ74" s="28"/>
      <c r="AK74" s="28"/>
      <c r="AL74" s="28"/>
      <c r="AM74" s="28"/>
      <c r="AN74" s="28"/>
      <c r="AO74" s="28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</row>
    <row r="75" spans="1:61" x14ac:dyDescent="0.2">
      <c r="A75" s="175"/>
    </row>
    <row r="78" spans="1:61" x14ac:dyDescent="0.2">
      <c r="A78" s="112" t="s">
        <v>168</v>
      </c>
      <c r="B78" s="116">
        <f>B13</f>
        <v>11360.305148771144</v>
      </c>
      <c r="C78" s="117">
        <f t="shared" ref="C78:BI78" si="0">C13</f>
        <v>12298.062693286282</v>
      </c>
      <c r="D78" s="117">
        <f t="shared" si="0"/>
        <v>13884.790875628891</v>
      </c>
      <c r="E78" s="117">
        <f t="shared" si="0"/>
        <v>15422.095104095906</v>
      </c>
      <c r="F78" s="117">
        <f t="shared" si="0"/>
        <v>17592.823233998242</v>
      </c>
      <c r="G78" s="117">
        <f t="shared" si="0"/>
        <v>20024.670878731729</v>
      </c>
      <c r="H78" s="117">
        <f t="shared" si="0"/>
        <v>22498.315163918967</v>
      </c>
      <c r="I78" s="117">
        <f t="shared" si="0"/>
        <v>24625.937654813672</v>
      </c>
      <c r="J78" s="117">
        <f t="shared" si="0"/>
        <v>25871.065445139207</v>
      </c>
      <c r="K78" s="117">
        <f t="shared" si="0"/>
        <v>28934.018460247236</v>
      </c>
      <c r="L78" s="117">
        <f t="shared" si="0"/>
        <v>31652.799458352747</v>
      </c>
      <c r="M78" s="117">
        <f t="shared" si="0"/>
        <v>33124.32229745431</v>
      </c>
      <c r="N78" s="117">
        <f t="shared" si="0"/>
        <v>34518.444056519606</v>
      </c>
      <c r="O78" s="117">
        <f t="shared" si="0"/>
        <v>35827.085847351853</v>
      </c>
      <c r="P78" s="117">
        <f t="shared" si="0"/>
        <v>36086.373868234325</v>
      </c>
      <c r="Q78" s="117">
        <f t="shared" si="0"/>
        <v>37149.335570071082</v>
      </c>
      <c r="R78" s="117">
        <f t="shared" si="0"/>
        <v>39938.398266727323</v>
      </c>
      <c r="S78" s="117">
        <f t="shared" si="0"/>
        <v>42210.749247921012</v>
      </c>
      <c r="T78" s="117">
        <f t="shared" si="0"/>
        <v>43185.307729585511</v>
      </c>
      <c r="U78" s="117">
        <f t="shared" si="0"/>
        <v>43101.259119279217</v>
      </c>
      <c r="V78" s="117">
        <f t="shared" si="0"/>
        <v>49064.409191140723</v>
      </c>
      <c r="W78" s="117">
        <f t="shared" si="0"/>
        <v>51734.614096336591</v>
      </c>
      <c r="X78" s="117">
        <f t="shared" si="0"/>
        <v>53745.044890714504</v>
      </c>
      <c r="Y78" s="117">
        <f t="shared" si="0"/>
        <v>55797.824464302677</v>
      </c>
      <c r="Z78" s="117">
        <f t="shared" si="0"/>
        <v>57877.740977447531</v>
      </c>
      <c r="AA78" s="117">
        <f t="shared" si="0"/>
        <v>59968.482795007389</v>
      </c>
      <c r="AB78" s="117">
        <f t="shared" si="0"/>
        <v>62052.336341136477</v>
      </c>
      <c r="AC78" s="117">
        <f t="shared" si="0"/>
        <v>64109.980941783375</v>
      </c>
      <c r="AD78" s="117">
        <f t="shared" si="0"/>
        <v>66120.413332608354</v>
      </c>
      <c r="AE78" s="117">
        <f t="shared" si="0"/>
        <v>68061.03789553282</v>
      </c>
      <c r="AF78" s="117">
        <f t="shared" si="0"/>
        <v>69910.804517526878</v>
      </c>
      <c r="AG78" s="117">
        <f t="shared" si="0"/>
        <v>71659.61879273066</v>
      </c>
      <c r="AH78" s="117">
        <f t="shared" si="0"/>
        <v>73300.767659547084</v>
      </c>
      <c r="AI78" s="117">
        <f t="shared" si="0"/>
        <v>74828.176255333849</v>
      </c>
      <c r="AJ78" s="117">
        <f t="shared" si="0"/>
        <v>76236.406676996528</v>
      </c>
      <c r="AK78" s="117">
        <f t="shared" si="0"/>
        <v>77521.430751777065</v>
      </c>
      <c r="AL78" s="117">
        <f t="shared" si="0"/>
        <v>78683.118000481816</v>
      </c>
      <c r="AM78" s="117">
        <f t="shared" si="0"/>
        <v>79723.33696034344</v>
      </c>
      <c r="AN78" s="117">
        <f t="shared" si="0"/>
        <v>80645.174994409215</v>
      </c>
      <c r="AO78" s="117">
        <f t="shared" si="0"/>
        <v>81452.835395343558</v>
      </c>
      <c r="AP78" s="117">
        <f t="shared" si="0"/>
        <v>82151.5250684731</v>
      </c>
      <c r="AQ78" s="117">
        <f t="shared" si="0"/>
        <v>82747.336776781623</v>
      </c>
      <c r="AR78" s="117">
        <f t="shared" si="0"/>
        <v>83247.129707321888</v>
      </c>
      <c r="AS78" s="117">
        <f t="shared" si="0"/>
        <v>83658.41179841086</v>
      </c>
      <c r="AT78" s="117">
        <f t="shared" si="0"/>
        <v>83989.226879501352</v>
      </c>
      <c r="AU78" s="117">
        <f t="shared" si="0"/>
        <v>84248.049249642558</v>
      </c>
      <c r="AV78" s="117">
        <f t="shared" si="0"/>
        <v>84443.687882762853</v>
      </c>
      <c r="AW78" s="117">
        <f t="shared" si="0"/>
        <v>84585.202022463258</v>
      </c>
      <c r="AX78" s="117">
        <f t="shared" si="0"/>
        <v>84681.829535909434</v>
      </c>
      <c r="AY78" s="117">
        <f t="shared" si="0"/>
        <v>84742.929052402149</v>
      </c>
      <c r="AZ78" s="117">
        <f t="shared" si="0"/>
        <v>84777.936630462646</v>
      </c>
      <c r="BA78" s="117">
        <f t="shared" si="0"/>
        <v>84796.33748798247</v>
      </c>
      <c r="BB78" s="117">
        <f t="shared" si="0"/>
        <v>84807.653201067951</v>
      </c>
      <c r="BC78" s="117">
        <f t="shared" si="0"/>
        <v>84821.444735188037</v>
      </c>
      <c r="BD78" s="117">
        <f t="shared" si="0"/>
        <v>84847.331723337484</v>
      </c>
      <c r="BE78" s="117">
        <f t="shared" si="0"/>
        <v>84895.028557277037</v>
      </c>
      <c r="BF78" s="117">
        <f t="shared" si="0"/>
        <v>84974.398118952653</v>
      </c>
      <c r="BG78" s="117">
        <f t="shared" si="0"/>
        <v>85095.524363312361</v>
      </c>
      <c r="BH78" s="117">
        <f t="shared" si="0"/>
        <v>85268.805490295621</v>
      </c>
      <c r="BI78" s="118">
        <f t="shared" si="0"/>
        <v>85505.07014057276</v>
      </c>
    </row>
    <row r="79" spans="1:61" x14ac:dyDescent="0.2">
      <c r="A79" s="113" t="s">
        <v>10</v>
      </c>
      <c r="B79" s="10"/>
      <c r="C79" s="44"/>
      <c r="D79" s="44"/>
      <c r="E79" s="44"/>
      <c r="F79" s="44"/>
      <c r="G79" s="44"/>
      <c r="H79" s="44"/>
      <c r="I79" s="23">
        <f>I14</f>
        <v>1608.2848584278597</v>
      </c>
      <c r="J79" s="23">
        <f t="shared" ref="J79:BI79" si="1">J14</f>
        <v>1651.0989121675054</v>
      </c>
      <c r="K79" s="23">
        <f t="shared" si="1"/>
        <v>1879.1923219537205</v>
      </c>
      <c r="L79" s="23">
        <f t="shared" si="1"/>
        <v>2105.4222125807664</v>
      </c>
      <c r="M79" s="23">
        <f t="shared" si="1"/>
        <v>2200.7748797618237</v>
      </c>
      <c r="N79" s="23">
        <f t="shared" si="1"/>
        <v>2209.8174876911885</v>
      </c>
      <c r="O79" s="23">
        <f t="shared" si="1"/>
        <v>2171.579848017881</v>
      </c>
      <c r="P79" s="23">
        <f t="shared" si="1"/>
        <v>2099.3377117375903</v>
      </c>
      <c r="Q79" s="23">
        <f t="shared" si="1"/>
        <v>2017.9816653801363</v>
      </c>
      <c r="R79" s="23">
        <f t="shared" si="1"/>
        <v>1999.7266103568845</v>
      </c>
      <c r="S79" s="23">
        <f t="shared" si="1"/>
        <v>2034.9296418416018</v>
      </c>
      <c r="T79" s="23">
        <f t="shared" si="1"/>
        <v>2069.922408755594</v>
      </c>
      <c r="U79" s="23">
        <f t="shared" si="1"/>
        <v>2036.4097192215513</v>
      </c>
      <c r="V79" s="23">
        <f t="shared" si="1"/>
        <v>2262.3473207375118</v>
      </c>
      <c r="W79" s="23">
        <f t="shared" si="1"/>
        <v>2479.7197729678542</v>
      </c>
      <c r="X79" s="23">
        <f t="shared" si="1"/>
        <v>2521.8209793500132</v>
      </c>
      <c r="Y79" s="23">
        <f t="shared" si="1"/>
        <v>2567.7101881185945</v>
      </c>
      <c r="Z79" s="23">
        <f t="shared" si="1"/>
        <v>2615.7264061614287</v>
      </c>
      <c r="AA79" s="23">
        <f t="shared" si="1"/>
        <v>2664.082375045105</v>
      </c>
      <c r="AB79" s="23">
        <f t="shared" si="1"/>
        <v>2710.8560785374152</v>
      </c>
      <c r="AC79" s="23">
        <f t="shared" si="1"/>
        <v>2753.9954025629559</v>
      </c>
      <c r="AD79" s="23">
        <f t="shared" si="1"/>
        <v>2791.3375473429815</v>
      </c>
      <c r="AE79" s="23">
        <f t="shared" si="1"/>
        <v>2820.6445413865099</v>
      </c>
      <c r="AF79" s="23">
        <f t="shared" si="1"/>
        <v>2840.2015477946884</v>
      </c>
      <c r="AG79" s="23">
        <f t="shared" si="1"/>
        <v>2850.5366809326442</v>
      </c>
      <c r="AH79" s="23">
        <f t="shared" si="1"/>
        <v>2852.8316347397495</v>
      </c>
      <c r="AI79" s="23">
        <f t="shared" si="1"/>
        <v>2848.3479614191579</v>
      </c>
      <c r="AJ79" s="23">
        <f t="shared" si="1"/>
        <v>2838.3941075272182</v>
      </c>
      <c r="AK79" s="23">
        <f t="shared" si="1"/>
        <v>2824.1211531150961</v>
      </c>
      <c r="AL79" s="23">
        <f t="shared" si="1"/>
        <v>2805.9801123218008</v>
      </c>
      <c r="AM79" s="23">
        <f t="shared" si="1"/>
        <v>2784.2550518144708</v>
      </c>
      <c r="AN79" s="23">
        <f t="shared" si="1"/>
        <v>2759.2378076208147</v>
      </c>
      <c r="AO79" s="23">
        <f t="shared" si="1"/>
        <v>2731.2248890615938</v>
      </c>
      <c r="AP79" s="23">
        <f t="shared" si="1"/>
        <v>2700.5145980019452</v>
      </c>
      <c r="AQ79" s="23">
        <f t="shared" si="1"/>
        <v>2667.4043860525394</v>
      </c>
      <c r="AR79" s="23">
        <f t="shared" si="1"/>
        <v>2632.1884658756417</v>
      </c>
      <c r="AS79" s="23">
        <f t="shared" si="1"/>
        <v>2595.1556867037793</v>
      </c>
      <c r="AT79" s="23">
        <f t="shared" si="1"/>
        <v>2556.5876786507829</v>
      </c>
      <c r="AU79" s="23">
        <f t="shared" si="1"/>
        <v>2516.7572654509659</v>
      </c>
      <c r="AV79" s="23">
        <f t="shared" si="1"/>
        <v>2475.9271409422931</v>
      </c>
      <c r="AW79" s="23">
        <f t="shared" si="1"/>
        <v>2434.348800933692</v>
      </c>
      <c r="AX79" s="23">
        <f t="shared" si="1"/>
        <v>2392.2617190637993</v>
      </c>
      <c r="AY79" s="23">
        <f t="shared" si="1"/>
        <v>2349.8927528532017</v>
      </c>
      <c r="AZ79" s="23">
        <f t="shared" si="1"/>
        <v>2307.4557643452972</v>
      </c>
      <c r="BA79" s="23">
        <f t="shared" si="1"/>
        <v>2265.151438482344</v>
      </c>
      <c r="BB79" s="23">
        <f t="shared" si="1"/>
        <v>2223.1672816265959</v>
      </c>
      <c r="BC79" s="23">
        <f t="shared" si="1"/>
        <v>2181.6777823595112</v>
      </c>
      <c r="BD79" s="23">
        <f t="shared" si="1"/>
        <v>2140.8447168205826</v>
      </c>
      <c r="BE79" s="23">
        <f t="shared" si="1"/>
        <v>2100.8175813263238</v>
      </c>
      <c r="BF79" s="23">
        <f t="shared" si="1"/>
        <v>2061.7341357852833</v>
      </c>
      <c r="BG79" s="23">
        <f t="shared" si="1"/>
        <v>2023.721042445821</v>
      </c>
      <c r="BH79" s="23">
        <f t="shared" si="1"/>
        <v>1986.894585731462</v>
      </c>
      <c r="BI79" s="24">
        <f t="shared" si="1"/>
        <v>1951.3614602916741</v>
      </c>
    </row>
    <row r="80" spans="1:61" x14ac:dyDescent="0.2">
      <c r="A80" s="114" t="s">
        <v>11</v>
      </c>
      <c r="B80" s="14"/>
      <c r="I80" s="20">
        <f t="shared" ref="I80" si="2">I15</f>
        <v>1691.9642035906934</v>
      </c>
      <c r="J80" s="20">
        <f t="shared" ref="J80:BI80" si="3">J15</f>
        <v>1680.8699560030407</v>
      </c>
      <c r="K80" s="20">
        <f t="shared" si="3"/>
        <v>1629.0528811988204</v>
      </c>
      <c r="L80" s="20">
        <f t="shared" si="3"/>
        <v>1645.1568841099402</v>
      </c>
      <c r="M80" s="20">
        <f t="shared" si="3"/>
        <v>1616.2967364381511</v>
      </c>
      <c r="N80" s="20">
        <f t="shared" si="3"/>
        <v>1570.7335794601238</v>
      </c>
      <c r="O80" s="20">
        <f t="shared" si="3"/>
        <v>1558.6134131412034</v>
      </c>
      <c r="P80" s="20">
        <f t="shared" si="3"/>
        <v>1540.772253083157</v>
      </c>
      <c r="Q80" s="20">
        <f t="shared" si="3"/>
        <v>1502.1130367157548</v>
      </c>
      <c r="R80" s="20">
        <f t="shared" si="3"/>
        <v>1479.4019047376719</v>
      </c>
      <c r="S80" s="20">
        <f t="shared" si="3"/>
        <v>1502.499103959708</v>
      </c>
      <c r="T80" s="20">
        <f t="shared" si="3"/>
        <v>1502.2602870929002</v>
      </c>
      <c r="U80" s="20">
        <f t="shared" si="3"/>
        <v>1460.4994252894223</v>
      </c>
      <c r="V80" s="20">
        <f t="shared" si="3"/>
        <v>1579.9619826365199</v>
      </c>
      <c r="W80" s="20">
        <f t="shared" si="3"/>
        <v>1694.8545592328228</v>
      </c>
      <c r="X80" s="20">
        <f t="shared" si="3"/>
        <v>1704.8526895879286</v>
      </c>
      <c r="Y80" s="20">
        <f t="shared" si="3"/>
        <v>1715.8045728767156</v>
      </c>
      <c r="Z80" s="20">
        <f t="shared" si="3"/>
        <v>1726.9504102729618</v>
      </c>
      <c r="AA80" s="20">
        <f t="shared" si="3"/>
        <v>1737.5109176764749</v>
      </c>
      <c r="AB80" s="20">
        <f t="shared" si="3"/>
        <v>1746.6882230264282</v>
      </c>
      <c r="AC80" s="20">
        <f t="shared" si="3"/>
        <v>1753.6703602919993</v>
      </c>
      <c r="AD80" s="20">
        <f t="shared" si="3"/>
        <v>1757.6394702335426</v>
      </c>
      <c r="AE80" s="20">
        <f t="shared" si="3"/>
        <v>1757.7837368861406</v>
      </c>
      <c r="AF80" s="20">
        <f t="shared" si="3"/>
        <v>1753.5643008238969</v>
      </c>
      <c r="AG80" s="20">
        <f t="shared" si="3"/>
        <v>1745.4779404895933</v>
      </c>
      <c r="AH80" s="20">
        <f t="shared" si="3"/>
        <v>1734.2891576841864</v>
      </c>
      <c r="AI80" s="20">
        <f t="shared" si="3"/>
        <v>1720.7635133679328</v>
      </c>
      <c r="AJ80" s="20">
        <f t="shared" si="3"/>
        <v>1705.6560686797889</v>
      </c>
      <c r="AK80" s="20">
        <f t="shared" si="3"/>
        <v>1689.5921839625428</v>
      </c>
      <c r="AL80" s="20">
        <f t="shared" si="3"/>
        <v>1672.7383833196252</v>
      </c>
      <c r="AM80" s="20">
        <f t="shared" si="3"/>
        <v>1655.1482664618311</v>
      </c>
      <c r="AN80" s="20">
        <f t="shared" si="3"/>
        <v>1636.8752511191149</v>
      </c>
      <c r="AO80" s="20">
        <f t="shared" si="3"/>
        <v>1617.9723919128053</v>
      </c>
      <c r="AP80" s="20">
        <f t="shared" si="3"/>
        <v>1598.492210717005</v>
      </c>
      <c r="AQ80" s="20">
        <f t="shared" si="3"/>
        <v>1578.4865388028618</v>
      </c>
      <c r="AR80" s="20">
        <f t="shared" si="3"/>
        <v>1558.0063709581525</v>
      </c>
      <c r="AS80" s="20">
        <f t="shared" si="3"/>
        <v>1537.1017316798695</v>
      </c>
      <c r="AT80" s="20">
        <f t="shared" si="3"/>
        <v>1515.8215534482686</v>
      </c>
      <c r="AU80" s="20">
        <f t="shared" si="3"/>
        <v>1494.2135670086343</v>
      </c>
      <c r="AV80" s="20">
        <f t="shared" si="3"/>
        <v>1472.3242035113292</v>
      </c>
      <c r="AW80" s="20">
        <f t="shared" si="3"/>
        <v>1450.1985082918588</v>
      </c>
      <c r="AX80" s="20">
        <f t="shared" si="3"/>
        <v>1427.8800660110471</v>
      </c>
      <c r="AY80" s="20">
        <f t="shared" si="3"/>
        <v>1405.410936820633</v>
      </c>
      <c r="AZ80" s="20">
        <f t="shared" si="3"/>
        <v>1382.8316031715485</v>
      </c>
      <c r="BA80" s="20">
        <f t="shared" si="3"/>
        <v>1360.180926841163</v>
      </c>
      <c r="BB80" s="20">
        <f t="shared" si="3"/>
        <v>1337.4961157210364</v>
      </c>
      <c r="BC80" s="20">
        <f t="shared" si="3"/>
        <v>1314.8126998784103</v>
      </c>
      <c r="BD80" s="20">
        <f t="shared" si="3"/>
        <v>1292.1645163823719</v>
      </c>
      <c r="BE80" s="20">
        <f t="shared" si="3"/>
        <v>1269.5837023689007</v>
      </c>
      <c r="BF80" s="20">
        <f t="shared" si="3"/>
        <v>1247.1006958078256</v>
      </c>
      <c r="BG80" s="20">
        <f t="shared" si="3"/>
        <v>1224.7442434281816</v>
      </c>
      <c r="BH80" s="20">
        <f t="shared" si="3"/>
        <v>1202.5414152568696</v>
      </c>
      <c r="BI80" s="21">
        <f t="shared" si="3"/>
        <v>1180.5176252278802</v>
      </c>
    </row>
    <row r="81" spans="1:61" x14ac:dyDescent="0.2">
      <c r="A81" s="114" t="s">
        <v>12</v>
      </c>
      <c r="B81" s="14"/>
      <c r="I81" s="20">
        <f>I16+I17</f>
        <v>461.97504430714594</v>
      </c>
      <c r="J81" s="20">
        <f t="shared" ref="J81:BI81" si="4">J16+J17</f>
        <v>539.30689229828624</v>
      </c>
      <c r="K81" s="20">
        <f t="shared" si="4"/>
        <v>612.89930133806774</v>
      </c>
      <c r="L81" s="20">
        <f t="shared" si="4"/>
        <v>697.13326073626968</v>
      </c>
      <c r="M81" s="20">
        <f t="shared" si="4"/>
        <v>787.98266440397038</v>
      </c>
      <c r="N81" s="20">
        <f t="shared" si="4"/>
        <v>846.74247191151085</v>
      </c>
      <c r="O81" s="20">
        <f t="shared" si="4"/>
        <v>889.23816899073245</v>
      </c>
      <c r="P81" s="20">
        <f t="shared" si="4"/>
        <v>869.65121887680755</v>
      </c>
      <c r="Q81" s="20">
        <f t="shared" si="4"/>
        <v>840.84215326483059</v>
      </c>
      <c r="R81" s="20">
        <f t="shared" si="4"/>
        <v>824.9623680408763</v>
      </c>
      <c r="S81" s="20">
        <f t="shared" si="4"/>
        <v>800.03282171269313</v>
      </c>
      <c r="T81" s="20">
        <f t="shared" si="4"/>
        <v>814.98449384399464</v>
      </c>
      <c r="U81" s="20">
        <f t="shared" si="4"/>
        <v>779.56559972921377</v>
      </c>
      <c r="V81" s="20">
        <f t="shared" si="4"/>
        <v>824.91563116752479</v>
      </c>
      <c r="W81" s="20">
        <f t="shared" si="4"/>
        <v>924.98677110439587</v>
      </c>
      <c r="X81" s="20">
        <f t="shared" si="4"/>
        <v>928.10705616221207</v>
      </c>
      <c r="Y81" s="20">
        <f t="shared" si="4"/>
        <v>929.50648248469747</v>
      </c>
      <c r="Z81" s="20">
        <f t="shared" si="4"/>
        <v>929.30560767417774</v>
      </c>
      <c r="AA81" s="20">
        <f t="shared" si="4"/>
        <v>927.6353905196579</v>
      </c>
      <c r="AB81" s="20">
        <f t="shared" si="4"/>
        <v>924.6347682425328</v>
      </c>
      <c r="AC81" s="20">
        <f t="shared" si="4"/>
        <v>920.44837955289461</v>
      </c>
      <c r="AD81" s="20">
        <f t="shared" si="4"/>
        <v>915.22447601367901</v>
      </c>
      <c r="AE81" s="20">
        <f t="shared" si="4"/>
        <v>909.1130539649123</v>
      </c>
      <c r="AF81" s="20">
        <f t="shared" si="4"/>
        <v>902.2355993392423</v>
      </c>
      <c r="AG81" s="20">
        <f t="shared" si="4"/>
        <v>894.59953687918596</v>
      </c>
      <c r="AH81" s="20">
        <f t="shared" si="4"/>
        <v>886.18654953120063</v>
      </c>
      <c r="AI81" s="20">
        <f t="shared" si="4"/>
        <v>876.98179839359364</v>
      </c>
      <c r="AJ81" s="20">
        <f t="shared" si="4"/>
        <v>866.97414335986491</v>
      </c>
      <c r="AK81" s="20">
        <f t="shared" si="4"/>
        <v>856.17046319443432</v>
      </c>
      <c r="AL81" s="20">
        <f t="shared" si="4"/>
        <v>844.63664910898342</v>
      </c>
      <c r="AM81" s="20">
        <f t="shared" si="4"/>
        <v>832.45241303818568</v>
      </c>
      <c r="AN81" s="20">
        <f t="shared" si="4"/>
        <v>819.69628927129725</v>
      </c>
      <c r="AO81" s="20">
        <f t="shared" si="4"/>
        <v>806.44515296270652</v>
      </c>
      <c r="AP81" s="20">
        <f t="shared" si="4"/>
        <v>792.77379618876353</v>
      </c>
      <c r="AQ81" s="20">
        <f t="shared" si="4"/>
        <v>778.75456140716858</v>
      </c>
      <c r="AR81" s="20">
        <f t="shared" si="4"/>
        <v>764.45703137184228</v>
      </c>
      <c r="AS81" s="20">
        <f t="shared" si="4"/>
        <v>749.94777385951068</v>
      </c>
      <c r="AT81" s="20">
        <f t="shared" si="4"/>
        <v>735.2901389755159</v>
      </c>
      <c r="AU81" s="20">
        <f t="shared" si="4"/>
        <v>720.54410632351028</v>
      </c>
      <c r="AV81" s="20">
        <f t="shared" si="4"/>
        <v>705.76617894342758</v>
      </c>
      <c r="AW81" s="20">
        <f t="shared" si="4"/>
        <v>691.00932063865753</v>
      </c>
      <c r="AX81" s="20">
        <f t="shared" si="4"/>
        <v>676.32293312029219</v>
      </c>
      <c r="AY81" s="20">
        <f t="shared" si="4"/>
        <v>661.75286928559569</v>
      </c>
      <c r="AZ81" s="20">
        <f t="shared" si="4"/>
        <v>647.34147891150474</v>
      </c>
      <c r="BA81" s="20">
        <f t="shared" si="4"/>
        <v>633.12768307286797</v>
      </c>
      <c r="BB81" s="20">
        <f t="shared" si="4"/>
        <v>619.14707368088534</v>
      </c>
      <c r="BC81" s="20">
        <f t="shared" si="4"/>
        <v>605.43203467079604</v>
      </c>
      <c r="BD81" s="20">
        <f t="shared" si="4"/>
        <v>592.0118815411513</v>
      </c>
      <c r="BE81" s="20">
        <f t="shared" si="4"/>
        <v>578.9130161520261</v>
      </c>
      <c r="BF81" s="20">
        <f t="shared" si="4"/>
        <v>566.15909391895866</v>
      </c>
      <c r="BG81" s="20">
        <f t="shared" si="4"/>
        <v>553.77120078667917</v>
      </c>
      <c r="BH81" s="20">
        <f t="shared" si="4"/>
        <v>541.76803762579334</v>
      </c>
      <c r="BI81" s="21">
        <f t="shared" si="4"/>
        <v>530.16610996153327</v>
      </c>
    </row>
    <row r="82" spans="1:61" x14ac:dyDescent="0.2">
      <c r="A82" s="114" t="s">
        <v>13</v>
      </c>
      <c r="B82" s="14"/>
      <c r="I82" s="20">
        <f>I18+I19+I20</f>
        <v>188.3346119683618</v>
      </c>
      <c r="J82" s="20">
        <f t="shared" ref="J82:BI82" si="5">J18+J19+J20</f>
        <v>214.70342317481749</v>
      </c>
      <c r="K82" s="20">
        <f t="shared" si="5"/>
        <v>251.56475822637498</v>
      </c>
      <c r="L82" s="20">
        <f t="shared" si="5"/>
        <v>292.08518704151152</v>
      </c>
      <c r="M82" s="20">
        <f t="shared" si="5"/>
        <v>311.08586603752508</v>
      </c>
      <c r="N82" s="20">
        <f t="shared" si="5"/>
        <v>322.17631259331768</v>
      </c>
      <c r="O82" s="20">
        <f t="shared" si="5"/>
        <v>318.56814556928987</v>
      </c>
      <c r="P82" s="20">
        <f t="shared" si="5"/>
        <v>300.29256631472447</v>
      </c>
      <c r="Q82" s="20">
        <f t="shared" si="5"/>
        <v>286.41109626760812</v>
      </c>
      <c r="R82" s="20">
        <f t="shared" si="5"/>
        <v>306.71509543851101</v>
      </c>
      <c r="S82" s="20">
        <f t="shared" si="5"/>
        <v>333.28245206526765</v>
      </c>
      <c r="T82" s="20">
        <f t="shared" si="5"/>
        <v>348.95326179918055</v>
      </c>
      <c r="U82" s="20">
        <f t="shared" si="5"/>
        <v>317.85993717896542</v>
      </c>
      <c r="V82" s="20">
        <f t="shared" si="5"/>
        <v>353.02230805270131</v>
      </c>
      <c r="W82" s="20">
        <f t="shared" si="5"/>
        <v>370.00171069210728</v>
      </c>
      <c r="X82" s="20">
        <f t="shared" si="5"/>
        <v>381.37048202707842</v>
      </c>
      <c r="Y82" s="20">
        <f t="shared" si="5"/>
        <v>391.82932953806227</v>
      </c>
      <c r="Z82" s="20">
        <f t="shared" si="5"/>
        <v>401.34143098283664</v>
      </c>
      <c r="AA82" s="20">
        <f t="shared" si="5"/>
        <v>409.91031463736908</v>
      </c>
      <c r="AB82" s="20">
        <f t="shared" si="5"/>
        <v>417.57889972161632</v>
      </c>
      <c r="AC82" s="20">
        <f t="shared" si="5"/>
        <v>424.42725297527716</v>
      </c>
      <c r="AD82" s="20">
        <f t="shared" si="5"/>
        <v>430.56956228601337</v>
      </c>
      <c r="AE82" s="20">
        <f t="shared" si="5"/>
        <v>436.15084137389545</v>
      </c>
      <c r="AF82" s="20">
        <f t="shared" si="5"/>
        <v>441.30521705182622</v>
      </c>
      <c r="AG82" s="20">
        <f t="shared" si="5"/>
        <v>446.03005835181341</v>
      </c>
      <c r="AH82" s="20">
        <f t="shared" si="5"/>
        <v>450.28782702146725</v>
      </c>
      <c r="AI82" s="20">
        <f t="shared" si="5"/>
        <v>454.04306549398882</v>
      </c>
      <c r="AJ82" s="20">
        <f t="shared" si="5"/>
        <v>457.26271409766173</v>
      </c>
      <c r="AK82" s="20">
        <f t="shared" si="5"/>
        <v>459.92221189731492</v>
      </c>
      <c r="AL82" s="20">
        <f t="shared" si="5"/>
        <v>462.02316255283597</v>
      </c>
      <c r="AM82" s="20">
        <f t="shared" si="5"/>
        <v>463.57598423224567</v>
      </c>
      <c r="AN82" s="20">
        <f t="shared" si="5"/>
        <v>464.59395905834765</v>
      </c>
      <c r="AO82" s="20">
        <f t="shared" si="5"/>
        <v>465.09304383877134</v>
      </c>
      <c r="AP82" s="20">
        <f t="shared" si="5"/>
        <v>465.09166160501371</v>
      </c>
      <c r="AQ82" s="20">
        <f t="shared" si="5"/>
        <v>464.61047793583901</v>
      </c>
      <c r="AR82" s="20">
        <f t="shared" si="5"/>
        <v>463.67216607496277</v>
      </c>
      <c r="AS82" s="20">
        <f t="shared" si="5"/>
        <v>462.30116480236103</v>
      </c>
      <c r="AT82" s="20">
        <f t="shared" si="5"/>
        <v>460.52343289124815</v>
      </c>
      <c r="AU82" s="20">
        <f t="shared" si="5"/>
        <v>458.36620378871612</v>
      </c>
      <c r="AV82" s="20">
        <f t="shared" si="5"/>
        <v>455.85774390798741</v>
      </c>
      <c r="AW82" s="20">
        <f t="shared" si="5"/>
        <v>453.02711762549671</v>
      </c>
      <c r="AX82" s="20">
        <f t="shared" si="5"/>
        <v>449.90396174797411</v>
      </c>
      <c r="AY82" s="20">
        <f t="shared" si="5"/>
        <v>446.51827186444262</v>
      </c>
      <c r="AZ82" s="20">
        <f t="shared" si="5"/>
        <v>442.90020263605305</v>
      </c>
      <c r="BA82" s="20">
        <f t="shared" si="5"/>
        <v>439.07988371276628</v>
      </c>
      <c r="BB82" s="20">
        <f t="shared" si="5"/>
        <v>435.08725260866754</v>
      </c>
      <c r="BC82" s="20">
        <f t="shared" si="5"/>
        <v>430.95190552485303</v>
      </c>
      <c r="BD82" s="20">
        <f t="shared" si="5"/>
        <v>426.70296678675254</v>
      </c>
      <c r="BE82" s="20">
        <f t="shared" si="5"/>
        <v>422.36897726663096</v>
      </c>
      <c r="BF82" s="20">
        <f t="shared" si="5"/>
        <v>417.97780189594715</v>
      </c>
      <c r="BG82" s="20">
        <f t="shared" si="5"/>
        <v>413.55655613905429</v>
      </c>
      <c r="BH82" s="20">
        <f t="shared" si="5"/>
        <v>409.13155110135449</v>
      </c>
      <c r="BI82" s="21">
        <f t="shared" si="5"/>
        <v>404.72825678234796</v>
      </c>
    </row>
    <row r="83" spans="1:61" x14ac:dyDescent="0.2">
      <c r="A83" s="114" t="s">
        <v>14</v>
      </c>
      <c r="B83" s="14"/>
      <c r="I83" s="20">
        <f>I21+I22+I23+I24</f>
        <v>2454.8371613017289</v>
      </c>
      <c r="J83" s="20">
        <f t="shared" ref="J83:BI83" si="6">J21+J22+J23+J24</f>
        <v>2625.8153773714039</v>
      </c>
      <c r="K83" s="20">
        <f t="shared" si="6"/>
        <v>2906.3916262115386</v>
      </c>
      <c r="L83" s="20">
        <f t="shared" si="6"/>
        <v>3210.2341245899033</v>
      </c>
      <c r="M83" s="20">
        <f t="shared" si="6"/>
        <v>3416.4197497834148</v>
      </c>
      <c r="N83" s="20">
        <f t="shared" si="6"/>
        <v>3537.0991015896575</v>
      </c>
      <c r="O83" s="20">
        <f t="shared" si="6"/>
        <v>3654.9197138031955</v>
      </c>
      <c r="P83" s="20">
        <f t="shared" si="6"/>
        <v>3662.0951607589686</v>
      </c>
      <c r="Q83" s="20">
        <f t="shared" si="6"/>
        <v>3672.0622717658493</v>
      </c>
      <c r="R83" s="20">
        <f t="shared" si="6"/>
        <v>3970.0491173401556</v>
      </c>
      <c r="S83" s="20">
        <f t="shared" si="6"/>
        <v>4203.9675093378282</v>
      </c>
      <c r="T83" s="20">
        <f t="shared" si="6"/>
        <v>4224.0130373930315</v>
      </c>
      <c r="U83" s="20">
        <f t="shared" si="6"/>
        <v>4086.3310130589362</v>
      </c>
      <c r="V83" s="20">
        <f t="shared" si="6"/>
        <v>4562.6322638797656</v>
      </c>
      <c r="W83" s="20">
        <f t="shared" si="6"/>
        <v>4807.5125763941342</v>
      </c>
      <c r="X83" s="20">
        <f t="shared" si="6"/>
        <v>4932.4760019225196</v>
      </c>
      <c r="Y83" s="20">
        <f t="shared" si="6"/>
        <v>5040.9484568169892</v>
      </c>
      <c r="Z83" s="20">
        <f t="shared" si="6"/>
        <v>5133.624223264218</v>
      </c>
      <c r="AA83" s="20">
        <f t="shared" si="6"/>
        <v>5211.5098118691749</v>
      </c>
      <c r="AB83" s="20">
        <f t="shared" si="6"/>
        <v>5275.8805034603583</v>
      </c>
      <c r="AC83" s="20">
        <f t="shared" si="6"/>
        <v>5328.2359249603724</v>
      </c>
      <c r="AD83" s="20">
        <f t="shared" si="6"/>
        <v>5370.2570117152554</v>
      </c>
      <c r="AE83" s="20">
        <f t="shared" si="6"/>
        <v>5403.766352694086</v>
      </c>
      <c r="AF83" s="20">
        <f t="shared" si="6"/>
        <v>5430.3203755397381</v>
      </c>
      <c r="AG83" s="20">
        <f t="shared" si="6"/>
        <v>5450.0478385610704</v>
      </c>
      <c r="AH83" s="20">
        <f t="shared" si="6"/>
        <v>5462.7331126921808</v>
      </c>
      <c r="AI83" s="20">
        <f t="shared" si="6"/>
        <v>5468.186927783534</v>
      </c>
      <c r="AJ83" s="20">
        <f t="shared" si="6"/>
        <v>5466.2484922882304</v>
      </c>
      <c r="AK83" s="20">
        <f t="shared" si="6"/>
        <v>5456.8654265572541</v>
      </c>
      <c r="AL83" s="20">
        <f t="shared" si="6"/>
        <v>5440.3274163908409</v>
      </c>
      <c r="AM83" s="20">
        <f t="shared" si="6"/>
        <v>5417.0275984439595</v>
      </c>
      <c r="AN83" s="20">
        <f t="shared" si="6"/>
        <v>5387.3797819795636</v>
      </c>
      <c r="AO83" s="20">
        <f t="shared" si="6"/>
        <v>5351.8139497422526</v>
      </c>
      <c r="AP83" s="20">
        <f t="shared" si="6"/>
        <v>5310.7719358623945</v>
      </c>
      <c r="AQ83" s="20">
        <f t="shared" si="6"/>
        <v>5264.7033232147023</v>
      </c>
      <c r="AR83" s="20">
        <f t="shared" si="6"/>
        <v>5214.0615953240331</v>
      </c>
      <c r="AS83" s="20">
        <f t="shared" si="6"/>
        <v>5159.3005707063248</v>
      </c>
      <c r="AT83" s="20">
        <f t="shared" si="6"/>
        <v>5100.8711405937302</v>
      </c>
      <c r="AU83" s="20">
        <f t="shared" si="6"/>
        <v>5039.2183244349317</v>
      </c>
      <c r="AV83" s="20">
        <f t="shared" si="6"/>
        <v>4974.7786514781355</v>
      </c>
      <c r="AW83" s="20">
        <f t="shared" si="6"/>
        <v>4907.9778712046755</v>
      </c>
      <c r="AX83" s="20">
        <f t="shared" si="6"/>
        <v>4839.2289904355694</v>
      </c>
      <c r="AY83" s="20">
        <f t="shared" si="6"/>
        <v>4768.9306306101189</v>
      </c>
      <c r="AZ83" s="20">
        <f t="shared" si="6"/>
        <v>4697.4656950477747</v>
      </c>
      <c r="BA83" s="20">
        <f t="shared" si="6"/>
        <v>4625.2003329472636</v>
      </c>
      <c r="BB83" s="20">
        <f t="shared" si="6"/>
        <v>4552.4831844341861</v>
      </c>
      <c r="BC83" s="20">
        <f t="shared" si="6"/>
        <v>4479.6448891123227</v>
      </c>
      <c r="BD83" s="20">
        <f t="shared" si="6"/>
        <v>4406.9978392680878</v>
      </c>
      <c r="BE83" s="20">
        <f t="shared" si="6"/>
        <v>4334.8361580804303</v>
      </c>
      <c r="BF83" s="20">
        <f t="shared" si="6"/>
        <v>4263.4358828523009</v>
      </c>
      <c r="BG83" s="20">
        <f t="shared" si="6"/>
        <v>4193.0553333563485</v>
      </c>
      <c r="BH83" s="20">
        <f t="shared" si="6"/>
        <v>4123.9356458263001</v>
      </c>
      <c r="BI83" s="21">
        <f t="shared" si="6"/>
        <v>4056.301453878209</v>
      </c>
    </row>
    <row r="84" spans="1:61" x14ac:dyDescent="0.2">
      <c r="A84" s="114" t="s">
        <v>15</v>
      </c>
      <c r="B84" s="14"/>
      <c r="I84" s="20">
        <f>I25</f>
        <v>777.95991739521935</v>
      </c>
      <c r="J84" s="20">
        <f t="shared" ref="J84:BI84" si="7">J25</f>
        <v>800.14486261054606</v>
      </c>
      <c r="K84" s="20">
        <f t="shared" si="7"/>
        <v>867.16819741371125</v>
      </c>
      <c r="L84" s="20">
        <f t="shared" si="7"/>
        <v>902.40443183874095</v>
      </c>
      <c r="M84" s="20">
        <f t="shared" si="7"/>
        <v>963.89151239458693</v>
      </c>
      <c r="N84" s="20">
        <f t="shared" si="7"/>
        <v>995.32175969285993</v>
      </c>
      <c r="O84" s="20">
        <f t="shared" si="7"/>
        <v>1018.1773917073065</v>
      </c>
      <c r="P84" s="20">
        <f t="shared" si="7"/>
        <v>1033.569172982455</v>
      </c>
      <c r="Q84" s="20">
        <f t="shared" si="7"/>
        <v>1064.120195424287</v>
      </c>
      <c r="R84" s="20">
        <f t="shared" si="7"/>
        <v>1120.1978705238769</v>
      </c>
      <c r="S84" s="20">
        <f t="shared" si="7"/>
        <v>1126.5331937839655</v>
      </c>
      <c r="T84" s="20">
        <f t="shared" si="7"/>
        <v>1100.2861515096881</v>
      </c>
      <c r="U84" s="20">
        <f t="shared" si="7"/>
        <v>1071.8283979331518</v>
      </c>
      <c r="V84" s="20">
        <f t="shared" si="7"/>
        <v>1131.5999339945606</v>
      </c>
      <c r="W84" s="20">
        <f t="shared" si="7"/>
        <v>1118.4784851316513</v>
      </c>
      <c r="X84" s="20">
        <f t="shared" si="7"/>
        <v>1114.9334264238066</v>
      </c>
      <c r="Y84" s="20">
        <f t="shared" si="7"/>
        <v>1111.2224135916374</v>
      </c>
      <c r="Z84" s="20">
        <f t="shared" si="7"/>
        <v>1107.1746530518378</v>
      </c>
      <c r="AA84" s="20">
        <f t="shared" si="7"/>
        <v>1102.6221006988644</v>
      </c>
      <c r="AB84" s="20">
        <f t="shared" si="7"/>
        <v>1097.4001073536353</v>
      </c>
      <c r="AC84" s="20">
        <f t="shared" si="7"/>
        <v>1091.3483119988275</v>
      </c>
      <c r="AD84" s="20">
        <f t="shared" si="7"/>
        <v>1084.311769751374</v>
      </c>
      <c r="AE84" s="20">
        <f t="shared" si="7"/>
        <v>1076.1422972674986</v>
      </c>
      <c r="AF84" s="20">
        <f t="shared" si="7"/>
        <v>1066.7296939987264</v>
      </c>
      <c r="AG84" s="20">
        <f t="shared" si="7"/>
        <v>1056.0901007000468</v>
      </c>
      <c r="AH84" s="20">
        <f t="shared" si="7"/>
        <v>1044.2735983516559</v>
      </c>
      <c r="AI84" s="20">
        <f t="shared" si="7"/>
        <v>1031.3336751641671</v>
      </c>
      <c r="AJ84" s="20">
        <f t="shared" si="7"/>
        <v>1017.3268524017122</v>
      </c>
      <c r="AK84" s="20">
        <f t="shared" si="7"/>
        <v>1002.3220726022535</v>
      </c>
      <c r="AL84" s="20">
        <f t="shared" si="7"/>
        <v>986.42838173087819</v>
      </c>
      <c r="AM84" s="20">
        <f t="shared" si="7"/>
        <v>969.76283931319688</v>
      </c>
      <c r="AN84" s="20">
        <f t="shared" si="7"/>
        <v>952.43964776939492</v>
      </c>
      <c r="AO84" s="20">
        <f t="shared" si="7"/>
        <v>934.56944272528006</v>
      </c>
      <c r="AP84" s="20">
        <f t="shared" si="7"/>
        <v>916.25869045139439</v>
      </c>
      <c r="AQ84" s="20">
        <f t="shared" si="7"/>
        <v>897.60918994767326</v>
      </c>
      <c r="AR84" s="20">
        <f t="shared" si="7"/>
        <v>878.71767577564162</v>
      </c>
      <c r="AS84" s="20">
        <f t="shared" si="7"/>
        <v>859.67551657582419</v>
      </c>
      <c r="AT84" s="20">
        <f t="shared" si="7"/>
        <v>840.56850328783844</v>
      </c>
      <c r="AU84" s="20">
        <f t="shared" si="7"/>
        <v>821.47672040272539</v>
      </c>
      <c r="AV84" s="20">
        <f t="shared" si="7"/>
        <v>802.47449310498973</v>
      </c>
      <c r="AW84" s="20">
        <f t="shared" si="7"/>
        <v>783.63040288719867</v>
      </c>
      <c r="AX84" s="20">
        <f t="shared" si="7"/>
        <v>765.00736412128754</v>
      </c>
      <c r="AY84" s="20">
        <f t="shared" si="7"/>
        <v>746.66275412670745</v>
      </c>
      <c r="AZ84" s="20">
        <f t="shared" si="7"/>
        <v>728.64858946340678</v>
      </c>
      <c r="BA84" s="20">
        <f t="shared" si="7"/>
        <v>711.01174147602126</v>
      </c>
      <c r="BB84" s="20">
        <f t="shared" si="7"/>
        <v>693.79418450317803</v>
      </c>
      <c r="BC84" s="20">
        <f t="shared" si="7"/>
        <v>677.0332706231992</v>
      </c>
      <c r="BD84" s="20">
        <f t="shared" si="7"/>
        <v>660.76202531655633</v>
      </c>
      <c r="BE84" s="20">
        <f t="shared" si="7"/>
        <v>645.00945897007762</v>
      </c>
      <c r="BF84" s="20">
        <f t="shared" si="7"/>
        <v>629.80088971403018</v>
      </c>
      <c r="BG84" s="20">
        <f t="shared" si="7"/>
        <v>615.15827365874463</v>
      </c>
      <c r="BH84" s="20">
        <f t="shared" si="7"/>
        <v>601.10053917229936</v>
      </c>
      <c r="BI84" s="21">
        <f t="shared" si="7"/>
        <v>587.64392240703955</v>
      </c>
    </row>
    <row r="85" spans="1:61" x14ac:dyDescent="0.2">
      <c r="A85" s="114" t="s">
        <v>16</v>
      </c>
      <c r="B85" s="14"/>
      <c r="I85" s="20">
        <f>I26+I27</f>
        <v>794.13119388446216</v>
      </c>
      <c r="J85" s="20">
        <f t="shared" ref="J85:BI85" si="8">J26+J27</f>
        <v>825.51106162498331</v>
      </c>
      <c r="K85" s="20">
        <f t="shared" si="8"/>
        <v>926.7062844402725</v>
      </c>
      <c r="L85" s="20">
        <f t="shared" si="8"/>
        <v>1020.4272871821819</v>
      </c>
      <c r="M85" s="20">
        <f t="shared" si="8"/>
        <v>1043.3087046749624</v>
      </c>
      <c r="N85" s="20">
        <f t="shared" si="8"/>
        <v>1066.0064245156573</v>
      </c>
      <c r="O85" s="20">
        <f t="shared" si="8"/>
        <v>1091.5137260003926</v>
      </c>
      <c r="P85" s="20">
        <f t="shared" si="8"/>
        <v>1083.1465453210731</v>
      </c>
      <c r="Q85" s="20">
        <f t="shared" si="8"/>
        <v>1095.5096754342712</v>
      </c>
      <c r="R85" s="20">
        <f t="shared" si="8"/>
        <v>1167.9142875743082</v>
      </c>
      <c r="S85" s="20">
        <f t="shared" si="8"/>
        <v>1215.434406539068</v>
      </c>
      <c r="T85" s="20">
        <f t="shared" si="8"/>
        <v>1187.9873679037082</v>
      </c>
      <c r="U85" s="20">
        <f t="shared" si="8"/>
        <v>1033.4340072709037</v>
      </c>
      <c r="V85" s="20">
        <f t="shared" si="8"/>
        <v>1167.8811127670378</v>
      </c>
      <c r="W85" s="20">
        <f t="shared" si="8"/>
        <v>1170.7906159687132</v>
      </c>
      <c r="X85" s="20">
        <f t="shared" si="8"/>
        <v>1169.7299892433925</v>
      </c>
      <c r="Y85" s="20">
        <f t="shared" si="8"/>
        <v>1168.062034134377</v>
      </c>
      <c r="Z85" s="20">
        <f t="shared" si="8"/>
        <v>1165.6750636873005</v>
      </c>
      <c r="AA85" s="20">
        <f t="shared" si="8"/>
        <v>1162.4596200726819</v>
      </c>
      <c r="AB85" s="20">
        <f t="shared" si="8"/>
        <v>1158.3083081806788</v>
      </c>
      <c r="AC85" s="20">
        <f t="shared" si="8"/>
        <v>1153.1160288051422</v>
      </c>
      <c r="AD85" s="20">
        <f t="shared" si="8"/>
        <v>1146.7806093344961</v>
      </c>
      <c r="AE85" s="20">
        <f t="shared" si="8"/>
        <v>1139.2038224336484</v>
      </c>
      <c r="AF85" s="20">
        <f t="shared" si="8"/>
        <v>1130.3132384186936</v>
      </c>
      <c r="AG85" s="20">
        <f t="shared" si="8"/>
        <v>1120.124334044074</v>
      </c>
      <c r="AH85" s="20">
        <f t="shared" si="8"/>
        <v>1108.6781850007822</v>
      </c>
      <c r="AI85" s="20">
        <f t="shared" si="8"/>
        <v>1096.0204338630015</v>
      </c>
      <c r="AJ85" s="20">
        <f t="shared" si="8"/>
        <v>1082.2008532858006</v>
      </c>
      <c r="AK85" s="20">
        <f t="shared" si="8"/>
        <v>1067.284028967488</v>
      </c>
      <c r="AL85" s="20">
        <f t="shared" si="8"/>
        <v>1051.3809213210743</v>
      </c>
      <c r="AM85" s="20">
        <f t="shared" si="8"/>
        <v>1034.6124688045159</v>
      </c>
      <c r="AN85" s="20">
        <f t="shared" si="8"/>
        <v>1017.097259851536</v>
      </c>
      <c r="AO85" s="20">
        <f t="shared" si="8"/>
        <v>998.95074081280939</v>
      </c>
      <c r="AP85" s="20">
        <f t="shared" si="8"/>
        <v>980.28453311293151</v>
      </c>
      <c r="AQ85" s="20">
        <f t="shared" si="8"/>
        <v>961.20585830001914</v>
      </c>
      <c r="AR85" s="20">
        <f t="shared" si="8"/>
        <v>941.81706803800466</v>
      </c>
      <c r="AS85" s="20">
        <f t="shared" si="8"/>
        <v>922.21527472369189</v>
      </c>
      <c r="AT85" s="20">
        <f t="shared" si="8"/>
        <v>902.49207729877014</v>
      </c>
      <c r="AU85" s="20">
        <f t="shared" si="8"/>
        <v>882.73337596256715</v>
      </c>
      <c r="AV85" s="20">
        <f t="shared" si="8"/>
        <v>863.01926886052752</v>
      </c>
      <c r="AW85" s="20">
        <f t="shared" si="8"/>
        <v>843.4240234088461</v>
      </c>
      <c r="AX85" s="20">
        <f t="shared" si="8"/>
        <v>824.016114696969</v>
      </c>
      <c r="AY85" s="20">
        <f t="shared" si="8"/>
        <v>804.85832336496469</v>
      </c>
      <c r="AZ85" s="20">
        <f t="shared" si="8"/>
        <v>786.00788545923979</v>
      </c>
      <c r="BA85" s="20">
        <f t="shared" si="8"/>
        <v>767.51668700479047</v>
      </c>
      <c r="BB85" s="20">
        <f t="shared" si="8"/>
        <v>749.43149637309716</v>
      </c>
      <c r="BC85" s="20">
        <f t="shared" si="8"/>
        <v>731.79422795052301</v>
      </c>
      <c r="BD85" s="20">
        <f t="shared" si="8"/>
        <v>714.64223110321336</v>
      </c>
      <c r="BE85" s="20">
        <f t="shared" si="8"/>
        <v>698.00859897316468</v>
      </c>
      <c r="BF85" s="20">
        <f t="shared" si="8"/>
        <v>681.92249221059342</v>
      </c>
      <c r="BG85" s="20">
        <f t="shared" si="8"/>
        <v>666.40947333629424</v>
      </c>
      <c r="BH85" s="20">
        <f t="shared" si="8"/>
        <v>651.4918480230192</v>
      </c>
      <c r="BI85" s="21">
        <f t="shared" si="8"/>
        <v>637.18901017754479</v>
      </c>
    </row>
    <row r="86" spans="1:61" x14ac:dyDescent="0.2">
      <c r="A86" s="114" t="s">
        <v>17</v>
      </c>
      <c r="B86" s="14"/>
      <c r="I86" s="20">
        <f>I28+I29</f>
        <v>312.88148361152503</v>
      </c>
      <c r="J86" s="20">
        <f t="shared" ref="J86:BI86" si="9">J28+J29</f>
        <v>338.13805783384225</v>
      </c>
      <c r="K86" s="20">
        <f t="shared" si="9"/>
        <v>398.41529338817213</v>
      </c>
      <c r="L86" s="20">
        <f t="shared" si="9"/>
        <v>454.54989898416466</v>
      </c>
      <c r="M86" s="20">
        <f t="shared" si="9"/>
        <v>484.41888292328485</v>
      </c>
      <c r="N86" s="20">
        <f t="shared" si="9"/>
        <v>511.42123288645234</v>
      </c>
      <c r="O86" s="20">
        <f t="shared" si="9"/>
        <v>535.42946394546993</v>
      </c>
      <c r="P86" s="20">
        <f t="shared" si="9"/>
        <v>541.1003690431055</v>
      </c>
      <c r="Q86" s="20">
        <f t="shared" si="9"/>
        <v>563.56545296461491</v>
      </c>
      <c r="R86" s="20">
        <f t="shared" si="9"/>
        <v>613.4637742737151</v>
      </c>
      <c r="S86" s="20">
        <f t="shared" si="9"/>
        <v>634.43255277677679</v>
      </c>
      <c r="T86" s="20">
        <f t="shared" si="9"/>
        <v>625.86579158336508</v>
      </c>
      <c r="U86" s="20">
        <f t="shared" si="9"/>
        <v>588.07392999604315</v>
      </c>
      <c r="V86" s="20">
        <f t="shared" si="9"/>
        <v>680.17697929486417</v>
      </c>
      <c r="W86" s="20">
        <f t="shared" si="9"/>
        <v>670.99484812682158</v>
      </c>
      <c r="X86" s="20">
        <f t="shared" si="9"/>
        <v>679.89854654318265</v>
      </c>
      <c r="Y86" s="20">
        <f t="shared" si="9"/>
        <v>686.99216378674942</v>
      </c>
      <c r="Z86" s="20">
        <f t="shared" si="9"/>
        <v>692.39104917811835</v>
      </c>
      <c r="AA86" s="20">
        <f t="shared" si="9"/>
        <v>696.22939355056667</v>
      </c>
      <c r="AB86" s="20">
        <f t="shared" si="9"/>
        <v>698.6566166051482</v>
      </c>
      <c r="AC86" s="20">
        <f t="shared" si="9"/>
        <v>699.8339095626618</v>
      </c>
      <c r="AD86" s="20">
        <f t="shared" si="9"/>
        <v>699.93103037251944</v>
      </c>
      <c r="AE86" s="20">
        <f t="shared" si="9"/>
        <v>699.12342804943933</v>
      </c>
      <c r="AF86" s="20">
        <f t="shared" si="9"/>
        <v>697.55644676384691</v>
      </c>
      <c r="AG86" s="20">
        <f t="shared" si="9"/>
        <v>695.2441791080239</v>
      </c>
      <c r="AH86" s="20">
        <f t="shared" si="9"/>
        <v>692.16995792486114</v>
      </c>
      <c r="AI86" s="20">
        <f t="shared" si="9"/>
        <v>688.31999602627729</v>
      </c>
      <c r="AJ86" s="20">
        <f t="shared" si="9"/>
        <v>683.68359544024656</v>
      </c>
      <c r="AK86" s="20">
        <f t="shared" si="9"/>
        <v>678.26390083141837</v>
      </c>
      <c r="AL86" s="20">
        <f t="shared" si="9"/>
        <v>672.10898163320121</v>
      </c>
      <c r="AM86" s="20">
        <f t="shared" si="9"/>
        <v>665.27865405207672</v>
      </c>
      <c r="AN86" s="20">
        <f t="shared" si="9"/>
        <v>657.83324161356643</v>
      </c>
      <c r="AO86" s="20">
        <f t="shared" si="9"/>
        <v>649.8330880874579</v>
      </c>
      <c r="AP86" s="20">
        <f t="shared" si="9"/>
        <v>641.33811055802255</v>
      </c>
      <c r="AQ86" s="20">
        <f t="shared" si="9"/>
        <v>632.40739471389634</v>
      </c>
      <c r="AR86" s="20">
        <f t="shared" si="9"/>
        <v>623.09883360040408</v>
      </c>
      <c r="AS86" s="20">
        <f t="shared" si="9"/>
        <v>613.46881031542341</v>
      </c>
      <c r="AT86" s="20">
        <f t="shared" si="9"/>
        <v>603.57192444557177</v>
      </c>
      <c r="AU86" s="20">
        <f t="shared" si="9"/>
        <v>593.46076143717676</v>
      </c>
      <c r="AV86" s="20">
        <f t="shared" si="9"/>
        <v>583.18570357822591</v>
      </c>
      <c r="AW86" s="20">
        <f t="shared" si="9"/>
        <v>572.79478083337335</v>
      </c>
      <c r="AX86" s="20">
        <f t="shared" si="9"/>
        <v>562.33355942215587</v>
      </c>
      <c r="AY86" s="20">
        <f t="shared" si="9"/>
        <v>551.84506575759383</v>
      </c>
      <c r="AZ86" s="20">
        <f t="shared" si="9"/>
        <v>541.36974316354508</v>
      </c>
      <c r="BA86" s="20">
        <f t="shared" si="9"/>
        <v>530.94543865916933</v>
      </c>
      <c r="BB86" s="20">
        <f t="shared" si="9"/>
        <v>520.60741703129588</v>
      </c>
      <c r="BC86" s="20">
        <f t="shared" si="9"/>
        <v>510.38839940382053</v>
      </c>
      <c r="BD86" s="20">
        <f t="shared" si="9"/>
        <v>500.31862355067744</v>
      </c>
      <c r="BE86" s="20">
        <f t="shared" si="9"/>
        <v>490.42592327858927</v>
      </c>
      <c r="BF86" s="20">
        <f t="shared" si="9"/>
        <v>480.73582432115916</v>
      </c>
      <c r="BG86" s="20">
        <f t="shared" si="9"/>
        <v>471.27165433051255</v>
      </c>
      <c r="BH86" s="20">
        <f t="shared" si="9"/>
        <v>462.05466472085288</v>
      </c>
      <c r="BI86" s="21">
        <f t="shared" si="9"/>
        <v>453.10416230447322</v>
      </c>
    </row>
    <row r="87" spans="1:61" x14ac:dyDescent="0.2">
      <c r="A87" s="114" t="s">
        <v>18</v>
      </c>
      <c r="B87" s="14"/>
      <c r="I87" s="20">
        <f>I30+I31+I32</f>
        <v>633.24101415449195</v>
      </c>
      <c r="J87" s="20">
        <f t="shared" ref="J87:BI87" si="10">J30+J31+J32</f>
        <v>656.9524760941357</v>
      </c>
      <c r="K87" s="20">
        <f t="shared" si="10"/>
        <v>735.05205868571045</v>
      </c>
      <c r="L87" s="20">
        <f t="shared" si="10"/>
        <v>803.22604011991803</v>
      </c>
      <c r="M87" s="20">
        <f t="shared" si="10"/>
        <v>838.14481307405174</v>
      </c>
      <c r="N87" s="20">
        <f t="shared" si="10"/>
        <v>879.44918385090205</v>
      </c>
      <c r="O87" s="20">
        <f t="shared" si="10"/>
        <v>920.17866935129575</v>
      </c>
      <c r="P87" s="20">
        <f t="shared" si="10"/>
        <v>923.06261542904986</v>
      </c>
      <c r="Q87" s="20">
        <f t="shared" si="10"/>
        <v>947.57062618735085</v>
      </c>
      <c r="R87" s="20">
        <f t="shared" si="10"/>
        <v>1024.300806196396</v>
      </c>
      <c r="S87" s="20">
        <f t="shared" si="10"/>
        <v>1062.1733133250104</v>
      </c>
      <c r="T87" s="20">
        <f t="shared" si="10"/>
        <v>1053.986525665171</v>
      </c>
      <c r="U87" s="20">
        <f t="shared" si="10"/>
        <v>1003.590336166021</v>
      </c>
      <c r="V87" s="20">
        <f t="shared" si="10"/>
        <v>1146.6830716344077</v>
      </c>
      <c r="W87" s="20">
        <f t="shared" si="10"/>
        <v>1153.9161439221259</v>
      </c>
      <c r="X87" s="20">
        <f t="shared" si="10"/>
        <v>1172.3806885071685</v>
      </c>
      <c r="Y87" s="20">
        <f t="shared" si="10"/>
        <v>1189.5268088293701</v>
      </c>
      <c r="Z87" s="20">
        <f t="shared" si="10"/>
        <v>1205.1829796927288</v>
      </c>
      <c r="AA87" s="20">
        <f t="shared" si="10"/>
        <v>1219.1963466552243</v>
      </c>
      <c r="AB87" s="20">
        <f t="shared" si="10"/>
        <v>1231.4270314444011</v>
      </c>
      <c r="AC87" s="20">
        <f t="shared" si="10"/>
        <v>1241.7438868446584</v>
      </c>
      <c r="AD87" s="20">
        <f t="shared" si="10"/>
        <v>1250.0220065496881</v>
      </c>
      <c r="AE87" s="20">
        <f t="shared" si="10"/>
        <v>1256.1422425460225</v>
      </c>
      <c r="AF87" s="20">
        <f t="shared" si="10"/>
        <v>1260.0174226301019</v>
      </c>
      <c r="AG87" s="20">
        <f t="shared" si="10"/>
        <v>1261.6697758491664</v>
      </c>
      <c r="AH87" s="20">
        <f t="shared" si="10"/>
        <v>1261.1593990154604</v>
      </c>
      <c r="AI87" s="20">
        <f t="shared" si="10"/>
        <v>1258.5584190425559</v>
      </c>
      <c r="AJ87" s="20">
        <f t="shared" si="10"/>
        <v>1253.9493270884541</v>
      </c>
      <c r="AK87" s="20">
        <f t="shared" si="10"/>
        <v>1247.4289609152661</v>
      </c>
      <c r="AL87" s="20">
        <f t="shared" si="10"/>
        <v>1239.1236397073426</v>
      </c>
      <c r="AM87" s="20">
        <f t="shared" si="10"/>
        <v>1229.1705271302051</v>
      </c>
      <c r="AN87" s="20">
        <f t="shared" si="10"/>
        <v>1217.7103084248195</v>
      </c>
      <c r="AO87" s="20">
        <f t="shared" si="10"/>
        <v>1204.8855932639153</v>
      </c>
      <c r="AP87" s="20">
        <f t="shared" si="10"/>
        <v>1190.8394441211965</v>
      </c>
      <c r="AQ87" s="20">
        <f t="shared" si="10"/>
        <v>1175.7140416573204</v>
      </c>
      <c r="AR87" s="20">
        <f t="shared" si="10"/>
        <v>1159.649494665638</v>
      </c>
      <c r="AS87" s="20">
        <f t="shared" si="10"/>
        <v>1142.7827984961339</v>
      </c>
      <c r="AT87" s="20">
        <f t="shared" si="10"/>
        <v>1125.2469426399034</v>
      </c>
      <c r="AU87" s="20">
        <f t="shared" si="10"/>
        <v>1107.1701653417044</v>
      </c>
      <c r="AV87" s="20">
        <f t="shared" si="10"/>
        <v>1088.6753507296194</v>
      </c>
      <c r="AW87" s="20">
        <f t="shared" si="10"/>
        <v>1069.8795620090286</v>
      </c>
      <c r="AX87" s="20">
        <f t="shared" si="10"/>
        <v>1050.8937027501327</v>
      </c>
      <c r="AY87" s="20">
        <f t="shared" si="10"/>
        <v>1031.82229718185</v>
      </c>
      <c r="AZ87" s="20">
        <f t="shared" si="10"/>
        <v>1012.7633796598699</v>
      </c>
      <c r="BA87" s="20">
        <f t="shared" si="10"/>
        <v>993.80848306753524</v>
      </c>
      <c r="BB87" s="20">
        <f t="shared" si="10"/>
        <v>975.04271579692886</v>
      </c>
      <c r="BC87" s="20">
        <f t="shared" si="10"/>
        <v>956.54491710405659</v>
      </c>
      <c r="BD87" s="20">
        <f t="shared" si="10"/>
        <v>938.38788099739804</v>
      </c>
      <c r="BE87" s="20">
        <f t="shared" si="10"/>
        <v>920.63863936529629</v>
      </c>
      <c r="BF87" s="20">
        <f t="shared" si="10"/>
        <v>903.35879574008243</v>
      </c>
      <c r="BG87" s="20">
        <f t="shared" si="10"/>
        <v>886.60490190347127</v>
      </c>
      <c r="BH87" s="20">
        <f t="shared" si="10"/>
        <v>870.42887043149256</v>
      </c>
      <c r="BI87" s="21">
        <f t="shared" si="10"/>
        <v>854.87841723441784</v>
      </c>
    </row>
    <row r="88" spans="1:61" x14ac:dyDescent="0.2">
      <c r="A88" s="114" t="s">
        <v>19</v>
      </c>
      <c r="B88" s="14"/>
      <c r="I88" s="20">
        <f>I33</f>
        <v>637.16698879349872</v>
      </c>
      <c r="J88" s="20">
        <f t="shared" ref="J88:BI88" si="11">J33</f>
        <v>635.4050592414402</v>
      </c>
      <c r="K88" s="20">
        <f t="shared" si="11"/>
        <v>676.28810522775109</v>
      </c>
      <c r="L88" s="20">
        <f t="shared" si="11"/>
        <v>699.21935440753566</v>
      </c>
      <c r="M88" s="20">
        <f t="shared" si="11"/>
        <v>707.5885313743712</v>
      </c>
      <c r="N88" s="20">
        <f t="shared" si="11"/>
        <v>713.18461791746836</v>
      </c>
      <c r="O88" s="20">
        <f t="shared" si="11"/>
        <v>720.67276491046107</v>
      </c>
      <c r="P88" s="20">
        <f t="shared" si="11"/>
        <v>734.30200114359138</v>
      </c>
      <c r="Q88" s="20">
        <f t="shared" si="11"/>
        <v>764.60618968075028</v>
      </c>
      <c r="R88" s="20">
        <f t="shared" si="11"/>
        <v>811.09142498845029</v>
      </c>
      <c r="S88" s="20">
        <f t="shared" si="11"/>
        <v>859.28912273215599</v>
      </c>
      <c r="T88" s="20">
        <f t="shared" si="11"/>
        <v>869.92301724643733</v>
      </c>
      <c r="U88" s="20">
        <f t="shared" si="11"/>
        <v>847.42336584085638</v>
      </c>
      <c r="V88" s="20">
        <f t="shared" si="11"/>
        <v>889.38677171330733</v>
      </c>
      <c r="W88" s="20">
        <f t="shared" si="11"/>
        <v>857.39068108754168</v>
      </c>
      <c r="X88" s="20">
        <f t="shared" si="11"/>
        <v>861.74166056360559</v>
      </c>
      <c r="Y88" s="20">
        <f t="shared" si="11"/>
        <v>866.59524779758567</v>
      </c>
      <c r="Z88" s="20">
        <f t="shared" si="11"/>
        <v>871.63520168201808</v>
      </c>
      <c r="AA88" s="20">
        <f t="shared" si="11"/>
        <v>876.53815295658933</v>
      </c>
      <c r="AB88" s="20">
        <f t="shared" si="11"/>
        <v>880.97351654000943</v>
      </c>
      <c r="AC88" s="20">
        <f t="shared" si="11"/>
        <v>884.60462993610986</v>
      </c>
      <c r="AD88" s="20">
        <f t="shared" si="11"/>
        <v>887.09115749257535</v>
      </c>
      <c r="AE88" s="20">
        <f t="shared" si="11"/>
        <v>888.09278159247401</v>
      </c>
      <c r="AF88" s="20">
        <f t="shared" si="11"/>
        <v>887.34333065961778</v>
      </c>
      <c r="AG88" s="20">
        <f t="shared" si="11"/>
        <v>884.86275116504351</v>
      </c>
      <c r="AH88" s="20">
        <f t="shared" si="11"/>
        <v>880.74964919465674</v>
      </c>
      <c r="AI88" s="20">
        <f t="shared" si="11"/>
        <v>875.11041308652591</v>
      </c>
      <c r="AJ88" s="20">
        <f t="shared" si="11"/>
        <v>868.05750884136296</v>
      </c>
      <c r="AK88" s="20">
        <f t="shared" si="11"/>
        <v>859.70724216960468</v>
      </c>
      <c r="AL88" s="20">
        <f t="shared" si="11"/>
        <v>850.17647072874684</v>
      </c>
      <c r="AM88" s="20">
        <f t="shared" si="11"/>
        <v>839.58303690623552</v>
      </c>
      <c r="AN88" s="20">
        <f t="shared" si="11"/>
        <v>828.04507098003296</v>
      </c>
      <c r="AO88" s="20">
        <f t="shared" si="11"/>
        <v>815.67981066227412</v>
      </c>
      <c r="AP88" s="20">
        <f t="shared" si="11"/>
        <v>802.60254825236154</v>
      </c>
      <c r="AQ88" s="20">
        <f t="shared" si="11"/>
        <v>788.92570961429249</v>
      </c>
      <c r="AR88" s="20">
        <f t="shared" si="11"/>
        <v>774.75806615257761</v>
      </c>
      <c r="AS88" s="20">
        <f t="shared" si="11"/>
        <v>760.20407828915893</v>
      </c>
      <c r="AT88" s="20">
        <f t="shared" si="11"/>
        <v>745.3633666609137</v>
      </c>
      <c r="AU88" s="20">
        <f t="shared" si="11"/>
        <v>730.33030536962292</v>
      </c>
      <c r="AV88" s="20">
        <f t="shared" si="11"/>
        <v>715.19373011758955</v>
      </c>
      <c r="AW88" s="20">
        <f t="shared" si="11"/>
        <v>700.03675293554068</v>
      </c>
      <c r="AX88" s="20">
        <f t="shared" si="11"/>
        <v>684.93667443103209</v>
      </c>
      <c r="AY88" s="20">
        <f t="shared" si="11"/>
        <v>669.9649840244407</v>
      </c>
      <c r="AZ88" s="20">
        <f t="shared" si="11"/>
        <v>655.18743846197333</v>
      </c>
      <c r="BA88" s="20">
        <f t="shared" si="11"/>
        <v>640.66420896445572</v>
      </c>
      <c r="BB88" s="20">
        <f t="shared" si="11"/>
        <v>626.45008765024215</v>
      </c>
      <c r="BC88" s="20">
        <f t="shared" si="11"/>
        <v>612.59474432439015</v>
      </c>
      <c r="BD88" s="20">
        <f t="shared" si="11"/>
        <v>599.14302531990131</v>
      </c>
      <c r="BE88" s="20">
        <f t="shared" si="11"/>
        <v>586.1352867789858</v>
      </c>
      <c r="BF88" s="20">
        <f t="shared" si="11"/>
        <v>573.60775554438021</v>
      </c>
      <c r="BG88" s="20">
        <f t="shared" si="11"/>
        <v>561.59291166816058</v>
      </c>
      <c r="BH88" s="20">
        <f t="shared" si="11"/>
        <v>550.11988741741004</v>
      </c>
      <c r="BI88" s="21">
        <f t="shared" si="11"/>
        <v>539.21487854556517</v>
      </c>
    </row>
    <row r="89" spans="1:61" x14ac:dyDescent="0.2">
      <c r="A89" s="114" t="s">
        <v>20</v>
      </c>
      <c r="B89" s="14"/>
      <c r="I89" s="20">
        <f>I34+I35+I36+I37</f>
        <v>2560.8758667895736</v>
      </c>
      <c r="J89" s="20">
        <f t="shared" ref="J89:BI89" si="12">J34+J35+J36+J37</f>
        <v>2764.9378094832209</v>
      </c>
      <c r="K89" s="20">
        <f t="shared" si="12"/>
        <v>3105.5610641497979</v>
      </c>
      <c r="L89" s="20">
        <f t="shared" si="12"/>
        <v>3424.4854776950906</v>
      </c>
      <c r="M89" s="20">
        <f t="shared" si="12"/>
        <v>3650.4088843802569</v>
      </c>
      <c r="N89" s="20">
        <f t="shared" si="12"/>
        <v>3884.5218272380716</v>
      </c>
      <c r="O89" s="20">
        <f t="shared" si="12"/>
        <v>4107.3332190393821</v>
      </c>
      <c r="P89" s="20">
        <f t="shared" si="12"/>
        <v>4260.3967213762999</v>
      </c>
      <c r="Q89" s="20">
        <f t="shared" si="12"/>
        <v>4500.8625410492241</v>
      </c>
      <c r="R89" s="20">
        <f t="shared" si="12"/>
        <v>4837.5903445099902</v>
      </c>
      <c r="S89" s="20">
        <f t="shared" si="12"/>
        <v>5059.9853033207719</v>
      </c>
      <c r="T89" s="20">
        <f t="shared" si="12"/>
        <v>5145.0901980029448</v>
      </c>
      <c r="U89" s="20">
        <f t="shared" si="12"/>
        <v>5158.069783353104</v>
      </c>
      <c r="V89" s="20">
        <f t="shared" si="12"/>
        <v>5990.6000346023575</v>
      </c>
      <c r="W89" s="20">
        <f t="shared" si="12"/>
        <v>6217.9985802493011</v>
      </c>
      <c r="X89" s="20">
        <f t="shared" si="12"/>
        <v>6432.18209359502</v>
      </c>
      <c r="Y89" s="20">
        <f t="shared" si="12"/>
        <v>6656.0505470112403</v>
      </c>
      <c r="Z89" s="20">
        <f t="shared" si="12"/>
        <v>6886.6288196404339</v>
      </c>
      <c r="AA89" s="20">
        <f t="shared" si="12"/>
        <v>7120.611852751168</v>
      </c>
      <c r="AB89" s="20">
        <f t="shared" si="12"/>
        <v>7354.2978667383904</v>
      </c>
      <c r="AC89" s="20">
        <f t="shared" si="12"/>
        <v>7583.550046199869</v>
      </c>
      <c r="AD89" s="20">
        <f t="shared" si="12"/>
        <v>7803.7938835960595</v>
      </c>
      <c r="AE89" s="20">
        <f t="shared" si="12"/>
        <v>8010.0578143450721</v>
      </c>
      <c r="AF89" s="20">
        <f t="shared" si="12"/>
        <v>8197.9802203622876</v>
      </c>
      <c r="AG89" s="20">
        <f t="shared" si="12"/>
        <v>8366.8320836803723</v>
      </c>
      <c r="AH89" s="20">
        <f t="shared" si="12"/>
        <v>8517.078574451114</v>
      </c>
      <c r="AI89" s="20">
        <f t="shared" si="12"/>
        <v>8649.4739709623318</v>
      </c>
      <c r="AJ89" s="20">
        <f t="shared" si="12"/>
        <v>8765.0265780086065</v>
      </c>
      <c r="AK89" s="20">
        <f t="shared" si="12"/>
        <v>8864.8080393562141</v>
      </c>
      <c r="AL89" s="20">
        <f t="shared" si="12"/>
        <v>8949.4416897309238</v>
      </c>
      <c r="AM89" s="20">
        <f t="shared" si="12"/>
        <v>9019.517199336402</v>
      </c>
      <c r="AN89" s="20">
        <f t="shared" si="12"/>
        <v>9075.7248266890074</v>
      </c>
      <c r="AO89" s="20">
        <f t="shared" si="12"/>
        <v>9118.8393431626282</v>
      </c>
      <c r="AP89" s="20">
        <f t="shared" si="12"/>
        <v>9149.7042779739895</v>
      </c>
      <c r="AQ89" s="20">
        <f t="shared" si="12"/>
        <v>9169.2168040129327</v>
      </c>
      <c r="AR89" s="20">
        <f t="shared" si="12"/>
        <v>9178.3135283322208</v>
      </c>
      <c r="AS89" s="20">
        <f t="shared" si="12"/>
        <v>9177.9573944605509</v>
      </c>
      <c r="AT89" s="20">
        <f t="shared" si="12"/>
        <v>9169.1258490948221</v>
      </c>
      <c r="AU89" s="20">
        <f t="shared" si="12"/>
        <v>9152.8003748470328</v>
      </c>
      <c r="AV89" s="20">
        <f t="shared" si="12"/>
        <v>9129.9574448295061</v>
      </c>
      <c r="AW89" s="20">
        <f t="shared" si="12"/>
        <v>9101.5609148144777</v>
      </c>
      <c r="AX89" s="20">
        <f t="shared" si="12"/>
        <v>9068.5558349909243</v>
      </c>
      <c r="AY89" s="20">
        <f t="shared" si="12"/>
        <v>9031.863636132417</v>
      </c>
      <c r="AZ89" s="20">
        <f t="shared" si="12"/>
        <v>8992.378624187384</v>
      </c>
      <c r="BA89" s="20">
        <f t="shared" si="12"/>
        <v>8950.9657026082623</v>
      </c>
      <c r="BB89" s="20">
        <f t="shared" si="12"/>
        <v>8908.4592326913735</v>
      </c>
      <c r="BC89" s="20">
        <f t="shared" si="12"/>
        <v>8865.6629382585015</v>
      </c>
      <c r="BD89" s="20">
        <f t="shared" si="12"/>
        <v>8823.3507615714116</v>
      </c>
      <c r="BE89" s="20">
        <f t="shared" si="12"/>
        <v>8782.2685818274731</v>
      </c>
      <c r="BF89" s="20">
        <f t="shared" si="12"/>
        <v>8743.1367153582178</v>
      </c>
      <c r="BG89" s="20">
        <f t="shared" si="12"/>
        <v>8706.6531272202737</v>
      </c>
      <c r="BH89" s="20">
        <f t="shared" si="12"/>
        <v>8673.4972967879366</v>
      </c>
      <c r="BI89" s="21">
        <f t="shared" si="12"/>
        <v>8644.3346948802355</v>
      </c>
    </row>
    <row r="90" spans="1:61" x14ac:dyDescent="0.2">
      <c r="A90" s="114" t="s">
        <v>21</v>
      </c>
      <c r="B90" s="14"/>
      <c r="I90" s="20">
        <f>I38</f>
        <v>969.86529677334454</v>
      </c>
      <c r="J90" s="20">
        <f t="shared" ref="J90:BI90" si="13">J38</f>
        <v>1054.5240750677958</v>
      </c>
      <c r="K90" s="20">
        <f t="shared" si="13"/>
        <v>1231.9487832991067</v>
      </c>
      <c r="L90" s="20">
        <f t="shared" si="13"/>
        <v>1401.566718147817</v>
      </c>
      <c r="M90" s="20">
        <f t="shared" si="13"/>
        <v>1483.7223646090169</v>
      </c>
      <c r="N90" s="20">
        <f t="shared" si="13"/>
        <v>1571.5684766320201</v>
      </c>
      <c r="O90" s="20">
        <f t="shared" si="13"/>
        <v>1646.8308809364089</v>
      </c>
      <c r="P90" s="20">
        <f t="shared" si="13"/>
        <v>1663.9142092848247</v>
      </c>
      <c r="Q90" s="20">
        <f t="shared" si="13"/>
        <v>1729.3353394650969</v>
      </c>
      <c r="R90" s="20">
        <f t="shared" si="13"/>
        <v>1815.2175877512082</v>
      </c>
      <c r="S90" s="20">
        <f t="shared" si="13"/>
        <v>1890.5503654260967</v>
      </c>
      <c r="T90" s="20">
        <f t="shared" si="13"/>
        <v>1985.0357835637794</v>
      </c>
      <c r="U90" s="20">
        <f t="shared" si="13"/>
        <v>1974.020219422028</v>
      </c>
      <c r="V90" s="20">
        <f t="shared" si="13"/>
        <v>2219.755042611464</v>
      </c>
      <c r="W90" s="20">
        <f t="shared" si="13"/>
        <v>2221.0746865680835</v>
      </c>
      <c r="X90" s="20">
        <f t="shared" si="13"/>
        <v>2269.9374139602924</v>
      </c>
      <c r="Y90" s="20">
        <f t="shared" si="13"/>
        <v>2324.4782557852263</v>
      </c>
      <c r="Z90" s="20">
        <f t="shared" si="13"/>
        <v>2383.1337790921225</v>
      </c>
      <c r="AA90" s="20">
        <f t="shared" si="13"/>
        <v>2444.1796969158777</v>
      </c>
      <c r="AB90" s="20">
        <f t="shared" si="13"/>
        <v>2505.7057097426477</v>
      </c>
      <c r="AC90" s="20">
        <f t="shared" si="13"/>
        <v>2565.604207466889</v>
      </c>
      <c r="AD90" s="20">
        <f t="shared" si="13"/>
        <v>2621.5754855624773</v>
      </c>
      <c r="AE90" s="20">
        <f t="shared" si="13"/>
        <v>2671.1521881597487</v>
      </c>
      <c r="AF90" s="20">
        <f t="shared" si="13"/>
        <v>2712.2276497566804</v>
      </c>
      <c r="AG90" s="20">
        <f t="shared" si="13"/>
        <v>2744.6155900372987</v>
      </c>
      <c r="AH90" s="20">
        <f t="shared" si="13"/>
        <v>2768.7176598827282</v>
      </c>
      <c r="AI90" s="20">
        <f t="shared" si="13"/>
        <v>2785.04009246138</v>
      </c>
      <c r="AJ90" s="20">
        <f t="shared" si="13"/>
        <v>2794.1759209041775</v>
      </c>
      <c r="AK90" s="20">
        <f t="shared" si="13"/>
        <v>2796.7280930367792</v>
      </c>
      <c r="AL90" s="20">
        <f t="shared" si="13"/>
        <v>2793.1154993186738</v>
      </c>
      <c r="AM90" s="20">
        <f t="shared" si="13"/>
        <v>2783.738620794049</v>
      </c>
      <c r="AN90" s="20">
        <f t="shared" si="13"/>
        <v>2769.0301487767429</v>
      </c>
      <c r="AO90" s="20">
        <f t="shared" si="13"/>
        <v>2749.4469394644125</v>
      </c>
      <c r="AP90" s="20">
        <f t="shared" si="13"/>
        <v>2725.4623671110353</v>
      </c>
      <c r="AQ90" s="20">
        <f t="shared" si="13"/>
        <v>2697.5592002417638</v>
      </c>
      <c r="AR90" s="20">
        <f t="shared" si="13"/>
        <v>2666.2230972733892</v>
      </c>
      <c r="AS90" s="20">
        <f t="shared" si="13"/>
        <v>2631.9367907811752</v>
      </c>
      <c r="AT90" s="20">
        <f t="shared" si="13"/>
        <v>2595.1750043282514</v>
      </c>
      <c r="AU90" s="20">
        <f t="shared" si="13"/>
        <v>2556.400122849991</v>
      </c>
      <c r="AV90" s="20">
        <f t="shared" si="13"/>
        <v>2516.0586174828627</v>
      </c>
      <c r="AW90" s="20">
        <f t="shared" si="13"/>
        <v>2474.5782086911167</v>
      </c>
      <c r="AX90" s="20">
        <f t="shared" si="13"/>
        <v>2432.365737672354</v>
      </c>
      <c r="AY90" s="20">
        <f t="shared" si="13"/>
        <v>2389.805705282015</v>
      </c>
      <c r="AZ90" s="20">
        <f t="shared" si="13"/>
        <v>2347.259429973215</v>
      </c>
      <c r="BA90" s="20">
        <f t="shared" si="13"/>
        <v>2305.0647712912682</v>
      </c>
      <c r="BB90" s="20">
        <f t="shared" si="13"/>
        <v>2263.5363630267752</v>
      </c>
      <c r="BC90" s="20">
        <f t="shared" si="13"/>
        <v>2222.9662999226321</v>
      </c>
      <c r="BD90" s="20">
        <f t="shared" si="13"/>
        <v>2183.6252235415063</v>
      </c>
      <c r="BE90" s="20">
        <f t="shared" si="13"/>
        <v>2145.7637562298241</v>
      </c>
      <c r="BF90" s="20">
        <f t="shared" si="13"/>
        <v>2109.6142367785069</v>
      </c>
      <c r="BG90" s="20">
        <f t="shared" si="13"/>
        <v>2075.3927171258288</v>
      </c>
      <c r="BH90" s="20">
        <f t="shared" si="13"/>
        <v>2043.3011860572406</v>
      </c>
      <c r="BI90" s="21">
        <f t="shared" si="13"/>
        <v>2013.5299931571953</v>
      </c>
    </row>
    <row r="91" spans="1:61" x14ac:dyDescent="0.2">
      <c r="A91" s="114" t="s">
        <v>22</v>
      </c>
      <c r="B91" s="14"/>
      <c r="I91" s="20">
        <f>I39+I40</f>
        <v>2597.0509188204237</v>
      </c>
      <c r="J91" s="20">
        <f t="shared" ref="J91:BI91" si="14">J39+J40</f>
        <v>2726.7398155051605</v>
      </c>
      <c r="K91" s="20">
        <f t="shared" si="14"/>
        <v>2967.9328846353892</v>
      </c>
      <c r="L91" s="20">
        <f t="shared" si="14"/>
        <v>3162.3679261120096</v>
      </c>
      <c r="M91" s="20">
        <f t="shared" si="14"/>
        <v>3331.3503163887726</v>
      </c>
      <c r="N91" s="20">
        <f t="shared" si="14"/>
        <v>3525.4810456247324</v>
      </c>
      <c r="O91" s="20">
        <f t="shared" si="14"/>
        <v>3658.4208621730013</v>
      </c>
      <c r="P91" s="20">
        <f t="shared" si="14"/>
        <v>3728.0927483218288</v>
      </c>
      <c r="Q91" s="20">
        <f t="shared" si="14"/>
        <v>3677.9997747986417</v>
      </c>
      <c r="R91" s="20">
        <f t="shared" si="14"/>
        <v>3750.6771824741027</v>
      </c>
      <c r="S91" s="20">
        <f t="shared" si="14"/>
        <v>4007.1459255589216</v>
      </c>
      <c r="T91" s="20">
        <f t="shared" si="14"/>
        <v>4235.8782596613346</v>
      </c>
      <c r="U91" s="20">
        <f t="shared" si="14"/>
        <v>4307.7125172410397</v>
      </c>
      <c r="V91" s="20">
        <f t="shared" si="14"/>
        <v>4583.195091143124</v>
      </c>
      <c r="W91" s="20">
        <f t="shared" si="14"/>
        <v>4780.7831913358204</v>
      </c>
      <c r="X91" s="20">
        <f t="shared" si="14"/>
        <v>4893.3884506116483</v>
      </c>
      <c r="Y91" s="20">
        <f t="shared" si="14"/>
        <v>5019.2582734800817</v>
      </c>
      <c r="Z91" s="20">
        <f t="shared" si="14"/>
        <v>5154.928254464261</v>
      </c>
      <c r="AA91" s="20">
        <f t="shared" si="14"/>
        <v>5296.5457205626335</v>
      </c>
      <c r="AB91" s="20">
        <f t="shared" si="14"/>
        <v>5439.80546173722</v>
      </c>
      <c r="AC91" s="20">
        <f t="shared" si="14"/>
        <v>5579.9178178461516</v>
      </c>
      <c r="AD91" s="20">
        <f t="shared" si="14"/>
        <v>5711.6159873244351</v>
      </c>
      <c r="AE91" s="20">
        <f t="shared" si="14"/>
        <v>5829.2097023335828</v>
      </c>
      <c r="AF91" s="20">
        <f t="shared" si="14"/>
        <v>5927.8006053267054</v>
      </c>
      <c r="AG91" s="20">
        <f t="shared" si="14"/>
        <v>6006.88634794666</v>
      </c>
      <c r="AH91" s="20">
        <f t="shared" si="14"/>
        <v>6067.3244157579538</v>
      </c>
      <c r="AI91" s="20">
        <f t="shared" si="14"/>
        <v>6110.2244097580533</v>
      </c>
      <c r="AJ91" s="20">
        <f t="shared" si="14"/>
        <v>6136.9066090649212</v>
      </c>
      <c r="AK91" s="20">
        <f t="shared" si="14"/>
        <v>6148.718681688124</v>
      </c>
      <c r="AL91" s="20">
        <f t="shared" si="14"/>
        <v>6146.5704829300739</v>
      </c>
      <c r="AM91" s="20">
        <f t="shared" si="14"/>
        <v>6131.329324483052</v>
      </c>
      <c r="AN91" s="20">
        <f t="shared" si="14"/>
        <v>6103.941781030614</v>
      </c>
      <c r="AO91" s="20">
        <f t="shared" si="14"/>
        <v>6065.4151776433591</v>
      </c>
      <c r="AP91" s="20">
        <f t="shared" si="14"/>
        <v>6016.799882385114</v>
      </c>
      <c r="AQ91" s="20">
        <f t="shared" si="14"/>
        <v>5959.1727143428707</v>
      </c>
      <c r="AR91" s="20">
        <f t="shared" si="14"/>
        <v>5893.6217113287639</v>
      </c>
      <c r="AS91" s="20">
        <f t="shared" si="14"/>
        <v>5821.2324371916184</v>
      </c>
      <c r="AT91" s="20">
        <f t="shared" si="14"/>
        <v>5743.0759480679917</v>
      </c>
      <c r="AU91" s="20">
        <f t="shared" si="14"/>
        <v>5660.1984815845781</v>
      </c>
      <c r="AV91" s="20">
        <f t="shared" si="14"/>
        <v>5573.6128841223144</v>
      </c>
      <c r="AW91" s="20">
        <f t="shared" si="14"/>
        <v>5484.2917494746562</v>
      </c>
      <c r="AX91" s="20">
        <f t="shared" si="14"/>
        <v>5393.1622079023118</v>
      </c>
      <c r="AY91" s="20">
        <f t="shared" si="14"/>
        <v>5301.1022777090893</v>
      </c>
      <c r="AZ91" s="20">
        <f t="shared" si="14"/>
        <v>5208.9386717769694</v>
      </c>
      <c r="BA91" s="20">
        <f t="shared" si="14"/>
        <v>5117.4459385455921</v>
      </c>
      <c r="BB91" s="20">
        <f t="shared" si="14"/>
        <v>5027.3468100993232</v>
      </c>
      <c r="BC91" s="20">
        <f t="shared" si="14"/>
        <v>4939.3136286502622</v>
      </c>
      <c r="BD91" s="20">
        <f t="shared" si="14"/>
        <v>4853.9707260535415</v>
      </c>
      <c r="BE91" s="20">
        <f t="shared" si="14"/>
        <v>4771.8976383473318</v>
      </c>
      <c r="BF91" s="20">
        <f t="shared" si="14"/>
        <v>4693.6330479962417</v>
      </c>
      <c r="BG91" s="20">
        <f t="shared" si="14"/>
        <v>4619.6793599260454</v>
      </c>
      <c r="BH91" s="20">
        <f t="shared" si="14"/>
        <v>4550.5078330510787</v>
      </c>
      <c r="BI91" s="21">
        <f t="shared" si="14"/>
        <v>4486.5642064003287</v>
      </c>
    </row>
    <row r="92" spans="1:61" x14ac:dyDescent="0.2">
      <c r="A92" s="114" t="s">
        <v>23</v>
      </c>
      <c r="B92" s="14"/>
      <c r="I92" s="20">
        <f>I41</f>
        <v>825.35203982323162</v>
      </c>
      <c r="J92" s="20">
        <f t="shared" ref="J92:BI92" si="15">J41</f>
        <v>860.62424293328729</v>
      </c>
      <c r="K92" s="20">
        <f t="shared" si="15"/>
        <v>994.5601714893121</v>
      </c>
      <c r="L92" s="20">
        <f t="shared" si="15"/>
        <v>1125.7598991764332</v>
      </c>
      <c r="M92" s="20">
        <f t="shared" si="15"/>
        <v>1202.4657387811435</v>
      </c>
      <c r="N92" s="20">
        <f t="shared" si="15"/>
        <v>1283.9402712372946</v>
      </c>
      <c r="O92" s="20">
        <f t="shared" si="15"/>
        <v>1373.7400086801558</v>
      </c>
      <c r="P92" s="20">
        <f t="shared" si="15"/>
        <v>1399.7199374534182</v>
      </c>
      <c r="Q92" s="20">
        <f t="shared" si="15"/>
        <v>1477.9749989056179</v>
      </c>
      <c r="R92" s="20">
        <f t="shared" si="15"/>
        <v>1594.7588110067843</v>
      </c>
      <c r="S92" s="20">
        <f t="shared" si="15"/>
        <v>1648.2392055673163</v>
      </c>
      <c r="T92" s="20">
        <f t="shared" si="15"/>
        <v>1681.3499544976607</v>
      </c>
      <c r="U92" s="20">
        <f t="shared" si="15"/>
        <v>1711.0551127601359</v>
      </c>
      <c r="V92" s="20">
        <f t="shared" si="15"/>
        <v>2066.5774519172019</v>
      </c>
      <c r="W92" s="20">
        <f t="shared" si="15"/>
        <v>2090.8982819264734</v>
      </c>
      <c r="X92" s="20">
        <f t="shared" si="15"/>
        <v>2173.9197778218277</v>
      </c>
      <c r="Y92" s="20">
        <f t="shared" si="15"/>
        <v>2254.8126139409155</v>
      </c>
      <c r="Z92" s="20">
        <f t="shared" si="15"/>
        <v>2333.3622664825534</v>
      </c>
      <c r="AA92" s="20">
        <f t="shared" si="15"/>
        <v>2409.3899620099319</v>
      </c>
      <c r="AB92" s="20">
        <f t="shared" si="15"/>
        <v>2482.7539005449262</v>
      </c>
      <c r="AC92" s="20">
        <f t="shared" si="15"/>
        <v>2553.3499295992838</v>
      </c>
      <c r="AD92" s="20">
        <f t="shared" si="15"/>
        <v>2621.1117056178496</v>
      </c>
      <c r="AE92" s="20">
        <f t="shared" si="15"/>
        <v>2686.0103889935285</v>
      </c>
      <c r="AF92" s="20">
        <f t="shared" si="15"/>
        <v>2747.9317273748356</v>
      </c>
      <c r="AG92" s="20">
        <f t="shared" si="15"/>
        <v>2806.287471875225</v>
      </c>
      <c r="AH92" s="20">
        <f t="shared" si="15"/>
        <v>2860.3482311404732</v>
      </c>
      <c r="AI92" s="20">
        <f t="shared" si="15"/>
        <v>2909.368670863847</v>
      </c>
      <c r="AJ92" s="20">
        <f t="shared" si="15"/>
        <v>2952.597634571262</v>
      </c>
      <c r="AK92" s="20">
        <f t="shared" si="15"/>
        <v>2989.4317494864949</v>
      </c>
      <c r="AL92" s="20">
        <f t="shared" si="15"/>
        <v>3019.8658444957368</v>
      </c>
      <c r="AM92" s="20">
        <f t="shared" si="15"/>
        <v>3044.0914633265552</v>
      </c>
      <c r="AN92" s="20">
        <f t="shared" si="15"/>
        <v>3062.3525790820504</v>
      </c>
      <c r="AO92" s="20">
        <f t="shared" si="15"/>
        <v>3074.9392423241052</v>
      </c>
      <c r="AP92" s="20">
        <f t="shared" si="15"/>
        <v>3082.1810661818699</v>
      </c>
      <c r="AQ92" s="20">
        <f t="shared" si="15"/>
        <v>3084.4407070387133</v>
      </c>
      <c r="AR92" s="20">
        <f t="shared" si="15"/>
        <v>3082.1074825249743</v>
      </c>
      <c r="AS92" s="20">
        <f t="shared" si="15"/>
        <v>3075.5912498201014</v>
      </c>
      <c r="AT92" s="20">
        <f t="shared" si="15"/>
        <v>3065.3166475499374</v>
      </c>
      <c r="AU92" s="20">
        <f t="shared" si="15"/>
        <v>3051.7177846671916</v>
      </c>
      <c r="AV92" s="20">
        <f t="shared" si="15"/>
        <v>3035.2334403261434</v>
      </c>
      <c r="AW92" s="20">
        <f t="shared" si="15"/>
        <v>3016.3028204873935</v>
      </c>
      <c r="AX92" s="20">
        <f t="shared" si="15"/>
        <v>2995.3619002696882</v>
      </c>
      <c r="AY92" s="20">
        <f t="shared" si="15"/>
        <v>2972.8403662391916</v>
      </c>
      <c r="AZ92" s="20">
        <f t="shared" si="15"/>
        <v>2949.1591601133623</v>
      </c>
      <c r="BA92" s="20">
        <f t="shared" si="15"/>
        <v>2924.7286148796838</v>
      </c>
      <c r="BB92" s="20">
        <f t="shared" si="15"/>
        <v>2899.9471661247371</v>
      </c>
      <c r="BC92" s="20">
        <f t="shared" si="15"/>
        <v>2875.2006154048004</v>
      </c>
      <c r="BD92" s="20">
        <f t="shared" si="15"/>
        <v>2850.8619186797587</v>
      </c>
      <c r="BE92" s="20">
        <f t="shared" si="15"/>
        <v>2827.2914710562527</v>
      </c>
      <c r="BF92" s="20">
        <f t="shared" si="15"/>
        <v>2804.8378592030103</v>
      </c>
      <c r="BG92" s="20">
        <f t="shared" si="15"/>
        <v>2783.839054661456</v>
      </c>
      <c r="BH92" s="20">
        <f t="shared" si="15"/>
        <v>2764.6240247391029</v>
      </c>
      <c r="BI92" s="21">
        <f t="shared" si="15"/>
        <v>2747.5147426175745</v>
      </c>
    </row>
    <row r="93" spans="1:61" x14ac:dyDescent="0.2">
      <c r="A93" s="114" t="s">
        <v>24</v>
      </c>
      <c r="B93" s="14"/>
      <c r="I93" s="20">
        <f>I42</f>
        <v>957.48912910180843</v>
      </c>
      <c r="J93" s="20">
        <f t="shared" ref="J93:BI93" si="16">J42</f>
        <v>1007.4847756088832</v>
      </c>
      <c r="K93" s="20">
        <f t="shared" si="16"/>
        <v>1190.6924414462044</v>
      </c>
      <c r="L93" s="20">
        <f t="shared" si="16"/>
        <v>1343.1889625419417</v>
      </c>
      <c r="M93" s="20">
        <f t="shared" si="16"/>
        <v>1386.1188711991374</v>
      </c>
      <c r="N93" s="20">
        <f t="shared" si="16"/>
        <v>1437.9007595991709</v>
      </c>
      <c r="O93" s="20">
        <f t="shared" si="16"/>
        <v>1504.0047055880304</v>
      </c>
      <c r="P93" s="20">
        <f t="shared" si="16"/>
        <v>1468.2394548218376</v>
      </c>
      <c r="Q93" s="20">
        <f t="shared" si="16"/>
        <v>1517.3701234262553</v>
      </c>
      <c r="R93" s="20">
        <f t="shared" si="16"/>
        <v>1697.1667887148062</v>
      </c>
      <c r="S93" s="20">
        <f t="shared" si="16"/>
        <v>1811.5369065308341</v>
      </c>
      <c r="T93" s="20">
        <f t="shared" si="16"/>
        <v>1821.7287125216355</v>
      </c>
      <c r="U93" s="20">
        <f t="shared" si="16"/>
        <v>1852.1517291354023</v>
      </c>
      <c r="V93" s="20">
        <f t="shared" si="16"/>
        <v>2167.5672054910888</v>
      </c>
      <c r="W93" s="20">
        <f t="shared" si="16"/>
        <v>2175.4614760435193</v>
      </c>
      <c r="X93" s="20">
        <f t="shared" si="16"/>
        <v>2265.8487939156553</v>
      </c>
      <c r="Y93" s="20">
        <f t="shared" si="16"/>
        <v>2354.1830971005056</v>
      </c>
      <c r="Z93" s="20">
        <f t="shared" si="16"/>
        <v>2440.222223176982</v>
      </c>
      <c r="AA93" s="20">
        <f t="shared" si="16"/>
        <v>2523.7619666902729</v>
      </c>
      <c r="AB93" s="20">
        <f t="shared" si="16"/>
        <v>2604.6376920987414</v>
      </c>
      <c r="AC93" s="20">
        <f t="shared" si="16"/>
        <v>2682.7253393378915</v>
      </c>
      <c r="AD93" s="20">
        <f t="shared" si="16"/>
        <v>2757.9418579193953</v>
      </c>
      <c r="AE93" s="20">
        <f t="shared" si="16"/>
        <v>2830.2451170582381</v>
      </c>
      <c r="AF93" s="20">
        <f t="shared" si="16"/>
        <v>2899.5007882014174</v>
      </c>
      <c r="AG93" s="20">
        <f t="shared" si="16"/>
        <v>2965.0595520019169</v>
      </c>
      <c r="AH93" s="20">
        <f t="shared" si="16"/>
        <v>3026.1157289494563</v>
      </c>
      <c r="AI93" s="20">
        <f t="shared" si="16"/>
        <v>3081.842811645643</v>
      </c>
      <c r="AJ93" s="20">
        <f t="shared" si="16"/>
        <v>3131.4046252614767</v>
      </c>
      <c r="AK93" s="20">
        <f t="shared" si="16"/>
        <v>3174.122466617498</v>
      </c>
      <c r="AL93" s="20">
        <f t="shared" si="16"/>
        <v>3209.966146952976</v>
      </c>
      <c r="AM93" s="20">
        <f t="shared" si="16"/>
        <v>3239.1206298327793</v>
      </c>
      <c r="AN93" s="20">
        <f t="shared" si="16"/>
        <v>3261.8298468941093</v>
      </c>
      <c r="AO93" s="20">
        <f t="shared" si="16"/>
        <v>3278.3899278035651</v>
      </c>
      <c r="AP93" s="20">
        <f t="shared" si="16"/>
        <v>3289.1421948517741</v>
      </c>
      <c r="AQ93" s="20">
        <f t="shared" si="16"/>
        <v>3294.4661012070133</v>
      </c>
      <c r="AR93" s="20">
        <f t="shared" si="16"/>
        <v>3294.7722741915582</v>
      </c>
      <c r="AS93" s="20">
        <f t="shared" si="16"/>
        <v>3290.4958048755602</v>
      </c>
      <c r="AT93" s="20">
        <f t="shared" si="16"/>
        <v>3282.0899038362327</v>
      </c>
      <c r="AU93" s="20">
        <f t="shared" si="16"/>
        <v>3270.0200210437579</v>
      </c>
      <c r="AV93" s="20">
        <f t="shared" si="16"/>
        <v>3254.7585063262409</v>
      </c>
      <c r="AW93" s="20">
        <f t="shared" si="16"/>
        <v>3236.7798664209927</v>
      </c>
      <c r="AX93" s="20">
        <f t="shared" si="16"/>
        <v>3216.5566557823781</v>
      </c>
      <c r="AY93" s="20">
        <f t="shared" si="16"/>
        <v>3194.5560214973375</v>
      </c>
      <c r="AZ93" s="20">
        <f t="shared" si="16"/>
        <v>3171.2369081384518</v>
      </c>
      <c r="BA93" s="20">
        <f t="shared" si="16"/>
        <v>3147.0479163264708</v>
      </c>
      <c r="BB93" s="20">
        <f t="shared" si="16"/>
        <v>3122.4257992452694</v>
      </c>
      <c r="BC93" s="20">
        <f t="shared" si="16"/>
        <v>3097.7945743367031</v>
      </c>
      <c r="BD93" s="20">
        <f t="shared" si="16"/>
        <v>3073.5652228232179</v>
      </c>
      <c r="BE93" s="20">
        <f t="shared" si="16"/>
        <v>3050.1359474410392</v>
      </c>
      <c r="BF93" s="20">
        <f t="shared" si="16"/>
        <v>3027.8929586689324</v>
      </c>
      <c r="BG93" s="20">
        <f t="shared" si="16"/>
        <v>3007.2117616514147</v>
      </c>
      <c r="BH93" s="20">
        <f t="shared" si="16"/>
        <v>2988.4589197908331</v>
      </c>
      <c r="BI93" s="21">
        <f t="shared" si="16"/>
        <v>2971.9942764916786</v>
      </c>
    </row>
    <row r="94" spans="1:61" x14ac:dyDescent="0.2">
      <c r="A94" s="114" t="s">
        <v>25</v>
      </c>
      <c r="B94" s="14"/>
      <c r="I94" s="20">
        <f>I43</f>
        <v>636.84917179891238</v>
      </c>
      <c r="J94" s="20">
        <f t="shared" ref="J94:BI94" si="17">J43</f>
        <v>682.17640383462935</v>
      </c>
      <c r="K94" s="20">
        <f t="shared" si="17"/>
        <v>798.94066636712569</v>
      </c>
      <c r="L94" s="20">
        <f t="shared" si="17"/>
        <v>919.68852177451481</v>
      </c>
      <c r="M94" s="20">
        <f t="shared" si="17"/>
        <v>953.46054365731106</v>
      </c>
      <c r="N94" s="20">
        <f t="shared" si="17"/>
        <v>982.73916071012547</v>
      </c>
      <c r="O94" s="20">
        <f t="shared" si="17"/>
        <v>1007.190217386193</v>
      </c>
      <c r="P94" s="20">
        <f t="shared" si="17"/>
        <v>988.01686580060073</v>
      </c>
      <c r="Q94" s="20">
        <f t="shared" si="17"/>
        <v>1028.7917095739863</v>
      </c>
      <c r="R94" s="20">
        <f t="shared" si="17"/>
        <v>1164.2331935578331</v>
      </c>
      <c r="S94" s="20">
        <f t="shared" si="17"/>
        <v>1285.5808657429811</v>
      </c>
      <c r="T94" s="20">
        <f t="shared" si="17"/>
        <v>1325.0409909702028</v>
      </c>
      <c r="U94" s="20">
        <f t="shared" si="17"/>
        <v>1362.5508537800022</v>
      </c>
      <c r="V94" s="20">
        <f t="shared" si="17"/>
        <v>1597.4262241195795</v>
      </c>
      <c r="W94" s="20">
        <f t="shared" si="17"/>
        <v>1681.134442521691</v>
      </c>
      <c r="X94" s="20">
        <f t="shared" si="17"/>
        <v>1783.3229973158298</v>
      </c>
      <c r="Y94" s="20">
        <f t="shared" si="17"/>
        <v>1885.8856858539027</v>
      </c>
      <c r="Z94" s="20">
        <f t="shared" si="17"/>
        <v>1988.4969924066015</v>
      </c>
      <c r="AA94" s="20">
        <f t="shared" si="17"/>
        <v>2090.8610076663863</v>
      </c>
      <c r="AB94" s="20">
        <f t="shared" si="17"/>
        <v>2192.7164262080069</v>
      </c>
      <c r="AC94" s="20">
        <f t="shared" si="17"/>
        <v>2293.8408803720331</v>
      </c>
      <c r="AD94" s="20">
        <f t="shared" si="17"/>
        <v>2394.0545902644062</v>
      </c>
      <c r="AE94" s="20">
        <f t="shared" si="17"/>
        <v>2493.2233345220848</v>
      </c>
      <c r="AF94" s="20">
        <f t="shared" si="17"/>
        <v>2591.1089909997177</v>
      </c>
      <c r="AG94" s="20">
        <f t="shared" si="17"/>
        <v>2686.8707838394357</v>
      </c>
      <c r="AH94" s="20">
        <f t="shared" si="17"/>
        <v>2779.4462487272158</v>
      </c>
      <c r="AI94" s="20">
        <f t="shared" si="17"/>
        <v>2867.701709687286</v>
      </c>
      <c r="AJ94" s="20">
        <f t="shared" si="17"/>
        <v>2950.4459656090376</v>
      </c>
      <c r="AK94" s="20">
        <f t="shared" si="17"/>
        <v>3026.6289853418921</v>
      </c>
      <c r="AL94" s="20">
        <f t="shared" si="17"/>
        <v>3095.9399795301269</v>
      </c>
      <c r="AM94" s="20">
        <f t="shared" si="17"/>
        <v>3158.3316605781774</v>
      </c>
      <c r="AN94" s="20">
        <f t="shared" si="17"/>
        <v>3213.844226059256</v>
      </c>
      <c r="AO94" s="20">
        <f t="shared" si="17"/>
        <v>3262.5999935654131</v>
      </c>
      <c r="AP94" s="20">
        <f t="shared" si="17"/>
        <v>3304.7970181052906</v>
      </c>
      <c r="AQ94" s="20">
        <f t="shared" si="17"/>
        <v>3340.7019600692524</v>
      </c>
      <c r="AR94" s="20">
        <f t="shared" si="17"/>
        <v>3370.6424658585279</v>
      </c>
      <c r="AS94" s="20">
        <f t="shared" si="17"/>
        <v>3394.9993096307185</v>
      </c>
      <c r="AT94" s="20">
        <f t="shared" si="17"/>
        <v>3414.1985248909045</v>
      </c>
      <c r="AU94" s="20">
        <f t="shared" si="17"/>
        <v>3428.7037305297499</v>
      </c>
      <c r="AV94" s="20">
        <f t="shared" si="17"/>
        <v>3439.0088289991613</v>
      </c>
      <c r="AW94" s="20">
        <f t="shared" si="17"/>
        <v>3445.6312261268067</v>
      </c>
      <c r="AX94" s="20">
        <f t="shared" si="17"/>
        <v>3449.1056939393957</v>
      </c>
      <c r="AY94" s="20">
        <f t="shared" si="17"/>
        <v>3449.9789709357228</v>
      </c>
      <c r="AZ94" s="20">
        <f t="shared" si="17"/>
        <v>3448.8051694539008</v>
      </c>
      <c r="BA94" s="20">
        <f t="shared" si="17"/>
        <v>3446.1420378405369</v>
      </c>
      <c r="BB94" s="20">
        <f t="shared" si="17"/>
        <v>3442.5481065799718</v>
      </c>
      <c r="BC94" s="20">
        <f t="shared" si="17"/>
        <v>3438.5807327358511</v>
      </c>
      <c r="BD94" s="20">
        <f t="shared" si="17"/>
        <v>3434.795046204119</v>
      </c>
      <c r="BE94" s="20">
        <f t="shared" si="17"/>
        <v>3431.7437944736594</v>
      </c>
      <c r="BF94" s="20">
        <f t="shared" si="17"/>
        <v>3429.9780798556599</v>
      </c>
      <c r="BG94" s="20">
        <f t="shared" si="17"/>
        <v>3430.0489844529125</v>
      </c>
      <c r="BH94" s="20">
        <f t="shared" si="17"/>
        <v>3432.5100834641621</v>
      </c>
      <c r="BI94" s="21">
        <f t="shared" si="17"/>
        <v>3437.9208567565761</v>
      </c>
    </row>
    <row r="95" spans="1:61" x14ac:dyDescent="0.2">
      <c r="A95" s="114" t="s">
        <v>26</v>
      </c>
      <c r="B95" s="14"/>
      <c r="I95" s="20">
        <f>I44+I45</f>
        <v>1623.8018058106015</v>
      </c>
      <c r="J95" s="20">
        <f t="shared" ref="J95:BI95" si="18">J44+J45</f>
        <v>1822.4951609926225</v>
      </c>
      <c r="K95" s="20">
        <f t="shared" si="18"/>
        <v>2166.298644952557</v>
      </c>
      <c r="L95" s="20">
        <f t="shared" si="18"/>
        <v>2331.3408392066517</v>
      </c>
      <c r="M95" s="20">
        <f t="shared" si="18"/>
        <v>2383.0435220231129</v>
      </c>
      <c r="N95" s="20">
        <f t="shared" si="18"/>
        <v>2540.8630589329832</v>
      </c>
      <c r="O95" s="20">
        <f t="shared" si="18"/>
        <v>2728.838438356292</v>
      </c>
      <c r="P95" s="20">
        <f t="shared" si="18"/>
        <v>2762.9644114695907</v>
      </c>
      <c r="Q95" s="20">
        <f t="shared" si="18"/>
        <v>3032.1263849062357</v>
      </c>
      <c r="R95" s="20">
        <f t="shared" si="18"/>
        <v>3401.7294408571947</v>
      </c>
      <c r="S95" s="20">
        <f t="shared" si="18"/>
        <v>3556.0155065145791</v>
      </c>
      <c r="T95" s="20">
        <f t="shared" si="18"/>
        <v>3532.2470339744173</v>
      </c>
      <c r="U95" s="20">
        <f t="shared" si="18"/>
        <v>3588.8015752326332</v>
      </c>
      <c r="V95" s="20">
        <f t="shared" si="18"/>
        <v>3965.5598401128746</v>
      </c>
      <c r="W95" s="20">
        <f t="shared" si="18"/>
        <v>4247.4403854669345</v>
      </c>
      <c r="X95" s="20">
        <f t="shared" si="18"/>
        <v>4410.0557095960403</v>
      </c>
      <c r="Y95" s="20">
        <f t="shared" si="18"/>
        <v>4568.2028133595704</v>
      </c>
      <c r="Z95" s="20">
        <f t="shared" si="18"/>
        <v>4721.4737951050192</v>
      </c>
      <c r="AA95" s="20">
        <f t="shared" si="18"/>
        <v>4869.5315066042012</v>
      </c>
      <c r="AB95" s="20">
        <f t="shared" si="18"/>
        <v>5012.1116935783357</v>
      </c>
      <c r="AC95" s="20">
        <f t="shared" si="18"/>
        <v>5149.0240774754284</v>
      </c>
      <c r="AD95" s="20">
        <f t="shared" si="18"/>
        <v>5280.1524519073355</v>
      </c>
      <c r="AE95" s="20">
        <f t="shared" si="18"/>
        <v>5405.453885303662</v>
      </c>
      <c r="AF95" s="20">
        <f t="shared" si="18"/>
        <v>5524.7162805941944</v>
      </c>
      <c r="AG95" s="20">
        <f t="shared" si="18"/>
        <v>5636.793740332263</v>
      </c>
      <c r="AH95" s="20">
        <f t="shared" si="18"/>
        <v>5740.2649686690802</v>
      </c>
      <c r="AI95" s="20">
        <f t="shared" si="18"/>
        <v>5833.680226929001</v>
      </c>
      <c r="AJ95" s="20">
        <f t="shared" si="18"/>
        <v>5915.5810273828029</v>
      </c>
      <c r="AK95" s="20">
        <f t="shared" si="18"/>
        <v>5984.8026027315336</v>
      </c>
      <c r="AL95" s="20">
        <f t="shared" si="18"/>
        <v>6041.3601101179029</v>
      </c>
      <c r="AM95" s="20">
        <f t="shared" si="18"/>
        <v>6085.6544969901533</v>
      </c>
      <c r="AN95" s="20">
        <f t="shared" si="18"/>
        <v>6118.1876126392945</v>
      </c>
      <c r="AO95" s="20">
        <f t="shared" si="18"/>
        <v>6139.5496500025974</v>
      </c>
      <c r="AP95" s="20">
        <f t="shared" si="18"/>
        <v>6150.4063167735239</v>
      </c>
      <c r="AQ95" s="20">
        <f t="shared" si="18"/>
        <v>6151.4860404675856</v>
      </c>
      <c r="AR95" s="20">
        <f t="shared" si="18"/>
        <v>6143.5674788666083</v>
      </c>
      <c r="AS95" s="20">
        <f t="shared" si="18"/>
        <v>6127.4675705585951</v>
      </c>
      <c r="AT95" s="20">
        <f t="shared" si="18"/>
        <v>6104.030321834699</v>
      </c>
      <c r="AU95" s="20">
        <f t="shared" si="18"/>
        <v>6074.1164875505037</v>
      </c>
      <c r="AV95" s="20">
        <f t="shared" si="18"/>
        <v>6038.5942660378405</v>
      </c>
      <c r="AW95" s="20">
        <f t="shared" si="18"/>
        <v>5998.3310928644669</v>
      </c>
      <c r="AX95" s="20">
        <f t="shared" si="18"/>
        <v>5954.1865860399921</v>
      </c>
      <c r="AY95" s="20">
        <f t="shared" si="18"/>
        <v>5907.006666784273</v>
      </c>
      <c r="AZ95" s="20">
        <f t="shared" si="18"/>
        <v>5857.6188556191046</v>
      </c>
      <c r="BA95" s="20">
        <f t="shared" si="18"/>
        <v>5806.8287235358639</v>
      </c>
      <c r="BB95" s="20">
        <f t="shared" si="18"/>
        <v>5755.4174623866866</v>
      </c>
      <c r="BC95" s="20">
        <f t="shared" si="18"/>
        <v>5704.1405273712817</v>
      </c>
      <c r="BD95" s="20">
        <f t="shared" si="18"/>
        <v>5653.7272973708468</v>
      </c>
      <c r="BE95" s="20">
        <f t="shared" si="18"/>
        <v>5604.8816956736973</v>
      </c>
      <c r="BF95" s="20">
        <f t="shared" si="18"/>
        <v>5558.2837140633992</v>
      </c>
      <c r="BG95" s="20">
        <f t="shared" si="18"/>
        <v>5514.5917870095191</v>
      </c>
      <c r="BH95" s="20">
        <f t="shared" si="18"/>
        <v>5474.4459695367314</v>
      </c>
      <c r="BI95" s="21">
        <f t="shared" si="18"/>
        <v>5438.4718820105281</v>
      </c>
    </row>
    <row r="96" spans="1:61" x14ac:dyDescent="0.2">
      <c r="A96" s="114" t="s">
        <v>27</v>
      </c>
      <c r="B96" s="14"/>
      <c r="I96" s="20">
        <f>I46</f>
        <v>1217.5195160253679</v>
      </c>
      <c r="J96" s="20">
        <f t="shared" ref="J96:BI96" si="19">J46</f>
        <v>1292.6341207581518</v>
      </c>
      <c r="K96" s="20">
        <f t="shared" si="19"/>
        <v>1490.0363414785679</v>
      </c>
      <c r="L96" s="20">
        <f t="shared" si="19"/>
        <v>1639.350314270589</v>
      </c>
      <c r="M96" s="20">
        <f t="shared" si="19"/>
        <v>1712.0343556535668</v>
      </c>
      <c r="N96" s="20">
        <f t="shared" si="19"/>
        <v>1803.6398418356748</v>
      </c>
      <c r="O96" s="20">
        <f t="shared" si="19"/>
        <v>1891.7453428330407</v>
      </c>
      <c r="P96" s="20">
        <f t="shared" si="19"/>
        <v>1925.726984191494</v>
      </c>
      <c r="Q96" s="20">
        <f t="shared" si="19"/>
        <v>2039.0277316223494</v>
      </c>
      <c r="R96" s="20">
        <f t="shared" si="19"/>
        <v>2282.7007277873363</v>
      </c>
      <c r="S96" s="20">
        <f t="shared" si="19"/>
        <v>2438.8021860920107</v>
      </c>
      <c r="T96" s="20">
        <f t="shared" si="19"/>
        <v>2603.0134076603781</v>
      </c>
      <c r="U96" s="20">
        <f t="shared" si="19"/>
        <v>2742.170325969631</v>
      </c>
      <c r="V96" s="20">
        <f t="shared" si="19"/>
        <v>3334.778314369561</v>
      </c>
      <c r="W96" s="20">
        <f t="shared" si="19"/>
        <v>3790.6958165959172</v>
      </c>
      <c r="X96" s="20">
        <f t="shared" si="19"/>
        <v>4095.4063140633407</v>
      </c>
      <c r="Y96" s="20">
        <f t="shared" si="19"/>
        <v>4408.2393891497113</v>
      </c>
      <c r="Z96" s="20">
        <f t="shared" si="19"/>
        <v>4728.3096642695164</v>
      </c>
      <c r="AA96" s="20">
        <f t="shared" si="19"/>
        <v>5054.7731144907957</v>
      </c>
      <c r="AB96" s="20">
        <f t="shared" si="19"/>
        <v>5386.8500526208991</v>
      </c>
      <c r="AC96" s="20">
        <f t="shared" si="19"/>
        <v>5723.8470554875366</v>
      </c>
      <c r="AD96" s="20">
        <f t="shared" si="19"/>
        <v>6065.1775398272111</v>
      </c>
      <c r="AE96" s="20">
        <f t="shared" si="19"/>
        <v>6410.3807941177738</v>
      </c>
      <c r="AF96" s="20">
        <f t="shared" si="19"/>
        <v>6758.6571666223217</v>
      </c>
      <c r="AG96" s="20">
        <f t="shared" si="19"/>
        <v>7107.2372379948711</v>
      </c>
      <c r="AH96" s="20">
        <f t="shared" si="19"/>
        <v>7452.4926589227262</v>
      </c>
      <c r="AI96" s="20">
        <f t="shared" si="19"/>
        <v>7790.3899072530685</v>
      </c>
      <c r="AJ96" s="20">
        <f t="shared" si="19"/>
        <v>8116.5275809497552</v>
      </c>
      <c r="AK96" s="20">
        <f t="shared" si="19"/>
        <v>8426.7923372852583</v>
      </c>
      <c r="AL96" s="20">
        <f t="shared" si="19"/>
        <v>8719.4009759380006</v>
      </c>
      <c r="AM96" s="20">
        <f t="shared" si="19"/>
        <v>8993.4370394772268</v>
      </c>
      <c r="AN96" s="20">
        <f t="shared" si="19"/>
        <v>9248.2975320399491</v>
      </c>
      <c r="AO96" s="20">
        <f t="shared" si="19"/>
        <v>9483.6886780857421</v>
      </c>
      <c r="AP96" s="20">
        <f t="shared" si="19"/>
        <v>9699.6159938231849</v>
      </c>
      <c r="AQ96" s="20">
        <f t="shared" si="19"/>
        <v>9896.369556525171</v>
      </c>
      <c r="AR96" s="20">
        <f t="shared" si="19"/>
        <v>10074.505427449878</v>
      </c>
      <c r="AS96" s="20">
        <f t="shared" si="19"/>
        <v>10234.824212315383</v>
      </c>
      <c r="AT96" s="20">
        <f t="shared" si="19"/>
        <v>10378.347734159719</v>
      </c>
      <c r="AU96" s="20">
        <f t="shared" si="19"/>
        <v>10506.294753037544</v>
      </c>
      <c r="AV96" s="20">
        <f t="shared" si="19"/>
        <v>10620.056602094028</v>
      </c>
      <c r="AW96" s="20">
        <f t="shared" si="19"/>
        <v>10721.173527065666</v>
      </c>
      <c r="AX96" s="20">
        <f t="shared" si="19"/>
        <v>10811.312422973671</v>
      </c>
      <c r="AY96" s="20">
        <f t="shared" si="19"/>
        <v>10892.246564027646</v>
      </c>
      <c r="AZ96" s="20">
        <f t="shared" si="19"/>
        <v>10965.837826220992</v>
      </c>
      <c r="BA96" s="20">
        <f t="shared" si="19"/>
        <v>11034.021811670324</v>
      </c>
      <c r="BB96" s="20">
        <f t="shared" si="19"/>
        <v>11098.796203506845</v>
      </c>
      <c r="BC96" s="20">
        <f t="shared" si="19"/>
        <v>11162.21261335439</v>
      </c>
      <c r="BD96" s="20">
        <f t="shared" si="19"/>
        <v>11226.372132700748</v>
      </c>
      <c r="BE96" s="20">
        <f t="shared" si="19"/>
        <v>11293.424766783482</v>
      </c>
      <c r="BF96" s="20">
        <f t="shared" si="19"/>
        <v>11365.572916537207</v>
      </c>
      <c r="BG96" s="20">
        <f t="shared" si="19"/>
        <v>11445.079082030423</v>
      </c>
      <c r="BH96" s="20">
        <f t="shared" si="19"/>
        <v>11534.277990966459</v>
      </c>
      <c r="BI96" s="21">
        <f t="shared" si="19"/>
        <v>11635.593409756733</v>
      </c>
    </row>
    <row r="97" spans="1:61" x14ac:dyDescent="0.2">
      <c r="A97" s="114" t="s">
        <v>28</v>
      </c>
      <c r="B97" s="14"/>
      <c r="I97" s="20">
        <f>I47</f>
        <v>1706.6024804589906</v>
      </c>
      <c r="J97" s="20">
        <f t="shared" ref="J97:BI97" si="20">J47</f>
        <v>1703.5010482581254</v>
      </c>
      <c r="K97" s="20">
        <f t="shared" si="20"/>
        <v>1933.8707410286615</v>
      </c>
      <c r="L97" s="20">
        <f t="shared" si="20"/>
        <v>2153.675657808727</v>
      </c>
      <c r="M97" s="20">
        <f t="shared" si="20"/>
        <v>2298.3702505757124</v>
      </c>
      <c r="N97" s="20">
        <f t="shared" si="20"/>
        <v>2430.0821452448795</v>
      </c>
      <c r="O97" s="20">
        <f t="shared" si="20"/>
        <v>2614.0226283800762</v>
      </c>
      <c r="P97" s="20">
        <f t="shared" si="20"/>
        <v>2740.3367900106496</v>
      </c>
      <c r="Q97" s="20">
        <f t="shared" si="20"/>
        <v>2941.6791661197531</v>
      </c>
      <c r="R97" s="20">
        <f t="shared" si="20"/>
        <v>3388.5062004678171</v>
      </c>
      <c r="S97" s="20">
        <f t="shared" si="20"/>
        <v>3815.9156485707945</v>
      </c>
      <c r="T97" s="20">
        <f t="shared" si="20"/>
        <v>4021.3431733748421</v>
      </c>
      <c r="U97" s="20">
        <f t="shared" si="20"/>
        <v>4189.6426485802067</v>
      </c>
      <c r="V97" s="20">
        <f t="shared" si="20"/>
        <v>5047.07826989772</v>
      </c>
      <c r="W97" s="20">
        <f t="shared" si="20"/>
        <v>5516.6342563589078</v>
      </c>
      <c r="X97" s="20">
        <f t="shared" si="20"/>
        <v>5964.7472678880622</v>
      </c>
      <c r="Y97" s="20">
        <f t="shared" si="20"/>
        <v>6426.9376217107301</v>
      </c>
      <c r="Z97" s="20">
        <f t="shared" si="20"/>
        <v>6901.5884490275475</v>
      </c>
      <c r="AA97" s="20">
        <f t="shared" si="20"/>
        <v>7386.9595310781424</v>
      </c>
      <c r="AB97" s="20">
        <f t="shared" si="20"/>
        <v>7881.2085949229668</v>
      </c>
      <c r="AC97" s="20">
        <f t="shared" si="20"/>
        <v>8382.4142307453967</v>
      </c>
      <c r="AD97" s="20">
        <f t="shared" si="20"/>
        <v>8888.5999597681748</v>
      </c>
      <c r="AE97" s="20">
        <f t="shared" si="20"/>
        <v>9397.7589681927529</v>
      </c>
      <c r="AF97" s="20">
        <f t="shared" si="20"/>
        <v>9908.0465574402733</v>
      </c>
      <c r="AG97" s="20">
        <f t="shared" si="20"/>
        <v>10418.376324282972</v>
      </c>
      <c r="AH97" s="20">
        <f t="shared" si="20"/>
        <v>10928.061284298617</v>
      </c>
      <c r="AI97" s="20">
        <f t="shared" si="20"/>
        <v>11436.683331695314</v>
      </c>
      <c r="AJ97" s="20">
        <f t="shared" si="20"/>
        <v>11944.109531804219</v>
      </c>
      <c r="AK97" s="20">
        <f t="shared" si="20"/>
        <v>12450.241570510825</v>
      </c>
      <c r="AL97" s="20">
        <f t="shared" si="20"/>
        <v>12954.149539120372</v>
      </c>
      <c r="AM97" s="20">
        <f t="shared" si="20"/>
        <v>13454.723217860374</v>
      </c>
      <c r="AN97" s="20">
        <f t="shared" si="20"/>
        <v>13950.923935737954</v>
      </c>
      <c r="AO97" s="20">
        <f t="shared" si="20"/>
        <v>14441.793166108322</v>
      </c>
      <c r="AP97" s="20">
        <f t="shared" si="20"/>
        <v>14926.460109701187</v>
      </c>
      <c r="AQ97" s="20">
        <f t="shared" si="20"/>
        <v>15404.148231784289</v>
      </c>
      <c r="AR97" s="20">
        <f t="shared" si="20"/>
        <v>15874.180740670847</v>
      </c>
      <c r="AS97" s="20">
        <f t="shared" si="20"/>
        <v>16335.985014307982</v>
      </c>
      <c r="AT97" s="20">
        <f t="shared" si="20"/>
        <v>16789.095999880181</v>
      </c>
      <c r="AU97" s="20">
        <f t="shared" si="20"/>
        <v>17233.158627975568</v>
      </c>
      <c r="AV97" s="20">
        <f t="shared" si="20"/>
        <v>17667.929297701059</v>
      </c>
      <c r="AW97" s="20">
        <f t="shared" si="20"/>
        <v>18093.276502062257</v>
      </c>
      <c r="AX97" s="20">
        <f t="shared" si="20"/>
        <v>18509.180673888121</v>
      </c>
      <c r="AY97" s="20">
        <f t="shared" si="20"/>
        <v>18915.733341565501</v>
      </c>
      <c r="AZ97" s="20">
        <f t="shared" si="20"/>
        <v>19313.135690909388</v>
      </c>
      <c r="BA97" s="20">
        <f t="shared" si="20"/>
        <v>19701.696634714015</v>
      </c>
      <c r="BB97" s="20">
        <f t="shared" si="20"/>
        <v>20081.830495055616</v>
      </c>
      <c r="BC97" s="20">
        <f t="shared" si="20"/>
        <v>20454.054405403473</v>
      </c>
      <c r="BD97" s="20">
        <f t="shared" si="20"/>
        <v>20818.985540248144</v>
      </c>
      <c r="BE97" s="20">
        <f t="shared" si="20"/>
        <v>21177.33827947891</v>
      </c>
      <c r="BF97" s="20">
        <f t="shared" si="20"/>
        <v>21529.92141337588</v>
      </c>
      <c r="BG97" s="20">
        <f t="shared" si="20"/>
        <v>21877.635492051828</v>
      </c>
      <c r="BH97" s="20">
        <f t="shared" si="20"/>
        <v>22221.470420738828</v>
      </c>
      <c r="BI97" s="21">
        <f t="shared" si="20"/>
        <v>22562.503399697955</v>
      </c>
    </row>
    <row r="98" spans="1:61" x14ac:dyDescent="0.2">
      <c r="A98" s="114" t="s">
        <v>29</v>
      </c>
      <c r="B98" s="14"/>
      <c r="I98" s="20">
        <f>I48</f>
        <v>174.94890796108089</v>
      </c>
      <c r="J98" s="20">
        <f t="shared" ref="J98:BI98" si="21">J48</f>
        <v>169.15820543043426</v>
      </c>
      <c r="K98" s="20">
        <f t="shared" si="21"/>
        <v>196.46933500099175</v>
      </c>
      <c r="L98" s="20">
        <f t="shared" si="21"/>
        <v>219.55529259720151</v>
      </c>
      <c r="M98" s="20">
        <f t="shared" si="21"/>
        <v>235.35118038279785</v>
      </c>
      <c r="N98" s="20">
        <f t="shared" si="21"/>
        <v>249.50909097016776</v>
      </c>
      <c r="O98" s="20">
        <f t="shared" si="21"/>
        <v>261.69729116037337</v>
      </c>
      <c r="P98" s="20">
        <f t="shared" si="21"/>
        <v>261.68098067397437</v>
      </c>
      <c r="Q98" s="20">
        <f t="shared" si="21"/>
        <v>279.37539782966684</v>
      </c>
      <c r="R98" s="20">
        <f t="shared" si="21"/>
        <v>318.13496199016924</v>
      </c>
      <c r="S98" s="20">
        <f t="shared" si="21"/>
        <v>336.40604594488298</v>
      </c>
      <c r="T98" s="20">
        <f t="shared" si="21"/>
        <v>358.40848198921412</v>
      </c>
      <c r="U98" s="20">
        <f t="shared" si="21"/>
        <v>358.49983471901351</v>
      </c>
      <c r="V98" s="20">
        <f t="shared" si="21"/>
        <v>418.05813758237923</v>
      </c>
      <c r="W98" s="20">
        <f t="shared" si="21"/>
        <v>444.2119594191438</v>
      </c>
      <c r="X98" s="20">
        <f t="shared" si="21"/>
        <v>469.33498036316786</v>
      </c>
      <c r="Y98" s="20">
        <f t="shared" si="21"/>
        <v>494.51268717194063</v>
      </c>
      <c r="Z98" s="20">
        <f t="shared" si="21"/>
        <v>519.64165462139943</v>
      </c>
      <c r="AA98" s="20">
        <f t="shared" si="21"/>
        <v>544.61882381892099</v>
      </c>
      <c r="AB98" s="20">
        <f t="shared" si="21"/>
        <v>569.34259813805227</v>
      </c>
      <c r="AC98" s="20">
        <f t="shared" si="21"/>
        <v>593.71390124256277</v>
      </c>
      <c r="AD98" s="20">
        <f t="shared" si="21"/>
        <v>617.63718072467509</v>
      </c>
      <c r="AE98" s="20">
        <f t="shared" si="21"/>
        <v>641.02134263266794</v>
      </c>
      <c r="AF98" s="20">
        <f t="shared" si="21"/>
        <v>663.78704592837153</v>
      </c>
      <c r="AG98" s="20">
        <f t="shared" si="21"/>
        <v>685.88850218512493</v>
      </c>
      <c r="AH98" s="20">
        <f t="shared" si="21"/>
        <v>707.29761719493456</v>
      </c>
      <c r="AI98" s="20">
        <f t="shared" si="21"/>
        <v>727.99809918691381</v>
      </c>
      <c r="AJ98" s="20">
        <f t="shared" si="21"/>
        <v>747.98541471077829</v>
      </c>
      <c r="AK98" s="20">
        <f t="shared" si="21"/>
        <v>767.25809498590581</v>
      </c>
      <c r="AL98" s="20">
        <f t="shared" si="21"/>
        <v>785.79024196962598</v>
      </c>
      <c r="AM98" s="20">
        <f t="shared" si="21"/>
        <v>803.55405909599892</v>
      </c>
      <c r="AN98" s="20">
        <f t="shared" si="21"/>
        <v>820.52798142495828</v>
      </c>
      <c r="AO98" s="20">
        <f t="shared" si="21"/>
        <v>836.69665799314123</v>
      </c>
      <c r="AP98" s="20">
        <f t="shared" si="21"/>
        <v>852.05087687215337</v>
      </c>
      <c r="AQ98" s="20">
        <f t="shared" si="21"/>
        <v>866.58743806350822</v>
      </c>
      <c r="AR98" s="20">
        <f t="shared" si="21"/>
        <v>880.30897984724402</v>
      </c>
      <c r="AS98" s="20">
        <f t="shared" si="21"/>
        <v>893.22376455177596</v>
      </c>
      <c r="AT98" s="20">
        <f t="shared" si="21"/>
        <v>905.3454299325017</v>
      </c>
      <c r="AU98" s="20">
        <f t="shared" si="21"/>
        <v>916.69271244395077</v>
      </c>
      <c r="AV98" s="20">
        <f t="shared" si="21"/>
        <v>927.28914867611752</v>
      </c>
      <c r="AW98" s="20">
        <f t="shared" si="21"/>
        <v>937.16276111177194</v>
      </c>
      <c r="AX98" s="20">
        <f t="shared" si="21"/>
        <v>946.34573416179512</v>
      </c>
      <c r="AY98" s="20">
        <f t="shared" si="21"/>
        <v>954.87408616382027</v>
      </c>
      <c r="AZ98" s="20">
        <f t="shared" si="21"/>
        <v>962.78734270000143</v>
      </c>
      <c r="BA98" s="20">
        <f t="shared" si="21"/>
        <v>970.12821621687112</v>
      </c>
      <c r="BB98" s="20">
        <f t="shared" si="21"/>
        <v>976.94229652761851</v>
      </c>
      <c r="BC98" s="20">
        <f t="shared" si="21"/>
        <v>983.27775635803448</v>
      </c>
      <c r="BD98" s="20">
        <f t="shared" si="21"/>
        <v>989.18507567371125</v>
      </c>
      <c r="BE98" s="20">
        <f t="shared" si="21"/>
        <v>994.71678810940125</v>
      </c>
      <c r="BF98" s="20">
        <f t="shared" si="21"/>
        <v>999.92725242152767</v>
      </c>
      <c r="BG98" s="20">
        <f t="shared" si="21"/>
        <v>1004.8724515107679</v>
      </c>
      <c r="BH98" s="20">
        <f t="shared" si="21"/>
        <v>1009.6098212211424</v>
      </c>
      <c r="BI98" s="21">
        <f t="shared" si="21"/>
        <v>1014.1981108219446</v>
      </c>
    </row>
    <row r="99" spans="1:61" x14ac:dyDescent="0.2">
      <c r="A99" s="114" t="s">
        <v>30</v>
      </c>
      <c r="B99" s="14"/>
      <c r="I99" s="20">
        <f>I49+I50</f>
        <v>111.46028951314003</v>
      </c>
      <c r="J99" s="20">
        <f t="shared" ref="J99:BI99" si="22">J49+J50</f>
        <v>120.30787133937859</v>
      </c>
      <c r="K99" s="20">
        <f t="shared" si="22"/>
        <v>141.43053509268847</v>
      </c>
      <c r="L99" s="20">
        <f t="shared" si="22"/>
        <v>159.98361785708192</v>
      </c>
      <c r="M99" s="20">
        <f t="shared" si="22"/>
        <v>167.95873433969678</v>
      </c>
      <c r="N99" s="20">
        <f t="shared" si="22"/>
        <v>172.05530032135397</v>
      </c>
      <c r="O99" s="20">
        <f t="shared" si="22"/>
        <v>181.9600660386933</v>
      </c>
      <c r="P99" s="20">
        <f t="shared" si="22"/>
        <v>194.94534916622629</v>
      </c>
      <c r="Q99" s="20">
        <f t="shared" si="22"/>
        <v>203.22948683917804</v>
      </c>
      <c r="R99" s="20">
        <f t="shared" si="22"/>
        <v>213.07428392840546</v>
      </c>
      <c r="S99" s="20">
        <f t="shared" si="22"/>
        <v>220.22999263419672</v>
      </c>
      <c r="T99" s="20">
        <f t="shared" si="22"/>
        <v>229.27298523539721</v>
      </c>
      <c r="U99" s="20">
        <f t="shared" si="22"/>
        <v>221.1260248388711</v>
      </c>
      <c r="V99" s="20">
        <f t="shared" si="22"/>
        <v>277.87684123406291</v>
      </c>
      <c r="W99" s="20">
        <f t="shared" si="22"/>
        <v>329.30584324697315</v>
      </c>
      <c r="X99" s="20">
        <f t="shared" si="22"/>
        <v>348.28961824004591</v>
      </c>
      <c r="Y99" s="20">
        <f t="shared" si="22"/>
        <v>369.01560577167146</v>
      </c>
      <c r="Z99" s="20">
        <f t="shared" si="22"/>
        <v>391.50987966842285</v>
      </c>
      <c r="AA99" s="20">
        <f t="shared" si="22"/>
        <v>415.7683602184137</v>
      </c>
      <c r="AB99" s="20">
        <f t="shared" si="22"/>
        <v>441.7332007868614</v>
      </c>
      <c r="AC99" s="20">
        <f t="shared" si="22"/>
        <v>469.26724882582027</v>
      </c>
      <c r="AD99" s="20">
        <f t="shared" si="22"/>
        <v>498.12784566954701</v>
      </c>
      <c r="AE99" s="20">
        <f t="shared" si="22"/>
        <v>527.94199509429222</v>
      </c>
      <c r="AF99" s="20">
        <f t="shared" si="22"/>
        <v>558.27576378267986</v>
      </c>
      <c r="AG99" s="20">
        <f t="shared" si="22"/>
        <v>588.94904979813236</v>
      </c>
      <c r="AH99" s="20">
        <f t="shared" si="22"/>
        <v>619.86367399801361</v>
      </c>
      <c r="AI99" s="20">
        <f t="shared" si="22"/>
        <v>650.92987026297101</v>
      </c>
      <c r="AJ99" s="20">
        <f t="shared" si="22"/>
        <v>682.06856731483788</v>
      </c>
      <c r="AK99" s="20">
        <f t="shared" si="22"/>
        <v>713.2038292294244</v>
      </c>
      <c r="AL99" s="20">
        <f t="shared" si="22"/>
        <v>744.2306333960214</v>
      </c>
      <c r="AM99" s="20">
        <f t="shared" si="22"/>
        <v>775.03635627707729</v>
      </c>
      <c r="AN99" s="20">
        <f t="shared" si="22"/>
        <v>805.51041880496734</v>
      </c>
      <c r="AO99" s="20">
        <f t="shared" si="22"/>
        <v>835.54550519666634</v>
      </c>
      <c r="AP99" s="20">
        <f t="shared" si="22"/>
        <v>865.03872114725527</v>
      </c>
      <c r="AQ99" s="20">
        <f t="shared" si="22"/>
        <v>893.8926731679428</v>
      </c>
      <c r="AR99" s="20">
        <f t="shared" si="22"/>
        <v>922.01645331210489</v>
      </c>
      <c r="AS99" s="20">
        <f t="shared" si="22"/>
        <v>949.32651628095118</v>
      </c>
      <c r="AT99" s="20">
        <f t="shared" si="22"/>
        <v>975.7474388230055</v>
      </c>
      <c r="AU99" s="20">
        <f t="shared" si="22"/>
        <v>1001.2125543442178</v>
      </c>
      <c r="AV99" s="20">
        <f t="shared" si="22"/>
        <v>1025.6644586387501</v>
      </c>
      <c r="AW99" s="20">
        <f t="shared" si="22"/>
        <v>1049.0553855527244</v>
      </c>
      <c r="AX99" s="20">
        <f t="shared" si="22"/>
        <v>1071.3474541323944</v>
      </c>
      <c r="AY99" s="20">
        <f t="shared" si="22"/>
        <v>1092.5127913241513</v>
      </c>
      <c r="AZ99" s="20">
        <f t="shared" si="22"/>
        <v>1112.5335365385001</v>
      </c>
      <c r="BA99" s="20">
        <f t="shared" si="22"/>
        <v>1131.4017363287337</v>
      </c>
      <c r="BB99" s="20">
        <f t="shared" si="22"/>
        <v>1149.1191390453871</v>
      </c>
      <c r="BC99" s="20">
        <f t="shared" si="22"/>
        <v>1165.696900599374</v>
      </c>
      <c r="BD99" s="20">
        <f t="shared" si="22"/>
        <v>1181.1552134017852</v>
      </c>
      <c r="BE99" s="20">
        <f t="shared" si="22"/>
        <v>1195.5228711571356</v>
      </c>
      <c r="BF99" s="20">
        <f t="shared" si="22"/>
        <v>1208.8367824899228</v>
      </c>
      <c r="BG99" s="20">
        <f t="shared" si="22"/>
        <v>1221.1414464075658</v>
      </c>
      <c r="BH99" s="20">
        <f t="shared" si="22"/>
        <v>1232.488402378827</v>
      </c>
      <c r="BI99" s="21">
        <f t="shared" si="22"/>
        <v>1242.9356673708153</v>
      </c>
    </row>
    <row r="100" spans="1:61" x14ac:dyDescent="0.2">
      <c r="A100" s="114" t="s">
        <v>31</v>
      </c>
      <c r="B100" s="14"/>
      <c r="I100" s="20">
        <f>I51</f>
        <v>22.452835911654002</v>
      </c>
      <c r="J100" s="20">
        <f t="shared" ref="J100:BI100" si="23">J51</f>
        <v>23.412379173753692</v>
      </c>
      <c r="K100" s="20">
        <f t="shared" si="23"/>
        <v>27.055965524115788</v>
      </c>
      <c r="L100" s="20">
        <f t="shared" si="23"/>
        <v>30.625116401895806</v>
      </c>
      <c r="M100" s="20">
        <f t="shared" si="23"/>
        <v>32.536888744587912</v>
      </c>
      <c r="N100" s="20">
        <f t="shared" si="23"/>
        <v>35.699637404168797</v>
      </c>
      <c r="O100" s="20">
        <f t="shared" si="23"/>
        <v>38.367627851350051</v>
      </c>
      <c r="P100" s="20">
        <f t="shared" si="23"/>
        <v>39.602824835326153</v>
      </c>
      <c r="Q100" s="20">
        <f t="shared" si="23"/>
        <v>41.15991326248249</v>
      </c>
      <c r="R100" s="20">
        <f t="shared" si="23"/>
        <v>45.745408371569674</v>
      </c>
      <c r="S100" s="20">
        <f t="shared" si="23"/>
        <v>50.832278851937239</v>
      </c>
      <c r="T100" s="20">
        <f t="shared" si="23"/>
        <v>55.823300807607737</v>
      </c>
      <c r="U100" s="20">
        <f t="shared" si="23"/>
        <v>52.219430202324659</v>
      </c>
      <c r="V100" s="20">
        <f t="shared" si="23"/>
        <v>57.360679492383881</v>
      </c>
      <c r="W100" s="20">
        <f t="shared" si="23"/>
        <v>65.377607731033848</v>
      </c>
      <c r="X100" s="20">
        <f t="shared" si="23"/>
        <v>68.897422207082471</v>
      </c>
      <c r="Y100" s="20">
        <f t="shared" si="23"/>
        <v>72.143886084815392</v>
      </c>
      <c r="Z100" s="20">
        <f t="shared" si="23"/>
        <v>75.11173880514005</v>
      </c>
      <c r="AA100" s="20">
        <f t="shared" si="23"/>
        <v>77.806689502961845</v>
      </c>
      <c r="AB100" s="20">
        <f t="shared" si="23"/>
        <v>80.244635862186513</v>
      </c>
      <c r="AC100" s="20">
        <f t="shared" si="23"/>
        <v>82.450662351865546</v>
      </c>
      <c r="AD100" s="20">
        <f t="shared" si="23"/>
        <v>84.457936328727158</v>
      </c>
      <c r="AE100" s="20">
        <f t="shared" si="23"/>
        <v>86.30661314009312</v>
      </c>
      <c r="AF100" s="20">
        <f t="shared" si="23"/>
        <v>88.033048402780594</v>
      </c>
      <c r="AG100" s="20">
        <f t="shared" si="23"/>
        <v>89.63814077969225</v>
      </c>
      <c r="AH100" s="20">
        <f t="shared" si="23"/>
        <v>91.113850230604157</v>
      </c>
      <c r="AI100" s="20">
        <f t="shared" si="23"/>
        <v>92.452667293801014</v>
      </c>
      <c r="AJ100" s="20">
        <f t="shared" si="23"/>
        <v>93.647676265649963</v>
      </c>
      <c r="AK100" s="20">
        <f t="shared" si="23"/>
        <v>94.693712924498527</v>
      </c>
      <c r="AL100" s="20">
        <f t="shared" si="23"/>
        <v>95.590797599459606</v>
      </c>
      <c r="AM100" s="20">
        <f t="shared" si="23"/>
        <v>96.340985253564071</v>
      </c>
      <c r="AN100" s="20">
        <f t="shared" si="23"/>
        <v>96.947228530215895</v>
      </c>
      <c r="AO100" s="20">
        <f t="shared" si="23"/>
        <v>97.41330726958239</v>
      </c>
      <c r="AP100" s="20">
        <f t="shared" si="23"/>
        <v>97.743753385717241</v>
      </c>
      <c r="AQ100" s="20">
        <f t="shared" si="23"/>
        <v>97.943772555386076</v>
      </c>
      <c r="AR100" s="20">
        <f t="shared" si="23"/>
        <v>98.01916410243885</v>
      </c>
      <c r="AS100" s="20">
        <f t="shared" si="23"/>
        <v>97.976240373383476</v>
      </c>
      <c r="AT100" s="20">
        <f t="shared" si="23"/>
        <v>97.821746794852828</v>
      </c>
      <c r="AU100" s="20">
        <f t="shared" si="23"/>
        <v>97.56278368613745</v>
      </c>
      <c r="AV100" s="20">
        <f t="shared" si="23"/>
        <v>97.206730773953311</v>
      </c>
      <c r="AW100" s="20">
        <f t="shared" si="23"/>
        <v>96.761175225921477</v>
      </c>
      <c r="AX100" s="20">
        <f t="shared" si="23"/>
        <v>96.233843887350019</v>
      </c>
      <c r="AY100" s="20">
        <f t="shared" si="23"/>
        <v>95.632540275892126</v>
      </c>
      <c r="AZ100" s="20">
        <f t="shared" si="23"/>
        <v>94.965086763194094</v>
      </c>
      <c r="BA100" s="20">
        <f t="shared" si="23"/>
        <v>94.239272253960834</v>
      </c>
      <c r="BB100" s="20">
        <f t="shared" si="23"/>
        <v>93.462805562742147</v>
      </c>
      <c r="BC100" s="20">
        <f t="shared" si="23"/>
        <v>92.643274588556878</v>
      </c>
      <c r="BD100" s="20">
        <f t="shared" si="23"/>
        <v>91.788111298169383</v>
      </c>
      <c r="BE100" s="20">
        <f t="shared" si="23"/>
        <v>90.904562451024589</v>
      </c>
      <c r="BF100" s="20">
        <f t="shared" si="23"/>
        <v>89.999665932790236</v>
      </c>
      <c r="BG100" s="20">
        <f t="shared" si="23"/>
        <v>89.080232510128496</v>
      </c>
      <c r="BH100" s="20">
        <f t="shared" si="23"/>
        <v>88.152832776474185</v>
      </c>
      <c r="BI100" s="21">
        <f t="shared" si="23"/>
        <v>87.223789026762816</v>
      </c>
    </row>
    <row r="101" spans="1:61" x14ac:dyDescent="0.2">
      <c r="A101" s="114" t="s">
        <v>32</v>
      </c>
      <c r="B101" s="14"/>
      <c r="I101" s="20">
        <f>I52</f>
        <v>1466.9497714236093</v>
      </c>
      <c r="J101" s="20">
        <f t="shared" ref="J101:BI101" si="24">J52</f>
        <v>1474.0179441560417</v>
      </c>
      <c r="K101" s="20">
        <f t="shared" si="24"/>
        <v>1588.8989412835126</v>
      </c>
      <c r="L101" s="20">
        <f t="shared" si="24"/>
        <v>1680.9431100365668</v>
      </c>
      <c r="M101" s="20">
        <f t="shared" si="24"/>
        <v>1680.2596337294835</v>
      </c>
      <c r="N101" s="20">
        <f t="shared" si="24"/>
        <v>1695.144439478476</v>
      </c>
      <c r="O101" s="20">
        <f t="shared" si="24"/>
        <v>1660.9369108534145</v>
      </c>
      <c r="P101" s="20">
        <f t="shared" si="24"/>
        <v>1583.6219721367613</v>
      </c>
      <c r="Q101" s="20">
        <f t="shared" si="24"/>
        <v>1619.613841507062</v>
      </c>
      <c r="R101" s="20">
        <f t="shared" si="24"/>
        <v>1767.2620779648926</v>
      </c>
      <c r="S101" s="20">
        <f t="shared" si="24"/>
        <v>1928.5876837904223</v>
      </c>
      <c r="T101" s="20">
        <f t="shared" si="24"/>
        <v>1980.3465919708456</v>
      </c>
      <c r="U101" s="20">
        <f t="shared" si="24"/>
        <v>1952.1155968033461</v>
      </c>
      <c r="V101" s="20">
        <f t="shared" si="24"/>
        <v>2254.0667697181825</v>
      </c>
      <c r="W101" s="20">
        <f t="shared" si="24"/>
        <v>2406.5305171590167</v>
      </c>
      <c r="X101" s="20">
        <f t="shared" si="24"/>
        <v>2542.2661103147866</v>
      </c>
      <c r="Y101" s="20">
        <f t="shared" si="24"/>
        <v>2689.2751828985279</v>
      </c>
      <c r="Z101" s="20">
        <f t="shared" si="24"/>
        <v>2846.4552019788848</v>
      </c>
      <c r="AA101" s="20">
        <f t="shared" si="24"/>
        <v>3012.3026731355926</v>
      </c>
      <c r="AB101" s="20">
        <f t="shared" si="24"/>
        <v>3184.8448316670197</v>
      </c>
      <c r="AC101" s="20">
        <f t="shared" si="24"/>
        <v>3361.5814417770034</v>
      </c>
      <c r="AD101" s="20">
        <f t="shared" si="24"/>
        <v>3539.4432831481349</v>
      </c>
      <c r="AE101" s="20">
        <f t="shared" si="24"/>
        <v>3714.7749639604799</v>
      </c>
      <c r="AF101" s="20">
        <f t="shared" si="24"/>
        <v>3883.8946466369125</v>
      </c>
      <c r="AG101" s="20">
        <f t="shared" si="24"/>
        <v>4044.9615079820628</v>
      </c>
      <c r="AH101" s="20">
        <f t="shared" si="24"/>
        <v>4196.7092691082398</v>
      </c>
      <c r="AI101" s="20">
        <f t="shared" si="24"/>
        <v>4337.968865676763</v>
      </c>
      <c r="AJ101" s="20">
        <f t="shared" si="24"/>
        <v>4467.685052055589</v>
      </c>
      <c r="AK101" s="20">
        <f t="shared" si="24"/>
        <v>4585.0605997869261</v>
      </c>
      <c r="AL101" s="20">
        <f t="shared" si="24"/>
        <v>4689.9816193993011</v>
      </c>
      <c r="AM101" s="20">
        <f t="shared" si="24"/>
        <v>4782.6673216906411</v>
      </c>
      <c r="AN101" s="20">
        <f t="shared" si="24"/>
        <v>4863.5302012261791</v>
      </c>
      <c r="AO101" s="20">
        <f t="shared" si="24"/>
        <v>4933.1567392258048</v>
      </c>
      <c r="AP101" s="20">
        <f t="shared" si="24"/>
        <v>4992.2865509172589</v>
      </c>
      <c r="AQ101" s="20">
        <f t="shared" si="24"/>
        <v>5041.7909087135113</v>
      </c>
      <c r="AR101" s="20">
        <f t="shared" si="24"/>
        <v>5082.651486870709</v>
      </c>
      <c r="AS101" s="20">
        <f t="shared" si="24"/>
        <v>5115.9400682979676</v>
      </c>
      <c r="AT101" s="20">
        <f t="shared" si="24"/>
        <v>5142.7998390359908</v>
      </c>
      <c r="AU101" s="20">
        <f t="shared" si="24"/>
        <v>5164.4287788146576</v>
      </c>
      <c r="AV101" s="20">
        <f t="shared" si="24"/>
        <v>5182.0655440729543</v>
      </c>
      <c r="AW101" s="20">
        <f t="shared" si="24"/>
        <v>5196.9781386004279</v>
      </c>
      <c r="AX101" s="20">
        <f t="shared" si="24"/>
        <v>5210.4555809431185</v>
      </c>
      <c r="AY101" s="20">
        <f t="shared" si="24"/>
        <v>5223.8027101101525</v>
      </c>
      <c r="AZ101" s="20">
        <f t="shared" si="24"/>
        <v>5238.3382240976734</v>
      </c>
      <c r="BA101" s="20">
        <f t="shared" si="24"/>
        <v>5255.3960207211403</v>
      </c>
      <c r="BB101" s="20">
        <f t="shared" si="24"/>
        <v>5276.3299081270989</v>
      </c>
      <c r="BC101" s="20">
        <f t="shared" si="24"/>
        <v>5302.5217738679539</v>
      </c>
      <c r="BD101" s="20">
        <f t="shared" si="24"/>
        <v>5335.3933474310652</v>
      </c>
      <c r="BE101" s="20">
        <f t="shared" si="24"/>
        <v>5376.4217629535378</v>
      </c>
      <c r="BF101" s="20">
        <f t="shared" si="24"/>
        <v>5427.1592286952609</v>
      </c>
      <c r="BG101" s="20">
        <f t="shared" si="24"/>
        <v>5489.2572410865969</v>
      </c>
      <c r="BH101" s="20">
        <f t="shared" si="24"/>
        <v>5564.4959489048624</v>
      </c>
      <c r="BI101" s="21">
        <f t="shared" si="24"/>
        <v>5654.8194847049444</v>
      </c>
    </row>
    <row r="102" spans="1:61" x14ac:dyDescent="0.2">
      <c r="A102" s="114" t="s">
        <v>33</v>
      </c>
      <c r="B102" s="14"/>
      <c r="I102" s="20">
        <f>I53</f>
        <v>87.53053933252626</v>
      </c>
      <c r="J102" s="20">
        <f t="shared" ref="J102:BI102" si="25">J53</f>
        <v>95.08803735377785</v>
      </c>
      <c r="K102" s="20">
        <f t="shared" si="25"/>
        <v>108.87049937819883</v>
      </c>
      <c r="L102" s="20">
        <f t="shared" si="25"/>
        <v>118.31566272018181</v>
      </c>
      <c r="M102" s="20">
        <f t="shared" si="25"/>
        <v>125.81415161256815</v>
      </c>
      <c r="N102" s="20">
        <f t="shared" si="25"/>
        <v>140.31477005110062</v>
      </c>
      <c r="O102" s="20">
        <f t="shared" si="25"/>
        <v>156.72015248722698</v>
      </c>
      <c r="P102" s="20">
        <f t="shared" si="25"/>
        <v>165.1852348132401</v>
      </c>
      <c r="Q102" s="20">
        <f t="shared" si="25"/>
        <v>184.25366435012344</v>
      </c>
      <c r="R102" s="20">
        <f t="shared" si="25"/>
        <v>209.81637237905477</v>
      </c>
      <c r="S102" s="20">
        <f t="shared" si="25"/>
        <v>245.89161153311522</v>
      </c>
      <c r="T102" s="20">
        <f t="shared" si="25"/>
        <v>264.34481065829374</v>
      </c>
      <c r="U102" s="20">
        <f t="shared" si="25"/>
        <v>255.71778339066671</v>
      </c>
      <c r="V102" s="20">
        <f t="shared" si="25"/>
        <v>314.44198403038911</v>
      </c>
      <c r="W102" s="20">
        <f t="shared" si="25"/>
        <v>339.54369713094945</v>
      </c>
      <c r="X102" s="20">
        <f t="shared" si="25"/>
        <v>371.51596587654797</v>
      </c>
      <c r="Y102" s="20">
        <f t="shared" si="25"/>
        <v>407.48003867817476</v>
      </c>
      <c r="Z102" s="20">
        <f t="shared" si="25"/>
        <v>447.48563366768457</v>
      </c>
      <c r="AA102" s="20">
        <f t="shared" si="25"/>
        <v>491.46501938683684</v>
      </c>
      <c r="AB102" s="20">
        <f t="shared" si="25"/>
        <v>539.1923696419567</v>
      </c>
      <c r="AC102" s="20">
        <f t="shared" si="25"/>
        <v>590.24093943447133</v>
      </c>
      <c r="AD102" s="20">
        <f t="shared" si="25"/>
        <v>643.94124174452645</v>
      </c>
      <c r="AE102" s="20">
        <f t="shared" si="25"/>
        <v>699.34476308221815</v>
      </c>
      <c r="AF102" s="20">
        <f t="shared" si="25"/>
        <v>755.36274650895973</v>
      </c>
      <c r="AG102" s="20">
        <f t="shared" si="25"/>
        <v>811.34655725697087</v>
      </c>
      <c r="AH102" s="20">
        <f t="shared" si="25"/>
        <v>866.77306002376554</v>
      </c>
      <c r="AI102" s="20">
        <f t="shared" si="25"/>
        <v>921.11563520109553</v>
      </c>
      <c r="AJ102" s="20">
        <f t="shared" si="25"/>
        <v>973.8548182489692</v>
      </c>
      <c r="AK102" s="20">
        <f t="shared" si="25"/>
        <v>1024.525821410861</v>
      </c>
      <c r="AL102" s="20">
        <f t="shared" si="25"/>
        <v>1072.8537303066578</v>
      </c>
      <c r="AM102" s="20">
        <f t="shared" si="25"/>
        <v>1118.6727770821485</v>
      </c>
      <c r="AN102" s="20">
        <f t="shared" si="25"/>
        <v>1161.8942483907056</v>
      </c>
      <c r="AO102" s="20">
        <f t="shared" si="25"/>
        <v>1202.5056992680347</v>
      </c>
      <c r="AP102" s="20">
        <f t="shared" si="25"/>
        <v>1240.5684309068408</v>
      </c>
      <c r="AQ102" s="20">
        <f t="shared" si="25"/>
        <v>1276.2136309782575</v>
      </c>
      <c r="AR102" s="20">
        <f t="shared" si="25"/>
        <v>1309.6375998638589</v>
      </c>
      <c r="AS102" s="20">
        <f t="shared" si="25"/>
        <v>1341.096488722507</v>
      </c>
      <c r="AT102" s="20">
        <f t="shared" si="25"/>
        <v>1370.9009604085031</v>
      </c>
      <c r="AU102" s="20">
        <f t="shared" si="25"/>
        <v>1399.4111571672731</v>
      </c>
      <c r="AV102" s="20">
        <f t="shared" si="25"/>
        <v>1427.0323252021328</v>
      </c>
      <c r="AW102" s="20">
        <f t="shared" si="25"/>
        <v>1454.2114108920427</v>
      </c>
      <c r="AX102" s="20">
        <f t="shared" si="25"/>
        <v>1481.4349115143871</v>
      </c>
      <c r="AY102" s="20">
        <f t="shared" si="25"/>
        <v>1509.2282391816614</v>
      </c>
      <c r="AZ102" s="20">
        <f t="shared" si="25"/>
        <v>1538.156844280735</v>
      </c>
      <c r="BA102" s="20">
        <f t="shared" si="25"/>
        <v>1568.8293476441011</v>
      </c>
      <c r="BB102" s="20">
        <f t="shared" si="25"/>
        <v>1601.902952547118</v>
      </c>
      <c r="BC102" s="20">
        <f t="shared" si="25"/>
        <v>1638.0914522302937</v>
      </c>
      <c r="BD102" s="20">
        <f t="shared" si="25"/>
        <v>1678.1762204867841</v>
      </c>
      <c r="BE102" s="20">
        <f t="shared" si="25"/>
        <v>1723.0206776411553</v>
      </c>
      <c r="BF102" s="20">
        <f t="shared" si="25"/>
        <v>1773.5888695781643</v>
      </c>
      <c r="BG102" s="20">
        <f t="shared" si="25"/>
        <v>1830.9689937322148</v>
      </c>
      <c r="BH102" s="20">
        <f t="shared" si="25"/>
        <v>1896.4029674232729</v>
      </c>
      <c r="BI102" s="21">
        <f t="shared" si="25"/>
        <v>1971.3234804294707</v>
      </c>
    </row>
    <row r="103" spans="1:61" x14ac:dyDescent="0.2">
      <c r="A103" s="115" t="s">
        <v>34</v>
      </c>
      <c r="B103" s="15"/>
      <c r="C103" s="45"/>
      <c r="D103" s="45"/>
      <c r="E103" s="45"/>
      <c r="F103" s="45"/>
      <c r="G103" s="45"/>
      <c r="H103" s="45"/>
      <c r="I103" s="26">
        <f>I54</f>
        <v>106.41260783441682</v>
      </c>
      <c r="J103" s="26">
        <f t="shared" ref="J103:BI103" si="26">J54</f>
        <v>106.01747682394466</v>
      </c>
      <c r="K103" s="26">
        <f t="shared" si="26"/>
        <v>108.72061703685718</v>
      </c>
      <c r="L103" s="26">
        <f t="shared" si="26"/>
        <v>112.09366041509065</v>
      </c>
      <c r="M103" s="26">
        <f t="shared" si="26"/>
        <v>111.51452051101201</v>
      </c>
      <c r="N103" s="26">
        <f t="shared" si="26"/>
        <v>113.03205913023037</v>
      </c>
      <c r="O103" s="26">
        <f t="shared" si="26"/>
        <v>116.38619015098108</v>
      </c>
      <c r="P103" s="26">
        <f t="shared" si="26"/>
        <v>116.59976918770862</v>
      </c>
      <c r="Q103" s="26">
        <f t="shared" si="26"/>
        <v>121.7531333299423</v>
      </c>
      <c r="R103" s="26">
        <f t="shared" si="26"/>
        <v>133.96162549530575</v>
      </c>
      <c r="S103" s="26">
        <f t="shared" si="26"/>
        <v>142.45560376808243</v>
      </c>
      <c r="T103" s="26">
        <f t="shared" si="26"/>
        <v>148.20170190389067</v>
      </c>
      <c r="U103" s="26">
        <f t="shared" si="26"/>
        <v>150.38995216573491</v>
      </c>
      <c r="V103" s="26">
        <f t="shared" si="26"/>
        <v>171.45992894014705</v>
      </c>
      <c r="W103" s="26">
        <f t="shared" si="26"/>
        <v>178.87718995463754</v>
      </c>
      <c r="X103" s="26">
        <f t="shared" si="26"/>
        <v>188.62045461426217</v>
      </c>
      <c r="Y103" s="26">
        <f t="shared" si="26"/>
        <v>199.15106833089223</v>
      </c>
      <c r="Z103" s="26">
        <f t="shared" si="26"/>
        <v>210.38559939335096</v>
      </c>
      <c r="AA103" s="26">
        <f t="shared" si="26"/>
        <v>222.21244649354222</v>
      </c>
      <c r="AB103" s="26">
        <f t="shared" si="26"/>
        <v>234.48725373603881</v>
      </c>
      <c r="AC103" s="26">
        <f t="shared" si="26"/>
        <v>247.0290761302789</v>
      </c>
      <c r="AD103" s="26">
        <f t="shared" si="26"/>
        <v>259.61774211325553</v>
      </c>
      <c r="AE103" s="26">
        <f t="shared" si="26"/>
        <v>271.99292640200559</v>
      </c>
      <c r="AF103" s="26">
        <f t="shared" si="26"/>
        <v>283.89410656836003</v>
      </c>
      <c r="AG103" s="26">
        <f t="shared" si="26"/>
        <v>295.19270665699668</v>
      </c>
      <c r="AH103" s="26">
        <f t="shared" si="26"/>
        <v>305.8013470359561</v>
      </c>
      <c r="AI103" s="26">
        <f t="shared" si="26"/>
        <v>315.63978281564636</v>
      </c>
      <c r="AJ103" s="26">
        <f t="shared" si="26"/>
        <v>324.63601183411203</v>
      </c>
      <c r="AK103" s="26">
        <f t="shared" si="26"/>
        <v>332.73652317216334</v>
      </c>
      <c r="AL103" s="26">
        <f t="shared" si="26"/>
        <v>339.9365908606211</v>
      </c>
      <c r="AM103" s="26">
        <f t="shared" si="26"/>
        <v>346.25496806831859</v>
      </c>
      <c r="AN103" s="26">
        <f t="shared" si="26"/>
        <v>351.72380939473635</v>
      </c>
      <c r="AO103" s="26">
        <f t="shared" si="26"/>
        <v>356.38726516032278</v>
      </c>
      <c r="AP103" s="26">
        <f t="shared" si="26"/>
        <v>360.29997946587446</v>
      </c>
      <c r="AQ103" s="26">
        <f t="shared" si="26"/>
        <v>363.52555596711466</v>
      </c>
      <c r="AR103" s="26">
        <f t="shared" si="26"/>
        <v>366.13504899187114</v>
      </c>
      <c r="AS103" s="26">
        <f t="shared" si="26"/>
        <v>368.20553009051253</v>
      </c>
      <c r="AT103" s="26">
        <f t="shared" si="26"/>
        <v>369.81877197121736</v>
      </c>
      <c r="AU103" s="26">
        <f t="shared" si="26"/>
        <v>371.06008357984081</v>
      </c>
      <c r="AV103" s="26">
        <f t="shared" si="26"/>
        <v>372.0173223056608</v>
      </c>
      <c r="AW103" s="26">
        <f t="shared" si="26"/>
        <v>372.78010230415305</v>
      </c>
      <c r="AX103" s="26">
        <f t="shared" si="26"/>
        <v>373.4392120112999</v>
      </c>
      <c r="AY103" s="26">
        <f t="shared" si="26"/>
        <v>374.08624928374547</v>
      </c>
      <c r="AZ103" s="26">
        <f t="shared" si="26"/>
        <v>374.81347936954802</v>
      </c>
      <c r="BA103" s="26">
        <f t="shared" si="26"/>
        <v>375.71391917727027</v>
      </c>
      <c r="BB103" s="26">
        <f t="shared" si="26"/>
        <v>376.88165111527513</v>
      </c>
      <c r="BC103" s="26">
        <f t="shared" si="26"/>
        <v>378.41237115405625</v>
      </c>
      <c r="BD103" s="26">
        <f t="shared" si="26"/>
        <v>380.40417876598161</v>
      </c>
      <c r="BE103" s="26">
        <f t="shared" si="26"/>
        <v>382.95862109269723</v>
      </c>
      <c r="BF103" s="26">
        <f t="shared" si="26"/>
        <v>386.18201020738377</v>
      </c>
      <c r="BG103" s="26">
        <f t="shared" si="26"/>
        <v>390.18704088212377</v>
      </c>
      <c r="BH103" s="26">
        <f t="shared" si="26"/>
        <v>395.09474715182535</v>
      </c>
      <c r="BI103" s="27">
        <f t="shared" si="26"/>
        <v>401.03684963932193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43B0F-7AA7-44FD-A0E7-1AA990A52865}">
  <dimension ref="A1:T126"/>
  <sheetViews>
    <sheetView zoomScale="90" zoomScaleNormal="90" workbookViewId="0">
      <selection activeCell="D5" sqref="D5"/>
    </sheetView>
  </sheetViews>
  <sheetFormatPr defaultRowHeight="14.25" x14ac:dyDescent="0.2"/>
  <cols>
    <col min="1" max="1" width="18.375" customWidth="1"/>
    <col min="2" max="2" width="24.875" style="124" customWidth="1"/>
    <col min="3" max="4" width="15.625" style="124" customWidth="1"/>
    <col min="5" max="10" width="17" style="124" customWidth="1"/>
    <col min="11" max="18" width="17" customWidth="1"/>
    <col min="19" max="19" width="16.25" customWidth="1"/>
    <col min="20" max="20" width="10.5" bestFit="1" customWidth="1"/>
  </cols>
  <sheetData>
    <row r="1" spans="1:7" x14ac:dyDescent="0.2">
      <c r="A1" s="180" t="s">
        <v>159</v>
      </c>
      <c r="B1" s="181"/>
      <c r="C1" s="151"/>
      <c r="D1" s="151"/>
    </row>
    <row r="2" spans="1:7" x14ac:dyDescent="0.2">
      <c r="A2" s="149"/>
      <c r="B2" s="150" t="s">
        <v>201</v>
      </c>
    </row>
    <row r="3" spans="1:7" x14ac:dyDescent="0.2">
      <c r="A3" s="62" t="s">
        <v>161</v>
      </c>
      <c r="B3" s="126">
        <v>5.2999999999999999E-2</v>
      </c>
    </row>
    <row r="4" spans="1:7" x14ac:dyDescent="0.2">
      <c r="A4" s="62" t="s">
        <v>199</v>
      </c>
      <c r="B4" s="126">
        <v>0.05</v>
      </c>
    </row>
    <row r="5" spans="1:7" x14ac:dyDescent="0.2">
      <c r="A5" s="62" t="s">
        <v>200</v>
      </c>
      <c r="B5" s="126">
        <v>3.5999999999999997E-2</v>
      </c>
    </row>
    <row r="6" spans="1:7" x14ac:dyDescent="0.2">
      <c r="A6" s="62" t="s">
        <v>162</v>
      </c>
      <c r="B6" s="126">
        <v>2.5999999999999999E-2</v>
      </c>
    </row>
    <row r="7" spans="1:7" x14ac:dyDescent="0.2">
      <c r="A7" s="62" t="s">
        <v>208</v>
      </c>
      <c r="B7" s="126">
        <v>0.02</v>
      </c>
    </row>
    <row r="8" spans="1:7" x14ac:dyDescent="0.2">
      <c r="A8" s="93" t="s">
        <v>160</v>
      </c>
    </row>
    <row r="9" spans="1:7" x14ac:dyDescent="0.2">
      <c r="A9" s="94" t="s">
        <v>187</v>
      </c>
    </row>
    <row r="10" spans="1:7" x14ac:dyDescent="0.2">
      <c r="A10" s="94" t="s">
        <v>191</v>
      </c>
    </row>
    <row r="11" spans="1:7" x14ac:dyDescent="0.2">
      <c r="A11" s="95" t="s">
        <v>163</v>
      </c>
    </row>
    <row r="13" spans="1:7" x14ac:dyDescent="0.2">
      <c r="A13" s="177" t="s">
        <v>164</v>
      </c>
      <c r="B13" s="178"/>
      <c r="C13" s="178"/>
      <c r="D13" s="178"/>
      <c r="E13" s="178"/>
      <c r="F13" s="179"/>
      <c r="G13" s="130"/>
    </row>
    <row r="14" spans="1:7" x14ac:dyDescent="0.2">
      <c r="A14" s="62"/>
      <c r="B14" s="125" t="s">
        <v>165</v>
      </c>
      <c r="C14" s="125" t="s">
        <v>166</v>
      </c>
      <c r="D14" s="125" t="s">
        <v>168</v>
      </c>
      <c r="E14" s="125" t="s">
        <v>169</v>
      </c>
      <c r="F14" s="125" t="s">
        <v>167</v>
      </c>
    </row>
    <row r="15" spans="1:7" x14ac:dyDescent="0.2">
      <c r="A15" s="97">
        <v>2025</v>
      </c>
      <c r="B15" s="126">
        <f>1-C15-F15</f>
        <v>7.3999999999999955E-2</v>
      </c>
      <c r="C15" s="126">
        <f>SUM(D15:E15)</f>
        <v>0.38600000000000001</v>
      </c>
      <c r="D15" s="126">
        <v>0.318</v>
      </c>
      <c r="E15" s="126">
        <v>6.8000000000000005E-2</v>
      </c>
      <c r="F15" s="126">
        <v>0.54</v>
      </c>
      <c r="G15" s="152"/>
    </row>
    <row r="16" spans="1:7" x14ac:dyDescent="0.2">
      <c r="A16" s="97">
        <v>2030</v>
      </c>
      <c r="B16" s="126">
        <f t="shared" ref="B16:B17" si="0">1-C16-F16</f>
        <v>7.2000000000000064E-2</v>
      </c>
      <c r="C16" s="126">
        <f>SUM(D16:E16)</f>
        <v>0.35799999999999998</v>
      </c>
      <c r="D16" s="126">
        <v>0.29299999999999998</v>
      </c>
      <c r="E16" s="126">
        <v>6.5000000000000002E-2</v>
      </c>
      <c r="F16" s="126">
        <v>0.56999999999999995</v>
      </c>
      <c r="G16" s="152"/>
    </row>
    <row r="17" spans="1:20" x14ac:dyDescent="0.2">
      <c r="A17" s="97">
        <v>2035</v>
      </c>
      <c r="B17" s="126">
        <f t="shared" si="0"/>
        <v>6.5000000000000058E-2</v>
      </c>
      <c r="C17" s="126">
        <f t="shared" ref="C17:C18" si="1">SUM(D17:E17)</f>
        <v>0.33500000000000002</v>
      </c>
      <c r="D17" s="126">
        <v>0.27500000000000002</v>
      </c>
      <c r="E17" s="126">
        <v>0.06</v>
      </c>
      <c r="F17" s="126">
        <v>0.6</v>
      </c>
      <c r="G17" s="152"/>
    </row>
    <row r="18" spans="1:20" x14ac:dyDescent="0.2">
      <c r="A18" s="97">
        <v>2050</v>
      </c>
      <c r="B18" s="126">
        <f t="shared" ref="B18" si="2">1-C18-F18</f>
        <v>5.799999999999994E-2</v>
      </c>
      <c r="C18" s="126">
        <f t="shared" si="1"/>
        <v>0.26</v>
      </c>
      <c r="D18" s="126">
        <v>0.20799999999999999</v>
      </c>
      <c r="E18" s="126">
        <v>5.1999999999999998E-2</v>
      </c>
      <c r="F18" s="126">
        <v>0.68200000000000005</v>
      </c>
      <c r="G18" s="152"/>
    </row>
    <row r="19" spans="1:20" x14ac:dyDescent="0.2">
      <c r="A19" s="97">
        <v>2060</v>
      </c>
      <c r="B19" s="126">
        <f>1-C19-F19</f>
        <v>5.2000000000000046E-2</v>
      </c>
      <c r="C19" s="126">
        <f>SUM(D19:E19)</f>
        <v>0.23799999999999999</v>
      </c>
      <c r="D19" s="126">
        <v>0.188</v>
      </c>
      <c r="E19" s="126">
        <v>0.05</v>
      </c>
      <c r="F19" s="126">
        <v>0.71</v>
      </c>
      <c r="G19" s="152"/>
    </row>
    <row r="20" spans="1:20" x14ac:dyDescent="0.2">
      <c r="A20" s="94" t="s">
        <v>160</v>
      </c>
    </row>
    <row r="21" spans="1:20" x14ac:dyDescent="0.2">
      <c r="A21" s="94" t="s">
        <v>190</v>
      </c>
    </row>
    <row r="22" spans="1:20" x14ac:dyDescent="0.2">
      <c r="A22" s="94" t="s">
        <v>188</v>
      </c>
    </row>
    <row r="23" spans="1:20" x14ac:dyDescent="0.2">
      <c r="A23" s="94" t="s">
        <v>189</v>
      </c>
    </row>
    <row r="26" spans="1:20" x14ac:dyDescent="0.2">
      <c r="A26" s="182" t="s">
        <v>219</v>
      </c>
      <c r="B26" s="182"/>
      <c r="C26" s="127"/>
      <c r="D26" s="127"/>
      <c r="E26" s="127"/>
      <c r="F26" s="127"/>
      <c r="G26" s="127"/>
      <c r="H26" s="127"/>
      <c r="I26" s="127"/>
      <c r="J26" s="127"/>
      <c r="K26" s="127"/>
      <c r="L26" s="127"/>
      <c r="M26" s="127"/>
      <c r="N26" s="128"/>
      <c r="O26" s="154"/>
      <c r="P26" s="154"/>
      <c r="Q26" s="154"/>
      <c r="R26" s="154"/>
      <c r="S26" s="154"/>
    </row>
    <row r="27" spans="1:20" x14ac:dyDescent="0.2">
      <c r="A27" s="62"/>
      <c r="B27" s="97"/>
      <c r="C27" s="170" t="s">
        <v>274</v>
      </c>
      <c r="D27" s="171" t="s">
        <v>275</v>
      </c>
      <c r="E27" s="171" t="s">
        <v>276</v>
      </c>
      <c r="F27" s="171" t="s">
        <v>277</v>
      </c>
      <c r="G27" s="171" t="s">
        <v>278</v>
      </c>
      <c r="H27" s="171" t="s">
        <v>279</v>
      </c>
      <c r="I27" s="171" t="s">
        <v>280</v>
      </c>
      <c r="J27" s="171" t="s">
        <v>281</v>
      </c>
      <c r="K27" s="171" t="s">
        <v>282</v>
      </c>
      <c r="L27" s="171" t="s">
        <v>283</v>
      </c>
      <c r="M27" s="171" t="s">
        <v>284</v>
      </c>
      <c r="N27" s="171" t="s">
        <v>285</v>
      </c>
      <c r="O27" s="171" t="s">
        <v>220</v>
      </c>
      <c r="P27" s="171" t="s">
        <v>221</v>
      </c>
      <c r="Q27" s="171" t="s">
        <v>222</v>
      </c>
      <c r="R27" s="171" t="s">
        <v>223</v>
      </c>
      <c r="S27" s="171" t="s">
        <v>224</v>
      </c>
    </row>
    <row r="28" spans="1:20" x14ac:dyDescent="0.2">
      <c r="A28" s="62"/>
      <c r="B28" s="97" t="s">
        <v>167</v>
      </c>
      <c r="C28" s="166">
        <f>(VLOOKUP($B28,'增加值 (2001-2060, 2020RMB)'!$A$56:$W$70,20,0)/VLOOKUP($B28,'增加值 (2001-2060, 2020RMB)'!$A$56:$W$70,17,0))^(1/3)-1</f>
        <v>7.8274323441529514E-2</v>
      </c>
      <c r="D28" s="166">
        <f>(VLOOKUP($B28,'增加值 (2001-2060, 2020RMB)'!$A$56:$W$70,23,0)/VLOOKUP($B28,'增加值 (2001-2060, 2020RMB)'!$A$56:$W$70,20,0))^(1/3)-1</f>
        <v>3.5189477967090044E-2</v>
      </c>
      <c r="E28" s="166"/>
      <c r="F28" s="166"/>
      <c r="G28" s="166"/>
      <c r="H28" s="166"/>
      <c r="I28" s="166"/>
      <c r="J28" s="166">
        <f>('增加值 (2001-2060, 2020RMB)'!Z56/'增加值 (2001-2060, 2020RMB)'!W56)^(1/3)-1</f>
        <v>6.4478925499093176E-2</v>
      </c>
      <c r="K28" s="166">
        <f>('增加值 (2001-2060, 2020RMB)'!AE56/'增加值 (2001-2060, 2020RMB)'!Z56)^0.2-1</f>
        <v>6.1415726892868339E-2</v>
      </c>
      <c r="L28" s="166">
        <f>('增加值 (2001-2060, 2020RMB)'!AJ56/'增加值 (2001-2060, 2020RMB)'!AE56)^0.2-1</f>
        <v>4.668267185338193E-2</v>
      </c>
      <c r="M28" s="166">
        <f>('增加值 (2001-2060, 2020RMB)'!AY56/'增加值 (2001-2060, 2020RMB)'!AJ56)^(1/15)-1</f>
        <v>3.4799560824759324E-2</v>
      </c>
      <c r="N28" s="166">
        <f>('增加值 (2001-2060, 2020RMB)'!BI56/'增加值 (2001-2060, 2020RMB)'!AY56)^0.1-1</f>
        <v>1.5141974774217415E-2</v>
      </c>
      <c r="O28" s="169">
        <f>SUM(O29:O42)</f>
        <v>721139.94921765383</v>
      </c>
      <c r="P28" s="169">
        <f>SUM(P29:P42)</f>
        <v>969229.54948537564</v>
      </c>
      <c r="Q28" s="169">
        <f>SUM(Q29:Q42)</f>
        <v>1266130.8120914169</v>
      </c>
      <c r="R28" s="169">
        <f>SUM(R29:R42)</f>
        <v>2584528.2490330962</v>
      </c>
      <c r="S28" s="169">
        <f>SUM(S29:S42)</f>
        <v>3546701.8789289407</v>
      </c>
      <c r="T28" s="174">
        <f>'增加值 (2001-2060, 2020RMB)'!Z56/O28</f>
        <v>0.98941453831198667</v>
      </c>
    </row>
    <row r="29" spans="1:20" x14ac:dyDescent="0.2">
      <c r="A29" s="62" t="s">
        <v>272</v>
      </c>
      <c r="B29" s="62" t="s">
        <v>193</v>
      </c>
      <c r="C29" s="166">
        <f>(VLOOKUP($B29,'增加值 (2001-2060, 2020RMB)'!$A$56:$W$70,20,0)/VLOOKUP($B29,'增加值 (2001-2060, 2020RMB)'!$A$56:$W$70,17,0))^(1/3)-1</f>
        <v>5.8758080155827841E-2</v>
      </c>
      <c r="D29" s="166">
        <f>(VLOOKUP($B29,'增加值 (2001-2060, 2020RMB)'!$A$56:$W$70,23,0)/VLOOKUP($B29,'增加值 (2001-2060, 2020RMB)'!$A$56:$W$70,20,0))^(1/3)-1</f>
        <v>3.6529505831279563E-2</v>
      </c>
      <c r="E29" s="167">
        <v>0.8</v>
      </c>
      <c r="F29" s="167">
        <v>0.7</v>
      </c>
      <c r="G29" s="167">
        <v>0.6</v>
      </c>
      <c r="H29" s="167">
        <v>0.5</v>
      </c>
      <c r="I29" s="167">
        <v>0.5</v>
      </c>
      <c r="J29" s="129">
        <f>$C29*E29</f>
        <v>4.7006464124662278E-2</v>
      </c>
      <c r="K29" s="129">
        <f t="shared" ref="K29:N42" si="3">$C29*F29</f>
        <v>4.1130656109079483E-2</v>
      </c>
      <c r="L29" s="129">
        <f t="shared" si="3"/>
        <v>3.5254848093496702E-2</v>
      </c>
      <c r="M29" s="129">
        <f t="shared" si="3"/>
        <v>2.937904007791392E-2</v>
      </c>
      <c r="N29" s="129">
        <f t="shared" si="3"/>
        <v>2.937904007791392E-2</v>
      </c>
      <c r="O29" s="169">
        <f>VLOOKUP($B29,'增加值 (2001-2060, 2020RMB)'!$A$56:$BI$70,23,0)*(1+J29)^3</f>
        <v>122907.9408251643</v>
      </c>
      <c r="P29" s="169">
        <f>VLOOKUP($B29,'增加值 (2001-2060, 2020RMB)'!$A$56:$BI$70,26,0)*(1+K29)^5</f>
        <v>148759.39470072481</v>
      </c>
      <c r="Q29" s="169">
        <f>VLOOKUP($B29,'增加值 (2001-2060, 2020RMB)'!$A$56:$BI$70,31,0)*(1+L29)^5</f>
        <v>175436.33858361241</v>
      </c>
      <c r="R29" s="169">
        <f>VLOOKUP($B29,'增加值 (2001-2060, 2020RMB)'!$A$56:$BI$70,36,0)*(1+M29)^15</f>
        <v>258327.95024589833</v>
      </c>
      <c r="S29" s="169">
        <f>VLOOKUP($B29,'增加值 (2001-2060, 2020RMB)'!$A$56:$BI$70,51,0)*(1+N29)^10</f>
        <v>269331.69619413227</v>
      </c>
      <c r="T29">
        <f>O29*$T$28</f>
        <v>121606.90352640692</v>
      </c>
    </row>
    <row r="30" spans="1:20" x14ac:dyDescent="0.2">
      <c r="A30" s="62"/>
      <c r="B30" s="62" t="s">
        <v>194</v>
      </c>
      <c r="C30" s="166">
        <f>(VLOOKUP($B30,'增加值 (2001-2060, 2020RMB)'!$A$56:$W$70,20,0)/VLOOKUP($B30,'增加值 (2001-2060, 2020RMB)'!$A$56:$W$70,17,0))^(1/3)-1</f>
        <v>6.3696595965439418E-2</v>
      </c>
      <c r="D30" s="166">
        <f>(VLOOKUP($B30,'增加值 (2001-2060, 2020RMB)'!$A$56:$W$70,23,0)/VLOOKUP($B30,'增加值 (2001-2060, 2020RMB)'!$A$56:$W$70,20,0))^(1/3)-1</f>
        <v>-2.4710709867632796E-2</v>
      </c>
      <c r="E30" s="167">
        <v>0.8</v>
      </c>
      <c r="F30" s="167">
        <v>0.7</v>
      </c>
      <c r="G30" s="167">
        <v>0.6</v>
      </c>
      <c r="H30" s="167">
        <v>0.5</v>
      </c>
      <c r="I30" s="167">
        <v>0.5</v>
      </c>
      <c r="J30" s="129">
        <f t="shared" ref="J30:J42" si="4">$C30*E30</f>
        <v>5.095727677235154E-2</v>
      </c>
      <c r="K30" s="129">
        <f t="shared" si="3"/>
        <v>4.4587617175807587E-2</v>
      </c>
      <c r="L30" s="129">
        <f t="shared" si="3"/>
        <v>3.8217957579263648E-2</v>
      </c>
      <c r="M30" s="129">
        <f t="shared" si="3"/>
        <v>3.1848297982719709E-2</v>
      </c>
      <c r="N30" s="129">
        <f t="shared" si="3"/>
        <v>3.1848297982719709E-2</v>
      </c>
      <c r="O30" s="169">
        <f>VLOOKUP($B30,'增加值 (2001-2060, 2020RMB)'!$A$56:$BI$70,23,0)*(1+J30)^3</f>
        <v>19381.240599180215</v>
      </c>
      <c r="P30" s="169">
        <f>VLOOKUP($B30,'增加值 (2001-2060, 2020RMB)'!$A$56:$BI$70,26,0)*(1+K30)^5</f>
        <v>23849.771741249162</v>
      </c>
      <c r="Q30" s="169">
        <f>VLOOKUP($B30,'增加值 (2001-2060, 2020RMB)'!$A$56:$BI$70,31,0)*(1+L30)^5</f>
        <v>28531.571721792254</v>
      </c>
      <c r="R30" s="169">
        <f>VLOOKUP($B30,'增加值 (2001-2060, 2020RMB)'!$A$56:$BI$70,36,0)*(1+M30)^15</f>
        <v>43549.733952449904</v>
      </c>
      <c r="S30" s="169">
        <f>VLOOKUP($B30,'增加值 (2001-2060, 2020RMB)'!$A$56:$BI$70,51,0)*(1+N30)^10</f>
        <v>46505.774950361229</v>
      </c>
      <c r="T30">
        <f t="shared" ref="T30:T42" si="5">O30*$T$28</f>
        <v>19176.081219351425</v>
      </c>
    </row>
    <row r="31" spans="1:20" x14ac:dyDescent="0.2">
      <c r="B31" s="62" t="s">
        <v>206</v>
      </c>
      <c r="C31" s="166">
        <f>(VLOOKUP($B31,'增加值 (2001-2060, 2020RMB)'!$A$56:$W$70,20,0)/VLOOKUP($B31,'增加值 (2001-2060, 2020RMB)'!$A$56:$W$70,17,0))^(1/3)-1</f>
        <v>5.5573901176045437E-2</v>
      </c>
      <c r="D31" s="166">
        <f>(VLOOKUP($B31,'增加值 (2001-2060, 2020RMB)'!$A$56:$W$70,23,0)/VLOOKUP($B31,'增加值 (2001-2060, 2020RMB)'!$A$56:$W$70,20,0))^(1/3)-1</f>
        <v>2.8524195486400394E-2</v>
      </c>
      <c r="E31" s="167">
        <v>0.8</v>
      </c>
      <c r="F31" s="167">
        <v>0.7</v>
      </c>
      <c r="G31" s="167">
        <v>0.6</v>
      </c>
      <c r="H31" s="167">
        <v>0.5</v>
      </c>
      <c r="I31" s="167">
        <v>0.5</v>
      </c>
      <c r="J31" s="129">
        <f t="shared" si="4"/>
        <v>4.4459120940836351E-2</v>
      </c>
      <c r="K31" s="129">
        <f t="shared" si="3"/>
        <v>3.8901730823231805E-2</v>
      </c>
      <c r="L31" s="129">
        <f t="shared" si="3"/>
        <v>3.3344340705627258E-2</v>
      </c>
      <c r="M31" s="129">
        <f t="shared" si="3"/>
        <v>2.7786950588022719E-2</v>
      </c>
      <c r="N31" s="129">
        <f t="shared" si="3"/>
        <v>2.7786950588022719E-2</v>
      </c>
      <c r="O31" s="169">
        <f>VLOOKUP($B31,'增加值 (2001-2060, 2020RMB)'!$A$56:$BI$70,23,0)*(1+J31)^3</f>
        <v>52924.905015562472</v>
      </c>
      <c r="P31" s="169">
        <f>VLOOKUP($B31,'增加值 (2001-2060, 2020RMB)'!$A$56:$BI$70,26,0)*(1+K31)^5</f>
        <v>63373.94226250553</v>
      </c>
      <c r="Q31" s="169">
        <f>VLOOKUP($B31,'增加值 (2001-2060, 2020RMB)'!$A$56:$BI$70,31,0)*(1+L31)^5</f>
        <v>74051.6667275605</v>
      </c>
      <c r="R31" s="169">
        <f>VLOOKUP($B31,'增加值 (2001-2060, 2020RMB)'!$A$56:$BI$70,36,0)*(1+M31)^15</f>
        <v>106537.70947477652</v>
      </c>
      <c r="S31" s="169">
        <f>VLOOKUP($B31,'增加值 (2001-2060, 2020RMB)'!$A$56:$BI$70,51,0)*(1+N31)^10</f>
        <v>109369.74675376172</v>
      </c>
      <c r="T31">
        <f t="shared" si="5"/>
        <v>52364.670461178488</v>
      </c>
    </row>
    <row r="32" spans="1:20" x14ac:dyDescent="0.2">
      <c r="A32" s="62" t="s">
        <v>273</v>
      </c>
      <c r="B32" s="62" t="s">
        <v>58</v>
      </c>
      <c r="C32" s="166">
        <f>(VLOOKUP($B32,'增加值 (2001-2060, 2020RMB)'!$A$56:$W$70,20,0)/VLOOKUP($B32,'增加值 (2001-2060, 2020RMB)'!$A$56:$W$70,17,0))^(1/3)-1</f>
        <v>5.1691957445564096E-2</v>
      </c>
      <c r="D32" s="166">
        <f>(VLOOKUP($B32,'增加值 (2001-2060, 2020RMB)'!$A$56:$W$70,23,0)/VLOOKUP($B32,'增加值 (2001-2060, 2020RMB)'!$A$56:$W$70,20,0))^(1/3)-1</f>
        <v>5.7014546537245137E-2</v>
      </c>
      <c r="E32" s="167">
        <v>1</v>
      </c>
      <c r="F32" s="167">
        <v>1</v>
      </c>
      <c r="G32" s="167">
        <v>0.8</v>
      </c>
      <c r="H32" s="167">
        <v>0.5</v>
      </c>
      <c r="I32" s="167">
        <v>0.5</v>
      </c>
      <c r="J32" s="129">
        <f t="shared" si="4"/>
        <v>5.1691957445564096E-2</v>
      </c>
      <c r="K32" s="129">
        <f t="shared" si="3"/>
        <v>5.1691957445564096E-2</v>
      </c>
      <c r="L32" s="129">
        <f t="shared" si="3"/>
        <v>4.1353565956451281E-2</v>
      </c>
      <c r="M32" s="129">
        <f t="shared" si="3"/>
        <v>2.5845978722782048E-2</v>
      </c>
      <c r="N32" s="129">
        <f t="shared" si="3"/>
        <v>2.5845978722782048E-2</v>
      </c>
      <c r="O32" s="169">
        <f>VLOOKUP($B32,'增加值 (2001-2060, 2020RMB)'!$A$56:$BI$70,23,0)*(1+J32)^3</f>
        <v>105305.14760304173</v>
      </c>
      <c r="P32" s="169">
        <f>VLOOKUP($B32,'增加值 (2001-2060, 2020RMB)'!$A$56:$BI$70,26,0)*(1+K32)^5</f>
        <v>134051.18349989707</v>
      </c>
      <c r="Q32" s="169">
        <f>VLOOKUP($B32,'增加值 (2001-2060, 2020RMB)'!$A$56:$BI$70,31,0)*(1+L32)^5</f>
        <v>162802.27999799792</v>
      </c>
      <c r="R32" s="169">
        <f>VLOOKUP($B32,'增加值 (2001-2060, 2020RMB)'!$A$56:$BI$70,36,0)*(1+M32)^15</f>
        <v>227674.77502072757</v>
      </c>
      <c r="S32" s="169">
        <f>VLOOKUP($B32,'增加值 (2001-2060, 2020RMB)'!$A$56:$BI$70,51,0)*(1+N32)^10</f>
        <v>229350.33447326405</v>
      </c>
      <c r="T32">
        <f t="shared" si="5"/>
        <v>104190.44399753914</v>
      </c>
    </row>
    <row r="33" spans="1:20" x14ac:dyDescent="0.2">
      <c r="A33" s="62"/>
      <c r="B33" s="62" t="s">
        <v>195</v>
      </c>
      <c r="C33" s="166">
        <f>(VLOOKUP($B33,'增加值 (2001-2060, 2020RMB)'!$A$56:$W$70,20,0)/VLOOKUP($B33,'增加值 (2001-2060, 2020RMB)'!$A$56:$W$70,17,0))^(1/3)-1</f>
        <v>8.8477020211982893E-2</v>
      </c>
      <c r="D33" s="166">
        <f>(VLOOKUP($B33,'增加值 (2001-2060, 2020RMB)'!$A$56:$W$70,23,0)/VLOOKUP($B33,'增加值 (2001-2060, 2020RMB)'!$A$56:$W$70,20,0))^(1/3)-1</f>
        <v>-8.4877901632879338E-3</v>
      </c>
      <c r="E33" s="167">
        <v>0.6</v>
      </c>
      <c r="F33" s="167">
        <v>0.5</v>
      </c>
      <c r="G33" s="167">
        <v>0.4</v>
      </c>
      <c r="H33" s="167">
        <v>0.4</v>
      </c>
      <c r="I33" s="167">
        <v>0.4</v>
      </c>
      <c r="J33" s="129">
        <f t="shared" si="4"/>
        <v>5.3086212127189732E-2</v>
      </c>
      <c r="K33" s="129">
        <f t="shared" si="3"/>
        <v>4.4238510105991447E-2</v>
      </c>
      <c r="L33" s="129">
        <f t="shared" si="3"/>
        <v>3.5390808084793161E-2</v>
      </c>
      <c r="M33" s="129">
        <f t="shared" si="3"/>
        <v>3.5390808084793161E-2</v>
      </c>
      <c r="N33" s="129">
        <f t="shared" si="3"/>
        <v>3.5390808084793161E-2</v>
      </c>
      <c r="O33" s="169">
        <f>VLOOKUP($B33,'增加值 (2001-2060, 2020RMB)'!$A$56:$BI$70,23,0)*(1+J33)^3</f>
        <v>80618.127305617847</v>
      </c>
      <c r="P33" s="169">
        <f>VLOOKUP($B33,'增加值 (2001-2060, 2020RMB)'!$A$56:$BI$70,26,0)*(1+K33)^5</f>
        <v>99039.746479422261</v>
      </c>
      <c r="Q33" s="169">
        <f>VLOOKUP($B33,'增加值 (2001-2060, 2020RMB)'!$A$56:$BI$70,31,0)*(1+L33)^5</f>
        <v>116877.20921511789</v>
      </c>
      <c r="R33" s="169">
        <f>VLOOKUP($B33,'增加值 (2001-2060, 2020RMB)'!$A$56:$BI$70,36,0)*(1+M33)^15</f>
        <v>187809.01608352357</v>
      </c>
      <c r="S33" s="169">
        <f>VLOOKUP($B33,'增加值 (2001-2060, 2020RMB)'!$A$56:$BI$70,51,0)*(1+N33)^10</f>
        <v>207549.81308638127</v>
      </c>
      <c r="T33">
        <f t="shared" si="5"/>
        <v>79764.747207664841</v>
      </c>
    </row>
    <row r="34" spans="1:20" x14ac:dyDescent="0.2">
      <c r="A34" s="62"/>
      <c r="B34" s="62" t="s">
        <v>207</v>
      </c>
      <c r="C34" s="166">
        <f>(VLOOKUP($B34,'增加值 (2001-2060, 2020RMB)'!$A$56:$W$70,20,0)/VLOOKUP($B34,'增加值 (2001-2060, 2020RMB)'!$A$56:$W$70,17,0))^(1/3)-1</f>
        <v>0.14924366218699059</v>
      </c>
      <c r="D34" s="166">
        <f>(VLOOKUP($B34,'增加值 (2001-2060, 2020RMB)'!$A$56:$W$70,23,0)/VLOOKUP($B34,'增加值 (2001-2060, 2020RMB)'!$A$56:$W$70,20,0))^(1/3)-1</f>
        <v>7.8333638749526591E-2</v>
      </c>
      <c r="E34" s="167">
        <v>0.9</v>
      </c>
      <c r="F34" s="167">
        <v>0.8</v>
      </c>
      <c r="G34" s="167">
        <v>0.7</v>
      </c>
      <c r="H34" s="167">
        <v>0.6</v>
      </c>
      <c r="I34" s="167">
        <v>0.6</v>
      </c>
      <c r="J34" s="129">
        <f t="shared" si="4"/>
        <v>0.13431929596829154</v>
      </c>
      <c r="K34" s="129">
        <f t="shared" si="3"/>
        <v>0.11939492974959248</v>
      </c>
      <c r="L34" s="129">
        <f t="shared" si="3"/>
        <v>0.1044705635308934</v>
      </c>
      <c r="M34" s="129">
        <f t="shared" si="3"/>
        <v>8.9546197312194348E-2</v>
      </c>
      <c r="N34" s="129">
        <f t="shared" si="3"/>
        <v>8.9546197312194348E-2</v>
      </c>
      <c r="O34" s="169">
        <f>VLOOKUP($B34,'增加值 (2001-2060, 2020RMB)'!$A$56:$BI$70,23,0)*(1+J34)^3</f>
        <v>61433.185516590151</v>
      </c>
      <c r="P34" s="169">
        <f>VLOOKUP($B34,'增加值 (2001-2060, 2020RMB)'!$A$56:$BI$70,26,0)*(1+K34)^5</f>
        <v>106831.17383659484</v>
      </c>
      <c r="Q34" s="169">
        <f>VLOOKUP($B34,'增加值 (2001-2060, 2020RMB)'!$A$56:$BI$70,31,0)*(1+L34)^5</f>
        <v>174127.56034728017</v>
      </c>
      <c r="R34" s="169">
        <f>VLOOKUP($B34,'增加值 (2001-2060, 2020RMB)'!$A$56:$BI$70,36,0)*(1+M34)^15</f>
        <v>601138.13856965327</v>
      </c>
      <c r="S34" s="169">
        <f>VLOOKUP($B34,'增加值 (2001-2060, 2020RMB)'!$A$56:$BI$70,51,0)*(1+N34)^10</f>
        <v>1106098.0660115888</v>
      </c>
      <c r="T34">
        <f t="shared" si="5"/>
        <v>60782.886884931671</v>
      </c>
    </row>
    <row r="35" spans="1:20" x14ac:dyDescent="0.2">
      <c r="A35" s="62"/>
      <c r="B35" s="62" t="s">
        <v>37</v>
      </c>
      <c r="C35" s="166">
        <f>(VLOOKUP($B35,'增加值 (2001-2060, 2020RMB)'!$A$56:$W$70,20,0)/VLOOKUP($B35,'增加值 (2001-2060, 2020RMB)'!$A$56:$W$70,17,0))^(1/3)-1</f>
        <v>0.11516786438456816</v>
      </c>
      <c r="D35" s="166">
        <f>(VLOOKUP($B35,'增加值 (2001-2060, 2020RMB)'!$A$56:$W$70,23,0)/VLOOKUP($B35,'增加值 (2001-2060, 2020RMB)'!$A$56:$W$70,20,0))^(1/3)-1</f>
        <v>2.8854191814652763E-2</v>
      </c>
      <c r="E35" s="167">
        <v>0.9</v>
      </c>
      <c r="F35" s="167">
        <v>0.8</v>
      </c>
      <c r="G35" s="167">
        <v>0.7</v>
      </c>
      <c r="H35" s="167">
        <v>0.6</v>
      </c>
      <c r="I35" s="167">
        <v>0.6</v>
      </c>
      <c r="J35" s="129">
        <f t="shared" si="4"/>
        <v>0.10365107794611135</v>
      </c>
      <c r="K35" s="129">
        <f t="shared" si="3"/>
        <v>9.2134291507654537E-2</v>
      </c>
      <c r="L35" s="129">
        <f t="shared" si="3"/>
        <v>8.0617505069197709E-2</v>
      </c>
      <c r="M35" s="129">
        <f t="shared" si="3"/>
        <v>6.9100718630740895E-2</v>
      </c>
      <c r="N35" s="129">
        <f t="shared" si="3"/>
        <v>6.9100718630740895E-2</v>
      </c>
      <c r="O35" s="169">
        <f>VLOOKUP($B35,'增加值 (2001-2060, 2020RMB)'!$A$56:$BI$70,23,0)*(1+J35)^3</f>
        <v>48037.256141527272</v>
      </c>
      <c r="P35" s="169">
        <f>VLOOKUP($B35,'增加值 (2001-2060, 2020RMB)'!$A$56:$BI$70,26,0)*(1+K35)^5</f>
        <v>73847.65315208082</v>
      </c>
      <c r="Q35" s="169">
        <f>VLOOKUP($B35,'增加值 (2001-2060, 2020RMB)'!$A$56:$BI$70,31,0)*(1+L35)^5</f>
        <v>107918.39503876789</v>
      </c>
      <c r="R35" s="169">
        <f>VLOOKUP($B35,'增加值 (2001-2060, 2020RMB)'!$A$56:$BI$70,36,0)*(1+M35)^15</f>
        <v>280412.1502601399</v>
      </c>
      <c r="S35" s="169">
        <f>VLOOKUP($B35,'增加值 (2001-2060, 2020RMB)'!$A$56:$BI$70,51,0)*(1+N35)^10</f>
        <v>426919.40982742218</v>
      </c>
      <c r="T35">
        <f t="shared" si="5"/>
        <v>47528.759607043852</v>
      </c>
    </row>
    <row r="36" spans="1:20" x14ac:dyDescent="0.2">
      <c r="A36" s="62"/>
      <c r="B36" s="62" t="s">
        <v>38</v>
      </c>
      <c r="C36" s="166">
        <f>(VLOOKUP($B36,'增加值 (2001-2060, 2020RMB)'!$A$56:$W$70,20,0)/VLOOKUP($B36,'增加值 (2001-2060, 2020RMB)'!$A$56:$W$70,17,0))^(1/3)-1</f>
        <v>0.10368126786441612</v>
      </c>
      <c r="D36" s="166">
        <f>(VLOOKUP($B36,'增加值 (2001-2060, 2020RMB)'!$A$56:$W$70,23,0)/VLOOKUP($B36,'增加值 (2001-2060, 2020RMB)'!$A$56:$W$70,20,0))^(1/3)-1</f>
        <v>5.3552106832185586E-2</v>
      </c>
      <c r="E36" s="167">
        <v>0.9</v>
      </c>
      <c r="F36" s="167">
        <v>0.8</v>
      </c>
      <c r="G36" s="167">
        <v>0.7</v>
      </c>
      <c r="H36" s="167">
        <v>0.6</v>
      </c>
      <c r="I36" s="167">
        <v>0.6</v>
      </c>
      <c r="J36" s="129">
        <f t="shared" si="4"/>
        <v>9.3313141077974504E-2</v>
      </c>
      <c r="K36" s="129">
        <f t="shared" si="3"/>
        <v>8.2945014291532893E-2</v>
      </c>
      <c r="L36" s="129">
        <f t="shared" si="3"/>
        <v>7.2576887505091281E-2</v>
      </c>
      <c r="M36" s="129">
        <f t="shared" si="3"/>
        <v>6.2208760718649669E-2</v>
      </c>
      <c r="N36" s="129">
        <f t="shared" si="3"/>
        <v>6.2208760718649669E-2</v>
      </c>
      <c r="O36" s="169">
        <f>VLOOKUP($B36,'增加值 (2001-2060, 2020RMB)'!$A$56:$BI$70,23,0)*(1+J36)^3</f>
        <v>34759.594418240617</v>
      </c>
      <c r="P36" s="169">
        <f>VLOOKUP($B36,'增加值 (2001-2060, 2020RMB)'!$A$56:$BI$70,26,0)*(1+K36)^5</f>
        <v>51225.359972834616</v>
      </c>
      <c r="Q36" s="169">
        <f>VLOOKUP($B36,'增加值 (2001-2060, 2020RMB)'!$A$56:$BI$70,31,0)*(1+L36)^5</f>
        <v>72115.061453961578</v>
      </c>
      <c r="R36" s="169">
        <f>VLOOKUP($B36,'增加值 (2001-2060, 2020RMB)'!$A$56:$BI$70,36,0)*(1+M36)^15</f>
        <v>170057.65680631023</v>
      </c>
      <c r="S36" s="169">
        <f>VLOOKUP($B36,'增加值 (2001-2060, 2020RMB)'!$A$56:$BI$70,51,0)*(1+N36)^10</f>
        <v>242693.32891819548</v>
      </c>
      <c r="T36">
        <f t="shared" si="5"/>
        <v>34391.648063235451</v>
      </c>
    </row>
    <row r="37" spans="1:20" x14ac:dyDescent="0.2">
      <c r="A37" s="62"/>
      <c r="B37" s="62" t="s">
        <v>39</v>
      </c>
      <c r="C37" s="166">
        <f>(VLOOKUP($B37,'增加值 (2001-2060, 2020RMB)'!$A$56:$W$70,20,0)/VLOOKUP($B37,'增加值 (2001-2060, 2020RMB)'!$A$56:$W$70,17,0))^(1/3)-1</f>
        <v>7.181432431626944E-2</v>
      </c>
      <c r="D37" s="166">
        <f>(VLOOKUP($B37,'增加值 (2001-2060, 2020RMB)'!$A$56:$W$70,23,0)/VLOOKUP($B37,'增加值 (2001-2060, 2020RMB)'!$A$56:$W$70,20,0))^(1/3)-1</f>
        <v>3.075646025990264E-2</v>
      </c>
      <c r="E37" s="167">
        <v>0.9</v>
      </c>
      <c r="F37" s="167">
        <v>0.8</v>
      </c>
      <c r="G37" s="167">
        <v>0.7</v>
      </c>
      <c r="H37" s="167">
        <v>0.6</v>
      </c>
      <c r="I37" s="167">
        <v>0.6</v>
      </c>
      <c r="J37" s="129">
        <f t="shared" si="4"/>
        <v>6.4632891884642496E-2</v>
      </c>
      <c r="K37" s="129">
        <f t="shared" si="3"/>
        <v>5.7451459453015552E-2</v>
      </c>
      <c r="L37" s="129">
        <f t="shared" si="3"/>
        <v>5.0270027021388608E-2</v>
      </c>
      <c r="M37" s="129">
        <f t="shared" si="3"/>
        <v>4.3088594589761664E-2</v>
      </c>
      <c r="N37" s="129">
        <f t="shared" si="3"/>
        <v>4.3088594589761664E-2</v>
      </c>
      <c r="O37" s="169">
        <f>VLOOKUP($B37,'增加值 (2001-2060, 2020RMB)'!$A$56:$BI$70,23,0)*(1+J37)^3</f>
        <v>7786.8098727277329</v>
      </c>
      <c r="P37" s="169">
        <f>VLOOKUP($B37,'增加值 (2001-2060, 2020RMB)'!$A$56:$BI$70,26,0)*(1+K37)^5</f>
        <v>10186.853560569794</v>
      </c>
      <c r="Q37" s="169">
        <f>VLOOKUP($B37,'增加值 (2001-2060, 2020RMB)'!$A$56:$BI$70,31,0)*(1+L37)^5</f>
        <v>12910.519220518236</v>
      </c>
      <c r="R37" s="169">
        <f>VLOOKUP($B37,'增加值 (2001-2060, 2020RMB)'!$A$56:$BI$70,36,0)*(1+M37)^15</f>
        <v>23183.750126631319</v>
      </c>
      <c r="S37" s="169">
        <f>VLOOKUP($B37,'增加值 (2001-2060, 2020RMB)'!$A$56:$BI$70,51,0)*(1+N37)^10</f>
        <v>27590.432772228658</v>
      </c>
      <c r="T37">
        <f t="shared" si="5"/>
        <v>7704.3828951481291</v>
      </c>
    </row>
    <row r="38" spans="1:20" x14ac:dyDescent="0.2">
      <c r="A38" s="62"/>
      <c r="B38" s="62" t="s">
        <v>40</v>
      </c>
      <c r="C38" s="166">
        <f>(VLOOKUP($B38,'增加值 (2001-2060, 2020RMB)'!$A$56:$W$70,20,0)/VLOOKUP($B38,'增加值 (2001-2060, 2020RMB)'!$A$56:$W$70,17,0))^(1/3)-1</f>
        <v>8.439753008648565E-2</v>
      </c>
      <c r="D38" s="166">
        <f>(VLOOKUP($B38,'增加值 (2001-2060, 2020RMB)'!$A$56:$W$70,23,0)/VLOOKUP($B38,'增加值 (2001-2060, 2020RMB)'!$A$56:$W$70,20,0))^(1/3)-1</f>
        <v>1.7741893187910973E-2</v>
      </c>
      <c r="E38" s="167">
        <v>0.9</v>
      </c>
      <c r="F38" s="167">
        <v>0.8</v>
      </c>
      <c r="G38" s="167">
        <v>0.7</v>
      </c>
      <c r="H38" s="167">
        <v>0.6</v>
      </c>
      <c r="I38" s="167">
        <v>0.6</v>
      </c>
      <c r="J38" s="129">
        <f t="shared" si="4"/>
        <v>7.5957777077837088E-2</v>
      </c>
      <c r="K38" s="129">
        <f t="shared" si="3"/>
        <v>6.7518024069188526E-2</v>
      </c>
      <c r="L38" s="129">
        <f t="shared" si="3"/>
        <v>5.907827106053995E-2</v>
      </c>
      <c r="M38" s="129">
        <f t="shared" si="3"/>
        <v>5.0638518051891387E-2</v>
      </c>
      <c r="N38" s="129">
        <f t="shared" si="3"/>
        <v>5.0638518051891387E-2</v>
      </c>
      <c r="O38" s="169">
        <f>VLOOKUP($B38,'增加值 (2001-2060, 2020RMB)'!$A$56:$BI$70,23,0)*(1+J38)^3</f>
        <v>22419.249272701731</v>
      </c>
      <c r="P38" s="169">
        <f>VLOOKUP($B38,'增加值 (2001-2060, 2020RMB)'!$A$56:$BI$70,26,0)*(1+K38)^5</f>
        <v>30752.146537132645</v>
      </c>
      <c r="Q38" s="169">
        <f>VLOOKUP($B38,'增加值 (2001-2060, 2020RMB)'!$A$56:$BI$70,31,0)*(1+L38)^5</f>
        <v>40636.3331156122</v>
      </c>
      <c r="R38" s="169">
        <f>VLOOKUP($B38,'增加值 (2001-2060, 2020RMB)'!$A$56:$BI$70,36,0)*(1+M38)^15</f>
        <v>81308.569357065571</v>
      </c>
      <c r="S38" s="169">
        <f>VLOOKUP($B38,'增加值 (2001-2060, 2020RMB)'!$A$56:$BI$70,51,0)*(1+N38)^10</f>
        <v>103999.766529717</v>
      </c>
      <c r="T38">
        <f t="shared" si="5"/>
        <v>22181.931168451527</v>
      </c>
    </row>
    <row r="39" spans="1:20" x14ac:dyDescent="0.2">
      <c r="A39" s="62"/>
      <c r="B39" s="62" t="s">
        <v>41</v>
      </c>
      <c r="C39" s="166">
        <f>(VLOOKUP($B39,'增加值 (2001-2060, 2020RMB)'!$A$56:$W$70,20,0)/VLOOKUP($B39,'增加值 (2001-2060, 2020RMB)'!$A$56:$W$70,17,0))^(1/3)-1</f>
        <v>8.7713836318461524E-2</v>
      </c>
      <c r="D39" s="166">
        <f>(VLOOKUP($B39,'增加值 (2001-2060, 2020RMB)'!$A$56:$W$70,23,0)/VLOOKUP($B39,'增加值 (2001-2060, 2020RMB)'!$A$56:$W$70,20,0))^(1/3)-1</f>
        <v>4.9833837021771021E-2</v>
      </c>
      <c r="E39" s="167">
        <v>0.9</v>
      </c>
      <c r="F39" s="167">
        <v>0.8</v>
      </c>
      <c r="G39" s="167">
        <v>0.7</v>
      </c>
      <c r="H39" s="167">
        <v>0.6</v>
      </c>
      <c r="I39" s="167">
        <v>0.6</v>
      </c>
      <c r="J39" s="129">
        <f t="shared" si="4"/>
        <v>7.8942452686615372E-2</v>
      </c>
      <c r="K39" s="129">
        <f t="shared" si="3"/>
        <v>7.017106905476922E-2</v>
      </c>
      <c r="L39" s="129">
        <f t="shared" si="3"/>
        <v>6.139968542292306E-2</v>
      </c>
      <c r="M39" s="129">
        <f t="shared" si="3"/>
        <v>5.2628301791076915E-2</v>
      </c>
      <c r="N39" s="129">
        <f t="shared" si="3"/>
        <v>5.2628301791076915E-2</v>
      </c>
      <c r="O39" s="169">
        <f>VLOOKUP($B39,'增加值 (2001-2060, 2020RMB)'!$A$56:$BI$70,23,0)*(1+J39)^3</f>
        <v>55422.24492894506</v>
      </c>
      <c r="P39" s="169">
        <f>VLOOKUP($B39,'增加值 (2001-2060, 2020RMB)'!$A$56:$BI$70,26,0)*(1+K39)^5</f>
        <v>76971.230835605209</v>
      </c>
      <c r="Q39" s="169">
        <f>VLOOKUP($B39,'增加值 (2001-2060, 2020RMB)'!$A$56:$BI$70,31,0)*(1+L39)^5</f>
        <v>102830.51045969318</v>
      </c>
      <c r="R39" s="169">
        <f>VLOOKUP($B39,'增加值 (2001-2060, 2020RMB)'!$A$56:$BI$70,36,0)*(1+M39)^15</f>
        <v>211675.04399898354</v>
      </c>
      <c r="S39" s="169">
        <f>VLOOKUP($B39,'增加值 (2001-2060, 2020RMB)'!$A$56:$BI$70,51,0)*(1+N39)^10</f>
        <v>275919.84850521892</v>
      </c>
      <c r="T39">
        <f t="shared" si="5"/>
        <v>54835.57487858602</v>
      </c>
    </row>
    <row r="40" spans="1:20" x14ac:dyDescent="0.2">
      <c r="A40" s="62"/>
      <c r="B40" s="62" t="s">
        <v>42</v>
      </c>
      <c r="C40" s="166">
        <f>(VLOOKUP($B40,'增加值 (2001-2060, 2020RMB)'!$A$56:$W$70,20,0)/VLOOKUP($B40,'增加值 (2001-2060, 2020RMB)'!$A$56:$W$70,17,0))^(1/3)-1</f>
        <v>6.8423018137201419E-2</v>
      </c>
      <c r="D40" s="166">
        <f>(VLOOKUP($B40,'增加值 (2001-2060, 2020RMB)'!$A$56:$W$70,23,0)/VLOOKUP($B40,'增加值 (2001-2060, 2020RMB)'!$A$56:$W$70,20,0))^(1/3)-1</f>
        <v>6.1115802628005866E-2</v>
      </c>
      <c r="E40" s="167">
        <v>0.9</v>
      </c>
      <c r="F40" s="167">
        <v>0.8</v>
      </c>
      <c r="G40" s="167">
        <v>0.7</v>
      </c>
      <c r="H40" s="167">
        <v>0.6</v>
      </c>
      <c r="I40" s="167">
        <v>0.6</v>
      </c>
      <c r="J40" s="129">
        <f t="shared" si="4"/>
        <v>6.1580716323481277E-2</v>
      </c>
      <c r="K40" s="129">
        <f t="shared" si="3"/>
        <v>5.4738414509761135E-2</v>
      </c>
      <c r="L40" s="129">
        <f t="shared" si="3"/>
        <v>4.7896112696040993E-2</v>
      </c>
      <c r="M40" s="129">
        <f t="shared" si="3"/>
        <v>4.1053810882320851E-2</v>
      </c>
      <c r="N40" s="129">
        <f t="shared" si="3"/>
        <v>4.1053810882320851E-2</v>
      </c>
      <c r="O40" s="169">
        <f>VLOOKUP($B40,'增加值 (2001-2060, 2020RMB)'!$A$56:$BI$70,23,0)*(1+J40)^3</f>
        <v>32122.704178408349</v>
      </c>
      <c r="P40" s="169">
        <f>VLOOKUP($B40,'增加值 (2001-2060, 2020RMB)'!$A$56:$BI$70,26,0)*(1+K40)^5</f>
        <v>41487.207571553889</v>
      </c>
      <c r="Q40" s="169">
        <f>VLOOKUP($B40,'增加值 (2001-2060, 2020RMB)'!$A$56:$BI$70,31,0)*(1+L40)^5</f>
        <v>51988.123043045729</v>
      </c>
      <c r="R40" s="169">
        <f>VLOOKUP($B40,'增加值 (2001-2060, 2020RMB)'!$A$56:$BI$70,36,0)*(1+M40)^15</f>
        <v>90661.696186881236</v>
      </c>
      <c r="S40" s="169">
        <f>VLOOKUP($B40,'增加值 (2001-2060, 2020RMB)'!$A$56:$BI$70,51,0)*(1+N40)^10</f>
        <v>105807.99400416941</v>
      </c>
      <c r="T40">
        <f t="shared" si="5"/>
        <v>31782.670524012421</v>
      </c>
    </row>
    <row r="41" spans="1:20" x14ac:dyDescent="0.2">
      <c r="A41" s="62"/>
      <c r="B41" s="62" t="s">
        <v>43</v>
      </c>
      <c r="C41" s="166">
        <f>(VLOOKUP($B41,'增加值 (2001-2060, 2020RMB)'!$A$56:$W$70,20,0)/VLOOKUP($B41,'增加值 (2001-2060, 2020RMB)'!$A$56:$W$70,17,0))^(1/3)-1</f>
        <v>0.10086430289678239</v>
      </c>
      <c r="D41" s="166">
        <f>(VLOOKUP($B41,'增加值 (2001-2060, 2020RMB)'!$A$56:$W$70,23,0)/VLOOKUP($B41,'增加值 (2001-2060, 2020RMB)'!$A$56:$W$70,20,0))^(1/3)-1</f>
        <v>-2.069199526272103E-2</v>
      </c>
      <c r="E41" s="167">
        <v>0.8</v>
      </c>
      <c r="F41" s="167">
        <v>0.7</v>
      </c>
      <c r="G41" s="167">
        <v>0.6</v>
      </c>
      <c r="H41" s="167">
        <v>0.5</v>
      </c>
      <c r="I41" s="167">
        <v>0.5</v>
      </c>
      <c r="J41" s="129">
        <f t="shared" si="4"/>
        <v>8.0691442317425921E-2</v>
      </c>
      <c r="K41" s="129">
        <f t="shared" si="3"/>
        <v>7.060501202774766E-2</v>
      </c>
      <c r="L41" s="129">
        <f t="shared" si="3"/>
        <v>6.0518581738069427E-2</v>
      </c>
      <c r="M41" s="129">
        <f t="shared" si="3"/>
        <v>5.0432151448391194E-2</v>
      </c>
      <c r="N41" s="129">
        <f t="shared" si="3"/>
        <v>5.0432151448391194E-2</v>
      </c>
      <c r="O41" s="169">
        <f>VLOOKUP($B41,'增加值 (2001-2060, 2020RMB)'!$A$56:$BI$70,23,0)*(1+J41)^3</f>
        <v>9697.6799668559506</v>
      </c>
      <c r="P41" s="169">
        <f>VLOOKUP($B41,'增加值 (2001-2060, 2020RMB)'!$A$56:$BI$70,26,0)*(1+K41)^5</f>
        <v>13495.609285004159</v>
      </c>
      <c r="Q41" s="169">
        <f>VLOOKUP($B41,'增加值 (2001-2060, 2020RMB)'!$A$56:$BI$70,31,0)*(1+L41)^5</f>
        <v>17954.887801337802</v>
      </c>
      <c r="R41" s="169">
        <f>VLOOKUP($B41,'增加值 (2001-2060, 2020RMB)'!$A$56:$BI$70,36,0)*(1+M41)^15</f>
        <v>35819.936759769458</v>
      </c>
      <c r="S41" s="169">
        <f>VLOOKUP($B41,'增加值 (2001-2060, 2020RMB)'!$A$56:$BI$70,51,0)*(1+N41)^10</f>
        <v>45726.476083647714</v>
      </c>
      <c r="T41">
        <f t="shared" si="5"/>
        <v>9595.0255471041819</v>
      </c>
    </row>
    <row r="42" spans="1:20" x14ac:dyDescent="0.2">
      <c r="A42" s="62"/>
      <c r="B42" s="62" t="s">
        <v>44</v>
      </c>
      <c r="C42" s="166">
        <f>(VLOOKUP($B42,'增加值 (2001-2060, 2020RMB)'!$A$56:$W$70,20,0)/VLOOKUP($B42,'增加值 (2001-2060, 2020RMB)'!$A$56:$W$70,17,0))^(1/3)-1</f>
        <v>8.9033832957701176E-2</v>
      </c>
      <c r="D42" s="166">
        <f>(VLOOKUP($B42,'增加值 (2001-2060, 2020RMB)'!$A$56:$W$70,23,0)/VLOOKUP($B42,'增加值 (2001-2060, 2020RMB)'!$A$56:$W$70,20,0))^(1/3)-1</f>
        <v>4.1121647025851304E-2</v>
      </c>
      <c r="E42" s="167">
        <v>0.9</v>
      </c>
      <c r="F42" s="167">
        <v>0.8</v>
      </c>
      <c r="G42" s="167">
        <v>0.7</v>
      </c>
      <c r="H42" s="167">
        <v>0.6</v>
      </c>
      <c r="I42" s="167">
        <v>0.6</v>
      </c>
      <c r="J42" s="129">
        <f t="shared" si="4"/>
        <v>8.0130449661931058E-2</v>
      </c>
      <c r="K42" s="129">
        <f t="shared" si="3"/>
        <v>7.122706636616094E-2</v>
      </c>
      <c r="L42" s="129">
        <f t="shared" si="3"/>
        <v>6.2323683070390816E-2</v>
      </c>
      <c r="M42" s="129">
        <f t="shared" si="3"/>
        <v>5.3420299774620705E-2</v>
      </c>
      <c r="N42" s="129">
        <f t="shared" si="3"/>
        <v>5.3420299774620705E-2</v>
      </c>
      <c r="O42" s="169">
        <f>VLOOKUP($B42,'增加值 (2001-2060, 2020RMB)'!$A$56:$BI$70,23,0)*(1+J42)^3</f>
        <v>68323.863573090479</v>
      </c>
      <c r="P42" s="169">
        <f>VLOOKUP($B42,'增加值 (2001-2060, 2020RMB)'!$A$56:$BI$70,26,0)*(1+K42)^5</f>
        <v>95358.276050200831</v>
      </c>
      <c r="Q42" s="169">
        <f>VLOOKUP($B42,'增加值 (2001-2060, 2020RMB)'!$A$56:$BI$70,31,0)*(1+L42)^5</f>
        <v>127950.35536511948</v>
      </c>
      <c r="R42" s="169">
        <f>VLOOKUP($B42,'增加值 (2001-2060, 2020RMB)'!$A$56:$BI$70,36,0)*(1+M42)^15</f>
        <v>266372.12219028606</v>
      </c>
      <c r="S42" s="169">
        <f>VLOOKUP($B42,'增加值 (2001-2060, 2020RMB)'!$A$56:$BI$70,51,0)*(1+N42)^10</f>
        <v>349839.19081885187</v>
      </c>
      <c r="T42">
        <f t="shared" si="5"/>
        <v>67600.623932860486</v>
      </c>
    </row>
    <row r="43" spans="1:20" x14ac:dyDescent="0.2">
      <c r="B43"/>
      <c r="E43" s="168"/>
      <c r="F43" s="168"/>
      <c r="G43" s="168"/>
      <c r="H43" s="168"/>
      <c r="I43" s="168"/>
      <c r="K43" s="124"/>
      <c r="L43" s="124"/>
      <c r="M43" s="124"/>
      <c r="N43" s="124"/>
    </row>
    <row r="44" spans="1:20" x14ac:dyDescent="0.2">
      <c r="B44"/>
      <c r="K44" s="124"/>
      <c r="L44" s="124"/>
      <c r="M44" s="124"/>
      <c r="N44" s="124"/>
    </row>
    <row r="45" spans="1:20" x14ac:dyDescent="0.2">
      <c r="A45" s="182" t="s">
        <v>271</v>
      </c>
      <c r="B45" s="182"/>
      <c r="C45" s="121"/>
      <c r="D45" s="121"/>
      <c r="E45" s="121"/>
      <c r="F45" s="121"/>
      <c r="G45" s="121"/>
      <c r="H45" s="121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30"/>
    </row>
    <row r="46" spans="1:20" x14ac:dyDescent="0.2">
      <c r="A46" s="114"/>
      <c r="C46" s="162" t="s">
        <v>274</v>
      </c>
      <c r="D46" s="162" t="s">
        <v>275</v>
      </c>
      <c r="E46" s="171" t="s">
        <v>276</v>
      </c>
      <c r="F46" s="171" t="s">
        <v>277</v>
      </c>
      <c r="G46" s="171" t="s">
        <v>278</v>
      </c>
      <c r="H46" s="171" t="s">
        <v>279</v>
      </c>
      <c r="I46" s="171" t="s">
        <v>280</v>
      </c>
      <c r="J46" s="171" t="s">
        <v>281</v>
      </c>
      <c r="K46" s="171" t="s">
        <v>282</v>
      </c>
      <c r="L46" s="171" t="s">
        <v>283</v>
      </c>
      <c r="M46" s="171" t="s">
        <v>284</v>
      </c>
      <c r="N46" s="171" t="s">
        <v>285</v>
      </c>
      <c r="O46" s="171" t="s">
        <v>220</v>
      </c>
      <c r="P46" s="171" t="s">
        <v>221</v>
      </c>
      <c r="Q46" s="171" t="s">
        <v>222</v>
      </c>
      <c r="R46" s="171" t="s">
        <v>223</v>
      </c>
      <c r="S46" s="171" t="s">
        <v>224</v>
      </c>
    </row>
    <row r="47" spans="1:20" x14ac:dyDescent="0.2">
      <c r="A47" s="114"/>
      <c r="B47" s="97" t="s">
        <v>168</v>
      </c>
      <c r="C47" s="161">
        <f>(VLOOKUP(B47,'增加值 (2001-2060, 2020RMB)'!$A$13:$W$54,20,0)/VLOOKUP(B47,'增加值 (2001-2060, 2020RMB)'!$A$13:$W$54,17,0))^(1/3)-1</f>
        <v>5.1465407664526452E-2</v>
      </c>
      <c r="D47" s="160">
        <f>(VLOOKUP(B47,'增加值 (2001-2060, 2020RMB)'!$A$13:$W$54,23,0)/VLOOKUP(B47,'增加值 (2001-2060, 2020RMB)'!$A$13:$W$54,20,0))^(1/3)-1</f>
        <v>6.2058400554165782E-2</v>
      </c>
      <c r="E47" s="172"/>
      <c r="F47" s="173"/>
      <c r="G47" s="173"/>
      <c r="H47" s="173"/>
      <c r="I47" s="173"/>
      <c r="J47" s="163">
        <f>('增加值 (2001-2060, 2020RMB)'!Z13/'增加值 (2001-2060, 2020RMB)'!W13)^(1/3)-1</f>
        <v>3.8110186629019882E-2</v>
      </c>
      <c r="K47" s="163">
        <f>('增加值 (2001-2060, 2020RMB)'!AE13/'增加值 (2001-2060, 2020RMB)'!Z13)^0.2-1</f>
        <v>3.294547895436839E-2</v>
      </c>
      <c r="L47" s="163">
        <f>('增加值 (2001-2060, 2020RMB)'!AJ13/'增加值 (2001-2060, 2020RMB)'!AE13)^0.2-1</f>
        <v>2.2946145171066856E-2</v>
      </c>
      <c r="M47" s="163">
        <f>('增加值 (2001-2060, 2020RMB)'!AY13/'增加值 (2001-2060, 2020RMB)'!AJ13)^(1/15)-1</f>
        <v>7.0771376247782403E-3</v>
      </c>
      <c r="N47" s="163">
        <f>('增加值 (2001-2060, 2020RMB)'!BI13/'增加值 (2001-2060, 2020RMB)'!AY13)^0.1-1</f>
        <v>8.957373637552557E-4</v>
      </c>
      <c r="O47" s="164">
        <f>SUM(O48:O88)</f>
        <v>433020.90015952388</v>
      </c>
      <c r="P47" s="164">
        <f t="shared" ref="P47:S47" si="6">SUM(P48:P88)</f>
        <v>526632.63418776961</v>
      </c>
      <c r="Q47" s="164">
        <f t="shared" si="6"/>
        <v>600251.05820850446</v>
      </c>
      <c r="R47" s="164">
        <f t="shared" si="6"/>
        <v>870245.84468209313</v>
      </c>
      <c r="S47" s="164">
        <f t="shared" si="6"/>
        <v>801976.36160487682</v>
      </c>
    </row>
    <row r="48" spans="1:20" x14ac:dyDescent="0.15">
      <c r="A48" s="155" t="s">
        <v>225</v>
      </c>
      <c r="B48" s="158" t="s">
        <v>226</v>
      </c>
      <c r="C48" s="161">
        <f>(VLOOKUP(B48,'增加值 (2001-2060, 2020RMB)'!$A$13:$W$54,20,0)/VLOOKUP(B48,'增加值 (2001-2060, 2020RMB)'!$A$13:$W$54,17,0))^(1/3)-1</f>
        <v>8.507076768611288E-3</v>
      </c>
      <c r="D48" s="160">
        <f>(VLOOKUP(B48,'增加值 (2001-2060, 2020RMB)'!$A$13:$W$54,23,0)/VLOOKUP(B48,'增加值 (2001-2060, 2020RMB)'!$A$13:$W$54,20,0))^(1/3)-1</f>
        <v>6.2061126117941567E-2</v>
      </c>
      <c r="E48" s="172">
        <v>0.8</v>
      </c>
      <c r="F48" s="173">
        <v>0.8</v>
      </c>
      <c r="G48" s="173">
        <v>0.5</v>
      </c>
      <c r="H48" s="173">
        <v>0.3</v>
      </c>
      <c r="I48" s="173">
        <v>0.2</v>
      </c>
      <c r="J48" s="159">
        <f>AVERAGE($C48:$D48)*E48</f>
        <v>2.8227281154621142E-2</v>
      </c>
      <c r="K48" s="159">
        <f t="shared" ref="K48:N63" si="7">AVERAGE($C48:$D48)*F48</f>
        <v>2.8227281154621142E-2</v>
      </c>
      <c r="L48" s="159">
        <f t="shared" si="7"/>
        <v>1.7642050721638214E-2</v>
      </c>
      <c r="M48" s="159">
        <f t="shared" si="7"/>
        <v>1.0585230432982928E-2</v>
      </c>
      <c r="N48" s="159">
        <f t="shared" si="7"/>
        <v>7.0568202886552855E-3</v>
      </c>
      <c r="O48" s="165">
        <f>VLOOKUP(B48,'增加值 (2001-2060, 2020RMB)'!$A$14:$W$54,23,0)*(1+J48)^3</f>
        <v>19569.944919039062</v>
      </c>
      <c r="P48" s="165">
        <f>VLOOKUP(B48,'增加值 (2001-2060, 2020RMB)'!$A$14:$AE$54,26,0)*(1+K48)^5</f>
        <v>21825.166216503261</v>
      </c>
      <c r="Q48" s="165">
        <f>VLOOKUP(B48,'增加值 (2001-2060, 2020RMB)'!$A$14:$AE$54,31,0)*(1+L48)^5</f>
        <v>22348.234143229671</v>
      </c>
      <c r="R48" s="165">
        <f>VLOOKUP(B48,'增加值 (2001-2060, 2020RMB)'!$A$14:$AJ$54,36,0)*(1+M48)^15</f>
        <v>24131.622856162008</v>
      </c>
      <c r="S48" s="165">
        <f>VLOOKUP(B48,'增加值 (2001-2060, 2020RMB)'!$A$14:$AY$54,51,0)*(1+N48)^10</f>
        <v>18302.373900493629</v>
      </c>
    </row>
    <row r="49" spans="1:19" ht="15" x14ac:dyDescent="0.25">
      <c r="A49" s="156"/>
      <c r="B49" s="158" t="s">
        <v>227</v>
      </c>
      <c r="C49" s="161">
        <f>(VLOOKUP(B49,'增加值 (2001-2060, 2020RMB)'!$A$13:$W$54,20,0)/VLOOKUP(B49,'增加值 (2001-2060, 2020RMB)'!$A$13:$W$54,17,0))^(1/3)-1</f>
        <v>3.2675207571886133E-5</v>
      </c>
      <c r="D49" s="160">
        <f>(VLOOKUP(B49,'增加值 (2001-2060, 2020RMB)'!$A$13:$W$54,23,0)/VLOOKUP(B49,'增加值 (2001-2060, 2020RMB)'!$A$13:$W$54,20,0))^(1/3)-1</f>
        <v>4.1028013857423495E-2</v>
      </c>
      <c r="E49" s="172">
        <v>0.8</v>
      </c>
      <c r="F49" s="173">
        <v>0.8</v>
      </c>
      <c r="G49" s="173">
        <v>0.5</v>
      </c>
      <c r="H49" s="173">
        <v>0.5</v>
      </c>
      <c r="I49" s="173">
        <v>0.4</v>
      </c>
      <c r="J49" s="159">
        <f t="shared" ref="J49:J88" si="8">AVERAGE($C49:$D49)*E49</f>
        <v>1.6424275625998155E-2</v>
      </c>
      <c r="K49" s="159">
        <f t="shared" si="7"/>
        <v>1.6424275625998155E-2</v>
      </c>
      <c r="L49" s="159">
        <f t="shared" si="7"/>
        <v>1.0265172266248845E-2</v>
      </c>
      <c r="M49" s="159">
        <f t="shared" si="7"/>
        <v>1.0265172266248845E-2</v>
      </c>
      <c r="N49" s="159">
        <f t="shared" si="7"/>
        <v>8.2121378129990773E-3</v>
      </c>
      <c r="O49" s="165">
        <f>VLOOKUP(B49,'增加值 (2001-2060, 2020RMB)'!$A$14:$W$54,23,0)*(1+J49)^3</f>
        <v>12920.435534597742</v>
      </c>
      <c r="P49" s="165">
        <f>VLOOKUP(B49,'增加值 (2001-2060, 2020RMB)'!$A$14:$AE$54,26,0)*(1+K49)^5</f>
        <v>13601.119058890054</v>
      </c>
      <c r="Q49" s="165">
        <f>VLOOKUP(B49,'增加值 (2001-2060, 2020RMB)'!$A$14:$AE$54,31,0)*(1+L49)^5</f>
        <v>13429.566066808437</v>
      </c>
      <c r="R49" s="165">
        <f>VLOOKUP(B49,'增加值 (2001-2060, 2020RMB)'!$A$14:$AJ$54,36,0)*(1+M49)^15</f>
        <v>14432.508310901421</v>
      </c>
      <c r="S49" s="165">
        <f>VLOOKUP(B49,'增加值 (2001-2060, 2020RMB)'!$A$14:$AY$54,51,0)*(1+N49)^10</f>
        <v>11072.410423548048</v>
      </c>
    </row>
    <row r="50" spans="1:19" ht="15" x14ac:dyDescent="0.25">
      <c r="A50" s="156"/>
      <c r="B50" s="158" t="s">
        <v>267</v>
      </c>
      <c r="C50" s="161">
        <f>(VLOOKUP(B50,'增加值 (2001-2060, 2020RMB)'!$A$13:$W$54,20,0)/VLOOKUP(B50,'增加值 (2001-2060, 2020RMB)'!$A$13:$W$54,17,0))^(1/3)-1</f>
        <v>6.9325463225565986E-2</v>
      </c>
      <c r="D50" s="160">
        <f>(VLOOKUP(B50,'增加值 (2001-2060, 2020RMB)'!$A$13:$W$54,23,0)/VLOOKUP(B50,'增加值 (2001-2060, 2020RMB)'!$A$13:$W$54,20,0))^(1/3)-1</f>
        <v>6.7128509401518821E-2</v>
      </c>
      <c r="E50" s="172">
        <v>1</v>
      </c>
      <c r="F50" s="173">
        <v>1</v>
      </c>
      <c r="G50" s="173">
        <v>0.8</v>
      </c>
      <c r="H50" s="173">
        <v>0.5</v>
      </c>
      <c r="I50" s="173">
        <v>0.5</v>
      </c>
      <c r="J50" s="159">
        <f t="shared" si="8"/>
        <v>6.8226986313542404E-2</v>
      </c>
      <c r="K50" s="159">
        <f t="shared" si="7"/>
        <v>6.8226986313542404E-2</v>
      </c>
      <c r="L50" s="159">
        <f t="shared" si="7"/>
        <v>5.4581589050833927E-2</v>
      </c>
      <c r="M50" s="159">
        <f t="shared" si="7"/>
        <v>3.4113493156771202E-2</v>
      </c>
      <c r="N50" s="159">
        <f t="shared" si="7"/>
        <v>3.4113493156771202E-2</v>
      </c>
      <c r="O50" s="165">
        <f>VLOOKUP(B50,'增加值 (2001-2060, 2020RMB)'!$A$14:$W$54,23,0)*(1+J50)^3</f>
        <v>21296.176613128999</v>
      </c>
      <c r="P50" s="165">
        <f>VLOOKUP(B50,'增加值 (2001-2060, 2020RMB)'!$A$14:$AE$54,26,0)*(1+K50)^5</f>
        <v>28743.636376630799</v>
      </c>
      <c r="Q50" s="165">
        <f>VLOOKUP(B50,'增加值 (2001-2060, 2020RMB)'!$A$14:$AE$54,31,0)*(1+L50)^5</f>
        <v>35176.535688530385</v>
      </c>
      <c r="R50" s="165">
        <f>VLOOKUP(B50,'增加值 (2001-2060, 2020RMB)'!$A$14:$AJ$54,36,0)*(1+M50)^15</f>
        <v>53644.506423672574</v>
      </c>
      <c r="S50" s="165">
        <f>VLOOKUP(B50,'增加值 (2001-2060, 2020RMB)'!$A$14:$AY$54,51,0)*(1+N50)^10</f>
        <v>53038.159590072428</v>
      </c>
    </row>
    <row r="51" spans="1:19" ht="15" x14ac:dyDescent="0.25">
      <c r="A51" s="156"/>
      <c r="B51" s="158" t="s">
        <v>228</v>
      </c>
      <c r="C51" s="161">
        <f>(VLOOKUP(B51,'增加值 (2001-2060, 2020RMB)'!$A$13:$W$54,20,0)/VLOOKUP(B51,'增加值 (2001-2060, 2020RMB)'!$A$13:$W$54,17,0))^(1/3)-1</f>
        <v>0.12785054008628594</v>
      </c>
      <c r="D51" s="160">
        <f>(VLOOKUP(B51,'增加值 (2001-2060, 2020RMB)'!$A$13:$W$54,23,0)/VLOOKUP(B51,'增加值 (2001-2060, 2020RMB)'!$A$13:$W$54,20,0))^(1/3)-1</f>
        <v>8.7030245339022816E-2</v>
      </c>
      <c r="E51" s="172">
        <v>1</v>
      </c>
      <c r="F51" s="173">
        <v>1</v>
      </c>
      <c r="G51" s="173">
        <v>0.8</v>
      </c>
      <c r="H51" s="173">
        <v>0.5</v>
      </c>
      <c r="I51" s="173">
        <v>0.5</v>
      </c>
      <c r="J51" s="159">
        <f t="shared" si="8"/>
        <v>0.10744039271265438</v>
      </c>
      <c r="K51" s="159">
        <f t="shared" si="7"/>
        <v>0.10744039271265438</v>
      </c>
      <c r="L51" s="159">
        <f t="shared" si="7"/>
        <v>8.5952314170123501E-2</v>
      </c>
      <c r="M51" s="159">
        <f t="shared" si="7"/>
        <v>5.3720196356327188E-2</v>
      </c>
      <c r="N51" s="159">
        <f t="shared" si="7"/>
        <v>5.3720196356327188E-2</v>
      </c>
      <c r="O51" s="165">
        <f>VLOOKUP(B51,'增加值 (2001-2060, 2020RMB)'!$A$14:$W$54,23,0)*(1+J51)^3</f>
        <v>3347.9301131455663</v>
      </c>
      <c r="P51" s="165">
        <f>VLOOKUP(B51,'增加值 (2001-2060, 2020RMB)'!$A$14:$AE$54,26,0)*(1+K51)^5</f>
        <v>5411.2864889411767</v>
      </c>
      <c r="Q51" s="165">
        <f>VLOOKUP(B51,'增加值 (2001-2060, 2020RMB)'!$A$14:$AE$54,31,0)*(1+L51)^5</f>
        <v>7667.6933065862631</v>
      </c>
      <c r="R51" s="165">
        <f>VLOOKUP(B51,'增加值 (2001-2060, 2020RMB)'!$A$14:$AJ$54,36,0)*(1+M51)^15</f>
        <v>15498.633555757217</v>
      </c>
      <c r="S51" s="165">
        <f>VLOOKUP(B51,'增加值 (2001-2060, 2020RMB)'!$A$14:$AY$54,51,0)*(1+N51)^10</f>
        <v>18489.603362490139</v>
      </c>
    </row>
    <row r="52" spans="1:19" ht="15" x14ac:dyDescent="0.25">
      <c r="A52" s="156"/>
      <c r="B52" s="158" t="s">
        <v>229</v>
      </c>
      <c r="C52" s="161">
        <f>(VLOOKUP(B52,'增加值 (2001-2060, 2020RMB)'!$A$13:$W$54,20,0)/VLOOKUP(B52,'增加值 (2001-2060, 2020RMB)'!$A$13:$W$54,17,0))^(1/3)-1</f>
        <v>6.7720746545205213E-2</v>
      </c>
      <c r="D52" s="160">
        <f>(VLOOKUP(B52,'增加值 (2001-2060, 2020RMB)'!$A$13:$W$54,23,0)/VLOOKUP(B52,'增加值 (2001-2060, 2020RMB)'!$A$13:$W$54,20,0))^(1/3)-1</f>
        <v>6.4716352530419963E-2</v>
      </c>
      <c r="E52" s="172">
        <v>1</v>
      </c>
      <c r="F52" s="173">
        <v>1</v>
      </c>
      <c r="G52" s="173">
        <v>0.8</v>
      </c>
      <c r="H52" s="173">
        <v>0.5</v>
      </c>
      <c r="I52" s="173">
        <v>0.5</v>
      </c>
      <c r="J52" s="159">
        <f t="shared" si="8"/>
        <v>6.6218549537812588E-2</v>
      </c>
      <c r="K52" s="159">
        <f t="shared" si="7"/>
        <v>6.6218549537812588E-2</v>
      </c>
      <c r="L52" s="159">
        <f t="shared" si="7"/>
        <v>5.297483963025007E-2</v>
      </c>
      <c r="M52" s="159">
        <f t="shared" si="7"/>
        <v>3.3109274768906294E-2</v>
      </c>
      <c r="N52" s="159">
        <f t="shared" si="7"/>
        <v>3.3109274768906294E-2</v>
      </c>
      <c r="O52" s="165">
        <f>VLOOKUP(B52,'增加值 (2001-2060, 2020RMB)'!$A$14:$W$54,23,0)*(1+J52)^3</f>
        <v>1574.031053931564</v>
      </c>
      <c r="P52" s="165">
        <f>VLOOKUP(B52,'增加值 (2001-2060, 2020RMB)'!$A$14:$AE$54,26,0)*(1+K52)^5</f>
        <v>2104.5866437033856</v>
      </c>
      <c r="Q52" s="165">
        <f>VLOOKUP(B52,'增加值 (2001-2060, 2020RMB)'!$A$14:$AE$54,31,0)*(1+L52)^5</f>
        <v>2556.0374384068659</v>
      </c>
      <c r="R52" s="165">
        <f>VLOOKUP(B52,'增加值 (2001-2060, 2020RMB)'!$A$14:$AJ$54,36,0)*(1+M52)^15</f>
        <v>3841.5830988162079</v>
      </c>
      <c r="S52" s="165">
        <f>VLOOKUP(B52,'增加值 (2001-2060, 2020RMB)'!$A$14:$AY$54,51,0)*(1+N52)^10</f>
        <v>3761.4386259723506</v>
      </c>
    </row>
    <row r="53" spans="1:19" x14ac:dyDescent="0.15">
      <c r="A53" s="155" t="s">
        <v>230</v>
      </c>
      <c r="B53" s="158" t="s">
        <v>231</v>
      </c>
      <c r="C53" s="161">
        <f>(VLOOKUP(B53,'增加值 (2001-2060, 2020RMB)'!$A$13:$W$54,20,0)/VLOOKUP(B53,'增加值 (2001-2060, 2020RMB)'!$A$13:$W$54,17,0))^(1/3)-1</f>
        <v>1.1202932590575365E-2</v>
      </c>
      <c r="D53" s="160">
        <f>(VLOOKUP(B53,'增加值 (2001-2060, 2020RMB)'!$A$13:$W$54,23,0)/VLOOKUP(B53,'增加值 (2001-2060, 2020RMB)'!$A$13:$W$54,20,0))^(1/3)-1</f>
        <v>5.4812951575273772E-3</v>
      </c>
      <c r="E53" s="172">
        <v>0.8</v>
      </c>
      <c r="F53" s="173">
        <v>0.85</v>
      </c>
      <c r="G53" s="173">
        <v>0.6</v>
      </c>
      <c r="H53" s="173">
        <v>0.3</v>
      </c>
      <c r="I53" s="173">
        <v>0.2</v>
      </c>
      <c r="J53" s="159">
        <f t="shared" si="8"/>
        <v>6.6736910992410969E-3</v>
      </c>
      <c r="K53" s="159">
        <f t="shared" si="7"/>
        <v>7.0907967929436655E-3</v>
      </c>
      <c r="L53" s="159">
        <f t="shared" si="7"/>
        <v>5.0052683244308227E-3</v>
      </c>
      <c r="M53" s="159">
        <f t="shared" si="7"/>
        <v>2.5026341622154114E-3</v>
      </c>
      <c r="N53" s="159">
        <f t="shared" si="7"/>
        <v>1.6684227748102742E-3</v>
      </c>
      <c r="O53" s="165">
        <f>VLOOKUP(B53,'增加值 (2001-2060, 2020RMB)'!$A$14:$W$54,23,0)*(1+J53)^3</f>
        <v>8283.4913181067059</v>
      </c>
      <c r="P53" s="165">
        <f>VLOOKUP(B53,'增加值 (2001-2060, 2020RMB)'!$A$14:$AE$54,26,0)*(1+K53)^5</f>
        <v>8326.8147282846257</v>
      </c>
      <c r="Q53" s="165">
        <f>VLOOKUP(B53,'增加值 (2001-2060, 2020RMB)'!$A$14:$AE$54,31,0)*(1+L53)^5</f>
        <v>8009.9724831641624</v>
      </c>
      <c r="R53" s="165">
        <f>VLOOKUP(B53,'增加值 (2001-2060, 2020RMB)'!$A$14:$AJ$54,36,0)*(1+M53)^15</f>
        <v>7667.6622630762795</v>
      </c>
      <c r="S53" s="165">
        <f>VLOOKUP(B53,'增加值 (2001-2060, 2020RMB)'!$A$14:$AY$54,51,0)*(1+N53)^10</f>
        <v>5511.6794131204633</v>
      </c>
    </row>
    <row r="54" spans="1:19" ht="15" x14ac:dyDescent="0.25">
      <c r="A54" s="156"/>
      <c r="B54" s="158" t="s">
        <v>232</v>
      </c>
      <c r="C54" s="161">
        <f>(VLOOKUP(B54,'增加值 (2001-2060, 2020RMB)'!$A$13:$W$54,20,0)/VLOOKUP(B54,'增加值 (2001-2060, 2020RMB)'!$A$13:$W$54,17,0))^(1/3)-1</f>
        <v>2.69344232492299E-2</v>
      </c>
      <c r="D54" s="160">
        <f>(VLOOKUP(B54,'增加值 (2001-2060, 2020RMB)'!$A$13:$W$54,23,0)/VLOOKUP(B54,'增加值 (2001-2060, 2020RMB)'!$A$13:$W$54,20,0))^(1/3)-1</f>
        <v>-3.0027664574899804E-3</v>
      </c>
      <c r="E54" s="172">
        <v>0.8</v>
      </c>
      <c r="F54" s="173">
        <v>0.85</v>
      </c>
      <c r="G54" s="173">
        <v>0.6</v>
      </c>
      <c r="H54" s="173">
        <v>0.3</v>
      </c>
      <c r="I54" s="173">
        <v>0.2</v>
      </c>
      <c r="J54" s="159">
        <f t="shared" si="8"/>
        <v>9.5726627166959691E-3</v>
      </c>
      <c r="K54" s="159">
        <f t="shared" si="7"/>
        <v>1.0170954136489465E-2</v>
      </c>
      <c r="L54" s="159">
        <f t="shared" si="7"/>
        <v>7.1794970375219751E-3</v>
      </c>
      <c r="M54" s="159">
        <f t="shared" si="7"/>
        <v>3.5897485187609875E-3</v>
      </c>
      <c r="N54" s="159">
        <f t="shared" si="7"/>
        <v>2.3931656791739923E-3</v>
      </c>
      <c r="O54" s="165">
        <f>VLOOKUP(B54,'增加值 (2001-2060, 2020RMB)'!$A$14:$W$54,23,0)*(1+J54)^3</f>
        <v>5293.3954540906525</v>
      </c>
      <c r="P54" s="165">
        <f>VLOOKUP(B54,'增加值 (2001-2060, 2020RMB)'!$A$14:$AE$54,26,0)*(1+K54)^5</f>
        <v>5402.9514964032442</v>
      </c>
      <c r="Q54" s="165">
        <f>VLOOKUP(B54,'增加值 (2001-2060, 2020RMB)'!$A$14:$AE$54,31,0)*(1+L54)^5</f>
        <v>5253.8283669046778</v>
      </c>
      <c r="R54" s="165">
        <f>VLOOKUP(B54,'增加值 (2001-2060, 2020RMB)'!$A$14:$AJ$54,36,0)*(1+M54)^15</f>
        <v>5111.7339498791034</v>
      </c>
      <c r="S54" s="165">
        <f>VLOOKUP(B54,'增加值 (2001-2060, 2020RMB)'!$A$14:$AY$54,51,0)*(1+N54)^10</f>
        <v>3701.0960436669702</v>
      </c>
    </row>
    <row r="55" spans="1:19" ht="15" x14ac:dyDescent="0.25">
      <c r="A55" s="156"/>
      <c r="B55" s="158" t="s">
        <v>233</v>
      </c>
      <c r="C55" s="161">
        <f>(VLOOKUP(B55,'增加值 (2001-2060, 2020RMB)'!$A$13:$W$54,20,0)/VLOOKUP(B55,'增加值 (2001-2060, 2020RMB)'!$A$13:$W$54,17,0))^(1/3)-1</f>
        <v>2.1415721542173971E-2</v>
      </c>
      <c r="D55" s="160">
        <f>(VLOOKUP(B55,'增加值 (2001-2060, 2020RMB)'!$A$13:$W$54,23,0)/VLOOKUP(B55,'增加值 (2001-2060, 2020RMB)'!$A$13:$W$54,20,0))^(1/3)-1</f>
        <v>3.0419244367445586E-2</v>
      </c>
      <c r="E55" s="172">
        <v>0.8</v>
      </c>
      <c r="F55" s="173">
        <v>0.85</v>
      </c>
      <c r="G55" s="173">
        <v>0.6</v>
      </c>
      <c r="H55" s="173">
        <v>0.3</v>
      </c>
      <c r="I55" s="173">
        <v>0.2</v>
      </c>
      <c r="J55" s="159">
        <f t="shared" si="8"/>
        <v>2.0733986363847823E-2</v>
      </c>
      <c r="K55" s="159">
        <f t="shared" si="7"/>
        <v>2.2029860511588312E-2</v>
      </c>
      <c r="L55" s="159">
        <f t="shared" si="7"/>
        <v>1.5550489772885867E-2</v>
      </c>
      <c r="M55" s="159">
        <f t="shared" si="7"/>
        <v>7.7752448864429335E-3</v>
      </c>
      <c r="N55" s="159">
        <f t="shared" si="7"/>
        <v>5.1834965909619557E-3</v>
      </c>
      <c r="O55" s="165">
        <f>VLOOKUP(B55,'增加值 (2001-2060, 2020RMB)'!$A$14:$W$54,23,0)*(1+J55)^3</f>
        <v>4354.0423833464019</v>
      </c>
      <c r="P55" s="165">
        <f>VLOOKUP(B55,'增加值 (2001-2060, 2020RMB)'!$A$14:$AE$54,26,0)*(1+K55)^5</f>
        <v>4711.2149557701241</v>
      </c>
      <c r="Q55" s="165">
        <f>VLOOKUP(B55,'增加值 (2001-2060, 2020RMB)'!$A$14:$AE$54,31,0)*(1+L55)^5</f>
        <v>4774.7534401007933</v>
      </c>
      <c r="R55" s="165">
        <f>VLOOKUP(B55,'增加值 (2001-2060, 2020RMB)'!$A$14:$AJ$54,36,0)*(1+M55)^15</f>
        <v>4944.8754382741208</v>
      </c>
      <c r="S55" s="165">
        <f>VLOOKUP(B55,'增加值 (2001-2060, 2020RMB)'!$A$14:$AY$54,51,0)*(1+N55)^10</f>
        <v>3681.2049351857117</v>
      </c>
    </row>
    <row r="56" spans="1:19" ht="15" x14ac:dyDescent="0.25">
      <c r="A56" s="156"/>
      <c r="B56" s="157" t="s">
        <v>234</v>
      </c>
      <c r="C56" s="161">
        <f>(VLOOKUP(B56,'增加值 (2001-2060, 2020RMB)'!$A$13:$W$54,20,0)/VLOOKUP(B56,'增加值 (2001-2060, 2020RMB)'!$A$13:$W$54,17,0))^(1/3)-1</f>
        <v>4.3953138286075832E-2</v>
      </c>
      <c r="D56" s="160">
        <f>(VLOOKUP(B56,'增加值 (2001-2060, 2020RMB)'!$A$13:$W$54,23,0)/VLOOKUP(B56,'增加值 (2001-2060, 2020RMB)'!$A$13:$W$54,20,0))^(1/3)-1</f>
        <v>-4.8253326651807038E-3</v>
      </c>
      <c r="E56" s="172">
        <v>0.8</v>
      </c>
      <c r="F56" s="173">
        <v>0.85</v>
      </c>
      <c r="G56" s="173">
        <v>0.6</v>
      </c>
      <c r="H56" s="173">
        <v>0.3</v>
      </c>
      <c r="I56" s="173">
        <v>0.2</v>
      </c>
      <c r="J56" s="159">
        <f t="shared" si="8"/>
        <v>1.5651122248358053E-2</v>
      </c>
      <c r="K56" s="159">
        <f t="shared" si="7"/>
        <v>1.6629317388880429E-2</v>
      </c>
      <c r="L56" s="159">
        <f t="shared" si="7"/>
        <v>1.1738341686268538E-2</v>
      </c>
      <c r="M56" s="159">
        <f t="shared" si="7"/>
        <v>5.8691708431342689E-3</v>
      </c>
      <c r="N56" s="159">
        <f t="shared" si="7"/>
        <v>3.9127805620895132E-3</v>
      </c>
      <c r="O56" s="165">
        <f>VLOOKUP(B56,'增加值 (2001-2060, 2020RMB)'!$A$14:$W$54,23,0)*(1+J56)^3</f>
        <v>6521.2679912670792</v>
      </c>
      <c r="P56" s="165">
        <f>VLOOKUP(B56,'增加值 (2001-2060, 2020RMB)'!$A$14:$AE$54,26,0)*(1+K56)^5</f>
        <v>6871.752994584961</v>
      </c>
      <c r="Q56" s="165">
        <f>VLOOKUP(B56,'增加值 (2001-2060, 2020RMB)'!$A$14:$AE$54,31,0)*(1+L56)^5</f>
        <v>6834.693042072352</v>
      </c>
      <c r="R56" s="165">
        <f>VLOOKUP(B56,'增加值 (2001-2060, 2020RMB)'!$A$14:$AJ$54,36,0)*(1+M56)^15</f>
        <v>6880.0341214220462</v>
      </c>
      <c r="S56" s="165">
        <f>VLOOKUP(B56,'增加值 (2001-2060, 2020RMB)'!$A$14:$AY$54,51,0)*(1+N56)^10</f>
        <v>5057.4496425562629</v>
      </c>
    </row>
    <row r="57" spans="1:19" ht="15" x14ac:dyDescent="0.25">
      <c r="A57" s="156"/>
      <c r="B57" s="157" t="s">
        <v>235</v>
      </c>
      <c r="C57" s="161">
        <f>(VLOOKUP(B57,'增加值 (2001-2060, 2020RMB)'!$A$13:$W$54,20,0)/VLOOKUP(B57,'增加值 (2001-2060, 2020RMB)'!$A$13:$W$54,17,0))^(1/3)-1</f>
        <v>3.0429296625402502E-2</v>
      </c>
      <c r="D57" s="160">
        <f>(VLOOKUP(B57,'增加值 (2001-2060, 2020RMB)'!$A$13:$W$54,23,0)/VLOOKUP(B57,'增加值 (2001-2060, 2020RMB)'!$A$13:$W$54,20,0))^(1/3)-1</f>
        <v>6.6952428340167458E-2</v>
      </c>
      <c r="E57" s="172">
        <v>0.8</v>
      </c>
      <c r="F57" s="173">
        <v>0.85</v>
      </c>
      <c r="G57" s="173">
        <v>0.6</v>
      </c>
      <c r="H57" s="173">
        <v>0.3</v>
      </c>
      <c r="I57" s="173">
        <v>0.2</v>
      </c>
      <c r="J57" s="159">
        <f t="shared" si="8"/>
        <v>3.8952689986227987E-2</v>
      </c>
      <c r="K57" s="159">
        <f t="shared" si="7"/>
        <v>4.1387233110367232E-2</v>
      </c>
      <c r="L57" s="159">
        <f t="shared" si="7"/>
        <v>2.9214517489670987E-2</v>
      </c>
      <c r="M57" s="159">
        <f t="shared" si="7"/>
        <v>1.4607258744835493E-2</v>
      </c>
      <c r="N57" s="159">
        <f t="shared" si="7"/>
        <v>9.7381724965569967E-3</v>
      </c>
      <c r="O57" s="165">
        <f>VLOOKUP(B57,'增加值 (2001-2060, 2020RMB)'!$A$14:$W$54,23,0)*(1+J57)^3</f>
        <v>26972.281532814872</v>
      </c>
      <c r="P57" s="165">
        <f>VLOOKUP(B57,'增加值 (2001-2060, 2020RMB)'!$A$14:$AE$54,26,0)*(1+K57)^5</f>
        <v>32055.405421482606</v>
      </c>
      <c r="Q57" s="165">
        <f>VLOOKUP(B57,'增加值 (2001-2060, 2020RMB)'!$A$14:$AE$54,31,0)*(1+L57)^5</f>
        <v>34732.914079122085</v>
      </c>
      <c r="R57" s="165">
        <f>VLOOKUP(B57,'增加值 (2001-2060, 2020RMB)'!$A$14:$AJ$54,36,0)*(1+M57)^15</f>
        <v>39807.033302323558</v>
      </c>
      <c r="S57" s="165">
        <f>VLOOKUP(B57,'增加值 (2001-2060, 2020RMB)'!$A$14:$AY$54,51,0)*(1+N57)^10</f>
        <v>31004.783526366082</v>
      </c>
    </row>
    <row r="58" spans="1:19" ht="15" x14ac:dyDescent="0.25">
      <c r="A58" s="156"/>
      <c r="B58" s="158" t="s">
        <v>236</v>
      </c>
      <c r="C58" s="161">
        <f>(VLOOKUP(B58,'增加值 (2001-2060, 2020RMB)'!$A$13:$W$54,20,0)/VLOOKUP(B58,'增加值 (2001-2060, 2020RMB)'!$A$13:$W$54,17,0))^(1/3)-1</f>
        <v>7.3724697676555095E-2</v>
      </c>
      <c r="D58" s="160">
        <f>(VLOOKUP(B58,'增加值 (2001-2060, 2020RMB)'!$A$13:$W$54,23,0)/VLOOKUP(B58,'增加值 (2001-2060, 2020RMB)'!$A$13:$W$54,20,0))^(1/3)-1</f>
        <v>4.2588314219098589E-2</v>
      </c>
      <c r="E58" s="172">
        <v>0.8</v>
      </c>
      <c r="F58" s="173">
        <v>0.85</v>
      </c>
      <c r="G58" s="173">
        <v>0.6</v>
      </c>
      <c r="H58" s="173">
        <v>0.3</v>
      </c>
      <c r="I58" s="173">
        <v>0.2</v>
      </c>
      <c r="J58" s="159">
        <f t="shared" si="8"/>
        <v>4.6525204758261475E-2</v>
      </c>
      <c r="K58" s="159">
        <f t="shared" si="7"/>
        <v>4.9433030055652812E-2</v>
      </c>
      <c r="L58" s="159">
        <f t="shared" si="7"/>
        <v>3.4893903568696101E-2</v>
      </c>
      <c r="M58" s="159">
        <f t="shared" si="7"/>
        <v>1.7446951784348051E-2</v>
      </c>
      <c r="N58" s="159">
        <f t="shared" si="7"/>
        <v>1.1631301189565369E-2</v>
      </c>
      <c r="O58" s="165">
        <f>VLOOKUP(B58,'增加值 (2001-2060, 2020RMB)'!$A$14:$W$54,23,0)*(1+J58)^3</f>
        <v>2128.6912552002736</v>
      </c>
      <c r="P58" s="165">
        <f>VLOOKUP(B58,'增加值 (2001-2060, 2020RMB)'!$A$14:$AE$54,26,0)*(1+K58)^5</f>
        <v>2629.1094486015168</v>
      </c>
      <c r="Q58" s="165">
        <f>VLOOKUP(B58,'增加值 (2001-2060, 2020RMB)'!$A$14:$AE$54,31,0)*(1+L58)^5</f>
        <v>2928.1831651154052</v>
      </c>
      <c r="R58" s="165">
        <f>VLOOKUP(B58,'增加值 (2001-2060, 2020RMB)'!$A$14:$AJ$54,36,0)*(1+M58)^15</f>
        <v>3499.6448930910806</v>
      </c>
      <c r="S58" s="165">
        <f>VLOOKUP(B58,'增加值 (2001-2060, 2020RMB)'!$A$14:$AY$54,51,0)*(1+N58)^10</f>
        <v>2777.3314213350891</v>
      </c>
    </row>
    <row r="59" spans="1:19" ht="15" x14ac:dyDescent="0.25">
      <c r="A59" s="156"/>
      <c r="B59" s="157" t="s">
        <v>237</v>
      </c>
      <c r="C59" s="161">
        <f>(VLOOKUP(B59,'增加值 (2001-2060, 2020RMB)'!$A$13:$W$54,20,0)/VLOOKUP(B59,'增加值 (2001-2060, 2020RMB)'!$A$13:$W$54,17,0))^(1/3)-1</f>
        <v>4.7039440342731886E-2</v>
      </c>
      <c r="D59" s="160">
        <f>(VLOOKUP(B59,'增加值 (2001-2060, 2020RMB)'!$A$13:$W$54,23,0)/VLOOKUP(B59,'增加值 (2001-2060, 2020RMB)'!$A$13:$W$54,20,0))^(1/3)-1</f>
        <v>3.8161551876011446E-2</v>
      </c>
      <c r="E59" s="172">
        <v>0.8</v>
      </c>
      <c r="F59" s="173">
        <v>0.85</v>
      </c>
      <c r="G59" s="173">
        <v>0.6</v>
      </c>
      <c r="H59" s="173">
        <v>0.3</v>
      </c>
      <c r="I59" s="173">
        <v>0.2</v>
      </c>
      <c r="J59" s="159">
        <f t="shared" si="8"/>
        <v>3.4080396887497331E-2</v>
      </c>
      <c r="K59" s="159">
        <f t="shared" si="7"/>
        <v>3.6210421692965913E-2</v>
      </c>
      <c r="L59" s="159">
        <f t="shared" si="7"/>
        <v>2.5560297665623E-2</v>
      </c>
      <c r="M59" s="159">
        <f t="shared" si="7"/>
        <v>1.27801488328115E-2</v>
      </c>
      <c r="N59" s="159">
        <f t="shared" si="7"/>
        <v>8.5200992218743329E-3</v>
      </c>
      <c r="O59" s="165">
        <f>VLOOKUP(B59,'增加值 (2001-2060, 2020RMB)'!$A$14:$W$54,23,0)*(1+J59)^3</f>
        <v>17829.768695104118</v>
      </c>
      <c r="P59" s="165">
        <f>VLOOKUP(B59,'增加值 (2001-2060, 2020RMB)'!$A$14:$AE$54,26,0)*(1+K59)^5</f>
        <v>20668.44639257732</v>
      </c>
      <c r="Q59" s="165">
        <f>VLOOKUP(B59,'增加值 (2001-2060, 2020RMB)'!$A$14:$AE$54,31,0)*(1+L59)^5</f>
        <v>22000.080098863487</v>
      </c>
      <c r="R59" s="165">
        <f>VLOOKUP(B59,'增加值 (2001-2060, 2020RMB)'!$A$14:$AJ$54,36,0)*(1+M59)^15</f>
        <v>24541.498717057621</v>
      </c>
      <c r="S59" s="165">
        <f>VLOOKUP(B59,'增加值 (2001-2060, 2020RMB)'!$A$14:$AY$54,51,0)*(1+N59)^10</f>
        <v>18885.470244509681</v>
      </c>
    </row>
    <row r="60" spans="1:19" ht="15" x14ac:dyDescent="0.25">
      <c r="A60" s="156"/>
      <c r="B60" s="157" t="s">
        <v>238</v>
      </c>
      <c r="C60" s="161">
        <f>(VLOOKUP(B60,'增加值 (2001-2060, 2020RMB)'!$A$13:$W$54,20,0)/VLOOKUP(B60,'增加值 (2001-2060, 2020RMB)'!$A$13:$W$54,17,0))^(1/3)-1</f>
        <v>4.6512456367293176E-2</v>
      </c>
      <c r="D60" s="160">
        <f>(VLOOKUP(B60,'增加值 (2001-2060, 2020RMB)'!$A$13:$W$54,23,0)/VLOOKUP(B60,'增加值 (2001-2060, 2020RMB)'!$A$13:$W$54,20,0))^(1/3)-1</f>
        <v>3.7900502191664298E-2</v>
      </c>
      <c r="E60" s="172">
        <v>0.8</v>
      </c>
      <c r="F60" s="173">
        <v>0.85</v>
      </c>
      <c r="G60" s="173">
        <v>0.6</v>
      </c>
      <c r="H60" s="173">
        <v>0.3</v>
      </c>
      <c r="I60" s="173">
        <v>0.2</v>
      </c>
      <c r="J60" s="159">
        <f t="shared" si="8"/>
        <v>3.3765183423582992E-2</v>
      </c>
      <c r="K60" s="159">
        <f t="shared" si="7"/>
        <v>3.5875507387556925E-2</v>
      </c>
      <c r="L60" s="159">
        <f t="shared" si="7"/>
        <v>2.5323887567687241E-2</v>
      </c>
      <c r="M60" s="159">
        <f t="shared" si="7"/>
        <v>1.266194378384362E-2</v>
      </c>
      <c r="N60" s="159">
        <f t="shared" si="7"/>
        <v>8.4412958558957481E-3</v>
      </c>
      <c r="O60" s="165">
        <f>VLOOKUP(B60,'增加值 (2001-2060, 2020RMB)'!$A$14:$W$54,23,0)*(1+J60)^3</f>
        <v>23755.265844808924</v>
      </c>
      <c r="P60" s="165">
        <f>VLOOKUP(B60,'增加值 (2001-2060, 2020RMB)'!$A$14:$AE$54,26,0)*(1+K60)^5</f>
        <v>27492.868956172468</v>
      </c>
      <c r="Q60" s="165">
        <f>VLOOKUP(B60,'增加值 (2001-2060, 2020RMB)'!$A$14:$AE$54,31,0)*(1+L60)^5</f>
        <v>29230.474821635769</v>
      </c>
      <c r="R60" s="165">
        <f>VLOOKUP(B60,'增加值 (2001-2060, 2020RMB)'!$A$14:$AJ$54,36,0)*(1+M60)^15</f>
        <v>32550.09981811024</v>
      </c>
      <c r="S60" s="165">
        <f>VLOOKUP(B60,'增加值 (2001-2060, 2020RMB)'!$A$14:$AY$54,51,0)*(1+N60)^10</f>
        <v>25028.780304680215</v>
      </c>
    </row>
    <row r="61" spans="1:19" ht="15" x14ac:dyDescent="0.25">
      <c r="A61" s="156"/>
      <c r="B61" s="157" t="s">
        <v>239</v>
      </c>
      <c r="C61" s="161">
        <f>(VLOOKUP(B61,'增加值 (2001-2060, 2020RMB)'!$A$13:$W$54,20,0)/VLOOKUP(B61,'增加值 (2001-2060, 2020RMB)'!$A$13:$W$54,17,0))^(1/3)-1</f>
        <v>5.1040412039642602E-2</v>
      </c>
      <c r="D61" s="160">
        <f>(VLOOKUP(B61,'增加值 (2001-2060, 2020RMB)'!$A$13:$W$54,23,0)/VLOOKUP(B61,'增加值 (2001-2060, 2020RMB)'!$A$13:$W$54,20,0))^(1/3)-1</f>
        <v>4.6563598012598018E-2</v>
      </c>
      <c r="E61" s="172">
        <v>0.8</v>
      </c>
      <c r="F61" s="173">
        <v>0.85</v>
      </c>
      <c r="G61" s="173">
        <v>0.6</v>
      </c>
      <c r="H61" s="173">
        <v>0.3</v>
      </c>
      <c r="I61" s="173">
        <v>0.2</v>
      </c>
      <c r="J61" s="159">
        <f t="shared" si="8"/>
        <v>3.9041604020896251E-2</v>
      </c>
      <c r="K61" s="159">
        <f t="shared" si="7"/>
        <v>4.1481704272202262E-2</v>
      </c>
      <c r="L61" s="159">
        <f t="shared" si="7"/>
        <v>2.9281203015672184E-2</v>
      </c>
      <c r="M61" s="159">
        <f t="shared" si="7"/>
        <v>1.4640601507836092E-2</v>
      </c>
      <c r="N61" s="159">
        <f t="shared" si="7"/>
        <v>9.7604010052240626E-3</v>
      </c>
      <c r="O61" s="165">
        <f>VLOOKUP(B61,'增加值 (2001-2060, 2020RMB)'!$A$14:$W$54,23,0)*(1+J61)^3</f>
        <v>14812.094168009589</v>
      </c>
      <c r="P61" s="165">
        <f>VLOOKUP(B61,'增加值 (2001-2060, 2020RMB)'!$A$14:$AE$54,26,0)*(1+K61)^5</f>
        <v>17611.527857240348</v>
      </c>
      <c r="Q61" s="165">
        <f>VLOOKUP(B61,'增加值 (2001-2060, 2020RMB)'!$A$14:$AE$54,31,0)*(1+L61)^5</f>
        <v>19088.758032888229</v>
      </c>
      <c r="R61" s="165">
        <f>VLOOKUP(B61,'增加值 (2001-2060, 2020RMB)'!$A$14:$AJ$54,36,0)*(1+M61)^15</f>
        <v>21888.214752754182</v>
      </c>
      <c r="S61" s="165">
        <f>VLOOKUP(B61,'增加值 (2001-2060, 2020RMB)'!$A$14:$AY$54,51,0)*(1+N61)^10</f>
        <v>17051.980899774655</v>
      </c>
    </row>
    <row r="62" spans="1:19" x14ac:dyDescent="0.15">
      <c r="A62" s="155" t="s">
        <v>240</v>
      </c>
      <c r="B62" s="158" t="s">
        <v>241</v>
      </c>
      <c r="C62" s="161">
        <f>(VLOOKUP(B62,'增加值 (2001-2060, 2020RMB)'!$A$13:$W$54,20,0)/VLOOKUP(B62,'增加值 (2001-2060, 2020RMB)'!$A$13:$W$54,17,0))^(1/3)-1</f>
        <v>3.8478237653810199E-2</v>
      </c>
      <c r="D62" s="160">
        <f>(VLOOKUP(B62,'增加值 (2001-2060, 2020RMB)'!$A$13:$W$54,23,0)/VLOOKUP(B62,'增加值 (2001-2060, 2020RMB)'!$A$13:$W$54,20,0))^(1/3)-1</f>
        <v>3.0088112665055178E-2</v>
      </c>
      <c r="E62" s="172">
        <v>0.7</v>
      </c>
      <c r="F62" s="173">
        <v>0.5</v>
      </c>
      <c r="G62" s="173">
        <v>0.4</v>
      </c>
      <c r="H62" s="173">
        <v>0.3</v>
      </c>
      <c r="I62" s="173">
        <v>0.2</v>
      </c>
      <c r="J62" s="159">
        <f t="shared" si="8"/>
        <v>2.3998222611602879E-2</v>
      </c>
      <c r="K62" s="159">
        <f t="shared" si="7"/>
        <v>1.7141587579716344E-2</v>
      </c>
      <c r="L62" s="159">
        <f t="shared" si="7"/>
        <v>1.3713270063773077E-2</v>
      </c>
      <c r="M62" s="159">
        <f t="shared" si="7"/>
        <v>1.0284952547829806E-2</v>
      </c>
      <c r="N62" s="159">
        <f t="shared" si="7"/>
        <v>6.8566350318865384E-3</v>
      </c>
      <c r="O62" s="165">
        <f>VLOOKUP(B62,'增加值 (2001-2060, 2020RMB)'!$A$14:$W$54,23,0)*(1+J62)^3</f>
        <v>12865.168475545936</v>
      </c>
      <c r="P62" s="165">
        <f>VLOOKUP(B62,'增加值 (2001-2060, 2020RMB)'!$A$14:$AE$54,26,0)*(1+K62)^5</f>
        <v>13590.795565683316</v>
      </c>
      <c r="Q62" s="165">
        <f>VLOOKUP(B62,'增加值 (2001-2060, 2020RMB)'!$A$14:$AE$54,31,0)*(1+L62)^5</f>
        <v>13649.947116788742</v>
      </c>
      <c r="R62" s="165">
        <f>VLOOKUP(B62,'增加值 (2001-2060, 2020RMB)'!$A$14:$AJ$54,36,0)*(1+M62)^15</f>
        <v>14673.656606034327</v>
      </c>
      <c r="S62" s="165">
        <f>VLOOKUP(B62,'增加值 (2001-2060, 2020RMB)'!$A$14:$AY$54,51,0)*(1+N62)^10</f>
        <v>11106.97663702948</v>
      </c>
    </row>
    <row r="63" spans="1:19" ht="15" x14ac:dyDescent="0.25">
      <c r="A63" s="156"/>
      <c r="B63" s="158" t="s">
        <v>242</v>
      </c>
      <c r="C63" s="161">
        <f>(VLOOKUP(B63,'增加值 (2001-2060, 2020RMB)'!$A$13:$W$54,20,0)/VLOOKUP(B63,'增加值 (2001-2060, 2020RMB)'!$A$13:$W$54,17,0))^(1/3)-1</f>
        <v>6.0041288590014119E-2</v>
      </c>
      <c r="D63" s="160">
        <f>(VLOOKUP(B63,'增加值 (2001-2060, 2020RMB)'!$A$13:$W$54,23,0)/VLOOKUP(B63,'增加值 (2001-2060, 2020RMB)'!$A$13:$W$54,20,0))^(1/3)-1</f>
        <v>4.6893213334837647E-2</v>
      </c>
      <c r="E63" s="172">
        <v>0.7</v>
      </c>
      <c r="F63" s="173">
        <v>0.5</v>
      </c>
      <c r="G63" s="173">
        <v>0.4</v>
      </c>
      <c r="H63" s="173">
        <v>0.3</v>
      </c>
      <c r="I63" s="173">
        <v>0.2</v>
      </c>
      <c r="J63" s="159">
        <f t="shared" si="8"/>
        <v>3.7427075673698115E-2</v>
      </c>
      <c r="K63" s="159">
        <f t="shared" si="7"/>
        <v>2.6733625481212941E-2</v>
      </c>
      <c r="L63" s="159">
        <f t="shared" si="7"/>
        <v>2.1386900384970355E-2</v>
      </c>
      <c r="M63" s="159">
        <f t="shared" si="7"/>
        <v>1.6040175288727764E-2</v>
      </c>
      <c r="N63" s="159">
        <f t="shared" si="7"/>
        <v>1.0693450192485177E-2</v>
      </c>
      <c r="O63" s="165">
        <f>VLOOKUP(B63,'增加值 (2001-2060, 2020RMB)'!$A$14:$W$54,23,0)*(1+J63)^3</f>
        <v>7400.311414477721</v>
      </c>
      <c r="P63" s="165">
        <f>VLOOKUP(B63,'增加值 (2001-2060, 2020RMB)'!$A$14:$AE$54,26,0)*(1+K63)^5</f>
        <v>8193.345464652346</v>
      </c>
      <c r="Q63" s="165">
        <f>VLOOKUP(B63,'增加值 (2001-2060, 2020RMB)'!$A$14:$AE$54,31,0)*(1+L63)^5</f>
        <v>8545.2173851213665</v>
      </c>
      <c r="R63" s="165">
        <f>VLOOKUP(B63,'增加值 (2001-2060, 2020RMB)'!$A$14:$AJ$54,36,0)*(1+M63)^15</f>
        <v>10003.119132867469</v>
      </c>
      <c r="S63" s="165">
        <f>VLOOKUP(B63,'增加值 (2001-2060, 2020RMB)'!$A$14:$AY$54,51,0)*(1+N63)^10</f>
        <v>7865.2240249086717</v>
      </c>
    </row>
    <row r="64" spans="1:19" ht="15" x14ac:dyDescent="0.25">
      <c r="A64" s="156"/>
      <c r="B64" s="158" t="s">
        <v>243</v>
      </c>
      <c r="C64" s="161">
        <f>(VLOOKUP(B64,'增加值 (2001-2060, 2020RMB)'!$A$13:$W$54,20,0)/VLOOKUP(B64,'增加值 (2001-2060, 2020RMB)'!$A$13:$W$54,17,0))^(1/3)-1</f>
        <v>6.5041663653590875E-2</v>
      </c>
      <c r="D64" s="160">
        <f>(VLOOKUP(B64,'增加值 (2001-2060, 2020RMB)'!$A$13:$W$54,23,0)/VLOOKUP(B64,'增加值 (2001-2060, 2020RMB)'!$A$13:$W$54,20,0))^(1/3)-1</f>
        <v>5.3855301278841861E-2</v>
      </c>
      <c r="E64" s="172">
        <v>0.7</v>
      </c>
      <c r="F64" s="173">
        <v>0.5</v>
      </c>
      <c r="G64" s="173">
        <v>0.4</v>
      </c>
      <c r="H64" s="173">
        <v>0.3</v>
      </c>
      <c r="I64" s="173">
        <v>0.2</v>
      </c>
      <c r="J64" s="159">
        <f t="shared" si="8"/>
        <v>4.1613937726351455E-2</v>
      </c>
      <c r="K64" s="159">
        <f t="shared" ref="K64:K88" si="9">AVERAGE($C64:$D64)*F64</f>
        <v>2.9724241233108184E-2</v>
      </c>
      <c r="L64" s="159">
        <f t="shared" ref="L64:L88" si="10">AVERAGE($C64:$D64)*G64</f>
        <v>2.3779392986486549E-2</v>
      </c>
      <c r="M64" s="159">
        <f t="shared" ref="M64:M88" si="11">AVERAGE($C64:$D64)*H64</f>
        <v>1.783454473986491E-2</v>
      </c>
      <c r="N64" s="159">
        <f t="shared" ref="N64:N88" si="12">AVERAGE($C64:$D64)*I64</f>
        <v>1.1889696493243274E-2</v>
      </c>
      <c r="O64" s="165">
        <f>VLOOKUP(B64,'增加值 (2001-2060, 2020RMB)'!$A$14:$W$54,23,0)*(1+J64)^3</f>
        <v>8218.2868008334754</v>
      </c>
      <c r="P64" s="165">
        <f>VLOOKUP(B64,'增加值 (2001-2060, 2020RMB)'!$A$14:$AE$54,26,0)*(1+K64)^5</f>
        <v>9232.2662643587755</v>
      </c>
      <c r="Q64" s="165">
        <f>VLOOKUP(B64,'增加值 (2001-2060, 2020RMB)'!$A$14:$AE$54,31,0)*(1+L64)^5</f>
        <v>9742.0570882631055</v>
      </c>
      <c r="R64" s="165">
        <f>VLOOKUP(B64,'增加值 (2001-2060, 2020RMB)'!$A$14:$AJ$54,36,0)*(1+M64)^15</f>
        <v>11710.018529002633</v>
      </c>
      <c r="S64" s="165">
        <f>VLOOKUP(B64,'增加值 (2001-2060, 2020RMB)'!$A$14:$AY$54,51,0)*(1+N64)^10</f>
        <v>9316.8791708221925</v>
      </c>
    </row>
    <row r="65" spans="1:19" ht="15" x14ac:dyDescent="0.25">
      <c r="A65" s="156"/>
      <c r="B65" s="158" t="s">
        <v>244</v>
      </c>
      <c r="C65" s="161">
        <f>(VLOOKUP(B65,'增加值 (2001-2060, 2020RMB)'!$A$13:$W$54,20,0)/VLOOKUP(B65,'增加值 (2001-2060, 2020RMB)'!$A$13:$W$54,17,0))^(1/3)-1</f>
        <v>3.8972978413204906E-2</v>
      </c>
      <c r="D65" s="160">
        <f>(VLOOKUP(B65,'增加值 (2001-2060, 2020RMB)'!$A$13:$W$54,23,0)/VLOOKUP(B65,'增加值 (2001-2060, 2020RMB)'!$A$13:$W$54,20,0))^(1/3)-1</f>
        <v>5.3533902155058266E-2</v>
      </c>
      <c r="E65" s="172">
        <v>0.7</v>
      </c>
      <c r="F65" s="173">
        <v>0.5</v>
      </c>
      <c r="G65" s="173">
        <v>0.4</v>
      </c>
      <c r="H65" s="173">
        <v>0.3</v>
      </c>
      <c r="I65" s="173">
        <v>0.2</v>
      </c>
      <c r="J65" s="159">
        <f t="shared" si="8"/>
        <v>3.2377408198892108E-2</v>
      </c>
      <c r="K65" s="159">
        <f t="shared" si="9"/>
        <v>2.3126720142065793E-2</v>
      </c>
      <c r="L65" s="159">
        <f t="shared" si="10"/>
        <v>1.8501376113652636E-2</v>
      </c>
      <c r="M65" s="159">
        <f t="shared" si="11"/>
        <v>1.3876032085239475E-2</v>
      </c>
      <c r="N65" s="159">
        <f t="shared" si="12"/>
        <v>9.2506880568263179E-3</v>
      </c>
      <c r="O65" s="165">
        <f>VLOOKUP(B65,'增加值 (2001-2060, 2020RMB)'!$A$14:$W$54,23,0)*(1+J65)^3</f>
        <v>9924.2040539720856</v>
      </c>
      <c r="P65" s="165">
        <f>VLOOKUP(B65,'增加值 (2001-2060, 2020RMB)'!$A$14:$AE$54,26,0)*(1+K65)^5</f>
        <v>10796.056882277901</v>
      </c>
      <c r="Q65" s="165">
        <f>VLOOKUP(B65,'增加值 (2001-2060, 2020RMB)'!$A$14:$AE$54,31,0)*(1+L65)^5</f>
        <v>11101.551942639338</v>
      </c>
      <c r="R65" s="165">
        <f>VLOOKUP(B65,'增加值 (2001-2060, 2020RMB)'!$A$14:$AJ$54,36,0)*(1+M65)^15</f>
        <v>12586.519627102709</v>
      </c>
      <c r="S65" s="165">
        <f>VLOOKUP(B65,'增加值 (2001-2060, 2020RMB)'!$A$14:$AY$54,51,0)*(1+N65)^10</f>
        <v>9756.124693774731</v>
      </c>
    </row>
    <row r="66" spans="1:19" ht="15" x14ac:dyDescent="0.25">
      <c r="A66" s="156"/>
      <c r="B66" s="158" t="s">
        <v>245</v>
      </c>
      <c r="C66" s="161">
        <f>(VLOOKUP(B66,'增加值 (2001-2060, 2020RMB)'!$A$13:$W$54,20,0)/VLOOKUP(B66,'增加值 (2001-2060, 2020RMB)'!$A$13:$W$54,17,0))^(1/3)-1</f>
        <v>2.805962569093623E-2</v>
      </c>
      <c r="D66" s="160">
        <f>(VLOOKUP(B66,'增加值 (2001-2060, 2020RMB)'!$A$13:$W$54,23,0)/VLOOKUP(B66,'增加值 (2001-2060, 2020RMB)'!$A$13:$W$54,20,0))^(1/3)-1</f>
        <v>-7.6523101069775334E-3</v>
      </c>
      <c r="E66" s="172">
        <v>0.7</v>
      </c>
      <c r="F66" s="173">
        <v>0.5</v>
      </c>
      <c r="G66" s="173">
        <v>0.4</v>
      </c>
      <c r="H66" s="173">
        <v>0.3</v>
      </c>
      <c r="I66" s="173">
        <v>0.2</v>
      </c>
      <c r="J66" s="159">
        <f t="shared" si="8"/>
        <v>7.1425604543855431E-3</v>
      </c>
      <c r="K66" s="159">
        <f t="shared" si="9"/>
        <v>5.101828895989674E-3</v>
      </c>
      <c r="L66" s="159">
        <f t="shared" si="10"/>
        <v>4.0814631167917391E-3</v>
      </c>
      <c r="M66" s="159">
        <f t="shared" si="11"/>
        <v>3.0610973375938045E-3</v>
      </c>
      <c r="N66" s="159">
        <f t="shared" si="12"/>
        <v>2.0407315583958695E-3</v>
      </c>
      <c r="O66" s="165">
        <f>VLOOKUP(B66,'增加值 (2001-2060, 2020RMB)'!$A$14:$W$54,23,0)*(1+J66)^3</f>
        <v>3427.7753595399113</v>
      </c>
      <c r="P66" s="165">
        <f>VLOOKUP(B66,'增加值 (2001-2060, 2020RMB)'!$A$14:$AE$54,26,0)*(1+K66)^5</f>
        <v>3411.811375797764</v>
      </c>
      <c r="Q66" s="165">
        <f>VLOOKUP(B66,'增加值 (2001-2060, 2020RMB)'!$A$14:$AE$54,31,0)*(1+L66)^5</f>
        <v>3266.9327194773659</v>
      </c>
      <c r="R66" s="165">
        <f>VLOOKUP(B66,'增加值 (2001-2060, 2020RMB)'!$A$14:$AJ$54,36,0)*(1+M66)^15</f>
        <v>3153.5528333171455</v>
      </c>
      <c r="S66" s="165">
        <f>VLOOKUP(B66,'增加值 (2001-2060, 2020RMB)'!$A$14:$AY$54,51,0)*(1+N66)^10</f>
        <v>2275.2808331274041</v>
      </c>
    </row>
    <row r="67" spans="1:19" ht="15" x14ac:dyDescent="0.25">
      <c r="A67" s="156"/>
      <c r="B67" s="158" t="s">
        <v>246</v>
      </c>
      <c r="C67" s="161">
        <f>(VLOOKUP(B67,'增加值 (2001-2060, 2020RMB)'!$A$13:$W$54,20,0)/VLOOKUP(B67,'增加值 (2001-2060, 2020RMB)'!$A$13:$W$54,17,0))^(1/3)-1</f>
        <v>2.7321656461441357E-2</v>
      </c>
      <c r="D67" s="160">
        <f>(VLOOKUP(B67,'增加值 (2001-2060, 2020RMB)'!$A$13:$W$54,23,0)/VLOOKUP(B67,'增加值 (2001-2060, 2020RMB)'!$A$13:$W$54,20,0))^(1/3)-1</f>
        <v>3.3080810164053176E-2</v>
      </c>
      <c r="E67" s="172">
        <v>0.7</v>
      </c>
      <c r="F67" s="173">
        <v>0.5</v>
      </c>
      <c r="G67" s="173">
        <v>0.4</v>
      </c>
      <c r="H67" s="173">
        <v>0.3</v>
      </c>
      <c r="I67" s="173">
        <v>0.2</v>
      </c>
      <c r="J67" s="159">
        <f t="shared" si="8"/>
        <v>2.1140863318923085E-2</v>
      </c>
      <c r="K67" s="159">
        <f t="shared" si="9"/>
        <v>1.5100616656373633E-2</v>
      </c>
      <c r="L67" s="159">
        <f t="shared" si="10"/>
        <v>1.2080493325098907E-2</v>
      </c>
      <c r="M67" s="159">
        <f t="shared" si="11"/>
        <v>9.0603699938241796E-3</v>
      </c>
      <c r="N67" s="159">
        <f t="shared" si="12"/>
        <v>6.0402466625494537E-3</v>
      </c>
      <c r="O67" s="165">
        <f>VLOOKUP(B67,'增加值 (2001-2060, 2020RMB)'!$A$14:$W$54,23,0)*(1+J67)^3</f>
        <v>3267.8927902260921</v>
      </c>
      <c r="P67" s="165">
        <f>VLOOKUP(B67,'增加值 (2001-2060, 2020RMB)'!$A$14:$AE$54,26,0)*(1+K67)^5</f>
        <v>3417.7130947256369</v>
      </c>
      <c r="Q67" s="165">
        <f>VLOOKUP(B67,'增加值 (2001-2060, 2020RMB)'!$A$14:$AE$54,31,0)*(1+L67)^5</f>
        <v>3405.0328416316261</v>
      </c>
      <c r="R67" s="165">
        <f>VLOOKUP(B67,'增加值 (2001-2060, 2020RMB)'!$A$14:$AJ$54,36,0)*(1+M67)^15</f>
        <v>3594.4104558381559</v>
      </c>
      <c r="S67" s="165">
        <f>VLOOKUP(B67,'增加值 (2001-2060, 2020RMB)'!$A$14:$AY$54,51,0)*(1+N67)^10</f>
        <v>2698.748180974892</v>
      </c>
    </row>
    <row r="68" spans="1:19" ht="15" x14ac:dyDescent="0.25">
      <c r="A68" s="156"/>
      <c r="B68" s="158" t="s">
        <v>247</v>
      </c>
      <c r="C68" s="161">
        <f>(VLOOKUP(B68,'增加值 (2001-2060, 2020RMB)'!$A$13:$W$54,20,0)/VLOOKUP(B68,'增加值 (2001-2060, 2020RMB)'!$A$13:$W$54,17,0))^(1/3)-1</f>
        <v>4.9172685554043749E-2</v>
      </c>
      <c r="D68" s="160">
        <f>(VLOOKUP(B68,'增加值 (2001-2060, 2020RMB)'!$A$13:$W$54,23,0)/VLOOKUP(B68,'增加值 (2001-2060, 2020RMB)'!$A$13:$W$54,20,0))^(1/3)-1</f>
        <v>7.9168483237206377E-3</v>
      </c>
      <c r="E68" s="172">
        <v>0.7</v>
      </c>
      <c r="F68" s="173">
        <v>0.5</v>
      </c>
      <c r="G68" s="173">
        <v>0.4</v>
      </c>
      <c r="H68" s="173">
        <v>0.3</v>
      </c>
      <c r="I68" s="173">
        <v>0.2</v>
      </c>
      <c r="J68" s="159">
        <f t="shared" si="8"/>
        <v>1.9981336857217535E-2</v>
      </c>
      <c r="K68" s="159">
        <f t="shared" si="9"/>
        <v>1.4272383469441097E-2</v>
      </c>
      <c r="L68" s="159">
        <f t="shared" si="10"/>
        <v>1.1417906775552877E-2</v>
      </c>
      <c r="M68" s="159">
        <f t="shared" si="11"/>
        <v>8.563430081664658E-3</v>
      </c>
      <c r="N68" s="159">
        <f t="shared" si="12"/>
        <v>5.7089533877764387E-3</v>
      </c>
      <c r="O68" s="165">
        <f>VLOOKUP(B68,'增加值 (2001-2060, 2020RMB)'!$A$14:$W$54,23,0)*(1+J68)^3</f>
        <v>1912.3334990883588</v>
      </c>
      <c r="P68" s="165">
        <f>VLOOKUP(B68,'增加值 (2001-2060, 2020RMB)'!$A$14:$AE$54,26,0)*(1+K68)^5</f>
        <v>1991.8607807298445</v>
      </c>
      <c r="Q68" s="165">
        <f>VLOOKUP(B68,'增加值 (2001-2060, 2020RMB)'!$A$14:$AE$54,31,0)*(1+L68)^5</f>
        <v>1977.9832202551306</v>
      </c>
      <c r="R68" s="165">
        <f>VLOOKUP(B68,'增加值 (2001-2060, 2020RMB)'!$A$14:$AJ$54,36,0)*(1+M68)^15</f>
        <v>2072.6213632637987</v>
      </c>
      <c r="S68" s="165">
        <f>VLOOKUP(B68,'增加值 (2001-2060, 2020RMB)'!$A$14:$AY$54,51,0)*(1+N68)^10</f>
        <v>1551.0445730169106</v>
      </c>
    </row>
    <row r="69" spans="1:19" ht="15" x14ac:dyDescent="0.25">
      <c r="A69" s="156"/>
      <c r="B69" s="158" t="s">
        <v>248</v>
      </c>
      <c r="C69" s="161">
        <f>(VLOOKUP(B69,'增加值 (2001-2060, 2020RMB)'!$A$13:$W$54,20,0)/VLOOKUP(B69,'增加值 (2001-2060, 2020RMB)'!$A$13:$W$54,17,0))^(1/3)-1</f>
        <v>5.3112706149011091E-2</v>
      </c>
      <c r="D69" s="160">
        <f>(VLOOKUP(B69,'增加值 (2001-2060, 2020RMB)'!$A$13:$W$54,23,0)/VLOOKUP(B69,'增加值 (2001-2060, 2020RMB)'!$A$13:$W$54,20,0))^(1/3)-1</f>
        <v>3.8330072814003913E-2</v>
      </c>
      <c r="E69" s="172">
        <v>0.7</v>
      </c>
      <c r="F69" s="173">
        <v>0.5</v>
      </c>
      <c r="G69" s="173">
        <v>0.4</v>
      </c>
      <c r="H69" s="173">
        <v>0.3</v>
      </c>
      <c r="I69" s="173">
        <v>0.2</v>
      </c>
      <c r="J69" s="159">
        <f t="shared" si="8"/>
        <v>3.2004972637055248E-2</v>
      </c>
      <c r="K69" s="159">
        <f t="shared" si="9"/>
        <v>2.2860694740753751E-2</v>
      </c>
      <c r="L69" s="159">
        <f t="shared" si="10"/>
        <v>1.8288555792603002E-2</v>
      </c>
      <c r="M69" s="159">
        <f t="shared" si="11"/>
        <v>1.371641684445225E-2</v>
      </c>
      <c r="N69" s="159">
        <f t="shared" si="12"/>
        <v>9.144277896301501E-3</v>
      </c>
      <c r="O69" s="165">
        <f>VLOOKUP(B69,'增加值 (2001-2060, 2020RMB)'!$A$14:$W$54,23,0)*(1+J69)^3</f>
        <v>2141.035192325126</v>
      </c>
      <c r="P69" s="165">
        <f>VLOOKUP(B69,'增加值 (2001-2060, 2020RMB)'!$A$14:$AE$54,26,0)*(1+K69)^5</f>
        <v>2326.1011820042295</v>
      </c>
      <c r="Q69" s="165">
        <f>VLOOKUP(B69,'增加值 (2001-2060, 2020RMB)'!$A$14:$AE$54,31,0)*(1+L69)^5</f>
        <v>2389.4246906338553</v>
      </c>
      <c r="R69" s="165">
        <f>VLOOKUP(B69,'增加值 (2001-2060, 2020RMB)'!$A$14:$AJ$54,36,0)*(1+M69)^15</f>
        <v>2702.6490783012423</v>
      </c>
      <c r="S69" s="165">
        <f>VLOOKUP(B69,'增加值 (2001-2060, 2020RMB)'!$A$14:$AY$54,51,0)*(1+N69)^10</f>
        <v>2092.6828843952253</v>
      </c>
    </row>
    <row r="70" spans="1:19" ht="15" x14ac:dyDescent="0.25">
      <c r="A70" s="156"/>
      <c r="B70" s="158" t="s">
        <v>249</v>
      </c>
      <c r="C70" s="161">
        <f>(VLOOKUP(B70,'增加值 (2001-2060, 2020RMB)'!$A$13:$W$54,20,0)/VLOOKUP(B70,'增加值 (2001-2060, 2020RMB)'!$A$13:$W$54,17,0))^(1/3)-1</f>
        <v>4.9337411046651347E-2</v>
      </c>
      <c r="D70" s="160">
        <f>(VLOOKUP(B70,'增加值 (2001-2060, 2020RMB)'!$A$13:$W$54,23,0)/VLOOKUP(B70,'增加值 (2001-2060, 2020RMB)'!$A$13:$W$54,20,0))^(1/3)-1</f>
        <v>2.4824549543858154E-2</v>
      </c>
      <c r="E70" s="172">
        <v>0.7</v>
      </c>
      <c r="F70" s="173">
        <v>0.5</v>
      </c>
      <c r="G70" s="173">
        <v>0.4</v>
      </c>
      <c r="H70" s="173">
        <v>0.3</v>
      </c>
      <c r="I70" s="173">
        <v>0.2</v>
      </c>
      <c r="J70" s="159">
        <f t="shared" si="8"/>
        <v>2.5956686206678323E-2</v>
      </c>
      <c r="K70" s="159">
        <f t="shared" si="9"/>
        <v>1.8540490147627375E-2</v>
      </c>
      <c r="L70" s="159">
        <f t="shared" si="10"/>
        <v>1.4832392118101901E-2</v>
      </c>
      <c r="M70" s="159">
        <f t="shared" si="11"/>
        <v>1.1124294088576426E-2</v>
      </c>
      <c r="N70" s="159">
        <f t="shared" si="12"/>
        <v>7.4161960590509507E-3</v>
      </c>
      <c r="O70" s="165">
        <f>VLOOKUP(B70,'增加值 (2001-2060, 2020RMB)'!$A$14:$W$54,23,0)*(1+J70)^3</f>
        <v>2521.6775690538466</v>
      </c>
      <c r="P70" s="165">
        <f>VLOOKUP(B70,'增加值 (2001-2060, 2020RMB)'!$A$14:$AE$54,26,0)*(1+K70)^5</f>
        <v>2682.2755487632876</v>
      </c>
      <c r="Q70" s="165">
        <f>VLOOKUP(B70,'增加值 (2001-2060, 2020RMB)'!$A$14:$AE$54,31,0)*(1+L70)^5</f>
        <v>2708.8529227056065</v>
      </c>
      <c r="R70" s="165">
        <f>VLOOKUP(B70,'增加值 (2001-2060, 2020RMB)'!$A$14:$AJ$54,36,0)*(1+M70)^15</f>
        <v>2948.5107705408241</v>
      </c>
      <c r="S70" s="165">
        <f>VLOOKUP(B70,'增加值 (2001-2060, 2020RMB)'!$A$14:$AY$54,51,0)*(1+N70)^10</f>
        <v>2244.259894245401</v>
      </c>
    </row>
    <row r="71" spans="1:19" x14ac:dyDescent="0.15">
      <c r="A71" s="155" t="s">
        <v>250</v>
      </c>
      <c r="B71" s="158" t="s">
        <v>251</v>
      </c>
      <c r="C71" s="161">
        <f>(VLOOKUP(B71,'增加值 (2001-2060, 2020RMB)'!$A$13:$W$54,20,0)/VLOOKUP(B71,'增加值 (2001-2060, 2020RMB)'!$A$13:$W$54,17,0))^(1/3)-1</f>
        <v>4.3911486408383826E-2</v>
      </c>
      <c r="D71" s="160">
        <f>(VLOOKUP(B71,'增加值 (2001-2060, 2020RMB)'!$A$13:$W$54,23,0)/VLOOKUP(B71,'增加值 (2001-2060, 2020RMB)'!$A$13:$W$54,20,0))^(1/3)-1</f>
        <v>7.5370857891373655E-2</v>
      </c>
      <c r="E71" s="172">
        <v>0.8</v>
      </c>
      <c r="F71" s="173">
        <v>0.7</v>
      </c>
      <c r="G71" s="173">
        <v>0.6</v>
      </c>
      <c r="H71" s="173">
        <v>0.4</v>
      </c>
      <c r="I71" s="173">
        <v>0.3</v>
      </c>
      <c r="J71" s="159">
        <f t="shared" si="8"/>
        <v>4.7712937719902995E-2</v>
      </c>
      <c r="K71" s="159">
        <f t="shared" si="9"/>
        <v>4.1748820504915116E-2</v>
      </c>
      <c r="L71" s="159">
        <f t="shared" si="10"/>
        <v>3.5784703289927243E-2</v>
      </c>
      <c r="M71" s="159">
        <f t="shared" si="11"/>
        <v>2.3856468859951498E-2</v>
      </c>
      <c r="N71" s="159">
        <f t="shared" si="12"/>
        <v>1.7892351644963621E-2</v>
      </c>
      <c r="O71" s="165">
        <f>VLOOKUP(B71,'增加值 (2001-2060, 2020RMB)'!$A$14:$W$54,23,0)*(1+J71)^3</f>
        <v>17457.395744319903</v>
      </c>
      <c r="P71" s="165">
        <f>VLOOKUP(B71,'增加值 (2001-2060, 2020RMB)'!$A$14:$AE$54,26,0)*(1+K71)^5</f>
        <v>20783.413981763875</v>
      </c>
      <c r="Q71" s="165">
        <f>VLOOKUP(B71,'增加值 (2001-2060, 2020RMB)'!$A$14:$AE$54,31,0)*(1+L71)^5</f>
        <v>23247.421171413876</v>
      </c>
      <c r="R71" s="165">
        <f>VLOOKUP(B71,'增加值 (2001-2060, 2020RMB)'!$A$14:$AJ$54,36,0)*(1+M71)^15</f>
        <v>30528.824110187084</v>
      </c>
      <c r="S71" s="165">
        <f>VLOOKUP(B71,'增加值 (2001-2060, 2020RMB)'!$A$14:$AY$54,51,0)*(1+N71)^10</f>
        <v>25769.721878687204</v>
      </c>
    </row>
    <row r="72" spans="1:19" ht="15" x14ac:dyDescent="0.25">
      <c r="A72" s="156"/>
      <c r="B72" s="158" t="s">
        <v>252</v>
      </c>
      <c r="C72" s="161">
        <f>(VLOOKUP(B72,'增加值 (2001-2060, 2020RMB)'!$A$13:$W$54,20,0)/VLOOKUP(B72,'增加值 (2001-2060, 2020RMB)'!$A$13:$W$54,17,0))^(1/3)-1</f>
        <v>6.2830620842833751E-2</v>
      </c>
      <c r="D72" s="160">
        <f>(VLOOKUP(B72,'增加值 (2001-2060, 2020RMB)'!$A$13:$W$54,23,0)/VLOOKUP(B72,'增加值 (2001-2060, 2020RMB)'!$A$13:$W$54,20,0))^(1/3)-1</f>
        <v>6.0936109817283146E-2</v>
      </c>
      <c r="E72" s="172">
        <v>0.8</v>
      </c>
      <c r="F72" s="173">
        <v>0.7</v>
      </c>
      <c r="G72" s="173">
        <v>0.6</v>
      </c>
      <c r="H72" s="173">
        <v>0.4</v>
      </c>
      <c r="I72" s="173">
        <v>0.3</v>
      </c>
      <c r="J72" s="159">
        <f t="shared" si="8"/>
        <v>4.9506692264046762E-2</v>
      </c>
      <c r="K72" s="159">
        <f t="shared" si="9"/>
        <v>4.3318355731040911E-2</v>
      </c>
      <c r="L72" s="159">
        <f t="shared" si="10"/>
        <v>3.7130019198035068E-2</v>
      </c>
      <c r="M72" s="159">
        <f t="shared" si="11"/>
        <v>2.4753346132023381E-2</v>
      </c>
      <c r="N72" s="159">
        <f t="shared" si="12"/>
        <v>1.8565009599017534E-2</v>
      </c>
      <c r="O72" s="165">
        <f>VLOOKUP(B72,'增加值 (2001-2060, 2020RMB)'!$A$14:$W$54,23,0)*(1+J72)^3</f>
        <v>18256.884353539455</v>
      </c>
      <c r="P72" s="165">
        <f>VLOOKUP(B72,'增加值 (2001-2060, 2020RMB)'!$A$14:$AE$54,26,0)*(1+K72)^5</f>
        <v>21899.452131206497</v>
      </c>
      <c r="Q72" s="165">
        <f>VLOOKUP(B72,'增加值 (2001-2060, 2020RMB)'!$A$14:$AE$54,31,0)*(1+L72)^5</f>
        <v>24655.266714706839</v>
      </c>
      <c r="R72" s="165">
        <f>VLOOKUP(B72,'增加值 (2001-2060, 2020RMB)'!$A$14:$AJ$54,36,0)*(1+M72)^15</f>
        <v>32805.676348443529</v>
      </c>
      <c r="S72" s="165">
        <f>VLOOKUP(B72,'增加值 (2001-2060, 2020RMB)'!$A$14:$AY$54,51,0)*(1+N72)^10</f>
        <v>27875.179245544427</v>
      </c>
    </row>
    <row r="73" spans="1:19" ht="15" x14ac:dyDescent="0.25">
      <c r="A73" s="156"/>
      <c r="B73" s="158" t="s">
        <v>253</v>
      </c>
      <c r="C73" s="161">
        <f>(VLOOKUP(B73,'增加值 (2001-2060, 2020RMB)'!$A$13:$W$54,20,0)/VLOOKUP(B73,'增加值 (2001-2060, 2020RMB)'!$A$13:$W$54,17,0))^(1/3)-1</f>
        <v>8.8012669513386932E-2</v>
      </c>
      <c r="D73" s="160">
        <f>(VLOOKUP(B73,'增加值 (2001-2060, 2020RMB)'!$A$13:$W$54,23,0)/VLOOKUP(B73,'增加值 (2001-2060, 2020RMB)'!$A$13:$W$54,20,0))^(1/3)-1</f>
        <v>8.2574294780134005E-2</v>
      </c>
      <c r="E73" s="172">
        <v>0.8</v>
      </c>
      <c r="F73" s="173">
        <v>0.7</v>
      </c>
      <c r="G73" s="173">
        <v>0.6</v>
      </c>
      <c r="H73" s="173">
        <v>0.4</v>
      </c>
      <c r="I73" s="173">
        <v>0.3</v>
      </c>
      <c r="J73" s="159">
        <f t="shared" si="8"/>
        <v>6.8234785717408375E-2</v>
      </c>
      <c r="K73" s="159">
        <f t="shared" si="9"/>
        <v>5.9705437502732321E-2</v>
      </c>
      <c r="L73" s="159">
        <f t="shared" si="10"/>
        <v>5.1176089288056281E-2</v>
      </c>
      <c r="M73" s="159">
        <f t="shared" si="11"/>
        <v>3.4117392858704187E-2</v>
      </c>
      <c r="N73" s="159">
        <f t="shared" si="12"/>
        <v>2.5588044644028141E-2</v>
      </c>
      <c r="O73" s="165">
        <f>VLOOKUP(B73,'增加值 (2001-2060, 2020RMB)'!$A$14:$W$54,23,0)*(1+J73)^3</f>
        <v>14877.235066101335</v>
      </c>
      <c r="P73" s="165">
        <f>VLOOKUP(B73,'增加值 (2001-2060, 2020RMB)'!$A$14:$AE$54,26,0)*(1+K73)^5</f>
        <v>19291.694820950706</v>
      </c>
      <c r="Q73" s="165">
        <f>VLOOKUP(B73,'增加值 (2001-2060, 2020RMB)'!$A$14:$AE$54,31,0)*(1+L73)^5</f>
        <v>23230.479901123399</v>
      </c>
      <c r="R73" s="165">
        <f>VLOOKUP(B73,'增加值 (2001-2060, 2020RMB)'!$A$14:$AJ$54,36,0)*(1+M73)^15</f>
        <v>35428.677026739038</v>
      </c>
      <c r="S73" s="165">
        <f>VLOOKUP(B73,'增加值 (2001-2060, 2020RMB)'!$A$14:$AY$54,51,0)*(1+N73)^10</f>
        <v>32245.237102950243</v>
      </c>
    </row>
    <row r="74" spans="1:19" ht="15" x14ac:dyDescent="0.25">
      <c r="A74" s="156"/>
      <c r="B74" s="158" t="s">
        <v>254</v>
      </c>
      <c r="C74" s="161">
        <f>(VLOOKUP(B74,'增加值 (2001-2060, 2020RMB)'!$A$13:$W$54,20,0)/VLOOKUP(B74,'增加值 (2001-2060, 2020RMB)'!$A$13:$W$54,17,0))^(1/3)-1</f>
        <v>5.201591196057076E-2</v>
      </c>
      <c r="D74" s="160">
        <f>(VLOOKUP(B74,'增加值 (2001-2060, 2020RMB)'!$A$13:$W$54,23,0)/VLOOKUP(B74,'增加值 (2001-2060, 2020RMB)'!$A$13:$W$54,20,0))^(1/3)-1</f>
        <v>6.945262358549531E-2</v>
      </c>
      <c r="E74" s="172">
        <v>0.8</v>
      </c>
      <c r="F74" s="173">
        <v>0.7</v>
      </c>
      <c r="G74" s="173">
        <v>0.6</v>
      </c>
      <c r="H74" s="173">
        <v>0.4</v>
      </c>
      <c r="I74" s="173">
        <v>0.3</v>
      </c>
      <c r="J74" s="159">
        <f t="shared" si="8"/>
        <v>4.8587414218426432E-2</v>
      </c>
      <c r="K74" s="159">
        <f t="shared" si="9"/>
        <v>4.251398744112312E-2</v>
      </c>
      <c r="L74" s="159">
        <f t="shared" si="10"/>
        <v>3.6440560663819822E-2</v>
      </c>
      <c r="M74" s="159">
        <f t="shared" si="11"/>
        <v>2.4293707109213216E-2</v>
      </c>
      <c r="N74" s="159">
        <f t="shared" si="12"/>
        <v>1.8220280331909911E-2</v>
      </c>
      <c r="O74" s="165">
        <f>VLOOKUP(B74,'增加值 (2001-2060, 2020RMB)'!$A$14:$W$54,23,0)*(1+J74)^3</f>
        <v>27928.415410198733</v>
      </c>
      <c r="P74" s="165">
        <f>VLOOKUP(B74,'增加值 (2001-2060, 2020RMB)'!$A$14:$AE$54,26,0)*(1+K74)^5</f>
        <v>33371.681722574242</v>
      </c>
      <c r="Q74" s="165">
        <f>VLOOKUP(B74,'增加值 (2001-2060, 2020RMB)'!$A$14:$AE$54,31,0)*(1+L74)^5</f>
        <v>37446.439169999445</v>
      </c>
      <c r="R74" s="165">
        <f>VLOOKUP(B74,'增加值 (2001-2060, 2020RMB)'!$A$14:$AJ$54,36,0)*(1+M74)^15</f>
        <v>49491.111730137127</v>
      </c>
      <c r="S74" s="165">
        <f>VLOOKUP(B74,'增加值 (2001-2060, 2020RMB)'!$A$14:$AY$54,51,0)*(1+N74)^10</f>
        <v>41910.783631521117</v>
      </c>
    </row>
    <row r="75" spans="1:19" ht="15" x14ac:dyDescent="0.25">
      <c r="A75" s="156"/>
      <c r="B75" s="157" t="s">
        <v>255</v>
      </c>
      <c r="C75" s="161">
        <f>(VLOOKUP(B75,'增加值 (2001-2060, 2020RMB)'!$A$13:$W$54,20,0)/VLOOKUP(B75,'增加值 (2001-2060, 2020RMB)'!$A$13:$W$54,17,0))^(1/3)-1</f>
        <v>5.2856842755794275E-2</v>
      </c>
      <c r="D75" s="160">
        <f>(VLOOKUP(B75,'增加值 (2001-2060, 2020RMB)'!$A$13:$W$54,23,0)/VLOOKUP(B75,'增加值 (2001-2060, 2020RMB)'!$A$13:$W$54,20,0))^(1/3)-1</f>
        <v>4.2290324652889622E-2</v>
      </c>
      <c r="E75" s="172">
        <v>0.8</v>
      </c>
      <c r="F75" s="173">
        <v>0.7</v>
      </c>
      <c r="G75" s="173">
        <v>0.6</v>
      </c>
      <c r="H75" s="173">
        <v>0.4</v>
      </c>
      <c r="I75" s="173">
        <v>0.3</v>
      </c>
      <c r="J75" s="159">
        <f t="shared" si="8"/>
        <v>3.8058866963473562E-2</v>
      </c>
      <c r="K75" s="159">
        <f t="shared" si="9"/>
        <v>3.3301508593039361E-2</v>
      </c>
      <c r="L75" s="159">
        <f t="shared" si="10"/>
        <v>2.8544150222605168E-2</v>
      </c>
      <c r="M75" s="159">
        <f t="shared" si="11"/>
        <v>1.9029433481736781E-2</v>
      </c>
      <c r="N75" s="159">
        <f t="shared" si="12"/>
        <v>1.4272075111302584E-2</v>
      </c>
      <c r="O75" s="165">
        <f>VLOOKUP(B75,'增加值 (2001-2060, 2020RMB)'!$A$14:$W$54,23,0)*(1+J75)^3</f>
        <v>7395.9908003448209</v>
      </c>
      <c r="P75" s="165">
        <f>VLOOKUP(B75,'增加值 (2001-2060, 2020RMB)'!$A$14:$AE$54,26,0)*(1+K75)^5</f>
        <v>8453.839994672795</v>
      </c>
      <c r="Q75" s="165">
        <f>VLOOKUP(B75,'增加值 (2001-2060, 2020RMB)'!$A$14:$AE$54,31,0)*(1+L75)^5</f>
        <v>9130.1759457822845</v>
      </c>
      <c r="R75" s="165">
        <f>VLOOKUP(B75,'增加值 (2001-2060, 2020RMB)'!$A$14:$AJ$54,36,0)*(1+M75)^15</f>
        <v>11169.383059931966</v>
      </c>
      <c r="S75" s="165">
        <f>VLOOKUP(B75,'增加值 (2001-2060, 2020RMB)'!$A$14:$AY$54,51,0)*(1+N75)^10</f>
        <v>9098.1902861045546</v>
      </c>
    </row>
    <row r="76" spans="1:19" ht="15" x14ac:dyDescent="0.25">
      <c r="A76" s="156"/>
      <c r="B76" s="157" t="s">
        <v>256</v>
      </c>
      <c r="C76" s="161">
        <f>(VLOOKUP(B76,'增加值 (2001-2060, 2020RMB)'!$A$13:$W$54,20,0)/VLOOKUP(B76,'增加值 (2001-2060, 2020RMB)'!$A$13:$W$54,17,0))^(1/3)-1</f>
        <v>8.4803532887303135E-2</v>
      </c>
      <c r="D76" s="160">
        <f>(VLOOKUP(B76,'增加值 (2001-2060, 2020RMB)'!$A$13:$W$54,23,0)/VLOOKUP(B76,'增加值 (2001-2060, 2020RMB)'!$A$13:$W$54,20,0))^(1/3)-1</f>
        <v>0.13348082333262457</v>
      </c>
      <c r="E76" s="172">
        <v>0.8</v>
      </c>
      <c r="F76" s="173">
        <v>0.7</v>
      </c>
      <c r="G76" s="173">
        <v>0.6</v>
      </c>
      <c r="H76" s="173">
        <v>0.4</v>
      </c>
      <c r="I76" s="173">
        <v>0.3</v>
      </c>
      <c r="J76" s="159">
        <f t="shared" si="8"/>
        <v>8.731374248797108E-2</v>
      </c>
      <c r="K76" s="159">
        <f t="shared" si="9"/>
        <v>7.6399524676974695E-2</v>
      </c>
      <c r="L76" s="159">
        <f t="shared" si="10"/>
        <v>6.548530686597831E-2</v>
      </c>
      <c r="M76" s="159">
        <f t="shared" si="11"/>
        <v>4.365687124398554E-2</v>
      </c>
      <c r="N76" s="159">
        <f t="shared" si="12"/>
        <v>3.2742653432989155E-2</v>
      </c>
      <c r="O76" s="165">
        <f>VLOOKUP(B76,'增加值 (2001-2060, 2020RMB)'!$A$14:$W$54,23,0)*(1+J76)^3</f>
        <v>35375.54977919349</v>
      </c>
      <c r="P76" s="165">
        <f>VLOOKUP(B76,'增加值 (2001-2060, 2020RMB)'!$A$14:$AE$54,26,0)*(1+K76)^5</f>
        <v>49601.296544061486</v>
      </c>
      <c r="Q76" s="165">
        <f>VLOOKUP(B76,'增加值 (2001-2060, 2020RMB)'!$A$14:$AE$54,31,0)*(1+L76)^5</f>
        <v>63905.874919910944</v>
      </c>
      <c r="R76" s="165">
        <f>VLOOKUP(B76,'增加值 (2001-2060, 2020RMB)'!$A$14:$AJ$54,36,0)*(1+M76)^15</f>
        <v>111855.14139753672</v>
      </c>
      <c r="S76" s="165">
        <f>VLOOKUP(B76,'增加值 (2001-2060, 2020RMB)'!$A$14:$AY$54,51,0)*(1+N76)^10</f>
        <v>109133.53854372828</v>
      </c>
    </row>
    <row r="77" spans="1:19" x14ac:dyDescent="0.15">
      <c r="A77" s="155" t="s">
        <v>257</v>
      </c>
      <c r="B77" s="158" t="s">
        <v>258</v>
      </c>
      <c r="C77" s="161">
        <f>(VLOOKUP(B77,'增加值 (2001-2060, 2020RMB)'!$A$13:$W$54,20,0)/VLOOKUP(B77,'增加值 (2001-2060, 2020RMB)'!$A$13:$W$54,17,0))^(1/3)-1</f>
        <v>0.10983549551460459</v>
      </c>
      <c r="D77" s="160">
        <f>(VLOOKUP(B77,'增加值 (2001-2060, 2020RMB)'!$A$13:$W$54,23,0)/VLOOKUP(B77,'增加值 (2001-2060, 2020RMB)'!$A$13:$W$54,20,0))^(1/3)-1</f>
        <v>0.11113719350225448</v>
      </c>
      <c r="E77" s="172">
        <v>0.8</v>
      </c>
      <c r="F77" s="173">
        <v>0.7</v>
      </c>
      <c r="G77" s="173">
        <v>0.6</v>
      </c>
      <c r="H77" s="173">
        <v>0.5</v>
      </c>
      <c r="I77" s="173">
        <v>0.4</v>
      </c>
      <c r="J77" s="159">
        <f t="shared" si="8"/>
        <v>8.8389075606743639E-2</v>
      </c>
      <c r="K77" s="159">
        <f t="shared" si="9"/>
        <v>7.7340441155900663E-2</v>
      </c>
      <c r="L77" s="159">
        <f t="shared" si="10"/>
        <v>6.6291806705057715E-2</v>
      </c>
      <c r="M77" s="159">
        <f t="shared" si="11"/>
        <v>5.5243172254214767E-2</v>
      </c>
      <c r="N77" s="159">
        <f t="shared" si="12"/>
        <v>4.4194537803371819E-2</v>
      </c>
      <c r="O77" s="165">
        <f>VLOOKUP(B77,'增加值 (2001-2060, 2020RMB)'!$A$14:$W$54,23,0)*(1+J77)^3</f>
        <v>51635.257220785155</v>
      </c>
      <c r="P77" s="165">
        <f>VLOOKUP(B77,'增加值 (2001-2060, 2020RMB)'!$A$14:$AE$54,26,0)*(1+K77)^5</f>
        <v>72716.589607075672</v>
      </c>
      <c r="Q77" s="165">
        <f>VLOOKUP(B77,'增加值 (2001-2060, 2020RMB)'!$A$14:$AE$54,31,0)*(1+L77)^5</f>
        <v>94042.527688901057</v>
      </c>
      <c r="R77" s="165">
        <f>VLOOKUP(B77,'增加值 (2001-2060, 2020RMB)'!$A$14:$AJ$54,36,0)*(1+M77)^15</f>
        <v>194250.28758957301</v>
      </c>
      <c r="S77" s="165">
        <f>VLOOKUP(B77,'增加值 (2001-2060, 2020RMB)'!$A$14:$AY$54,51,0)*(1+N77)^10</f>
        <v>211620.13381708716</v>
      </c>
    </row>
    <row r="78" spans="1:19" x14ac:dyDescent="0.15">
      <c r="A78" s="155"/>
      <c r="B78" s="158" t="s">
        <v>105</v>
      </c>
      <c r="C78" s="161">
        <f>(VLOOKUP(B78,'增加值 (2001-2060, 2020RMB)'!$A$13:$W$54,20,0)/VLOOKUP(B78,'增加值 (2001-2060, 2020RMB)'!$A$13:$W$54,17,0))^(1/3)-1</f>
        <v>8.6584169191379345E-2</v>
      </c>
      <c r="D78" s="160">
        <f>(VLOOKUP(B78,'增加值 (2001-2060, 2020RMB)'!$A$13:$W$54,23,0)/VLOOKUP(B78,'增加值 (2001-2060, 2020RMB)'!$A$13:$W$54,20,0))^(1/3)-1</f>
        <v>7.4164155276645882E-2</v>
      </c>
      <c r="E78" s="172">
        <v>0.8</v>
      </c>
      <c r="F78" s="173">
        <v>0.7</v>
      </c>
      <c r="G78" s="173">
        <v>0.6</v>
      </c>
      <c r="H78" s="173">
        <v>0.5</v>
      </c>
      <c r="I78" s="173">
        <v>0.4</v>
      </c>
      <c r="J78" s="159">
        <f t="shared" si="8"/>
        <v>6.4299329787210091E-2</v>
      </c>
      <c r="K78" s="159">
        <f t="shared" si="9"/>
        <v>5.6261913563808823E-2</v>
      </c>
      <c r="L78" s="159">
        <f t="shared" si="10"/>
        <v>4.8224497340407568E-2</v>
      </c>
      <c r="M78" s="159">
        <f t="shared" si="11"/>
        <v>4.0187081117006307E-2</v>
      </c>
      <c r="N78" s="159">
        <f t="shared" si="12"/>
        <v>3.2149664893605046E-2</v>
      </c>
      <c r="O78" s="165">
        <f>VLOOKUP(B78,'增加值 (2001-2060, 2020RMB)'!$A$14:$W$54,23,0)*(1+J78)^3</f>
        <v>3887.7760818657689</v>
      </c>
      <c r="P78" s="165">
        <f>VLOOKUP(B78,'增加值 (2001-2060, 2020RMB)'!$A$14:$AE$54,26,0)*(1+K78)^5</f>
        <v>4960.0001510317834</v>
      </c>
      <c r="Q78" s="165">
        <f>VLOOKUP(B78,'增加值 (2001-2060, 2020RMB)'!$A$14:$AE$54,31,0)*(1+L78)^5</f>
        <v>5889.2995653236376</v>
      </c>
      <c r="R78" s="165">
        <f>VLOOKUP(B78,'增加值 (2001-2060, 2020RMB)'!$A$14:$AJ$54,36,0)*(1+M78)^15</f>
        <v>9805.8353065047904</v>
      </c>
      <c r="S78" s="165">
        <f>VLOOKUP(B78,'增加值 (2001-2060, 2020RMB)'!$A$14:$AY$54,51,0)*(1+N78)^10</f>
        <v>9512.4524139484474</v>
      </c>
    </row>
    <row r="79" spans="1:19" ht="15" x14ac:dyDescent="0.25">
      <c r="A79" s="156"/>
      <c r="B79" s="158" t="s">
        <v>259</v>
      </c>
      <c r="C79" s="161">
        <f>(VLOOKUP(B79,'增加值 (2001-2060, 2020RMB)'!$A$13:$W$54,20,0)/VLOOKUP(B79,'增加值 (2001-2060, 2020RMB)'!$A$13:$W$54,17,0))^(1/3)-1</f>
        <v>8.499311454124503E-2</v>
      </c>
      <c r="D79" s="160">
        <f>(VLOOKUP(B79,'增加值 (2001-2060, 2020RMB)'!$A$13:$W$54,23,0)/VLOOKUP(B79,'增加值 (2001-2060, 2020RMB)'!$A$13:$W$54,20,0))^(1/3)-1</f>
        <v>9.3141707414592156E-2</v>
      </c>
      <c r="E79" s="172">
        <v>0.8</v>
      </c>
      <c r="F79" s="173">
        <v>0.7</v>
      </c>
      <c r="G79" s="173">
        <v>0.6</v>
      </c>
      <c r="H79" s="173">
        <v>0.5</v>
      </c>
      <c r="I79" s="173">
        <v>0.4</v>
      </c>
      <c r="J79" s="159">
        <f t="shared" si="8"/>
        <v>7.1253928782334872E-2</v>
      </c>
      <c r="K79" s="159">
        <f t="shared" si="9"/>
        <v>6.2347187684543011E-2</v>
      </c>
      <c r="L79" s="159">
        <f t="shared" si="10"/>
        <v>5.3440446586751157E-2</v>
      </c>
      <c r="M79" s="159">
        <f t="shared" si="11"/>
        <v>4.4533705488959296E-2</v>
      </c>
      <c r="N79" s="159">
        <f t="shared" si="12"/>
        <v>3.5626964391167436E-2</v>
      </c>
      <c r="O79" s="165">
        <f>VLOOKUP(B79,'增加值 (2001-2060, 2020RMB)'!$A$14:$W$54,23,0)*(1+J79)^3</f>
        <v>14171.433044547777</v>
      </c>
      <c r="P79" s="165">
        <f>VLOOKUP(B79,'增加值 (2001-2060, 2020RMB)'!$A$14:$AE$54,26,0)*(1+K79)^5</f>
        <v>18606.662325506288</v>
      </c>
      <c r="Q79" s="165">
        <f>VLOOKUP(B79,'增加值 (2001-2060, 2020RMB)'!$A$14:$AE$54,31,0)*(1+L79)^5</f>
        <v>22647.947599992225</v>
      </c>
      <c r="R79" s="165">
        <f>VLOOKUP(B79,'增加值 (2001-2060, 2020RMB)'!$A$14:$AJ$54,36,0)*(1+M79)^15</f>
        <v>40143.463920889728</v>
      </c>
      <c r="S79" s="165">
        <f>VLOOKUP(B79,'增加值 (2001-2060, 2020RMB)'!$A$14:$AY$54,51,0)*(1+N79)^10</f>
        <v>40274.437476319574</v>
      </c>
    </row>
    <row r="80" spans="1:19" x14ac:dyDescent="0.15">
      <c r="A80" s="155" t="s">
        <v>260</v>
      </c>
      <c r="B80" s="158" t="s">
        <v>268</v>
      </c>
      <c r="C80" s="161">
        <f>(VLOOKUP(B80,'增加值 (2001-2060, 2020RMB)'!$A$13:$W$54,20,0)/VLOOKUP(B80,'增加值 (2001-2060, 2020RMB)'!$A$13:$W$54,17,0))^(1/3)-1</f>
        <v>-1.2129962985660381E-2</v>
      </c>
      <c r="D80" s="160">
        <f>(VLOOKUP(B80,'增加值 (2001-2060, 2020RMB)'!$A$13:$W$54,23,0)/VLOOKUP(B80,'增加值 (2001-2060, 2020RMB)'!$A$13:$W$54,20,0))^(1/3)-1</f>
        <v>5.5630510946381051E-2</v>
      </c>
      <c r="E80" s="172">
        <v>0.7</v>
      </c>
      <c r="F80" s="173">
        <v>0.5</v>
      </c>
      <c r="G80" s="173">
        <v>0.4</v>
      </c>
      <c r="H80" s="173">
        <v>0.3</v>
      </c>
      <c r="I80" s="173">
        <v>0.2</v>
      </c>
      <c r="J80" s="159">
        <f t="shared" si="8"/>
        <v>1.5225191786252234E-2</v>
      </c>
      <c r="K80" s="159">
        <f t="shared" si="9"/>
        <v>1.0875136990180168E-2</v>
      </c>
      <c r="L80" s="159">
        <f t="shared" si="10"/>
        <v>8.7001095921441351E-3</v>
      </c>
      <c r="M80" s="159">
        <f t="shared" si="11"/>
        <v>6.5250821941081E-3</v>
      </c>
      <c r="N80" s="159">
        <f t="shared" si="12"/>
        <v>4.3500547960720675E-3</v>
      </c>
      <c r="O80" s="165">
        <f>VLOOKUP(B80,'增加值 (2001-2060, 2020RMB)'!$A$14:$W$54,23,0)*(1+J80)^3</f>
        <v>4780.1775266387449</v>
      </c>
      <c r="P80" s="165">
        <f>VLOOKUP(B80,'增加值 (2001-2060, 2020RMB)'!$A$14:$AE$54,26,0)*(1+K80)^5</f>
        <v>4896.1413225461147</v>
      </c>
      <c r="Q80" s="165">
        <f>VLOOKUP(B80,'增加值 (2001-2060, 2020RMB)'!$A$14:$AE$54,31,0)*(1+L80)^5</f>
        <v>4797.0551946858513</v>
      </c>
      <c r="R80" s="165">
        <f>VLOOKUP(B80,'增加值 (2001-2060, 2020RMB)'!$A$14:$AJ$54,36,0)*(1+M80)^15</f>
        <v>4876.3274029874392</v>
      </c>
      <c r="S80" s="165">
        <f>VLOOKUP(B80,'增加值 (2001-2060, 2020RMB)'!$A$14:$AY$54,51,0)*(1+N80)^10</f>
        <v>3600.1871415559108</v>
      </c>
    </row>
    <row r="81" spans="1:19" ht="15" x14ac:dyDescent="0.25">
      <c r="A81" s="156"/>
      <c r="B81" s="158" t="s">
        <v>269</v>
      </c>
      <c r="C81" s="161">
        <f>(VLOOKUP(B81,'增加值 (2001-2060, 2020RMB)'!$A$13:$W$54,20,0)/VLOOKUP(B81,'增加值 (2001-2060, 2020RMB)'!$A$13:$W$54,17,0))^(1/3)-1</f>
        <v>-6.936466010152853E-3</v>
      </c>
      <c r="D81" s="160">
        <f>(VLOOKUP(B81,'增加值 (2001-2060, 2020RMB)'!$A$13:$W$54,23,0)/VLOOKUP(B81,'增加值 (2001-2060, 2020RMB)'!$A$13:$W$54,20,0))^(1/3)-1</f>
        <v>1.8311168334743444E-2</v>
      </c>
      <c r="E81" s="172">
        <v>0.7</v>
      </c>
      <c r="F81" s="173">
        <v>0.5</v>
      </c>
      <c r="G81" s="173">
        <v>0.4</v>
      </c>
      <c r="H81" s="173">
        <v>0.3</v>
      </c>
      <c r="I81" s="173">
        <v>0.2</v>
      </c>
      <c r="J81" s="159">
        <f t="shared" si="8"/>
        <v>3.9811458136067065E-3</v>
      </c>
      <c r="K81" s="159">
        <f t="shared" si="9"/>
        <v>2.8436755811476477E-3</v>
      </c>
      <c r="L81" s="159">
        <f t="shared" si="10"/>
        <v>2.2749404649181184E-3</v>
      </c>
      <c r="M81" s="159">
        <f t="shared" si="11"/>
        <v>1.7062053486885886E-3</v>
      </c>
      <c r="N81" s="159">
        <f t="shared" si="12"/>
        <v>1.1374702324590592E-3</v>
      </c>
      <c r="O81" s="165">
        <f>VLOOKUP(B81,'增加值 (2001-2060, 2020RMB)'!$A$14:$W$54,23,0)*(1+J81)^3</f>
        <v>2172.5601573556464</v>
      </c>
      <c r="P81" s="165">
        <f>VLOOKUP(B81,'增加值 (2001-2060, 2020RMB)'!$A$14:$AE$54,26,0)*(1+K81)^5</f>
        <v>2138.2592271324511</v>
      </c>
      <c r="Q81" s="165">
        <f>VLOOKUP(B81,'增加值 (2001-2060, 2020RMB)'!$A$14:$AE$54,31,0)*(1+L81)^5</f>
        <v>2029.1079165432088</v>
      </c>
      <c r="R81" s="165">
        <f>VLOOKUP(B81,'增加值 (2001-2060, 2020RMB)'!$A$14:$AJ$54,36,0)*(1+M81)^15</f>
        <v>1919.3745056182047</v>
      </c>
      <c r="S81" s="165">
        <f>VLOOKUP(B81,'增加值 (2001-2060, 2020RMB)'!$A$14:$AY$54,51,0)*(1+N81)^10</f>
        <v>1372.3915279212601</v>
      </c>
    </row>
    <row r="82" spans="1:19" ht="15" x14ac:dyDescent="0.25">
      <c r="A82" s="156"/>
      <c r="B82" s="158" t="s">
        <v>270</v>
      </c>
      <c r="C82" s="161">
        <f>(VLOOKUP(B82,'增加值 (2001-2060, 2020RMB)'!$A$13:$W$54,20,0)/VLOOKUP(B82,'增加值 (2001-2060, 2020RMB)'!$A$13:$W$54,17,0))^(1/3)-1</f>
        <v>-5.5752169014151587E-3</v>
      </c>
      <c r="D82" s="160">
        <f>(VLOOKUP(B82,'增加值 (2001-2060, 2020RMB)'!$A$13:$W$54,23,0)/VLOOKUP(B82,'增加值 (2001-2060, 2020RMB)'!$A$13:$W$54,20,0))^(1/3)-1</f>
        <v>2.6040503261531622E-2</v>
      </c>
      <c r="E82" s="172">
        <v>0.7</v>
      </c>
      <c r="F82" s="173">
        <v>0.5</v>
      </c>
      <c r="G82" s="173">
        <v>0.4</v>
      </c>
      <c r="H82" s="173">
        <v>0.3</v>
      </c>
      <c r="I82" s="173">
        <v>0.2</v>
      </c>
      <c r="J82" s="159">
        <f t="shared" si="8"/>
        <v>7.1628502260407617E-3</v>
      </c>
      <c r="K82" s="159">
        <f t="shared" si="9"/>
        <v>5.1163215900291159E-3</v>
      </c>
      <c r="L82" s="159">
        <f t="shared" si="10"/>
        <v>4.0930572720232926E-3</v>
      </c>
      <c r="M82" s="159">
        <f t="shared" si="11"/>
        <v>3.0697929540174696E-3</v>
      </c>
      <c r="N82" s="159">
        <f t="shared" si="12"/>
        <v>2.0465286360116463E-3</v>
      </c>
      <c r="O82" s="165">
        <f>VLOOKUP(B82,'增加值 (2001-2060, 2020RMB)'!$A$14:$W$54,23,0)*(1+J82)^3</f>
        <v>1565.579826307641</v>
      </c>
      <c r="P82" s="165">
        <f>VLOOKUP(B82,'增加值 (2001-2060, 2020RMB)'!$A$14:$AE$54,26,0)*(1+K82)^5</f>
        <v>1558.4008892556801</v>
      </c>
      <c r="Q82" s="165">
        <f>VLOOKUP(B82,'增加值 (2001-2060, 2020RMB)'!$A$14:$AE$54,31,0)*(1+L82)^5</f>
        <v>1492.3113389724429</v>
      </c>
      <c r="R82" s="165">
        <f>VLOOKUP(B82,'增加值 (2001-2060, 2020RMB)'!$A$14:$AJ$54,36,0)*(1+M82)^15</f>
        <v>1440.7075546293097</v>
      </c>
      <c r="S82" s="165">
        <f>VLOOKUP(B82,'增加值 (2001-2060, 2020RMB)'!$A$14:$AY$54,51,0)*(1+N82)^10</f>
        <v>1039.5271953324857</v>
      </c>
    </row>
    <row r="83" spans="1:19" ht="15" x14ac:dyDescent="0.25">
      <c r="A83" s="156"/>
      <c r="B83" s="158" t="s">
        <v>261</v>
      </c>
      <c r="C83" s="161">
        <f>(VLOOKUP(B83,'增加值 (2001-2060, 2020RMB)'!$A$13:$W$54,20,0)/VLOOKUP(B83,'增加值 (2001-2060, 2020RMB)'!$A$13:$W$54,17,0))^(1/3)-1</f>
        <v>0.20663881127436401</v>
      </c>
      <c r="D83" s="160">
        <f>(VLOOKUP(B83,'增加值 (2001-2060, 2020RMB)'!$A$13:$W$54,23,0)/VLOOKUP(B83,'增加值 (2001-2060, 2020RMB)'!$A$13:$W$54,20,0))^(1/3)-1</f>
        <v>1.121552961387895E-2</v>
      </c>
      <c r="E83" s="172">
        <v>0.7</v>
      </c>
      <c r="F83" s="173">
        <v>0.5</v>
      </c>
      <c r="G83" s="173">
        <v>0.4</v>
      </c>
      <c r="H83" s="173">
        <v>0.3</v>
      </c>
      <c r="I83" s="173">
        <v>0.2</v>
      </c>
      <c r="J83" s="159">
        <f t="shared" si="8"/>
        <v>7.6249019310885027E-2</v>
      </c>
      <c r="K83" s="159">
        <f t="shared" si="9"/>
        <v>5.446358522206074E-2</v>
      </c>
      <c r="L83" s="159">
        <f t="shared" si="10"/>
        <v>4.3570868177648596E-2</v>
      </c>
      <c r="M83" s="159">
        <f t="shared" si="11"/>
        <v>3.2678151133236445E-2</v>
      </c>
      <c r="N83" s="159">
        <f t="shared" si="12"/>
        <v>2.1785434088824298E-2</v>
      </c>
      <c r="O83" s="165">
        <f>VLOOKUP(B83,'增加值 (2001-2060, 2020RMB)'!$A$14:$W$54,23,0)*(1+J83)^3</f>
        <v>1426.6866879018116</v>
      </c>
      <c r="P83" s="165">
        <f>VLOOKUP(B83,'增加值 (2001-2060, 2020RMB)'!$A$14:$AE$54,26,0)*(1+K83)^5</f>
        <v>1804.7160692400614</v>
      </c>
      <c r="Q83" s="165">
        <f>VLOOKUP(B83,'增加值 (2001-2060, 2020RMB)'!$A$14:$AE$54,31,0)*(1+L83)^5</f>
        <v>2095.6996994363931</v>
      </c>
      <c r="R83" s="165">
        <f>VLOOKUP(B83,'增加值 (2001-2060, 2020RMB)'!$A$14:$AJ$54,36,0)*(1+M83)^15</f>
        <v>3130.0623868674411</v>
      </c>
      <c r="S83" s="165">
        <f>VLOOKUP(B83,'增加值 (2001-2060, 2020RMB)'!$A$14:$AY$54,51,0)*(1+N83)^10</f>
        <v>2744.9296028113845</v>
      </c>
    </row>
    <row r="84" spans="1:19" ht="15" x14ac:dyDescent="0.25">
      <c r="A84" s="156"/>
      <c r="B84" s="158" t="s">
        <v>262</v>
      </c>
      <c r="C84" s="161">
        <f>(VLOOKUP(B84,'增加值 (2001-2060, 2020RMB)'!$A$13:$W$54,20,0)/VLOOKUP(B84,'增加值 (2001-2060, 2020RMB)'!$A$13:$W$54,17,0))^(1/3)-1</f>
        <v>5.8954264971119885E-2</v>
      </c>
      <c r="D84" s="160">
        <f>(VLOOKUP(B84,'增加值 (2001-2060, 2020RMB)'!$A$13:$W$54,23,0)/VLOOKUP(B84,'增加值 (2001-2060, 2020RMB)'!$A$13:$W$54,20,0))^(1/3)-1</f>
        <v>5.6483848297676831E-2</v>
      </c>
      <c r="E84" s="172">
        <v>0.7</v>
      </c>
      <c r="F84" s="173">
        <v>0.5</v>
      </c>
      <c r="G84" s="173">
        <v>0.4</v>
      </c>
      <c r="H84" s="173">
        <v>0.3</v>
      </c>
      <c r="I84" s="173">
        <v>0.2</v>
      </c>
      <c r="J84" s="159">
        <f t="shared" si="8"/>
        <v>4.0403339644078849E-2</v>
      </c>
      <c r="K84" s="159">
        <f t="shared" si="9"/>
        <v>2.8859528317199179E-2</v>
      </c>
      <c r="L84" s="159">
        <f t="shared" si="10"/>
        <v>2.3087622653759344E-2</v>
      </c>
      <c r="M84" s="159">
        <f t="shared" si="11"/>
        <v>1.7315716990319505E-2</v>
      </c>
      <c r="N84" s="159">
        <f t="shared" si="12"/>
        <v>1.1543811326879672E-2</v>
      </c>
      <c r="O84" s="165">
        <f>VLOOKUP(B84,'增加值 (2001-2060, 2020RMB)'!$A$14:$W$54,23,0)*(1+J84)^3</f>
        <v>10.428905143861991</v>
      </c>
      <c r="P84" s="165">
        <f>VLOOKUP(B84,'增加值 (2001-2060, 2020RMB)'!$A$14:$AE$54,26,0)*(1+K84)^5</f>
        <v>11.66652406737659</v>
      </c>
      <c r="Q84" s="165">
        <f>VLOOKUP(B84,'增加值 (2001-2060, 2020RMB)'!$A$14:$AE$54,31,0)*(1+L84)^5</f>
        <v>12.269194883340235</v>
      </c>
      <c r="R84" s="165">
        <f>VLOOKUP(B84,'增加值 (2001-2060, 2020RMB)'!$A$14:$AJ$54,36,0)*(1+M84)^15</f>
        <v>14.635295374106759</v>
      </c>
      <c r="S84" s="165">
        <f>VLOOKUP(B84,'增加值 (2001-2060, 2020RMB)'!$A$14:$AY$54,51,0)*(1+N84)^10</f>
        <v>11.604584875509447</v>
      </c>
    </row>
    <row r="85" spans="1:19" ht="15" x14ac:dyDescent="0.25">
      <c r="A85" s="156"/>
      <c r="B85" s="158" t="s">
        <v>263</v>
      </c>
      <c r="C85" s="161">
        <f>(VLOOKUP(B85,'增加值 (2001-2060, 2020RMB)'!$A$13:$W$54,20,0)/VLOOKUP(B85,'增加值 (2001-2060, 2020RMB)'!$A$13:$W$54,17,0))^(1/3)-1</f>
        <v>3.7627999851762794E-2</v>
      </c>
      <c r="D85" s="160">
        <f>(VLOOKUP(B85,'增加值 (2001-2060, 2020RMB)'!$A$13:$W$54,23,0)/VLOOKUP(B85,'增加值 (2001-2060, 2020RMB)'!$A$13:$W$54,20,0))^(1/3)-1</f>
        <v>2.8280067481713189E-2</v>
      </c>
      <c r="E85" s="172">
        <v>0.7</v>
      </c>
      <c r="F85" s="173">
        <v>0.5</v>
      </c>
      <c r="G85" s="173">
        <v>0.4</v>
      </c>
      <c r="H85" s="173">
        <v>0.3</v>
      </c>
      <c r="I85" s="173">
        <v>0.2</v>
      </c>
      <c r="J85" s="159">
        <f t="shared" si="8"/>
        <v>2.3067823566716592E-2</v>
      </c>
      <c r="K85" s="159">
        <f t="shared" si="9"/>
        <v>1.6477016833368996E-2</v>
      </c>
      <c r="L85" s="159">
        <f t="shared" si="10"/>
        <v>1.3181613466695198E-2</v>
      </c>
      <c r="M85" s="159">
        <f t="shared" si="11"/>
        <v>9.8862101000213969E-3</v>
      </c>
      <c r="N85" s="159">
        <f t="shared" si="12"/>
        <v>6.5908067333475991E-3</v>
      </c>
      <c r="O85" s="165">
        <f>VLOOKUP(B85,'增加值 (2001-2060, 2020RMB)'!$A$14:$W$54,23,0)*(1+J85)^3</f>
        <v>8250.9287030264768</v>
      </c>
      <c r="P85" s="165">
        <f>VLOOKUP(B85,'增加值 (2001-2060, 2020RMB)'!$A$14:$AE$54,26,0)*(1+K85)^5</f>
        <v>8687.8636359592001</v>
      </c>
      <c r="Q85" s="165">
        <f>VLOOKUP(B85,'增加值 (2001-2060, 2020RMB)'!$A$14:$AE$54,31,0)*(1+L85)^5</f>
        <v>8702.8184898647614</v>
      </c>
      <c r="R85" s="165">
        <f>VLOOKUP(B85,'增加值 (2001-2060, 2020RMB)'!$A$14:$AJ$54,36,0)*(1+M85)^15</f>
        <v>9300.272425293726</v>
      </c>
      <c r="S85" s="165">
        <f>VLOOKUP(B85,'增加值 (2001-2060, 2020RMB)'!$A$14:$AY$54,51,0)*(1+N85)^10</f>
        <v>7021.1202297475338</v>
      </c>
    </row>
    <row r="86" spans="1:19" ht="15" x14ac:dyDescent="0.25">
      <c r="A86" s="156"/>
      <c r="B86" s="158" t="s">
        <v>264</v>
      </c>
      <c r="C86" s="161">
        <f>VLOOKUP(B86,'增加值 (2001-2060, 2020RMB)'!$A$1:$U$54,COLUMN('增加值 (2001-2060, 2020RMB)'!R$1),0)/VLOOKUP(B86,'增加值 (2001-2060, 2020RMB)'!$A$1:$U$54,COLUMN('增加值 (2001-2060, 2020RMB)'!Q$1),0)-1</f>
        <v>7.1930622905688413E-2</v>
      </c>
      <c r="D86" s="160">
        <f>(VLOOKUP(B86,'增加值 (2001-2060, 2020RMB)'!$A$13:$W$54,23,0)/VLOOKUP(B86,'增加值 (2001-2060, 2020RMB)'!$A$13:$W$54,20,0))^(1/3)-1</f>
        <v>5.1652149314185714E-2</v>
      </c>
      <c r="E86" s="172">
        <v>0.7</v>
      </c>
      <c r="F86" s="173">
        <v>0.5</v>
      </c>
      <c r="G86" s="173">
        <v>0.4</v>
      </c>
      <c r="H86" s="173">
        <v>0.3</v>
      </c>
      <c r="I86" s="173">
        <v>0.2</v>
      </c>
      <c r="J86" s="159">
        <f t="shared" si="8"/>
        <v>4.325397027695594E-2</v>
      </c>
      <c r="K86" s="159">
        <f t="shared" si="9"/>
        <v>3.0895693054968532E-2</v>
      </c>
      <c r="L86" s="159">
        <f t="shared" si="10"/>
        <v>2.4716554443974827E-2</v>
      </c>
      <c r="M86" s="159">
        <f t="shared" si="11"/>
        <v>1.853741583298112E-2</v>
      </c>
      <c r="N86" s="159">
        <f t="shared" si="12"/>
        <v>1.2358277221987414E-2</v>
      </c>
      <c r="O86" s="165">
        <f>VLOOKUP(B86,'增加值 (2001-2060, 2020RMB)'!$A$14:$W$54,23,0)*(1+J86)^3</f>
        <v>1030.2548914142642</v>
      </c>
      <c r="P86" s="165">
        <f>VLOOKUP(B86,'增加值 (2001-2060, 2020RMB)'!$A$14:$AE$54,26,0)*(1+K86)^5</f>
        <v>1163.966966943781</v>
      </c>
      <c r="Q86" s="165">
        <f>VLOOKUP(B86,'增加值 (2001-2060, 2020RMB)'!$A$14:$AE$54,31,0)*(1+L86)^5</f>
        <v>1233.8712575966586</v>
      </c>
      <c r="R86" s="165">
        <f>VLOOKUP(B86,'增加值 (2001-2060, 2020RMB)'!$A$14:$AJ$54,36,0)*(1+M86)^15</f>
        <v>1498.5587467187916</v>
      </c>
      <c r="S86" s="165">
        <f>VLOOKUP(B86,'增加值 (2001-2060, 2020RMB)'!$A$14:$AY$54,51,0)*(1+N86)^10</f>
        <v>1197.8358229490582</v>
      </c>
    </row>
    <row r="87" spans="1:19" ht="15" x14ac:dyDescent="0.25">
      <c r="A87" s="156"/>
      <c r="B87" s="158" t="s">
        <v>265</v>
      </c>
      <c r="C87" s="161">
        <f>VLOOKUP(B87,'增加值 (2001-2060, 2020RMB)'!$A$1:$U$54,COLUMN('增加值 (2001-2060, 2020RMB)'!R$1),0)/VLOOKUP(B87,'增加值 (2001-2060, 2020RMB)'!$A$1:$U$54,COLUMN('增加值 (2001-2060, 2020RMB)'!Q$1),0)-1</f>
        <v>2.6381163008846409E-2</v>
      </c>
      <c r="D87" s="160">
        <f>(VLOOKUP(B87,'增加值 (2001-2060, 2020RMB)'!$A$13:$W$54,23,0)/VLOOKUP(B87,'增加值 (2001-2060, 2020RMB)'!$A$13:$W$54,20,0))^(1/3)-1</f>
        <v>0.18814982016783799</v>
      </c>
      <c r="E87" s="172">
        <v>0.8</v>
      </c>
      <c r="F87" s="173">
        <v>0.9</v>
      </c>
      <c r="G87" s="173">
        <v>0.8</v>
      </c>
      <c r="H87" s="173">
        <v>0.6</v>
      </c>
      <c r="I87" s="173">
        <v>0.4</v>
      </c>
      <c r="J87" s="159">
        <f t="shared" si="8"/>
        <v>8.5812393270673762E-2</v>
      </c>
      <c r="K87" s="159">
        <f t="shared" si="9"/>
        <v>9.6538942429507987E-2</v>
      </c>
      <c r="L87" s="159">
        <f t="shared" si="10"/>
        <v>8.5812393270673762E-2</v>
      </c>
      <c r="M87" s="159">
        <f t="shared" si="11"/>
        <v>6.4359294953005311E-2</v>
      </c>
      <c r="N87" s="159">
        <f t="shared" si="12"/>
        <v>4.2906196635336881E-2</v>
      </c>
      <c r="O87" s="165">
        <f>VLOOKUP(B87,'增加值 (2001-2060, 2020RMB)'!$A$14:$W$54,23,0)*(1+J87)^3</f>
        <v>1898.8843191403887</v>
      </c>
      <c r="P87" s="165">
        <f>VLOOKUP(B87,'增加值 (2001-2060, 2020RMB)'!$A$14:$AE$54,26,0)*(1+K87)^5</f>
        <v>2921.0645308362764</v>
      </c>
      <c r="Q87" s="165">
        <f>VLOOKUP(B87,'增加值 (2001-2060, 2020RMB)'!$A$14:$AE$54,31,0)*(1+L87)^5</f>
        <v>4136.4288017452718</v>
      </c>
      <c r="R87" s="165">
        <f>VLOOKUP(B87,'增加值 (2001-2060, 2020RMB)'!$A$14:$AJ$54,36,0)*(1+M87)^15</f>
        <v>9720.722053971529</v>
      </c>
      <c r="S87" s="165">
        <f>VLOOKUP(B87,'增加值 (2001-2060, 2020RMB)'!$A$14:$AY$54,51,0)*(1+N87)^10</f>
        <v>10460.011163062414</v>
      </c>
    </row>
    <row r="88" spans="1:19" ht="15" x14ac:dyDescent="0.25">
      <c r="A88" s="156"/>
      <c r="B88" s="158" t="s">
        <v>266</v>
      </c>
      <c r="C88" s="161">
        <f>VLOOKUP(B88,'增加值 (2001-2060, 2020RMB)'!$A$1:$U$54,COLUMN('增加值 (2001-2060, 2020RMB)'!R$1),0)/VLOOKUP(B88,'增加值 (2001-2060, 2020RMB)'!$A$1:$U$54,COLUMN('增加值 (2001-2060, 2020RMB)'!Q$1),0)-1</f>
        <v>0.11140682148295222</v>
      </c>
      <c r="D88" s="160">
        <f>(VLOOKUP(B88,'增加值 (2001-2060, 2020RMB)'!$A$13:$W$54,23,0)/VLOOKUP(B88,'增加值 (2001-2060, 2020RMB)'!$A$13:$W$54,20,0))^(1/3)-1</f>
        <v>5.4074169293930385E-2</v>
      </c>
      <c r="E88" s="172">
        <v>0.7</v>
      </c>
      <c r="F88" s="173">
        <v>0.5</v>
      </c>
      <c r="G88" s="173">
        <v>0.4</v>
      </c>
      <c r="H88" s="173">
        <v>0.3</v>
      </c>
      <c r="I88" s="173">
        <v>0.2</v>
      </c>
      <c r="J88" s="159">
        <f t="shared" si="8"/>
        <v>5.7918346771908907E-2</v>
      </c>
      <c r="K88" s="159">
        <f t="shared" si="9"/>
        <v>4.1370247694220652E-2</v>
      </c>
      <c r="L88" s="159">
        <f t="shared" si="10"/>
        <v>3.3096198155376524E-2</v>
      </c>
      <c r="M88" s="159">
        <f t="shared" si="11"/>
        <v>2.482214861653239E-2</v>
      </c>
      <c r="N88" s="159">
        <f t="shared" si="12"/>
        <v>1.6548099077688262E-2</v>
      </c>
      <c r="O88" s="165">
        <f>VLOOKUP(B88,'增加值 (2001-2060, 2020RMB)'!$A$14:$W$54,23,0)*(1+J88)^3</f>
        <v>561.95961004460003</v>
      </c>
      <c r="P88" s="165">
        <f>VLOOKUP(B88,'增加值 (2001-2060, 2020RMB)'!$A$14:$AE$54,26,0)*(1+K88)^5</f>
        <v>667.81054816643109</v>
      </c>
      <c r="Q88" s="165">
        <f>VLOOKUP(B88,'增加值 (2001-2060, 2020RMB)'!$A$14:$AE$54,31,0)*(1+L88)^5</f>
        <v>737.33953667815251</v>
      </c>
      <c r="R88" s="165">
        <f>VLOOKUP(B88,'增加值 (2001-2060, 2020RMB)'!$A$14:$AJ$54,36,0)*(1+M88)^15</f>
        <v>982.07392312372451</v>
      </c>
      <c r="S88" s="165">
        <f>VLOOKUP(B88,'增加值 (2001-2060, 2020RMB)'!$A$14:$AY$54,51,0)*(1+N88)^10</f>
        <v>818.09671466349891</v>
      </c>
    </row>
    <row r="95" spans="1:19" x14ac:dyDescent="0.2">
      <c r="A95" s="176" t="s">
        <v>287</v>
      </c>
    </row>
    <row r="96" spans="1:19" x14ac:dyDescent="0.2">
      <c r="A96" s="151"/>
      <c r="C96" s="125">
        <v>2022</v>
      </c>
      <c r="D96" s="125">
        <v>2025</v>
      </c>
      <c r="E96" s="125">
        <v>2030</v>
      </c>
      <c r="F96" s="125">
        <v>2035</v>
      </c>
      <c r="G96" s="125">
        <v>2050</v>
      </c>
      <c r="H96" s="125">
        <v>2060</v>
      </c>
    </row>
    <row r="97" spans="1:8" x14ac:dyDescent="0.15">
      <c r="A97" s="155" t="s">
        <v>225</v>
      </c>
      <c r="B97" s="158" t="s">
        <v>226</v>
      </c>
      <c r="C97" s="163">
        <f>VLOOKUP($B97,'增加值 (2001-2060, 2020RMB)'!$A$13:$BI$54,COLUMN('增加值 (2001-2060, 2020RMB)'!$W$1),0)/'增加值 (2001-2060, 2020RMB)'!$W$13</f>
        <v>4.7931540928290155E-2</v>
      </c>
      <c r="D97" s="163">
        <f>VLOOKUP($B97,'增加值 (2001-2060, 2020RMB)'!$A$13:$BI$54,COLUMN('增加值 (2001-2060, 2020RMB)'!$Z$1),0)/'增加值 (2001-2060, 2020RMB)'!$Z$13</f>
        <v>4.5193996206255957E-2</v>
      </c>
      <c r="E97" s="163">
        <f>VLOOKUP($B97,'增加值 (2001-2060, 2020RMB)'!$A$13:$BI$54,COLUMN('增加值 (2001-2060, 2020RMB)'!$AE$1),0)/'增加值 (2001-2060, 2020RMB)'!$AE$13</f>
        <v>4.1442866999999758E-2</v>
      </c>
      <c r="F97" s="163">
        <f>VLOOKUP($B97,'增加值 (2001-2060, 2020RMB)'!$A$13:$BI$54,COLUMN('增加值 (2001-2060, 2020RMB)'!$AJ$1),0)/'增加值 (2001-2060, 2020RMB)'!$AJ$13</f>
        <v>3.7231478125052703E-2</v>
      </c>
      <c r="G97" s="163">
        <f>VLOOKUP($B97,'增加值 (2001-2060, 2020RMB)'!$A$13:$BI$54,COLUMN('增加值 (2001-2060, 2020RMB)'!$AY$1),0)/'增加值 (2001-2060, 2020RMB)'!$AY$13</f>
        <v>2.7729661685402775E-2</v>
      </c>
      <c r="H97" s="163">
        <f>VLOOKUP($B97,'增加值 (2001-2060, 2020RMB)'!$A$13:$BI$54,COLUMN('增加值 (2001-2060, 2020RMB)'!$BI$1),0)/'增加值 (2001-2060, 2020RMB)'!$BI$13</f>
        <v>2.2821587738406392E-2</v>
      </c>
    </row>
    <row r="98" spans="1:8" ht="15" x14ac:dyDescent="0.25">
      <c r="A98" s="156"/>
      <c r="B98" s="158" t="s">
        <v>227</v>
      </c>
      <c r="C98" s="163">
        <f>VLOOKUP($B98,'增加值 (2001-2060, 2020RMB)'!$A$13:$BI$54,COLUMN('增加值 (2001-2060, 2020RMB)'!$W$1),0)/'增加值 (2001-2060, 2020RMB)'!$W$13</f>
        <v>3.2760552849138543E-2</v>
      </c>
      <c r="D98" s="163">
        <f>VLOOKUP($B98,'增加值 (2001-2060, 2020RMB)'!$A$13:$BI$54,COLUMN('增加值 (2001-2060, 2020RMB)'!$Z$1),0)/'增加值 (2001-2060, 2020RMB)'!$Z$13</f>
        <v>2.9837902812168846E-2</v>
      </c>
      <c r="E98" s="163">
        <f>VLOOKUP($B98,'增加值 (2001-2060, 2020RMB)'!$A$13:$BI$54,COLUMN('增加值 (2001-2060, 2020RMB)'!$AE$1),0)/'增加值 (2001-2060, 2020RMB)'!$AE$13</f>
        <v>2.5826578483627748E-2</v>
      </c>
      <c r="F98" s="163">
        <f>VLOOKUP($B98,'增加值 (2001-2060, 2020RMB)'!$A$13:$BI$54,COLUMN('增加值 (2001-2060, 2020RMB)'!$AJ$1),0)/'增加值 (2001-2060, 2020RMB)'!$AJ$13</f>
        <v>2.2373248465217224E-2</v>
      </c>
      <c r="G98" s="163">
        <f>VLOOKUP($B98,'增加值 (2001-2060, 2020RMB)'!$A$13:$BI$54,COLUMN('增加值 (2001-2060, 2020RMB)'!$AY$1),0)/'增加值 (2001-2060, 2020RMB)'!$AY$13</f>
        <v>1.6584403590198946E-2</v>
      </c>
      <c r="H98" s="163">
        <f>VLOOKUP($B98,'增加值 (2001-2060, 2020RMB)'!$A$13:$BI$54,COLUMN('增加值 (2001-2060, 2020RMB)'!$BI$1),0)/'增加值 (2001-2060, 2020RMB)'!$BI$13</f>
        <v>1.3806404968583449E-2</v>
      </c>
    </row>
    <row r="99" spans="1:8" ht="15" x14ac:dyDescent="0.25">
      <c r="A99" s="156"/>
      <c r="B99" s="158" t="s">
        <v>267</v>
      </c>
      <c r="C99" s="163">
        <f>VLOOKUP($B99,'增加值 (2001-2060, 2020RMB)'!$A$13:$BI$54,COLUMN('增加值 (2001-2060, 2020RMB)'!$W$1),0)/'增加值 (2001-2060, 2020RMB)'!$W$13</f>
        <v>4.6516835182683361E-2</v>
      </c>
      <c r="D99" s="163">
        <f>VLOOKUP($B99,'增加值 (2001-2060, 2020RMB)'!$A$13:$BI$54,COLUMN('增加值 (2001-2060, 2020RMB)'!$Z$1),0)/'增加值 (2001-2060, 2020RMB)'!$Z$13</f>
        <v>4.9180482062837004E-2</v>
      </c>
      <c r="E99" s="163">
        <f>VLOOKUP($B99,'增加值 (2001-2060, 2020RMB)'!$A$13:$BI$54,COLUMN('增加值 (2001-2060, 2020RMB)'!$AE$1),0)/'增加值 (2001-2060, 2020RMB)'!$AE$13</f>
        <v>5.4580051653962493E-2</v>
      </c>
      <c r="F99" s="163">
        <f>VLOOKUP($B99,'增加值 (2001-2060, 2020RMB)'!$A$13:$BI$54,COLUMN('增加值 (2001-2060, 2020RMB)'!$AJ$1),0)/'增加值 (2001-2060, 2020RMB)'!$AJ$13</f>
        <v>5.8603038191248617E-2</v>
      </c>
      <c r="G99" s="163">
        <f>VLOOKUP($B99,'增加值 (2001-2060, 2020RMB)'!$A$13:$BI$54,COLUMN('增加值 (2001-2060, 2020RMB)'!$AY$1),0)/'增加值 (2001-2060, 2020RMB)'!$AY$13</f>
        <v>6.1642933145253098E-2</v>
      </c>
      <c r="H99" s="163">
        <f>VLOOKUP($B99,'增加值 (2001-2060, 2020RMB)'!$A$13:$BI$54,COLUMN('增加值 (2001-2060, 2020RMB)'!$BI$1),0)/'增加值 (2001-2060, 2020RMB)'!$BI$13</f>
        <v>6.6134317829437017E-2</v>
      </c>
    </row>
    <row r="100" spans="1:8" ht="15" x14ac:dyDescent="0.25">
      <c r="A100" s="156"/>
      <c r="B100" s="158" t="s">
        <v>228</v>
      </c>
      <c r="C100" s="163">
        <f>VLOOKUP($B100,'增加值 (2001-2060, 2020RMB)'!$A$13:$BI$54,COLUMN('增加值 (2001-2060, 2020RMB)'!$W$1),0)/'增加值 (2001-2060, 2020RMB)'!$W$13</f>
        <v>6.5631821762248948E-3</v>
      </c>
      <c r="D100" s="163">
        <f>VLOOKUP($B100,'增加值 (2001-2060, 2020RMB)'!$A$13:$BI$54,COLUMN('增加值 (2001-2060, 2020RMB)'!$Z$1),0)/'增加值 (2001-2060, 2020RMB)'!$Z$13</f>
        <v>7.7315670257768086E-3</v>
      </c>
      <c r="E100" s="163">
        <f>VLOOKUP($B100,'增加值 (2001-2060, 2020RMB)'!$A$13:$BI$54,COLUMN('增加值 (2001-2060, 2020RMB)'!$AE$1),0)/'增加值 (2001-2060, 2020RMB)'!$AE$13</f>
        <v>1.027525857239564E-2</v>
      </c>
      <c r="F100" s="163">
        <f>VLOOKUP($B100,'增加值 (2001-2060, 2020RMB)'!$A$13:$BI$54,COLUMN('增加值 (2001-2060, 2020RMB)'!$AJ$1),0)/'增加值 (2001-2060, 2020RMB)'!$AJ$13</f>
        <v>1.2774143754899965E-2</v>
      </c>
      <c r="G100" s="163">
        <f>VLOOKUP($B100,'增加值 (2001-2060, 2020RMB)'!$A$13:$BI$54,COLUMN('增加值 (2001-2060, 2020RMB)'!$AY$1),0)/'增加值 (2001-2060, 2020RMB)'!$AY$13</f>
        <v>1.7809488721453159E-2</v>
      </c>
      <c r="H100" s="163">
        <f>VLOOKUP($B100,'增加值 (2001-2060, 2020RMB)'!$A$13:$BI$54,COLUMN('增加值 (2001-2060, 2020RMB)'!$BI$1),0)/'增加值 (2001-2060, 2020RMB)'!$BI$13</f>
        <v>2.3055047813989964E-2</v>
      </c>
    </row>
    <row r="101" spans="1:8" ht="15" x14ac:dyDescent="0.25">
      <c r="A101" s="156"/>
      <c r="B101" s="158" t="s">
        <v>229</v>
      </c>
      <c r="C101" s="163">
        <f>VLOOKUP($B101,'增加值 (2001-2060, 2020RMB)'!$A$13:$BI$54,COLUMN('增加值 (2001-2060, 2020RMB)'!$W$1),0)/'增加值 (2001-2060, 2020RMB)'!$W$13</f>
        <v>3.4575920412114199E-3</v>
      </c>
      <c r="D101" s="163">
        <f>VLOOKUP($B101,'增加值 (2001-2060, 2020RMB)'!$A$13:$BI$54,COLUMN('增加值 (2001-2060, 2020RMB)'!$Z$1),0)/'增加值 (2001-2060, 2020RMB)'!$Z$13</f>
        <v>3.6350001890248129E-3</v>
      </c>
      <c r="E101" s="163">
        <f>VLOOKUP($B101,'增加值 (2001-2060, 2020RMB)'!$A$13:$BI$54,COLUMN('增加值 (2001-2060, 2020RMB)'!$AE$1),0)/'增加值 (2001-2060, 2020RMB)'!$AE$13</f>
        <v>3.9963088253148404E-3</v>
      </c>
      <c r="F101" s="163">
        <f>VLOOKUP($B101,'增加值 (2001-2060, 2020RMB)'!$A$13:$BI$54,COLUMN('增加值 (2001-2060, 2020RMB)'!$AJ$1),0)/'增加值 (2001-2060, 2020RMB)'!$AJ$13</f>
        <v>4.2582806035120647E-3</v>
      </c>
      <c r="G101" s="163">
        <f>VLOOKUP($B101,'增加值 (2001-2060, 2020RMB)'!$A$13:$BI$54,COLUMN('增加值 (2001-2060, 2020RMB)'!$AY$1),0)/'增加值 (2001-2060, 2020RMB)'!$AY$13</f>
        <v>4.414365345484143E-3</v>
      </c>
      <c r="H101" s="163">
        <f>VLOOKUP($B101,'增加值 (2001-2060, 2020RMB)'!$A$13:$BI$54,COLUMN('增加值 (2001-2060, 2020RMB)'!$BI$1),0)/'增加值 (2001-2060, 2020RMB)'!$BI$13</f>
        <v>4.690211340450408E-3</v>
      </c>
    </row>
    <row r="102" spans="1:8" x14ac:dyDescent="0.15">
      <c r="A102" s="155" t="s">
        <v>230</v>
      </c>
      <c r="B102" s="158" t="s">
        <v>231</v>
      </c>
      <c r="C102" s="163">
        <f>VLOOKUP($B102,'增加值 (2001-2060, 2020RMB)'!$A$13:$BI$54,COLUMN('增加值 (2001-2060, 2020RMB)'!$W$1),0)/'增加值 (2001-2060, 2020RMB)'!$W$13</f>
        <v>2.1619538575254445E-2</v>
      </c>
      <c r="D102" s="163">
        <f>VLOOKUP($B102,'增加值 (2001-2060, 2020RMB)'!$A$13:$BI$54,COLUMN('增加值 (2001-2060, 2020RMB)'!$Z$1),0)/'增加值 (2001-2060, 2020RMB)'!$Z$13</f>
        <v>1.9129541588073663E-2</v>
      </c>
      <c r="E102" s="163">
        <f>VLOOKUP($B102,'增加值 (2001-2060, 2020RMB)'!$A$13:$BI$54,COLUMN('增加值 (2001-2060, 2020RMB)'!$AE$1),0)/'增加值 (2001-2060, 2020RMB)'!$AE$13</f>
        <v>1.5811429424853529E-2</v>
      </c>
      <c r="F102" s="163">
        <f>VLOOKUP($B102,'增加值 (2001-2060, 2020RMB)'!$A$13:$BI$54,COLUMN('增加值 (2001-2060, 2020RMB)'!$AJ$1),0)/'增加值 (2001-2060, 2020RMB)'!$AJ$13</f>
        <v>1.3344370449042676E-2</v>
      </c>
      <c r="G102" s="163">
        <f>VLOOKUP($B102,'增加值 (2001-2060, 2020RMB)'!$A$13:$BI$54,COLUMN('增加值 (2001-2060, 2020RMB)'!$AY$1),0)/'增加值 (2001-2060, 2020RMB)'!$AY$13</f>
        <v>8.8109151108642526E-3</v>
      </c>
      <c r="H102" s="163">
        <f>VLOOKUP($B102,'增加值 (2001-2060, 2020RMB)'!$A$13:$BI$54,COLUMN('增加值 (2001-2060, 2020RMB)'!$BI$1),0)/'增加值 (2001-2060, 2020RMB)'!$BI$13</f>
        <v>6.8726207865912074E-3</v>
      </c>
    </row>
    <row r="103" spans="1:8" ht="15" x14ac:dyDescent="0.25">
      <c r="A103" s="156"/>
      <c r="B103" s="158" t="s">
        <v>232</v>
      </c>
      <c r="C103" s="163">
        <f>VLOOKUP($B103,'增加值 (2001-2060, 2020RMB)'!$A$13:$BI$54,COLUMN('增加值 (2001-2060, 2020RMB)'!$W$1),0)/'增加值 (2001-2060, 2020RMB)'!$W$13</f>
        <v>1.3696851548692881E-2</v>
      </c>
      <c r="D103" s="163">
        <f>VLOOKUP($B103,'增加值 (2001-2060, 2020RMB)'!$A$13:$BI$54,COLUMN('增加值 (2001-2060, 2020RMB)'!$Z$1),0)/'增加值 (2001-2060, 2020RMB)'!$Z$13</f>
        <v>1.2224341716856111E-2</v>
      </c>
      <c r="E103" s="163">
        <f>VLOOKUP($B103,'增加值 (2001-2060, 2020RMB)'!$A$13:$BI$54,COLUMN('增加值 (2001-2060, 2020RMB)'!$AE$1),0)/'增加值 (2001-2060, 2020RMB)'!$AE$13</f>
        <v>1.0259431614480683E-2</v>
      </c>
      <c r="F103" s="163">
        <f>VLOOKUP($B103,'增加值 (2001-2060, 2020RMB)'!$A$13:$BI$54,COLUMN('增加值 (2001-2060, 2020RMB)'!$AJ$1),0)/'增加值 (2001-2060, 2020RMB)'!$AJ$13</f>
        <v>8.7527182085861428E-3</v>
      </c>
      <c r="G103" s="163">
        <f>VLOOKUP($B103,'增加值 (2001-2060, 2020RMB)'!$A$13:$BI$54,COLUMN('增加值 (2001-2060, 2020RMB)'!$AY$1),0)/'增加值 (2001-2060, 2020RMB)'!$AY$13</f>
        <v>5.8738964180247884E-3</v>
      </c>
      <c r="H103" s="163">
        <f>VLOOKUP($B103,'增加值 (2001-2060, 2020RMB)'!$A$13:$BI$54,COLUMN('增加值 (2001-2060, 2020RMB)'!$BI$1),0)/'增加值 (2001-2060, 2020RMB)'!$BI$13</f>
        <v>4.6149689951715204E-3</v>
      </c>
    </row>
    <row r="104" spans="1:8" ht="15" x14ac:dyDescent="0.25">
      <c r="A104" s="156"/>
      <c r="B104" s="158" t="s">
        <v>233</v>
      </c>
      <c r="C104" s="163">
        <f>VLOOKUP($B104,'增加值 (2001-2060, 2020RMB)'!$A$13:$BI$54,COLUMN('增加值 (2001-2060, 2020RMB)'!$W$1),0)/'增加值 (2001-2060, 2020RMB)'!$W$13</f>
        <v>1.090069232378491E-2</v>
      </c>
      <c r="D104" s="163">
        <f>VLOOKUP($B104,'增加值 (2001-2060, 2020RMB)'!$A$13:$BI$54,COLUMN('增加值 (2001-2060, 2020RMB)'!$Z$1),0)/'增加值 (2001-2060, 2020RMB)'!$Z$13</f>
        <v>1.0055039795405679E-2</v>
      </c>
      <c r="E104" s="163">
        <f>VLOOKUP($B104,'增加值 (2001-2060, 2020RMB)'!$A$13:$BI$54,COLUMN('增加值 (2001-2060, 2020RMB)'!$AE$1),0)/'增加值 (2001-2060, 2020RMB)'!$AE$13</f>
        <v>8.9459229260189597E-3</v>
      </c>
      <c r="F104" s="163">
        <f>VLOOKUP($B104,'增加值 (2001-2060, 2020RMB)'!$A$13:$BI$54,COLUMN('增加值 (2001-2060, 2020RMB)'!$AJ$1),0)/'增加值 (2001-2060, 2020RMB)'!$AJ$13</f>
        <v>7.9545939566544252E-3</v>
      </c>
      <c r="G104" s="163">
        <f>VLOOKUP($B104,'增加值 (2001-2060, 2020RMB)'!$A$13:$BI$54,COLUMN('增加值 (2001-2060, 2020RMB)'!$AY$1),0)/'增加值 (2001-2060, 2020RMB)'!$AY$13</f>
        <v>5.6821592064947102E-3</v>
      </c>
      <c r="H104" s="163">
        <f>VLOOKUP($B104,'增加值 (2001-2060, 2020RMB)'!$A$13:$BI$54,COLUMN('增加值 (2001-2060, 2020RMB)'!$BI$1),0)/'增加值 (2001-2060, 2020RMB)'!$BI$13</f>
        <v>4.5901663832323691E-3</v>
      </c>
    </row>
    <row r="105" spans="1:8" ht="15" x14ac:dyDescent="0.25">
      <c r="A105" s="156"/>
      <c r="B105" s="157" t="s">
        <v>234</v>
      </c>
      <c r="C105" s="163">
        <f>VLOOKUP($B105,'增加值 (2001-2060, 2020RMB)'!$A$13:$BI$54,COLUMN('增加值 (2001-2060, 2020RMB)'!$W$1),0)/'增加值 (2001-2060, 2020RMB)'!$W$13</f>
        <v>1.6572863179977887E-2</v>
      </c>
      <c r="D105" s="163">
        <f>VLOOKUP($B105,'增加值 (2001-2060, 2020RMB)'!$A$13:$BI$54,COLUMN('增加值 (2001-2060, 2020RMB)'!$Z$1),0)/'增加值 (2001-2060, 2020RMB)'!$Z$13</f>
        <v>1.5059938189737863E-2</v>
      </c>
      <c r="E105" s="163">
        <f>VLOOKUP($B105,'增加值 (2001-2060, 2020RMB)'!$A$13:$BI$54,COLUMN('增加值 (2001-2060, 2020RMB)'!$AE$1),0)/'增加值 (2001-2060, 2020RMB)'!$AE$13</f>
        <v>1.304847544281666E-2</v>
      </c>
      <c r="F105" s="163">
        <f>VLOOKUP($B105,'增加值 (2001-2060, 2020RMB)'!$A$13:$BI$54,COLUMN('增加值 (2001-2060, 2020RMB)'!$AJ$1),0)/'增加值 (2001-2060, 2020RMB)'!$AJ$13</f>
        <v>1.1386390658720403E-2</v>
      </c>
      <c r="G105" s="163">
        <f>VLOOKUP($B105,'增加值 (2001-2060, 2020RMB)'!$A$13:$BI$54,COLUMN('增加值 (2001-2060, 2020RMB)'!$AY$1),0)/'增加值 (2001-2060, 2020RMB)'!$AY$13</f>
        <v>7.9058511608698003E-3</v>
      </c>
      <c r="H105" s="163">
        <f>VLOOKUP($B105,'增加值 (2001-2060, 2020RMB)'!$A$13:$BI$54,COLUMN('增加值 (2001-2060, 2020RMB)'!$BI$1),0)/'增加值 (2001-2060, 2020RMB)'!$BI$13</f>
        <v>6.3062328077046264E-3</v>
      </c>
    </row>
    <row r="106" spans="1:8" ht="15" x14ac:dyDescent="0.25">
      <c r="A106" s="156"/>
      <c r="B106" s="157" t="s">
        <v>235</v>
      </c>
      <c r="C106" s="163">
        <f>VLOOKUP($B106,'增加值 (2001-2060, 2020RMB)'!$A$13:$BI$54,COLUMN('增加值 (2001-2060, 2020RMB)'!$W$1),0)/'增加值 (2001-2060, 2020RMB)'!$W$13</f>
        <v>6.4036785590677603E-2</v>
      </c>
      <c r="D106" s="163">
        <f>VLOOKUP($B106,'增加值 (2001-2060, 2020RMB)'!$A$13:$BI$54,COLUMN('增加值 (2001-2060, 2020RMB)'!$Z$1),0)/'增加值 (2001-2060, 2020RMB)'!$Z$13</f>
        <v>6.2288636698317211E-2</v>
      </c>
      <c r="E106" s="163">
        <f>VLOOKUP($B106,'增加值 (2001-2060, 2020RMB)'!$A$13:$BI$54,COLUMN('增加值 (2001-2060, 2020RMB)'!$AE$1),0)/'增加值 (2001-2060, 2020RMB)'!$AE$13</f>
        <v>6.0868627085600105E-2</v>
      </c>
      <c r="F106" s="163">
        <f>VLOOKUP($B106,'增加值 (2001-2060, 2020RMB)'!$A$13:$BI$54,COLUMN('增加值 (2001-2060, 2020RMB)'!$AJ$1),0)/'增加值 (2001-2060, 2020RMB)'!$AJ$13</f>
        <v>5.7863978087410867E-2</v>
      </c>
      <c r="G106" s="163">
        <f>VLOOKUP($B106,'增加值 (2001-2060, 2020RMB)'!$A$13:$BI$54,COLUMN('增加值 (2001-2060, 2020RMB)'!$AY$1),0)/'增加值 (2001-2060, 2020RMB)'!$AY$13</f>
        <v>4.5742284833161534E-2</v>
      </c>
      <c r="H106" s="163">
        <f>VLOOKUP($B106,'增加值 (2001-2060, 2020RMB)'!$A$13:$BI$54,COLUMN('增加值 (2001-2060, 2020RMB)'!$BI$1),0)/'增加值 (2001-2060, 2020RMB)'!$BI$13</f>
        <v>3.8660470570879159E-2</v>
      </c>
    </row>
    <row r="107" spans="1:8" ht="15" x14ac:dyDescent="0.25">
      <c r="A107" s="156"/>
      <c r="B107" s="158" t="s">
        <v>236</v>
      </c>
      <c r="C107" s="163">
        <f>VLOOKUP($B107,'增加值 (2001-2060, 2020RMB)'!$A$13:$BI$54,COLUMN('增加值 (2001-2060, 2020RMB)'!$W$1),0)/'增加值 (2001-2060, 2020RMB)'!$W$13</f>
        <v>4.9449596704800773E-3</v>
      </c>
      <c r="D107" s="163">
        <f>VLOOKUP($B107,'增加值 (2001-2060, 2020RMB)'!$A$13:$BI$54,COLUMN('增加值 (2001-2060, 2020RMB)'!$Z$1),0)/'增加值 (2001-2060, 2020RMB)'!$Z$13</f>
        <v>4.9159088035151859E-3</v>
      </c>
      <c r="E107" s="163">
        <f>VLOOKUP($B107,'增加值 (2001-2060, 2020RMB)'!$A$13:$BI$54,COLUMN('增加值 (2001-2060, 2020RMB)'!$AE$1),0)/'增加值 (2001-2060, 2020RMB)'!$AE$13</f>
        <v>4.9923025614552292E-3</v>
      </c>
      <c r="F107" s="163">
        <f>VLOOKUP($B107,'增加值 (2001-2060, 2020RMB)'!$A$13:$BI$54,COLUMN('增加值 (2001-2060, 2020RMB)'!$AJ$1),0)/'增加值 (2001-2060, 2020RMB)'!$AJ$13</f>
        <v>4.8782640614658699E-3</v>
      </c>
      <c r="G107" s="163">
        <f>VLOOKUP($B107,'增加值 (2001-2060, 2020RMB)'!$A$13:$BI$54,COLUMN('增加值 (2001-2060, 2020RMB)'!$AY$1),0)/'增加值 (2001-2060, 2020RMB)'!$AY$13</f>
        <v>4.0214439568735027E-3</v>
      </c>
      <c r="H107" s="163">
        <f>VLOOKUP($B107,'增加值 (2001-2060, 2020RMB)'!$A$13:$BI$54,COLUMN('增加值 (2001-2060, 2020RMB)'!$BI$1),0)/'增加值 (2001-2060, 2020RMB)'!$BI$13</f>
        <v>3.4631088325062674E-3</v>
      </c>
    </row>
    <row r="108" spans="1:8" ht="15" x14ac:dyDescent="0.25">
      <c r="A108" s="156"/>
      <c r="B108" s="157" t="s">
        <v>237</v>
      </c>
      <c r="C108" s="163">
        <f>VLOOKUP($B108,'增加值 (2001-2060, 2020RMB)'!$A$13:$BI$54,COLUMN('增加值 (2001-2060, 2020RMB)'!$W$1),0)/'增加值 (2001-2060, 2020RMB)'!$W$13</f>
        <v>4.2932081844317099E-2</v>
      </c>
      <c r="D108" s="163">
        <f>VLOOKUP($B108,'增加值 (2001-2060, 2020RMB)'!$A$13:$BI$54,COLUMN('增加值 (2001-2060, 2020RMB)'!$Z$1),0)/'增加值 (2001-2060, 2020RMB)'!$Z$13</f>
        <v>4.1175307447136315E-2</v>
      </c>
      <c r="E108" s="163">
        <f>VLOOKUP($B108,'增加值 (2001-2060, 2020RMB)'!$A$13:$BI$54,COLUMN('增加值 (2001-2060, 2020RMB)'!$AE$1),0)/'增加值 (2001-2060, 2020RMB)'!$AE$13</f>
        <v>3.9246421605555179E-2</v>
      </c>
      <c r="F108" s="163">
        <f>VLOOKUP($B108,'增加值 (2001-2060, 2020RMB)'!$A$13:$BI$54,COLUMN('增加值 (2001-2060, 2020RMB)'!$AJ$1),0)/'增加值 (2001-2060, 2020RMB)'!$AJ$13</f>
        <v>3.6651464079920863E-2</v>
      </c>
      <c r="G108" s="163">
        <f>VLOOKUP($B108,'增加值 (2001-2060, 2020RMB)'!$A$13:$BI$54,COLUMN('增加值 (2001-2060, 2020RMB)'!$AY$1),0)/'增加值 (2001-2060, 2020RMB)'!$AY$13</f>
        <v>2.8200650272593716E-2</v>
      </c>
      <c r="H108" s="163">
        <f>VLOOKUP($B108,'增加值 (2001-2060, 2020RMB)'!$A$13:$BI$54,COLUMN('增加值 (2001-2060, 2020RMB)'!$BI$1),0)/'增加值 (2001-2060, 2020RMB)'!$BI$13</f>
        <v>2.3548661966441228E-2</v>
      </c>
    </row>
    <row r="109" spans="1:8" ht="15" x14ac:dyDescent="0.25">
      <c r="A109" s="156"/>
      <c r="B109" s="157" t="s">
        <v>238</v>
      </c>
      <c r="C109" s="163">
        <f>VLOOKUP($B109,'增加值 (2001-2060, 2020RMB)'!$A$13:$BI$54,COLUMN('增加值 (2001-2060, 2020RMB)'!$W$1),0)/'增加值 (2001-2060, 2020RMB)'!$W$13</f>
        <v>5.7252353789248388E-2</v>
      </c>
      <c r="D109" s="163">
        <f>VLOOKUP($B109,'增加值 (2001-2060, 2020RMB)'!$A$13:$BI$54,COLUMN('增加值 (2001-2060, 2020RMB)'!$Z$1),0)/'增加值 (2001-2060, 2020RMB)'!$Z$13</f>
        <v>5.4859397862915021E-2</v>
      </c>
      <c r="E109" s="163">
        <f>VLOOKUP($B109,'增加值 (2001-2060, 2020RMB)'!$A$13:$BI$54,COLUMN('增加值 (2001-2060, 2020RMB)'!$AE$1),0)/'增加值 (2001-2060, 2020RMB)'!$AE$13</f>
        <v>5.2205023333912783E-2</v>
      </c>
      <c r="F109" s="163">
        <f>VLOOKUP($B109,'增加值 (2001-2060, 2020RMB)'!$A$13:$BI$54,COLUMN('增加值 (2001-2060, 2020RMB)'!$AJ$1),0)/'增加值 (2001-2060, 2020RMB)'!$AJ$13</f>
        <v>4.8697081699241605E-2</v>
      </c>
      <c r="G109" s="163">
        <f>VLOOKUP($B109,'增加值 (2001-2060, 2020RMB)'!$A$13:$BI$54,COLUMN('增加值 (2001-2060, 2020RMB)'!$AY$1),0)/'增加值 (2001-2060, 2020RMB)'!$AY$13</f>
        <v>3.7403338398014435E-2</v>
      </c>
      <c r="H109" s="163">
        <f>VLOOKUP($B109,'增加值 (2001-2060, 2020RMB)'!$A$13:$BI$54,COLUMN('增加值 (2001-2060, 2020RMB)'!$BI$1),0)/'增加值 (2001-2060, 2020RMB)'!$BI$13</f>
        <v>3.1208875352128601E-2</v>
      </c>
    </row>
    <row r="110" spans="1:8" ht="15" x14ac:dyDescent="0.25">
      <c r="A110" s="156"/>
      <c r="B110" s="157" t="s">
        <v>239</v>
      </c>
      <c r="C110" s="163">
        <f>VLOOKUP($B110,'增加值 (2001-2060, 2020RMB)'!$A$13:$BI$54,COLUMN('增加值 (2001-2060, 2020RMB)'!$W$1),0)/'增加值 (2001-2060, 2020RMB)'!$W$13</f>
        <v>3.5157404645083011E-2</v>
      </c>
      <c r="D110" s="163">
        <f>VLOOKUP($B110,'增加值 (2001-2060, 2020RMB)'!$A$13:$BI$54,COLUMN('增加值 (2001-2060, 2020RMB)'!$Z$1),0)/'增加值 (2001-2060, 2020RMB)'!$Z$13</f>
        <v>3.4206418587538957E-2</v>
      </c>
      <c r="E110" s="163">
        <f>VLOOKUP($B110,'增加值 (2001-2060, 2020RMB)'!$A$13:$BI$54,COLUMN('增加值 (2001-2060, 2020RMB)'!$AE$1),0)/'增加值 (2001-2060, 2020RMB)'!$AE$13</f>
        <v>3.3441770816961945E-2</v>
      </c>
      <c r="F110" s="163">
        <f>VLOOKUP($B110,'增加值 (2001-2060, 2020RMB)'!$A$13:$BI$54,COLUMN('增加值 (2001-2060, 2020RMB)'!$AJ$1),0)/'增加值 (2001-2060, 2020RMB)'!$AJ$13</f>
        <v>3.1801290096614067E-2</v>
      </c>
      <c r="G110" s="163">
        <f>VLOOKUP($B110,'增加值 (2001-2060, 2020RMB)'!$A$13:$BI$54,COLUMN('增加值 (2001-2060, 2020RMB)'!$AY$1),0)/'增加值 (2001-2060, 2020RMB)'!$AY$13</f>
        <v>2.5151760145146224E-2</v>
      </c>
      <c r="H110" s="163">
        <f>VLOOKUP($B110,'增加值 (2001-2060, 2020RMB)'!$A$13:$BI$54,COLUMN('增加值 (2001-2060, 2020RMB)'!$BI$1),0)/'增加值 (2001-2060, 2020RMB)'!$BI$13</f>
        <v>2.1262448266743231E-2</v>
      </c>
    </row>
    <row r="111" spans="1:8" x14ac:dyDescent="0.15">
      <c r="A111" s="155" t="s">
        <v>250</v>
      </c>
      <c r="B111" s="158" t="s">
        <v>251</v>
      </c>
      <c r="C111" s="163">
        <f>VLOOKUP($B111,'增加值 (2001-2060, 2020RMB)'!$A$13:$BI$54,COLUMN('增加值 (2001-2060, 2020RMB)'!$W$1),0)/'增加值 (2001-2060, 2020RMB)'!$W$13</f>
        <v>4.0415847657294758E-2</v>
      </c>
      <c r="D111" s="163">
        <f>VLOOKUP($B111,'增加值 (2001-2060, 2020RMB)'!$A$13:$BI$54,COLUMN('增加值 (2001-2060, 2020RMB)'!$Z$1),0)/'增加值 (2001-2060, 2020RMB)'!$Z$13</f>
        <v>4.0315365235000518E-2</v>
      </c>
      <c r="E111" s="163">
        <f>VLOOKUP($B111,'增加值 (2001-2060, 2020RMB)'!$A$13:$BI$54,COLUMN('增加值 (2001-2060, 2020RMB)'!$AE$1),0)/'增加值 (2001-2060, 2020RMB)'!$AE$13</f>
        <v>3.9464728603115007E-2</v>
      </c>
      <c r="F111" s="163">
        <f>VLOOKUP($B111,'增加值 (2001-2060, 2020RMB)'!$A$13:$BI$54,COLUMN('增加值 (2001-2060, 2020RMB)'!$AJ$1),0)/'增加值 (2001-2060, 2020RMB)'!$AJ$13</f>
        <v>3.8729496355737539E-2</v>
      </c>
      <c r="G111" s="163">
        <f>VLOOKUP($B111,'增加值 (2001-2060, 2020RMB)'!$A$13:$BI$54,COLUMN('增加值 (2001-2060, 2020RMB)'!$AY$1),0)/'增加值 (2001-2060, 2020RMB)'!$AY$13</f>
        <v>3.5080689321003854E-2</v>
      </c>
      <c r="H111" s="163">
        <f>VLOOKUP($B111,'增加值 (2001-2060, 2020RMB)'!$A$13:$BI$54,COLUMN('增加值 (2001-2060, 2020RMB)'!$BI$1),0)/'增加值 (2001-2060, 2020RMB)'!$BI$13</f>
        <v>3.2132769882541261E-2</v>
      </c>
    </row>
    <row r="112" spans="1:8" ht="15" x14ac:dyDescent="0.25">
      <c r="A112" s="156"/>
      <c r="B112" s="158" t="s">
        <v>252</v>
      </c>
      <c r="C112" s="163">
        <f>VLOOKUP($B112,'增加值 (2001-2060, 2020RMB)'!$A$13:$BI$54,COLUMN('增加值 (2001-2060, 2020RMB)'!$W$1),0)/'增加值 (2001-2060, 2020RMB)'!$W$13</f>
        <v>4.20504050149582E-2</v>
      </c>
      <c r="D112" s="163">
        <f>VLOOKUP($B112,'增加值 (2001-2060, 2020RMB)'!$A$13:$BI$54,COLUMN('增加值 (2001-2060, 2020RMB)'!$Z$1),0)/'增加值 (2001-2060, 2020RMB)'!$Z$13</f>
        <v>4.2161670133736409E-2</v>
      </c>
      <c r="E112" s="163">
        <f>VLOOKUP($B112,'增加值 (2001-2060, 2020RMB)'!$A$13:$BI$54,COLUMN('增加值 (2001-2060, 2020RMB)'!$AE$1),0)/'增加值 (2001-2060, 2020RMB)'!$AE$13</f>
        <v>4.1583925320127994E-2</v>
      </c>
      <c r="F112" s="163">
        <f>VLOOKUP($B112,'增加值 (2001-2060, 2020RMB)'!$A$13:$BI$54,COLUMN('增加值 (2001-2060, 2020RMB)'!$AJ$1),0)/'增加值 (2001-2060, 2020RMB)'!$AJ$13</f>
        <v>4.1074924196372736E-2</v>
      </c>
      <c r="G112" s="163">
        <f>VLOOKUP($B112,'增加值 (2001-2060, 2020RMB)'!$A$13:$BI$54,COLUMN('增加值 (2001-2060, 2020RMB)'!$AY$1),0)/'增加值 (2001-2060, 2020RMB)'!$AY$13</f>
        <v>3.7697021535825513E-2</v>
      </c>
      <c r="H112" s="163">
        <f>VLOOKUP($B112,'增加值 (2001-2060, 2020RMB)'!$A$13:$BI$54,COLUMN('增加值 (2001-2060, 2020RMB)'!$BI$1),0)/'增加值 (2001-2060, 2020RMB)'!$BI$13</f>
        <v>3.4758105824667887E-2</v>
      </c>
    </row>
    <row r="113" spans="1:8" ht="15" x14ac:dyDescent="0.25">
      <c r="A113" s="156"/>
      <c r="B113" s="158" t="s">
        <v>253</v>
      </c>
      <c r="C113" s="163">
        <f>VLOOKUP($B113,'增加值 (2001-2060, 2020RMB)'!$A$13:$BI$54,COLUMN('增加值 (2001-2060, 2020RMB)'!$W$1),0)/'增加值 (2001-2060, 2020RMB)'!$W$13</f>
        <v>3.2495350973164694E-2</v>
      </c>
      <c r="D113" s="163">
        <f>VLOOKUP($B113,'增加值 (2001-2060, 2020RMB)'!$A$13:$BI$54,COLUMN('增加值 (2001-2060, 2020RMB)'!$Z$1),0)/'增加值 (2001-2060, 2020RMB)'!$Z$13</f>
        <v>3.4356852199560334E-2</v>
      </c>
      <c r="E113" s="163">
        <f>VLOOKUP($B113,'增加值 (2001-2060, 2020RMB)'!$A$13:$BI$54,COLUMN('增加值 (2001-2060, 2020RMB)'!$AE$1),0)/'增加值 (2001-2060, 2020RMB)'!$AE$13</f>
        <v>3.6632167413446499E-2</v>
      </c>
      <c r="F113" s="163">
        <f>VLOOKUP($B113,'增加值 (2001-2060, 2020RMB)'!$A$13:$BI$54,COLUMN('增加值 (2001-2060, 2020RMB)'!$AJ$1),0)/'增加值 (2001-2060, 2020RMB)'!$AJ$13</f>
        <v>3.8701272714881267E-2</v>
      </c>
      <c r="G113" s="163">
        <f>VLOOKUP($B113,'增加值 (2001-2060, 2020RMB)'!$A$13:$BI$54,COLUMN('增加值 (2001-2060, 2020RMB)'!$AY$1),0)/'增加值 (2001-2060, 2020RMB)'!$AY$13</f>
        <v>4.0711113121926344E-2</v>
      </c>
      <c r="H113" s="163">
        <f>VLOOKUP($B113,'增加值 (2001-2060, 2020RMB)'!$A$13:$BI$54,COLUMN('增加值 (2001-2060, 2020RMB)'!$BI$1),0)/'增加值 (2001-2060, 2020RMB)'!$BI$13</f>
        <v>4.02072163803215E-2</v>
      </c>
    </row>
    <row r="114" spans="1:8" ht="15" x14ac:dyDescent="0.25">
      <c r="A114" s="156"/>
      <c r="B114" s="158" t="s">
        <v>254</v>
      </c>
      <c r="C114" s="163">
        <f>VLOOKUP($B114,'增加值 (2001-2060, 2020RMB)'!$A$13:$BI$54,COLUMN('增加值 (2001-2060, 2020RMB)'!$W$1),0)/'增加值 (2001-2060, 2020RMB)'!$W$13</f>
        <v>6.4495814044532723E-2</v>
      </c>
      <c r="D114" s="163">
        <f>VLOOKUP($B114,'增加值 (2001-2060, 2020RMB)'!$A$13:$BI$54,COLUMN('增加值 (2001-2060, 2020RMB)'!$Z$1),0)/'增加值 (2001-2060, 2020RMB)'!$Z$13</f>
        <v>6.4496691498978395E-2</v>
      </c>
      <c r="E114" s="163">
        <f>VLOOKUP($B114,'增加值 (2001-2060, 2020RMB)'!$A$13:$BI$54,COLUMN('增加值 (2001-2060, 2020RMB)'!$AE$1),0)/'增加值 (2001-2060, 2020RMB)'!$AE$13</f>
        <v>6.3368047394259372E-2</v>
      </c>
      <c r="F114" s="163">
        <f>VLOOKUP($B114,'增加值 (2001-2060, 2020RMB)'!$A$13:$BI$54,COLUMN('增加值 (2001-2060, 2020RMB)'!$AJ$1),0)/'增加值 (2001-2060, 2020RMB)'!$AJ$13</f>
        <v>6.238462832828854E-2</v>
      </c>
      <c r="G114" s="163">
        <f>VLOOKUP($B114,'增加值 (2001-2060, 2020RMB)'!$A$13:$BI$54,COLUMN('增加值 (2001-2060, 2020RMB)'!$AY$1),0)/'增加值 (2001-2060, 2020RMB)'!$AY$13</f>
        <v>5.6870264917170121E-2</v>
      </c>
      <c r="H114" s="163">
        <f>VLOOKUP($B114,'增加值 (2001-2060, 2020RMB)'!$A$13:$BI$54,COLUMN('增加值 (2001-2060, 2020RMB)'!$BI$1),0)/'增加值 (2001-2060, 2020RMB)'!$BI$13</f>
        <v>5.2259375260950654E-2</v>
      </c>
    </row>
    <row r="115" spans="1:8" ht="15" x14ac:dyDescent="0.25">
      <c r="A115" s="156"/>
      <c r="B115" s="157" t="s">
        <v>255</v>
      </c>
      <c r="C115" s="163">
        <f>VLOOKUP($B115,'增加值 (2001-2060, 2020RMB)'!$A$13:$BI$54,COLUMN('增加值 (2001-2060, 2020RMB)'!$W$1),0)/'增加值 (2001-2060, 2020RMB)'!$W$13</f>
        <v>1.7604738161339482E-2</v>
      </c>
      <c r="D115" s="163">
        <f>VLOOKUP($B115,'增加值 (2001-2060, 2020RMB)'!$A$13:$BI$54,COLUMN('增加值 (2001-2060, 2020RMB)'!$Z$1),0)/'增加值 (2001-2060, 2020RMB)'!$Z$13</f>
        <v>1.7079985741150498E-2</v>
      </c>
      <c r="E115" s="163">
        <f>VLOOKUP($B115,'增加值 (2001-2060, 2020RMB)'!$A$13:$BI$54,COLUMN('增加值 (2001-2060, 2020RMB)'!$AE$1),0)/'增加值 (2001-2060, 2020RMB)'!$AE$13</f>
        <v>1.6052632225709351E-2</v>
      </c>
      <c r="F115" s="163">
        <f>VLOOKUP($B115,'增加值 (2001-2060, 2020RMB)'!$A$13:$BI$54,COLUMN('增加值 (2001-2060, 2020RMB)'!$AJ$1),0)/'增加值 (2001-2060, 2020RMB)'!$AJ$13</f>
        <v>1.5210595334945346E-2</v>
      </c>
      <c r="G115" s="163">
        <f>VLOOKUP($B115,'增加值 (2001-2060, 2020RMB)'!$A$13:$BI$54,COLUMN('增加值 (2001-2060, 2020RMB)'!$AY$1),0)/'增加值 (2001-2060, 2020RMB)'!$AY$13</f>
        <v>1.2834744489946079E-2</v>
      </c>
      <c r="H115" s="163">
        <f>VLOOKUP($B115,'增加值 (2001-2060, 2020RMB)'!$A$13:$BI$54,COLUMN('增加值 (2001-2060, 2020RMB)'!$BI$1),0)/'增加值 (2001-2060, 2020RMB)'!$BI$13</f>
        <v>1.134471129285867E-2</v>
      </c>
    </row>
    <row r="116" spans="1:8" ht="15" x14ac:dyDescent="0.25">
      <c r="A116" s="156"/>
      <c r="B116" s="157" t="s">
        <v>256</v>
      </c>
      <c r="C116" s="163">
        <f>VLOOKUP($B116,'增加值 (2001-2060, 2020RMB)'!$A$13:$BI$54,COLUMN('增加值 (2001-2060, 2020RMB)'!$W$1),0)/'增加值 (2001-2060, 2020RMB)'!$W$13</f>
        <v>7.327194534663288E-2</v>
      </c>
      <c r="D116" s="163">
        <f>VLOOKUP($B116,'增加值 (2001-2060, 2020RMB)'!$A$13:$BI$54,COLUMN('增加值 (2001-2060, 2020RMB)'!$Z$1),0)/'增加值 (2001-2060, 2020RMB)'!$Z$13</f>
        <v>8.1694786016474535E-2</v>
      </c>
      <c r="E116" s="163">
        <f>VLOOKUP($B116,'增加值 (2001-2060, 2020RMB)'!$A$13:$BI$54,COLUMN('增加值 (2001-2060, 2020RMB)'!$AE$1),0)/'增加值 (2001-2060, 2020RMB)'!$AE$13</f>
        <v>9.4185763137451639E-2</v>
      </c>
      <c r="F116" s="163">
        <f>VLOOKUP($B116,'增加值 (2001-2060, 2020RMB)'!$A$13:$BI$54,COLUMN('增加值 (2001-2060, 2020RMB)'!$AJ$1),0)/'增加值 (2001-2060, 2020RMB)'!$AJ$13</f>
        <v>0.10646524324445666</v>
      </c>
      <c r="G116" s="163">
        <f>VLOOKUP($B116,'增加值 (2001-2060, 2020RMB)'!$A$13:$BI$54,COLUMN('增加值 (2001-2060, 2020RMB)'!$AY$1),0)/'增加值 (2001-2060, 2020RMB)'!$AY$13</f>
        <v>0.12853280723035015</v>
      </c>
      <c r="H116" s="163">
        <f>VLOOKUP($B116,'增加值 (2001-2060, 2020RMB)'!$A$13:$BI$54,COLUMN('增加值 (2001-2060, 2020RMB)'!$BI$1),0)/'增加值 (2001-2060, 2020RMB)'!$BI$13</f>
        <v>0.13608074223700989</v>
      </c>
    </row>
    <row r="117" spans="1:8" x14ac:dyDescent="0.15">
      <c r="A117" s="155" t="s">
        <v>257</v>
      </c>
      <c r="B117" s="158" t="s">
        <v>258</v>
      </c>
      <c r="C117" s="163">
        <f>VLOOKUP($B117,'增加值 (2001-2060, 2020RMB)'!$A$13:$BI$54,COLUMN('增加值 (2001-2060, 2020RMB)'!$W$1),0)/'增加值 (2001-2060, 2020RMB)'!$W$13</f>
        <v>0.10663333152705491</v>
      </c>
      <c r="D117" s="163">
        <f>VLOOKUP($B117,'增加值 (2001-2060, 2020RMB)'!$A$13:$BI$54,COLUMN('增加值 (2001-2060, 2020RMB)'!$Z$1),0)/'增加值 (2001-2060, 2020RMB)'!$Z$13</f>
        <v>0.11924426096237584</v>
      </c>
      <c r="E117" s="163">
        <f>VLOOKUP($B117,'增加值 (2001-2060, 2020RMB)'!$A$13:$BI$54,COLUMN('增加值 (2001-2060, 2020RMB)'!$AE$1),0)/'增加值 (2001-2060, 2020RMB)'!$AE$13</f>
        <v>0.13807839637440461</v>
      </c>
      <c r="F117" s="163">
        <f>VLOOKUP($B117,'增加值 (2001-2060, 2020RMB)'!$A$13:$BI$54,COLUMN('增加值 (2001-2060, 2020RMB)'!$AJ$1),0)/'增加值 (2001-2060, 2020RMB)'!$AJ$13</f>
        <v>0.15667198983301792</v>
      </c>
      <c r="G117" s="163">
        <f>VLOOKUP($B117,'增加值 (2001-2060, 2020RMB)'!$A$13:$BI$54,COLUMN('增加值 (2001-2060, 2020RMB)'!$AY$1),0)/'增加值 (2001-2060, 2020RMB)'!$AY$13</f>
        <v>0.2232131170480153</v>
      </c>
      <c r="H117" s="163">
        <f>VLOOKUP($B117,'增加值 (2001-2060, 2020RMB)'!$A$13:$BI$54,COLUMN('增加值 (2001-2060, 2020RMB)'!$BI$1),0)/'增加值 (2001-2060, 2020RMB)'!$BI$13</f>
        <v>0.26387328099496976</v>
      </c>
    </row>
    <row r="118" spans="1:8" x14ac:dyDescent="0.15">
      <c r="A118" s="155"/>
      <c r="B118" s="158" t="s">
        <v>105</v>
      </c>
      <c r="C118" s="163">
        <f>VLOOKUP($B118,'增加值 (2001-2060, 2020RMB)'!$A$13:$BI$54,COLUMN('增加值 (2001-2060, 2020RMB)'!$W$1),0)/'增加值 (2001-2060, 2020RMB)'!$W$13</f>
        <v>8.5863588078952963E-3</v>
      </c>
      <c r="D118" s="163">
        <f>VLOOKUP($B118,'增加值 (2001-2060, 2020RMB)'!$A$13:$BI$54,COLUMN('增加值 (2001-2060, 2020RMB)'!$Z$1),0)/'增加值 (2001-2060, 2020RMB)'!$Z$13</f>
        <v>8.9782642833949149E-3</v>
      </c>
      <c r="E118" s="163">
        <f>VLOOKUP($B118,'增加值 (2001-2060, 2020RMB)'!$A$13:$BI$54,COLUMN('增加值 (2001-2060, 2020RMB)'!$AE$1),0)/'增加值 (2001-2060, 2020RMB)'!$AE$13</f>
        <v>9.4183304053719295E-3</v>
      </c>
      <c r="F118" s="163">
        <f>VLOOKUP($B118,'增加值 (2001-2060, 2020RMB)'!$A$13:$BI$54,COLUMN('增加值 (2001-2060, 2020RMB)'!$AJ$1),0)/'增加值 (2001-2060, 2020RMB)'!$AJ$13</f>
        <v>9.811393890584226E-3</v>
      </c>
      <c r="G118" s="163">
        <f>VLOOKUP($B118,'增加值 (2001-2060, 2020RMB)'!$A$13:$BI$54,COLUMN('增加值 (2001-2060, 2020RMB)'!$AY$1),0)/'增加值 (2001-2060, 2020RMB)'!$AY$13</f>
        <v>1.1267890983250751E-2</v>
      </c>
      <c r="H118" s="163">
        <f>VLOOKUP($B118,'增加值 (2001-2060, 2020RMB)'!$A$13:$BI$54,COLUMN('增加值 (2001-2060, 2020RMB)'!$BI$1),0)/'增加值 (2001-2060, 2020RMB)'!$BI$13</f>
        <v>1.1861262836865394E-2</v>
      </c>
    </row>
    <row r="119" spans="1:8" ht="15" x14ac:dyDescent="0.25">
      <c r="A119" s="156"/>
      <c r="B119" s="158" t="s">
        <v>259</v>
      </c>
      <c r="C119" s="163">
        <f>VLOOKUP($B119,'增加值 (2001-2060, 2020RMB)'!$A$13:$BI$54,COLUMN('增加值 (2001-2060, 2020RMB)'!$W$1),0)/'增加值 (2001-2060, 2020RMB)'!$W$13</f>
        <v>3.0692738654203196E-2</v>
      </c>
      <c r="D119" s="163">
        <f>VLOOKUP($B119,'增加值 (2001-2060, 2020RMB)'!$A$13:$BI$54,COLUMN('增加值 (2001-2060, 2020RMB)'!$Z$1),0)/'增加值 (2001-2060, 2020RMB)'!$Z$13</f>
        <v>3.2726903110974676E-2</v>
      </c>
      <c r="E119" s="163">
        <f>VLOOKUP($B119,'增加值 (2001-2060, 2020RMB)'!$A$13:$BI$54,COLUMN('增加值 (2001-2060, 2020RMB)'!$AE$1),0)/'增加值 (2001-2060, 2020RMB)'!$AE$13</f>
        <v>3.533138874730677E-2</v>
      </c>
      <c r="F119" s="163">
        <f>VLOOKUP($B119,'增加值 (2001-2060, 2020RMB)'!$A$13:$BI$54,COLUMN('增加值 (2001-2060, 2020RMB)'!$AJ$1),0)/'增加值 (2001-2060, 2020RMB)'!$AJ$13</f>
        <v>3.7730791625068968E-2</v>
      </c>
      <c r="G119" s="163">
        <f>VLOOKUP($B119,'增加值 (2001-2060, 2020RMB)'!$A$13:$BI$54,COLUMN('增加值 (2001-2060, 2020RMB)'!$AY$1),0)/'增加值 (2001-2060, 2020RMB)'!$AY$13</f>
        <v>4.612887745020422E-2</v>
      </c>
      <c r="H119" s="163">
        <f>VLOOKUP($B119,'增加值 (2001-2060, 2020RMB)'!$A$13:$BI$54,COLUMN('增加值 (2001-2060, 2020RMB)'!$BI$1),0)/'增加值 (2001-2060, 2020RMB)'!$BI$13</f>
        <v>5.0218983257466952E-2</v>
      </c>
    </row>
    <row r="122" spans="1:8" x14ac:dyDescent="0.2">
      <c r="B122" s="125"/>
      <c r="C122" s="125">
        <v>2022</v>
      </c>
      <c r="D122" s="125">
        <v>2025</v>
      </c>
      <c r="E122" s="125">
        <v>2030</v>
      </c>
      <c r="F122" s="125">
        <v>2035</v>
      </c>
      <c r="G122" s="125">
        <v>2050</v>
      </c>
      <c r="H122" s="125">
        <v>2060</v>
      </c>
    </row>
    <row r="123" spans="1:8" x14ac:dyDescent="0.2">
      <c r="B123" s="125" t="s">
        <v>288</v>
      </c>
      <c r="C123" s="126">
        <f>SUM(C97:C101)</f>
        <v>0.13722970317754837</v>
      </c>
      <c r="D123" s="126">
        <f t="shared" ref="D123:H123" si="13">SUM(D97:D101)</f>
        <v>0.13557894829606346</v>
      </c>
      <c r="E123" s="126">
        <f t="shared" si="13"/>
        <v>0.13612106453530048</v>
      </c>
      <c r="F123" s="126">
        <f t="shared" si="13"/>
        <v>0.13524018913993058</v>
      </c>
      <c r="G123" s="126">
        <f t="shared" si="13"/>
        <v>0.12818085248779212</v>
      </c>
      <c r="H123" s="126">
        <f t="shared" si="13"/>
        <v>0.13050756969086724</v>
      </c>
    </row>
    <row r="124" spans="1:8" x14ac:dyDescent="0.2">
      <c r="B124" s="125" t="s">
        <v>289</v>
      </c>
      <c r="C124" s="126">
        <f>SUM(C102:C110)</f>
        <v>0.26711353116751629</v>
      </c>
      <c r="D124" s="126">
        <f t="shared" ref="D124:H124" si="14">SUM(D102:D110)</f>
        <v>0.25391453068949599</v>
      </c>
      <c r="E124" s="126">
        <f t="shared" si="14"/>
        <v>0.23881940481165509</v>
      </c>
      <c r="F124" s="126">
        <f t="shared" si="14"/>
        <v>0.2213301512976569</v>
      </c>
      <c r="G124" s="126">
        <f t="shared" si="14"/>
        <v>0.16879229950204297</v>
      </c>
      <c r="H124" s="126">
        <f t="shared" si="14"/>
        <v>0.14052755396139821</v>
      </c>
    </row>
    <row r="125" spans="1:8" x14ac:dyDescent="0.2">
      <c r="B125" s="125" t="s">
        <v>290</v>
      </c>
      <c r="C125" s="126">
        <f>SUM(C111:C116)</f>
        <v>0.27033410119792273</v>
      </c>
      <c r="D125" s="126">
        <f t="shared" ref="D125:H125" si="15">SUM(D111:D116)</f>
        <v>0.28010535082490073</v>
      </c>
      <c r="E125" s="126">
        <f t="shared" si="15"/>
        <v>0.29128726409410988</v>
      </c>
      <c r="F125" s="126">
        <f t="shared" si="15"/>
        <v>0.30256616017468208</v>
      </c>
      <c r="G125" s="126">
        <f t="shared" si="15"/>
        <v>0.31172664061622207</v>
      </c>
      <c r="H125" s="126">
        <f t="shared" si="15"/>
        <v>0.30678292087834985</v>
      </c>
    </row>
    <row r="126" spans="1:8" x14ac:dyDescent="0.2">
      <c r="B126" s="125" t="s">
        <v>291</v>
      </c>
      <c r="C126" s="126">
        <f>SUM(C117:C119)</f>
        <v>0.14591242898915341</v>
      </c>
      <c r="D126" s="126">
        <f t="shared" ref="D126:H126" si="16">SUM(D117:D119)</f>
        <v>0.16094942835674542</v>
      </c>
      <c r="E126" s="126">
        <f t="shared" si="16"/>
        <v>0.18282811552708331</v>
      </c>
      <c r="F126" s="126">
        <f t="shared" si="16"/>
        <v>0.20421417534867109</v>
      </c>
      <c r="G126" s="126">
        <f t="shared" si="16"/>
        <v>0.28060988548147026</v>
      </c>
      <c r="H126" s="126">
        <f t="shared" si="16"/>
        <v>0.32595352708930209</v>
      </c>
    </row>
  </sheetData>
  <mergeCells count="4">
    <mergeCell ref="A13:F13"/>
    <mergeCell ref="A1:B1"/>
    <mergeCell ref="A26:B26"/>
    <mergeCell ref="A45:B45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C024C-163D-480D-BCC4-5905249A2132}">
  <dimension ref="A1:BM77"/>
  <sheetViews>
    <sheetView tabSelected="1" zoomScale="90" zoomScaleNormal="90" workbookViewId="0">
      <selection activeCell="K26" sqref="K26"/>
    </sheetView>
  </sheetViews>
  <sheetFormatPr defaultRowHeight="14.25" x14ac:dyDescent="0.2"/>
  <cols>
    <col min="1" max="1" width="34.25" customWidth="1"/>
    <col min="2" max="60" width="9.875" customWidth="1"/>
    <col min="61" max="61" width="10.75" customWidth="1"/>
    <col min="63" max="63" width="9.5" customWidth="1"/>
    <col min="64" max="64" width="14.375" customWidth="1"/>
    <col min="65" max="65" width="12.5" customWidth="1"/>
    <col min="66" max="66" width="11.75" customWidth="1"/>
  </cols>
  <sheetData>
    <row r="1" spans="1:65" s="5" customFormat="1" x14ac:dyDescent="0.2">
      <c r="A1" s="96" t="s">
        <v>48</v>
      </c>
      <c r="B1" s="1">
        <v>2001</v>
      </c>
      <c r="C1" s="2">
        <v>2002</v>
      </c>
      <c r="D1" s="2">
        <v>2003</v>
      </c>
      <c r="E1" s="2">
        <v>2004</v>
      </c>
      <c r="F1" s="3">
        <v>2005</v>
      </c>
      <c r="G1" s="1">
        <v>2006</v>
      </c>
      <c r="H1" s="2">
        <v>2007</v>
      </c>
      <c r="I1" s="2">
        <v>2008</v>
      </c>
      <c r="J1" s="2">
        <v>2009</v>
      </c>
      <c r="K1" s="3">
        <v>2010</v>
      </c>
      <c r="L1" s="1">
        <v>2011</v>
      </c>
      <c r="M1" s="2">
        <v>2012</v>
      </c>
      <c r="N1" s="2">
        <v>2013</v>
      </c>
      <c r="O1" s="2">
        <v>2014</v>
      </c>
      <c r="P1" s="3">
        <v>2015</v>
      </c>
      <c r="Q1" s="1">
        <v>2016</v>
      </c>
      <c r="R1" s="2">
        <v>2017</v>
      </c>
      <c r="S1" s="2">
        <v>2018</v>
      </c>
      <c r="T1" s="2">
        <v>2019</v>
      </c>
      <c r="U1" s="3">
        <v>2020</v>
      </c>
      <c r="V1" s="1">
        <v>2021</v>
      </c>
      <c r="W1" s="2">
        <v>2022</v>
      </c>
      <c r="X1" s="42">
        <v>2023</v>
      </c>
      <c r="Y1" s="42">
        <v>2024</v>
      </c>
      <c r="Z1" s="43">
        <v>2025</v>
      </c>
      <c r="AA1" s="42">
        <v>2026</v>
      </c>
      <c r="AB1" s="42">
        <v>2027</v>
      </c>
      <c r="AC1" s="42">
        <v>2028</v>
      </c>
      <c r="AD1" s="42">
        <v>2029</v>
      </c>
      <c r="AE1" s="43">
        <v>2030</v>
      </c>
      <c r="AF1" s="41">
        <v>2031</v>
      </c>
      <c r="AG1" s="42">
        <v>2032</v>
      </c>
      <c r="AH1" s="42">
        <v>2033</v>
      </c>
      <c r="AI1" s="42">
        <v>2034</v>
      </c>
      <c r="AJ1" s="43">
        <v>2035</v>
      </c>
      <c r="AK1" s="41">
        <v>2036</v>
      </c>
      <c r="AL1" s="42">
        <v>2037</v>
      </c>
      <c r="AM1" s="42">
        <v>2038</v>
      </c>
      <c r="AN1" s="42">
        <v>2039</v>
      </c>
      <c r="AO1" s="43">
        <v>2040</v>
      </c>
      <c r="AP1" s="41">
        <v>2041</v>
      </c>
      <c r="AQ1" s="42">
        <v>2042</v>
      </c>
      <c r="AR1" s="42">
        <v>2043</v>
      </c>
      <c r="AS1" s="42">
        <v>2044</v>
      </c>
      <c r="AT1" s="43">
        <v>2045</v>
      </c>
      <c r="AU1" s="41">
        <v>2046</v>
      </c>
      <c r="AV1" s="42">
        <v>2047</v>
      </c>
      <c r="AW1" s="42">
        <v>2048</v>
      </c>
      <c r="AX1" s="42">
        <v>2049</v>
      </c>
      <c r="AY1" s="43">
        <v>2050</v>
      </c>
      <c r="AZ1" s="41">
        <v>2051</v>
      </c>
      <c r="BA1" s="42">
        <v>2052</v>
      </c>
      <c r="BB1" s="42">
        <v>2053</v>
      </c>
      <c r="BC1" s="42">
        <v>2054</v>
      </c>
      <c r="BD1" s="43">
        <v>2055</v>
      </c>
      <c r="BE1" s="41">
        <v>2056</v>
      </c>
      <c r="BF1" s="42">
        <v>2057</v>
      </c>
      <c r="BG1" s="42">
        <v>2058</v>
      </c>
      <c r="BH1" s="42">
        <v>2059</v>
      </c>
      <c r="BI1" s="43">
        <v>2060</v>
      </c>
      <c r="BL1" s="57"/>
    </row>
    <row r="2" spans="1:65" s="9" customFormat="1" x14ac:dyDescent="0.2">
      <c r="A2" s="4" t="s">
        <v>0</v>
      </c>
      <c r="B2" s="6">
        <f>'增加值 (2001-2022, 当年价) '!B2*B$77</f>
        <v>208489.63213153562</v>
      </c>
      <c r="C2" s="7">
        <f>'增加值 (2001-2022, 当年价) '!C2*C$77</f>
        <v>227462.18865550534</v>
      </c>
      <c r="D2" s="7">
        <f>'增加值 (2001-2022, 当年价) '!D2*D$77</f>
        <v>250208.40752105589</v>
      </c>
      <c r="E2" s="7">
        <f>'增加值 (2001-2022, 当年价) '!E2*E$77</f>
        <v>275479.45668068255</v>
      </c>
      <c r="F2" s="7">
        <f>'增加值 (2001-2022, 当年价) '!F2*F$77</f>
        <v>306884.11474228039</v>
      </c>
      <c r="G2" s="6">
        <f>'增加值 (2001-2022, 当年价) '!G2*G$77</f>
        <v>345858.39731455001</v>
      </c>
      <c r="H2" s="7">
        <f>'增加值 (2001-2022, 当年价) '!H2*H$77</f>
        <v>394970.28973321617</v>
      </c>
      <c r="I2" s="7">
        <f>'增加值 (2001-2022, 当年价) '!I2*I$77</f>
        <v>433282.40783733811</v>
      </c>
      <c r="J2" s="7">
        <f>'增加值 (2001-2022, 当年价) '!J2*J$77</f>
        <v>474010.95417404798</v>
      </c>
      <c r="K2" s="8">
        <f>'增加值 (2001-2022, 当年价) '!K2*K$77</f>
        <v>524256.11531649705</v>
      </c>
      <c r="L2" s="6">
        <f>'增加值 (2001-2022, 当年价) '!L2*L$77</f>
        <v>574584.70238688064</v>
      </c>
      <c r="M2" s="7">
        <f>'增加值 (2001-2022, 当年价) '!M2*M$77</f>
        <v>619976.89387544419</v>
      </c>
      <c r="N2" s="7">
        <f>'增加值 (2001-2022, 当年价) '!N2*N$77</f>
        <v>668335.0915977289</v>
      </c>
      <c r="O2" s="7">
        <f>'增加值 (2001-2022, 当年价) '!O2*O$77</f>
        <v>717791.88837596087</v>
      </c>
      <c r="P2" s="8">
        <f>'增加值 (2001-2022, 当年价) '!P2*P$77</f>
        <v>768037.32056227815</v>
      </c>
      <c r="Q2" s="6">
        <f>'增加值 (2001-2022, 当年价) '!Q2*Q$77</f>
        <v>820263.85836051311</v>
      </c>
      <c r="R2" s="7">
        <f>'增加值 (2001-2022, 当年价) '!R2*R$77</f>
        <v>876862.06458738854</v>
      </c>
      <c r="S2" s="7">
        <f>'增加值 (2001-2022, 当年价) '!S2*S$77</f>
        <v>935611.82291474345</v>
      </c>
      <c r="T2" s="7">
        <f>'增加值 (2001-2022, 当年价) '!T2*T$77</f>
        <v>991748.53228962829</v>
      </c>
      <c r="U2" s="8">
        <f>'增加值 (2001-2022, 当年价) '!U2*U$77</f>
        <v>1013567</v>
      </c>
      <c r="V2" s="6">
        <f>'增加值 (2001-2022, 当年价) '!V2*V$77</f>
        <v>1098706.628</v>
      </c>
      <c r="W2" s="7">
        <f>'增加值 (2001-2022, 当年价) '!W2*W$77</f>
        <v>1131667.8268400002</v>
      </c>
      <c r="X2" s="63">
        <f>VLOOKUP($A2,平滑数据导入!$A$1:$AN$61,COLUMN(平滑数据导入!C$1),0)</f>
        <v>1190492.2325984519</v>
      </c>
      <c r="Y2" s="63">
        <f>VLOOKUP($A2,平滑数据导入!$A$1:$AN$61,COLUMN(平滑数据导入!D$1),0)</f>
        <v>1253892.644116044</v>
      </c>
      <c r="Z2" s="135">
        <f>W2*(1+情景假设!B3)^3</f>
        <v>1321308.0553953971</v>
      </c>
      <c r="AA2" s="65">
        <f>VLOOKUP($A2,平滑数据导入!$A$1:$AN$61,COLUMN(平滑数据导入!F$1),0)</f>
        <v>1392021.8991205769</v>
      </c>
      <c r="AB2" s="63">
        <f>VLOOKUP($A2,平滑数据导入!$A$1:$AN$61,COLUMN(平滑数据导入!G$1),0)</f>
        <v>1465126.7741773981</v>
      </c>
      <c r="AC2" s="63">
        <f>VLOOKUP($A2,平滑数据导入!$A$1:$AN$61,COLUMN(平滑数据导入!H$1),0)</f>
        <v>1539496.9627618419</v>
      </c>
      <c r="AD2" s="63">
        <f>VLOOKUP($A2,平滑数据导入!$A$1:$AN$61,COLUMN(平滑数据导入!I$1),0)</f>
        <v>1613772.7347289659</v>
      </c>
      <c r="AE2" s="135">
        <f>Z2*(1+情景假设!B4)^5</f>
        <v>1686361.1094838742</v>
      </c>
      <c r="AF2" s="65">
        <f>VLOOKUP($A2,平滑数据导入!$A$1:$AN$61,COLUMN(平滑数据导入!K$1),0)</f>
        <v>1755860.5359665731</v>
      </c>
      <c r="AG2" s="63">
        <f>VLOOKUP($A2,平滑数据导入!$A$1:$AN$61,COLUMN(平滑数据导入!L$1),0)</f>
        <v>1822426.2620742361</v>
      </c>
      <c r="AH2" s="63">
        <f>VLOOKUP($A2,平滑数据导入!$A$1:$AN$61,COLUMN(平滑数据导入!M$1),0)</f>
        <v>1886777.8019134591</v>
      </c>
      <c r="AI2" s="63">
        <f>VLOOKUP($A2,平滑数据导入!$A$1:$AN$61,COLUMN(平滑数据导入!N$1),0)</f>
        <v>1949806.529642456</v>
      </c>
      <c r="AJ2" s="135">
        <f>AE2*(1+情景假设!B5)^5</f>
        <v>2012562.4019724375</v>
      </c>
      <c r="AK2" s="65">
        <f>VLOOKUP($A2,平滑数据导入!$A$1:$AN$61,COLUMN(平滑数据导入!P$1),0)</f>
        <v>2076007.4870838339</v>
      </c>
      <c r="AL2" s="63">
        <f>VLOOKUP($A2,平滑数据导入!$A$1:$AN$61,COLUMN(平滑数据导入!Q$1),0)</f>
        <v>2140230.326566414</v>
      </c>
      <c r="AM2" s="63">
        <f>VLOOKUP($A2,平滑数据导入!$A$1:$AN$61,COLUMN(平滑数据导入!R$1),0)</f>
        <v>2205080.4869026439</v>
      </c>
      <c r="AN2" s="63">
        <f>VLOOKUP($A2,平滑数据导入!$A$1:$AN$61,COLUMN(平滑数据导入!S$1),0)</f>
        <v>2270396.728938181</v>
      </c>
      <c r="AO2" s="66">
        <f>VLOOKUP($A2,平滑数据导入!$A$1:$AN$61,COLUMN(平滑数据导入!T$1),0)</f>
        <v>2336004.874313463</v>
      </c>
      <c r="AP2" s="65">
        <f>VLOOKUP($A2,平滑数据导入!$A$1:$AN$61,COLUMN(平滑数据导入!U$1),0)</f>
        <v>2401715.8728144481</v>
      </c>
      <c r="AQ2" s="63">
        <f>VLOOKUP($A2,平滑数据导入!$A$1:$AN$61,COLUMN(平滑数据导入!V$1),0)</f>
        <v>2467324.137287634</v>
      </c>
      <c r="AR2" s="63">
        <f>VLOOKUP($A2,平滑数据导入!$A$1:$AN$61,COLUMN(平滑数据导入!W$1),0)</f>
        <v>2532606.2152380059</v>
      </c>
      <c r="AS2" s="63">
        <f>VLOOKUP($A2,平滑数据导入!$A$1:$AN$61,COLUMN(平滑数据导入!X$1),0)</f>
        <v>2597319.8665504009</v>
      </c>
      <c r="AT2" s="66">
        <f>VLOOKUP($A2,平滑数据导入!$A$1:$AN$61,COLUMN(平滑数据导入!Y$1),0)</f>
        <v>2661203.6149606132</v>
      </c>
      <c r="AU2" s="65">
        <f>VLOOKUP($A2,平滑数据导入!$A$1:$AN$61,COLUMN(平滑数据导入!Z$1),0)</f>
        <v>2723976.8369313339</v>
      </c>
      <c r="AV2" s="63">
        <f>VLOOKUP($A2,平滑数据导入!$A$1:$AN$61,COLUMN(平滑数据导入!AA$1),0)</f>
        <v>2785340.4454092481</v>
      </c>
      <c r="AW2" s="63">
        <f>VLOOKUP($A2,平滑数据导入!$A$1:$AN$61,COLUMN(平滑数据导入!AB$1),0)</f>
        <v>2844978.2174840872</v>
      </c>
      <c r="AX2" s="63">
        <f>VLOOKUP($A2,平滑数据导入!$A$1:$AN$61,COLUMN(平滑数据导入!AC$1),0)</f>
        <v>2902558.8041700418</v>
      </c>
      <c r="AY2" s="135">
        <f>AJ2*(1+情景假设!B6)^15</f>
        <v>2957738.4473414337</v>
      </c>
      <c r="AZ2" s="65">
        <f>VLOOKUP($A2,平滑数据导入!$A$1:$AN$61,COLUMN(平滑数据导入!AE$1),0)</f>
        <v>3010164.4132917449</v>
      </c>
      <c r="BA2" s="63">
        <f>VLOOKUP($A2,平滑数据导入!$A$1:$AN$61,COLUMN(平滑数据导入!AF$1),0)</f>
        <v>3059479.134552673</v>
      </c>
      <c r="BB2" s="63">
        <f>VLOOKUP($A2,平滑数据导入!$A$1:$AN$61,COLUMN(平滑数据导入!AG$1),0)</f>
        <v>3105325.0317424228</v>
      </c>
      <c r="BC2" s="63">
        <f>VLOOKUP($A2,平滑数据导入!$A$1:$AN$61,COLUMN(平滑数据导入!AH$1),0)</f>
        <v>3147349.9657105929</v>
      </c>
      <c r="BD2" s="66">
        <f>VLOOKUP($A2,平滑数据导入!$A$1:$AN$61,COLUMN(平滑数据导入!AI$1),0)</f>
        <v>3185213.2477119318</v>
      </c>
      <c r="BE2" s="65">
        <f>VLOOKUP($A2,平滑数据导入!$A$1:$AN$61,COLUMN(平滑数据导入!AJ$1),0)</f>
        <v>3218592.1125994511</v>
      </c>
      <c r="BF2" s="63">
        <f>VLOOKUP($A2,平滑数据导入!$A$1:$AN$61,COLUMN(平滑数据导入!AK$1),0)</f>
        <v>3247188.5381461191</v>
      </c>
      <c r="BG2" s="63">
        <f>VLOOKUP($A2,平滑数据导入!$A$1:$AN$61,COLUMN(平滑数据导入!AL$1),0)</f>
        <v>3270736.2738883281</v>
      </c>
      <c r="BH2" s="63">
        <f>VLOOKUP($A2,平滑数据导入!$A$1:$AN$61,COLUMN(平滑数据导入!AM$1),0)</f>
        <v>3289007.9268558128</v>
      </c>
      <c r="BI2" s="135">
        <f>AJ2*(1+情景假设!B7)^25</f>
        <v>3301821.9409103156</v>
      </c>
    </row>
    <row r="3" spans="1:65" x14ac:dyDescent="0.2">
      <c r="A3" s="10" t="s">
        <v>1</v>
      </c>
      <c r="B3" s="11">
        <f>'增加值 (2001-2022, 当年价) '!B3*B$77</f>
        <v>29675.93721477779</v>
      </c>
      <c r="C3" s="12">
        <f>'增加值 (2001-2022, 当年价) '!C3*C$77</f>
        <v>30901.469411529</v>
      </c>
      <c r="D3" s="12">
        <f>'增加值 (2001-2022, 当年价) '!D3*D$77</f>
        <v>31645.386093641948</v>
      </c>
      <c r="E3" s="12">
        <f>'增加值 (2001-2022, 当年价) '!E3*E$77</f>
        <v>36444.641091354868</v>
      </c>
      <c r="F3" s="13">
        <f>'增加值 (2001-2022, 当年价) '!F3*F$77</f>
        <v>36724.407910178343</v>
      </c>
      <c r="G3" s="11">
        <f>'增加值 (2001-2022, 当年价) '!G3*G$77</f>
        <v>37883.920921859433</v>
      </c>
      <c r="H3" s="12">
        <f>'增加值 (2001-2022, 当年价) '!H3*H$77</f>
        <v>41653.224626077863</v>
      </c>
      <c r="I3" s="12">
        <f>'增加值 (2001-2022, 当年价) '!I3*I$77</f>
        <v>45368.998120648939</v>
      </c>
      <c r="J3" s="12">
        <f>'增加值 (2001-2022, 当年价) '!J3*J$77</f>
        <v>47139.865402492462</v>
      </c>
      <c r="K3" s="13">
        <f>'增加值 (2001-2022, 当年价) '!K3*K$77</f>
        <v>50399.248549447446</v>
      </c>
      <c r="L3" s="11">
        <f>'增加值 (2001-2022, 当年价) '!L3*L$77</f>
        <v>54312.680927517635</v>
      </c>
      <c r="M3" s="12">
        <f>'增加值 (2001-2022, 当年价) '!M3*M$77</f>
        <v>58225.658703428679</v>
      </c>
      <c r="N3" s="12">
        <f>'增加值 (2001-2022, 当年价) '!N3*N$77</f>
        <v>61644.382254581113</v>
      </c>
      <c r="O3" s="12">
        <f>'增加值 (2001-2022, 当年价) '!O3*O$77</f>
        <v>64101.063232371307</v>
      </c>
      <c r="P3" s="13">
        <f>'增加值 (2001-2022, 当年价) '!P3*P$77</f>
        <v>66732.21068238109</v>
      </c>
      <c r="Q3" s="11">
        <f>'增加值 (2001-2022, 当年价) '!Q3*Q$77</f>
        <v>68631.611084360557</v>
      </c>
      <c r="R3" s="12">
        <f>'增加值 (2001-2022, 当年价) '!R3*R$77</f>
        <v>68143.575410893376</v>
      </c>
      <c r="S3" s="12">
        <f>'增加值 (2001-2022, 当年价) '!S3*S$77</f>
        <v>68758.857830048146</v>
      </c>
      <c r="T3" s="12">
        <f>'增加值 (2001-2022, 当年价) '!T3*T$77</f>
        <v>73967.215695633218</v>
      </c>
      <c r="U3" s="13">
        <f>'增加值 (2001-2022, 当年价) '!U3*U$77</f>
        <v>81396.5</v>
      </c>
      <c r="V3" s="11">
        <f>'增加值 (2001-2022, 当年价) '!V3*V$77</f>
        <v>82959.622466645262</v>
      </c>
      <c r="W3" s="12">
        <f>'增加值 (2001-2022, 当年价) '!W3*W$77</f>
        <v>86574.037414115228</v>
      </c>
      <c r="X3" s="67">
        <f>VLOOKUP($A3,平滑数据导入!$A$1:$AN$61,COLUMN(平滑数据导入!C$1),0)</f>
        <v>89593.857947440265</v>
      </c>
      <c r="Y3" s="67">
        <f>VLOOKUP($A3,平滑数据导入!$A$1:$AN$61,COLUMN(平滑数据导入!D$1),0)</f>
        <v>93377.23580659744</v>
      </c>
      <c r="Z3" s="136">
        <f>Z2*情景假设!B15</f>
        <v>97776.796099259329</v>
      </c>
      <c r="AA3" s="69">
        <f>VLOOKUP($A3,平滑数据导入!$A$1:$AN$61,COLUMN(平滑数据导入!F$1),0)</f>
        <v>102617.73109802901</v>
      </c>
      <c r="AB3" s="67">
        <f>VLOOKUP($A3,平滑数据导入!$A$1:$AN$61,COLUMN(平滑数据导入!G$1),0)</f>
        <v>107686.3444024132</v>
      </c>
      <c r="AC3" s="67">
        <f>VLOOKUP($A3,平滑数据导入!$A$1:$AN$61,COLUMN(平滑数据导入!H$1),0)</f>
        <v>112722.41508442719</v>
      </c>
      <c r="AD3" s="67">
        <f>VLOOKUP($A3,平滑数据导入!$A$1:$AN$61,COLUMN(平滑数据导入!I$1),0)</f>
        <v>117417.0496921564</v>
      </c>
      <c r="AE3" s="137">
        <f>AE2*情景假设!B16</f>
        <v>121417.99988283905</v>
      </c>
      <c r="AF3" s="69">
        <f>VLOOKUP($A3,平滑数据导入!$A$1:$AN$61,COLUMN(平滑数据导入!K$1),0)</f>
        <v>124444.10041788559</v>
      </c>
      <c r="AG3" s="67">
        <f>VLOOKUP($A3,平滑数据导入!$A$1:$AN$61,COLUMN(平滑数据导入!L$1),0)</f>
        <v>126621.4087210415</v>
      </c>
      <c r="AH3" s="67">
        <f>VLOOKUP($A3,平滑数据导入!$A$1:$AN$61,COLUMN(平滑数据导入!M$1),0)</f>
        <v>128213.0743154985</v>
      </c>
      <c r="AI3" s="67">
        <f>VLOOKUP($A3,平滑数据导入!$A$1:$AN$61,COLUMN(平滑数据导入!N$1),0)</f>
        <v>129509.1896599575</v>
      </c>
      <c r="AJ3" s="136">
        <f>AJ2*情景假设!B17</f>
        <v>130816.55612820855</v>
      </c>
      <c r="AK3" s="69">
        <f>VLOOKUP($A3,平滑数据导入!$A$1:$AN$61,COLUMN(平滑数据导入!P$1),0)</f>
        <v>132395.56911422321</v>
      </c>
      <c r="AL3" s="67">
        <f>VLOOKUP($A3,平滑数据导入!$A$1:$AN$61,COLUMN(平滑数据导入!Q$1),0)</f>
        <v>134277.60420099759</v>
      </c>
      <c r="AM3" s="67">
        <f>VLOOKUP($A3,平滑数据导入!$A$1:$AN$61,COLUMN(平滑数据导入!R$1),0)</f>
        <v>136435.66026315291</v>
      </c>
      <c r="AN3" s="67">
        <f>VLOOKUP($A3,平滑数据导入!$A$1:$AN$61,COLUMN(平滑数据导入!S$1),0)</f>
        <v>138842.10065104029</v>
      </c>
      <c r="AO3" s="70">
        <f>VLOOKUP($A3,平滑数据导入!$A$1:$AN$61,COLUMN(平滑数据导入!T$1),0)</f>
        <v>141467.99763237321</v>
      </c>
      <c r="AP3" s="69">
        <f>VLOOKUP($A3,平滑数据导入!$A$1:$AN$61,COLUMN(平滑数据导入!U$1),0)</f>
        <v>144282.53854224269</v>
      </c>
      <c r="AQ3" s="67">
        <f>VLOOKUP($A3,平滑数据导入!$A$1:$AN$61,COLUMN(平滑数据导入!V$1),0)</f>
        <v>147252.49656908779</v>
      </c>
      <c r="AR3" s="67">
        <f>VLOOKUP($A3,平滑数据导入!$A$1:$AN$61,COLUMN(平滑数据导入!W$1),0)</f>
        <v>150341.7731603694</v>
      </c>
      <c r="AS3" s="67">
        <f>VLOOKUP($A3,平滑数据导入!$A$1:$AN$61,COLUMN(平滑数据导入!X$1),0)</f>
        <v>153511.02266412709</v>
      </c>
      <c r="AT3" s="70">
        <f>VLOOKUP($A3,平滑数据导入!$A$1:$AN$61,COLUMN(平滑数据导入!Y$1),0)</f>
        <v>156717.37296376229</v>
      </c>
      <c r="AU3" s="69">
        <f>VLOOKUP($A3,平滑数据导入!$A$1:$AN$61,COLUMN(平滑数据导入!Z$1),0)</f>
        <v>159914.2583959988</v>
      </c>
      <c r="AV3" s="67">
        <f>VLOOKUP($A3,平滑数据导入!$A$1:$AN$61,COLUMN(平滑数据导入!AA$1),0)</f>
        <v>163051.3830062437</v>
      </c>
      <c r="AW3" s="67">
        <f>VLOOKUP($A3,平滑数据导入!$A$1:$AN$61,COLUMN(平滑数据导入!AB$1),0)</f>
        <v>166074.8329988312</v>
      </c>
      <c r="AX3" s="67">
        <f>VLOOKUP($A3,平滑数据导入!$A$1:$AN$61,COLUMN(平滑数据导入!AC$1),0)</f>
        <v>168927.35686922749</v>
      </c>
      <c r="AY3" s="136">
        <f>AY2*情景假设!B18</f>
        <v>171548.82994580298</v>
      </c>
      <c r="AZ3" s="69">
        <f>VLOOKUP($A3,平滑数据导入!$A$1:$AN$61,COLUMN(平滑数据导入!AE$1),0)</f>
        <v>173876.91672374061</v>
      </c>
      <c r="BA3" s="67">
        <f>VLOOKUP($A3,平滑数据导入!$A$1:$AN$61,COLUMN(平滑数据导入!AF$1),0)</f>
        <v>175847.93929090659</v>
      </c>
      <c r="BB3" s="67">
        <f>VLOOKUP($A3,平滑数据导入!$A$1:$AN$61,COLUMN(平滑数据导入!AG$1),0)</f>
        <v>177397.95324662179</v>
      </c>
      <c r="BC3" s="67">
        <f>VLOOKUP($A3,平滑数据导入!$A$1:$AN$61,COLUMN(平滑数据导入!AH$1),0)</f>
        <v>178464.02382466401</v>
      </c>
      <c r="BD3" s="70">
        <f>VLOOKUP($A3,平滑数据导入!$A$1:$AN$61,COLUMN(平滑数据导入!AI$1),0)</f>
        <v>178985.68461070451</v>
      </c>
      <c r="BE3" s="69">
        <f>VLOOKUP($A3,平滑数据导入!$A$1:$AN$61,COLUMN(平滑数据导入!AJ$1),0)</f>
        <v>178906.54960977641</v>
      </c>
      <c r="BF3" s="67">
        <f>VLOOKUP($A3,平滑数据导入!$A$1:$AN$61,COLUMN(平滑数据导入!AK$1),0)</f>
        <v>178176.03696546689</v>
      </c>
      <c r="BG3" s="67">
        <f>VLOOKUP($A3,平滑数据导入!$A$1:$AN$61,COLUMN(平滑数据导入!AL$1),0)</f>
        <v>176751.15003397319</v>
      </c>
      <c r="BH3" s="67">
        <f>VLOOKUP($A3,平滑数据导入!$A$1:$AN$61,COLUMN(平滑数据导入!AM$1),0)</f>
        <v>174598.24961608159</v>
      </c>
      <c r="BI3" s="136">
        <f>BI2*情景假设!B19</f>
        <v>171694.74092733656</v>
      </c>
    </row>
    <row r="4" spans="1:65" x14ac:dyDescent="0.2">
      <c r="A4" s="14" t="s">
        <v>2</v>
      </c>
      <c r="B4" s="11">
        <f>'增加值 (2001-2022, 当年价) '!B4*B$77</f>
        <v>82472.588935236359</v>
      </c>
      <c r="C4" s="12">
        <f>'增加值 (2001-2022, 当年价) '!C4*C$77</f>
        <v>89280.442375518236</v>
      </c>
      <c r="D4" s="12">
        <f>'增加值 (2001-2022, 当年价) '!D4*D$77</f>
        <v>100799.63833201525</v>
      </c>
      <c r="E4" s="12">
        <f>'增加值 (2001-2022, 当年价) '!E4*E$77</f>
        <v>111960.0304202925</v>
      </c>
      <c r="F4" s="13">
        <f>'增加值 (2001-2022, 当年价) '!F4*F$77</f>
        <v>127718.90013401274</v>
      </c>
      <c r="G4" s="11">
        <f>'增加值 (2001-2022, 当年价) '!G4*G$77</f>
        <v>145373.42336474854</v>
      </c>
      <c r="H4" s="12">
        <f>'增加值 (2001-2022, 当年价) '!H4*H$77</f>
        <v>163331.37833449789</v>
      </c>
      <c r="I4" s="12">
        <f>'增加值 (2001-2022, 当年价) '!I4*I$77</f>
        <v>178777.31335147261</v>
      </c>
      <c r="J4" s="12">
        <f>'增加值 (2001-2022, 当年价) '!J4*J$77</f>
        <v>187816.58747999065</v>
      </c>
      <c r="K4" s="13">
        <f>'增加值 (2001-2022, 当年价) '!K4*K$77</f>
        <v>210052.75645915509</v>
      </c>
      <c r="L4" s="11">
        <f>'增加值 (2001-2022, 当年价) '!L4*L$77</f>
        <v>229790.33434331449</v>
      </c>
      <c r="M4" s="12">
        <f>'增加值 (2001-2022, 当年价) '!M4*M$77</f>
        <v>240473.17222739744</v>
      </c>
      <c r="N4" s="12">
        <f>'增加值 (2001-2022, 当年价) '!N4*N$77</f>
        <v>250594.10025312903</v>
      </c>
      <c r="O4" s="12">
        <f>'增加值 (2001-2022, 当年价) '!O4*O$77</f>
        <v>260094.46798668895</v>
      </c>
      <c r="P4" s="13">
        <f>'增加值 (2001-2022, 当年价) '!P4*P$77</f>
        <v>261976.82537780039</v>
      </c>
      <c r="Q4" s="11">
        <f>'增加值 (2001-2022, 当年价) '!Q4*Q$77</f>
        <v>269693.62544095406</v>
      </c>
      <c r="R4" s="12">
        <f>'增加值 (2001-2022, 当年价) '!R4*R$77</f>
        <v>289941.42849585827</v>
      </c>
      <c r="S4" s="12">
        <f>'增加值 (2001-2022, 当年价) '!S4*S$77</f>
        <v>306438.05124800676</v>
      </c>
      <c r="T4" s="12">
        <f>'增加值 (2001-2022, 当年价) '!T4*T$77</f>
        <v>313513.06904014404</v>
      </c>
      <c r="U4" s="13">
        <f>'增加值 (2001-2022, 当年价) '!U4*U$77</f>
        <v>312902.90000000002</v>
      </c>
      <c r="V4" s="11">
        <f>'增加值 (2001-2022, 当年价) '!V4*V$77</f>
        <v>356193.67592506018</v>
      </c>
      <c r="W4" s="12">
        <f>'增加值 (2001-2022, 当年价) '!W4*W$77</f>
        <v>375578.60517081129</v>
      </c>
      <c r="X4" s="67">
        <f>VLOOKUP($A4,平滑数据导入!$A$1:$AN$61,COLUMN(平滑数据导入!C$1),0)</f>
        <v>390173.76175473508</v>
      </c>
      <c r="Y4" s="67">
        <f>VLOOKUP($A4,平滑数据导入!$A$1:$AN$61,COLUMN(平滑数据导入!D$1),0)</f>
        <v>405076.35844823148</v>
      </c>
      <c r="Z4" s="136">
        <f>Z2*情景假设!D15</f>
        <v>420175.96161573631</v>
      </c>
      <c r="AA4" s="69">
        <f>VLOOKUP($A4,平滑数据导入!$A$1:$AN$61,COLUMN(平滑数据导入!F$1),0)</f>
        <v>435354.15341879491</v>
      </c>
      <c r="AB4" s="67">
        <f>VLOOKUP($A4,平滑数据导入!$A$1:$AN$61,COLUMN(平滑数据导入!G$1),0)</f>
        <v>450482.33832760691</v>
      </c>
      <c r="AC4" s="67">
        <f>VLOOKUP($A4,平滑数据导入!$A$1:$AN$61,COLUMN(平滑数据导入!H$1),0)</f>
        <v>465420.25373583141</v>
      </c>
      <c r="AD4" s="67">
        <f>VLOOKUP($A4,平滑数据导入!$A$1:$AN$61,COLUMN(平滑数据导入!I$1),0)</f>
        <v>480015.42190950742</v>
      </c>
      <c r="AE4" s="137">
        <f>AE2*情景假设!D16</f>
        <v>494103.8050787751</v>
      </c>
      <c r="AF4" s="69">
        <f>VLOOKUP($A4,平滑数据导入!$A$1:$AN$61,COLUMN(平滑数据导入!K$1),0)</f>
        <v>507532.58540148841</v>
      </c>
      <c r="AG4" s="67">
        <f>VLOOKUP($A4,平滑数据导入!$A$1:$AN$61,COLUMN(平滑数据导入!L$1),0)</f>
        <v>520228.48035802098</v>
      </c>
      <c r="AH4" s="67">
        <f>VLOOKUP($A4,平滑数据导入!$A$1:$AN$61,COLUMN(平滑数据导入!M$1),0)</f>
        <v>532142.75502775738</v>
      </c>
      <c r="AI4" s="67">
        <f>VLOOKUP($A4,平滑数据导入!$A$1:$AN$61,COLUMN(平滑数据导入!N$1),0)</f>
        <v>543231.30763323873</v>
      </c>
      <c r="AJ4" s="136">
        <f>AJ2*情景假设!D17</f>
        <v>553454.66054242034</v>
      </c>
      <c r="AK4" s="69">
        <f>VLOOKUP($A4,平滑数据导入!$A$1:$AN$61,COLUMN(平滑数据导入!P$1),0)</f>
        <v>562783.57036512182</v>
      </c>
      <c r="AL4" s="67">
        <f>VLOOKUP($A4,平滑数据导入!$A$1:$AN$61,COLUMN(平滑数据导入!Q$1),0)</f>
        <v>571217.08985945478</v>
      </c>
      <c r="AM4" s="67">
        <f>VLOOKUP($A4,平滑数据导入!$A$1:$AN$61,COLUMN(平滑数据导入!R$1),0)</f>
        <v>578768.78407504433</v>
      </c>
      <c r="AN4" s="67">
        <f>VLOOKUP($A4,平滑数据导入!$A$1:$AN$61,COLUMN(平滑数据导入!S$1),0)</f>
        <v>585461.06639077037</v>
      </c>
      <c r="AO4" s="70">
        <f>VLOOKUP($A4,平滑数据导入!$A$1:$AN$61,COLUMN(平滑数据导入!T$1),0)</f>
        <v>591324.45151759789</v>
      </c>
      <c r="AP4" s="69">
        <f>VLOOKUP($A4,平滑数据导入!$A$1:$AN$61,COLUMN(平滑数据导入!U$1),0)</f>
        <v>596396.74010938278</v>
      </c>
      <c r="AQ4" s="67">
        <f>VLOOKUP($A4,平滑数据导入!$A$1:$AN$61,COLUMN(平滑数据导入!V$1),0)</f>
        <v>600722.1638949794</v>
      </c>
      <c r="AR4" s="67">
        <f>VLOOKUP($A4,平滑数据导入!$A$1:$AN$61,COLUMN(平滑数据导入!W$1),0)</f>
        <v>604350.51862431015</v>
      </c>
      <c r="AS4" s="67">
        <f>VLOOKUP($A4,平滑数据导入!$A$1:$AN$61,COLUMN(平滑数据导入!X$1),0)</f>
        <v>607336.30979722366</v>
      </c>
      <c r="AT4" s="70">
        <f>VLOOKUP($A4,平滑数据导入!$A$1:$AN$61,COLUMN(平滑数据导入!Y$1),0)</f>
        <v>609737.93333101622</v>
      </c>
      <c r="AU4" s="69">
        <f>VLOOKUP($A4,平滑数据导入!$A$1:$AN$61,COLUMN(平滑数据导入!Z$1),0)</f>
        <v>611616.91022999573</v>
      </c>
      <c r="AV4" s="67">
        <f>VLOOKUP($A4,平滑数据导入!$A$1:$AN$61,COLUMN(平滑数据导入!AA$1),0)</f>
        <v>613037.19114304206</v>
      </c>
      <c r="AW4" s="67">
        <f>VLOOKUP($A4,平滑数据导入!$A$1:$AN$61,COLUMN(平滑数据导入!AB$1),0)</f>
        <v>614064.54360577918</v>
      </c>
      <c r="AX4" s="67">
        <f>VLOOKUP($A4,平滑数据导入!$A$1:$AN$61,COLUMN(平滑数据导入!AC$1),0)</f>
        <v>614766.03191017942</v>
      </c>
      <c r="AY4" s="136">
        <f>AY2*情景假设!D18</f>
        <v>615209.59704701824</v>
      </c>
      <c r="AZ4" s="69">
        <f>VLOOKUP($A4,平滑数据导入!$A$1:$AN$61,COLUMN(平滑数据导入!AE$1),0)</f>
        <v>615463.74212122103</v>
      </c>
      <c r="BA4" s="67">
        <f>VLOOKUP($A4,平滑数据导入!$A$1:$AN$61,COLUMN(平滑数据导入!AF$1),0)</f>
        <v>615597.32712078001</v>
      </c>
      <c r="BB4" s="67">
        <f>VLOOKUP($A4,平滑数据导入!$A$1:$AN$61,COLUMN(平滑数据导入!AG$1),0)</f>
        <v>615679.47598400037</v>
      </c>
      <c r="BC4" s="67">
        <f>VLOOKUP($A4,平滑数据导入!$A$1:$AN$61,COLUMN(平滑数据导入!AH$1),0)</f>
        <v>615779.59860477305</v>
      </c>
      <c r="BD4" s="70">
        <f>VLOOKUP($A4,平滑数据导入!$A$1:$AN$61,COLUMN(平滑数据导入!AI$1),0)</f>
        <v>615967.53078656411</v>
      </c>
      <c r="BE4" s="69">
        <f>VLOOKUP($A4,平滑数据导入!$A$1:$AN$61,COLUMN(平滑数据导入!AJ$1),0)</f>
        <v>616313.79625456827</v>
      </c>
      <c r="BF4" s="67">
        <f>VLOOKUP($A4,平滑数据导入!$A$1:$AN$61,COLUMN(平滑数据导入!AK$1),0)</f>
        <v>616889.99673055205</v>
      </c>
      <c r="BG4" s="67">
        <f>VLOOKUP($A4,平滑数据导入!$A$1:$AN$61,COLUMN(平滑数据导入!AL$1),0)</f>
        <v>617769.33886349003</v>
      </c>
      <c r="BH4" s="67">
        <f>VLOOKUP($A4,平滑数据导入!$A$1:$AN$61,COLUMN(平滑数据导入!AM$1),0)</f>
        <v>619027.31063174584</v>
      </c>
      <c r="BI4" s="136">
        <f>BI2*情景假设!D19</f>
        <v>620742.52489113936</v>
      </c>
    </row>
    <row r="5" spans="1:65" x14ac:dyDescent="0.2">
      <c r="A5" s="14" t="s">
        <v>3</v>
      </c>
      <c r="B5" s="11">
        <f>'增加值 (2001-2022, 当年价) '!B5*B$77</f>
        <v>11181.133378356233</v>
      </c>
      <c r="C5" s="12">
        <f>'增加值 (2001-2022, 当年价) '!C5*C$77</f>
        <v>12113.57335174635</v>
      </c>
      <c r="D5" s="12">
        <f>'增加值 (2001-2022, 当年价) '!D5*D$77</f>
        <v>13675.141587294222</v>
      </c>
      <c r="E5" s="12">
        <f>'增加值 (2001-2022, 当年价) '!E5*E$77</f>
        <v>14843.769360047083</v>
      </c>
      <c r="F5" s="13">
        <f>'增加值 (2001-2022, 当年价) '!F5*F$77</f>
        <v>17039.114768328702</v>
      </c>
      <c r="G5" s="11">
        <f>'增加值 (2001-2022, 当年价) '!G5*G$77</f>
        <v>19622.680762062624</v>
      </c>
      <c r="H5" s="12">
        <f>'增加值 (2001-2022, 当年价) '!H5*H$77</f>
        <v>22444.194102628626</v>
      </c>
      <c r="I5" s="12">
        <f>'增加值 (2001-2022, 当年价) '!I5*I$77</f>
        <v>25525.888969277854</v>
      </c>
      <c r="J5" s="12">
        <f>'增加值 (2001-2022, 当年价) '!J5*J$77</f>
        <v>30848.589489425267</v>
      </c>
      <c r="K5" s="13">
        <f>'增加值 (2001-2022, 当年价) '!K5*K$77</f>
        <v>34676.499557887699</v>
      </c>
      <c r="L5" s="11">
        <f>'增加值 (2001-2022, 当年价) '!L5*L$77</f>
        <v>38773.323458779632</v>
      </c>
      <c r="M5" s="12">
        <f>'增加值 (2001-2022, 当年价) '!M5*M$77</f>
        <v>42472.296546692742</v>
      </c>
      <c r="N5" s="12">
        <f>'增加值 (2001-2022, 当年价) '!N5*N$77</f>
        <v>46095.215645851218</v>
      </c>
      <c r="O5" s="12">
        <f>'增加值 (2001-2022, 当年价) '!O5*O$77</f>
        <v>50638.347628195064</v>
      </c>
      <c r="P5" s="13">
        <f>'增加值 (2001-2022, 当年价) '!P5*P$77</f>
        <v>53251.105784283529</v>
      </c>
      <c r="Q5" s="11">
        <f>'增加值 (2001-2022, 当年价) '!Q5*Q$77</f>
        <v>56595.610575849489</v>
      </c>
      <c r="R5" s="12">
        <f>'增加值 (2001-2022, 当年价) '!R5*R$77</f>
        <v>61025.280239916909</v>
      </c>
      <c r="S5" s="12">
        <f>'增加值 (2001-2022, 当年价) '!S5*S$77</f>
        <v>66656.46135676594</v>
      </c>
      <c r="T5" s="12">
        <f>'增加值 (2001-2022, 当年价) '!T5*T$77</f>
        <v>71022.878800094404</v>
      </c>
      <c r="U5" s="13">
        <f>'增加值 (2001-2022, 当年价) '!U5*U$77</f>
        <v>72444.7</v>
      </c>
      <c r="V5" s="11">
        <f>'增加值 (2001-2022, 当年价) '!V5*V$77</f>
        <v>76614.920254027675</v>
      </c>
      <c r="W5" s="12">
        <f>'增加值 (2001-2022, 当年价) '!W5*W$77</f>
        <v>77971.748616420751</v>
      </c>
      <c r="X5" s="67">
        <f>VLOOKUP($A5,平滑数据导入!$A$1:$AN$61,COLUMN(平滑数据导入!C$1),0)</f>
        <v>81718.592164723203</v>
      </c>
      <c r="Y5" s="67">
        <f>VLOOKUP($A5,平滑数据导入!$A$1:$AN$61,COLUMN(平滑数据导入!D$1),0)</f>
        <v>85700.351361091452</v>
      </c>
      <c r="Z5" s="136">
        <f>Z2*情景假设!E15</f>
        <v>89848.947766887009</v>
      </c>
      <c r="AA5" s="69">
        <f>VLOOKUP($A5,平滑数据导入!$A$1:$AN$61,COLUMN(平滑数据导入!F$1),0)</f>
        <v>94081.145591891735</v>
      </c>
      <c r="AB5" s="67">
        <f>VLOOKUP($A5,平滑数据导入!$A$1:$AN$61,COLUMN(平滑数据导入!G$1),0)</f>
        <v>98297.381619859414</v>
      </c>
      <c r="AC5" s="67">
        <f>VLOOKUP($A5,平滑数据导入!$A$1:$AN$61,COLUMN(平滑数据导入!H$1),0)</f>
        <v>102381.5252344701</v>
      </c>
      <c r="AD5" s="67">
        <f>VLOOKUP($A5,平滑数据导入!$A$1:$AN$61,COLUMN(平滑数据导入!I$1),0)</f>
        <v>106201.84855555531</v>
      </c>
      <c r="AE5" s="137">
        <f>AE2*情景假设!E16</f>
        <v>109613.47211645183</v>
      </c>
      <c r="AF5" s="69">
        <f>VLOOKUP($A5,平滑数据导入!$A$1:$AN$61,COLUMN(平滑数据导入!K$1),0)</f>
        <v>112504.7385764627</v>
      </c>
      <c r="AG5" s="67">
        <f>VLOOKUP($A5,平滑数据导入!$A$1:$AN$61,COLUMN(平滑数据导入!L$1),0)</f>
        <v>114936.7118095749</v>
      </c>
      <c r="AH5" s="67">
        <f>VLOOKUP($A5,平滑数据导入!$A$1:$AN$61,COLUMN(平滑数据导入!M$1),0)</f>
        <v>117029.9309807307</v>
      </c>
      <c r="AI5" s="67">
        <f>VLOOKUP($A5,平滑数据导入!$A$1:$AN$61,COLUMN(平滑数据导入!N$1),0)</f>
        <v>118919.8930790796</v>
      </c>
      <c r="AJ5" s="136">
        <f>AJ2*情景假设!E17</f>
        <v>120753.74411834625</v>
      </c>
      <c r="AK5" s="69">
        <f>VLOOKUP($A5,平滑数据导入!$A$1:$AN$61,COLUMN(平滑数据导入!P$1),0)</f>
        <v>122659.836259519</v>
      </c>
      <c r="AL5" s="67">
        <f>VLOOKUP($A5,平滑数据导入!$A$1:$AN$61,COLUMN(平滑数据导入!Q$1),0)</f>
        <v>124657.6536978496</v>
      </c>
      <c r="AM5" s="67">
        <f>VLOOKUP($A5,平滑数据导入!$A$1:$AN$61,COLUMN(平滑数据导入!R$1),0)</f>
        <v>126738.164598777</v>
      </c>
      <c r="AN5" s="67">
        <f>VLOOKUP($A5,平滑数据导入!$A$1:$AN$61,COLUMN(平滑数据导入!S$1),0)</f>
        <v>128891.6788785129</v>
      </c>
      <c r="AO5" s="70">
        <f>VLOOKUP($A5,平滑数据导入!$A$1:$AN$61,COLUMN(平滑数据导入!T$1),0)</f>
        <v>131107.7772567721</v>
      </c>
      <c r="AP5" s="69">
        <f>VLOOKUP($A5,平滑数据导入!$A$1:$AN$61,COLUMN(平滑数据导入!U$1),0)</f>
        <v>133375.2480550576</v>
      </c>
      <c r="AQ5" s="67">
        <f>VLOOKUP($A5,平滑数据导入!$A$1:$AN$61,COLUMN(平滑数据导入!V$1),0)</f>
        <v>135682.032911107</v>
      </c>
      <c r="AR5" s="67">
        <f>VLOOKUP($A5,平滑数据导入!$A$1:$AN$61,COLUMN(平滑数据导入!W$1),0)</f>
        <v>138015.18273496121</v>
      </c>
      <c r="AS5" s="67">
        <f>VLOOKUP($A5,平滑数据导入!$A$1:$AN$61,COLUMN(平滑数据导入!X$1),0)</f>
        <v>140360.82536439749</v>
      </c>
      <c r="AT5" s="70">
        <f>VLOOKUP($A5,平滑数据导入!$A$1:$AN$61,COLUMN(平滑数据导入!Y$1),0)</f>
        <v>142704.14648196971</v>
      </c>
      <c r="AU5" s="69">
        <f>VLOOKUP($A5,平滑数据导入!$A$1:$AN$61,COLUMN(平滑数据导入!Z$1),0)</f>
        <v>145029.3854267202</v>
      </c>
      <c r="AV5" s="67">
        <f>VLOOKUP($A5,平滑数据导入!$A$1:$AN$61,COLUMN(平滑数据导入!AA$1),0)</f>
        <v>147319.84756446761</v>
      </c>
      <c r="AW5" s="67">
        <f>VLOOKUP($A5,平滑数据导入!$A$1:$AN$61,COLUMN(平滑数据导入!AB$1),0)</f>
        <v>149557.93486475729</v>
      </c>
      <c r="AX5" s="67">
        <f>VLOOKUP($A5,平滑数据导入!$A$1:$AN$61,COLUMN(平滑数据导入!AC$1),0)</f>
        <v>151725.19626351789</v>
      </c>
      <c r="AY5" s="136">
        <f>AY2*情景假设!E18</f>
        <v>153802.39926175456</v>
      </c>
      <c r="AZ5" s="69">
        <f>VLOOKUP($A5,平滑数据导入!$A$1:$AN$61,COLUMN(平滑数据导入!AE$1),0)</f>
        <v>155769.6240165527</v>
      </c>
      <c r="BA5" s="67">
        <f>VLOOKUP($A5,平滑数据导入!$A$1:$AN$61,COLUMN(平滑数据导入!AF$1),0)</f>
        <v>157606.38091640419</v>
      </c>
      <c r="BB5" s="67">
        <f>VLOOKUP($A5,平滑数据导入!$A$1:$AN$61,COLUMN(平滑数据导入!AG$1),0)</f>
        <v>159291.75229514041</v>
      </c>
      <c r="BC5" s="67">
        <f>VLOOKUP($A5,平滑数据导入!$A$1:$AN$61,COLUMN(平滑数据导入!AH$1),0)</f>
        <v>160804.5585259785</v>
      </c>
      <c r="BD5" s="70">
        <f>VLOOKUP($A5,平滑数据导入!$A$1:$AN$61,COLUMN(平滑数据导入!AI$1),0)</f>
        <v>162123.5482501784</v>
      </c>
      <c r="BE5" s="69">
        <f>VLOOKUP($A5,平滑数据导入!$A$1:$AN$61,COLUMN(平滑数据导入!AJ$1),0)</f>
        <v>163227.6119370567</v>
      </c>
      <c r="BF5" s="67">
        <f>VLOOKUP($A5,平滑数据导入!$A$1:$AN$61,COLUMN(平滑数据导入!AK$1),0)</f>
        <v>164096.01735018639</v>
      </c>
      <c r="BG5" s="67">
        <f>VLOOKUP($A5,平滑数据导入!$A$1:$AN$61,COLUMN(平滑数据导入!AL$1),0)</f>
        <v>164708.66481859001</v>
      </c>
      <c r="BH5" s="67">
        <f>VLOOKUP($A5,平滑数据导入!$A$1:$AN$61,COLUMN(平滑数据导入!AM$1),0)</f>
        <v>165046.35949522519</v>
      </c>
      <c r="BI5" s="136">
        <f>BI2*情景假设!E19</f>
        <v>165091.09704551578</v>
      </c>
      <c r="BM5" s="58"/>
    </row>
    <row r="6" spans="1:65" x14ac:dyDescent="0.2">
      <c r="A6" s="14" t="s">
        <v>4</v>
      </c>
      <c r="B6" s="11">
        <f>'增加值 (2001-2022, 当年价) '!B6*B$77</f>
        <v>12922.19691913198</v>
      </c>
      <c r="C6" s="12">
        <f>'增加值 (2001-2022, 当年价) '!C6*C$77</f>
        <v>14005.145364926902</v>
      </c>
      <c r="D6" s="12">
        <f>'增加值 (2001-2022, 当年价) '!D6*D$77</f>
        <v>14410.716652702284</v>
      </c>
      <c r="E6" s="12">
        <f>'增加值 (2001-2022, 当年价) '!E6*E$77</f>
        <v>15841.240702858573</v>
      </c>
      <c r="F6" s="13">
        <f>'增加值 (2001-2022, 当年价) '!F6*F$77</f>
        <v>17478.670029358709</v>
      </c>
      <c r="G6" s="11">
        <f>'增加值 (2001-2022, 当年价) '!G6*G$77</f>
        <v>19206.903926131014</v>
      </c>
      <c r="H6" s="12">
        <f>'增加值 (2001-2022, 当年价) '!H6*H$77</f>
        <v>21357.812046410043</v>
      </c>
      <c r="I6" s="12">
        <f>'增加值 (2001-2022, 当年价) '!I6*I$77</f>
        <v>22214.293173693201</v>
      </c>
      <c r="J6" s="12">
        <f>'增加值 (2001-2022, 当年价) '!J6*J$77</f>
        <v>22471.738420302012</v>
      </c>
      <c r="K6" s="13">
        <f>'增加值 (2001-2022, 当年价) '!K6*K$77</f>
        <v>23894.578991226455</v>
      </c>
      <c r="L6" s="11">
        <f>'增加值 (2001-2022, 当年价) '!L6*L$77</f>
        <v>25720.526961160911</v>
      </c>
      <c r="M6" s="12">
        <f>'增加值 (2001-2022, 当年价) '!M6*M$77</f>
        <v>27354.589707269035</v>
      </c>
      <c r="N6" s="12">
        <f>'增加值 (2001-2022, 当年价) '!N6*N$77</f>
        <v>29353.002496532965</v>
      </c>
      <c r="O6" s="12">
        <f>'增加值 (2001-2022, 当年价) '!O6*O$77</f>
        <v>31825.567469102905</v>
      </c>
      <c r="P6" s="13">
        <f>'增加值 (2001-2022, 当年价) '!P6*P$77</f>
        <v>34027.489263973992</v>
      </c>
      <c r="Q6" s="11">
        <f>'增加值 (2001-2022, 当年价) '!Q6*Q$77</f>
        <v>36297.463499736106</v>
      </c>
      <c r="R6" s="12">
        <f>'增加值 (2001-2022, 当年价) '!R6*R$77</f>
        <v>39121.852645308427</v>
      </c>
      <c r="S6" s="12">
        <f>'增加值 (2001-2022, 当年价) '!S6*S$77</f>
        <v>41053.77693860625</v>
      </c>
      <c r="T6" s="12">
        <f>'增加值 (2001-2022, 当年价) '!T6*T$77</f>
        <v>42691.5780889854</v>
      </c>
      <c r="U6" s="13">
        <f>'增加值 (2001-2022, 当年价) '!U6*U$77</f>
        <v>40582.9</v>
      </c>
      <c r="V6" s="11">
        <f>'增加值 (2001-2022, 当年价) '!V6*V$77</f>
        <v>44991.98369146973</v>
      </c>
      <c r="W6" s="12">
        <f>'增加值 (2001-2022, 当年价) '!W6*W$77</f>
        <v>46450.003049149032</v>
      </c>
      <c r="X6" s="67">
        <f>VLOOKUP($A6,平滑数据导入!$A$1:$AN$61,COLUMN(平滑数据导入!C$1),0)</f>
        <v>48311.096009389643</v>
      </c>
      <c r="Y6" s="111">
        <f>VLOOKUP($A6,平滑数据导入!$A$1:$AN$61,COLUMN(平滑数据导入!D$1),0)</f>
        <v>50291.27062116388</v>
      </c>
      <c r="Z6" s="137">
        <f t="shared" ref="Z6:BI6" si="0">Z57</f>
        <v>52364.670461178488</v>
      </c>
      <c r="AA6" s="69">
        <f>VLOOKUP($A6,平滑数据导入!$A$1:$AN$61,COLUMN(平滑数据导入!F$1),0)</f>
        <v>54500.396684875261</v>
      </c>
      <c r="AB6" s="67">
        <f>VLOOKUP($A6,平滑数据导入!$A$1:$AN$61,COLUMN(平滑数据导入!G$1),0)</f>
        <v>56662.00623931329</v>
      </c>
      <c r="AC6" s="67">
        <f>VLOOKUP($A6,平滑数据导入!$A$1:$AN$61,COLUMN(平滑数据导入!H$1),0)</f>
        <v>58807.227010766197</v>
      </c>
      <c r="AD6" s="67">
        <f>VLOOKUP($A6,平滑数据导入!$A$1:$AN$61,COLUMN(平滑数据导入!I$1),0)</f>
        <v>60887.956392395252</v>
      </c>
      <c r="AE6" s="137">
        <f>AE57</f>
        <v>62850.61205207678</v>
      </c>
      <c r="AF6" s="69">
        <f>VLOOKUP($A6,平滑数据导入!$A$1:$AN$61,COLUMN(平滑数据导入!K$1),0)</f>
        <v>64650.657604550259</v>
      </c>
      <c r="AG6" s="67">
        <f>VLOOKUP($A6,平滑数据导入!$A$1:$AN$61,COLUMN(平滑数据导入!L$1),0)</f>
        <v>66297.833437558278</v>
      </c>
      <c r="AH6" s="67">
        <f>VLOOKUP($A6,平滑数据导入!$A$1:$AN$61,COLUMN(平滑数据导入!M$1),0)</f>
        <v>67820.149600441378</v>
      </c>
      <c r="AI6" s="67">
        <f>VLOOKUP($A6,平滑数据导入!$A$1:$AN$61,COLUMN(平滑数据导入!N$1),0)</f>
        <v>69250.23188956693</v>
      </c>
      <c r="AJ6" s="137">
        <f t="shared" si="0"/>
        <v>70624.740588899484</v>
      </c>
      <c r="AK6" s="69">
        <f>VLOOKUP($A6,平滑数据导入!$A$1:$AN$61,COLUMN(平滑数据导入!P$1),0)</f>
        <v>71975.236698282592</v>
      </c>
      <c r="AL6" s="67">
        <f>VLOOKUP($A6,平滑数据导入!$A$1:$AN$61,COLUMN(平滑数据导入!Q$1),0)</f>
        <v>73300.506101082443</v>
      </c>
      <c r="AM6" s="67">
        <f>VLOOKUP($A6,平滑数据导入!$A$1:$AN$61,COLUMN(平滑数据导入!R$1),0)</f>
        <v>74590.394924386637</v>
      </c>
      <c r="AN6" s="67">
        <f>VLOOKUP($A6,平滑数据导入!$A$1:$AN$61,COLUMN(平滑数据导入!S$1),0)</f>
        <v>75834.238200734981</v>
      </c>
      <c r="AO6" s="70">
        <f>VLOOKUP($A6,平滑数据导入!$A$1:$AN$61,COLUMN(平滑数据导入!T$1),0)</f>
        <v>77020.913507970909</v>
      </c>
      <c r="AP6" s="69">
        <f>VLOOKUP($A6,平滑数据导入!$A$1:$AN$61,COLUMN(平滑数据导入!U$1),0)</f>
        <v>78138.90911827446</v>
      </c>
      <c r="AQ6" s="67">
        <f>VLOOKUP($A6,平滑数据导入!$A$1:$AN$61,COLUMN(平滑数据导入!V$1),0)</f>
        <v>79176.407169025828</v>
      </c>
      <c r="AR6" s="67">
        <f>VLOOKUP($A6,平滑数据导入!$A$1:$AN$61,COLUMN(平滑数据导入!W$1),0)</f>
        <v>80121.382101401003</v>
      </c>
      <c r="AS6" s="67">
        <f>VLOOKUP($A6,平滑数据导入!$A$1:$AN$61,COLUMN(平滑数据导入!X$1),0)</f>
        <v>80961.714294988473</v>
      </c>
      <c r="AT6" s="70">
        <f>VLOOKUP($A6,平滑数据导入!$A$1:$AN$61,COLUMN(平滑数据导入!Y$1),0)</f>
        <v>81685.318460407376</v>
      </c>
      <c r="AU6" s="69">
        <f>VLOOKUP($A6,平滑数据导入!$A$1:$AN$61,COLUMN(平滑数据导入!Z$1),0)</f>
        <v>82280.285941250637</v>
      </c>
      <c r="AV6" s="67">
        <f>VLOOKUP($A6,平滑数据导入!$A$1:$AN$61,COLUMN(平滑数据导入!AA$1),0)</f>
        <v>82735.039628527331</v>
      </c>
      <c r="AW6" s="67">
        <f>VLOOKUP($A6,平滑数据导入!$A$1:$AN$61,COLUMN(平滑数据导入!AB$1),0)</f>
        <v>83038.499714584119</v>
      </c>
      <c r="AX6" s="67">
        <f>VLOOKUP($A6,平滑数据导入!$A$1:$AN$61,COLUMN(平滑数据导入!AC$1),0)</f>
        <v>83180.258021408561</v>
      </c>
      <c r="AY6" s="137">
        <f>AY57</f>
        <v>83150.758145039159</v>
      </c>
      <c r="AZ6" s="69">
        <f>VLOOKUP($A6,平滑数据导入!$A$1:$AN$61,COLUMN(平滑数据导入!AE$1),0)</f>
        <v>82941.478180774211</v>
      </c>
      <c r="BA6" s="67">
        <f>VLOOKUP($A6,平滑数据导入!$A$1:$AN$61,COLUMN(平滑数据导入!AF$1),0)</f>
        <v>82545.112352264012</v>
      </c>
      <c r="BB6" s="67">
        <f>VLOOKUP($A6,平滑数据导入!$A$1:$AN$61,COLUMN(平滑数据导入!AG$1),0)</f>
        <v>81955.747482272738</v>
      </c>
      <c r="BC6" s="67">
        <f>VLOOKUP($A6,平滑数据导入!$A$1:$AN$61,COLUMN(平滑数据导入!AH$1),0)</f>
        <v>81169.029935552084</v>
      </c>
      <c r="BD6" s="70">
        <f>VLOOKUP($A6,平滑数据导入!$A$1:$AN$61,COLUMN(平滑数据导入!AI$1),0)</f>
        <v>80182.318456549707</v>
      </c>
      <c r="BE6" s="69">
        <f>VLOOKUP($A6,平滑数据导入!$A$1:$AN$61,COLUMN(平滑数据导入!AJ$1),0)</f>
        <v>78994.818237148153</v>
      </c>
      <c r="BF6" s="67">
        <f>VLOOKUP($A6,平滑数据导入!$A$1:$AN$61,COLUMN(平滑数据导入!AK$1),0)</f>
        <v>77607.691600665348</v>
      </c>
      <c r="BG6" s="67">
        <f>VLOOKUP($A6,平滑数据导入!$A$1:$AN$61,COLUMN(平滑数据导入!AL$1),0)</f>
        <v>76024.140892946321</v>
      </c>
      <c r="BH6" s="67">
        <f>VLOOKUP($A6,平滑数据导入!$A$1:$AN$61,COLUMN(平滑数据导入!AM$1),0)</f>
        <v>74249.459539873613</v>
      </c>
      <c r="BI6" s="137">
        <f t="shared" si="0"/>
        <v>72291.047767686745</v>
      </c>
    </row>
    <row r="7" spans="1:65" x14ac:dyDescent="0.2">
      <c r="A7" s="14" t="s">
        <v>5</v>
      </c>
      <c r="B7" s="11">
        <f>'增加值 (2001-2022, 当年价) '!B7*B$77</f>
        <v>17152.616485966111</v>
      </c>
      <c r="C7" s="12">
        <f>'增加值 (2001-2022, 当年价) '!C7*C$77</f>
        <v>18681.749754360146</v>
      </c>
      <c r="D7" s="12">
        <f>'增加值 (2001-2022, 当年价) '!D7*D$77</f>
        <v>20339.742996748846</v>
      </c>
      <c r="E7" s="12">
        <f>'增加值 (2001-2022, 当年价) '!E7*E$77</f>
        <v>21201.883194183185</v>
      </c>
      <c r="F7" s="13">
        <f>'增加值 (2001-2022, 当年价) '!F7*F$77</f>
        <v>22884.560803942069</v>
      </c>
      <c r="G7" s="11">
        <f>'增加值 (2001-2022, 当年价) '!G7*G$77</f>
        <v>26058.395523850108</v>
      </c>
      <c r="H7" s="12">
        <f>'增加值 (2001-2022, 当年价) '!H7*H$77</f>
        <v>30623.280761177761</v>
      </c>
      <c r="I7" s="12">
        <f>'增加值 (2001-2022, 当年价) '!I7*I$77</f>
        <v>35540.208943581521</v>
      </c>
      <c r="J7" s="12">
        <f>'增加值 (2001-2022, 当年价) '!J7*J$77</f>
        <v>39448.493208340893</v>
      </c>
      <c r="K7" s="13">
        <f>'增加值 (2001-2022, 当年价) '!K7*K$77</f>
        <v>45678.365859529622</v>
      </c>
      <c r="L7" s="11">
        <f>'增加值 (2001-2022, 当年价) '!L7*L$77</f>
        <v>51500.521306789298</v>
      </c>
      <c r="M7" s="12">
        <f>'增加值 (2001-2022, 当年价) '!M7*M$77</f>
        <v>57367.259264602661</v>
      </c>
      <c r="N7" s="12">
        <f>'增加值 (2001-2022, 当年价) '!N7*N$77</f>
        <v>63443.814282969681</v>
      </c>
      <c r="O7" s="12">
        <f>'增加值 (2001-2022, 当年价) '!O7*O$77</f>
        <v>70456.495572018976</v>
      </c>
      <c r="P7" s="13">
        <f>'增加值 (2001-2022, 当年价) '!P7*P$77</f>
        <v>75503.463751392177</v>
      </c>
      <c r="Q7" s="11">
        <f>'增加值 (2001-2022, 当年价) '!Q7*Q$77</f>
        <v>81020.819704871668</v>
      </c>
      <c r="R7" s="12">
        <f>'增加值 (2001-2022, 当年价) '!R7*R$77</f>
        <v>85528.934305470306</v>
      </c>
      <c r="S7" s="12">
        <f>'增加值 (2001-2022, 当年价) '!S7*S$77</f>
        <v>90483.044653986115</v>
      </c>
      <c r="T7" s="12">
        <f>'增加值 (2001-2022, 当年价) '!T7*T$77</f>
        <v>96158.315337849839</v>
      </c>
      <c r="U7" s="13">
        <f>'增加值 (2001-2022, 当年价) '!U7*U$77</f>
        <v>96086.1</v>
      </c>
      <c r="V7" s="11">
        <f>'增加值 (2001-2022, 当年价) '!V7*V$77</f>
        <v>105634.48778242921</v>
      </c>
      <c r="W7" s="12">
        <f>'增加值 (2001-2022, 当年价) '!W7*W$77</f>
        <v>107085.79216328831</v>
      </c>
      <c r="X7" s="67">
        <f>VLOOKUP($A7,平滑数据导入!$A$1:$AN$61,COLUMN(平滑数据导入!C$1),0)</f>
        <v>111656.9444446438</v>
      </c>
      <c r="Y7" s="111">
        <f>VLOOKUP($A7,平滑数据导入!$A$1:$AN$61,COLUMN(平滑数据导入!D$1),0)</f>
        <v>116516.9047777411</v>
      </c>
      <c r="Z7" s="137">
        <f t="shared" ref="Z7:BI7" si="1">Z58</f>
        <v>121606.90352640692</v>
      </c>
      <c r="AA7" s="69">
        <f>VLOOKUP($A7,平滑数据导入!$A$1:$AN$61,COLUMN(平滑数据导入!F$1),0)</f>
        <v>126855.817191599</v>
      </c>
      <c r="AB7" s="67">
        <f>VLOOKUP($A7,平滑数据导入!$A$1:$AN$61,COLUMN(平滑数据导入!G$1),0)</f>
        <v>132178.91612173361</v>
      </c>
      <c r="AC7" s="67">
        <f>VLOOKUP($A7,平滑数据导入!$A$1:$AN$61,COLUMN(平滑数据导入!H$1),0)</f>
        <v>137477.11275616309</v>
      </c>
      <c r="AD7" s="67">
        <f>VLOOKUP($A7,平滑数据导入!$A$1:$AN$61,COLUMN(平滑数据导入!I$1),0)</f>
        <v>142636.87389263569</v>
      </c>
      <c r="AE7" s="137">
        <f t="shared" ref="AE7:AE10" si="2">AE58</f>
        <v>147530.96732895877</v>
      </c>
      <c r="AF7" s="69">
        <f>VLOOKUP($A7,平滑数据导入!$A$1:$AN$61,COLUMN(平滑数据导入!K$1),0)</f>
        <v>152052.59302401391</v>
      </c>
      <c r="AG7" s="67">
        <f>VLOOKUP($A7,平滑数据导入!$A$1:$AN$61,COLUMN(平滑数据导入!L$1),0)</f>
        <v>156222.3271968395</v>
      </c>
      <c r="AH7" s="67">
        <f>VLOOKUP($A7,平滑数据导入!$A$1:$AN$61,COLUMN(平滑数据导入!M$1),0)</f>
        <v>160104.2624384863</v>
      </c>
      <c r="AI7" s="67">
        <f>VLOOKUP($A7,平滑数据导入!$A$1:$AN$61,COLUMN(平滑数据导入!N$1),0)</f>
        <v>163774.05103162781</v>
      </c>
      <c r="AJ7" s="137">
        <f t="shared" si="1"/>
        <v>167317.58311285393</v>
      </c>
      <c r="AK7" s="69">
        <f>VLOOKUP($A7,平滑数据导入!$A$1:$AN$61,COLUMN(平滑数据导入!P$1),0)</f>
        <v>170809.3174298025</v>
      </c>
      <c r="AL7" s="67">
        <f>VLOOKUP($A7,平滑数据导入!$A$1:$AN$61,COLUMN(平滑数据导入!Q$1),0)</f>
        <v>174246.2404069789</v>
      </c>
      <c r="AM7" s="67">
        <f>VLOOKUP($A7,平滑数据导入!$A$1:$AN$61,COLUMN(平滑数据导入!R$1),0)</f>
        <v>177604.04952518779</v>
      </c>
      <c r="AN7" s="67">
        <f>VLOOKUP($A7,平滑数据导入!$A$1:$AN$61,COLUMN(平滑数据导入!S$1),0)</f>
        <v>180857.11685745479</v>
      </c>
      <c r="AO7" s="70">
        <f>VLOOKUP($A7,平滑数据导入!$A$1:$AN$61,COLUMN(平滑数据导入!T$1),0)</f>
        <v>183978.61207539469</v>
      </c>
      <c r="AP7" s="69">
        <f>VLOOKUP($A7,平滑数据导入!$A$1:$AN$61,COLUMN(平滑数据导入!U$1),0)</f>
        <v>186940.66038418171</v>
      </c>
      <c r="AQ7" s="67">
        <f>VLOOKUP($A7,平滑数据导入!$A$1:$AN$61,COLUMN(平滑数据导入!V$1),0)</f>
        <v>189714.5368016776</v>
      </c>
      <c r="AR7" s="67">
        <f>VLOOKUP($A7,平滑数据导入!$A$1:$AN$61,COLUMN(平滑数据导入!W$1),0)</f>
        <v>192270.8975757882</v>
      </c>
      <c r="AS7" s="67">
        <f>VLOOKUP($A7,平滑数据导入!$A$1:$AN$61,COLUMN(平滑数据导入!X$1),0)</f>
        <v>194580.04878973751</v>
      </c>
      <c r="AT7" s="70">
        <f>VLOOKUP($A7,平滑数据导入!$A$1:$AN$61,COLUMN(平滑数据导入!Y$1),0)</f>
        <v>196612.25134180591</v>
      </c>
      <c r="AU7" s="69">
        <f>VLOOKUP($A7,平滑数据导入!$A$1:$AN$61,COLUMN(平滑数据导入!Z$1),0)</f>
        <v>198338.06051361019</v>
      </c>
      <c r="AV7" s="67">
        <f>VLOOKUP($A7,平滑数据导入!$A$1:$AN$61,COLUMN(平滑数据导入!AA$1),0)</f>
        <v>199728.69727427719</v>
      </c>
      <c r="AW7" s="67">
        <f>VLOOKUP($A7,平滑数据导入!$A$1:$AN$61,COLUMN(平滑数据导入!AB$1),0)</f>
        <v>200756.4473283125</v>
      </c>
      <c r="AX7" s="67">
        <f>VLOOKUP($A7,平滑数据导入!$A$1:$AN$61,COLUMN(平滑数据导入!AC$1),0)</f>
        <v>201395.08273029249</v>
      </c>
      <c r="AY7" s="137">
        <f t="shared" ref="AY7:AY10" si="3">AY58</f>
        <v>201620.29969384658</v>
      </c>
      <c r="AZ7" s="69">
        <f>VLOOKUP($A7,平滑数据导入!$A$1:$AN$61,COLUMN(平滑数据导入!AE$1),0)</f>
        <v>201410.16505572529</v>
      </c>
      <c r="BA7" s="67">
        <f>VLOOKUP($A7,平滑数据导入!$A$1:$AN$61,COLUMN(平滑数据导入!AF$1),0)</f>
        <v>200745.5627632394</v>
      </c>
      <c r="BB7" s="67">
        <f>VLOOKUP($A7,平滑数据导入!$A$1:$AN$61,COLUMN(平滑数据导入!AG$1),0)</f>
        <v>199610.63078409611</v>
      </c>
      <c r="BC7" s="67">
        <f>VLOOKUP($A7,平滑数据导入!$A$1:$AN$61,COLUMN(平滑数据导入!AH$1),0)</f>
        <v>197993.17804314461</v>
      </c>
      <c r="BD7" s="70">
        <f>VLOOKUP($A7,平滑数据导入!$A$1:$AN$61,COLUMN(平滑数据导入!AI$1),0)</f>
        <v>195885.07042254071</v>
      </c>
      <c r="BE7" s="69">
        <f>VLOOKUP($A7,平滑数据导入!$A$1:$AN$61,COLUMN(平滑数据导入!AJ$1),0)</f>
        <v>193282.574570292</v>
      </c>
      <c r="BF7" s="67">
        <f>VLOOKUP($A7,平滑数据导入!$A$1:$AN$61,COLUMN(平滑数据导入!AK$1),0)</f>
        <v>190186.64829221461</v>
      </c>
      <c r="BG7" s="67">
        <f>VLOOKUP($A7,平滑数据导入!$A$1:$AN$61,COLUMN(平滑数据导入!AL$1),0)</f>
        <v>186603.1666919183</v>
      </c>
      <c r="BH7" s="67">
        <f>VLOOKUP($A7,平滑数据导入!$A$1:$AN$61,COLUMN(平滑数据导入!AM$1),0)</f>
        <v>182543.07400003029</v>
      </c>
      <c r="BI7" s="137">
        <f t="shared" si="1"/>
        <v>178022.4522121099</v>
      </c>
    </row>
    <row r="8" spans="1:65" x14ac:dyDescent="0.2">
      <c r="A8" s="14" t="s">
        <v>6</v>
      </c>
      <c r="B8" s="11">
        <f>'增加值 (2001-2022, 当年价) '!B8*B$77</f>
        <v>4513.6385874010248</v>
      </c>
      <c r="C8" s="12">
        <f>'增加值 (2001-2022, 当年价) '!C8*C$77</f>
        <v>5092.0326235075754</v>
      </c>
      <c r="D8" s="12">
        <f>'增加值 (2001-2022, 当年价) '!D8*D$77</f>
        <v>5691.7851781488607</v>
      </c>
      <c r="E8" s="12">
        <f>'增加值 (2001-2022, 当年价) '!E8*E$77</f>
        <v>6238.1108824838657</v>
      </c>
      <c r="F8" s="13">
        <f>'增加值 (2001-2022, 当年价) '!F8*F$77</f>
        <v>6873.8054741095848</v>
      </c>
      <c r="G8" s="11">
        <f>'增加值 (2001-2022, 当年价) '!G8*G$77</f>
        <v>7553.6469442222424</v>
      </c>
      <c r="H8" s="12">
        <f>'增加值 (2001-2022, 当年价) '!H8*H$77</f>
        <v>8113.2807727908448</v>
      </c>
      <c r="I8" s="12">
        <f>'增加值 (2001-2022, 当年价) '!I8*I$77</f>
        <v>8979.4462881834588</v>
      </c>
      <c r="J8" s="12">
        <f>'增加值 (2001-2022, 当年价) '!J8*J$77</f>
        <v>9462.0566134484743</v>
      </c>
      <c r="K8" s="13">
        <f>'增加值 (2001-2022, 当年价) '!K8*K$77</f>
        <v>9810.4193647830252</v>
      </c>
      <c r="L8" s="11">
        <f>'增加值 (2001-2022, 当年价) '!L8*L$77</f>
        <v>10086.374948865838</v>
      </c>
      <c r="M8" s="12">
        <f>'增加值 (2001-2022, 当年价) '!M8*M$77</f>
        <v>10978.23468974103</v>
      </c>
      <c r="N8" s="12">
        <f>'增加值 (2001-2022, 当年价) '!N8*N$77</f>
        <v>11528.425064808491</v>
      </c>
      <c r="O8" s="12">
        <f>'增加值 (2001-2022, 当年价) '!O8*O$77</f>
        <v>12523.822103857652</v>
      </c>
      <c r="P8" s="13">
        <f>'增加值 (2001-2022, 当年价) '!P8*P$77</f>
        <v>13720.594558606477</v>
      </c>
      <c r="Q8" s="11">
        <f>'增加值 (2001-2022, 当年价) '!Q8*Q$77</f>
        <v>14954.528147087502</v>
      </c>
      <c r="R8" s="12">
        <f>'增加值 (2001-2022, 当年价) '!R8*R$77</f>
        <v>15867.146170529086</v>
      </c>
      <c r="S8" s="12">
        <f>'增加值 (2001-2022, 当年价) '!S8*S$77</f>
        <v>16814.082962921035</v>
      </c>
      <c r="T8" s="12">
        <f>'增加值 (2001-2022, 当年价) '!T8*T$77</f>
        <v>17998.073570923636</v>
      </c>
      <c r="U8" s="13">
        <f>'增加值 (2001-2022, 当年价) '!U8*U$77</f>
        <v>15285.4</v>
      </c>
      <c r="V8" s="11">
        <f>'增加值 (2001-2022, 当年价) '!V8*V$77</f>
        <v>17067.645704961466</v>
      </c>
      <c r="W8" s="12">
        <f>'增加值 (2001-2022, 当年价) '!W8*W$77</f>
        <v>16696.536385320014</v>
      </c>
      <c r="X8" s="67">
        <f>VLOOKUP($A8,平滑数据导入!$A$1:$AN$61,COLUMN(平滑数据导入!C$1),0)</f>
        <v>17477.11131027971</v>
      </c>
      <c r="Y8" s="67">
        <f>VLOOKUP($A8,平滑数据导入!$A$1:$AN$61,COLUMN(平滑数据导入!D$1),0)</f>
        <v>18306.6081085429</v>
      </c>
      <c r="Z8" s="137">
        <f t="shared" ref="Z8:BI8" si="4">Z59</f>
        <v>19176.081219351425</v>
      </c>
      <c r="AA8" s="69">
        <f>VLOOKUP($A8,平滑数据导入!$A$1:$AN$61,COLUMN(平滑数据导入!F$1),0)</f>
        <v>20074.482325054571</v>
      </c>
      <c r="AB8" s="67">
        <f>VLOOKUP($A8,平滑数据导入!$A$1:$AN$61,COLUMN(平滑数据导入!G$1),0)</f>
        <v>20988.439130156999</v>
      </c>
      <c r="AC8" s="67">
        <f>VLOOKUP($A8,平滑数据导入!$A$1:$AN$61,COLUMN(平滑数据导入!H$1),0)</f>
        <v>21902.112124920379</v>
      </c>
      <c r="AD8" s="67">
        <f>VLOOKUP($A8,平滑数据导入!$A$1:$AN$61,COLUMN(平滑数据导入!I$1),0)</f>
        <v>22797.157360735731</v>
      </c>
      <c r="AE8" s="137">
        <f t="shared" si="2"/>
        <v>23652.824768748607</v>
      </c>
      <c r="AF8" s="69">
        <f>VLOOKUP($A8,平滑数据导入!$A$1:$AN$61,COLUMN(平滑数据导入!K$1),0)</f>
        <v>24451.43650346026</v>
      </c>
      <c r="AG8" s="67">
        <f>VLOOKUP($A8,平滑数据导入!$A$1:$AN$61,COLUMN(平滑数据导入!L$1),0)</f>
        <v>25195.723518003739</v>
      </c>
      <c r="AH8" s="67">
        <f>VLOOKUP($A8,平滑数据导入!$A$1:$AN$61,COLUMN(平滑数据导入!M$1),0)</f>
        <v>25895.54634329542</v>
      </c>
      <c r="AI8" s="67">
        <f>VLOOKUP($A8,平滑数据导入!$A$1:$AN$61,COLUMN(平滑数据导入!N$1),0)</f>
        <v>26562.797344700411</v>
      </c>
      <c r="AJ8" s="137">
        <f t="shared" si="4"/>
        <v>27211.201860703073</v>
      </c>
      <c r="AK8" s="69">
        <f>VLOOKUP($A8,平滑数据导入!$A$1:$AN$61,COLUMN(平滑数据导入!P$1),0)</f>
        <v>27852.788697118991</v>
      </c>
      <c r="AL8" s="67">
        <f>VLOOKUP($A8,平滑数据导入!$A$1:$AN$61,COLUMN(平滑数据导入!Q$1),0)</f>
        <v>28487.031976516751</v>
      </c>
      <c r="AM8" s="67">
        <f>VLOOKUP($A8,平滑数据导入!$A$1:$AN$61,COLUMN(平滑数据导入!R$1),0)</f>
        <v>29109.91625594144</v>
      </c>
      <c r="AN8" s="67">
        <f>VLOOKUP($A8,平滑数据导入!$A$1:$AN$61,COLUMN(平滑数据导入!S$1),0)</f>
        <v>29717.18168470544</v>
      </c>
      <c r="AO8" s="70">
        <f>VLOOKUP($A8,平滑数据导入!$A$1:$AN$61,COLUMN(平滑数据导入!T$1),0)</f>
        <v>30304.342753122499</v>
      </c>
      <c r="AP8" s="69">
        <f>VLOOKUP($A8,平滑数据导入!$A$1:$AN$61,COLUMN(平滑数据导入!U$1),0)</f>
        <v>30866.712858724881</v>
      </c>
      <c r="AQ8" s="67">
        <f>VLOOKUP($A8,平滑数据导入!$A$1:$AN$61,COLUMN(平滑数据导入!V$1),0)</f>
        <v>31399.4349704091</v>
      </c>
      <c r="AR8" s="67">
        <f>VLOOKUP($A8,平滑数据导入!$A$1:$AN$61,COLUMN(平滑数据导入!W$1),0)</f>
        <v>31897.518573014921</v>
      </c>
      <c r="AS8" s="67">
        <f>VLOOKUP($A8,平滑数据导入!$A$1:$AN$61,COLUMN(平滑数据导入!X$1),0)</f>
        <v>32355.88295634486</v>
      </c>
      <c r="AT8" s="70">
        <f>VLOOKUP($A8,平滑数据导入!$A$1:$AN$61,COLUMN(平滑数据导入!Y$1),0)</f>
        <v>32769.406774030089</v>
      </c>
      <c r="AU8" s="69">
        <f>VLOOKUP($A8,平滑数据导入!$A$1:$AN$61,COLUMN(平滑数据导入!Z$1),0)</f>
        <v>33132.983640221137</v>
      </c>
      <c r="AV8" s="67">
        <f>VLOOKUP($A8,平滑数据导入!$A$1:$AN$61,COLUMN(平滑数据导入!AA$1),0)</f>
        <v>33441.58335801967</v>
      </c>
      <c r="AW8" s="67">
        <f>VLOOKUP($A8,平滑数据导入!$A$1:$AN$61,COLUMN(平滑数据导入!AB$1),0)</f>
        <v>33690.318186086268</v>
      </c>
      <c r="AX8" s="67">
        <f>VLOOKUP($A8,平滑数据导入!$A$1:$AN$61,COLUMN(平滑数据导入!AC$1),0)</f>
        <v>33874.513353182207</v>
      </c>
      <c r="AY8" s="137">
        <f t="shared" si="3"/>
        <v>33989.780829841307</v>
      </c>
      <c r="AZ8" s="69">
        <f>VLOOKUP($A8,平滑数据导入!$A$1:$AN$61,COLUMN(平滑数据导入!AE$1),0)</f>
        <v>34032.095168179287</v>
      </c>
      <c r="BA8" s="67">
        <f>VLOOKUP($A8,平滑数据导入!$A$1:$AN$61,COLUMN(平滑数据导入!AF$1),0)</f>
        <v>33997.870032222352</v>
      </c>
      <c r="BB8" s="67">
        <f>VLOOKUP($A8,平滑数据导入!$A$1:$AN$61,COLUMN(平滑数据导入!AG$1),0)</f>
        <v>33884.033869927029</v>
      </c>
      <c r="BC8" s="67">
        <f>VLOOKUP($A8,平滑数据导入!$A$1:$AN$61,COLUMN(平滑数据导入!AH$1),0)</f>
        <v>33688.1030326482</v>
      </c>
      <c r="BD8" s="70">
        <f>VLOOKUP($A8,平滑数据导入!$A$1:$AN$61,COLUMN(平滑数据导入!AI$1),0)</f>
        <v>33408.250536689069</v>
      </c>
      <c r="BE8" s="69">
        <f>VLOOKUP($A8,平滑数据导入!$A$1:$AN$61,COLUMN(平滑数据导入!AJ$1),0)</f>
        <v>33043.368593098567</v>
      </c>
      <c r="BF8" s="67">
        <f>VLOOKUP($A8,平滑数据导入!$A$1:$AN$61,COLUMN(平滑数据导入!AK$1),0)</f>
        <v>32593.12301377788</v>
      </c>
      <c r="BG8" s="67">
        <f>VLOOKUP($A8,平滑数据导入!$A$1:$AN$61,COLUMN(平滑数据导入!AL$1),0)</f>
        <v>32057.997640929079</v>
      </c>
      <c r="BH8" s="67">
        <f>VLOOKUP($A8,平滑数据导入!$A$1:$AN$61,COLUMN(平滑数据导入!AM$1),0)</f>
        <v>31439.327048103161</v>
      </c>
      <c r="BI8" s="137">
        <f t="shared" si="4"/>
        <v>30739.315927822794</v>
      </c>
    </row>
    <row r="9" spans="1:65" x14ac:dyDescent="0.2">
      <c r="A9" s="14" t="s">
        <v>7</v>
      </c>
      <c r="B9" s="11">
        <f>'增加值 (2001-2022, 当年价) '!B9*B$77</f>
        <v>9784.408500699994</v>
      </c>
      <c r="C9" s="12">
        <f>'增加值 (2001-2022, 当年价) '!C9*C$77</f>
        <v>10382.528937787503</v>
      </c>
      <c r="D9" s="12">
        <f>'增加值 (2001-2022, 当年价) '!D9*D$77</f>
        <v>11007.589536974048</v>
      </c>
      <c r="E9" s="12">
        <f>'增加值 (2001-2022, 当年价) '!E9*E$77</f>
        <v>11234.659311987014</v>
      </c>
      <c r="F9" s="13">
        <f>'增加值 (2001-2022, 当年价) '!F9*F$77</f>
        <v>12264.296250729163</v>
      </c>
      <c r="G9" s="11">
        <f>'增加值 (2001-2022, 当年价) '!G9*G$77</f>
        <v>15717.404628357772</v>
      </c>
      <c r="H9" s="12">
        <f>'增加值 (2001-2022, 当年价) '!H9*H$77</f>
        <v>22227.765856134683</v>
      </c>
      <c r="I9" s="12">
        <f>'增加值 (2001-2022, 当年价) '!I9*I$77</f>
        <v>24898.85730634338</v>
      </c>
      <c r="J9" s="12">
        <f>'增加值 (2001-2022, 当年价) '!J9*J$77</f>
        <v>29699.732335281249</v>
      </c>
      <c r="K9" s="13">
        <f>'增加值 (2001-2022, 当年价) '!K9*K$77</f>
        <v>32735.023671667281</v>
      </c>
      <c r="L9" s="11">
        <f>'增加值 (2001-2022, 当年价) '!L9*L$77</f>
        <v>36207.040865314841</v>
      </c>
      <c r="M9" s="12">
        <f>'增加值 (2001-2022, 当年价) '!M9*M$77</f>
        <v>40602.972624593269</v>
      </c>
      <c r="N9" s="12">
        <f>'增加值 (2001-2022, 当年价) '!N9*N$77</f>
        <v>46542.227698753755</v>
      </c>
      <c r="O9" s="12">
        <f>'增加值 (2001-2022, 当年价) '!O9*O$77</f>
        <v>52257.487203405923</v>
      </c>
      <c r="P9" s="13">
        <f>'增加值 (2001-2022, 当年价) '!P9*P$77</f>
        <v>62771.042778023329</v>
      </c>
      <c r="Q9" s="11">
        <f>'增加值 (2001-2022, 当年价) '!Q9*Q$77</f>
        <v>65898.479240726272</v>
      </c>
      <c r="R9" s="12">
        <f>'增加值 (2001-2022, 当年价) '!R9*R$77</f>
        <v>68337.804624444689</v>
      </c>
      <c r="S9" s="12">
        <f>'增加值 (2001-2022, 当年价) '!S9*S$77</f>
        <v>71864.668488840805</v>
      </c>
      <c r="T9" s="12">
        <f>'增加值 (2001-2022, 当年价) '!T9*T$77</f>
        <v>76655.099319507237</v>
      </c>
      <c r="U9" s="13">
        <f>'增加值 (2001-2022, 当年价) '!U9*U$77</f>
        <v>83617.7</v>
      </c>
      <c r="V9" s="11">
        <f>'增加值 (2001-2022, 当年价) '!V9*V$77</f>
        <v>87195.415071666503</v>
      </c>
      <c r="W9" s="12">
        <f>'增加值 (2001-2022, 当年价) '!W9*W$77</f>
        <v>90528.212015436089</v>
      </c>
      <c r="X9" s="67">
        <f>VLOOKUP($A9,平滑数据导入!$A$1:$AN$61,COLUMN(平滑数据导入!C$1),0)</f>
        <v>94538.415553733445</v>
      </c>
      <c r="Y9" s="67">
        <f>VLOOKUP($A9,平滑数据导入!$A$1:$AN$61,COLUMN(平滑数据导入!D$1),0)</f>
        <v>99116.204206572205</v>
      </c>
      <c r="Z9" s="137">
        <f t="shared" ref="Z9:BI9" si="5">Z60</f>
        <v>104190.44399753914</v>
      </c>
      <c r="AA9" s="69">
        <f>VLOOKUP($A9,平滑数据导入!$A$1:$AN$61,COLUMN(平滑数据导入!F$1),0)</f>
        <v>109671.28164285921</v>
      </c>
      <c r="AB9" s="67">
        <f>VLOOKUP($A9,平滑数据导入!$A$1:$AN$61,COLUMN(平滑数据导入!G$1),0)</f>
        <v>115444.8783319933</v>
      </c>
      <c r="AC9" s="67">
        <f>VLOOKUP($A9,平滑数据导入!$A$1:$AN$61,COLUMN(平滑数据导入!H$1),0)</f>
        <v>121369.0806093361</v>
      </c>
      <c r="AD9" s="67">
        <f>VLOOKUP($A9,平滑数据导入!$A$1:$AN$61,COLUMN(平滑数据导入!I$1),0)</f>
        <v>127270.5768326089</v>
      </c>
      <c r="AE9" s="137">
        <f t="shared" si="2"/>
        <v>132944.21379650323</v>
      </c>
      <c r="AF9" s="69">
        <f>VLOOKUP($A9,平滑数据导入!$A$1:$AN$61,COLUMN(平滑数据导入!K$1),0)</f>
        <v>138200.16333795019</v>
      </c>
      <c r="AG9" s="67">
        <f>VLOOKUP($A9,平滑数据导入!$A$1:$AN$61,COLUMN(平滑数据导入!L$1),0)</f>
        <v>143016.69740186949</v>
      </c>
      <c r="AH9" s="67">
        <f>VLOOKUP($A9,平滑数据导入!$A$1:$AN$61,COLUMN(平滑数据导入!M$1),0)</f>
        <v>147430.27730587841</v>
      </c>
      <c r="AI9" s="67">
        <f>VLOOKUP($A9,平滑数据导入!$A$1:$AN$61,COLUMN(平滑数据导入!N$1),0)</f>
        <v>151492.46959091121</v>
      </c>
      <c r="AJ9" s="137">
        <f t="shared" si="5"/>
        <v>155268.19719590069</v>
      </c>
      <c r="AK9" s="69">
        <f>VLOOKUP($A9,平滑数据导入!$A$1:$AN$61,COLUMN(平滑数据导入!P$1),0)</f>
        <v>158816.71684749809</v>
      </c>
      <c r="AL9" s="67">
        <f>VLOOKUP($A9,平滑数据导入!$A$1:$AN$61,COLUMN(平滑数据导入!Q$1),0)</f>
        <v>162135.1320546419</v>
      </c>
      <c r="AM9" s="67">
        <f>VLOOKUP($A9,平滑数据导入!$A$1:$AN$61,COLUMN(平滑数据导入!R$1),0)</f>
        <v>165204.81152406131</v>
      </c>
      <c r="AN9" s="67">
        <f>VLOOKUP($A9,平滑数据导入!$A$1:$AN$61,COLUMN(平滑数据导入!S$1),0)</f>
        <v>168008.14403109031</v>
      </c>
      <c r="AO9" s="70">
        <f>VLOOKUP($A9,平滑数据导入!$A$1:$AN$61,COLUMN(平滑数据导入!T$1),0)</f>
        <v>170528.7036987087</v>
      </c>
      <c r="AP9" s="69">
        <f>VLOOKUP($A9,平滑数据导入!$A$1:$AN$61,COLUMN(平滑数据导入!U$1),0)</f>
        <v>172751.40773465449</v>
      </c>
      <c r="AQ9" s="67">
        <f>VLOOKUP($A9,平滑数据导入!$A$1:$AN$61,COLUMN(平滑数据导入!V$1),0)</f>
        <v>174662.66454580019</v>
      </c>
      <c r="AR9" s="67">
        <f>VLOOKUP($A9,平滑数据导入!$A$1:$AN$61,COLUMN(平滑数据导入!W$1),0)</f>
        <v>176250.51022781979</v>
      </c>
      <c r="AS9" s="67">
        <f>VLOOKUP($A9,平滑数据导入!$A$1:$AN$61,COLUMN(平滑数据导入!X$1),0)</f>
        <v>177504.73154113651</v>
      </c>
      <c r="AT9" s="70">
        <f>VLOOKUP($A9,平滑数据导入!$A$1:$AN$61,COLUMN(平滑数据导入!Y$1),0)</f>
        <v>178416.97363015401</v>
      </c>
      <c r="AU9" s="69">
        <f>VLOOKUP($A9,平滑数据导入!$A$1:$AN$61,COLUMN(平滑数据导入!Z$1),0)</f>
        <v>178980.83092002079</v>
      </c>
      <c r="AV9" s="67">
        <f>VLOOKUP($A9,平滑数据导入!$A$1:$AN$61,COLUMN(平滑数据导入!AA$1),0)</f>
        <v>179191.91983126849</v>
      </c>
      <c r="AW9" s="67">
        <f>VLOOKUP($A9,平滑数据导入!$A$1:$AN$61,COLUMN(平滑数据导入!AB$1),0)</f>
        <v>179047.93218443339</v>
      </c>
      <c r="AX9" s="67">
        <f>VLOOKUP($A9,平滑数据导入!$A$1:$AN$61,COLUMN(平滑数据导入!AC$1),0)</f>
        <v>178548.66842057739</v>
      </c>
      <c r="AY9" s="137">
        <f t="shared" si="3"/>
        <v>177696.05003528664</v>
      </c>
      <c r="AZ9" s="69">
        <f>VLOOKUP($A9,平滑数据导入!$A$1:$AN$61,COLUMN(平滑数据导入!AE$1),0)</f>
        <v>176494.11090858359</v>
      </c>
      <c r="BA9" s="67">
        <f>VLOOKUP($A9,平滑数据导入!$A$1:$AN$61,COLUMN(平滑数据导入!AF$1),0)</f>
        <v>174948.96750628861</v>
      </c>
      <c r="BB9" s="67">
        <f>VLOOKUP($A9,平滑数据导入!$A$1:$AN$61,COLUMN(平滑数据导入!AG$1),0)</f>
        <v>173068.76822451569</v>
      </c>
      <c r="BC9" s="67">
        <f>VLOOKUP($A9,平滑数据导入!$A$1:$AN$61,COLUMN(平滑数据导入!AH$1),0)</f>
        <v>170863.62244285151</v>
      </c>
      <c r="BD9" s="70">
        <f>VLOOKUP($A9,平滑数据导入!$A$1:$AN$61,COLUMN(平滑数据导入!AI$1),0)</f>
        <v>168345.51013798159</v>
      </c>
      <c r="BE9" s="69">
        <f>VLOOKUP($A9,平滑数据导入!$A$1:$AN$61,COLUMN(平滑数据导入!AJ$1),0)</f>
        <v>165528.1731829569</v>
      </c>
      <c r="BF9" s="67">
        <f>VLOOKUP($A9,平滑数据导入!$A$1:$AN$61,COLUMN(平滑数据导入!AK$1),0)</f>
        <v>162426.98971281521</v>
      </c>
      <c r="BG9" s="67">
        <f>VLOOKUP($A9,平滑数据导入!$A$1:$AN$61,COLUMN(平滑数据导入!AL$1),0)</f>
        <v>159058.8331703743</v>
      </c>
      <c r="BH9" s="67">
        <f>VLOOKUP($A9,平滑数据导入!$A$1:$AN$61,COLUMN(平滑数据导入!AM$1),0)</f>
        <v>155441.91785235991</v>
      </c>
      <c r="BI9" s="137">
        <f t="shared" si="5"/>
        <v>151595.6329520476</v>
      </c>
    </row>
    <row r="10" spans="1:65" x14ac:dyDescent="0.2">
      <c r="A10" s="14" t="s">
        <v>8</v>
      </c>
      <c r="B10" s="11">
        <f>'增加值 (2001-2022, 当年价) '!B10*B$77</f>
        <v>8849.7481207415294</v>
      </c>
      <c r="C10" s="12">
        <f>'增加值 (2001-2022, 当年价) '!C10*C$77</f>
        <v>9968.9694766959637</v>
      </c>
      <c r="D10" s="12">
        <f>'增加值 (2001-2022, 当年价) '!D10*D$77</f>
        <v>11210.23682603325</v>
      </c>
      <c r="E10" s="12">
        <f>'增加值 (2001-2022, 当年价) '!E10*E$77</f>
        <v>12174.086673928416</v>
      </c>
      <c r="F10" s="13">
        <f>'增加值 (2001-2022, 当年价) '!F10*F$77</f>
        <v>13897.18752418652</v>
      </c>
      <c r="G10" s="11">
        <f>'增加值 (2001-2022, 当年价) '!G10*G$77</f>
        <v>16266.835276597949</v>
      </c>
      <c r="H10" s="12">
        <f>'增加值 (2001-2022, 当年价) '!H10*H$77</f>
        <v>20054.709273094148</v>
      </c>
      <c r="I10" s="12">
        <f>'增加值 (2001-2022, 当年价) '!I10*I$77</f>
        <v>19815.693481260099</v>
      </c>
      <c r="J10" s="12">
        <f>'增加值 (2001-2022, 当年价) '!J10*J$77</f>
        <v>25515.727051401482</v>
      </c>
      <c r="K10" s="13">
        <f>'增加值 (2001-2022, 当年价) '!K10*K$77</f>
        <v>29673.719962985957</v>
      </c>
      <c r="L10" s="11">
        <f>'增加值 (2001-2022, 当年价) '!L10*L$77</f>
        <v>32713.773617339204</v>
      </c>
      <c r="M10" s="12">
        <f>'增加值 (2001-2022, 当年价) '!M10*M$77</f>
        <v>35399.508787493542</v>
      </c>
      <c r="N10" s="12">
        <f>'增加值 (2001-2022, 当年价) '!N10*N$77</f>
        <v>39832.538462927179</v>
      </c>
      <c r="O10" s="12">
        <f>'增加值 (2001-2022, 当年价) '!O10*O$77</f>
        <v>42479.298420686639</v>
      </c>
      <c r="P10" s="13">
        <f>'增加值 (2001-2022, 当年价) '!P10*P$77</f>
        <v>47467.341287589115</v>
      </c>
      <c r="Q10" s="11">
        <f>'增加值 (2001-2022, 当年价) '!Q10*Q$77</f>
        <v>54914.739986851237</v>
      </c>
      <c r="R10" s="12">
        <f>'增加值 (2001-2022, 当年价) '!R10*R$77</f>
        <v>60161.524062886783</v>
      </c>
      <c r="S10" s="12">
        <f>'增加值 (2001-2022, 当年价) '!S10*S$77</f>
        <v>65771.006096197845</v>
      </c>
      <c r="T10" s="12">
        <f>'增加值 (2001-2022, 当年价) '!T10*T$77</f>
        <v>70818.500320559091</v>
      </c>
      <c r="U10" s="13">
        <f>'增加值 (2001-2022, 当年价) '!U10*U$77</f>
        <v>73425.3</v>
      </c>
      <c r="V10" s="11">
        <f>'增加值 (2001-2022, 当年价) '!V10*V$77</f>
        <v>74150.558181630418</v>
      </c>
      <c r="W10" s="12">
        <f>'增加值 (2001-2022, 当年价) '!W10*W$77</f>
        <v>69030.48514791824</v>
      </c>
      <c r="X10" s="67">
        <f>VLOOKUP($A10,平滑数据导入!$A$1:$AN$61,COLUMN(平滑数据导入!C$1),0)</f>
        <v>72436.596785564383</v>
      </c>
      <c r="Y10" s="67">
        <f>VLOOKUP($A10,平滑数据导入!$A$1:$AN$61,COLUMN(平滑数据导入!D$1),0)</f>
        <v>76029.80094713674</v>
      </c>
      <c r="Z10" s="137">
        <f t="shared" ref="Z10:BI10" si="6">Z61</f>
        <v>79764.747207664856</v>
      </c>
      <c r="AA10" s="69">
        <f>VLOOKUP($A10,平滑数据导入!$A$1:$AN$61,COLUMN(平滑数据导入!F$1),0)</f>
        <v>83585.718237924346</v>
      </c>
      <c r="AB10" s="67">
        <f>VLOOKUP($A10,平滑数据导入!$A$1:$AN$61,COLUMN(平滑数据导入!G$1),0)</f>
        <v>87425.823408038501</v>
      </c>
      <c r="AC10" s="67">
        <f>VLOOKUP($A10,平滑数据导入!$A$1:$AN$61,COLUMN(平滑数据导入!H$1),0)</f>
        <v>91206.664336196365</v>
      </c>
      <c r="AD10" s="67">
        <f>VLOOKUP($A10,平滑数据导入!$A$1:$AN$61,COLUMN(平滑数据导入!I$1),0)</f>
        <v>94838.619643522121</v>
      </c>
      <c r="AE10" s="137">
        <f t="shared" si="2"/>
        <v>98221.894701301935</v>
      </c>
      <c r="AF10" s="69">
        <f>VLOOKUP($A10,平滑数据导入!$A$1:$AN$61,COLUMN(平滑数据导入!K$1),0)</f>
        <v>101277.60039462621</v>
      </c>
      <c r="AG10" s="67">
        <f>VLOOKUP($A10,平滑数据导入!$A$1:$AN$61,COLUMN(平滑数据导入!L$1),0)</f>
        <v>104044.212808248</v>
      </c>
      <c r="AH10" s="67">
        <f>VLOOKUP($A10,平滑数据导入!$A$1:$AN$61,COLUMN(平滑数据导入!M$1),0)</f>
        <v>106601.7322931837</v>
      </c>
      <c r="AI10" s="67">
        <f>VLOOKUP($A10,平滑数据导入!$A$1:$AN$61,COLUMN(平滑数据导入!N$1),0)</f>
        <v>109042.2439998187</v>
      </c>
      <c r="AJ10" s="137">
        <f t="shared" si="6"/>
        <v>111468.42395783791</v>
      </c>
      <c r="AK10" s="69">
        <f>VLOOKUP($A10,平滑数据导入!$A$1:$AN$61,COLUMN(平滑数据导入!P$1),0)</f>
        <v>113970.1798874145</v>
      </c>
      <c r="AL10" s="67">
        <f>VLOOKUP($A10,平滑数据导入!$A$1:$AN$61,COLUMN(平滑数据导入!Q$1),0)</f>
        <v>116552.6206587262</v>
      </c>
      <c r="AM10" s="67">
        <f>VLOOKUP($A10,平滑数据导入!$A$1:$AN$61,COLUMN(平滑数据导入!R$1),0)</f>
        <v>119197.4007539592</v>
      </c>
      <c r="AN10" s="67">
        <f>VLOOKUP($A10,平滑数据导入!$A$1:$AN$61,COLUMN(平滑数据导入!S$1),0)</f>
        <v>121884.3532402273</v>
      </c>
      <c r="AO10" s="70">
        <f>VLOOKUP($A10,平滑数据导入!$A$1:$AN$61,COLUMN(平滑数据导入!T$1),0)</f>
        <v>124591.39706867639</v>
      </c>
      <c r="AP10" s="69">
        <f>VLOOKUP($A10,平滑数据导入!$A$1:$AN$61,COLUMN(平滑数据导入!U$1),0)</f>
        <v>127294.4818355622</v>
      </c>
      <c r="AQ10" s="67">
        <f>VLOOKUP($A10,平滑数据导入!$A$1:$AN$61,COLUMN(平滑数据导入!V$1),0)</f>
        <v>129967.5761555917</v>
      </c>
      <c r="AR10" s="67">
        <f>VLOOKUP($A10,平滑数据导入!$A$1:$AN$61,COLUMN(平滑数据导入!W$1),0)</f>
        <v>132582.70595680579</v>
      </c>
      <c r="AS10" s="67">
        <f>VLOOKUP($A10,平滑数据导入!$A$1:$AN$61,COLUMN(平滑数据导入!X$1),0)</f>
        <v>135110.04891153431</v>
      </c>
      <c r="AT10" s="70">
        <f>VLOOKUP($A10,平滑数据导入!$A$1:$AN$61,COLUMN(平滑数据导入!Y$1),0)</f>
        <v>137518.0908241932</v>
      </c>
      <c r="AU10" s="69">
        <f>VLOOKUP($A10,平滑数据导入!$A$1:$AN$61,COLUMN(平滑数据导入!Z$1),0)</f>
        <v>139773.84906127889</v>
      </c>
      <c r="AV10" s="67">
        <f>VLOOKUP($A10,平滑数据导入!$A$1:$AN$61,COLUMN(平滑数据导入!AA$1),0)</f>
        <v>141843.16699581771</v>
      </c>
      <c r="AW10" s="67">
        <f>VLOOKUP($A10,平滑数据导入!$A$1:$AN$61,COLUMN(平滑数据导入!AB$1),0)</f>
        <v>143691.0819219682</v>
      </c>
      <c r="AX10" s="67">
        <f>VLOOKUP($A10,平滑数据导入!$A$1:$AN$61,COLUMN(平滑数据导入!AC$1),0)</f>
        <v>145282.2669645565</v>
      </c>
      <c r="AY10" s="137">
        <f t="shared" si="3"/>
        <v>146581.5451712535</v>
      </c>
      <c r="AZ10" s="69">
        <f>VLOOKUP($A10,平滑数据导入!$A$1:$AN$61,COLUMN(平滑数据导入!AE$1),0)</f>
        <v>147554.47126353841</v>
      </c>
      <c r="BA10" s="67">
        <f>VLOOKUP($A10,平滑数据导入!$A$1:$AN$61,COLUMN(平滑数据导入!AF$1),0)</f>
        <v>148167.97349513051</v>
      </c>
      <c r="BB10" s="67">
        <f>VLOOKUP($A10,平滑数据导入!$A$1:$AN$61,COLUMN(平滑数据导入!AG$1),0)</f>
        <v>148391.0448114801</v>
      </c>
      <c r="BC10" s="67">
        <f>VLOOKUP($A10,平滑数据导入!$A$1:$AN$61,COLUMN(平滑数据导入!AH$1),0)</f>
        <v>148195.46914005381</v>
      </c>
      <c r="BD10" s="70">
        <f>VLOOKUP($A10,平滑数据导入!$A$1:$AN$61,COLUMN(平滑数据导入!AI$1),0)</f>
        <v>147556.56531727291</v>
      </c>
      <c r="BE10" s="69">
        <f>VLOOKUP($A10,平滑数据导入!$A$1:$AN$61,COLUMN(平滑数据导入!AJ$1),0)</f>
        <v>146453.92804936389</v>
      </c>
      <c r="BF10" s="67">
        <f>VLOOKUP($A10,平滑数据导入!$A$1:$AN$61,COLUMN(平滑数据导入!AK$1),0)</f>
        <v>144872.14260705459</v>
      </c>
      <c r="BG10" s="67">
        <f>VLOOKUP($A10,平滑数据导入!$A$1:$AN$61,COLUMN(平滑数据导入!AL$1),0)</f>
        <v>142801.44787598739</v>
      </c>
      <c r="BH10" s="67">
        <f>VLOOKUP($A10,平滑数据导入!$A$1:$AN$61,COLUMN(平滑数据导入!AM$1),0)</f>
        <v>140238.32113434459</v>
      </c>
      <c r="BI10" s="137">
        <f t="shared" si="6"/>
        <v>137185.95770165289</v>
      </c>
    </row>
    <row r="11" spans="1:65" x14ac:dyDescent="0.2">
      <c r="A11" s="15" t="s">
        <v>9</v>
      </c>
      <c r="B11" s="16">
        <f>'增加值 (2001-2022, 当年价) '!B11*B$77</f>
        <v>31937.552049663198</v>
      </c>
      <c r="C11" s="17">
        <f>'增加值 (2001-2022, 当年价) '!C11*C$77</f>
        <v>37036.464236731954</v>
      </c>
      <c r="D11" s="17">
        <f>'增加值 (2001-2022, 当年价) '!D11*D$77</f>
        <v>41428.534463569165</v>
      </c>
      <c r="E11" s="17">
        <f>'增加值 (2001-2022, 当年价) '!E11*E$77</f>
        <v>45540.864826594312</v>
      </c>
      <c r="F11" s="18">
        <f>'增加值 (2001-2022, 当年价) '!F11*F$77</f>
        <v>52003.008017669003</v>
      </c>
      <c r="G11" s="16">
        <f>'增加值 (2001-2022, 当年价) '!G11*G$77</f>
        <v>58175.343577348067</v>
      </c>
      <c r="H11" s="17">
        <f>'增加值 (2001-2022, 当年价) '!H11*H$77</f>
        <v>65164.643960404319</v>
      </c>
      <c r="I11" s="17">
        <f>'增加值 (2001-2022, 当年价) '!I11*I$77</f>
        <v>72161.979645155414</v>
      </c>
      <c r="J11" s="17">
        <f>'增加值 (2001-2022, 当年价) '!J11*J$77</f>
        <v>81608.164173365454</v>
      </c>
      <c r="K11" s="18">
        <f>'增加值 (2001-2022, 当年价) '!K11*K$77</f>
        <v>87335.50289981447</v>
      </c>
      <c r="L11" s="16">
        <f>'增加值 (2001-2022, 当年价) '!L11*L$77</f>
        <v>95480.12595779878</v>
      </c>
      <c r="M11" s="17">
        <f>'增加值 (2001-2022, 当年价) '!M11*M$77</f>
        <v>107103.2013242258</v>
      </c>
      <c r="N11" s="17">
        <f>'增加值 (2001-2022, 当年价) '!N11*N$77</f>
        <v>119301.61086028998</v>
      </c>
      <c r="O11" s="17">
        <f>'增加值 (2001-2022, 当年价) '!O11*O$77</f>
        <v>133415.33875963348</v>
      </c>
      <c r="P11" s="18">
        <f>'增加值 (2001-2022, 当年价) '!P11*P$77</f>
        <v>152587.13558397276</v>
      </c>
      <c r="Q11" s="16">
        <f>'增加值 (2001-2022, 当年价) '!Q11*Q$77</f>
        <v>172256.87078333952</v>
      </c>
      <c r="R11" s="17">
        <f>'增加值 (2001-2022, 当年价) '!R11*R$77</f>
        <v>188734.62401960831</v>
      </c>
      <c r="S11" s="17">
        <f>'增加值 (2001-2022, 当年价) '!S11*S$77</f>
        <v>207771.77156290377</v>
      </c>
      <c r="T11" s="17">
        <f>'增加值 (2001-2022, 当年价) '!T11*T$77</f>
        <v>228923.80211593144</v>
      </c>
      <c r="U11" s="18">
        <f>'增加值 (2001-2022, 当年价) '!U11*U$77</f>
        <v>237825.3</v>
      </c>
      <c r="V11" s="16">
        <f>'增加值 (2001-2022, 当年价) '!V11*V$77</f>
        <v>248575.80545442237</v>
      </c>
      <c r="W11" s="17">
        <f>'增加值 (2001-2022, 当年价) '!W11*W$77</f>
        <v>261752.40687754125</v>
      </c>
      <c r="X11" s="72">
        <f>VLOOKUP($A11,平滑数据导入!$A$1:$AN$61,COLUMN(平滑数据导入!C$1),0)</f>
        <v>284585.85662794212</v>
      </c>
      <c r="Y11" s="72">
        <f>VLOOKUP($A11,平滑数据导入!$A$1:$AN$61,COLUMN(平滑数据导入!D$1),0)</f>
        <v>309477.90983896668</v>
      </c>
      <c r="Z11" s="138">
        <f t="shared" ref="Z11:BI11" si="7">SUM(Z62:Z70)</f>
        <v>336403.50350137369</v>
      </c>
      <c r="AA11" s="74">
        <f>VLOOKUP($A11,平滑数据导入!$A$1:$AN$61,COLUMN(平滑数据导入!F$1),0)</f>
        <v>365281.17292954942</v>
      </c>
      <c r="AB11" s="72">
        <f>VLOOKUP($A11,平滑数据导入!$A$1:$AN$61,COLUMN(平滑数据导入!G$1),0)</f>
        <v>395960.64659628237</v>
      </c>
      <c r="AC11" s="72">
        <f>VLOOKUP($A11,平滑数据导入!$A$1:$AN$61,COLUMN(平滑数据导入!H$1),0)</f>
        <v>428210.57186973159</v>
      </c>
      <c r="AD11" s="72">
        <f>VLOOKUP($A11,平滑数据导入!$A$1:$AN$61,COLUMN(平滑数据导入!I$1),0)</f>
        <v>461707.23044984939</v>
      </c>
      <c r="AE11" s="138">
        <f>SUM(AE62:AE70)</f>
        <v>496025.31975821883</v>
      </c>
      <c r="AF11" s="74">
        <f>VLOOKUP($A11,平滑数据导入!$A$1:$AN$61,COLUMN(平滑数据导入!K$1),0)</f>
        <v>530746.66070613475</v>
      </c>
      <c r="AG11" s="72">
        <f>VLOOKUP($A11,平滑数据导入!$A$1:$AN$61,COLUMN(平滑数据导入!L$1),0)</f>
        <v>565862.86682307965</v>
      </c>
      <c r="AH11" s="72">
        <f>VLOOKUP($A11,平滑数据导入!$A$1:$AN$61,COLUMN(平滑数据导入!M$1),0)</f>
        <v>601540.07360818691</v>
      </c>
      <c r="AI11" s="72">
        <f>VLOOKUP($A11,平滑数据导入!$A$1:$AN$61,COLUMN(平滑数据导入!N$1),0)</f>
        <v>638024.34541355481</v>
      </c>
      <c r="AJ11" s="138">
        <f t="shared" si="7"/>
        <v>675647.2944672677</v>
      </c>
      <c r="AK11" s="74">
        <f>VLOOKUP($A11,平滑数据导入!$A$1:$AN$61,COLUMN(平滑数据导入!P$1),0)</f>
        <v>714744.27178485342</v>
      </c>
      <c r="AL11" s="72">
        <f>VLOOKUP($A11,平滑数据导入!$A$1:$AN$61,COLUMN(平滑数据导入!Q$1),0)</f>
        <v>755356.44761016581</v>
      </c>
      <c r="AM11" s="72">
        <f>VLOOKUP($A11,平滑数据导入!$A$1:$AN$61,COLUMN(平滑数据导入!R$1),0)</f>
        <v>797431.30498213402</v>
      </c>
      <c r="AN11" s="72">
        <f>VLOOKUP($A11,平滑数据导入!$A$1:$AN$61,COLUMN(平滑数据导入!S$1),0)</f>
        <v>840900.84900364478</v>
      </c>
      <c r="AO11" s="75">
        <f>VLOOKUP($A11,平滑数据导入!$A$1:$AN$61,COLUMN(平滑数据导入!T$1),0)</f>
        <v>885680.67880284705</v>
      </c>
      <c r="AP11" s="74">
        <f>VLOOKUP($A11,平滑数据导入!$A$1:$AN$61,COLUMN(平滑数据导入!U$1),0)</f>
        <v>931669.17417636677</v>
      </c>
      <c r="AQ11" s="72">
        <f>VLOOKUP($A11,平滑数据导入!$A$1:$AN$61,COLUMN(平滑数据导入!V$1),0)</f>
        <v>978746.82426995621</v>
      </c>
      <c r="AR11" s="72">
        <f>VLOOKUP($A11,平滑数据导入!$A$1:$AN$61,COLUMN(平滑数据导入!W$1),0)</f>
        <v>1026775.7262835359</v>
      </c>
      <c r="AS11" s="72">
        <f>VLOOKUP($A11,平滑数据导入!$A$1:$AN$61,COLUMN(平滑数据导入!X$1),0)</f>
        <v>1075599.282230912</v>
      </c>
      <c r="AT11" s="75">
        <f>VLOOKUP($A11,平滑数据导入!$A$1:$AN$61,COLUMN(平滑数据导入!Y$1),0)</f>
        <v>1125042.1211532741</v>
      </c>
      <c r="AU11" s="74">
        <f>VLOOKUP($A11,平滑数据导入!$A$1:$AN$61,COLUMN(平滑数据导入!Z$1),0)</f>
        <v>1174910.2728022379</v>
      </c>
      <c r="AV11" s="72">
        <f>VLOOKUP($A11,平滑数据导入!$A$1:$AN$61,COLUMN(平滑数据导入!AA$1),0)</f>
        <v>1224991.6166075841</v>
      </c>
      <c r="AW11" s="72">
        <f>VLOOKUP($A11,平滑数据导入!$A$1:$AN$61,COLUMN(平滑数据导入!AB$1),0)</f>
        <v>1275056.626679335</v>
      </c>
      <c r="AX11" s="72">
        <f>VLOOKUP($A11,平滑数据导入!$A$1:$AN$61,COLUMN(平滑数据导入!AC$1),0)</f>
        <v>1324859.4296371001</v>
      </c>
      <c r="AY11" s="138">
        <f>SUM(AY62:AY70)</f>
        <v>1374139.1872115908</v>
      </c>
      <c r="AZ11" s="74">
        <f>VLOOKUP($A11,平滑数据导入!$A$1:$AN$61,COLUMN(平滑数据导入!AE$1),0)</f>
        <v>1422621.8098534299</v>
      </c>
      <c r="BA11" s="72">
        <f>VLOOKUP($A11,平滑数据导入!$A$1:$AN$61,COLUMN(平滑数据导入!AF$1),0)</f>
        <v>1470022.001075438</v>
      </c>
      <c r="BB11" s="72">
        <f>VLOOKUP($A11,平滑数据导入!$A$1:$AN$61,COLUMN(平滑数据导入!AG$1),0)</f>
        <v>1516045.6250443689</v>
      </c>
      <c r="BC11" s="72">
        <f>VLOOKUP($A11,平滑数据导入!$A$1:$AN$61,COLUMN(平滑数据导入!AH$1),0)</f>
        <v>1560392.3821609269</v>
      </c>
      <c r="BD11" s="75">
        <f>VLOOKUP($A11,平滑数据导入!$A$1:$AN$61,COLUMN(平滑数据导入!AI$1),0)</f>
        <v>1602758.7691934509</v>
      </c>
      <c r="BE11" s="74">
        <f>VLOOKUP($A11,平滑数据导入!$A$1:$AN$61,COLUMN(平滑数据导入!AJ$1),0)</f>
        <v>1642841.29216519</v>
      </c>
      <c r="BF11" s="72">
        <f>VLOOKUP($A11,平滑数据导入!$A$1:$AN$61,COLUMN(平滑数据导入!AK$1),0)</f>
        <v>1680339.8918733851</v>
      </c>
      <c r="BG11" s="72">
        <f>VLOOKUP($A11,平滑数据导入!$A$1:$AN$61,COLUMN(平滑数据导入!AL$1),0)</f>
        <v>1714961.5339001201</v>
      </c>
      <c r="BH11" s="72">
        <f>VLOOKUP($A11,平滑数据导入!$A$1:$AN$61,COLUMN(平滑数据导入!AM$1),0)</f>
        <v>1746423.9075380489</v>
      </c>
      <c r="BI11" s="138">
        <f t="shared" si="7"/>
        <v>1774459.1714850038</v>
      </c>
    </row>
    <row r="12" spans="1:65" x14ac:dyDescent="0.2">
      <c r="A12" s="32"/>
      <c r="B12" s="11"/>
      <c r="C12" s="12"/>
      <c r="D12" s="12"/>
      <c r="E12" s="12"/>
      <c r="F12" s="13"/>
      <c r="G12" s="11"/>
      <c r="H12" s="12"/>
      <c r="I12" s="12"/>
      <c r="J12" s="12"/>
      <c r="K12" s="13"/>
      <c r="L12" s="11"/>
      <c r="M12" s="12"/>
      <c r="N12" s="12"/>
      <c r="O12" s="12"/>
      <c r="P12" s="13"/>
      <c r="Q12" s="11"/>
      <c r="R12" s="12"/>
      <c r="S12" s="12"/>
      <c r="T12" s="12"/>
      <c r="U12" s="13"/>
      <c r="V12" s="11"/>
      <c r="W12" s="12"/>
      <c r="X12" s="59"/>
      <c r="Y12" s="59"/>
      <c r="Z12" s="59"/>
      <c r="AA12" s="59"/>
      <c r="AB12" s="59"/>
      <c r="AC12" s="59"/>
      <c r="AD12" s="59"/>
      <c r="AE12" s="59"/>
      <c r="AF12" s="59"/>
      <c r="AG12" s="59"/>
      <c r="AH12" s="59"/>
      <c r="AI12" s="59"/>
      <c r="AJ12" s="59"/>
      <c r="AK12" s="59"/>
      <c r="AL12" s="59"/>
      <c r="AM12" s="59"/>
      <c r="AN12" s="59"/>
      <c r="AO12" s="59"/>
      <c r="AP12" s="59"/>
      <c r="AQ12" s="59"/>
      <c r="AR12" s="59"/>
      <c r="AS12" s="59"/>
      <c r="AT12" s="59"/>
      <c r="AU12" s="59"/>
      <c r="AV12" s="59"/>
      <c r="AW12" s="59"/>
      <c r="AX12" s="59"/>
      <c r="AY12" s="59"/>
      <c r="AZ12" s="59"/>
      <c r="BA12" s="59"/>
      <c r="BB12" s="59"/>
      <c r="BC12" s="59"/>
      <c r="BD12" s="59"/>
      <c r="BE12" s="59"/>
      <c r="BF12" s="59"/>
      <c r="BG12" s="59"/>
      <c r="BH12" s="59"/>
      <c r="BI12" s="59"/>
    </row>
    <row r="13" spans="1:65" s="9" customFormat="1" x14ac:dyDescent="0.2">
      <c r="A13" s="4" t="s">
        <v>2</v>
      </c>
      <c r="B13" s="6">
        <f>B4</f>
        <v>82472.588935236359</v>
      </c>
      <c r="C13" s="7">
        <f t="shared" ref="C13:BI13" si="8">C4</f>
        <v>89280.442375518236</v>
      </c>
      <c r="D13" s="7">
        <f t="shared" si="8"/>
        <v>100799.63833201525</v>
      </c>
      <c r="E13" s="7">
        <f t="shared" si="8"/>
        <v>111960.0304202925</v>
      </c>
      <c r="F13" s="8">
        <f t="shared" si="8"/>
        <v>127718.90013401274</v>
      </c>
      <c r="G13" s="6">
        <f t="shared" si="8"/>
        <v>145373.42336474854</v>
      </c>
      <c r="H13" s="7">
        <f t="shared" si="8"/>
        <v>163331.37833449789</v>
      </c>
      <c r="I13" s="7">
        <f t="shared" si="8"/>
        <v>178777.31335147261</v>
      </c>
      <c r="J13" s="7">
        <f t="shared" si="8"/>
        <v>187816.58747999065</v>
      </c>
      <c r="K13" s="8">
        <f t="shared" si="8"/>
        <v>210052.75645915509</v>
      </c>
      <c r="L13" s="6">
        <f t="shared" si="8"/>
        <v>229790.33434331449</v>
      </c>
      <c r="M13" s="39">
        <f t="shared" si="8"/>
        <v>240473.17222739744</v>
      </c>
      <c r="N13" s="39">
        <f t="shared" si="8"/>
        <v>250594.10025312903</v>
      </c>
      <c r="O13" s="39">
        <f t="shared" si="8"/>
        <v>260094.46798668895</v>
      </c>
      <c r="P13" s="40">
        <f t="shared" si="8"/>
        <v>261976.82537780039</v>
      </c>
      <c r="Q13" s="38">
        <f t="shared" si="8"/>
        <v>269693.62544095406</v>
      </c>
      <c r="R13" s="39">
        <f t="shared" si="8"/>
        <v>289941.42849585827</v>
      </c>
      <c r="S13" s="39">
        <f t="shared" si="8"/>
        <v>306438.05124800676</v>
      </c>
      <c r="T13" s="39">
        <f t="shared" si="8"/>
        <v>313513.06904014404</v>
      </c>
      <c r="U13" s="40">
        <f t="shared" si="8"/>
        <v>312902.90000000002</v>
      </c>
      <c r="V13" s="38">
        <f t="shared" si="8"/>
        <v>356193.67592506018</v>
      </c>
      <c r="W13" s="39">
        <f t="shared" si="8"/>
        <v>375578.60517081129</v>
      </c>
      <c r="X13" s="81">
        <f>VLOOKUP($A13,平滑数据导入!$A$1:$AN$61,COLUMN(平滑数据导入!C$1),0)</f>
        <v>390173.76175473508</v>
      </c>
      <c r="Y13" s="81">
        <f>VLOOKUP($A13,平滑数据导入!$A$1:$AN$61,COLUMN(平滑数据导入!D$1),0)</f>
        <v>405076.35844823148</v>
      </c>
      <c r="Z13" s="139">
        <f>Z4</f>
        <v>420175.96161573631</v>
      </c>
      <c r="AA13" s="83">
        <f>VLOOKUP($A13,平滑数据导入!$A$1:$AN$61,COLUMN(平滑数据导入!F$1),0)</f>
        <v>435354.15341879491</v>
      </c>
      <c r="AB13" s="81">
        <f>VLOOKUP($A13,平滑数据导入!$A$1:$AN$61,COLUMN(平滑数据导入!G$1),0)</f>
        <v>450482.33832760691</v>
      </c>
      <c r="AC13" s="81">
        <f>VLOOKUP($A13,平滑数据导入!$A$1:$AN$61,COLUMN(平滑数据导入!H$1),0)</f>
        <v>465420.25373583141</v>
      </c>
      <c r="AD13" s="81">
        <f>VLOOKUP($A13,平滑数据导入!$A$1:$AN$61,COLUMN(平滑数据导入!I$1),0)</f>
        <v>480015.42190950742</v>
      </c>
      <c r="AE13" s="139">
        <f>AE4</f>
        <v>494103.8050787751</v>
      </c>
      <c r="AF13" s="83">
        <f>VLOOKUP($A13,平滑数据导入!$A$1:$AN$61,COLUMN(平滑数据导入!K$1),0)</f>
        <v>507532.58540148841</v>
      </c>
      <c r="AG13" s="81">
        <f>VLOOKUP($A13,平滑数据导入!$A$1:$AN$61,COLUMN(平滑数据导入!L$1),0)</f>
        <v>520228.48035802098</v>
      </c>
      <c r="AH13" s="81">
        <f>VLOOKUP($A13,平滑数据导入!$A$1:$AN$61,COLUMN(平滑数据导入!M$1),0)</f>
        <v>532142.75502775738</v>
      </c>
      <c r="AI13" s="81">
        <f>VLOOKUP($A13,平滑数据导入!$A$1:$AN$61,COLUMN(平滑数据导入!N$1),0)</f>
        <v>543231.30763323873</v>
      </c>
      <c r="AJ13" s="139">
        <f t="shared" si="8"/>
        <v>553454.66054242034</v>
      </c>
      <c r="AK13" s="83">
        <f>VLOOKUP($A13,平滑数据导入!$A$1:$AN$61,COLUMN(平滑数据导入!P$1),0)</f>
        <v>562783.57036512182</v>
      </c>
      <c r="AL13" s="81">
        <f>VLOOKUP($A13,平滑数据导入!$A$1:$AN$61,COLUMN(平滑数据导入!Q$1),0)</f>
        <v>571217.08985945478</v>
      </c>
      <c r="AM13" s="81">
        <f>VLOOKUP($A13,平滑数据导入!$A$1:$AN$61,COLUMN(平滑数据导入!R$1),0)</f>
        <v>578768.78407504433</v>
      </c>
      <c r="AN13" s="81">
        <f>VLOOKUP($A13,平滑数据导入!$A$1:$AN$61,COLUMN(平滑数据导入!S$1),0)</f>
        <v>585461.06639077037</v>
      </c>
      <c r="AO13" s="84">
        <f>VLOOKUP($A13,平滑数据导入!$A$1:$AN$61,COLUMN(平滑数据导入!T$1),0)</f>
        <v>591324.45151759789</v>
      </c>
      <c r="AP13" s="83">
        <f>VLOOKUP($A13,平滑数据导入!$A$1:$AN$61,COLUMN(平滑数据导入!U$1),0)</f>
        <v>596396.74010938278</v>
      </c>
      <c r="AQ13" s="81">
        <f>VLOOKUP($A13,平滑数据导入!$A$1:$AN$61,COLUMN(平滑数据导入!V$1),0)</f>
        <v>600722.1638949794</v>
      </c>
      <c r="AR13" s="81">
        <f>VLOOKUP($A13,平滑数据导入!$A$1:$AN$61,COLUMN(平滑数据导入!W$1),0)</f>
        <v>604350.51862431015</v>
      </c>
      <c r="AS13" s="81">
        <f>VLOOKUP($A13,平滑数据导入!$A$1:$AN$61,COLUMN(平滑数据导入!X$1),0)</f>
        <v>607336.30979722366</v>
      </c>
      <c r="AT13" s="84">
        <f>VLOOKUP($A13,平滑数据导入!$A$1:$AN$61,COLUMN(平滑数据导入!Y$1),0)</f>
        <v>609737.93333101622</v>
      </c>
      <c r="AU13" s="83">
        <f>VLOOKUP($A13,平滑数据导入!$A$1:$AN$61,COLUMN(平滑数据导入!Z$1),0)</f>
        <v>611616.91022999573</v>
      </c>
      <c r="AV13" s="81">
        <f>VLOOKUP($A13,平滑数据导入!$A$1:$AN$61,COLUMN(平滑数据导入!AA$1),0)</f>
        <v>613037.19114304206</v>
      </c>
      <c r="AW13" s="81">
        <f>VLOOKUP($A13,平滑数据导入!$A$1:$AN$61,COLUMN(平滑数据导入!AB$1),0)</f>
        <v>614064.54360577918</v>
      </c>
      <c r="AX13" s="81">
        <f>VLOOKUP($A13,平滑数据导入!$A$1:$AN$61,COLUMN(平滑数据导入!AC$1),0)</f>
        <v>614766.03191017942</v>
      </c>
      <c r="AY13" s="139">
        <f>AY4</f>
        <v>615209.59704701824</v>
      </c>
      <c r="AZ13" s="83">
        <f>VLOOKUP($A13,平滑数据导入!$A$1:$AN$61,COLUMN(平滑数据导入!AE$1),0)</f>
        <v>615463.74212122103</v>
      </c>
      <c r="BA13" s="81">
        <f>VLOOKUP($A13,平滑数据导入!$A$1:$AN$61,COLUMN(平滑数据导入!AF$1),0)</f>
        <v>615597.32712078001</v>
      </c>
      <c r="BB13" s="81">
        <f>VLOOKUP($A13,平滑数据导入!$A$1:$AN$61,COLUMN(平滑数据导入!AG$1),0)</f>
        <v>615679.47598400037</v>
      </c>
      <c r="BC13" s="81">
        <f>VLOOKUP($A13,平滑数据导入!$A$1:$AN$61,COLUMN(平滑数据导入!AH$1),0)</f>
        <v>615779.59860477305</v>
      </c>
      <c r="BD13" s="84">
        <f>VLOOKUP($A13,平滑数据导入!$A$1:$AN$61,COLUMN(平滑数据导入!AI$1),0)</f>
        <v>615967.53078656411</v>
      </c>
      <c r="BE13" s="83">
        <f>VLOOKUP($A13,平滑数据导入!$A$1:$AN$61,COLUMN(平滑数据导入!AJ$1),0)</f>
        <v>616313.79625456827</v>
      </c>
      <c r="BF13" s="81">
        <f>VLOOKUP($A13,平滑数据导入!$A$1:$AN$61,COLUMN(平滑数据导入!AK$1),0)</f>
        <v>616889.99673055205</v>
      </c>
      <c r="BG13" s="81">
        <f>VLOOKUP($A13,平滑数据导入!$A$1:$AN$61,COLUMN(平滑数据导入!AL$1),0)</f>
        <v>617769.33886349003</v>
      </c>
      <c r="BH13" s="81">
        <f>VLOOKUP($A13,平滑数据导入!$A$1:$AN$61,COLUMN(平滑数据导入!AM$1),0)</f>
        <v>619027.31063174584</v>
      </c>
      <c r="BI13" s="139">
        <f t="shared" si="8"/>
        <v>620742.52489113936</v>
      </c>
    </row>
    <row r="14" spans="1:65" x14ac:dyDescent="0.2">
      <c r="A14" s="29" t="s">
        <v>71</v>
      </c>
      <c r="B14" s="22"/>
      <c r="C14" s="23"/>
      <c r="D14" s="23"/>
      <c r="E14" s="23"/>
      <c r="F14" s="24"/>
      <c r="G14" s="22"/>
      <c r="H14" s="23"/>
      <c r="I14" s="23">
        <f>'增加值 (2001-2022, 当年价) '!I14*I$77</f>
        <v>11675.691302555673</v>
      </c>
      <c r="J14" s="23">
        <f>'增加值 (2001-2022, 当年价) '!J14*J$77</f>
        <v>11986.509173068849</v>
      </c>
      <c r="K14" s="24">
        <f>'增加值 (2001-2022, 当年价) '!K14*K$77</f>
        <v>13642.402547215563</v>
      </c>
      <c r="L14" s="22">
        <f>'增加值 (2001-2022, 当年价) '!L14*L$77</f>
        <v>15284.767301525537</v>
      </c>
      <c r="M14" s="23">
        <f>'增加值 (2001-2022, 当年价) '!M14*M$77</f>
        <v>15977.00058411059</v>
      </c>
      <c r="N14" s="23">
        <f>'增加值 (2001-2022, 当年价) '!N14*N$77</f>
        <v>16042.647349483059</v>
      </c>
      <c r="O14" s="23">
        <f>'增加值 (2001-2022, 当年价) '!O14*O$77</f>
        <v>15765.052945342293</v>
      </c>
      <c r="P14" s="23">
        <f>'增加值 (2001-2022, 当年价) '!P14*P$77</f>
        <v>15240.595553465613</v>
      </c>
      <c r="Q14" s="22">
        <f>'增加值 (2001-2022, 当年价) '!Q14*Q$77</f>
        <v>14649.973762874</v>
      </c>
      <c r="R14" s="23">
        <f>'增加值 (2001-2022, 当年价) '!R14*R$77</f>
        <v>14517.447248030725</v>
      </c>
      <c r="S14" s="23">
        <f>'增加值 (2001-2022, 当年价) '!S14*S$77</f>
        <v>14773.011258582617</v>
      </c>
      <c r="T14" s="23">
        <f>'增加值 (2001-2022, 当年价) '!T14*T$77</f>
        <v>15027.04880806837</v>
      </c>
      <c r="U14" s="24">
        <f>'增加值 (2001-2022, 当年价) '!U14*U$77</f>
        <v>14783.756200003678</v>
      </c>
      <c r="V14" s="23">
        <f>'增加值 (2001-2022, 当年价) '!V14*V$77</f>
        <v>16423.99901838032</v>
      </c>
      <c r="W14" s="23">
        <f>'增加值 (2001-2022, 当年价) '!W14*W$77</f>
        <v>18002.06128553487</v>
      </c>
      <c r="X14" s="98">
        <f>VLOOKUP($A14,平滑数据导入!$A$1:$AN$61,COLUMN(平滑数据导入!C$1),0)</f>
        <v>18307.704086688758</v>
      </c>
      <c r="Y14" s="98">
        <f>VLOOKUP($A14,平滑数据导入!$A$1:$AN$61,COLUMN(平滑数据导入!D$1),0)</f>
        <v>18640.84670933599</v>
      </c>
      <c r="Z14" s="140">
        <f>VLOOKUP(A14,情景假设!$B$48:$S$88,14,0)/情景假设!O$47*Z$13</f>
        <v>18989.430815221534</v>
      </c>
      <c r="AA14" s="100">
        <f>VLOOKUP($A14,平滑数据导入!$A$1:$AN$61,COLUMN(平滑数据导入!F$1),0)</f>
        <v>19340.481415718819</v>
      </c>
      <c r="AB14" s="98">
        <f>VLOOKUP($A14,平滑数据导入!$A$1:$AN$61,COLUMN(平滑数据导入!G$1),0)</f>
        <v>19680.045218854619</v>
      </c>
      <c r="AC14" s="98">
        <f>VLOOKUP($A14,平滑数据导入!$A$1:$AN$61,COLUMN(平滑数据导入!H$1),0)</f>
        <v>19993.224459263249</v>
      </c>
      <c r="AD14" s="98">
        <f>VLOOKUP($A14,平滑数据导入!$A$1:$AN$61,COLUMN(平滑数据导入!I$1),0)</f>
        <v>20264.317824808651</v>
      </c>
      <c r="AE14" s="132">
        <f>VLOOKUP(A14,情景假设!$B$48:$S$88,15,0)/情景假设!P$47*AE$13</f>
        <v>20477.078278073481</v>
      </c>
      <c r="AF14" s="98">
        <f>VLOOKUP($A14,平滑数据导入!$A$1:$AN$61,COLUMN(平滑数据导入!K$1),0)</f>
        <v>20619.056590203589</v>
      </c>
      <c r="AG14" s="98">
        <f>VLOOKUP($A14,平滑数据导入!$A$1:$AN$61,COLUMN(平滑数据导入!L$1),0)</f>
        <v>20694.086721499822</v>
      </c>
      <c r="AH14" s="98">
        <f>VLOOKUP($A14,平滑数据导入!$A$1:$AN$61,COLUMN(平滑数据导入!M$1),0)</f>
        <v>20710.74743434865</v>
      </c>
      <c r="AI14" s="98">
        <f>VLOOKUP($A14,平滑数据导入!$A$1:$AN$61,COLUMN(平滑数据导入!N$1),0)</f>
        <v>20678.197239451019</v>
      </c>
      <c r="AJ14" s="140">
        <f>VLOOKUP(A14,情景假设!$B$48:$S$88,16,0)/情景假设!Q$47*AJ$13</f>
        <v>20605.935087193593</v>
      </c>
      <c r="AK14" s="100">
        <f>VLOOKUP($A14,平滑数据导入!$A$1:$AN$61,COLUMN(平滑数据导入!P$1),0)</f>
        <v>20502.317491829119</v>
      </c>
      <c r="AL14" s="98">
        <f>VLOOKUP($A14,平滑数据导入!$A$1:$AN$61,COLUMN(平滑数据导入!Q$1),0)</f>
        <v>20370.618687914099</v>
      </c>
      <c r="AM14" s="98">
        <f>VLOOKUP($A14,平滑数据导入!$A$1:$AN$61,COLUMN(平滑数据导入!R$1),0)</f>
        <v>20212.90091877407</v>
      </c>
      <c r="AN14" s="98">
        <f>VLOOKUP($A14,平滑数据导入!$A$1:$AN$61,COLUMN(平滑数据导入!S$1),0)</f>
        <v>20031.282831085729</v>
      </c>
      <c r="AO14" s="99">
        <f>VLOOKUP($A14,平滑数据导入!$A$1:$AN$61,COLUMN(平滑数据导入!T$1),0)</f>
        <v>19827.916998306071</v>
      </c>
      <c r="AP14" s="98">
        <f>VLOOKUP($A14,平滑数据导入!$A$1:$AN$61,COLUMN(平滑数据导入!U$1),0)</f>
        <v>19604.96900725516</v>
      </c>
      <c r="AQ14" s="98">
        <f>VLOOKUP($A14,平滑数据导入!$A$1:$AN$61,COLUMN(平滑数据导入!V$1),0)</f>
        <v>19364.598272147108</v>
      </c>
      <c r="AR14" s="98">
        <f>VLOOKUP($A14,平滑数据导入!$A$1:$AN$61,COLUMN(平滑数据导入!W$1),0)</f>
        <v>19108.940693350509</v>
      </c>
      <c r="AS14" s="98">
        <f>VLOOKUP($A14,平滑数据导入!$A$1:$AN$61,COLUMN(平滑数据导入!X$1),0)</f>
        <v>18840.093234257321</v>
      </c>
      <c r="AT14" s="98">
        <f>VLOOKUP($A14,平滑数据导入!$A$1:$AN$61,COLUMN(平滑数据导入!Y$1),0)</f>
        <v>18560.100449508071</v>
      </c>
      <c r="AU14" s="100">
        <f>VLOOKUP($A14,平滑数据导入!$A$1:$AN$61,COLUMN(平滑数据导入!Z$1),0)</f>
        <v>18270.9429619291</v>
      </c>
      <c r="AV14" s="98">
        <f>VLOOKUP($A14,平滑数据导入!$A$1:$AN$61,COLUMN(平滑数据导入!AA$1),0)</f>
        <v>17974.527854176249</v>
      </c>
      <c r="AW14" s="98">
        <f>VLOOKUP($A14,平滑数据导入!$A$1:$AN$61,COLUMN(平滑数据导入!AB$1),0)</f>
        <v>17672.680914394899</v>
      </c>
      <c r="AX14" s="98">
        <f>VLOOKUP($A14,平滑数据导入!$A$1:$AN$61,COLUMN(平滑数据导入!AC$1),0)</f>
        <v>17367.140653188559</v>
      </c>
      <c r="AY14" s="132">
        <f>VLOOKUP(A14,情景假设!$B$48:$S$88,17,0)/情景假设!R$47*AY$13</f>
        <v>17059.553991726782</v>
      </c>
      <c r="AZ14" s="100">
        <f>VLOOKUP($A14,平滑数据导入!$A$1:$AN$61,COLUMN(平滑数据导入!AE$1),0)</f>
        <v>16751.473507705599</v>
      </c>
      <c r="BA14" s="98">
        <f>VLOOKUP($A14,平滑数据导入!$A$1:$AN$61,COLUMN(平滑数据导入!AF$1),0)</f>
        <v>16444.356116809191</v>
      </c>
      <c r="BB14" s="98">
        <f>VLOOKUP($A14,平滑数据导入!$A$1:$AN$61,COLUMN(平滑数据导入!AG$1),0)</f>
        <v>16139.56306197376</v>
      </c>
      <c r="BC14" s="98">
        <f>VLOOKUP($A14,平滑数据导入!$A$1:$AN$61,COLUMN(平滑数据导入!AH$1),0)</f>
        <v>15838.361080744129</v>
      </c>
      <c r="BD14" s="99">
        <f>VLOOKUP($A14,平滑数据导入!$A$1:$AN$61,COLUMN(平滑数据导入!AI$1),0)</f>
        <v>15541.924621946901</v>
      </c>
      <c r="BE14" s="98">
        <f>VLOOKUP($A14,平滑数据导入!$A$1:$AN$61,COLUMN(平滑数据导入!AJ$1),0)</f>
        <v>15251.338986381459</v>
      </c>
      <c r="BF14" s="98">
        <f>VLOOKUP($A14,平滑数据导入!$A$1:$AN$61,COLUMN(平滑数据导入!AK$1),0)</f>
        <v>14967.60427185862</v>
      </c>
      <c r="BG14" s="98">
        <f>VLOOKUP($A14,平滑数据导入!$A$1:$AN$61,COLUMN(平滑数据导入!AL$1),0)</f>
        <v>14691.640010328079</v>
      </c>
      <c r="BH14" s="98">
        <f>VLOOKUP($A14,平滑数据导入!$A$1:$AN$61,COLUMN(平滑数据导入!AM$1),0)</f>
        <v>14424.290393678641</v>
      </c>
      <c r="BI14" s="132">
        <f>VLOOKUP(A14,情景假设!$B$48:$S$88,18,0)/情景假设!S$47*BI$13</f>
        <v>14166.329994763051</v>
      </c>
    </row>
    <row r="15" spans="1:65" x14ac:dyDescent="0.2">
      <c r="A15" s="30" t="s">
        <v>72</v>
      </c>
      <c r="B15" s="19"/>
      <c r="C15" s="20"/>
      <c r="D15" s="20"/>
      <c r="E15" s="20"/>
      <c r="F15" s="21"/>
      <c r="G15" s="19"/>
      <c r="H15" s="20"/>
      <c r="I15" s="20">
        <f>'增加值 (2001-2022, 当年价) '!I15*I$77</f>
        <v>12283.179582633313</v>
      </c>
      <c r="J15" s="20">
        <f>'增加值 (2001-2022, 当年价) '!J15*J$77</f>
        <v>12202.638496028681</v>
      </c>
      <c r="K15" s="21">
        <f>'增加值 (2001-2022, 当年价) '!K15*K$77</f>
        <v>11826.461249538334</v>
      </c>
      <c r="L15" s="19">
        <f>'增加值 (2001-2022, 当年价) '!L15*L$77</f>
        <v>11943.371736968709</v>
      </c>
      <c r="M15" s="20">
        <f>'增加值 (2001-2022, 当年价) '!M15*M$77</f>
        <v>11733.855261453687</v>
      </c>
      <c r="N15" s="20">
        <f>'增加值 (2001-2022, 当年价) '!N15*N$77</f>
        <v>11403.079682203779</v>
      </c>
      <c r="O15" s="20">
        <f>'增加值 (2001-2022, 当年价) '!O15*O$77</f>
        <v>11315.090716981736</v>
      </c>
      <c r="P15" s="20">
        <f>'增加值 (2001-2022, 当年价) '!P15*P$77</f>
        <v>11185.568962035375</v>
      </c>
      <c r="Q15" s="19">
        <f>'增加值 (2001-2022, 当年价) '!Q15*Q$77</f>
        <v>10904.914030827651</v>
      </c>
      <c r="R15" s="20">
        <f>'增加值 (2001-2022, 当年价) '!R15*R$77</f>
        <v>10740.037662864512</v>
      </c>
      <c r="S15" s="20">
        <f>'增加值 (2001-2022, 当年价) '!S15*S$77</f>
        <v>10907.716769371638</v>
      </c>
      <c r="T15" s="20">
        <f>'增加值 (2001-2022, 当年价) '!T15*T$77</f>
        <v>10905.983026745087</v>
      </c>
      <c r="U15" s="21">
        <f>'增加值 (2001-2022, 当年价) '!U15*U$77</f>
        <v>10602.811030571023</v>
      </c>
      <c r="V15" s="20">
        <f>'增加值 (2001-2022, 当年价) '!V15*V$77</f>
        <v>11470.075268301911</v>
      </c>
      <c r="W15" s="20">
        <f>'增加值 (2001-2022, 当年价) '!W15*W$77</f>
        <v>12304.162743704102</v>
      </c>
      <c r="X15" s="90">
        <f>VLOOKUP($A15,平滑数据导入!$A$1:$AN$61,COLUMN(平滑数据导入!C$1),0)</f>
        <v>12376.746330509141</v>
      </c>
      <c r="Y15" s="90">
        <f>VLOOKUP($A15,平滑数据导入!$A$1:$AN$61,COLUMN(平滑数据导入!D$1),0)</f>
        <v>12456.25389273695</v>
      </c>
      <c r="Z15" s="141">
        <f>VLOOKUP(A15,情景假设!$B$48:$S$88,14,0)/情景假设!O$47*Z$13</f>
        <v>12537.169506699927</v>
      </c>
      <c r="AA15" s="89">
        <f>VLOOKUP($A15,平滑数据导入!$A$1:$AN$61,COLUMN(平滑数据导入!F$1),0)</f>
        <v>12613.83579115547</v>
      </c>
      <c r="AB15" s="90">
        <f>VLOOKUP($A15,平滑数据导入!$A$1:$AN$61,COLUMN(平滑数据导入!G$1),0)</f>
        <v>12680.46042154594</v>
      </c>
      <c r="AC15" s="90">
        <f>VLOOKUP($A15,平滑数据导入!$A$1:$AN$61,COLUMN(平滑数据导入!H$1),0)</f>
        <v>12731.148755094369</v>
      </c>
      <c r="AD15" s="90">
        <f>VLOOKUP($A15,平滑数据导入!$A$1:$AN$61,COLUMN(平滑数据导入!I$1),0)</f>
        <v>12759.963366001461</v>
      </c>
      <c r="AE15" s="133">
        <f>VLOOKUP(A15,情景假设!$B$48:$S$88,15,0)/情景假设!P$47*AE$13</f>
        <v>12761.010700926092</v>
      </c>
      <c r="AF15" s="90">
        <f>VLOOKUP($A15,平滑数据导入!$A$1:$AN$61,COLUMN(平滑数据导入!K$1),0)</f>
        <v>12730.378793477939</v>
      </c>
      <c r="AG15" s="90">
        <f>VLOOKUP($A15,平滑数据导入!$A$1:$AN$61,COLUMN(平滑数据导入!L$1),0)</f>
        <v>12671.67411406135</v>
      </c>
      <c r="AH15" s="90">
        <f>VLOOKUP($A15,平滑数据导入!$A$1:$AN$61,COLUMN(平滑数据导入!M$1),0)</f>
        <v>12590.446728624809</v>
      </c>
      <c r="AI15" s="90">
        <f>VLOOKUP($A15,平滑数据导入!$A$1:$AN$61,COLUMN(平滑数据导入!N$1),0)</f>
        <v>12492.254392312499</v>
      </c>
      <c r="AJ15" s="141">
        <f>VLOOKUP(A15,情景假设!$B$48:$S$88,16,0)/情景假设!Q$47*AJ$13</f>
        <v>12382.578634548026</v>
      </c>
      <c r="AK15" s="89">
        <f>VLOOKUP($A15,平滑数据导入!$A$1:$AN$61,COLUMN(平滑数据导入!P$1),0)</f>
        <v>12265.95939381119</v>
      </c>
      <c r="AL15" s="90">
        <f>VLOOKUP($A15,平滑数据导入!$A$1:$AN$61,COLUMN(平滑数据导入!Q$1),0)</f>
        <v>12143.60558779832</v>
      </c>
      <c r="AM15" s="90">
        <f>VLOOKUP($A15,平滑数据导入!$A$1:$AN$61,COLUMN(平滑数据导入!R$1),0)</f>
        <v>12015.90633518691</v>
      </c>
      <c r="AN15" s="90">
        <f>VLOOKUP($A15,平滑数据导入!$A$1:$AN$61,COLUMN(平滑数据导入!S$1),0)</f>
        <v>11883.24943352524</v>
      </c>
      <c r="AO15" s="101">
        <f>VLOOKUP($A15,平滑数据导入!$A$1:$AN$61,COLUMN(平滑数据导入!T$1),0)</f>
        <v>11746.02004429609</v>
      </c>
      <c r="AP15" s="90">
        <f>VLOOKUP($A15,平滑数据导入!$A$1:$AN$61,COLUMN(平滑数据导入!U$1),0)</f>
        <v>11604.599461388691</v>
      </c>
      <c r="AQ15" s="90">
        <f>VLOOKUP($A15,平滑数据导入!$A$1:$AN$61,COLUMN(平滑数据导入!V$1),0)</f>
        <v>11459.36396511095</v>
      </c>
      <c r="AR15" s="90">
        <f>VLOOKUP($A15,平滑数据导入!$A$1:$AN$61,COLUMN(平滑数据导入!W$1),0)</f>
        <v>11310.683763139081</v>
      </c>
      <c r="AS15" s="90">
        <f>VLOOKUP($A15,平滑数据导入!$A$1:$AN$61,COLUMN(平滑数据导入!X$1),0)</f>
        <v>11158.92201911377</v>
      </c>
      <c r="AT15" s="90">
        <f>VLOOKUP($A15,平滑数据导入!$A$1:$AN$61,COLUMN(平滑数据导入!Y$1),0)</f>
        <v>11004.43396894434</v>
      </c>
      <c r="AU15" s="89">
        <f>VLOOKUP($A15,平滑数据导入!$A$1:$AN$61,COLUMN(平滑数据导入!Z$1),0)</f>
        <v>10847.566124285529</v>
      </c>
      <c r="AV15" s="90">
        <f>VLOOKUP($A15,平滑数据导入!$A$1:$AN$61,COLUMN(平滑数据导入!AA$1),0)</f>
        <v>10688.65556210204</v>
      </c>
      <c r="AW15" s="90">
        <f>VLOOKUP($A15,平滑数据导入!$A$1:$AN$61,COLUMN(平滑数据导入!AB$1),0)</f>
        <v>10528.029298736299</v>
      </c>
      <c r="AX15" s="90">
        <f>VLOOKUP($A15,平滑数据导入!$A$1:$AN$61,COLUMN(平滑数据导入!AC$1),0)</f>
        <v>10366.00374644739</v>
      </c>
      <c r="AY15" s="133">
        <f>VLOOKUP(A15,情景假设!$B$48:$S$88,17,0)/情景假设!R$47*AY$13</f>
        <v>10202.884249991417</v>
      </c>
      <c r="AZ15" s="89">
        <f>VLOOKUP($A15,平滑数据导入!$A$1:$AN$61,COLUMN(平滑数据导入!AE$1),0)</f>
        <v>10038.96470046471</v>
      </c>
      <c r="BA15" s="90">
        <f>VLOOKUP($A15,平滑数据导入!$A$1:$AN$61,COLUMN(平滑数据导入!AF$1),0)</f>
        <v>9874.5272233338219</v>
      </c>
      <c r="BB15" s="90">
        <f>VLOOKUP($A15,平滑数据导入!$A$1:$AN$61,COLUMN(平滑数据导入!AG$1),0)</f>
        <v>9709.8419373240486</v>
      </c>
      <c r="BC15" s="90">
        <f>VLOOKUP($A15,平滑数据导入!$A$1:$AN$61,COLUMN(平滑数据导入!AH$1),0)</f>
        <v>9545.166780632655</v>
      </c>
      <c r="BD15" s="101">
        <f>VLOOKUP($A15,平滑数据导入!$A$1:$AN$61,COLUMN(平滑数据导入!AI$1),0)</f>
        <v>9380.7474007711353</v>
      </c>
      <c r="BE15" s="90">
        <f>VLOOKUP($A15,平滑数据导入!$A$1:$AN$61,COLUMN(平滑数据导入!AJ$1),0)</f>
        <v>9216.817104219419</v>
      </c>
      <c r="BF15" s="90">
        <f>VLOOKUP($A15,平滑数据导入!$A$1:$AN$61,COLUMN(平滑数据导入!AK$1),0)</f>
        <v>9053.5968619937648</v>
      </c>
      <c r="BG15" s="90">
        <f>VLOOKUP($A15,平滑数据导入!$A$1:$AN$61,COLUMN(平滑数据导入!AL$1),0)</f>
        <v>8891.2953671825962</v>
      </c>
      <c r="BH15" s="90">
        <f>VLOOKUP($A15,平滑数据导入!$A$1:$AN$61,COLUMN(平滑数据导入!AM$1),0)</f>
        <v>8730.1091404930467</v>
      </c>
      <c r="BI15" s="133">
        <f>VLOOKUP(A15,情景假设!$B$48:$S$88,18,0)/情景假设!S$47*BI$13</f>
        <v>8570.2226798680622</v>
      </c>
    </row>
    <row r="16" spans="1:65" x14ac:dyDescent="0.2">
      <c r="A16" s="30" t="s">
        <v>73</v>
      </c>
      <c r="B16" s="19"/>
      <c r="C16" s="20"/>
      <c r="D16" s="20"/>
      <c r="E16" s="20"/>
      <c r="F16" s="21"/>
      <c r="G16" s="19"/>
      <c r="H16" s="20"/>
      <c r="I16" s="20">
        <f>'增加值 (2001-2022, 当年价) '!I16*I$77</f>
        <v>2043.0118588044513</v>
      </c>
      <c r="J16" s="20">
        <f>'增加值 (2001-2022, 当年价) '!J16*J$77</f>
        <v>2426.630321654618</v>
      </c>
      <c r="K16" s="21">
        <f>'增加值 (2001-2022, 当年价) '!K16*K$77</f>
        <v>2841.9828585560304</v>
      </c>
      <c r="L16" s="19">
        <f>'增加值 (2001-2022, 当年价) '!L16*L$77</f>
        <v>3276.9674000897576</v>
      </c>
      <c r="M16" s="20">
        <f>'增加值 (2001-2022, 当年价) '!M16*M$77</f>
        <v>3762.3007435323352</v>
      </c>
      <c r="N16" s="20">
        <f>'增加值 (2001-2022, 当年价) '!N16*N$77</f>
        <v>4110.1450364962056</v>
      </c>
      <c r="O16" s="20">
        <f>'增加值 (2001-2022, 当年价) '!O16*O$77</f>
        <v>4358.206514887198</v>
      </c>
      <c r="P16" s="20">
        <f>'增加值 (2001-2022, 当年价) '!P16*P$77</f>
        <v>4238.0296569708398</v>
      </c>
      <c r="Q16" s="19">
        <f>'增加值 (2001-2022, 当年价) '!Q16*Q$77</f>
        <v>4028.2983329052572</v>
      </c>
      <c r="R16" s="20">
        <f>'增加值 (2001-2022, 当年价) '!R16*R$77</f>
        <v>3963.3151687311879</v>
      </c>
      <c r="S16" s="20">
        <f>'增加值 (2001-2022, 当年价) '!S16*S$77</f>
        <v>3760.7926246739084</v>
      </c>
      <c r="T16" s="20">
        <f>'增加值 (2001-2022, 当年价) '!T16*T$77</f>
        <v>3883.4799374977438</v>
      </c>
      <c r="U16" s="21">
        <f>'增加值 (2001-2022, 当年价) '!U16*U$77</f>
        <v>3696.6327461554224</v>
      </c>
      <c r="V16" s="103">
        <f>'增加值 (2001-2022, 当年价) '!V16*V$77</f>
        <v>3979.7568976278721</v>
      </c>
      <c r="W16" s="103">
        <f>'增加值 (2001-2022, 当年价) '!W16*W$77</f>
        <v>4568.3236898109044</v>
      </c>
      <c r="X16" s="90">
        <f>VLOOKUP($A16,平滑数据导入!$A$1:$AN$61,COLUMN(平滑数据导入!C$1),0)</f>
        <v>4601.6267244596311</v>
      </c>
      <c r="Y16" s="90">
        <f>VLOOKUP($A16,平滑数据导入!$A$1:$AN$61,COLUMN(平滑数据导入!D$1),0)</f>
        <v>4624.7402479686052</v>
      </c>
      <c r="Z16" s="141">
        <f>VLOOKUP(A16,情景假设!$B$48:$S$88,14,0)/情景假设!O$47*Z$13</f>
        <v>4638.3804758833439</v>
      </c>
      <c r="AA16" s="89">
        <f>VLOOKUP($A16,平滑数据导入!$A$1:$AN$61,COLUMN(平滑数据导入!F$1),0)</f>
        <v>4643.3357326490559</v>
      </c>
      <c r="AB16" s="90">
        <f>VLOOKUP($A16,平滑数据导入!$A$1:$AN$61,COLUMN(平滑数据导入!G$1),0)</f>
        <v>4640.4502313446492</v>
      </c>
      <c r="AC16" s="90">
        <f>VLOOKUP($A16,平滑数据导入!$A$1:$AN$61,COLUMN(平滑数据导入!H$1),0)</f>
        <v>4630.6088220406236</v>
      </c>
      <c r="AD16" s="90">
        <f>VLOOKUP($A16,平滑数据导入!$A$1:$AN$61,COLUMN(平滑数据导入!I$1),0)</f>
        <v>4614.723009450081</v>
      </c>
      <c r="AE16" s="133">
        <f>VLOOKUP(A16,情景假设!$B$48:$S$88,15,0)/情景假设!P$47*AE$13</f>
        <v>4593.718468291695</v>
      </c>
      <c r="AF16" s="90">
        <f>VLOOKUP($A16,平滑数据导入!$A$1:$AN$61,COLUMN(平滑数据导入!K$1),0)</f>
        <v>4568.350942247529</v>
      </c>
      <c r="AG16" s="90">
        <f>VLOOKUP($A16,平滑数据导入!$A$1:$AN$61,COLUMN(平滑数据导入!L$1),0)</f>
        <v>4538.6861694934678</v>
      </c>
      <c r="AH16" s="90">
        <f>VLOOKUP($A16,平滑数据导入!$A$1:$AN$61,COLUMN(平滑数据导入!M$1),0)</f>
        <v>4504.6313274543772</v>
      </c>
      <c r="AI16" s="90">
        <f>VLOOKUP($A16,平滑数据导入!$A$1:$AN$61,COLUMN(平滑数据导入!N$1),0)</f>
        <v>4466.1113553227569</v>
      </c>
      <c r="AJ16" s="141">
        <f>VLOOKUP(A16,情景假设!$B$48:$S$88,16,0)/情景假设!Q$47*AJ$13</f>
        <v>4423.0701771722361</v>
      </c>
      <c r="AK16" s="89">
        <f>VLOOKUP($A16,平滑数据导入!$A$1:$AN$61,COLUMN(平滑数据导入!P$1),0)</f>
        <v>4375.5424662579671</v>
      </c>
      <c r="AL16" s="90">
        <f>VLOOKUP($A16,平滑数据导入!$A$1:$AN$61,COLUMN(平滑数据导入!Q$1),0)</f>
        <v>4323.859852260287</v>
      </c>
      <c r="AM16" s="90">
        <f>VLOOKUP($A16,平滑数据导入!$A$1:$AN$61,COLUMN(平滑数据导入!R$1),0)</f>
        <v>4268.4264171792202</v>
      </c>
      <c r="AN16" s="90">
        <f>VLOOKUP($A16,平滑数据导入!$A$1:$AN$61,COLUMN(平滑数据导入!S$1),0)</f>
        <v>4209.6435705796112</v>
      </c>
      <c r="AO16" s="101">
        <f>VLOOKUP($A16,平滑数据导入!$A$1:$AN$61,COLUMN(平滑数据导入!T$1),0)</f>
        <v>4147.9072911080111</v>
      </c>
      <c r="AP16" s="90">
        <f>VLOOKUP($A16,平滑数据导入!$A$1:$AN$61,COLUMN(平滑数据导入!U$1),0)</f>
        <v>4083.6056566917882</v>
      </c>
      <c r="AQ16" s="90">
        <f>VLOOKUP($A16,平滑数据导入!$A$1:$AN$61,COLUMN(平滑数据导入!V$1),0)</f>
        <v>4017.116667580256</v>
      </c>
      <c r="AR16" s="90">
        <f>VLOOKUP($A16,平滑数据导入!$A$1:$AN$61,COLUMN(平滑数据导入!W$1),0)</f>
        <v>3948.8063617179678</v>
      </c>
      <c r="AS16" s="90">
        <f>VLOOKUP($A16,平滑数据导入!$A$1:$AN$61,COLUMN(平滑数据导入!X$1),0)</f>
        <v>3879.0272178041992</v>
      </c>
      <c r="AT16" s="90">
        <f>VLOOKUP($A16,平滑数据导入!$A$1:$AN$61,COLUMN(平滑数据导入!Y$1),0)</f>
        <v>3808.1168378114739</v>
      </c>
      <c r="AU16" s="89">
        <f>VLOOKUP($A16,平滑数据导入!$A$1:$AN$61,COLUMN(平滑数据导入!Z$1),0)</f>
        <v>3736.396897710481</v>
      </c>
      <c r="AV16" s="90">
        <f>VLOOKUP($A16,平滑数据导入!$A$1:$AN$61,COLUMN(平滑数据导入!AA$1),0)</f>
        <v>3664.1723526724409</v>
      </c>
      <c r="AW16" s="90">
        <f>VLOOKUP($A16,平滑数据导入!$A$1:$AN$61,COLUMN(平滑数据导入!AB$1),0)</f>
        <v>3591.7308810707341</v>
      </c>
      <c r="AX16" s="90">
        <f>VLOOKUP($A16,平滑数据导入!$A$1:$AN$61,COLUMN(平滑数据导入!AC$1),0)</f>
        <v>3519.3425501551728</v>
      </c>
      <c r="AY16" s="133">
        <f>VLOOKUP(A16,情景假设!$B$48:$S$88,17,0)/情景假设!R$47*AY$13</f>
        <v>3447.259685287142</v>
      </c>
      <c r="AZ16" s="89">
        <f>VLOOKUP($A16,平滑数据导入!$A$1:$AN$61,COLUMN(平滑数据导入!AE$1),0)</f>
        <v>3375.7169240642529</v>
      </c>
      <c r="BA16" s="90">
        <f>VLOOKUP($A16,平滑数据导入!$A$1:$AN$61,COLUMN(平滑数据导入!AF$1),0)</f>
        <v>3304.9314364832112</v>
      </c>
      <c r="BB16" s="90">
        <f>VLOOKUP($A16,平滑数据导入!$A$1:$AN$61,COLUMN(平滑数据导入!AG$1),0)</f>
        <v>3235.10329244679</v>
      </c>
      <c r="BC16" s="90">
        <f>VLOOKUP($A16,平滑数据导入!$A$1:$AN$61,COLUMN(平滑数据导入!AH$1),0)</f>
        <v>3166.4159583674882</v>
      </c>
      <c r="BD16" s="101">
        <f>VLOOKUP($A16,平滑数据导入!$A$1:$AN$61,COLUMN(平滑数据导入!AI$1),0)</f>
        <v>3099.0369053135032</v>
      </c>
      <c r="BE16" s="90">
        <f>VLOOKUP($A16,平滑数据导入!$A$1:$AN$61,COLUMN(平滑数据导入!AJ$1),0)</f>
        <v>3033.1183120386681</v>
      </c>
      <c r="BF16" s="90">
        <f>VLOOKUP($A16,平滑数据导入!$A$1:$AN$61,COLUMN(平滑数据导入!AK$1),0)</f>
        <v>2968.7978472964228</v>
      </c>
      <c r="BG16" s="90">
        <f>VLOOKUP($A16,平滑数据导入!$A$1:$AN$61,COLUMN(平滑数据导入!AL$1),0)</f>
        <v>2906.1995170221271</v>
      </c>
      <c r="BH16" s="90">
        <f>VLOOKUP($A16,平滑数据导入!$A$1:$AN$61,COLUMN(平滑数据导入!AM$1),0)</f>
        <v>2845.4345632433992</v>
      </c>
      <c r="BI16" s="133">
        <f>VLOOKUP(A16,情景假设!$B$48:$S$88,18,0)/情景假设!S$47*BI$13</f>
        <v>2786.6024029160612</v>
      </c>
    </row>
    <row r="17" spans="1:61" x14ac:dyDescent="0.2">
      <c r="A17" s="30" t="s">
        <v>74</v>
      </c>
      <c r="B17" s="19"/>
      <c r="C17" s="20"/>
      <c r="D17" s="20"/>
      <c r="E17" s="20"/>
      <c r="F17" s="21"/>
      <c r="G17" s="19"/>
      <c r="H17" s="20"/>
      <c r="I17" s="20">
        <f>'增加值 (2001-2022, 当年价) '!I17*I$77</f>
        <v>1310.7957571469735</v>
      </c>
      <c r="J17" s="20">
        <f>'增加值 (2001-2022, 当年价) '!J17*J$77</f>
        <v>1488.5845476631823</v>
      </c>
      <c r="K17" s="21">
        <f>'增加值 (2001-2022, 当年价) '!K17*K$77</f>
        <v>1607.4919993808442</v>
      </c>
      <c r="L17" s="19">
        <f>'增加值 (2001-2022, 当年价) '!L17*L$77</f>
        <v>1784.0220797573177</v>
      </c>
      <c r="M17" s="20">
        <f>'增加值 (2001-2022, 当年价) '!M17*M$77</f>
        <v>1958.22960476651</v>
      </c>
      <c r="N17" s="20">
        <f>'增加值 (2001-2022, 当年价) '!N17*N$77</f>
        <v>2036.9648259107798</v>
      </c>
      <c r="O17" s="20">
        <f>'增加值 (2001-2022, 当年价) '!O17*O$77</f>
        <v>2097.4100390948875</v>
      </c>
      <c r="P17" s="20">
        <f>'增加值 (2001-2022, 当年价) '!P17*P$77</f>
        <v>2075.3912020817443</v>
      </c>
      <c r="Q17" s="19">
        <f>'增加值 (2001-2022, 当年价) '!Q17*Q$77</f>
        <v>2075.9768918787054</v>
      </c>
      <c r="R17" s="20">
        <f>'增加值 (2001-2022, 当年价) '!R17*R$77</f>
        <v>2025.6773253510662</v>
      </c>
      <c r="S17" s="20">
        <f>'增加值 (2001-2022, 当年价) '!S17*S$77</f>
        <v>2047.2184433162315</v>
      </c>
      <c r="T17" s="20">
        <f>'增加值 (2001-2022, 当年价) '!T17*T$77</f>
        <v>2033.076023735219</v>
      </c>
      <c r="U17" s="21">
        <f>'增加值 (2001-2022, 当年价) '!U17*U$77</f>
        <v>1962.7921031386184</v>
      </c>
      <c r="V17" s="103">
        <f>'增加值 (2001-2022, 当年价) '!V17*V$77</f>
        <v>2008.8963000276083</v>
      </c>
      <c r="W17" s="103">
        <f>'增加值 (2001-2022, 当年价) '!W17*W$77</f>
        <v>2146.8175625414897</v>
      </c>
      <c r="X17" s="90">
        <f>VLOOKUP($A17,平滑数据导入!$A$1:$AN$61,COLUMN(平滑数据导入!C$1),0)</f>
        <v>2136.1669112190921</v>
      </c>
      <c r="Y17" s="90">
        <f>VLOOKUP($A17,平滑数据导入!$A$1:$AN$61,COLUMN(平滑数据导入!D$1),0)</f>
        <v>2123.2128253597289</v>
      </c>
      <c r="Z17" s="141">
        <f>VLOOKUP(A17,情景假设!$B$48:$S$88,14,0)/情景假设!O$47*Z$13</f>
        <v>2108.1143033711523</v>
      </c>
      <c r="AA17" s="89">
        <f>VLOOKUP($A17,平滑数据导入!$A$1:$AN$61,COLUMN(平滑数据导入!F$1),0)</f>
        <v>2091.033744422673</v>
      </c>
      <c r="AB17" s="90">
        <f>VLOOKUP($A17,平滑数据导入!$A$1:$AN$61,COLUMN(平滑数据导入!G$1),0)</f>
        <v>2072.1355802030939</v>
      </c>
      <c r="AC17" s="90">
        <f>VLOOKUP($A17,平滑数据导入!$A$1:$AN$61,COLUMN(平滑数据导入!H$1),0)</f>
        <v>2051.5849965982839</v>
      </c>
      <c r="AD17" s="90">
        <f>VLOOKUP($A17,平滑数据导入!$A$1:$AN$61,COLUMN(平滑数据导入!I$1),0)</f>
        <v>2029.54675313707</v>
      </c>
      <c r="AE17" s="133">
        <f>VLOOKUP(A17,情景假设!$B$48:$S$88,15,0)/情景假设!P$47*AE$13</f>
        <v>2006.1841059288483</v>
      </c>
      <c r="AF17" s="90">
        <f>VLOOKUP($A17,平滑数据导入!$A$1:$AN$61,COLUMN(平滑数据导入!K$1),0)</f>
        <v>1981.6232646593089</v>
      </c>
      <c r="AG17" s="90">
        <f>VLOOKUP($A17,平滑数据导入!$A$1:$AN$61,COLUMN(平滑数据导入!L$1),0)</f>
        <v>1955.852392674537</v>
      </c>
      <c r="AH17" s="90">
        <f>VLOOKUP($A17,平滑数据导入!$A$1:$AN$61,COLUMN(平滑数据导入!M$1),0)</f>
        <v>1928.83133594318</v>
      </c>
      <c r="AI17" s="90">
        <f>VLOOKUP($A17,平滑数据导入!$A$1:$AN$61,COLUMN(平滑数据导入!N$1),0)</f>
        <v>1900.5274290608529</v>
      </c>
      <c r="AJ17" s="141">
        <f>VLOOKUP(A17,情景假设!$B$48:$S$88,16,0)/情景假设!Q$47*AJ$13</f>
        <v>1870.9158739446407</v>
      </c>
      <c r="AK17" s="89">
        <f>VLOOKUP($A17,平滑数据导入!$A$1:$AN$61,COLUMN(平滑数据导入!P$1),0)</f>
        <v>1840.01193521544</v>
      </c>
      <c r="AL17" s="90">
        <f>VLOOKUP($A17,平滑数据导入!$A$1:$AN$61,COLUMN(平滑数据导入!Q$1),0)</f>
        <v>1807.962334675932</v>
      </c>
      <c r="AM17" s="90">
        <f>VLOOKUP($A17,平滑数据导入!$A$1:$AN$61,COLUMN(平滑数据导入!R$1),0)</f>
        <v>1774.941676332802</v>
      </c>
      <c r="AN17" s="90">
        <f>VLOOKUP($A17,平滑数据导入!$A$1:$AN$61,COLUMN(平滑数据导入!S$1),0)</f>
        <v>1741.118687256652</v>
      </c>
      <c r="AO17" s="101">
        <f>VLOOKUP($A17,平滑数据导入!$A$1:$AN$61,COLUMN(平滑数据导入!T$1),0)</f>
        <v>1706.655480588445</v>
      </c>
      <c r="AP17" s="90">
        <f>VLOOKUP($A17,平滑数据导入!$A$1:$AN$61,COLUMN(平滑数据导入!U$1),0)</f>
        <v>1671.7069476333861</v>
      </c>
      <c r="AQ17" s="90">
        <f>VLOOKUP($A17,平滑数据导入!$A$1:$AN$61,COLUMN(平滑数据导入!V$1),0)</f>
        <v>1636.4202738390579</v>
      </c>
      <c r="AR17" s="90">
        <f>VLOOKUP($A17,平滑数据导入!$A$1:$AN$61,COLUMN(平滑数据导入!W$1),0)</f>
        <v>1600.934572292143</v>
      </c>
      <c r="AS17" s="90">
        <f>VLOOKUP($A17,平滑数据导入!$A$1:$AN$61,COLUMN(平滑数据导入!X$1),0)</f>
        <v>1565.380627446455</v>
      </c>
      <c r="AT17" s="90">
        <f>VLOOKUP($A17,平滑数据导入!$A$1:$AN$61,COLUMN(平滑数据导入!Y$1),0)</f>
        <v>1529.8807411021669</v>
      </c>
      <c r="AU17" s="89">
        <f>VLOOKUP($A17,平滑数据导入!$A$1:$AN$61,COLUMN(平滑数据导入!Z$1),0)</f>
        <v>1494.5486721762741</v>
      </c>
      <c r="AV17" s="90">
        <f>VLOOKUP($A17,平滑数据导入!$A$1:$AN$61,COLUMN(平滑数据导入!AA$1),0)</f>
        <v>1459.489661520023</v>
      </c>
      <c r="AW17" s="90">
        <f>VLOOKUP($A17,平滑数据导入!$A$1:$AN$61,COLUMN(平滑数据导入!AB$1),0)</f>
        <v>1424.800532930371</v>
      </c>
      <c r="AX17" s="90">
        <f>VLOOKUP($A17,平滑数据导入!$A$1:$AN$61,COLUMN(平滑数据导入!AC$1),0)</f>
        <v>1390.5698615494359</v>
      </c>
      <c r="AY17" s="133">
        <f>VLOOKUP(A17,情景假设!$B$48:$S$88,17,0)/情景假设!R$47*AY$13</f>
        <v>1356.8782010272698</v>
      </c>
      <c r="AZ17" s="89">
        <f>VLOOKUP($A17,平滑数据导入!$A$1:$AN$61,COLUMN(平滑数据导入!AE$1),0)</f>
        <v>1323.798361119045</v>
      </c>
      <c r="BA17" s="90">
        <f>VLOOKUP($A17,平滑数据导入!$A$1:$AN$61,COLUMN(平滑数据导入!AF$1),0)</f>
        <v>1291.3957277774659</v>
      </c>
      <c r="BB17" s="90">
        <f>VLOOKUP($A17,平滑数据导入!$A$1:$AN$61,COLUMN(平滑数据导入!AG$1),0)</f>
        <v>1259.7286182665989</v>
      </c>
      <c r="BC17" s="90">
        <f>VLOOKUP($A17,平滑数据导入!$A$1:$AN$61,COLUMN(平滑数据导入!AH$1),0)</f>
        <v>1228.848664346408</v>
      </c>
      <c r="BD17" s="101">
        <f>VLOOKUP($A17,平滑数据导入!$A$1:$AN$61,COLUMN(平滑数据导入!AI$1),0)</f>
        <v>1198.801217142269</v>
      </c>
      <c r="BE17" s="90">
        <f>VLOOKUP($A17,平滑数据导入!$A$1:$AN$61,COLUMN(平滑数据导入!AJ$1),0)</f>
        <v>1169.6257679060909</v>
      </c>
      <c r="BF17" s="90">
        <f>VLOOKUP($A17,平滑数据导入!$A$1:$AN$61,COLUMN(平滑数据导入!AK$1),0)</f>
        <v>1141.356379482859</v>
      </c>
      <c r="BG17" s="90">
        <f>VLOOKUP($A17,平滑数据导入!$A$1:$AN$61,COLUMN(平滑数据导入!AL$1),0)</f>
        <v>1114.0221239073251</v>
      </c>
      <c r="BH17" s="90">
        <f>VLOOKUP($A17,平滑数据导入!$A$1:$AN$61,COLUMN(平滑数据导入!AM$1),0)</f>
        <v>1087.647522161227</v>
      </c>
      <c r="BI17" s="133">
        <f>VLOOKUP(A17,情景假设!$B$48:$S$88,18,0)/情景假设!S$47*BI$13</f>
        <v>1062.2529827141868</v>
      </c>
    </row>
    <row r="18" spans="1:61" x14ac:dyDescent="0.2">
      <c r="A18" s="30" t="s">
        <v>75</v>
      </c>
      <c r="B18" s="19"/>
      <c r="C18" s="20"/>
      <c r="D18" s="20"/>
      <c r="E18" s="20"/>
      <c r="F18" s="21"/>
      <c r="G18" s="19"/>
      <c r="H18" s="20"/>
      <c r="I18" s="20">
        <f>'增加值 (2001-2022, 当年价) '!I18*I$77</f>
        <v>740.76653991594344</v>
      </c>
      <c r="J18" s="20">
        <f>'增加值 (2001-2022, 当年价) '!J18*J$77</f>
        <v>844.0486631354139</v>
      </c>
      <c r="K18" s="21">
        <f>'增加值 (2001-2022, 当年价) '!K18*K$77</f>
        <v>1022.9457399478509</v>
      </c>
      <c r="L18" s="19">
        <f>'增加值 (2001-2022, 当年价) '!L18*L$77</f>
        <v>1214.8998811626097</v>
      </c>
      <c r="M18" s="20">
        <f>'增加值 (2001-2022, 当年价) '!M18*M$77</f>
        <v>1274.5479058190608</v>
      </c>
      <c r="N18" s="20">
        <f>'增加值 (2001-2022, 当年价) '!N18*N$77</f>
        <v>1356.0633699380928</v>
      </c>
      <c r="O18" s="20">
        <f>'增加值 (2001-2022, 当年价) '!O18*O$77</f>
        <v>1401.5037918321566</v>
      </c>
      <c r="P18" s="20">
        <f>'增加值 (2001-2022, 当年价) '!P18*P$77</f>
        <v>1417.3718474346597</v>
      </c>
      <c r="Q18" s="19">
        <f>'增加值 (2001-2022, 当年价) '!Q18*Q$77</f>
        <v>1442.6692962996772</v>
      </c>
      <c r="R18" s="20">
        <f>'增加值 (2001-2022, 当年价) '!R18*R$77</f>
        <v>1454.4434672707334</v>
      </c>
      <c r="S18" s="20">
        <f>'增加值 (2001-2022, 当年价) '!S18*S$77</f>
        <v>1468.4618787211398</v>
      </c>
      <c r="T18" s="20">
        <f>'增加值 (2001-2022, 当年价) '!T18*T$77</f>
        <v>1418.6739912185421</v>
      </c>
      <c r="U18" s="21">
        <f>'增加值 (2001-2022, 当年价) '!U18*U$77</f>
        <v>1364.1405953083029</v>
      </c>
      <c r="V18" s="20">
        <f>'增加值 (2001-2022, 当年价) '!V18*V$77</f>
        <v>1526.8532453395294</v>
      </c>
      <c r="W18" s="20">
        <f>'增加值 (2001-2022, 当年价) '!W18*W$77</f>
        <v>1532.4140383714741</v>
      </c>
      <c r="X18" s="90">
        <f>VLOOKUP($A18,平滑数据导入!$A$1:$AN$61,COLUMN(平滑数据导入!C$1),0)</f>
        <v>1530.1233507657271</v>
      </c>
      <c r="Y18" s="90">
        <f>VLOOKUP($A18,平滑数据导入!$A$1:$AN$61,COLUMN(平滑数据导入!D$1),0)</f>
        <v>1525.6448506005349</v>
      </c>
      <c r="Z18" s="141">
        <f>VLOOKUP(A18,情景假设!$B$48:$S$88,14,0)/情景假设!O$47*Z$13</f>
        <v>1519.1391657138756</v>
      </c>
      <c r="AA18" s="89">
        <f>VLOOKUP($A18,平滑数据导入!$A$1:$AN$61,COLUMN(平滑数据导入!F$1),0)</f>
        <v>1510.772973091802</v>
      </c>
      <c r="AB18" s="90">
        <f>VLOOKUP($A18,平滑数据导入!$A$1:$AN$61,COLUMN(平滑数据导入!G$1),0)</f>
        <v>1500.7170306339001</v>
      </c>
      <c r="AC18" s="90">
        <f>VLOOKUP($A18,平滑数据导入!$A$1:$AN$61,COLUMN(平滑数据导入!H$1),0)</f>
        <v>1489.144349163586</v>
      </c>
      <c r="AD18" s="90">
        <f>VLOOKUP($A18,平滑数据导入!$A$1:$AN$61,COLUMN(平滑数据导入!I$1),0)</f>
        <v>1476.2285215011809</v>
      </c>
      <c r="AE18" s="133">
        <f>VLOOKUP(A18,情景假设!$B$48:$S$88,15,0)/情景假设!P$47*AE$13</f>
        <v>1462.1422206524946</v>
      </c>
      <c r="AF18" s="90">
        <f>VLOOKUP($A18,平滑数据导入!$A$1:$AN$61,COLUMN(平滑数据导入!K$1),0)</f>
        <v>1447.022167866485</v>
      </c>
      <c r="AG18" s="90">
        <f>VLOOKUP($A18,平滑数据导入!$A$1:$AN$61,COLUMN(平滑数据导入!L$1),0)</f>
        <v>1430.869855584647</v>
      </c>
      <c r="AH18" s="90">
        <f>VLOOKUP($A18,平滑数据导入!$A$1:$AN$61,COLUMN(平滑数据导入!M$1),0)</f>
        <v>1413.657477520371</v>
      </c>
      <c r="AI18" s="90">
        <f>VLOOKUP($A18,平滑数据导入!$A$1:$AN$61,COLUMN(平滑数据导入!N$1),0)</f>
        <v>1395.362644201974</v>
      </c>
      <c r="AJ18" s="141">
        <f>VLOOKUP(A18,情景假设!$B$48:$S$88,16,0)/情景假设!Q$47*AJ$13</f>
        <v>1375.9686954982469</v>
      </c>
      <c r="AK18" s="89">
        <f>VLOOKUP($A18,平滑数据导入!$A$1:$AN$61,COLUMN(平滑数据导入!P$1),0)</f>
        <v>1355.4880045401769</v>
      </c>
      <c r="AL18" s="90">
        <f>VLOOKUP($A18,平滑数据导入!$A$1:$AN$61,COLUMN(平滑数据导入!Q$1),0)</f>
        <v>1334.028354765803</v>
      </c>
      <c r="AM18" s="90">
        <f>VLOOKUP($A18,平滑数据导入!$A$1:$AN$61,COLUMN(平滑数据导入!R$1),0)</f>
        <v>1311.718565771677</v>
      </c>
      <c r="AN18" s="90">
        <f>VLOOKUP($A18,平滑数据导入!$A$1:$AN$61,COLUMN(平滑数据导入!S$1),0)</f>
        <v>1288.684068104707</v>
      </c>
      <c r="AO18" s="101">
        <f>VLOOKUP($A18,平滑数据导入!$A$1:$AN$61,COLUMN(平滑数据导入!T$1),0)</f>
        <v>1265.0462641985309</v>
      </c>
      <c r="AP18" s="90">
        <f>VLOOKUP($A18,平滑数据导入!$A$1:$AN$61,COLUMN(平滑数据导入!U$1),0)</f>
        <v>1240.921984630487</v>
      </c>
      <c r="AQ18" s="90">
        <f>VLOOKUP($A18,平滑数据导入!$A$1:$AN$61,COLUMN(平滑数据导入!V$1),0)</f>
        <v>1216.423037181499</v>
      </c>
      <c r="AR18" s="90">
        <f>VLOOKUP($A18,平滑数据导入!$A$1:$AN$61,COLUMN(平滑数据导入!W$1),0)</f>
        <v>1191.6558451429721</v>
      </c>
      <c r="AS18" s="90">
        <f>VLOOKUP($A18,平滑数据导入!$A$1:$AN$61,COLUMN(平滑数据导入!X$1),0)</f>
        <v>1166.7211704562139</v>
      </c>
      <c r="AT18" s="90">
        <f>VLOOKUP($A18,平滑数据导入!$A$1:$AN$61,COLUMN(平滑数据导入!Y$1),0)</f>
        <v>1141.71391658537</v>
      </c>
      <c r="AU18" s="89">
        <f>VLOOKUP($A18,平滑数据导入!$A$1:$AN$61,COLUMN(平滑数据导入!Z$1),0)</f>
        <v>1116.723005505871</v>
      </c>
      <c r="AV18" s="90">
        <f>VLOOKUP($A18,平滑数据导入!$A$1:$AN$61,COLUMN(平滑数据导入!AA$1),0)</f>
        <v>1091.8313228263389</v>
      </c>
      <c r="AW18" s="90">
        <f>VLOOKUP($A18,平滑数据导入!$A$1:$AN$61,COLUMN(平滑数据导入!AB$1),0)</f>
        <v>1067.1157248396801</v>
      </c>
      <c r="AX18" s="90">
        <f>VLOOKUP($A18,平滑数据导入!$A$1:$AN$61,COLUMN(平滑数据导入!AC$1),0)</f>
        <v>1042.6471012052971</v>
      </c>
      <c r="AY18" s="133">
        <f>VLOOKUP(A18,情景假设!$B$48:$S$88,17,0)/情景假设!R$47*AY$13</f>
        <v>1018.490486984029</v>
      </c>
      <c r="AZ18" s="89">
        <f>VLOOKUP($A18,平滑数据导入!$A$1:$AN$61,COLUMN(平滑数据导入!AE$1),0)</f>
        <v>994.70521786577228</v>
      </c>
      <c r="BA18" s="90">
        <f>VLOOKUP($A18,平滑数据导入!$A$1:$AN$61,COLUMN(平滑数据导入!AF$1),0)</f>
        <v>971.34512263216573</v>
      </c>
      <c r="BB18" s="90">
        <f>VLOOKUP($A18,平滑数据导入!$A$1:$AN$61,COLUMN(平滑数据导入!AG$1),0)</f>
        <v>948.45874716862329</v>
      </c>
      <c r="BC18" s="90">
        <f>VLOOKUP($A18,平滑数据导入!$A$1:$AN$61,COLUMN(平滑数据导入!AH$1),0)</f>
        <v>926.08960466807434</v>
      </c>
      <c r="BD18" s="101">
        <f>VLOOKUP($A18,平滑数据导入!$A$1:$AN$61,COLUMN(平滑数据导入!AI$1),0)</f>
        <v>904.27644704008117</v>
      </c>
      <c r="BE18" s="90">
        <f>VLOOKUP($A18,平滑数据导入!$A$1:$AN$61,COLUMN(平滑数据导入!AJ$1),0)</f>
        <v>883.05355294223</v>
      </c>
      <c r="BF18" s="90">
        <f>VLOOKUP($A18,平滑数据导入!$A$1:$AN$61,COLUMN(平滑数据导入!AK$1),0)</f>
        <v>862.45102827515291</v>
      </c>
      <c r="BG18" s="90">
        <f>VLOOKUP($A18,平滑数据导入!$A$1:$AN$61,COLUMN(平滑数据导入!AL$1),0)</f>
        <v>842.49511541927814</v>
      </c>
      <c r="BH18" s="90">
        <f>VLOOKUP($A18,平滑数据导入!$A$1:$AN$61,COLUMN(平滑数据导入!AM$1),0)</f>
        <v>823.20850793242823</v>
      </c>
      <c r="BI18" s="133">
        <f>VLOOKUP(A18,情景假设!$B$48:$S$88,18,0)/情景假设!S$47*BI$13</f>
        <v>804.61066786605875</v>
      </c>
    </row>
    <row r="19" spans="1:61" x14ac:dyDescent="0.2">
      <c r="A19" s="30" t="s">
        <v>76</v>
      </c>
      <c r="B19" s="19"/>
      <c r="C19" s="20"/>
      <c r="D19" s="20"/>
      <c r="E19" s="20"/>
      <c r="F19" s="21"/>
      <c r="G19" s="19"/>
      <c r="H19" s="20"/>
      <c r="I19" s="20">
        <f>'增加值 (2001-2022, 当年价) '!I19*I$77</f>
        <v>622.28189547720797</v>
      </c>
      <c r="J19" s="20">
        <f>'增加值 (2001-2022, 当年价) '!J19*J$77</f>
        <v>708.94586294105329</v>
      </c>
      <c r="K19" s="21">
        <f>'增加值 (2001-2022, 当年价) '!K19*K$77</f>
        <v>796.67192689080173</v>
      </c>
      <c r="L19" s="19">
        <f>'增加值 (2001-2022, 当年价) '!L19*L$77</f>
        <v>897.68406282890419</v>
      </c>
      <c r="M19" s="20">
        <f>'增加值 (2001-2022, 当年价) '!M19*M$77</f>
        <v>975.94130351953618</v>
      </c>
      <c r="N19" s="20">
        <f>'增加值 (2001-2022, 当年价) '!N19*N$77</f>
        <v>974.38864222573625</v>
      </c>
      <c r="O19" s="20">
        <f>'增加值 (2001-2022, 当年价) '!O19*O$77</f>
        <v>903.34619259796079</v>
      </c>
      <c r="P19" s="20">
        <f>'增加值 (2001-2022, 当年价) '!P19*P$77</f>
        <v>755.02693912330028</v>
      </c>
      <c r="Q19" s="19">
        <f>'增加值 (2001-2022, 当年价) '!Q19*Q$77</f>
        <v>629.98069374082036</v>
      </c>
      <c r="R19" s="20">
        <f>'增加值 (2001-2022, 当年价) '!R19*R$77</f>
        <v>764.56980297896723</v>
      </c>
      <c r="S19" s="20">
        <f>'增加值 (2001-2022, 当年价) '!S19*S$77</f>
        <v>943.22721747818241</v>
      </c>
      <c r="T19" s="20">
        <f>'增加值 (2001-2022, 当年价) '!T19*T$77</f>
        <v>1106.7744145318222</v>
      </c>
      <c r="U19" s="21">
        <f>'增加值 (2001-2022, 当年价) '!U19*U$77</f>
        <v>935.75183103419295</v>
      </c>
      <c r="V19" s="20">
        <f>'增加值 (2001-2022, 当年价) '!V19*V$77</f>
        <v>1028.8553087520027</v>
      </c>
      <c r="W19" s="20">
        <f>'增加值 (2001-2022, 当年价) '!W19*W$77</f>
        <v>1144.432816780665</v>
      </c>
      <c r="X19" s="90">
        <f>VLOOKUP($A19,平滑数据导入!$A$1:$AN$61,COLUMN(平滑数据导入!C$1),0)</f>
        <v>1228.935884672414</v>
      </c>
      <c r="Y19" s="90">
        <f>VLOOKUP($A19,平滑数据导入!$A$1:$AN$61,COLUMN(平滑数据导入!D$1),0)</f>
        <v>1309.05662363189</v>
      </c>
      <c r="Z19" s="141">
        <f>VLOOKUP(A19,情景假设!$B$48:$S$88,14,0)/情景假设!O$47*Z$13</f>
        <v>1384.3660913195508</v>
      </c>
      <c r="AA19" s="89">
        <f>VLOOKUP($A19,平滑数据导入!$A$1:$AN$61,COLUMN(平滑数据导入!F$1),0)</f>
        <v>1454.7213665962011</v>
      </c>
      <c r="AB19" s="90">
        <f>VLOOKUP($A19,平滑数据导入!$A$1:$AN$61,COLUMN(平滑数据导入!G$1),0)</f>
        <v>1520.2606559998551</v>
      </c>
      <c r="AC19" s="90">
        <f>VLOOKUP($A19,平滑数据导入!$A$1:$AN$61,COLUMN(平滑数据导入!H$1),0)</f>
        <v>1581.3889459529969</v>
      </c>
      <c r="AD19" s="90">
        <f>VLOOKUP($A19,平滑数据导入!$A$1:$AN$61,COLUMN(平滑数据导入!I$1),0)</f>
        <v>1638.7578130182501</v>
      </c>
      <c r="AE19" s="133">
        <f>VLOOKUP(A19,情景假设!$B$48:$S$88,15,0)/情景假设!P$47*AE$13</f>
        <v>1693.2431053643836</v>
      </c>
      <c r="AF19" s="90">
        <f>VLOOKUP($A19,平滑数据导入!$A$1:$AN$61,COLUMN(平滑数据导入!K$1),0)</f>
        <v>1745.678148728256</v>
      </c>
      <c r="AG19" s="90">
        <f>VLOOKUP($A19,平滑数据导入!$A$1:$AN$61,COLUMN(平滑数据导入!L$1),0)</f>
        <v>1796.0420902915171</v>
      </c>
      <c r="AH19" s="90">
        <f>VLOOKUP($A19,平滑数据导入!$A$1:$AN$61,COLUMN(平滑数据导入!M$1),0)</f>
        <v>1844.0907934010941</v>
      </c>
      <c r="AI19" s="90">
        <f>VLOOKUP($A19,平滑数据导入!$A$1:$AN$61,COLUMN(平滑数据导入!N$1),0)</f>
        <v>1889.5897508014029</v>
      </c>
      <c r="AJ19" s="141">
        <f>VLOOKUP(A19,情景假设!$B$48:$S$88,16,0)/情景假设!Q$47*AJ$13</f>
        <v>1932.3160698994134</v>
      </c>
      <c r="AK19" s="89">
        <f>VLOOKUP($A19,平滑数据导入!$A$1:$AN$61,COLUMN(平滑数据导入!P$1),0)</f>
        <v>1972.0793016383229</v>
      </c>
      <c r="AL19" s="90">
        <f>VLOOKUP($A19,平滑数据导入!$A$1:$AN$61,COLUMN(平滑数据导入!Q$1),0)</f>
        <v>2008.782848802676</v>
      </c>
      <c r="AM19" s="90">
        <f>VLOOKUP($A19,平滑数据导入!$A$1:$AN$61,COLUMN(平滑数据导入!R$1),0)</f>
        <v>2042.372842790958</v>
      </c>
      <c r="AN19" s="90">
        <f>VLOOKUP($A19,平滑数据导入!$A$1:$AN$61,COLUMN(平滑数据导入!S$1),0)</f>
        <v>2072.819531288786</v>
      </c>
      <c r="AO19" s="101">
        <f>VLOOKUP($A19,平滑数据导入!$A$1:$AN$61,COLUMN(平滑数据导入!T$1),0)</f>
        <v>2100.116553084265</v>
      </c>
      <c r="AP19" s="90">
        <f>VLOOKUP($A19,平滑数据导入!$A$1:$AN$61,COLUMN(平滑数据导入!U$1),0)</f>
        <v>2124.2799780974428</v>
      </c>
      <c r="AQ19" s="90">
        <f>VLOOKUP($A19,平滑数据导入!$A$1:$AN$61,COLUMN(平滑数据导入!V$1),0)</f>
        <v>2145.347143880877</v>
      </c>
      <c r="AR19" s="90">
        <f>VLOOKUP($A19,平滑数据导入!$A$1:$AN$61,COLUMN(平滑数据导入!W$1),0)</f>
        <v>2163.3753211527051</v>
      </c>
      <c r="AS19" s="90">
        <f>VLOOKUP($A19,平滑数据导入!$A$1:$AN$61,COLUMN(平滑数据导入!X$1),0)</f>
        <v>2178.440241430581</v>
      </c>
      <c r="AT19" s="90">
        <f>VLOOKUP($A19,平滑数据导入!$A$1:$AN$61,COLUMN(平滑数据导入!Y$1),0)</f>
        <v>2190.63451961086</v>
      </c>
      <c r="AU19" s="89">
        <f>VLOOKUP($A19,平滑数据导入!$A$1:$AN$61,COLUMN(平滑数据导入!Z$1),0)</f>
        <v>2200.0660034630132</v>
      </c>
      <c r="AV19" s="90">
        <f>VLOOKUP($A19,平滑数据导入!$A$1:$AN$61,COLUMN(平滑数据导入!AA$1),0)</f>
        <v>2206.856080572782</v>
      </c>
      <c r="AW19" s="90">
        <f>VLOOKUP($A19,平滑数据导入!$A$1:$AN$61,COLUMN(平滑数据导入!AB$1),0)</f>
        <v>2211.1379713639831</v>
      </c>
      <c r="AX19" s="90">
        <f>VLOOKUP($A19,平滑数据导入!$A$1:$AN$61,COLUMN(平滑数据导入!AC$1),0)</f>
        <v>2213.0550345540091</v>
      </c>
      <c r="AY19" s="133">
        <f>VLOOKUP(A19,情景假设!$B$48:$S$88,17,0)/情景假设!R$47*AY$13</f>
        <v>2212.7591088472223</v>
      </c>
      <c r="AZ19" s="89">
        <f>VLOOKUP($A19,平滑数据导入!$A$1:$AN$61,COLUMN(平滑数据导入!AE$1),0)</f>
        <v>2210.408911934529</v>
      </c>
      <c r="BA19" s="90">
        <f>VLOOKUP($A19,平滑数据导入!$A$1:$AN$61,COLUMN(平滑数据导入!AF$1),0)</f>
        <v>2206.1685150320659</v>
      </c>
      <c r="BB19" s="90">
        <f>VLOOKUP($A19,平滑数据导入!$A$1:$AN$61,COLUMN(平滑数据导入!AG$1),0)</f>
        <v>2200.2059083343152</v>
      </c>
      <c r="BC19" s="90">
        <f>VLOOKUP($A19,平滑数据导入!$A$1:$AN$61,COLUMN(平滑数据导入!AH$1),0)</f>
        <v>2192.6916699462331</v>
      </c>
      <c r="BD19" s="101">
        <f>VLOOKUP($A19,平滑数据导入!$A$1:$AN$61,COLUMN(平滑数据导入!AI$1),0)</f>
        <v>2183.7977481544358</v>
      </c>
      <c r="BE19" s="90">
        <f>VLOOKUP($A19,平滑数据导入!$A$1:$AN$61,COLUMN(平滑数据导入!AJ$1),0)</f>
        <v>2173.6963643482341</v>
      </c>
      <c r="BF19" s="90">
        <f>VLOOKUP($A19,平滑数据导入!$A$1:$AN$61,COLUMN(平滑数据导入!AK$1),0)</f>
        <v>2162.5590415478541</v>
      </c>
      <c r="BG19" s="90">
        <f>VLOOKUP($A19,平滑数据导入!$A$1:$AN$61,COLUMN(平滑数据导入!AL$1),0)</f>
        <v>2150.5557613689748</v>
      </c>
      <c r="BH19" s="90">
        <f>VLOOKUP($A19,平滑数据导入!$A$1:$AN$61,COLUMN(平滑数据导入!AM$1),0)</f>
        <v>2137.8542503720769</v>
      </c>
      <c r="BI19" s="133">
        <f>VLOOKUP(A19,情景假设!$B$48:$S$88,18,0)/情景假设!S$47*BI$13</f>
        <v>2124.6193951250866</v>
      </c>
    </row>
    <row r="20" spans="1:61" x14ac:dyDescent="0.2">
      <c r="A20" s="30" t="s">
        <v>77</v>
      </c>
      <c r="B20" s="19"/>
      <c r="C20" s="20"/>
      <c r="D20" s="20"/>
      <c r="E20" s="20"/>
      <c r="F20" s="21"/>
      <c r="G20" s="19"/>
      <c r="H20" s="20"/>
      <c r="I20" s="20">
        <f>'增加值 (2001-2022, 当年价) '!I20*I$77</f>
        <v>4.2073585081337939</v>
      </c>
      <c r="J20" s="20">
        <f>'增加值 (2001-2022, 当年价) '!J20*J$77</f>
        <v>5.6913481669919435</v>
      </c>
      <c r="K20" s="21">
        <f>'增加值 (2001-2022, 当年价) '!K20*K$77</f>
        <v>6.6710308764954105</v>
      </c>
      <c r="L20" s="19">
        <f>'增加值 (2001-2022, 当年价) '!L20*L$77</f>
        <v>7.8715586982123913</v>
      </c>
      <c r="M20" s="20">
        <f>'增加值 (2001-2022, 当年价) '!M20*M$77</f>
        <v>7.9058264716914133</v>
      </c>
      <c r="N20" s="20">
        <f>'增加值 (2001-2022, 当年价) '!N20*N$77</f>
        <v>8.4565158393190849</v>
      </c>
      <c r="O20" s="20">
        <f>'增加值 (2001-2022, 当年价) '!O20*O$77</f>
        <v>7.8642757355593114</v>
      </c>
      <c r="P20" s="20">
        <f>'增加值 (2001-2022, 当年价) '!P20*P$77</f>
        <v>7.6399586741987617</v>
      </c>
      <c r="Q20" s="19">
        <f>'增加值 (2001-2022, 当年价) '!Q20*Q$77</f>
        <v>6.6132251314970931</v>
      </c>
      <c r="R20" s="20">
        <f>'增加值 (2001-2022, 当年价) '!R20*R$77</f>
        <v>7.651212356064276</v>
      </c>
      <c r="S20" s="20">
        <f>'增加值 (2001-2022, 当年价) '!S20*S$77</f>
        <v>7.8468501110366367</v>
      </c>
      <c r="T20" s="20">
        <f>'增加值 (2001-2022, 当年价) '!T20*T$77</f>
        <v>7.8531685552162784</v>
      </c>
      <c r="U20" s="21">
        <f>'增加值 (2001-2022, 当年价) '!U20*U$77</f>
        <v>7.680442047975407</v>
      </c>
      <c r="V20" s="20">
        <f>'增加值 (2001-2022, 当年价) '!V20*V$77</f>
        <v>7.133140363143748</v>
      </c>
      <c r="W20" s="103">
        <f>'增加值 (2001-2022, 当年价) '!W20*W$77</f>
        <v>9.2604801376398402</v>
      </c>
      <c r="X20" s="90">
        <f>VLOOKUP($A20,平滑数据导入!$A$1:$AN$61,COLUMN(平滑数据导入!C$1),0)</f>
        <v>9.5821508942011224</v>
      </c>
      <c r="Y20" s="90">
        <f>VLOOKUP($A20,平滑数据导入!$A$1:$AN$61,COLUMN(平滑数据导入!D$1),0)</f>
        <v>9.8681746081646757</v>
      </c>
      <c r="Z20" s="141">
        <f>VLOOKUP(A20,情景假设!$B$48:$S$88,14,0)/情景假设!O$47*Z$13</f>
        <v>10.119546760461681</v>
      </c>
      <c r="AA20" s="89">
        <f>VLOOKUP($A20,平滑数据导入!$A$1:$AN$61,COLUMN(平滑数据导入!F$1),0)</f>
        <v>10.338125785691849</v>
      </c>
      <c r="AB20" s="90">
        <f>VLOOKUP($A20,平滑数据导入!$A$1:$AN$61,COLUMN(平滑数据导入!G$1),0)</f>
        <v>10.52652859363495</v>
      </c>
      <c r="AC20" s="90">
        <f>VLOOKUP($A20,平滑数据导入!$A$1:$AN$61,COLUMN(平滑数据导入!H$1),0)</f>
        <v>10.68801972881811</v>
      </c>
      <c r="AD20" s="90">
        <f>VLOOKUP($A20,平滑数据导入!$A$1:$AN$61,COLUMN(平滑数据导入!I$1),0)</f>
        <v>10.826401442173561</v>
      </c>
      <c r="AE20" s="133">
        <f>VLOOKUP(A20,情景假设!$B$48:$S$88,15,0)/情景假设!P$47*AE$13</f>
        <v>10.945910981427277</v>
      </c>
      <c r="AF20" s="90">
        <f>VLOOKUP($A20,平滑数据导入!$A$1:$AN$61,COLUMN(平滑数据导入!K$1),0)</f>
        <v>11.05022392902954</v>
      </c>
      <c r="AG20" s="90">
        <f>VLOOKUP($A20,平滑数据导入!$A$1:$AN$61,COLUMN(平滑数据导入!L$1),0)</f>
        <v>11.139600581432269</v>
      </c>
      <c r="AH20" s="90">
        <f>VLOOKUP($A20,平滑数据导入!$A$1:$AN$61,COLUMN(平滑数据导入!M$1),0)</f>
        <v>11.213466827222771</v>
      </c>
      <c r="AI20" s="90">
        <f>VLOOKUP($A20,平滑数据导入!$A$1:$AN$61,COLUMN(平滑数据导入!N$1),0)</f>
        <v>11.271307529025959</v>
      </c>
      <c r="AJ20" s="141">
        <f>VLOOKUP(A20,情景假设!$B$48:$S$88,16,0)/情景假设!Q$47*AJ$13</f>
        <v>11.312671583711108</v>
      </c>
      <c r="AK20" s="89">
        <f>VLOOKUP($A20,平滑数据导入!$A$1:$AN$61,COLUMN(平滑数据导入!P$1),0)</f>
        <v>11.33732950331185</v>
      </c>
      <c r="AL20" s="90">
        <f>VLOOKUP($A20,平滑数据导入!$A$1:$AN$61,COLUMN(平滑数据导入!Q$1),0)</f>
        <v>11.345737180573609</v>
      </c>
      <c r="AM20" s="90">
        <f>VLOOKUP($A20,平滑数据导入!$A$1:$AN$61,COLUMN(平滑数据导入!R$1),0)</f>
        <v>11.33857656142124</v>
      </c>
      <c r="AN20" s="90">
        <f>VLOOKUP($A20,平滑数据导入!$A$1:$AN$61,COLUMN(平滑数据导入!S$1),0)</f>
        <v>11.316593852623139</v>
      </c>
      <c r="AO20" s="101">
        <f>VLOOKUP($A20,平滑数据导入!$A$1:$AN$61,COLUMN(平滑数据导入!T$1),0)</f>
        <v>11.280589723926511</v>
      </c>
      <c r="AP20" s="90">
        <f>VLOOKUP($A20,平滑数据导入!$A$1:$AN$61,COLUMN(平滑数据导入!U$1),0)</f>
        <v>11.23140965428089</v>
      </c>
      <c r="AQ20" s="90">
        <f>VLOOKUP($A20,平滑数据导入!$A$1:$AN$61,COLUMN(平滑数据导入!V$1),0)</f>
        <v>11.16993454279427</v>
      </c>
      <c r="AR20" s="90">
        <f>VLOOKUP($A20,平滑数据导入!$A$1:$AN$61,COLUMN(平滑数据导入!W$1),0)</f>
        <v>11.09707168986103</v>
      </c>
      <c r="AS20" s="90">
        <f>VLOOKUP($A20,平滑数据导入!$A$1:$AN$61,COLUMN(平滑数据导入!X$1),0)</f>
        <v>11.01374623827892</v>
      </c>
      <c r="AT20" s="90">
        <f>VLOOKUP($A20,平滑数据导入!$A$1:$AN$61,COLUMN(平滑数据导入!Y$1),0)</f>
        <v>10.92089314852071</v>
      </c>
      <c r="AU20" s="89">
        <f>VLOOKUP($A20,平滑数据导入!$A$1:$AN$61,COLUMN(平滑数据导入!Z$1),0)</f>
        <v>10.81944976699018</v>
      </c>
      <c r="AV20" s="90">
        <f>VLOOKUP($A20,平滑数据导入!$A$1:$AN$61,COLUMN(平滑数据导入!AA$1),0)</f>
        <v>10.71034903136449</v>
      </c>
      <c r="AW20" s="90">
        <f>VLOOKUP($A20,平滑数据导入!$A$1:$AN$61,COLUMN(平滑数据导入!AB$1),0)</f>
        <v>10.594513343250309</v>
      </c>
      <c r="AX20" s="90">
        <f>VLOOKUP($A20,平滑数据导入!$A$1:$AN$61,COLUMN(平滑数据导入!AC$1),0)</f>
        <v>10.4728491255526</v>
      </c>
      <c r="AY20" s="133">
        <f>VLOOKUP(A20,情景假设!$B$48:$S$88,17,0)/情景假设!R$47*AY$13</f>
        <v>10.346242070316865</v>
      </c>
      <c r="AZ20" s="89">
        <f>VLOOKUP($A20,平滑数据导入!$A$1:$AN$61,COLUMN(平滑数据导入!AE$1),0)</f>
        <v>10.215553072457331</v>
      </c>
      <c r="BA20" s="90">
        <f>VLOOKUP($A20,平滑数据导入!$A$1:$AN$61,COLUMN(平滑数据导入!AF$1),0)</f>
        <v>10.081614835781631</v>
      </c>
      <c r="BB20" s="90">
        <f>VLOOKUP($A20,平滑数据导入!$A$1:$AN$61,COLUMN(平滑数据导入!AG$1),0)</f>
        <v>9.9452291300864886</v>
      </c>
      <c r="BC20" s="90">
        <f>VLOOKUP($A20,平滑数据导入!$A$1:$AN$61,COLUMN(平滑数据导入!AH$1),0)</f>
        <v>9.8071646718155385</v>
      </c>
      <c r="BD20" s="101">
        <f>VLOOKUP($A20,平滑数据导入!$A$1:$AN$61,COLUMN(平滑数据导入!AI$1),0)</f>
        <v>9.6681555957997105</v>
      </c>
      <c r="BE20" s="90">
        <f>VLOOKUP($A20,平滑数据导入!$A$1:$AN$61,COLUMN(平滑数据导入!AJ$1),0)</f>
        <v>9.5289004818795533</v>
      </c>
      <c r="BF20" s="90">
        <f>VLOOKUP($A20,平滑数据导入!$A$1:$AN$61,COLUMN(平滑数据导入!AK$1),0)</f>
        <v>9.3900618976578709</v>
      </c>
      <c r="BG20" s="90">
        <f>VLOOKUP($A20,平滑数据导入!$A$1:$AN$61,COLUMN(平滑数据导入!AL$1),0)</f>
        <v>9.252266417158209</v>
      </c>
      <c r="BH20" s="90">
        <f>VLOOKUP($A20,平滑数据导入!$A$1:$AN$61,COLUMN(平滑数据导入!AM$1),0)</f>
        <v>9.1161050746693473</v>
      </c>
      <c r="BI20" s="133">
        <f>VLOOKUP(A20,情景假设!$B$48:$S$88,18,0)/情景假设!S$47*BI$13</f>
        <v>8.9821342134349731</v>
      </c>
    </row>
    <row r="21" spans="1:61" x14ac:dyDescent="0.2">
      <c r="A21" s="30" t="s">
        <v>79</v>
      </c>
      <c r="B21" s="19"/>
      <c r="C21" s="20"/>
      <c r="D21" s="20"/>
      <c r="E21" s="20"/>
      <c r="F21" s="21"/>
      <c r="G21" s="19"/>
      <c r="H21" s="20"/>
      <c r="I21" s="20">
        <f>'增加值 (2001-2022, 当年价) '!I21*I$77</f>
        <v>6050.1815346963958</v>
      </c>
      <c r="J21" s="20">
        <f>'增加值 (2001-2022, 当年价) '!J21*J$77</f>
        <v>6647.1197559437896</v>
      </c>
      <c r="K21" s="21">
        <f>'增加值 (2001-2022, 当年价) '!K21*K$77</f>
        <v>7423.3830327374781</v>
      </c>
      <c r="L21" s="19">
        <f>'增加值 (2001-2022, 当年价) '!L21*L$77</f>
        <v>8138.735509032279</v>
      </c>
      <c r="M21" s="20">
        <f>'增加值 (2001-2022, 当年价) '!M21*M$77</f>
        <v>8801.756427856033</v>
      </c>
      <c r="N21" s="20">
        <f>'增加值 (2001-2022, 当年价) '!N21*N$77</f>
        <v>9147.290394606589</v>
      </c>
      <c r="O21" s="20">
        <f>'增加值 (2001-2022, 当年价) '!O21*O$77</f>
        <v>9445.0378195708508</v>
      </c>
      <c r="P21" s="20">
        <f>'增加值 (2001-2022, 当年价) '!P21*P$77</f>
        <v>9453.4097282134589</v>
      </c>
      <c r="Q21" s="19">
        <f>'增加值 (2001-2022, 当年价) '!Q21*Q$77</f>
        <v>9788.1934403291416</v>
      </c>
      <c r="R21" s="20">
        <f>'增加值 (2001-2022, 当年价) '!R21*R$77</f>
        <v>10581.43367652795</v>
      </c>
      <c r="S21" s="20">
        <f>'增加值 (2001-2022, 当年价) '!S21*S$77</f>
        <v>11157.537384528478</v>
      </c>
      <c r="T21" s="20">
        <f>'增加值 (2001-2022, 当年价) '!T21*T$77</f>
        <v>10962.124829845372</v>
      </c>
      <c r="U21" s="21">
        <f>'增加值 (2001-2022, 当年价) '!U21*U$77</f>
        <v>10445.304759048124</v>
      </c>
      <c r="V21" s="20">
        <f>'增加值 (2001-2022, 当年价) '!V21*V$77</f>
        <v>11712.956168186243</v>
      </c>
      <c r="W21" s="20">
        <f>'增加值 (2001-2022, 当年价) '!W21*W$77</f>
        <v>11981.684218336073</v>
      </c>
      <c r="X21" s="90">
        <f>VLOOKUP($A21,平滑数据导入!$A$1:$AN$61,COLUMN(平滑数据导入!C$1),0)</f>
        <v>12183.59039365953</v>
      </c>
      <c r="Y21" s="90">
        <f>VLOOKUP($A21,平滑数据导入!$A$1:$AN$61,COLUMN(平滑数据导入!D$1),0)</f>
        <v>12350.18240568944</v>
      </c>
      <c r="Z21" s="141">
        <f>VLOOKUP(A21,情景假设!$B$48:$S$88,14,0)/情景假设!O$47*Z$13</f>
        <v>12483.541864999002</v>
      </c>
      <c r="AA21" s="89">
        <f>VLOOKUP($A21,平滑数据导入!$A$1:$AN$61,COLUMN(平滑数据导入!F$1),0)</f>
        <v>12586.19182157204</v>
      </c>
      <c r="AB21" s="90">
        <f>VLOOKUP($A21,平滑数据导入!$A$1:$AN$61,COLUMN(平滑数据导入!G$1),0)</f>
        <v>12661.01872685713</v>
      </c>
      <c r="AC21" s="90">
        <f>VLOOKUP($A21,平滑数据导入!$A$1:$AN$61,COLUMN(平滑数据导入!H$1),0)</f>
        <v>12711.196796719951</v>
      </c>
      <c r="AD21" s="90">
        <f>VLOOKUP($A21,平滑数据导入!$A$1:$AN$61,COLUMN(平滑数据导入!I$1),0)</f>
        <v>12740.11730872413</v>
      </c>
      <c r="AE21" s="133">
        <f>VLOOKUP(A21,情景假设!$B$48:$S$88,15,0)/情景假设!P$47*AE$13</f>
        <v>12751.324865024522</v>
      </c>
      <c r="AF21" s="90">
        <f>VLOOKUP($A21,平滑数据导入!$A$1:$AN$61,COLUMN(平滑数据导入!K$1),0)</f>
        <v>12747.77931237476</v>
      </c>
      <c r="AG21" s="90">
        <f>VLOOKUP($A21,平滑数据导入!$A$1:$AN$61,COLUMN(平滑数据导入!L$1),0)</f>
        <v>12729.76825127492</v>
      </c>
      <c r="AH21" s="90">
        <f>VLOOKUP($A21,平滑数据导入!$A$1:$AN$61,COLUMN(平滑数据导入!M$1),0)</f>
        <v>12696.947458137511</v>
      </c>
      <c r="AI21" s="90">
        <f>VLOOKUP($A21,平滑数据导入!$A$1:$AN$61,COLUMN(平滑数据导入!N$1),0)</f>
        <v>12649.02763179972</v>
      </c>
      <c r="AJ21" s="141">
        <f>VLOOKUP(A21,情景假设!$B$48:$S$88,16,0)/情景假设!Q$47*AJ$13</f>
        <v>12585.778474912928</v>
      </c>
      <c r="AK21" s="89">
        <f>VLOOKUP($A21,平滑数据导入!$A$1:$AN$61,COLUMN(平滑数据导入!P$1),0)</f>
        <v>12507.22288309648</v>
      </c>
      <c r="AL21" s="90">
        <f>VLOOKUP($A21,平滑数据导入!$A$1:$AN$61,COLUMN(平滑数据导入!Q$1),0)</f>
        <v>12414.200168684471</v>
      </c>
      <c r="AM21" s="90">
        <f>VLOOKUP($A21,平滑数据导入!$A$1:$AN$61,COLUMN(平滑数据导入!R$1),0)</f>
        <v>12307.77201924675</v>
      </c>
      <c r="AN21" s="90">
        <f>VLOOKUP($A21,平滑数据导入!$A$1:$AN$61,COLUMN(平滑数据导入!S$1),0)</f>
        <v>12189.019820552659</v>
      </c>
      <c r="AO21" s="101">
        <f>VLOOKUP($A21,平滑数据导入!$A$1:$AN$61,COLUMN(平滑数据导入!T$1),0)</f>
        <v>12059.03513005174</v>
      </c>
      <c r="AP21" s="90">
        <f>VLOOKUP($A21,平滑数据导入!$A$1:$AN$61,COLUMN(平滑数据导入!U$1),0)</f>
        <v>11918.910822579821</v>
      </c>
      <c r="AQ21" s="90">
        <f>VLOOKUP($A21,平滑数据导入!$A$1:$AN$61,COLUMN(平滑数据导入!V$1),0)</f>
        <v>11769.732962788279</v>
      </c>
      <c r="AR21" s="90">
        <f>VLOOKUP($A21,平滑数据导入!$A$1:$AN$61,COLUMN(平滑数据导入!W$1),0)</f>
        <v>11612.573442547069</v>
      </c>
      <c r="AS21" s="90">
        <f>VLOOKUP($A21,平滑数据导入!$A$1:$AN$61,COLUMN(平滑数据导入!X$1),0)</f>
        <v>11448.48340641874</v>
      </c>
      <c r="AT21" s="90">
        <f>VLOOKUP($A21,平滑数据导入!$A$1:$AN$61,COLUMN(平滑数据导入!Y$1),0)</f>
        <v>11278.48747443146</v>
      </c>
      <c r="AU21" s="89">
        <f>VLOOKUP($A21,平滑数据导入!$A$1:$AN$61,COLUMN(平滑数据导入!Z$1),0)</f>
        <v>11103.57875891858</v>
      </c>
      <c r="AV21" s="90">
        <f>VLOOKUP($A21,平滑数据导入!$A$1:$AN$61,COLUMN(平滑数据导入!AA$1),0)</f>
        <v>10924.71466123205</v>
      </c>
      <c r="AW21" s="90">
        <f>VLOOKUP($A21,平滑数据导入!$A$1:$AN$61,COLUMN(平滑数据导入!AB$1),0)</f>
        <v>10742.813424707019</v>
      </c>
      <c r="AX21" s="90">
        <f>VLOOKUP($A21,平滑数据导入!$A$1:$AN$61,COLUMN(平滑数据导入!AC$1),0)</f>
        <v>10558.751412363619</v>
      </c>
      <c r="AY21" s="133">
        <f>VLOOKUP(A21,情景假设!$B$48:$S$88,17,0)/情景假设!R$47*AY$13</f>
        <v>10373.36107143661</v>
      </c>
      <c r="AZ21" s="89">
        <f>VLOOKUP($A21,平滑数据导入!$A$1:$AN$61,COLUMN(平滑数据导入!AE$1),0)</f>
        <v>10187.429541870841</v>
      </c>
      <c r="BA21" s="90">
        <f>VLOOKUP($A21,平滑数据导入!$A$1:$AN$61,COLUMN(平滑数据导入!AF$1),0)</f>
        <v>10001.69786231899</v>
      </c>
      <c r="BB21" s="90">
        <f>VLOOKUP($A21,平滑数据导入!$A$1:$AN$61,COLUMN(平滑数据导入!AG$1),0)</f>
        <v>9816.8607248317348</v>
      </c>
      <c r="BC21" s="90">
        <f>VLOOKUP($A21,平滑数据导入!$A$1:$AN$61,COLUMN(平滑数据导入!AH$1),0)</f>
        <v>9633.5667282242575</v>
      </c>
      <c r="BD21" s="101">
        <f>VLOOKUP($A21,平滑数据导入!$A$1:$AN$61,COLUMN(平滑数据导入!AI$1),0)</f>
        <v>9452.4190799145708</v>
      </c>
      <c r="BE21" s="90">
        <f>VLOOKUP($A21,平滑数据导入!$A$1:$AN$61,COLUMN(平滑数据导入!AJ$1),0)</f>
        <v>9273.9766967404394</v>
      </c>
      <c r="BF21" s="90">
        <f>VLOOKUP($A21,平滑数据导入!$A$1:$AN$61,COLUMN(平滑数据导入!AK$1),0)</f>
        <v>9098.7556567424181</v>
      </c>
      <c r="BG21" s="90">
        <f>VLOOKUP($A21,平滑数据导入!$A$1:$AN$61,COLUMN(平滑数据导入!AL$1),0)</f>
        <v>8927.2309560368049</v>
      </c>
      <c r="BH21" s="90">
        <f>VLOOKUP($A21,平滑数据导入!$A$1:$AN$61,COLUMN(平滑数据导入!AM$1),0)</f>
        <v>8759.8385275762248</v>
      </c>
      <c r="BI21" s="133">
        <f>VLOOKUP(A21,情景假设!$B$48:$S$88,18,0)/情景假设!S$47*BI$13</f>
        <v>8596.97748170468</v>
      </c>
    </row>
    <row r="22" spans="1:61" x14ac:dyDescent="0.2">
      <c r="A22" s="30" t="s">
        <v>80</v>
      </c>
      <c r="B22" s="19"/>
      <c r="C22" s="20"/>
      <c r="D22" s="20"/>
      <c r="E22" s="20"/>
      <c r="F22" s="21"/>
      <c r="G22" s="19"/>
      <c r="H22" s="20"/>
      <c r="I22" s="20">
        <f>'增加值 (2001-2022, 当年价) '!I22*I$77</f>
        <v>2840.6455992012998</v>
      </c>
      <c r="J22" s="20">
        <f>'增加值 (2001-2022, 当年价) '!J22*J$77</f>
        <v>3072.4467177068132</v>
      </c>
      <c r="K22" s="21">
        <f>'增加值 (2001-2022, 当年价) '!K22*K$77</f>
        <v>3437.2202803711198</v>
      </c>
      <c r="L22" s="19">
        <f>'增加值 (2001-2022, 当年价) '!L22*L$77</f>
        <v>3867.5299130704925</v>
      </c>
      <c r="M22" s="20">
        <f>'增加值 (2001-2022, 当年价) '!M22*M$77</f>
        <v>4116.3241269140553</v>
      </c>
      <c r="N22" s="20">
        <f>'增加值 (2001-2022, 当年价) '!N22*N$77</f>
        <v>4301.3823456235787</v>
      </c>
      <c r="O22" s="20">
        <f>'增加值 (2001-2022, 当年价) '!O22*O$77</f>
        <v>4478.5085208395594</v>
      </c>
      <c r="P22" s="20">
        <f>'增加值 (2001-2022, 当年价) '!P22*P$77</f>
        <v>4567.4540786538546</v>
      </c>
      <c r="Q22" s="19">
        <f>'增加值 (2001-2022, 当年价) '!Q22*Q$77</f>
        <v>4849.5535940714435</v>
      </c>
      <c r="R22" s="20">
        <f>'增加值 (2001-2022, 当年价) '!R22*R$77</f>
        <v>5355.4655716280495</v>
      </c>
      <c r="S22" s="20">
        <f>'增加值 (2001-2022, 当年价) '!S22*S$77</f>
        <v>5689.7020900355756</v>
      </c>
      <c r="T22" s="20">
        <f>'增加值 (2001-2022, 当年价) '!T22*T$77</f>
        <v>5776.570889117249</v>
      </c>
      <c r="U22" s="21">
        <f>'增加值 (2001-2022, 当年价) '!U22*U$77</f>
        <v>5671.8703052305846</v>
      </c>
      <c r="V22" s="20">
        <f>'增加值 (2001-2022, 当年价) '!V22*V$77</f>
        <v>6377.9299660669476</v>
      </c>
      <c r="W22" s="103">
        <f>'增加值 (2001-2022, 当年价) '!W22*W$77</f>
        <v>6627.9200426937196</v>
      </c>
      <c r="X22" s="90">
        <f>VLOOKUP($A22,平滑数据导入!$A$1:$AN$61,COLUMN(平滑数据导入!C$1),0)</f>
        <v>6836.6375533616583</v>
      </c>
      <c r="Y22" s="90">
        <f>VLOOKUP($A22,平滑数据导入!$A$1:$AN$61,COLUMN(平滑数据导入!D$1),0)</f>
        <v>7020.6450104061696</v>
      </c>
      <c r="Z22" s="141">
        <f>VLOOKUP(A22,情景假设!$B$48:$S$88,14,0)/情景假设!O$47*Z$13</f>
        <v>7180.7918825363367</v>
      </c>
      <c r="AA22" s="89">
        <f>VLOOKUP($A22,平滑数据导入!$A$1:$AN$61,COLUMN(平滑数据导入!F$1),0)</f>
        <v>7318.4690383425586</v>
      </c>
      <c r="AB22" s="90">
        <f>VLOOKUP($A22,平滑数据导入!$A$1:$AN$61,COLUMN(平滑数据导入!G$1),0)</f>
        <v>7435.5383790986098</v>
      </c>
      <c r="AC22" s="90">
        <f>VLOOKUP($A22,平滑数据导入!$A$1:$AN$61,COLUMN(平滑数据导入!H$1),0)</f>
        <v>7534.2596874997198</v>
      </c>
      <c r="AD22" s="90">
        <f>VLOOKUP($A22,平滑数据导入!$A$1:$AN$61,COLUMN(平滑数据导入!I$1),0)</f>
        <v>7617.2190083663036</v>
      </c>
      <c r="AE22" s="133">
        <f>VLOOKUP(A22,情景假设!$B$48:$S$88,15,0)/情景假设!P$47*AE$13</f>
        <v>7687.2622537976149</v>
      </c>
      <c r="AF22" s="90">
        <f>VLOOKUP($A22,平滑数据导入!$A$1:$AN$61,COLUMN(平滑数据导入!K$1),0)</f>
        <v>7746.8410398641699</v>
      </c>
      <c r="AG22" s="90">
        <f>VLOOKUP($A22,平滑数据导入!$A$1:$AN$61,COLUMN(平滑数据导入!L$1),0)</f>
        <v>7796.1454571329687</v>
      </c>
      <c r="AH22" s="90">
        <f>VLOOKUP($A22,平滑数据导入!$A$1:$AN$61,COLUMN(平滑数据导入!M$1),0)</f>
        <v>7834.8160052150743</v>
      </c>
      <c r="AI22" s="90">
        <f>VLOOKUP($A22,平滑数据导入!$A$1:$AN$61,COLUMN(平滑数据导入!N$1),0)</f>
        <v>7862.533122356429</v>
      </c>
      <c r="AJ22" s="141">
        <f>VLOOKUP(A22,情景假设!$B$48:$S$88,16,0)/情景假设!Q$47*AJ$13</f>
        <v>7879.0204906239805</v>
      </c>
      <c r="AK22" s="89">
        <f>VLOOKUP($A22,平滑数据导入!$A$1:$AN$61,COLUMN(平滑数据导入!P$1),0)</f>
        <v>7884.156922064547</v>
      </c>
      <c r="AL22" s="90">
        <f>VLOOKUP($A22,平滑数据导入!$A$1:$AN$61,COLUMN(平滑数据导入!Q$1),0)</f>
        <v>7878.3049104884631</v>
      </c>
      <c r="AM22" s="90">
        <f>VLOOKUP($A22,平滑数据导入!$A$1:$AN$61,COLUMN(平滑数据导入!R$1),0)</f>
        <v>7861.9813297894389</v>
      </c>
      <c r="AN22" s="90">
        <f>VLOOKUP($A22,平滑数据导入!$A$1:$AN$61,COLUMN(平滑数据导入!S$1),0)</f>
        <v>7835.7420490840723</v>
      </c>
      <c r="AO22" s="101">
        <f>VLOOKUP($A22,平滑数据导入!$A$1:$AN$61,COLUMN(平滑数据导入!T$1),0)</f>
        <v>7800.1751476216687</v>
      </c>
      <c r="AP22" s="90">
        <f>VLOOKUP($A22,平滑数据导入!$A$1:$AN$61,COLUMN(平滑数据导入!U$1),0)</f>
        <v>7755.8943004632247</v>
      </c>
      <c r="AQ22" s="90">
        <f>VLOOKUP($A22,平滑数据导入!$A$1:$AN$61,COLUMN(平滑数据导入!V$1),0)</f>
        <v>7703.5324104492338</v>
      </c>
      <c r="AR22" s="90">
        <f>VLOOKUP($A22,平滑数据导入!$A$1:$AN$61,COLUMN(平滑数据导入!W$1),0)</f>
        <v>7643.7355511188516</v>
      </c>
      <c r="AS22" s="90">
        <f>VLOOKUP($A22,平滑数据导入!$A$1:$AN$61,COLUMN(平滑数据导入!X$1),0)</f>
        <v>7577.1572743126917</v>
      </c>
      <c r="AT22" s="90">
        <f>VLOOKUP($A22,平滑数据导入!$A$1:$AN$61,COLUMN(平滑数据导入!Y$1),0)</f>
        <v>7504.4533254321204</v>
      </c>
      <c r="AU22" s="89">
        <f>VLOOKUP($A22,平滑数据导入!$A$1:$AN$61,COLUMN(平滑数据导入!Z$1),0)</f>
        <v>7426.27679895249</v>
      </c>
      <c r="AV22" s="90">
        <f>VLOOKUP($A22,平滑数据导入!$A$1:$AN$61,COLUMN(平滑数据导入!AA$1),0)</f>
        <v>7343.2737569724941</v>
      </c>
      <c r="AW22" s="90">
        <f>VLOOKUP($A22,平滑数据导入!$A$1:$AN$61,COLUMN(平滑数据导入!AB$1),0)</f>
        <v>7256.0793244671104</v>
      </c>
      <c r="AX22" s="90">
        <f>VLOOKUP($A22,平滑数据导入!$A$1:$AN$61,COLUMN(平滑数据导入!AC$1),0)</f>
        <v>7165.3142666083504</v>
      </c>
      <c r="AY22" s="133">
        <f>VLOOKUP(A22,情景假设!$B$48:$S$88,17,0)/情景假设!R$47*AY$13</f>
        <v>7071.5820460973509</v>
      </c>
      <c r="AZ22" s="89">
        <f>VLOOKUP($A22,平滑数据导入!$A$1:$AN$61,COLUMN(平滑数据导入!AE$1),0)</f>
        <v>6975.4663519625601</v>
      </c>
      <c r="BA22" s="90">
        <f>VLOOKUP($A22,平滑数据导入!$A$1:$AN$61,COLUMN(平滑数据导入!AF$1),0)</f>
        <v>6877.529085737925</v>
      </c>
      <c r="BB22" s="90">
        <f>VLOOKUP($A22,平滑数据导入!$A$1:$AN$61,COLUMN(平滑数据导入!AG$1),0)</f>
        <v>6778.3087863390219</v>
      </c>
      <c r="BC22" s="90">
        <f>VLOOKUP($A22,平滑数据导入!$A$1:$AN$61,COLUMN(平滑数据导入!AH$1),0)</f>
        <v>6678.3194712783998</v>
      </c>
      <c r="BD22" s="101">
        <f>VLOOKUP($A22,平滑数据导入!$A$1:$AN$61,COLUMN(平滑数据导入!AI$1),0)</f>
        <v>6578.0498690646646</v>
      </c>
      <c r="BE22" s="90">
        <f>VLOOKUP($A22,平滑数据导入!$A$1:$AN$61,COLUMN(平滑数据导入!AJ$1),0)</f>
        <v>6477.9630156575813</v>
      </c>
      <c r="BF22" s="90">
        <f>VLOOKUP($A22,平滑数据导入!$A$1:$AN$61,COLUMN(平滑数据导入!AK$1),0)</f>
        <v>6378.4961866423764</v>
      </c>
      <c r="BG22" s="90">
        <f>VLOOKUP($A22,平滑数据导入!$A$1:$AN$61,COLUMN(平滑数据导入!AL$1),0)</f>
        <v>6280.0611362709042</v>
      </c>
      <c r="BH22" s="90">
        <f>VLOOKUP($A22,平滑数据导入!$A$1:$AN$61,COLUMN(平滑数据导入!AM$1),0)</f>
        <v>6183.0446146214354</v>
      </c>
      <c r="BI22" s="133">
        <f>VLOOKUP(A22,情景假设!$B$48:$S$88,18,0)/情景假设!S$47*BI$13</f>
        <v>6087.8091347805748</v>
      </c>
    </row>
    <row r="23" spans="1:61" x14ac:dyDescent="0.2">
      <c r="A23" s="30" t="s">
        <v>81</v>
      </c>
      <c r="B23" s="19"/>
      <c r="C23" s="20"/>
      <c r="D23" s="20"/>
      <c r="E23" s="20"/>
      <c r="F23" s="21"/>
      <c r="G23" s="19"/>
      <c r="H23" s="20"/>
      <c r="I23" s="20">
        <f>'增加值 (2001-2022, 当年价) '!I23*I$77</f>
        <v>3020.3405238712726</v>
      </c>
      <c r="J23" s="20">
        <f>'增加值 (2001-2022, 当年价) '!J23*J$77</f>
        <v>3281.1205636919672</v>
      </c>
      <c r="K23" s="21">
        <f>'增加值 (2001-2022, 当年价) '!K23*K$77</f>
        <v>3651.550680724517</v>
      </c>
      <c r="L23" s="19">
        <f>'增加值 (2001-2022, 当年价) '!L23*L$77</f>
        <v>4171.8492624004839</v>
      </c>
      <c r="M23" s="20">
        <f>'增加值 (2001-2022, 当年价) '!M23*M$77</f>
        <v>4468.0210462305595</v>
      </c>
      <c r="N23" s="20">
        <f>'增加值 (2001-2022, 当年价) '!N23*N$77</f>
        <v>4677.3794495133261</v>
      </c>
      <c r="O23" s="20">
        <f>'增加值 (2001-2022, 当年价) '!O23*O$77</f>
        <v>4775.8177167059885</v>
      </c>
      <c r="P23" s="20">
        <f>'增加值 (2001-2022, 当年价) '!P23*P$77</f>
        <v>4879.7297009487811</v>
      </c>
      <c r="Q23" s="19">
        <f>'增加值 (2001-2022, 当年价) '!Q23*Q$77</f>
        <v>5143.0198420387633</v>
      </c>
      <c r="R23" s="20">
        <f>'增加值 (2001-2022, 当年价) '!R23*R$77</f>
        <v>5679.5466147461566</v>
      </c>
      <c r="S23" s="20">
        <f>'增加值 (2001-2022, 当年价) '!S23*S$77</f>
        <v>6067.9398448699503</v>
      </c>
      <c r="T23" s="20">
        <f>'增加值 (2001-2022, 当年价) '!T23*T$77</f>
        <v>6213.2380330633578</v>
      </c>
      <c r="U23" s="21">
        <f>'增加值 (2001-2022, 当年价) '!U23*U$77</f>
        <v>5848.183273548666</v>
      </c>
      <c r="V23" s="20">
        <f>'增加值 (2001-2022, 当年价) '!V23*V$77</f>
        <v>6734.5068704919468</v>
      </c>
      <c r="W23" s="20">
        <f>'增加值 (2001-2022, 当年价) '!W23*W$77</f>
        <v>7272.1184742926107</v>
      </c>
      <c r="X23" s="90">
        <f>VLOOKUP($A23,平滑数据导入!$A$1:$AN$61,COLUMN(平滑数据导入!C$1),0)</f>
        <v>7534.3214010356896</v>
      </c>
      <c r="Y23" s="90">
        <f>VLOOKUP($A23,平滑数据导入!$A$1:$AN$61,COLUMN(平滑数据导入!D$1),0)</f>
        <v>7768.2119036831864</v>
      </c>
      <c r="Z23" s="141">
        <f>VLOOKUP(A23,情景假设!$B$48:$S$88,14,0)/情景假设!O$47*Z$13</f>
        <v>7974.5032124361551</v>
      </c>
      <c r="AA23" s="89">
        <f>VLOOKUP($A23,平滑数据导入!$A$1:$AN$61,COLUMN(平滑数据导入!F$1),0)</f>
        <v>8154.6211727874042</v>
      </c>
      <c r="AB23" s="90">
        <f>VLOOKUP($A23,平滑数据导入!$A$1:$AN$61,COLUMN(平滑数据导入!G$1),0)</f>
        <v>8310.6204989868038</v>
      </c>
      <c r="AC23" s="90">
        <f>VLOOKUP($A23,平滑数据导入!$A$1:$AN$61,COLUMN(平滑数据导入!H$1),0)</f>
        <v>8445.095132730552</v>
      </c>
      <c r="AD23" s="90">
        <f>VLOOKUP($A23,平滑数据导入!$A$1:$AN$61,COLUMN(平滑数据导入!I$1),0)</f>
        <v>8561.0888433666805</v>
      </c>
      <c r="AE23" s="133">
        <f>VLOOKUP(A23,情景假设!$B$48:$S$88,15,0)/情景假设!P$47*AE$13</f>
        <v>8662.0114185586463</v>
      </c>
      <c r="AF23" s="90">
        <f>VLOOKUP($A23,平滑数据导入!$A$1:$AN$61,COLUMN(平滑数据导入!K$1),0)</f>
        <v>8750.8290790838964</v>
      </c>
      <c r="AG23" s="90">
        <f>VLOOKUP($A23,平滑数据导入!$A$1:$AN$61,COLUMN(平滑数据导入!L$1),0)</f>
        <v>8827.743359390106</v>
      </c>
      <c r="AH23" s="90">
        <f>VLOOKUP($A23,平滑数据导入!$A$1:$AN$61,COLUMN(平滑数据导入!M$1),0)</f>
        <v>8892.2788875323786</v>
      </c>
      <c r="AI23" s="90">
        <f>VLOOKUP($A23,平滑数据导入!$A$1:$AN$61,COLUMN(平滑数据导入!N$1),0)</f>
        <v>8944.0076112744464</v>
      </c>
      <c r="AJ23" s="141">
        <f>VLOOKUP(A23,情景假设!$B$48:$S$88,16,0)/情景假设!Q$47*AJ$13</f>
        <v>8982.5529252072301</v>
      </c>
      <c r="AK23" s="89">
        <f>VLOOKUP($A23,平滑数据导入!$A$1:$AN$61,COLUMN(平滑数据导入!P$1),0)</f>
        <v>9007.7138069564116</v>
      </c>
      <c r="AL23" s="90">
        <f>VLOOKUP($A23,平滑数据导入!$A$1:$AN$61,COLUMN(平滑数据导入!Q$1),0)</f>
        <v>9019.8304606677721</v>
      </c>
      <c r="AM23" s="90">
        <f>VLOOKUP($A23,平滑数据导入!$A$1:$AN$61,COLUMN(平滑数据导入!R$1),0)</f>
        <v>9019.423948098336</v>
      </c>
      <c r="AN23" s="90">
        <f>VLOOKUP($A23,平滑数据导入!$A$1:$AN$61,COLUMN(平滑数据导入!S$1),0)</f>
        <v>9007.0689918503322</v>
      </c>
      <c r="AO23" s="101">
        <f>VLOOKUP($A23,平滑数据导入!$A$1:$AN$61,COLUMN(平滑数据导入!T$1),0)</f>
        <v>8983.3861953234627</v>
      </c>
      <c r="AP23" s="90">
        <f>VLOOKUP($A23,平滑数据导入!$A$1:$AN$61,COLUMN(平滑数据导入!U$1),0)</f>
        <v>8949.0343429094592</v>
      </c>
      <c r="AQ23" s="90">
        <f>VLOOKUP($A23,平滑数据导入!$A$1:$AN$61,COLUMN(平滑数据导入!V$1),0)</f>
        <v>8904.7028800275075</v>
      </c>
      <c r="AR23" s="90">
        <f>VLOOKUP($A23,平滑数据导入!$A$1:$AN$61,COLUMN(平滑数据导入!W$1),0)</f>
        <v>8851.1046607032804</v>
      </c>
      <c r="AS23" s="90">
        <f>VLOOKUP($A23,平滑数据导入!$A$1:$AN$61,COLUMN(平滑数据导入!X$1),0)</f>
        <v>8788.9690380615593</v>
      </c>
      <c r="AT23" s="90">
        <f>VLOOKUP($A23,平滑数据导入!$A$1:$AN$61,COLUMN(平滑数据导入!Y$1),0)</f>
        <v>8719.0353606521694</v>
      </c>
      <c r="AU23" s="89">
        <f>VLOOKUP($A23,平滑数据导入!$A$1:$AN$61,COLUMN(平滑数据导入!Z$1),0)</f>
        <v>8642.0469252477906</v>
      </c>
      <c r="AV23" s="90">
        <f>VLOOKUP($A23,平滑数据导入!$A$1:$AN$61,COLUMN(平滑数据导入!AA$1),0)</f>
        <v>8558.7454248838785</v>
      </c>
      <c r="AW23" s="90">
        <f>VLOOKUP($A23,平滑数据导入!$A$1:$AN$61,COLUMN(平滑数据导入!AB$1),0)</f>
        <v>8469.8659196659792</v>
      </c>
      <c r="AX23" s="90">
        <f>VLOOKUP($A23,平滑数据导入!$A$1:$AN$61,COLUMN(平滑数据导入!AC$1),0)</f>
        <v>8376.1323474094806</v>
      </c>
      <c r="AY23" s="133">
        <f>VLOOKUP(A23,情景假设!$B$48:$S$88,17,0)/情景假设!R$47*AY$13</f>
        <v>8278.2535816330619</v>
      </c>
      <c r="AZ23" s="89">
        <f>VLOOKUP($A23,平滑数据导入!$A$1:$AN$61,COLUMN(平滑数据导入!AE$1),0)</f>
        <v>8176.9200358859198</v>
      </c>
      <c r="BA23" s="90">
        <f>VLOOKUP($A23,平滑数据导入!$A$1:$AN$61,COLUMN(平滑数据导入!AF$1),0)</f>
        <v>8072.8008059079921</v>
      </c>
      <c r="BB23" s="90">
        <f>VLOOKUP($A23,平滑数据导入!$A$1:$AN$61,COLUMN(平滑数据导入!AG$1),0)</f>
        <v>7966.5413347244657</v>
      </c>
      <c r="BC23" s="90">
        <f>VLOOKUP($A23,平滑数据导入!$A$1:$AN$61,COLUMN(平滑数据导入!AH$1),0)</f>
        <v>7858.7615804602092</v>
      </c>
      <c r="BD23" s="101">
        <f>VLOOKUP($A23,平滑数据导入!$A$1:$AN$61,COLUMN(平滑数据导入!AI$1),0)</f>
        <v>7750.0546623982464</v>
      </c>
      <c r="BE23" s="90">
        <f>VLOOKUP($A23,平滑数据导入!$A$1:$AN$61,COLUMN(平滑数据导入!AJ$1),0)</f>
        <v>7640.9859575577148</v>
      </c>
      <c r="BF23" s="90">
        <f>VLOOKUP($A23,平滑数据导入!$A$1:$AN$61,COLUMN(平滑数据导入!AK$1),0)</f>
        <v>7532.0926177681195</v>
      </c>
      <c r="BG23" s="90">
        <f>VLOOKUP($A23,平滑数据导入!$A$1:$AN$61,COLUMN(平滑数据导入!AL$1),0)</f>
        <v>7423.8834758001012</v>
      </c>
      <c r="BH23" s="90">
        <f>VLOOKUP($A23,平滑数据导入!$A$1:$AN$61,COLUMN(平滑数据导入!AM$1),0)</f>
        <v>7316.8393085006464</v>
      </c>
      <c r="BI23" s="133">
        <f>VLOOKUP(A23,情景假设!$B$48:$S$88,18,0)/情景假设!S$47*BI$13</f>
        <v>7211.413424989737</v>
      </c>
    </row>
    <row r="24" spans="1:61" x14ac:dyDescent="0.2">
      <c r="A24" s="30" t="s">
        <v>82</v>
      </c>
      <c r="B24" s="19"/>
      <c r="C24" s="20"/>
      <c r="D24" s="20"/>
      <c r="E24" s="20"/>
      <c r="F24" s="21"/>
      <c r="G24" s="19"/>
      <c r="H24" s="20"/>
      <c r="I24" s="20">
        <f>'增加值 (2001-2022, 当年价) '!I24*I$77</f>
        <v>5910.2529339903967</v>
      </c>
      <c r="J24" s="20">
        <f>'增加值 (2001-2022, 当年价) '!J24*J$77</f>
        <v>6061.9868434906066</v>
      </c>
      <c r="K24" s="21">
        <f>'增加值 (2001-2022, 当年价) '!K24*K$77</f>
        <v>6587.4237670059674</v>
      </c>
      <c r="L24" s="19">
        <f>'增加值 (2001-2022, 当年价) '!L24*L$77</f>
        <v>7127.2733201323808</v>
      </c>
      <c r="M24" s="20">
        <f>'增加值 (2001-2022, 当年价) '!M24*M$77</f>
        <v>7416.135483677398</v>
      </c>
      <c r="N24" s="20">
        <f>'增加值 (2001-2022, 当年价) '!N24*N$77</f>
        <v>7552.2827148565511</v>
      </c>
      <c r="O24" s="20">
        <f>'增加值 (2001-2022, 当年价) '!O24*O$77</f>
        <v>7834.3150298743867</v>
      </c>
      <c r="P24" s="20">
        <f>'增加值 (2001-2022, 当年价) '!P24*P$77</f>
        <v>7685.1772861720265</v>
      </c>
      <c r="Q24" s="19">
        <f>'增加值 (2001-2022, 当年价) '!Q24*Q$77</f>
        <v>6877.3623126955108</v>
      </c>
      <c r="R24" s="20">
        <f>'增加值 (2001-2022, 当年价) '!R24*R$77</f>
        <v>7204.9831937381059</v>
      </c>
      <c r="S24" s="20">
        <f>'增加值 (2001-2022, 当年价) '!S24*S$77</f>
        <v>7604.4308278526087</v>
      </c>
      <c r="T24" s="20">
        <f>'增加值 (2001-2022, 当年价) '!T24*T$77</f>
        <v>7713.2012358029078</v>
      </c>
      <c r="U24" s="21">
        <f>'增加值 (2001-2022, 当年价) '!U24*U$77</f>
        <v>7700.2442564631801</v>
      </c>
      <c r="V24" s="20">
        <f>'增加值 (2001-2022, 当年价) '!V24*V$77</f>
        <v>8298.0213959945031</v>
      </c>
      <c r="W24" s="20">
        <f>'增加值 (2001-2022, 当年价) '!W24*W$77</f>
        <v>9019.4531857153415</v>
      </c>
      <c r="X24" s="90">
        <f>VLOOKUP($A24,平滑数据导入!$A$1:$AN$61,COLUMN(平滑数据导入!C$1),0)</f>
        <v>9253.8255514041102</v>
      </c>
      <c r="Y24" s="90">
        <f>VLOOKUP($A24,平滑数据导入!$A$1:$AN$61,COLUMN(平滑数据导入!D$1),0)</f>
        <v>9456.8147949104314</v>
      </c>
      <c r="Z24" s="141">
        <f>VLOOKUP(A24,情景假设!$B$48:$S$88,14,0)/情景假设!O$47*Z$13</f>
        <v>9629.8168982428433</v>
      </c>
      <c r="AA24" s="89">
        <f>VLOOKUP($A24,平滑数据导入!$A$1:$AN$61,COLUMN(平滑数据导入!F$1),0)</f>
        <v>9774.7990784669291</v>
      </c>
      <c r="AB24" s="90">
        <f>VLOOKUP($A24,平滑数据导入!$A$1:$AN$61,COLUMN(平滑数据导入!G$1),0)</f>
        <v>9894.2164452323232</v>
      </c>
      <c r="AC24" s="90">
        <f>VLOOKUP($A24,平滑数据导入!$A$1:$AN$61,COLUMN(平滑数据导入!H$1),0)</f>
        <v>9990.927923830388</v>
      </c>
      <c r="AD24" s="90">
        <f>VLOOKUP($A24,平滑数据导入!$A$1:$AN$61,COLUMN(平滑数据导入!I$1),0)</f>
        <v>10068.11553573817</v>
      </c>
      <c r="AE24" s="133">
        <f>VLOOKUP(A24,情景假设!$B$48:$S$88,15,0)/情景假设!P$47*AE$13</f>
        <v>10129.210457319381</v>
      </c>
      <c r="AF24" s="90">
        <f>VLOOKUP($A24,平滑数据导入!$A$1:$AN$61,COLUMN(平滑数据导入!K$1),0)</f>
        <v>10177.134227618049</v>
      </c>
      <c r="AG24" s="90">
        <f>VLOOKUP($A24,平滑数据导入!$A$1:$AN$61,COLUMN(平滑数据导入!L$1),0)</f>
        <v>10212.14236987303</v>
      </c>
      <c r="AH24" s="90">
        <f>VLOOKUP($A24,平滑数据导入!$A$1:$AN$61,COLUMN(平滑数据导入!M$1),0)</f>
        <v>10233.84857422811</v>
      </c>
      <c r="AI24" s="90">
        <f>VLOOKUP($A24,平滑数据导入!$A$1:$AN$61,COLUMN(平滑数据导入!N$1),0)</f>
        <v>10241.91570830548</v>
      </c>
      <c r="AJ24" s="141">
        <f>VLOOKUP(A24,情景假设!$B$48:$S$88,16,0)/情景假设!Q$47*AJ$13</f>
        <v>10236.059691831877</v>
      </c>
      <c r="AK24" s="89">
        <f>VLOOKUP($A24,平滑数据导入!$A$1:$AN$61,COLUMN(平滑数据导入!P$1),0)</f>
        <v>10216.199578139969</v>
      </c>
      <c r="AL24" s="90">
        <f>VLOOKUP($A24,平滑数据导入!$A$1:$AN$61,COLUMN(平滑数据导入!Q$1),0)</f>
        <v>10182.896393575469</v>
      </c>
      <c r="AM24" s="90">
        <f>VLOOKUP($A24,平滑数据导入!$A$1:$AN$61,COLUMN(平滑数据导入!R$1),0)</f>
        <v>10136.904575377979</v>
      </c>
      <c r="AN24" s="90">
        <f>VLOOKUP($A24,平滑数据导入!$A$1:$AN$61,COLUMN(平滑数据导入!S$1),0)</f>
        <v>10079.016283782221</v>
      </c>
      <c r="AO24" s="101">
        <f>VLOOKUP($A24,平滑数据导入!$A$1:$AN$61,COLUMN(平滑数据导入!T$1),0)</f>
        <v>10010.05283129588</v>
      </c>
      <c r="AP24" s="90">
        <f>VLOOKUP($A24,平滑数据导入!$A$1:$AN$61,COLUMN(平滑数据导入!U$1),0)</f>
        <v>9930.8564739313661</v>
      </c>
      <c r="AQ24" s="90">
        <f>VLOOKUP($A24,平滑数据导入!$A$1:$AN$61,COLUMN(平滑数据导入!V$1),0)</f>
        <v>9842.2826427618493</v>
      </c>
      <c r="AR24" s="90">
        <f>VLOOKUP($A24,平滑数据导入!$A$1:$AN$61,COLUMN(平滑数据导入!W$1),0)</f>
        <v>9745.1926799489502</v>
      </c>
      <c r="AS24" s="90">
        <f>VLOOKUP($A24,平滑数据导入!$A$1:$AN$61,COLUMN(平滑数据导入!X$1),0)</f>
        <v>9640.447129501259</v>
      </c>
      <c r="AT24" s="90">
        <f>VLOOKUP($A24,平滑数据导入!$A$1:$AN$61,COLUMN(平滑数据导入!Y$1),0)</f>
        <v>9528.899619727048</v>
      </c>
      <c r="AU24" s="89">
        <f>VLOOKUP($A24,平滑数据导入!$A$1:$AN$61,COLUMN(平滑数据导入!Z$1),0)</f>
        <v>9411.391361852222</v>
      </c>
      <c r="AV24" s="90">
        <f>VLOOKUP($A24,平滑数据导入!$A$1:$AN$61,COLUMN(平滑数据导入!AA$1),0)</f>
        <v>9288.7462777537967</v>
      </c>
      <c r="AW24" s="90">
        <f>VLOOKUP($A24,平滑数据导入!$A$1:$AN$61,COLUMN(平滑数据导入!AB$1),0)</f>
        <v>9161.7667593333044</v>
      </c>
      <c r="AX24" s="90">
        <f>VLOOKUP($A24,平滑数据导入!$A$1:$AN$61,COLUMN(平滑数据导入!AC$1),0)</f>
        <v>9031.2300528055839</v>
      </c>
      <c r="AY24" s="133">
        <f>VLOOKUP(A24,情景假设!$B$48:$S$88,17,0)/情景假设!R$47*AY$13</f>
        <v>8897.8852531527373</v>
      </c>
      <c r="AZ24" s="89">
        <f>VLOOKUP($A24,平滑数据导入!$A$1:$AN$61,COLUMN(平滑数据导入!AE$1),0)</f>
        <v>8762.4508872029583</v>
      </c>
      <c r="BA24" s="90">
        <f>VLOOKUP($A24,平滑数据导入!$A$1:$AN$61,COLUMN(平滑数据导入!AF$1),0)</f>
        <v>8625.6130582222631</v>
      </c>
      <c r="BB24" s="90">
        <f>VLOOKUP($A24,平滑数据导入!$A$1:$AN$61,COLUMN(平滑数据导入!AG$1),0)</f>
        <v>8488.0241205136517</v>
      </c>
      <c r="BC24" s="90">
        <f>VLOOKUP($A24,平滑数据导入!$A$1:$AN$61,COLUMN(平滑数据导入!AH$1),0)</f>
        <v>8350.3018492428801</v>
      </c>
      <c r="BD24" s="101">
        <f>VLOOKUP($A24,平滑数据导入!$A$1:$AN$61,COLUMN(平滑数据导入!AI$1),0)</f>
        <v>8213.0290684770098</v>
      </c>
      <c r="BE24" s="90">
        <f>VLOOKUP($A24,平滑数据导入!$A$1:$AN$61,COLUMN(平滑数据导入!AJ$1),0)</f>
        <v>8076.7536991445131</v>
      </c>
      <c r="BF24" s="90">
        <f>VLOOKUP($A24,平滑数据导入!$A$1:$AN$61,COLUMN(平滑数据导入!AK$1),0)</f>
        <v>7941.9891882120464</v>
      </c>
      <c r="BG24" s="90">
        <f>VLOOKUP($A24,平滑数据导入!$A$1:$AN$61,COLUMN(平滑数据导入!AL$1),0)</f>
        <v>7809.2152807247539</v>
      </c>
      <c r="BH24" s="90">
        <f>VLOOKUP($A24,平滑数据导入!$A$1:$AN$61,COLUMN(平滑数据导入!AM$1),0)</f>
        <v>7678.8790973764089</v>
      </c>
      <c r="BI24" s="133">
        <f>VLOOKUP(A24,情景假设!$B$48:$S$88,18,0)/情景假设!S$47*BI$13</f>
        <v>7551.3964818706863</v>
      </c>
    </row>
    <row r="25" spans="1:61" x14ac:dyDescent="0.2">
      <c r="A25" s="30" t="s">
        <v>83</v>
      </c>
      <c r="B25" s="19"/>
      <c r="C25" s="20"/>
      <c r="D25" s="20"/>
      <c r="E25" s="20"/>
      <c r="F25" s="21"/>
      <c r="G25" s="19"/>
      <c r="H25" s="20"/>
      <c r="I25" s="20">
        <f>'增加值 (2001-2022, 当年价) '!I25*I$77</f>
        <v>5647.7680515797283</v>
      </c>
      <c r="J25" s="20">
        <f>'增加值 (2001-2022, 当年价) '!J25*J$77</f>
        <v>5808.8244530877719</v>
      </c>
      <c r="K25" s="21">
        <f>'增加值 (2001-2022, 当年价) '!K25*K$77</f>
        <v>6295.3948284344315</v>
      </c>
      <c r="L25" s="19">
        <f>'增加值 (2001-2022, 当年价) '!L25*L$77</f>
        <v>6551.1998829030117</v>
      </c>
      <c r="M25" s="20">
        <f>'增加值 (2001-2022, 当年价) '!M25*M$77</f>
        <v>6997.5786247679334</v>
      </c>
      <c r="N25" s="20">
        <f>'增加值 (2001-2022, 当年价) '!N25*N$77</f>
        <v>7225.7532936361977</v>
      </c>
      <c r="O25" s="20">
        <f>'增加值 (2001-2022, 当年价) '!O25*O$77</f>
        <v>7391.6786908238228</v>
      </c>
      <c r="P25" s="20">
        <f>'增加值 (2001-2022, 当年价) '!P25*P$77</f>
        <v>7503.4186514554003</v>
      </c>
      <c r="Q25" s="19">
        <f>'增加值 (2001-2022, 当年价) '!Q25*Q$77</f>
        <v>7725.2103975749078</v>
      </c>
      <c r="R25" s="20">
        <f>'增加值 (2001-2022, 当年价) '!R25*R$77</f>
        <v>8132.3183921548325</v>
      </c>
      <c r="S25" s="20">
        <f>'增加值 (2001-2022, 当年价) '!S25*S$77</f>
        <v>8178.3110397253649</v>
      </c>
      <c r="T25" s="20">
        <f>'增加值 (2001-2022, 当年价) '!T25*T$77</f>
        <v>7987.7649672471616</v>
      </c>
      <c r="U25" s="21">
        <f>'增加值 (2001-2022, 当年价) '!U25*U$77</f>
        <v>7781.1697585795664</v>
      </c>
      <c r="V25" s="20">
        <f>'增加值 (2001-2022, 当年价) '!V25*V$77</f>
        <v>8215.0941346473574</v>
      </c>
      <c r="W25" s="20">
        <f>'增加值 (2001-2022, 当年价) '!W25*W$77</f>
        <v>8119.836142530613</v>
      </c>
      <c r="X25" s="90">
        <f>VLOOKUP($A25,平滑数据导入!$A$1:$AN$61,COLUMN(平滑数据导入!C$1),0)</f>
        <v>8094.1000231452126</v>
      </c>
      <c r="Y25" s="90">
        <f>VLOOKUP($A25,平滑数据导入!$A$1:$AN$61,COLUMN(平滑数据导入!D$1),0)</f>
        <v>8067.1591239499139</v>
      </c>
      <c r="Z25" s="141">
        <f>VLOOKUP(A25,情景假设!$B$48:$S$88,14,0)/情景假设!O$47*Z$13</f>
        <v>8037.7735320370703</v>
      </c>
      <c r="AA25" s="89">
        <f>VLOOKUP($A25,平滑数据导入!$A$1:$AN$61,COLUMN(平滑数据导入!F$1),0)</f>
        <v>8004.7232949267118</v>
      </c>
      <c r="AB25" s="90">
        <f>VLOOKUP($A25,平滑数据导入!$A$1:$AN$61,COLUMN(平滑数据导入!G$1),0)</f>
        <v>7966.8131063407827</v>
      </c>
      <c r="AC25" s="90">
        <f>VLOOKUP($A25,平滑数据导入!$A$1:$AN$61,COLUMN(平滑数据导入!H$1),0)</f>
        <v>7922.8787908377144</v>
      </c>
      <c r="AD25" s="90">
        <f>VLOOKUP($A25,平滑数据导入!$A$1:$AN$61,COLUMN(平滑数据导入!I$1),0)</f>
        <v>7871.7954925723998</v>
      </c>
      <c r="AE25" s="133">
        <f>VLOOKUP(A25,情景假设!$B$48:$S$88,15,0)/情景假设!P$47*AE$13</f>
        <v>7812.4874425546368</v>
      </c>
      <c r="AF25" s="90">
        <f>VLOOKUP($A25,平滑数据导入!$A$1:$AN$61,COLUMN(平滑数据导入!K$1),0)</f>
        <v>7744.1546161005963</v>
      </c>
      <c r="AG25" s="90">
        <f>VLOOKUP($A25,平滑数据导入!$A$1:$AN$61,COLUMN(平滑数据导入!L$1),0)</f>
        <v>7666.9141905073629</v>
      </c>
      <c r="AH25" s="90">
        <f>VLOOKUP($A25,平滑数据导入!$A$1:$AN$61,COLUMN(平滑数据导入!M$1),0)</f>
        <v>7581.1297394676376</v>
      </c>
      <c r="AI25" s="90">
        <f>VLOOKUP($A25,平滑数据导入!$A$1:$AN$61,COLUMN(平滑数据导入!N$1),0)</f>
        <v>7487.1895721992651</v>
      </c>
      <c r="AJ25" s="141">
        <f>VLOOKUP(A25,情景假设!$B$48:$S$88,16,0)/情景假设!Q$47*AJ$13</f>
        <v>7385.5040170272196</v>
      </c>
      <c r="AK25" s="89">
        <f>VLOOKUP($A25,平滑数据导入!$A$1:$AN$61,COLUMN(平滑数据导入!P$1),0)</f>
        <v>7276.5735771967047</v>
      </c>
      <c r="AL25" s="90">
        <f>VLOOKUP($A25,平滑数据导入!$A$1:$AN$61,COLUMN(平滑数据导入!Q$1),0)</f>
        <v>7161.1898954440676</v>
      </c>
      <c r="AM25" s="90">
        <f>VLOOKUP($A25,平滑数据导入!$A$1:$AN$61,COLUMN(平滑数据导入!R$1),0)</f>
        <v>7040.2027906791182</v>
      </c>
      <c r="AN25" s="90">
        <f>VLOOKUP($A25,平滑数据导入!$A$1:$AN$61,COLUMN(平滑数据导入!S$1),0)</f>
        <v>6914.4413400377252</v>
      </c>
      <c r="AO25" s="101">
        <f>VLOOKUP($A25,平滑数据导入!$A$1:$AN$61,COLUMN(平滑数据导入!T$1),0)</f>
        <v>6784.7087267415855</v>
      </c>
      <c r="AP25" s="90">
        <f>VLOOKUP($A25,平滑数据导入!$A$1:$AN$61,COLUMN(平滑数据导入!U$1),0)</f>
        <v>6651.7778656773062</v>
      </c>
      <c r="AQ25" s="90">
        <f>VLOOKUP($A25,平滑数据导入!$A$1:$AN$61,COLUMN(平滑数据导入!V$1),0)</f>
        <v>6516.3877886724422</v>
      </c>
      <c r="AR25" s="90">
        <f>VLOOKUP($A25,平滑数据导入!$A$1:$AN$61,COLUMN(平滑数据导入!W$1),0)</f>
        <v>6379.2407611700437</v>
      </c>
      <c r="AS25" s="90">
        <f>VLOOKUP($A25,平滑数据导入!$A$1:$AN$61,COLUMN(平滑数据导入!X$1),0)</f>
        <v>6241.000093550675</v>
      </c>
      <c r="AT25" s="90">
        <f>VLOOKUP($A25,平滑数据导入!$A$1:$AN$61,COLUMN(平滑数据导入!Y$1),0)</f>
        <v>6102.2886036704404</v>
      </c>
      <c r="AU25" s="89">
        <f>VLOOKUP($A25,平滑数据导入!$A$1:$AN$61,COLUMN(平滑数据导入!Z$1),0)</f>
        <v>5963.6876821894684</v>
      </c>
      <c r="AV25" s="90">
        <f>VLOOKUP($A25,平滑数据导入!$A$1:$AN$61,COLUMN(平滑数据导入!AA$1),0)</f>
        <v>5825.7369088381374</v>
      </c>
      <c r="AW25" s="90">
        <f>VLOOKUP($A25,平滑数据导入!$A$1:$AN$61,COLUMN(平滑数据导入!AB$1),0)</f>
        <v>5688.934165774629</v>
      </c>
      <c r="AX25" s="90">
        <f>VLOOKUP($A25,平滑数据导入!$A$1:$AN$61,COLUMN(平滑数据导入!AC$1),0)</f>
        <v>5553.736193470857</v>
      </c>
      <c r="AY25" s="133">
        <f>VLOOKUP(A25,情景假设!$B$48:$S$88,17,0)/情景假设!R$47*AY$13</f>
        <v>5420.5595349702808</v>
      </c>
      <c r="AZ25" s="89">
        <f>VLOOKUP($A25,平滑数据导入!$A$1:$AN$61,COLUMN(平滑数据导入!AE$1),0)</f>
        <v>5289.7818157248821</v>
      </c>
      <c r="BA25" s="90">
        <f>VLOOKUP($A25,平滑数据导入!$A$1:$AN$61,COLUMN(平滑数据导入!AF$1),0)</f>
        <v>5161.7433083847654</v>
      </c>
      <c r="BB25" s="90">
        <f>VLOOKUP($A25,平滑数据导入!$A$1:$AN$61,COLUMN(平滑数据导入!AG$1),0)</f>
        <v>5036.7487347272163</v>
      </c>
      <c r="BC25" s="90">
        <f>VLOOKUP($A25,平滑数据导入!$A$1:$AN$61,COLUMN(平滑数据导入!AH$1),0)</f>
        <v>4915.0692602324734</v>
      </c>
      <c r="BD25" s="101">
        <f>VLOOKUP($A25,平滑数据导入!$A$1:$AN$61,COLUMN(平滑数据导入!AI$1),0)</f>
        <v>4796.9446405091812</v>
      </c>
      <c r="BE25" s="90">
        <f>VLOOKUP($A25,平滑数据导入!$A$1:$AN$61,COLUMN(平滑数据导入!AJ$1),0)</f>
        <v>4682.5854827264602</v>
      </c>
      <c r="BF25" s="90">
        <f>VLOOKUP($A25,平滑数据导入!$A$1:$AN$61,COLUMN(平滑数据导入!AK$1),0)</f>
        <v>4572.1755893194368</v>
      </c>
      <c r="BG25" s="90">
        <f>VLOOKUP($A25,平滑数据导入!$A$1:$AN$61,COLUMN(平滑数据导入!AL$1),0)</f>
        <v>4465.8743554133489</v>
      </c>
      <c r="BH25" s="90">
        <f>VLOOKUP($A25,平滑数据导入!$A$1:$AN$61,COLUMN(平滑数据导入!AM$1),0)</f>
        <v>4363.8191955845914</v>
      </c>
      <c r="BI25" s="133">
        <f>VLOOKUP(A25,情景假设!$B$48:$S$88,18,0)/情景假设!S$47*BI$13</f>
        <v>4266.1279796879544</v>
      </c>
    </row>
    <row r="26" spans="1:61" ht="13.9" customHeight="1" x14ac:dyDescent="0.2">
      <c r="A26" s="30" t="s">
        <v>84</v>
      </c>
      <c r="B26" s="19"/>
      <c r="C26" s="20"/>
      <c r="D26" s="20"/>
      <c r="E26" s="20"/>
      <c r="F26" s="21"/>
      <c r="G26" s="19"/>
      <c r="H26" s="20"/>
      <c r="I26" s="20">
        <f>'增加值 (2001-2022, 当年价) '!I26*I$77</f>
        <v>3460.8916760455404</v>
      </c>
      <c r="J26" s="20">
        <f>'增加值 (2001-2022, 当年价) '!J26*J$77</f>
        <v>3605.515444217865</v>
      </c>
      <c r="K26" s="21">
        <f>'增加值 (2001-2022, 当年价) '!K26*K$77</f>
        <v>4026.5743894484108</v>
      </c>
      <c r="L26" s="19">
        <f>'增加值 (2001-2022, 当年价) '!L26*L$77</f>
        <v>4472.6300956934492</v>
      </c>
      <c r="M26" s="20">
        <f>'增加值 (2001-2022, 当年价) '!M26*M$77</f>
        <v>4564.4856573758252</v>
      </c>
      <c r="N26" s="20">
        <f>'增加值 (2001-2022, 当年价) '!N26*N$77</f>
        <v>4648.2816027676581</v>
      </c>
      <c r="O26" s="20">
        <f>'增加值 (2001-2022, 当年价) '!O26*O$77</f>
        <v>4777.3025609458309</v>
      </c>
      <c r="P26" s="20">
        <f>'增加值 (2001-2022, 当年价) '!P26*P$77</f>
        <v>4731.6821855644102</v>
      </c>
      <c r="Q26" s="19">
        <f>'增加值 (2001-2022, 当年价) '!Q26*Q$77</f>
        <v>4793.0460137299378</v>
      </c>
      <c r="R26" s="20">
        <f>'增加值 (2001-2022, 当年价) '!R26*R$77</f>
        <v>5132.9612289534653</v>
      </c>
      <c r="S26" s="20">
        <f>'增加值 (2001-2022, 当年价) '!S26*S$77</f>
        <v>5335.7608842140544</v>
      </c>
      <c r="T26" s="20">
        <f>'增加值 (2001-2022, 当年价) '!T26*T$77</f>
        <v>5190.8649943427326</v>
      </c>
      <c r="U26" s="21">
        <f>'增加值 (2001-2022, 当年价) '!U26*U$77</f>
        <v>4569.5272137342927</v>
      </c>
      <c r="V26" s="20">
        <f>'增加值 (2001-2022, 当年价) '!V26*V$77</f>
        <v>5162.1510144134963</v>
      </c>
      <c r="W26" s="20">
        <f>'增加值 (2001-2022, 当年价) '!W26*W$77</f>
        <v>5144.2443998897388</v>
      </c>
      <c r="X26" s="90">
        <f>VLOOKUP($A26,平滑数据导入!$A$1:$AN$61,COLUMN(平滑数据导入!C$1),0)</f>
        <v>5141.6343969177733</v>
      </c>
      <c r="Y26" s="90">
        <f>VLOOKUP($A26,平滑数据导入!$A$1:$AN$61,COLUMN(平滑数据导入!D$1),0)</f>
        <v>5139.3984190593901</v>
      </c>
      <c r="Z26" s="141">
        <f>VLOOKUP(A26,情景假设!$B$48:$S$88,14,0)/情景假设!O$47*Z$13</f>
        <v>5136.3745359993773</v>
      </c>
      <c r="AA26" s="89">
        <f>VLOOKUP($A26,平滑数据导入!$A$1:$AN$61,COLUMN(平滑数据导入!F$1),0)</f>
        <v>5131.4038203351283</v>
      </c>
      <c r="AB26" s="90">
        <f>VLOOKUP($A26,平滑数据导入!$A$1:$AN$61,COLUMN(平滑数据导入!G$1),0)</f>
        <v>5123.333433496121</v>
      </c>
      <c r="AC26" s="90">
        <f>VLOOKUP($A26,平滑数据导入!$A$1:$AN$61,COLUMN(平滑数据导入!H$1),0)</f>
        <v>5111.0223066274848</v>
      </c>
      <c r="AD26" s="90">
        <f>VLOOKUP($A26,平滑数据导入!$A$1:$AN$61,COLUMN(平滑数据导入!I$1),0)</f>
        <v>5093.349364717802</v>
      </c>
      <c r="AE26" s="133">
        <f>VLOOKUP(A26,情景假设!$B$48:$S$88,15,0)/情景假设!P$47*AE$13</f>
        <v>5069.2241986603858</v>
      </c>
      <c r="AF26" s="90">
        <f>VLOOKUP($A26,平滑数据导入!$A$1:$AN$61,COLUMN(平滑数据导入!K$1),0)</f>
        <v>5037.8222745751154</v>
      </c>
      <c r="AG26" s="90">
        <f>VLOOKUP($A26,平滑数据导入!$A$1:$AN$61,COLUMN(平滑数据导入!L$1),0)</f>
        <v>4999.2528131548652</v>
      </c>
      <c r="AH26" s="90">
        <f>VLOOKUP($A26,平滑数据导入!$A$1:$AN$61,COLUMN(平滑数据导入!M$1),0)</f>
        <v>4953.874900262017</v>
      </c>
      <c r="AI26" s="90">
        <f>VLOOKUP($A26,平滑数据导入!$A$1:$AN$61,COLUMN(平滑数据导入!N$1),0)</f>
        <v>4902.0689170080695</v>
      </c>
      <c r="AJ26" s="141">
        <f>VLOOKUP(A26,情景假设!$B$48:$S$88,16,0)/情景假设!Q$47*AJ$13</f>
        <v>4844.2326849565052</v>
      </c>
      <c r="AK26" s="89">
        <f>VLOOKUP($A26,平滑数据导入!$A$1:$AN$61,COLUMN(平滑数据导入!P$1),0)</f>
        <v>4780.8079997202349</v>
      </c>
      <c r="AL26" s="90">
        <f>VLOOKUP($A26,平滑数据导入!$A$1:$AN$61,COLUMN(平滑数据导入!Q$1),0)</f>
        <v>4712.3644367937377</v>
      </c>
      <c r="AM26" s="90">
        <f>VLOOKUP($A26,平滑数据导入!$A$1:$AN$61,COLUMN(平滑数据导入!R$1),0)</f>
        <v>4639.4979652803904</v>
      </c>
      <c r="AN26" s="90">
        <f>VLOOKUP($A26,平滑数据导入!$A$1:$AN$61,COLUMN(平滑数据导入!S$1),0)</f>
        <v>4562.7949263736646</v>
      </c>
      <c r="AO26" s="101">
        <f>VLOOKUP($A26,平滑数据导入!$A$1:$AN$61,COLUMN(平滑数据导入!T$1),0)</f>
        <v>4482.8276809400322</v>
      </c>
      <c r="AP26" s="90">
        <f>VLOOKUP($A26,平滑数据导入!$A$1:$AN$61,COLUMN(平滑数据导入!U$1),0)</f>
        <v>4400.1508412991116</v>
      </c>
      <c r="AQ26" s="90">
        <f>VLOOKUP($A26,平滑数据导入!$A$1:$AN$61,COLUMN(平滑数据导入!V$1),0)</f>
        <v>4315.298083126223</v>
      </c>
      <c r="AR26" s="90">
        <f>VLOOKUP($A26,平滑数据导入!$A$1:$AN$61,COLUMN(平滑数据导入!W$1),0)</f>
        <v>4228.7795238627132</v>
      </c>
      <c r="AS26" s="90">
        <f>VLOOKUP($A26,平滑数据导入!$A$1:$AN$61,COLUMN(平滑数据导入!X$1),0)</f>
        <v>4141.0796459653193</v>
      </c>
      <c r="AT26" s="90">
        <f>VLOOKUP($A26,平滑数据导入!$A$1:$AN$61,COLUMN(平滑数据导入!Y$1),0)</f>
        <v>4052.6557367501928</v>
      </c>
      <c r="AU26" s="89">
        <f>VLOOKUP($A26,平滑数据导入!$A$1:$AN$61,COLUMN(平滑数据导入!Z$1),0)</f>
        <v>3963.9368114453559</v>
      </c>
      <c r="AV26" s="90">
        <f>VLOOKUP($A26,平滑数据导入!$A$1:$AN$61,COLUMN(平滑数据导入!AA$1),0)</f>
        <v>3875.3229822810249</v>
      </c>
      <c r="AW26" s="90">
        <f>VLOOKUP($A26,平滑数据导入!$A$1:$AN$61,COLUMN(平滑数据导入!AB$1),0)</f>
        <v>3787.1852339219649</v>
      </c>
      <c r="AX26" s="90">
        <f>VLOOKUP($A26,平滑数据导入!$A$1:$AN$61,COLUMN(平滑数据导入!AC$1),0)</f>
        <v>3699.8655641616601</v>
      </c>
      <c r="AY26" s="133">
        <f>VLOOKUP(A26,情景假设!$B$48:$S$88,17,0)/情景假设!R$47*AY$13</f>
        <v>3613.677448428954</v>
      </c>
      <c r="AZ26" s="89">
        <f>VLOOKUP($A26,平滑数据导入!$A$1:$AN$61,COLUMN(平滑数据导入!AE$1),0)</f>
        <v>3528.90658717003</v>
      </c>
      <c r="BA26" s="90">
        <f>VLOOKUP($A26,平滑数据导入!$A$1:$AN$61,COLUMN(平滑数据导入!AF$1),0)</f>
        <v>3445.8118964283071</v>
      </c>
      <c r="BB26" s="90">
        <f>VLOOKUP($A26,平滑数据导入!$A$1:$AN$61,COLUMN(平滑数据导入!AG$1),0)</f>
        <v>3364.62670382346</v>
      </c>
      <c r="BC26" s="90">
        <f>VLOOKUP($A26,平滑数据导入!$A$1:$AN$61,COLUMN(平滑数据导入!AH$1),0)</f>
        <v>3285.5601145025012</v>
      </c>
      <c r="BD26" s="101">
        <f>VLOOKUP($A26,平滑数据导入!$A$1:$AN$61,COLUMN(平滑数据导入!AI$1),0)</f>
        <v>3208.7985143878609</v>
      </c>
      <c r="BE26" s="90">
        <f>VLOOKUP($A26,平滑数据导入!$A$1:$AN$61,COLUMN(平滑数据导入!AJ$1),0)</f>
        <v>3134.5071810747609</v>
      </c>
      <c r="BF26" s="90">
        <f>VLOOKUP($A26,平滑数据导入!$A$1:$AN$61,COLUMN(平滑数据导入!AK$1),0)</f>
        <v>3062.8319759419592</v>
      </c>
      <c r="BG26" s="90">
        <f>VLOOKUP($A26,平滑数据导入!$A$1:$AN$61,COLUMN(平滑数据导入!AL$1),0)</f>
        <v>2993.9010943563248</v>
      </c>
      <c r="BH26" s="90">
        <f>VLOOKUP($A26,平滑数据导入!$A$1:$AN$61,COLUMN(平滑数据导入!AM$1),0)</f>
        <v>2927.826854208296</v>
      </c>
      <c r="BI26" s="133">
        <f>VLOOKUP(A26,情景假设!$B$48:$S$88,18,0)/情景假设!S$47*BI$13</f>
        <v>2864.7075063570937</v>
      </c>
    </row>
    <row r="27" spans="1:61" ht="13.9" customHeight="1" x14ac:dyDescent="0.2">
      <c r="A27" s="30" t="s">
        <v>85</v>
      </c>
      <c r="B27" s="19"/>
      <c r="C27" s="20"/>
      <c r="D27" s="20"/>
      <c r="E27" s="20"/>
      <c r="F27" s="21"/>
      <c r="G27" s="19"/>
      <c r="H27" s="20"/>
      <c r="I27" s="20">
        <f>'增加值 (2001-2022, 当年价) '!I27*I$77</f>
        <v>2304.2752500353404</v>
      </c>
      <c r="J27" s="20">
        <f>'增加值 (2001-2022, 当年价) '!J27*J$77</f>
        <v>2387.4604094503197</v>
      </c>
      <c r="K27" s="21">
        <f>'增加值 (2001-2022, 当年价) '!K27*K$77</f>
        <v>2701.0500413627724</v>
      </c>
      <c r="L27" s="19">
        <f>'增加值 (2001-2022, 当年价) '!L27*L$77</f>
        <v>2935.3821972842488</v>
      </c>
      <c r="M27" s="20">
        <f>'增加值 (2001-2022, 当年价) '!M27*M$77</f>
        <v>3009.6392280388595</v>
      </c>
      <c r="N27" s="20">
        <f>'增加值 (2001-2022, 当年价) '!N27*N$77</f>
        <v>3090.6222823019139</v>
      </c>
      <c r="O27" s="20">
        <f>'增加值 (2001-2022, 当年价) '!O27*O$77</f>
        <v>3146.7770885639497</v>
      </c>
      <c r="P27" s="20">
        <f>'增加值 (2001-2022, 当年价) '!P27*P$77</f>
        <v>3131.6541085798658</v>
      </c>
      <c r="Q27" s="19">
        <f>'增加值 (2001-2022, 当年价) '!Q27*Q$77</f>
        <v>3160.0430937785932</v>
      </c>
      <c r="R27" s="20">
        <f>'增加值 (2001-2022, 当年价) '!R27*R$77</f>
        <v>3345.7647990286678</v>
      </c>
      <c r="S27" s="20">
        <f>'增加值 (2001-2022, 当年价) '!S27*S$77</f>
        <v>3487.9477112441045</v>
      </c>
      <c r="T27" s="20">
        <f>'增加值 (2001-2022, 当年价) '!T27*T$77</f>
        <v>3433.5858958672138</v>
      </c>
      <c r="U27" s="21">
        <f>'增加值 (2001-2022, 当年价) '!U27*U$77</f>
        <v>2932.9101730437146</v>
      </c>
      <c r="V27" s="20">
        <f>'增加值 (2001-2022, 当年价) '!V27*V$77</f>
        <v>3316.3341738898448</v>
      </c>
      <c r="W27" s="20">
        <f>'增加值 (2001-2022, 当年价) '!W27*W$77</f>
        <v>3355.3629553285882</v>
      </c>
      <c r="X27" s="90">
        <f>VLOOKUP($A27,平滑数据导入!$A$1:$AN$61,COLUMN(平滑数据导入!C$1),0)</f>
        <v>3350.2731095037511</v>
      </c>
      <c r="Y27" s="90">
        <f>VLOOKUP($A27,平滑数据导入!$A$1:$AN$61,COLUMN(平滑数据导入!D$1),0)</f>
        <v>3340.4002069872822</v>
      </c>
      <c r="Z27" s="141">
        <f>VLOOKUP(A27,情景假设!$B$48:$S$88,14,0)/情景假设!O$47*Z$13</f>
        <v>3326.0953625259585</v>
      </c>
      <c r="AA27" s="89">
        <f>VLOOKUP($A27,平滑数据导入!$A$1:$AN$61,COLUMN(平滑数据导入!F$1),0)</f>
        <v>3307.722870767514</v>
      </c>
      <c r="AB27" s="90">
        <f>VLOOKUP($A27,平滑数据导入!$A$1:$AN$61,COLUMN(平滑数据导入!G$1),0)</f>
        <v>3285.6559122863409</v>
      </c>
      <c r="AC27" s="90">
        <f>VLOOKUP($A27,平滑数据导入!$A$1:$AN$61,COLUMN(平滑数据导入!H$1),0)</f>
        <v>3260.272565549938</v>
      </c>
      <c r="AD27" s="90">
        <f>VLOOKUP($A27,平滑数据导入!$A$1:$AN$61,COLUMN(平滑数据导入!I$1),0)</f>
        <v>3231.9521614277669</v>
      </c>
      <c r="AE27" s="133">
        <f>VLOOKUP(A27,情景假设!$B$48:$S$88,15,0)/情景假设!P$47*AE$13</f>
        <v>3201.0720064713305</v>
      </c>
      <c r="AF27" s="90">
        <f>VLOOKUP($A27,平滑数据导入!$A$1:$AN$61,COLUMN(平滑数据导入!K$1),0)</f>
        <v>3167.930815626376</v>
      </c>
      <c r="AG27" s="90">
        <f>VLOOKUP($A27,平滑数据导入!$A$1:$AN$61,COLUMN(平滑数据导入!L$1),0)</f>
        <v>3132.5317250417238</v>
      </c>
      <c r="AH27" s="90">
        <f>VLOOKUP($A27,平滑数据导入!$A$1:$AN$61,COLUMN(平滑数据导入!M$1),0)</f>
        <v>3094.8138467056751</v>
      </c>
      <c r="AI27" s="90">
        <f>VLOOKUP($A27,平滑数据导入!$A$1:$AN$61,COLUMN(平滑数据导入!N$1),0)</f>
        <v>3054.7281516323342</v>
      </c>
      <c r="AJ27" s="141">
        <f>VLOOKUP(A27,情景假设!$B$48:$S$88,16,0)/情景假设!Q$47*AJ$13</f>
        <v>3012.238153598068</v>
      </c>
      <c r="AK27" s="89">
        <f>VLOOKUP($A27,平滑数据导入!$A$1:$AN$61,COLUMN(平滑数据导入!P$1),0)</f>
        <v>2967.370930816674</v>
      </c>
      <c r="AL27" s="90">
        <f>VLOOKUP($A27,平滑数据导入!$A$1:$AN$61,COLUMN(平滑数据导入!Q$1),0)</f>
        <v>2920.362448878217</v>
      </c>
      <c r="AM27" s="90">
        <f>VLOOKUP($A27,平滑数据导入!$A$1:$AN$61,COLUMN(平滑数据导入!R$1),0)</f>
        <v>2871.494717536305</v>
      </c>
      <c r="AN27" s="90">
        <f>VLOOKUP($A27,平滑数据导入!$A$1:$AN$61,COLUMN(平滑数据导入!S$1),0)</f>
        <v>2821.0423139459481</v>
      </c>
      <c r="AO27" s="101">
        <f>VLOOKUP($A27,平滑数据导入!$A$1:$AN$61,COLUMN(平滑数据导入!T$1),0)</f>
        <v>2769.2709849586081</v>
      </c>
      <c r="AP27" s="90">
        <f>VLOOKUP($A27,平滑数据导入!$A$1:$AN$61,COLUMN(平滑数据导入!U$1),0)</f>
        <v>2716.4364580955848</v>
      </c>
      <c r="AQ27" s="90">
        <f>VLOOKUP($A27,平滑数据导入!$A$1:$AN$61,COLUMN(平滑数据导入!V$1),0)</f>
        <v>2662.783455668849</v>
      </c>
      <c r="AR27" s="90">
        <f>VLOOKUP($A27,平滑数据导入!$A$1:$AN$61,COLUMN(平滑数据导入!W$1),0)</f>
        <v>2608.5449042482678</v>
      </c>
      <c r="AS27" s="90">
        <f>VLOOKUP($A27,平滑数据导入!$A$1:$AN$61,COLUMN(平滑数据导入!X$1),0)</f>
        <v>2553.9413297969681</v>
      </c>
      <c r="AT27" s="90">
        <f>VLOOKUP($A27,平滑数据导入!$A$1:$AN$61,COLUMN(平滑数据导入!Y$1),0)</f>
        <v>2499.1804273004091</v>
      </c>
      <c r="AU27" s="89">
        <f>VLOOKUP($A27,平滑数据导入!$A$1:$AN$61,COLUMN(平滑数据导入!Z$1),0)</f>
        <v>2444.4567925811398</v>
      </c>
      <c r="AV27" s="90">
        <f>VLOOKUP($A27,平滑数据导入!$A$1:$AN$61,COLUMN(平滑数据导入!AA$1),0)</f>
        <v>2389.9518031961629</v>
      </c>
      <c r="AW27" s="90">
        <f>VLOOKUP($A27,平滑数据导入!$A$1:$AN$61,COLUMN(平滑数据导入!AB$1),0)</f>
        <v>2335.8336348295702</v>
      </c>
      <c r="AX27" s="90">
        <f>VLOOKUP($A27,平滑数据导入!$A$1:$AN$61,COLUMN(平滑数据导入!AC$1),0)</f>
        <v>2282.2573993896199</v>
      </c>
      <c r="AY27" s="133">
        <f>VLOOKUP(A27,情景假设!$B$48:$S$88,17,0)/情景假设!R$47*AY$13</f>
        <v>2229.3653910640096</v>
      </c>
      <c r="AZ27" s="89">
        <f>VLOOKUP($A27,平滑数据导入!$A$1:$AN$61,COLUMN(平滑数据导入!AE$1),0)</f>
        <v>2177.2874268478349</v>
      </c>
      <c r="BA27" s="90">
        <f>VLOOKUP($A27,平滑数据导入!$A$1:$AN$61,COLUMN(平滑数据导入!AF$1),0)</f>
        <v>2126.1412685029782</v>
      </c>
      <c r="BB27" s="90">
        <f>VLOOKUP($A27,平滑数据导入!$A$1:$AN$61,COLUMN(平滑数据导入!AG$1),0)</f>
        <v>2076.0331135040092</v>
      </c>
      <c r="BC27" s="90">
        <f>VLOOKUP($A27,平滑数据导入!$A$1:$AN$61,COLUMN(平滑数据导入!AH$1),0)</f>
        <v>2027.05814324479</v>
      </c>
      <c r="BD27" s="101">
        <f>VLOOKUP($A27,平滑数据导入!$A$1:$AN$61,COLUMN(平滑数据导入!AI$1),0)</f>
        <v>1979.301117593498</v>
      </c>
      <c r="BE27" s="90">
        <f>VLOOKUP($A27,平滑数据导入!$A$1:$AN$61,COLUMN(平滑数据导入!AJ$1),0)</f>
        <v>1932.8370057670061</v>
      </c>
      <c r="BF27" s="90">
        <f>VLOOKUP($A27,平滑数据导入!$A$1:$AN$61,COLUMN(平滑数据导入!AK$1),0)</f>
        <v>1887.731644425204</v>
      </c>
      <c r="BG27" s="90">
        <f>VLOOKUP($A27,平滑数据导入!$A$1:$AN$61,COLUMN(平滑数据导入!AL$1),0)</f>
        <v>1844.042414842166</v>
      </c>
      <c r="BH27" s="90">
        <f>VLOOKUP($A27,平滑数据导入!$A$1:$AN$61,COLUMN(平滑数据导入!AM$1),0)</f>
        <v>1801.8189319765929</v>
      </c>
      <c r="BI27" s="133">
        <f>VLOOKUP(A27,情景假设!$B$48:$S$88,18,0)/情景假设!S$47*BI$13</f>
        <v>1761.10373922439</v>
      </c>
    </row>
    <row r="28" spans="1:61" ht="13.9" customHeight="1" x14ac:dyDescent="0.2">
      <c r="A28" s="30" t="s">
        <v>86</v>
      </c>
      <c r="B28" s="19"/>
      <c r="C28" s="20"/>
      <c r="D28" s="20"/>
      <c r="E28" s="20"/>
      <c r="F28" s="21"/>
      <c r="G28" s="19"/>
      <c r="H28" s="20"/>
      <c r="I28" s="20">
        <f>'增加值 (2001-2022, 当年价) '!I28*I$77</f>
        <v>1328.9824036014877</v>
      </c>
      <c r="J28" s="20">
        <f>'增加值 (2001-2022, 当年价) '!J28*J$77</f>
        <v>1482.7821695107011</v>
      </c>
      <c r="K28" s="21">
        <f>'增加值 (2001-2022, 当年价) '!K28*K$77</f>
        <v>1762.5007041562442</v>
      </c>
      <c r="L28" s="19">
        <f>'增加值 (2001-2022, 当年价) '!L28*L$77</f>
        <v>2049.1987875789623</v>
      </c>
      <c r="M28" s="20">
        <f>'增加值 (2001-2022, 当年价) '!M28*M$77</f>
        <v>2192.7265800548553</v>
      </c>
      <c r="N28" s="20">
        <f>'增加值 (2001-2022, 当年价) '!N28*N$77</f>
        <v>2326.7164094671548</v>
      </c>
      <c r="O28" s="20">
        <f>'增加值 (2001-2022, 当年价) '!O28*O$77</f>
        <v>2442.6042210226533</v>
      </c>
      <c r="P28" s="20">
        <f>'增加值 (2001-2022, 当年价) '!P28*P$77</f>
        <v>2463.3078356766532</v>
      </c>
      <c r="Q28" s="19">
        <f>'增加值 (2001-2022, 当年价) '!Q28*Q$77</f>
        <v>2567.3709288969417</v>
      </c>
      <c r="R28" s="20">
        <f>'增加值 (2001-2022, 当年价) '!R28*R$77</f>
        <v>2759.8396763201949</v>
      </c>
      <c r="S28" s="20">
        <f>'增加值 (2001-2022, 当年价) '!S28*S$77</f>
        <v>2824.9114892595062</v>
      </c>
      <c r="T28" s="20">
        <f>'增加值 (2001-2022, 当年价) '!T28*T$77</f>
        <v>2783.6071882539604</v>
      </c>
      <c r="U28" s="21">
        <f>'增加值 (2001-2022, 当年价) '!U28*U$77</f>
        <v>2641.6002604003402</v>
      </c>
      <c r="V28" s="20">
        <f>'增加值 (2001-2022, 当年价) '!V28*V$77</f>
        <v>3036.4481610921225</v>
      </c>
      <c r="W28" s="20">
        <f>'增加值 (2001-2022, 当年价) '!W28*W$77</f>
        <v>3069.0985404160137</v>
      </c>
      <c r="X28" s="90">
        <f>VLOOKUP($A28,平滑数据导入!$A$1:$AN$61,COLUMN(平滑数据导入!C$1),0)</f>
        <v>3111.258511558</v>
      </c>
      <c r="Y28" s="90">
        <f>VLOOKUP($A28,平滑数据导入!$A$1:$AN$61,COLUMN(平滑数据导入!D$1),0)</f>
        <v>3145.034328968205</v>
      </c>
      <c r="Z28" s="141">
        <f>VLOOKUP(A28,情景假设!$B$48:$S$88,14,0)/情景假设!O$47*Z$13</f>
        <v>3170.9554783257267</v>
      </c>
      <c r="AA28" s="89">
        <f>VLOOKUP($A28,平滑数据导入!$A$1:$AN$61,COLUMN(平滑数据导入!F$1),0)</f>
        <v>3189.6409195122919</v>
      </c>
      <c r="AB28" s="90">
        <f>VLOOKUP($A28,平滑数据导入!$A$1:$AN$61,COLUMN(平滑数据导入!G$1),0)</f>
        <v>3201.7821113820301</v>
      </c>
      <c r="AC28" s="90">
        <f>VLOOKUP($A28,平滑数据导入!$A$1:$AN$61,COLUMN(平滑数据导入!H$1),0)</f>
        <v>3208.1267421951211</v>
      </c>
      <c r="AD28" s="90">
        <f>VLOOKUP($A28,平滑数据导入!$A$1:$AN$61,COLUMN(平滑数据导入!I$1),0)</f>
        <v>3209.4636339939711</v>
      </c>
      <c r="AE28" s="133">
        <f>VLOOKUP(A28,情景假设!$B$48:$S$88,15,0)/情景假设!P$47*AE$13</f>
        <v>3206.609190438794</v>
      </c>
      <c r="AF28" s="90">
        <f>VLOOKUP($A28,平滑数据导入!$A$1:$AN$61,COLUMN(平滑数据导入!K$1),0)</f>
        <v>3200.2404322050229</v>
      </c>
      <c r="AG28" s="90">
        <f>VLOOKUP($A28,平滑数据导入!$A$1:$AN$61,COLUMN(平滑数据导入!L$1),0)</f>
        <v>3190.4231761100041</v>
      </c>
      <c r="AH28" s="90">
        <f>VLOOKUP($A28,平滑数据导入!$A$1:$AN$61,COLUMN(平滑数据导入!M$1),0)</f>
        <v>3177.079822154843</v>
      </c>
      <c r="AI28" s="90">
        <f>VLOOKUP($A28,平滑数据导入!$A$1:$AN$61,COLUMN(平滑数据导入!N$1),0)</f>
        <v>3160.1460526575588</v>
      </c>
      <c r="AJ28" s="141">
        <f>VLOOKUP(A28,情景假设!$B$48:$S$88,16,0)/情景假设!Q$47*AJ$13</f>
        <v>3139.571800382249</v>
      </c>
      <c r="AK28" s="89">
        <f>VLOOKUP($A28,平滑数据导入!$A$1:$AN$61,COLUMN(平滑数据导入!P$1),0)</f>
        <v>3115.37050811873</v>
      </c>
      <c r="AL28" s="90">
        <f>VLOOKUP($A28,平滑数据导入!$A$1:$AN$61,COLUMN(平滑数据导入!Q$1),0)</f>
        <v>3087.7615752891029</v>
      </c>
      <c r="AM28" s="90">
        <f>VLOOKUP($A28,平滑数据导入!$A$1:$AN$61,COLUMN(平滑数据导入!R$1),0)</f>
        <v>3057.0185419809791</v>
      </c>
      <c r="AN28" s="90">
        <f>VLOOKUP($A28,平滑数据导入!$A$1:$AN$61,COLUMN(平滑数据导入!S$1),0)</f>
        <v>3023.4176109661262</v>
      </c>
      <c r="AO28" s="101">
        <f>VLOOKUP($A28,平滑数据导入!$A$1:$AN$61,COLUMN(平滑数据导入!T$1),0)</f>
        <v>2987.2353913821289</v>
      </c>
      <c r="AP28" s="90">
        <f>VLOOKUP($A28,平滑数据导入!$A$1:$AN$61,COLUMN(平滑数据导入!U$1),0)</f>
        <v>2948.7468248290629</v>
      </c>
      <c r="AQ28" s="90">
        <f>VLOOKUP($A28,平滑数据导入!$A$1:$AN$61,COLUMN(平滑数据导入!V$1),0)</f>
        <v>2908.2233039309672</v>
      </c>
      <c r="AR28" s="90">
        <f>VLOOKUP($A28,平滑数据导入!$A$1:$AN$61,COLUMN(平滑数据导入!W$1),0)</f>
        <v>2865.9309895575898</v>
      </c>
      <c r="AS28" s="90">
        <f>VLOOKUP($A28,平滑数据导入!$A$1:$AN$61,COLUMN(平滑数据导入!X$1),0)</f>
        <v>2822.1293293644449</v>
      </c>
      <c r="AT28" s="90">
        <f>VLOOKUP($A28,平滑数据导入!$A$1:$AN$61,COLUMN(平滑数据导入!Y$1),0)</f>
        <v>2777.069777123103</v>
      </c>
      <c r="AU28" s="89">
        <f>VLOOKUP($A28,平滑数据导入!$A$1:$AN$61,COLUMN(平滑数据导入!Z$1),0)</f>
        <v>2730.994709501625</v>
      </c>
      <c r="AV28" s="90">
        <f>VLOOKUP($A28,平滑数据导入!$A$1:$AN$61,COLUMN(平滑数据导入!AA$1),0)</f>
        <v>2684.1365345279378</v>
      </c>
      <c r="AW28" s="90">
        <f>VLOOKUP($A28,平滑数据导入!$A$1:$AN$61,COLUMN(平滑数据导入!AB$1),0)</f>
        <v>2636.7169839283679</v>
      </c>
      <c r="AX28" s="90">
        <f>VLOOKUP($A28,平滑数据导入!$A$1:$AN$61,COLUMN(平滑数据导入!AC$1),0)</f>
        <v>2588.9465798715842</v>
      </c>
      <c r="AY28" s="133">
        <f>VLOOKUP(A28,情景假设!$B$48:$S$88,17,0)/情景假设!R$47*AY$13</f>
        <v>2541.0242653506612</v>
      </c>
      <c r="AZ28" s="89">
        <f>VLOOKUP($A28,平滑数据导入!$A$1:$AN$61,COLUMN(平滑数据导入!AE$1),0)</f>
        <v>2493.137186481797</v>
      </c>
      <c r="BA28" s="90">
        <f>VLOOKUP($A28,平滑数据导入!$A$1:$AN$61,COLUMN(平滑数据导入!AF$1),0)</f>
        <v>2445.4606143630581</v>
      </c>
      <c r="BB28" s="90">
        <f>VLOOKUP($A28,平滑数据导入!$A$1:$AN$61,COLUMN(平滑数据导入!AG$1),0)</f>
        <v>2398.1579937916508</v>
      </c>
      <c r="BC28" s="90">
        <f>VLOOKUP($A28,平滑数据导入!$A$1:$AN$61,COLUMN(平滑数据导入!AH$1),0)</f>
        <v>2351.381106053856</v>
      </c>
      <c r="BD28" s="101">
        <f>VLOOKUP($A28,平滑数据导入!$A$1:$AN$61,COLUMN(平滑数据导入!AI$1),0)</f>
        <v>2305.2703331465891</v>
      </c>
      <c r="BE28" s="90">
        <f>VLOOKUP($A28,平滑数据导入!$A$1:$AN$61,COLUMN(平滑数据导入!AJ$1),0)</f>
        <v>2259.9550111322342</v>
      </c>
      <c r="BF28" s="90">
        <f>VLOOKUP($A28,平滑数据导入!$A$1:$AN$61,COLUMN(平滑数据导入!AK$1),0)</f>
        <v>2215.5538608388601</v>
      </c>
      <c r="BG28" s="90">
        <f>VLOOKUP($A28,平滑数据导入!$A$1:$AN$61,COLUMN(平滑数据导入!AL$1),0)</f>
        <v>2172.175484766402</v>
      </c>
      <c r="BH28" s="90">
        <f>VLOOKUP($A28,平滑数据导入!$A$1:$AN$61,COLUMN(平滑数据导入!AM$1),0)</f>
        <v>2129.9189198193048</v>
      </c>
      <c r="BI28" s="133">
        <f>VLOOKUP(A28,情景假设!$B$48:$S$88,18,0)/情景假设!S$47*BI$13</f>
        <v>2088.8742363320262</v>
      </c>
    </row>
    <row r="29" spans="1:61" ht="13.9" customHeight="1" x14ac:dyDescent="0.2">
      <c r="A29" s="30" t="s">
        <v>87</v>
      </c>
      <c r="B29" s="19"/>
      <c r="C29" s="20"/>
      <c r="D29" s="20"/>
      <c r="E29" s="20"/>
      <c r="F29" s="21"/>
      <c r="G29" s="19"/>
      <c r="H29" s="20"/>
      <c r="I29" s="20">
        <f>'增加值 (2001-2022, 当年价) '!I29*I$77</f>
        <v>942.44830582196994</v>
      </c>
      <c r="J29" s="20">
        <f>'增加值 (2001-2022, 当年价) '!J29*J$77</f>
        <v>972.00409563695905</v>
      </c>
      <c r="K29" s="21">
        <f>'增加值 (2001-2022, 当年价) '!K29*K$77</f>
        <v>1129.8811717538965</v>
      </c>
      <c r="L29" s="19">
        <f>'增加值 (2001-2022, 当年价) '!L29*L$77</f>
        <v>1250.7043821461339</v>
      </c>
      <c r="M29" s="20">
        <f>'增加值 (2001-2022, 当年价) '!M29*M$77</f>
        <v>1324.0169299660911</v>
      </c>
      <c r="N29" s="20">
        <f>'增加值 (2001-2022, 当年价) '!N29*N$77</f>
        <v>1386.0564923380959</v>
      </c>
      <c r="O29" s="20">
        <f>'增加值 (2001-2022, 当年价) '!O29*O$77</f>
        <v>1444.4616196836896</v>
      </c>
      <c r="P29" s="20">
        <f>'增加值 (2001-2022, 当年价) '!P29*P$77</f>
        <v>1464.9271654424824</v>
      </c>
      <c r="Q29" s="19">
        <f>'增加值 (2001-2022, 当年价) '!Q29*Q$77</f>
        <v>1523.9542011748163</v>
      </c>
      <c r="R29" s="20">
        <f>'增加值 (2001-2022, 当年价) '!R29*R$77</f>
        <v>1693.7330948132931</v>
      </c>
      <c r="S29" s="20">
        <f>'增加值 (2001-2022, 当年价) '!S29*S$77</f>
        <v>1780.8886584549791</v>
      </c>
      <c r="T29" s="20">
        <f>'增加值 (2001-2022, 当年价) '!T29*T$77</f>
        <v>1760.0007062456536</v>
      </c>
      <c r="U29" s="21">
        <f>'增加值 (2001-2022, 当年价) '!U29*U$77</f>
        <v>1627.6494522571516</v>
      </c>
      <c r="V29" s="20">
        <f>'增加值 (2001-2022, 当年价) '!V29*V$77</f>
        <v>1901.4435312506728</v>
      </c>
      <c r="W29" s="20">
        <f>'增加值 (2001-2022, 当年价) '!W29*W$77</f>
        <v>1802.1334874675638</v>
      </c>
      <c r="X29" s="90">
        <f>VLOOKUP($A29,平滑数据导入!$A$1:$AN$61,COLUMN(平滑数据导入!C$1),0)</f>
        <v>1824.611838085385</v>
      </c>
      <c r="Y29" s="90">
        <f>VLOOKUP($A29,平滑数据导入!$A$1:$AN$61,COLUMN(平滑数据导入!D$1),0)</f>
        <v>1842.3336672023829</v>
      </c>
      <c r="Z29" s="141">
        <f>VLOOKUP(A29,情景假设!$B$48:$S$88,14,0)/情景假设!O$47*Z$13</f>
        <v>1855.6068924465849</v>
      </c>
      <c r="AA29" s="89">
        <f>VLOOKUP($A29,平滑数据导入!$A$1:$AN$61,COLUMN(平滑数据导入!F$1),0)</f>
        <v>1864.786741274263</v>
      </c>
      <c r="AB29" s="90">
        <f>VLOOKUP($A29,平滑数据导入!$A$1:$AN$61,COLUMN(平滑数据导入!G$1),0)</f>
        <v>1870.2664994241891</v>
      </c>
      <c r="AC29" s="90">
        <f>VLOOKUP($A29,平滑数据导入!$A$1:$AN$61,COLUMN(平滑数据导入!H$1),0)</f>
        <v>1872.4686811192</v>
      </c>
      <c r="AD29" s="90">
        <f>VLOOKUP($A29,平滑数据导入!$A$1:$AN$61,COLUMN(平滑数据导入!I$1),0)</f>
        <v>1871.8368588165961</v>
      </c>
      <c r="AE29" s="133">
        <f>VLOOKUP(A29,情景假设!$B$48:$S$88,15,0)/情景假设!P$47*AE$13</f>
        <v>1868.8283388736722</v>
      </c>
      <c r="AF29" s="90">
        <f>VLOOKUP($A29,平滑数据导入!$A$1:$AN$61,COLUMN(平滑数据导入!K$1),0)</f>
        <v>1863.8212580130289</v>
      </c>
      <c r="AG29" s="90">
        <f>VLOOKUP($A29,平滑数据导入!$A$1:$AN$61,COLUMN(平滑数据导入!L$1),0)</f>
        <v>1856.8521076348411</v>
      </c>
      <c r="AH29" s="90">
        <f>VLOOKUP($A29,平滑数据导入!$A$1:$AN$61,COLUMN(平滑数据导入!M$1),0)</f>
        <v>1847.8774889110371</v>
      </c>
      <c r="AI29" s="90">
        <f>VLOOKUP($A29,平滑数据导入!$A$1:$AN$61,COLUMN(平滑数据导入!N$1),0)</f>
        <v>1836.861628453833</v>
      </c>
      <c r="AJ29" s="141">
        <f>VLOOKUP(A29,情景假设!$B$48:$S$88,16,0)/情景假设!Q$47*AJ$13</f>
        <v>1823.7769292605581</v>
      </c>
      <c r="AK29" s="89">
        <f>VLOOKUP($A29,平滑数据导入!$A$1:$AN$61,COLUMN(平滑数据导入!P$1),0)</f>
        <v>1808.6327779136329</v>
      </c>
      <c r="AL29" s="90">
        <f>VLOOKUP($A29,平滑数据导入!$A$1:$AN$61,COLUMN(平滑数据导入!Q$1),0)</f>
        <v>1791.558745425285</v>
      </c>
      <c r="AM29" s="90">
        <f>VLOOKUP($A29,平滑数据导入!$A$1:$AN$61,COLUMN(平滑数据导入!R$1),0)</f>
        <v>1772.715540378533</v>
      </c>
      <c r="AN29" s="90">
        <f>VLOOKUP($A29,平滑数据导入!$A$1:$AN$61,COLUMN(平滑数据导入!S$1),0)</f>
        <v>1752.2648916643871</v>
      </c>
      <c r="AO29" s="101">
        <f>VLOOKUP($A29,平滑数据导入!$A$1:$AN$61,COLUMN(平滑数据导入!T$1),0)</f>
        <v>1730.368268775663</v>
      </c>
      <c r="AP29" s="90">
        <f>VLOOKUP($A29,平滑数据导入!$A$1:$AN$61,COLUMN(平滑数据导入!U$1),0)</f>
        <v>1707.185711127019</v>
      </c>
      <c r="AQ29" s="90">
        <f>VLOOKUP($A29,平滑数据导入!$A$1:$AN$61,COLUMN(平滑数据导入!V$1),0)</f>
        <v>1682.8747714129629</v>
      </c>
      <c r="AR29" s="90">
        <f>VLOOKUP($A29,平滑数据导入!$A$1:$AN$61,COLUMN(平滑数据导入!W$1),0)</f>
        <v>1657.589575830579</v>
      </c>
      <c r="AS29" s="90">
        <f>VLOOKUP($A29,平滑数据导入!$A$1:$AN$61,COLUMN(平滑数据导入!X$1),0)</f>
        <v>1631.4800020015571</v>
      </c>
      <c r="AT29" s="90">
        <f>VLOOKUP($A29,平滑数据导入!$A$1:$AN$61,COLUMN(平滑数据导入!Y$1),0)</f>
        <v>1604.690973646319</v>
      </c>
      <c r="AU29" s="89">
        <f>VLOOKUP($A29,平滑数据导入!$A$1:$AN$61,COLUMN(平滑数据导入!Z$1),0)</f>
        <v>1577.361869502329</v>
      </c>
      <c r="AV29" s="90">
        <f>VLOOKUP($A29,平滑数据导入!$A$1:$AN$61,COLUMN(平滑数据导入!AA$1),0)</f>
        <v>1549.626042643355</v>
      </c>
      <c r="AW29" s="90">
        <f>VLOOKUP($A29,平滑数据导入!$A$1:$AN$61,COLUMN(平滑数据导入!AB$1),0)</f>
        <v>1521.6104452454499</v>
      </c>
      <c r="AX29" s="90">
        <f>VLOOKUP($A29,平滑数据导入!$A$1:$AN$61,COLUMN(平滑数据导入!AC$1),0)</f>
        <v>1493.4353529525031</v>
      </c>
      <c r="AY29" s="133">
        <f>VLOOKUP(A29,情景假设!$B$48:$S$88,17,0)/情景假设!R$47*AY$13</f>
        <v>1465.2141823100169</v>
      </c>
      <c r="AZ29" s="89">
        <f>VLOOKUP($A29,平滑数据导入!$A$1:$AN$61,COLUMN(平滑数据导入!AE$1),0)</f>
        <v>1437.053394246677</v>
      </c>
      <c r="BA29" s="90">
        <f>VLOOKUP($A29,平滑数据导入!$A$1:$AN$61,COLUMN(平滑数据导入!AF$1),0)</f>
        <v>1409.0524762745699</v>
      </c>
      <c r="BB29" s="90">
        <f>VLOOKUP($A29,平滑数据导入!$A$1:$AN$61,COLUMN(平滑数据导入!AG$1),0)</f>
        <v>1381.3039959333039</v>
      </c>
      <c r="BC29" s="90">
        <f>VLOOKUP($A29,平滑数据导入!$A$1:$AN$61,COLUMN(平滑数据导入!AH$1),0)</f>
        <v>1353.8937180029409</v>
      </c>
      <c r="BD29" s="101">
        <f>VLOOKUP($A29,平滑数据导入!$A$1:$AN$61,COLUMN(平滑数据导入!AI$1),0)</f>
        <v>1326.900778137486</v>
      </c>
      <c r="BE29" s="90">
        <f>VLOOKUP($A29,平滑数据导入!$A$1:$AN$61,COLUMN(平滑数据导入!AJ$1),0)</f>
        <v>1300.397905806271</v>
      </c>
      <c r="BF29" s="90">
        <f>VLOOKUP($A29,平滑数据导入!$A$1:$AN$61,COLUMN(平滑数据导入!AK$1),0)</f>
        <v>1274.4516897576109</v>
      </c>
      <c r="BG29" s="90">
        <f>VLOOKUP($A29,平滑数据导入!$A$1:$AN$61,COLUMN(平滑数据导入!AL$1),0)</f>
        <v>1249.122879620707</v>
      </c>
      <c r="BH29" s="90">
        <f>VLOOKUP($A29,平滑数据导入!$A$1:$AN$61,COLUMN(平滑数据导入!AM$1),0)</f>
        <v>1224.466717722607</v>
      </c>
      <c r="BI29" s="133">
        <f>VLOOKUP(A29,情景假设!$B$48:$S$88,18,0)/情景假设!S$47*BI$13</f>
        <v>1200.5332957027663</v>
      </c>
    </row>
    <row r="30" spans="1:61" ht="13.9" customHeight="1" x14ac:dyDescent="0.2">
      <c r="A30" s="30" t="s">
        <v>88</v>
      </c>
      <c r="B30" s="19"/>
      <c r="C30" s="20"/>
      <c r="D30" s="20"/>
      <c r="E30" s="20"/>
      <c r="F30" s="21"/>
      <c r="G30" s="19"/>
      <c r="H30" s="20"/>
      <c r="I30" s="20">
        <f>'增加值 (2001-2022, 当年价) '!I30*I$77</f>
        <v>2399.4158408160433</v>
      </c>
      <c r="J30" s="20">
        <f>'增加值 (2001-2022, 当年价) '!J30*J$77</f>
        <v>2517.8787005987151</v>
      </c>
      <c r="K30" s="21">
        <f>'增加值 (2001-2022, 当年价) '!K30*K$77</f>
        <v>2841.2631481498397</v>
      </c>
      <c r="L30" s="19">
        <f>'增加值 (2001-2022, 当年价) '!L30*L$77</f>
        <v>3123.251114962859</v>
      </c>
      <c r="M30" s="20">
        <f>'增加值 (2001-2022, 当年价) '!M30*M$77</f>
        <v>3234.9671780680355</v>
      </c>
      <c r="N30" s="20">
        <f>'增加值 (2001-2022, 当年价) '!N30*N$77</f>
        <v>3331.2326114407938</v>
      </c>
      <c r="O30" s="20">
        <f>'增加值 (2001-2022, 当年价) '!O30*O$77</f>
        <v>3401.3404077881783</v>
      </c>
      <c r="P30" s="20">
        <f>'增加值 (2001-2022, 当年价) '!P30*P$77</f>
        <v>3397.9015395567599</v>
      </c>
      <c r="Q30" s="19">
        <f>'增加值 (2001-2022, 当年价) '!Q30*Q$77</f>
        <v>3511.6031390759331</v>
      </c>
      <c r="R30" s="20">
        <f>'增加值 (2001-2022, 当年价) '!R30*R$77</f>
        <v>3703.7687703101592</v>
      </c>
      <c r="S30" s="20">
        <f>'增加值 (2001-2022, 当年价) '!S30*S$77</f>
        <v>3724.7155807424642</v>
      </c>
      <c r="T30" s="20">
        <f>'增加值 (2001-2022, 当年价) '!T30*T$77</f>
        <v>3742.079787486814</v>
      </c>
      <c r="U30" s="21">
        <f>'增加值 (2001-2022, 当年价) '!U30*U$77</f>
        <v>3663.3945727849982</v>
      </c>
      <c r="V30" s="20">
        <f>'增加值 (2001-2022, 当年价) '!V30*V$77</f>
        <v>4054.5873514850814</v>
      </c>
      <c r="W30" s="20">
        <f>'增加值 (2001-2022, 当年价) '!W30*W$77</f>
        <v>4094.0668183633061</v>
      </c>
      <c r="X30" s="90">
        <f>VLOOKUP($A30,平滑数据导入!$A$1:$AN$61,COLUMN(平滑数据导入!C$1),0)</f>
        <v>4133.9533518058142</v>
      </c>
      <c r="Y30" s="90">
        <f>VLOOKUP($A30,平滑数据导入!$A$1:$AN$61,COLUMN(平滑数据导入!D$1),0)</f>
        <v>4178.2103878123899</v>
      </c>
      <c r="Z30" s="141">
        <f>VLOOKUP(A30,情景假设!$B$48:$S$88,14,0)/情景假设!O$47*Z$13</f>
        <v>4224.8860151190775</v>
      </c>
      <c r="AA30" s="89">
        <f>VLOOKUP($A30,平滑数据导入!$A$1:$AN$61,COLUMN(平滑数据导入!F$1),0)</f>
        <v>4271.9436873075574</v>
      </c>
      <c r="AB30" s="90">
        <f>VLOOKUP($A30,平滑数据导入!$A$1:$AN$61,COLUMN(平滑数据导入!G$1),0)</f>
        <v>4317.2554295474001</v>
      </c>
      <c r="AC30" s="90">
        <f>VLOOKUP($A30,平滑数据导入!$A$1:$AN$61,COLUMN(平滑数据导入!H$1),0)</f>
        <v>4358.605309522045</v>
      </c>
      <c r="AD30" s="90">
        <f>VLOOKUP($A30,平滑数据导入!$A$1:$AN$61,COLUMN(平滑数据导入!I$1),0)</f>
        <v>4393.7039280837162</v>
      </c>
      <c r="AE30" s="133">
        <f>VLOOKUP(A30,情景假设!$B$48:$S$88,15,0)/情景假设!P$47*AE$13</f>
        <v>4420.2145576874173</v>
      </c>
      <c r="AF30" s="90">
        <f>VLOOKUP($A30,平滑数据导入!$A$1:$AN$61,COLUMN(平滑数据导入!K$1),0)</f>
        <v>4436.2610151907493</v>
      </c>
      <c r="AG30" s="90">
        <f>VLOOKUP($A30,平滑数据导入!$A$1:$AN$61,COLUMN(平滑数据导入!L$1),0)</f>
        <v>4441.8902721047343</v>
      </c>
      <c r="AH30" s="90">
        <f>VLOOKUP($A30,平滑数据导入!$A$1:$AN$61,COLUMN(平滑数据导入!M$1),0)</f>
        <v>4437.6941056692976</v>
      </c>
      <c r="AI30" s="90">
        <f>VLOOKUP($A30,平滑数据导入!$A$1:$AN$61,COLUMN(平滑数据导入!N$1),0)</f>
        <v>4424.3299424319966</v>
      </c>
      <c r="AJ30" s="141">
        <f>VLOOKUP(A30,情景假设!$B$48:$S$88,16,0)/情景假设!Q$47*AJ$13</f>
        <v>4402.5070980329629</v>
      </c>
      <c r="AK30" s="89">
        <f>VLOOKUP($A30,平滑数据导入!$A$1:$AN$61,COLUMN(平滑数据导入!P$1),0)</f>
        <v>4372.9452205697498</v>
      </c>
      <c r="AL30" s="90">
        <f>VLOOKUP($A30,平滑数据导入!$A$1:$AN$61,COLUMN(平滑数据导入!Q$1),0)</f>
        <v>4336.278829150916</v>
      </c>
      <c r="AM30" s="90">
        <f>VLOOKUP($A30,平滑数据导入!$A$1:$AN$61,COLUMN(平滑数据导入!R$1),0)</f>
        <v>4293.134802931133</v>
      </c>
      <c r="AN30" s="90">
        <f>VLOOKUP($A30,平滑数据导入!$A$1:$AN$61,COLUMN(平滑数据导入!S$1),0)</f>
        <v>4244.1525298448714</v>
      </c>
      <c r="AO30" s="101">
        <f>VLOOKUP($A30,平滑数据导入!$A$1:$AN$61,COLUMN(平滑数据导入!T$1),0)</f>
        <v>4189.9760993148884</v>
      </c>
      <c r="AP30" s="90">
        <f>VLOOKUP($A30,平滑数据导入!$A$1:$AN$61,COLUMN(平滑数据导入!U$1),0)</f>
        <v>4131.24720192934</v>
      </c>
      <c r="AQ30" s="90">
        <f>VLOOKUP($A30,平滑数据导入!$A$1:$AN$61,COLUMN(平滑数据导入!V$1),0)</f>
        <v>4068.5987902917359</v>
      </c>
      <c r="AR30" s="90">
        <f>VLOOKUP($A30,平滑数据导入!$A$1:$AN$61,COLUMN(平滑数据导入!W$1),0)</f>
        <v>4002.6495328636151</v>
      </c>
      <c r="AS30" s="90">
        <f>VLOOKUP($A30,平滑数据导入!$A$1:$AN$61,COLUMN(平滑数据导入!X$1),0)</f>
        <v>3933.9990724085842</v>
      </c>
      <c r="AT30" s="90">
        <f>VLOOKUP($A30,平滑数据导入!$A$1:$AN$61,COLUMN(平滑数据导入!Y$1),0)</f>
        <v>3863.2240828891358</v>
      </c>
      <c r="AU30" s="89">
        <f>VLOOKUP($A30,平滑数据导入!$A$1:$AN$61,COLUMN(平滑数据导入!Z$1),0)</f>
        <v>3790.8751035264459</v>
      </c>
      <c r="AV30" s="90">
        <f>VLOOKUP($A30,平滑数据导入!$A$1:$AN$61,COLUMN(平滑数据导入!AA$1),0)</f>
        <v>3717.47411626029</v>
      </c>
      <c r="AW30" s="90">
        <f>VLOOKUP($A30,平滑数据导入!$A$1:$AN$61,COLUMN(平滑数据导入!AB$1),0)</f>
        <v>3643.5128230051041</v>
      </c>
      <c r="AX30" s="90">
        <f>VLOOKUP($A30,平滑数据导入!$A$1:$AN$61,COLUMN(平滑数据导入!AC$1),0)</f>
        <v>3569.45157177583</v>
      </c>
      <c r="AY30" s="133">
        <f>VLOOKUP(A30,情景假设!$B$48:$S$88,17,0)/情景假设!R$47*AY$13</f>
        <v>3495.7188757846156</v>
      </c>
      <c r="AZ30" s="89">
        <f>VLOOKUP($A30,平滑数据导入!$A$1:$AN$61,COLUMN(平滑数据导入!AE$1),0)</f>
        <v>3422.711466775057</v>
      </c>
      <c r="BA30" s="90">
        <f>VLOOKUP($A30,平滑数据导入!$A$1:$AN$61,COLUMN(平滑数据导入!AF$1),0)</f>
        <v>3350.7948229261042</v>
      </c>
      <c r="BB30" s="90">
        <f>VLOOKUP($A30,平滑数据导入!$A$1:$AN$61,COLUMN(平滑数据导入!AG$1),0)</f>
        <v>3280.3041123724161</v>
      </c>
      <c r="BC30" s="90">
        <f>VLOOKUP($A30,平滑数据导入!$A$1:$AN$61,COLUMN(平滑数据导入!AH$1),0)</f>
        <v>3211.5454954972188</v>
      </c>
      <c r="BD30" s="101">
        <f>VLOOKUP($A30,平滑数据导入!$A$1:$AN$61,COLUMN(平滑数据导入!AI$1),0)</f>
        <v>3144.7977324134349</v>
      </c>
      <c r="BE30" s="90">
        <f>VLOOKUP($A30,平滑数据导入!$A$1:$AN$61,COLUMN(平滑数据导入!AJ$1),0)</f>
        <v>3080.3140462260099</v>
      </c>
      <c r="BF30" s="90">
        <f>VLOOKUP($A30,平滑数据导入!$A$1:$AN$61,COLUMN(平滑数据导入!AK$1),0)</f>
        <v>3018.324197556562</v>
      </c>
      <c r="BG30" s="90">
        <f>VLOOKUP($A30,平滑数据导入!$A$1:$AN$61,COLUMN(平滑数据导入!AL$1),0)</f>
        <v>2959.0367312229291</v>
      </c>
      <c r="BH30" s="90">
        <f>VLOOKUP($A30,平滑数据导入!$A$1:$AN$61,COLUMN(平滑数据导入!AM$1),0)</f>
        <v>2902.6413617483072</v>
      </c>
      <c r="BI30" s="133">
        <f>VLOOKUP(A30,情景假设!$B$48:$S$88,18,0)/情景假设!S$47*BI$13</f>
        <v>2849.31147039809</v>
      </c>
    </row>
    <row r="31" spans="1:61" ht="13.9" customHeight="1" x14ac:dyDescent="0.2">
      <c r="A31" s="30" t="s">
        <v>89</v>
      </c>
      <c r="B31" s="19"/>
      <c r="C31" s="20"/>
      <c r="D31" s="20"/>
      <c r="E31" s="20"/>
      <c r="F31" s="21"/>
      <c r="G31" s="19"/>
      <c r="H31" s="20"/>
      <c r="I31" s="20">
        <f>'增加值 (2001-2022, 当年价) '!I31*I$77</f>
        <v>960.49923103428591</v>
      </c>
      <c r="J31" s="20">
        <f>'增加值 (2001-2022, 当年价) '!J31*J$77</f>
        <v>990.62110956548941</v>
      </c>
      <c r="K31" s="21">
        <f>'增加值 (2001-2022, 当年价) '!K31*K$77</f>
        <v>1105.3457185260063</v>
      </c>
      <c r="L31" s="19">
        <f>'增加值 (2001-2022, 当年价) '!L31*L$77</f>
        <v>1209.7378757621632</v>
      </c>
      <c r="M31" s="20">
        <f>'增加值 (2001-2022, 当年价) '!M31*M$77</f>
        <v>1267.9807982271564</v>
      </c>
      <c r="N31" s="20">
        <f>'增加值 (2001-2022, 当年价) '!N31*N$77</f>
        <v>1347.8717215792374</v>
      </c>
      <c r="O31" s="20">
        <f>'增加值 (2001-2022, 当年价) '!O31*O$77</f>
        <v>1421.466988732664</v>
      </c>
      <c r="P31" s="20">
        <f>'增加值 (2001-2022, 当年价) '!P31*P$77</f>
        <v>1438.9096272736515</v>
      </c>
      <c r="Q31" s="19">
        <f>'增加值 (2001-2022, 当年价) '!Q31*Q$77</f>
        <v>1489.8672732730606</v>
      </c>
      <c r="R31" s="20">
        <f>'增加值 (2001-2022, 当年价) '!R31*R$77</f>
        <v>1658.8647683805762</v>
      </c>
      <c r="S31" s="20">
        <f>'增加值 (2001-2022, 当年价) '!S31*S$77</f>
        <v>1760.7433815949707</v>
      </c>
      <c r="T31" s="20">
        <f>'增加值 (2001-2022, 当年价) '!T31*T$77</f>
        <v>1740.091712310071</v>
      </c>
      <c r="U31" s="21">
        <f>'增加值 (2001-2022, 当年价) '!U31*U$77</f>
        <v>1649.6368760600501</v>
      </c>
      <c r="V31" s="20">
        <f>'增加值 (2001-2022, 当年价) '!V31*V$77</f>
        <v>1909.953713647637</v>
      </c>
      <c r="W31" s="20">
        <f>'增加值 (2001-2022, 当年价) '!W31*W$77</f>
        <v>1947.9528299445335</v>
      </c>
      <c r="X31" s="90">
        <f>VLOOKUP($A31,平滑数据导入!$A$1:$AN$61,COLUMN(平滑数据导入!C$1),0)</f>
        <v>1997.779873160551</v>
      </c>
      <c r="Y31" s="90">
        <f>VLOOKUP($A31,平滑数据导入!$A$1:$AN$61,COLUMN(平滑数据导入!D$1),0)</f>
        <v>2040.8689351082401</v>
      </c>
      <c r="Z31" s="141">
        <f>VLOOKUP(A31,情景假设!$B$48:$S$88,14,0)/情景假设!O$47*Z$13</f>
        <v>2077.5244808205052</v>
      </c>
      <c r="AA31" s="89">
        <f>VLOOKUP($A31,平滑数据导入!$A$1:$AN$61,COLUMN(平滑数据导入!F$1),0)</f>
        <v>2108.1718356308161</v>
      </c>
      <c r="AB31" s="90">
        <f>VLOOKUP($A31,平滑数据导入!$A$1:$AN$61,COLUMN(平滑数据导入!G$1),0)</f>
        <v>2133.3394030510681</v>
      </c>
      <c r="AC31" s="90">
        <f>VLOOKUP($A31,平滑数据导入!$A$1:$AN$61,COLUMN(平滑数据导入!H$1),0)</f>
        <v>2153.6407621747771</v>
      </c>
      <c r="AD31" s="90">
        <f>VLOOKUP($A31,平滑数据导入!$A$1:$AN$61,COLUMN(平滑数据导入!I$1),0)</f>
        <v>2169.7575029722552</v>
      </c>
      <c r="AE31" s="133">
        <f>VLOOKUP(A31,情景假设!$B$48:$S$88,15,0)/情景假设!P$47*AE$13</f>
        <v>2182.4235157761482</v>
      </c>
      <c r="AF31" s="90">
        <f>VLOOKUP($A31,平滑数据导入!$A$1:$AN$61,COLUMN(平滑数据导入!K$1),0)</f>
        <v>2192.2631495179721</v>
      </c>
      <c r="AG31" s="90">
        <f>VLOOKUP($A31,平滑数据导入!$A$1:$AN$61,COLUMN(平滑数据导入!L$1),0)</f>
        <v>2199.3314100417979</v>
      </c>
      <c r="AH31" s="90">
        <f>VLOOKUP($A31,平滑数据导入!$A$1:$AN$61,COLUMN(平滑数据导入!M$1),0)</f>
        <v>2203.546334790014</v>
      </c>
      <c r="AI31" s="90">
        <f>VLOOKUP($A31,平滑数据导入!$A$1:$AN$61,COLUMN(平滑数据导入!N$1),0)</f>
        <v>2204.836501676044</v>
      </c>
      <c r="AJ31" s="141">
        <f>VLOOKUP(A31,情景假设!$B$48:$S$88,16,0)/情景假设!Q$47*AJ$13</f>
        <v>2203.1418569978982</v>
      </c>
      <c r="AK31" s="89">
        <f>VLOOKUP($A31,平滑数据导入!$A$1:$AN$61,COLUMN(平滑数据导入!P$1),0)</f>
        <v>2198.4460931187309</v>
      </c>
      <c r="AL31" s="90">
        <f>VLOOKUP($A31,平滑数据导入!$A$1:$AN$61,COLUMN(平滑数据导入!Q$1),0)</f>
        <v>2190.871289303213</v>
      </c>
      <c r="AM31" s="90">
        <f>VLOOKUP($A31,平滑数据导入!$A$1:$AN$61,COLUMN(平滑数据导入!R$1),0)</f>
        <v>2180.5810362562429</v>
      </c>
      <c r="AN31" s="90">
        <f>VLOOKUP($A31,平滑数据导入!$A$1:$AN$61,COLUMN(平滑数据导入!S$1),0)</f>
        <v>2167.7468368176251</v>
      </c>
      <c r="AO31" s="101">
        <f>VLOOKUP($A31,平滑数据导入!$A$1:$AN$61,COLUMN(平滑数据导入!T$1),0)</f>
        <v>2152.5462667925049</v>
      </c>
      <c r="AP31" s="90">
        <f>VLOOKUP($A31,平滑数据导入!$A$1:$AN$61,COLUMN(平滑数据导入!U$1),0)</f>
        <v>2135.1612157363302</v>
      </c>
      <c r="AQ31" s="90">
        <f>VLOOKUP($A31,平滑数据导入!$A$1:$AN$61,COLUMN(平滑数据导入!V$1),0)</f>
        <v>2115.7762242409899</v>
      </c>
      <c r="AR31" s="90">
        <f>VLOOKUP($A31,平滑数据导入!$A$1:$AN$61,COLUMN(平滑数据导入!W$1),0)</f>
        <v>2094.5769312107491</v>
      </c>
      <c r="AS31" s="90">
        <f>VLOOKUP($A31,平滑数据导入!$A$1:$AN$61,COLUMN(平滑数据导入!X$1),0)</f>
        <v>2071.7486416364718</v>
      </c>
      <c r="AT31" s="90">
        <f>VLOOKUP($A31,平滑数据导入!$A$1:$AN$61,COLUMN(平滑数据导入!Y$1),0)</f>
        <v>2047.4750225295629</v>
      </c>
      <c r="AU31" s="89">
        <f>VLOOKUP($A31,平滑数据导入!$A$1:$AN$61,COLUMN(平滑数据导入!Z$1),0)</f>
        <v>2021.9369320069779</v>
      </c>
      <c r="AV31" s="90">
        <f>VLOOKUP($A31,平滑数据导入!$A$1:$AN$61,COLUMN(平滑数据导入!AA$1),0)</f>
        <v>1995.311384061044</v>
      </c>
      <c r="AW31" s="90">
        <f>VLOOKUP($A31,平滑数据导入!$A$1:$AN$61,COLUMN(平滑数据导入!AB$1),0)</f>
        <v>1967.770649328161</v>
      </c>
      <c r="AX31" s="90">
        <f>VLOOKUP($A31,平滑数据导入!$A$1:$AN$61,COLUMN(平滑数据导入!AC$1),0)</f>
        <v>1939.481490205507</v>
      </c>
      <c r="AY31" s="133">
        <f>VLOOKUP(A31,情景假设!$B$48:$S$88,17,0)/情景假设!R$47*AY$13</f>
        <v>1910.6045269639833</v>
      </c>
      <c r="AZ31" s="89">
        <f>VLOOKUP($A31,平滑数据导入!$A$1:$AN$61,COLUMN(平滑数据导入!AE$1),0)</f>
        <v>1881.293730070586</v>
      </c>
      <c r="BA31" s="90">
        <f>VLOOKUP($A31,平滑数据导入!$A$1:$AN$61,COLUMN(平滑数据导入!AF$1),0)</f>
        <v>1851.6960327599161</v>
      </c>
      <c r="BB31" s="90">
        <f>VLOOKUP($A31,平滑数据导入!$A$1:$AN$61,COLUMN(平滑数据导入!AG$1),0)</f>
        <v>1821.951056973714</v>
      </c>
      <c r="BC31" s="90">
        <f>VLOOKUP($A31,平滑数据导入!$A$1:$AN$61,COLUMN(平滑数据导入!AH$1),0)</f>
        <v>1792.190945105486</v>
      </c>
      <c r="BD31" s="101">
        <f>VLOOKUP($A31,平滑数据导入!$A$1:$AN$61,COLUMN(平滑数据导入!AI$1),0)</f>
        <v>1762.5402895280861</v>
      </c>
      <c r="BE31" s="90">
        <f>VLOOKUP($A31,平滑数据导入!$A$1:$AN$61,COLUMN(平滑数据导入!AJ$1),0)</f>
        <v>1733.1161516266541</v>
      </c>
      <c r="BF31" s="90">
        <f>VLOOKUP($A31,平滑数据导入!$A$1:$AN$61,COLUMN(平滑数据导入!AK$1),0)</f>
        <v>1704.0281619874561</v>
      </c>
      <c r="BG31" s="90">
        <f>VLOOKUP($A31,平滑数据导入!$A$1:$AN$61,COLUMN(平滑数据导入!AL$1),0)</f>
        <v>1675.3786934839591</v>
      </c>
      <c r="BH31" s="90">
        <f>VLOOKUP($A31,平滑数据导入!$A$1:$AN$61,COLUMN(平滑数据导入!AM$1),0)</f>
        <v>1647.263099233908</v>
      </c>
      <c r="BI31" s="133">
        <f>VLOOKUP(A31,情景假设!$B$48:$S$88,18,0)/情景假设!S$47*BI$13</f>
        <v>1619.7700077548834</v>
      </c>
    </row>
    <row r="32" spans="1:61" ht="13.9" customHeight="1" x14ac:dyDescent="0.2">
      <c r="A32" s="30" t="s">
        <v>90</v>
      </c>
      <c r="B32" s="19"/>
      <c r="C32" s="20"/>
      <c r="D32" s="20"/>
      <c r="E32" s="20"/>
      <c r="F32" s="21"/>
      <c r="G32" s="19"/>
      <c r="H32" s="20"/>
      <c r="I32" s="20">
        <f>'增加值 (2001-2022, 当年价) '!I32*I$77</f>
        <v>1237.2348438757313</v>
      </c>
      <c r="J32" s="20">
        <f>'增加值 (2001-2022, 当年价) '!J32*J$77</f>
        <v>1260.7885849418121</v>
      </c>
      <c r="K32" s="21">
        <f>'增加值 (2001-2022, 当年价) '!K32*K$77</f>
        <v>1389.6603169510863</v>
      </c>
      <c r="L32" s="19">
        <f>'增加值 (2001-2022, 当年价) '!L32*L$77</f>
        <v>1498.203935994324</v>
      </c>
      <c r="M32" s="20">
        <f>'增加值 (2001-2022, 当年价) '!M32*M$77</f>
        <v>1581.7453247763906</v>
      </c>
      <c r="N32" s="20">
        <f>'增加值 (2001-2022, 当年价) '!N32*N$77</f>
        <v>1705.4469690205001</v>
      </c>
      <c r="O32" s="20">
        <f>'增加值 (2001-2022, 当年价) '!O32*O$77</f>
        <v>1857.428402654961</v>
      </c>
      <c r="P32" s="20">
        <f>'增加值 (2001-2022, 当年价) '!P32*P$77</f>
        <v>1864.3612617991985</v>
      </c>
      <c r="Q32" s="19">
        <f>'增加值 (2001-2022, 当年价) '!Q32*Q$77</f>
        <v>1877.6232138558726</v>
      </c>
      <c r="R32" s="20">
        <f>'增加值 (2001-2022, 当年价) '!R32*R$77</f>
        <v>2073.499402210462</v>
      </c>
      <c r="S32" s="20">
        <f>'增加值 (2001-2022, 当年价) '!S32*S$77</f>
        <v>2225.6176241314952</v>
      </c>
      <c r="T32" s="20">
        <f>'增加值 (2001-2022, 当年价) '!T32*T$77</f>
        <v>2169.4713333944724</v>
      </c>
      <c r="U32" s="21">
        <f>'增加值 (2001-2022, 当年价) '!U32*U$77</f>
        <v>1972.7493616245627</v>
      </c>
      <c r="V32" s="20">
        <f>'增加值 (2001-2022, 当年价) '!V32*V$77</f>
        <v>2360.0523650119308</v>
      </c>
      <c r="W32" s="20">
        <f>'增加值 (2001-2022, 当年价) '!W32*W$77</f>
        <v>2335.0838323778685</v>
      </c>
      <c r="X32" s="90">
        <f>VLOOKUP($A32,平滑数据导入!$A$1:$AN$61,COLUMN(平滑数据导入!C$1),0)</f>
        <v>2379.4176052840062</v>
      </c>
      <c r="Y32" s="90">
        <f>VLOOKUP($A32,平滑数据导入!$A$1:$AN$61,COLUMN(平滑数据导入!D$1),0)</f>
        <v>2416.5474711923839</v>
      </c>
      <c r="Z32" s="141">
        <f>VLOOKUP(A32,情景假设!$B$48:$S$88,14,0)/情景假设!O$47*Z$13</f>
        <v>2446.8756521260225</v>
      </c>
      <c r="AA32" s="89">
        <f>VLOOKUP($A32,平滑数据导入!$A$1:$AN$61,COLUMN(平滑数据导入!F$1),0)</f>
        <v>2470.9036893329512</v>
      </c>
      <c r="AB32" s="90">
        <f>VLOOKUP($A32,平滑数据导入!$A$1:$AN$61,COLUMN(平滑数据导入!G$1),0)</f>
        <v>2489.2156776005659</v>
      </c>
      <c r="AC32" s="90">
        <f>VLOOKUP($A32,平滑数据导入!$A$1:$AN$61,COLUMN(平滑数据导入!H$1),0)</f>
        <v>2502.4618786138221</v>
      </c>
      <c r="AD32" s="90">
        <f>VLOOKUP($A32,平滑数据导入!$A$1:$AN$61,COLUMN(平滑数据导入!I$1),0)</f>
        <v>2511.3433172410751</v>
      </c>
      <c r="AE32" s="133">
        <f>VLOOKUP(A32,情景假设!$B$48:$S$88,15,0)/情景假设!P$47*AE$13</f>
        <v>2516.5978499561788</v>
      </c>
      <c r="AF32" s="90">
        <f>VLOOKUP($A32,平滑数据导入!$A$1:$AN$61,COLUMN(平滑数据导入!K$1),0)</f>
        <v>2518.8444655299809</v>
      </c>
      <c r="AG32" s="90">
        <f>VLOOKUP($A32,平滑数据导入!$A$1:$AN$61,COLUMN(平滑数据导入!L$1),0)</f>
        <v>2518.1425631770749</v>
      </c>
      <c r="AH32" s="90">
        <f>VLOOKUP($A32,平滑数据导入!$A$1:$AN$61,COLUMN(平滑数据导入!M$1),0)</f>
        <v>2514.418614003921</v>
      </c>
      <c r="AI32" s="90">
        <f>VLOOKUP($A32,平滑数据导入!$A$1:$AN$61,COLUMN(平滑数据导入!N$1),0)</f>
        <v>2507.6102344572751</v>
      </c>
      <c r="AJ32" s="141">
        <f>VLOOKUP(A32,情景假设!$B$48:$S$88,16,0)/情景假设!Q$47*AJ$13</f>
        <v>2497.6670249777385</v>
      </c>
      <c r="AK32" s="89">
        <f>VLOOKUP($A32,平滑数据导入!$A$1:$AN$61,COLUMN(平滑数据导入!P$1),0)</f>
        <v>2484.5886597545982</v>
      </c>
      <c r="AL32" s="90">
        <f>VLOOKUP($A32,平滑数据导入!$A$1:$AN$61,COLUMN(平滑数据导入!Q$1),0)</f>
        <v>2468.535581817046</v>
      </c>
      <c r="AM32" s="90">
        <f>VLOOKUP($A32,平滑数据导入!$A$1:$AN$61,COLUMN(平滑数据导入!R$1),0)</f>
        <v>2449.7130905612939</v>
      </c>
      <c r="AN32" s="90">
        <f>VLOOKUP($A32,平滑数据导入!$A$1:$AN$61,COLUMN(平滑数据导入!S$1),0)</f>
        <v>2428.3316301064069</v>
      </c>
      <c r="AO32" s="101">
        <f>VLOOKUP($A32,平滑数据导入!$A$1:$AN$61,COLUMN(平滑数据导入!T$1),0)</f>
        <v>2404.604840945864</v>
      </c>
      <c r="AP32" s="90">
        <f>VLOOKUP($A32,平滑数据导入!$A$1:$AN$61,COLUMN(平滑数据导入!U$1),0)</f>
        <v>2378.7477358639262</v>
      </c>
      <c r="AQ32" s="90">
        <f>VLOOKUP($A32,平滑数据导入!$A$1:$AN$61,COLUMN(平滑数据导入!V$1),0)</f>
        <v>2350.9750128807782</v>
      </c>
      <c r="AR32" s="90">
        <f>VLOOKUP($A32,平滑数据导入!$A$1:$AN$61,COLUMN(平滑数据导入!W$1),0)</f>
        <v>2321.4995146779888</v>
      </c>
      <c r="AS32" s="90">
        <f>VLOOKUP($A32,平滑数据导入!$A$1:$AN$61,COLUMN(平滑数据导入!X$1),0)</f>
        <v>2290.530840833871</v>
      </c>
      <c r="AT32" s="90">
        <f>VLOOKUP($A32,平滑数据导入!$A$1:$AN$61,COLUMN(平滑数据导入!Y$1),0)</f>
        <v>2258.274116309482</v>
      </c>
      <c r="AU32" s="89">
        <f>VLOOKUP($A32,平滑数据导入!$A$1:$AN$61,COLUMN(平滑数据导入!Z$1),0)</f>
        <v>2224.9289170026341</v>
      </c>
      <c r="AV32" s="90">
        <f>VLOOKUP($A32,平滑数据导入!$A$1:$AN$61,COLUMN(平滑数据导入!AA$1),0)</f>
        <v>2190.6883508507358</v>
      </c>
      <c r="AW32" s="90">
        <f>VLOOKUP($A32,平滑数据导入!$A$1:$AN$61,COLUMN(平滑数据导入!AB$1),0)</f>
        <v>2155.7382909268431</v>
      </c>
      <c r="AX32" s="90">
        <f>VLOOKUP($A32,平滑数据导入!$A$1:$AN$61,COLUMN(平滑数据导入!AC$1),0)</f>
        <v>2120.2567552407231</v>
      </c>
      <c r="AY32" s="133">
        <f>VLOOKUP(A32,情景假设!$B$48:$S$88,17,0)/情景假设!R$47*AY$13</f>
        <v>2084.4134265253092</v>
      </c>
      <c r="AZ32" s="89">
        <f>VLOOKUP($A32,平滑数据导入!$A$1:$AN$61,COLUMN(平滑数据导入!AE$1),0)</f>
        <v>2048.369304149533</v>
      </c>
      <c r="BA32" s="90">
        <f>VLOOKUP($A32,平滑数据导入!$A$1:$AN$61,COLUMN(平滑数据导入!AF$1),0)</f>
        <v>2012.276479436624</v>
      </c>
      <c r="BB32" s="90">
        <f>VLOOKUP($A32,平滑数据导入!$A$1:$AN$61,COLUMN(平滑数据导入!AG$1),0)</f>
        <v>1976.2780250650351</v>
      </c>
      <c r="BC32" s="90">
        <f>VLOOKUP($A32,平滑数据导入!$A$1:$AN$61,COLUMN(平滑数据导入!AH$1),0)</f>
        <v>1940.5079888654659</v>
      </c>
      <c r="BD32" s="101">
        <f>VLOOKUP($A32,平滑数据导入!$A$1:$AN$61,COLUMN(平滑数据导入!AI$1),0)</f>
        <v>1905.091482179449</v>
      </c>
      <c r="BE32" s="90">
        <f>VLOOKUP($A32,平滑数据导入!$A$1:$AN$61,COLUMN(平滑数据导入!AJ$1),0)</f>
        <v>1870.144852988514</v>
      </c>
      <c r="BF32" s="90">
        <f>VLOOKUP($A32,平滑数据导入!$A$1:$AN$61,COLUMN(平滑数据导入!AK$1),0)</f>
        <v>1835.7759342334571</v>
      </c>
      <c r="BG32" s="90">
        <f>VLOOKUP($A32,平滑数据导入!$A$1:$AN$61,COLUMN(平滑数据导入!AL$1),0)</f>
        <v>1802.084358096929</v>
      </c>
      <c r="BH32" s="90">
        <f>VLOOKUP($A32,平滑数据导入!$A$1:$AN$61,COLUMN(平滑数据导入!AM$1),0)</f>
        <v>1769.1619274962511</v>
      </c>
      <c r="BI32" s="133">
        <f>VLOOKUP(A32,情景假设!$B$48:$S$88,18,0)/情景假设!S$47*BI$13</f>
        <v>1737.0930366052078</v>
      </c>
    </row>
    <row r="33" spans="1:61" ht="13.9" customHeight="1" x14ac:dyDescent="0.2">
      <c r="A33" s="30" t="s">
        <v>91</v>
      </c>
      <c r="B33" s="19"/>
      <c r="C33" s="20"/>
      <c r="D33" s="20"/>
      <c r="E33" s="20"/>
      <c r="F33" s="21"/>
      <c r="G33" s="19"/>
      <c r="H33" s="20"/>
      <c r="I33" s="20">
        <f>'增加值 (2001-2022, 当年价) '!I33*I$77</f>
        <v>4625.6513765876116</v>
      </c>
      <c r="J33" s="20">
        <f>'增加值 (2001-2022, 当年价) '!J33*J$77</f>
        <v>4612.8602684459884</v>
      </c>
      <c r="K33" s="21">
        <f>'增加值 (2001-2022, 当年价) '!K33*K$77</f>
        <v>4909.6595710962438</v>
      </c>
      <c r="L33" s="19">
        <f>'增加值 (2001-2022, 当年价) '!L33*L$77</f>
        <v>5076.1339274281618</v>
      </c>
      <c r="M33" s="20">
        <f>'增加值 (2001-2022, 当年价) '!M33*M$77</f>
        <v>5136.8917752740663</v>
      </c>
      <c r="N33" s="20">
        <f>'增加值 (2001-2022, 当年价) '!N33*N$77</f>
        <v>5177.5177742301576</v>
      </c>
      <c r="O33" s="20">
        <f>'增加值 (2001-2022, 当年价) '!O33*O$77</f>
        <v>5231.8795946876407</v>
      </c>
      <c r="P33" s="20">
        <f>'增加值 (2001-2022, 当年价) '!P33*P$77</f>
        <v>5330.8239788952933</v>
      </c>
      <c r="Q33" s="19">
        <f>'增加值 (2001-2022, 当年价) '!Q33*Q$77</f>
        <v>5550.8237809702714</v>
      </c>
      <c r="R33" s="20">
        <f>'增加值 (2001-2022, 当年价) '!R33*R$77</f>
        <v>5888.2933870137658</v>
      </c>
      <c r="S33" s="20">
        <f>'增加值 (2001-2022, 当年价) '!S33*S$77</f>
        <v>6238.1949839855151</v>
      </c>
      <c r="T33" s="20">
        <f>'增加值 (2001-2022, 当年价) '!T33*T$77</f>
        <v>6315.3940380225322</v>
      </c>
      <c r="U33" s="21">
        <f>'增加值 (2001-2022, 当年价) '!U33*U$77</f>
        <v>6152.0529589530752</v>
      </c>
      <c r="V33" s="20">
        <f>'增加值 (2001-2022, 当年价) '!V33*V$77</f>
        <v>6456.6953675432605</v>
      </c>
      <c r="W33" s="20">
        <f>'增加值 (2001-2022, 当年价) '!W33*W$77</f>
        <v>6224.4128368227912</v>
      </c>
      <c r="X33" s="90">
        <f>VLOOKUP($A33,平滑数据导入!$A$1:$AN$61,COLUMN(平滑数据导入!C$1),0)</f>
        <v>6255.9997120955813</v>
      </c>
      <c r="Y33" s="90">
        <f>VLOOKUP($A33,平滑数据导入!$A$1:$AN$61,COLUMN(平滑数据导入!D$1),0)</f>
        <v>6291.235376945011</v>
      </c>
      <c r="Z33" s="141">
        <f>VLOOKUP(A33,情景假设!$B$48:$S$88,14,0)/情景假设!O$47*Z$13</f>
        <v>6327.8240107466572</v>
      </c>
      <c r="AA33" s="89">
        <f>VLOOKUP($A33,平滑数据导入!$A$1:$AN$61,COLUMN(平滑数据导入!F$1),0)</f>
        <v>6363.4180445108777</v>
      </c>
      <c r="AB33" s="90">
        <f>VLOOKUP($A33,平滑数据导入!$A$1:$AN$61,COLUMN(平滑数据导入!G$1),0)</f>
        <v>6395.6175244371088</v>
      </c>
      <c r="AC33" s="90">
        <f>VLOOKUP($A33,平滑数据导入!$A$1:$AN$61,COLUMN(平滑数据导入!H$1),0)</f>
        <v>6421.9783764188196</v>
      </c>
      <c r="AD33" s="90">
        <f>VLOOKUP($A33,平滑数据导入!$A$1:$AN$61,COLUMN(平滑数据导入!I$1),0)</f>
        <v>6440.0298602790663</v>
      </c>
      <c r="AE33" s="133">
        <f>VLOOKUP(A33,情景假设!$B$48:$S$88,15,0)/情景假设!P$47*AE$13</f>
        <v>6447.3013667726664</v>
      </c>
      <c r="AF33" s="90">
        <f>VLOOKUP($A33,平滑数据导入!$A$1:$AN$61,COLUMN(平滑数据导入!K$1),0)</f>
        <v>6441.8605658519919</v>
      </c>
      <c r="AG33" s="90">
        <f>VLOOKUP($A33,平滑数据导入!$A$1:$AN$61,COLUMN(平滑数据导入!L$1),0)</f>
        <v>6423.8522632317636</v>
      </c>
      <c r="AH33" s="90">
        <f>VLOOKUP($A33,平滑数据导入!$A$1:$AN$61,COLUMN(平滑数据导入!M$1),0)</f>
        <v>6393.9923110905038</v>
      </c>
      <c r="AI33" s="90">
        <f>VLOOKUP($A33,平滑数据导入!$A$1:$AN$61,COLUMN(平滑数据导入!N$1),0)</f>
        <v>6353.0530585471924</v>
      </c>
      <c r="AJ33" s="141">
        <f>VLOOKUP(A33,情景假设!$B$48:$S$88,16,0)/情景假设!Q$47*AJ$13</f>
        <v>6301.8509768254862</v>
      </c>
      <c r="AK33" s="89">
        <f>VLOOKUP($A33,平滑数据导入!$A$1:$AN$61,COLUMN(平滑数据导入!P$1),0)</f>
        <v>6241.2304123511221</v>
      </c>
      <c r="AL33" s="90">
        <f>VLOOKUP($A33,平滑数据导入!$A$1:$AN$61,COLUMN(平滑数据导入!Q$1),0)</f>
        <v>6172.0397185287311</v>
      </c>
      <c r="AM33" s="90">
        <f>VLOOKUP($A33,平滑数据导入!$A$1:$AN$61,COLUMN(平滑数据导入!R$1),0)</f>
        <v>6095.1343976227072</v>
      </c>
      <c r="AN33" s="90">
        <f>VLOOKUP($A33,平滑数据导入!$A$1:$AN$61,COLUMN(平滑数据导入!S$1),0)</f>
        <v>6011.3720419008278</v>
      </c>
      <c r="AO33" s="101">
        <f>VLOOKUP($A33,平滑数据导入!$A$1:$AN$61,COLUMN(平滑数据导入!T$1),0)</f>
        <v>5921.603763856463</v>
      </c>
      <c r="AP33" s="90">
        <f>VLOOKUP($A33,平滑数据导入!$A$1:$AN$61,COLUMN(平滑数据导入!U$1),0)</f>
        <v>5826.6665528390631</v>
      </c>
      <c r="AQ33" s="90">
        <f>VLOOKUP($A33,平滑数据导入!$A$1:$AN$61,COLUMN(平滑数据导入!V$1),0)</f>
        <v>5727.3765886911333</v>
      </c>
      <c r="AR33" s="90">
        <f>VLOOKUP($A33,平滑数据导入!$A$1:$AN$61,COLUMN(平滑数据导入!W$1),0)</f>
        <v>5624.5235209172106</v>
      </c>
      <c r="AS33" s="90">
        <f>VLOOKUP($A33,平滑数据导入!$A$1:$AN$61,COLUMN(平滑数据导入!X$1),0)</f>
        <v>5518.8657025127477</v>
      </c>
      <c r="AT33" s="90">
        <f>VLOOKUP($A33,平滑数据导入!$A$1:$AN$61,COLUMN(平滑数据导入!Y$1),0)</f>
        <v>5411.1263510081762</v>
      </c>
      <c r="AU33" s="89">
        <f>VLOOKUP($A33,平滑数据导入!$A$1:$AN$61,COLUMN(平滑数据导入!Z$1),0)</f>
        <v>5301.9905955791992</v>
      </c>
      <c r="AV33" s="90">
        <f>VLOOKUP($A33,平滑数据导入!$A$1:$AN$61,COLUMN(平滑数据导入!AA$1),0)</f>
        <v>5192.103358194272</v>
      </c>
      <c r="AW33" s="90">
        <f>VLOOKUP($A33,平滑数据导入!$A$1:$AN$61,COLUMN(平滑数据导入!AB$1),0)</f>
        <v>5082.0680085917929</v>
      </c>
      <c r="AX33" s="90">
        <f>VLOOKUP($A33,平滑数据导入!$A$1:$AN$61,COLUMN(平滑数据导入!AC$1),0)</f>
        <v>4972.4457272284408</v>
      </c>
      <c r="AY33" s="133">
        <f>VLOOKUP(A33,情景假设!$B$48:$S$88,17,0)/情景假设!R$47*AY$13</f>
        <v>4863.755506992411</v>
      </c>
      <c r="AZ33" s="89">
        <f>VLOOKUP($A33,平滑数据导入!$A$1:$AN$61,COLUMN(平滑数据导入!AE$1),0)</f>
        <v>4756.4747231855672</v>
      </c>
      <c r="BA33" s="90">
        <f>VLOOKUP($A33,平滑数据导入!$A$1:$AN$61,COLUMN(平滑数据导入!AF$1),0)</f>
        <v>4651.0402017818496</v>
      </c>
      <c r="BB33" s="90">
        <f>VLOOKUP($A33,平滑数据导入!$A$1:$AN$61,COLUMN(平滑数据导入!AG$1),0)</f>
        <v>4547.8497179989799</v>
      </c>
      <c r="BC33" s="90">
        <f>VLOOKUP($A33,平滑数据导入!$A$1:$AN$61,COLUMN(平滑数据导入!AH$1),0)</f>
        <v>4447.263860514935</v>
      </c>
      <c r="BD33" s="101">
        <f>VLOOKUP($A33,平滑数据导入!$A$1:$AN$61,COLUMN(平滑数据导入!AI$1),0)</f>
        <v>4349.6082009704796</v>
      </c>
      <c r="BE33" s="90">
        <f>VLOOKUP($A33,平滑数据导入!$A$1:$AN$61,COLUMN(平滑数据导入!AJ$1),0)</f>
        <v>4255.1757134964964</v>
      </c>
      <c r="BF33" s="90">
        <f>VLOOKUP($A33,平滑数据导入!$A$1:$AN$61,COLUMN(平滑数据导入!AK$1),0)</f>
        <v>4164.2293946824529</v>
      </c>
      <c r="BG33" s="90">
        <f>VLOOKUP($A33,平滑数据导入!$A$1:$AN$61,COLUMN(平滑数据导入!AL$1),0)</f>
        <v>4077.005040481748</v>
      </c>
      <c r="BH33" s="90">
        <f>VLOOKUP($A33,平滑数据导入!$A$1:$AN$61,COLUMN(平滑数据导入!AM$1),0)</f>
        <v>3993.7141428795389</v>
      </c>
      <c r="BI33" s="133">
        <f>VLOOKUP(A33,情景假设!$B$48:$S$88,18,0)/情景假设!S$47*BI$13</f>
        <v>3914.5468756059086</v>
      </c>
    </row>
    <row r="34" spans="1:61" ht="13.9" customHeight="1" x14ac:dyDescent="0.2">
      <c r="A34" s="30" t="s">
        <v>92</v>
      </c>
      <c r="B34" s="19"/>
      <c r="C34" s="20"/>
      <c r="D34" s="20"/>
      <c r="E34" s="20"/>
      <c r="F34" s="21"/>
      <c r="G34" s="19"/>
      <c r="H34" s="20"/>
      <c r="I34" s="20">
        <f>'增加值 (2001-2022, 当年价) '!I34*I$77</f>
        <v>10307.621181201201</v>
      </c>
      <c r="J34" s="20">
        <f>'增加值 (2001-2022, 当年价) '!J34*J$77</f>
        <v>11197.59429543964</v>
      </c>
      <c r="K34" s="21">
        <f>'增加值 (2001-2022, 当年价) '!K34*K$77</f>
        <v>12559.64137823792</v>
      </c>
      <c r="L34" s="19">
        <f>'增加值 (2001-2022, 当年价) '!L34*L$77</f>
        <v>13842.358017782368</v>
      </c>
      <c r="M34" s="20">
        <f>'增加值 (2001-2022, 当年价) '!M34*M$77</f>
        <v>14719.644806821092</v>
      </c>
      <c r="N34" s="20">
        <f>'增加值 (2001-2022, 当年价) '!N34*N$77</f>
        <v>15675.043022632364</v>
      </c>
      <c r="O34" s="20">
        <f>'增加值 (2001-2022, 当年价) '!O34*O$77</f>
        <v>16576.00180083466</v>
      </c>
      <c r="P34" s="20">
        <f>'增加值 (2001-2022, 当年价) '!P34*P$77</f>
        <v>17219.725535205271</v>
      </c>
      <c r="Q34" s="19">
        <f>'增加值 (2001-2022, 当年价) '!Q34*Q$77</f>
        <v>18098.41766921154</v>
      </c>
      <c r="R34" s="20">
        <f>'增加值 (2001-2022, 当年价) '!R34*R$77</f>
        <v>19015.540655849214</v>
      </c>
      <c r="S34" s="20">
        <f>'增加值 (2001-2022, 当年价) '!S34*S$77</f>
        <v>19615.361201046722</v>
      </c>
      <c r="T34" s="20">
        <f>'增加值 (2001-2022, 当年价) '!T34*T$77</f>
        <v>19801.368225340564</v>
      </c>
      <c r="U34" s="21">
        <f>'增加值 (2001-2022, 当年价) '!U34*U$77</f>
        <v>19806.415285139785</v>
      </c>
      <c r="V34" s="20">
        <f>'增加值 (2001-2022, 当年价) '!V34*V$77</f>
        <v>22210.139333921907</v>
      </c>
      <c r="W34" s="20">
        <f>'增加值 (2001-2022, 当年价) '!W34*W$77</f>
        <v>24050.846611769</v>
      </c>
      <c r="X34" s="90">
        <f>VLOOKUP($A34,平滑数据导入!$A$1:$AN$61,COLUMN(平滑数据导入!C$1),0)</f>
        <v>24687.576935505062</v>
      </c>
      <c r="Y34" s="90">
        <f>VLOOKUP($A34,平滑数据导入!$A$1:$AN$61,COLUMN(平滑数据导入!D$1),0)</f>
        <v>25400.819908023001</v>
      </c>
      <c r="Z34" s="141">
        <f>VLOOKUP(A34,情景假设!$B$48:$S$88,14,0)/情景假设!O$47*Z$13</f>
        <v>26172.187822448675</v>
      </c>
      <c r="AA34" s="89">
        <f>VLOOKUP($A34,平滑数据导入!$A$1:$AN$61,COLUMN(平滑数据导入!F$1),0)</f>
        <v>26980.947580343782</v>
      </c>
      <c r="AB34" s="90">
        <f>VLOOKUP($A34,平滑数据导入!$A$1:$AN$61,COLUMN(平滑数据导入!G$1),0)</f>
        <v>27803.604224684859</v>
      </c>
      <c r="AC34" s="90">
        <f>VLOOKUP($A34,平滑数据导入!$A$1:$AN$61,COLUMN(平滑数据导入!H$1),0)</f>
        <v>28613.6710572294</v>
      </c>
      <c r="AD34" s="90">
        <f>VLOOKUP($A34,平滑数据导入!$A$1:$AN$61,COLUMN(平滑数据导入!I$1),0)</f>
        <v>29381.671453943702</v>
      </c>
      <c r="AE34" s="133">
        <f>VLOOKUP(A34,情景假设!$B$48:$S$88,15,0)/情景假设!P$47*AE$13</f>
        <v>30075.420252916003</v>
      </c>
      <c r="AF34" s="90">
        <f>VLOOKUP($A34,平滑数据导入!$A$1:$AN$61,COLUMN(平滑数据导入!K$1),0)</f>
        <v>30666.871948591201</v>
      </c>
      <c r="AG34" s="90">
        <f>VLOOKUP($A34,平滑数据导入!$A$1:$AN$61,COLUMN(平滑数据导入!L$1),0)</f>
        <v>31152.565186963999</v>
      </c>
      <c r="AH34" s="90">
        <f>VLOOKUP($A34,平滑数据导入!$A$1:$AN$61,COLUMN(平滑数据导入!M$1),0)</f>
        <v>31536.763607334771</v>
      </c>
      <c r="AI34" s="90">
        <f>VLOOKUP($A34,平滑数据导入!$A$1:$AN$61,COLUMN(平滑数据导入!N$1),0)</f>
        <v>31825.250061358769</v>
      </c>
      <c r="AJ34" s="141">
        <f>VLOOKUP(A34,情景假设!$B$48:$S$88,16,0)/情景假设!Q$47*AJ$13</f>
        <v>32025.088350002032</v>
      </c>
      <c r="AK34" s="89">
        <f>VLOOKUP($A34,平滑数据导入!$A$1:$AN$61,COLUMN(平滑数据导入!P$1),0)</f>
        <v>32143.534495593209</v>
      </c>
      <c r="AL34" s="90">
        <f>VLOOKUP($A34,平滑数据导入!$A$1:$AN$61,COLUMN(平滑数据导入!Q$1),0)</f>
        <v>32185.250651861679</v>
      </c>
      <c r="AM34" s="90">
        <f>VLOOKUP($A34,平滑数据导入!$A$1:$AN$61,COLUMN(平滑数据导入!R$1),0)</f>
        <v>32154.65683208016</v>
      </c>
      <c r="AN34" s="90">
        <f>VLOOKUP($A34,平滑数据导入!$A$1:$AN$61,COLUMN(平滑数据导入!S$1),0)</f>
        <v>32056.664001233341</v>
      </c>
      <c r="AO34" s="101">
        <f>VLOOKUP($A34,平滑数据导入!$A$1:$AN$61,COLUMN(平滑数据导入!T$1),0)</f>
        <v>31896.569711032542</v>
      </c>
      <c r="AP34" s="90">
        <f>VLOOKUP($A34,平滑数据导入!$A$1:$AN$61,COLUMN(平滑数据导入!U$1),0)</f>
        <v>31679.957325242991</v>
      </c>
      <c r="AQ34" s="90">
        <f>VLOOKUP($A34,平滑数据导入!$A$1:$AN$61,COLUMN(平滑数据导入!V$1),0)</f>
        <v>31412.600785840728</v>
      </c>
      <c r="AR34" s="90">
        <f>VLOOKUP($A34,平滑数据导入!$A$1:$AN$61,COLUMN(平滑数据导入!W$1),0)</f>
        <v>31100.376487724381</v>
      </c>
      <c r="AS34" s="90">
        <f>VLOOKUP($A34,平滑数据导入!$A$1:$AN$61,COLUMN(平滑数据导入!X$1),0)</f>
        <v>30749.183450863071</v>
      </c>
      <c r="AT34" s="90">
        <f>VLOOKUP($A34,平滑数据导入!$A$1:$AN$61,COLUMN(平滑数据导入!Y$1),0)</f>
        <v>30364.872617223358</v>
      </c>
      <c r="AU34" s="89">
        <f>VLOOKUP($A34,平滑数据导入!$A$1:$AN$61,COLUMN(平滑数据导入!Z$1),0)</f>
        <v>29953.18576613981</v>
      </c>
      <c r="AV34" s="90">
        <f>VLOOKUP($A34,平滑数据导入!$A$1:$AN$61,COLUMN(平滑数据导入!AA$1),0)</f>
        <v>29519.704243736691</v>
      </c>
      <c r="AW34" s="90">
        <f>VLOOKUP($A34,平滑数据导入!$A$1:$AN$61,COLUMN(平滑数据导入!AB$1),0)</f>
        <v>29069.807444679431</v>
      </c>
      <c r="AX34" s="90">
        <f>VLOOKUP($A34,平滑数据导入!$A$1:$AN$61,COLUMN(平滑数据导入!AC$1),0)</f>
        <v>28608.640770657581</v>
      </c>
      <c r="AY34" s="133">
        <f>VLOOKUP(A34,情景假设!$B$48:$S$88,17,0)/情景假设!R$47*AY$13</f>
        <v>28141.092620219242</v>
      </c>
      <c r="AZ34" s="89">
        <f>VLOOKUP($A34,平滑数据导入!$A$1:$AN$61,COLUMN(平滑数据导入!AE$1),0)</f>
        <v>27671.77983783741</v>
      </c>
      <c r="BA34" s="90">
        <f>VLOOKUP($A34,平滑数据导入!$A$1:$AN$61,COLUMN(平滑数据导入!AF$1),0)</f>
        <v>27205.04096401919</v>
      </c>
      <c r="BB34" s="90">
        <f>VLOOKUP($A34,平滑数据导入!$A$1:$AN$61,COLUMN(平滑数据导入!AG$1),0)</f>
        <v>26744.936579538691</v>
      </c>
      <c r="BC34" s="90">
        <f>VLOOKUP($A34,平滑数据导入!$A$1:$AN$61,COLUMN(平滑数据导入!AH$1),0)</f>
        <v>26295.25602156594</v>
      </c>
      <c r="BD34" s="101">
        <f>VLOOKUP($A34,平滑数据导入!$A$1:$AN$61,COLUMN(平滑数据导入!AI$1),0)</f>
        <v>25859.529763356852</v>
      </c>
      <c r="BE34" s="90">
        <f>VLOOKUP($A34,平滑数据导入!$A$1:$AN$61,COLUMN(平滑数据导入!AJ$1),0)</f>
        <v>25441.046788042389</v>
      </c>
      <c r="BF34" s="90">
        <f>VLOOKUP($A34,平滑数据导入!$A$1:$AN$61,COLUMN(平滑数据导入!AK$1),0)</f>
        <v>25042.876346879031</v>
      </c>
      <c r="BG34" s="90">
        <f>VLOOKUP($A34,平滑数据导入!$A$1:$AN$61,COLUMN(平滑数据导入!AL$1),0)</f>
        <v>24667.893569473799</v>
      </c>
      <c r="BH34" s="90">
        <f>VLOOKUP($A34,平滑数据导入!$A$1:$AN$61,COLUMN(平滑数据导入!AM$1),0)</f>
        <v>24318.808484882869</v>
      </c>
      <c r="BI34" s="133">
        <f>VLOOKUP(A34,情景假设!$B$48:$S$88,18,0)/情景假设!S$47*BI$13</f>
        <v>23998.198115647116</v>
      </c>
    </row>
    <row r="35" spans="1:61" ht="13.9" customHeight="1" x14ac:dyDescent="0.2">
      <c r="A35" s="30" t="s">
        <v>93</v>
      </c>
      <c r="B35" s="19"/>
      <c r="C35" s="20"/>
      <c r="D35" s="20"/>
      <c r="E35" s="20"/>
      <c r="F35" s="21"/>
      <c r="G35" s="19"/>
      <c r="H35" s="20"/>
      <c r="I35" s="20">
        <f>'增加值 (2001-2022, 当年价) '!I35*I$77</f>
        <v>3511.6514206275415</v>
      </c>
      <c r="J35" s="20">
        <f>'增加值 (2001-2022, 当年价) '!J35*J$77</f>
        <v>3821.5095498952564</v>
      </c>
      <c r="K35" s="21">
        <f>'增加值 (2001-2022, 当年价) '!K35*K$77</f>
        <v>4275.2149454151495</v>
      </c>
      <c r="L35" s="19">
        <f>'增加值 (2001-2022, 当年价) '!L35*L$77</f>
        <v>4843.2978802049302</v>
      </c>
      <c r="M35" s="20">
        <f>'增加值 (2001-2022, 当年价) '!M35*M$77</f>
        <v>5279.3535482292027</v>
      </c>
      <c r="N35" s="20">
        <f>'增加值 (2001-2022, 当年价) '!N35*N$77</f>
        <v>5692.229568301681</v>
      </c>
      <c r="O35" s="20">
        <f>'增加值 (2001-2022, 当年价) '!O35*O$77</f>
        <v>6128.5494472918117</v>
      </c>
      <c r="P35" s="20">
        <f>'增加值 (2001-2022, 当年价) '!P35*P$77</f>
        <v>6389.8065097620865</v>
      </c>
      <c r="Q35" s="19">
        <f>'增加值 (2001-2022, 当年价) '!Q35*Q$77</f>
        <v>6909.1742549297605</v>
      </c>
      <c r="R35" s="20">
        <f>'增加值 (2001-2022, 当年价) '!R35*R$77</f>
        <v>7860.7353543383379</v>
      </c>
      <c r="S35" s="20">
        <f>'增加值 (2001-2022, 当年价) '!S35*S$77</f>
        <v>8586.1343391029313</v>
      </c>
      <c r="T35" s="20">
        <f>'增加值 (2001-2022, 当年价) '!T35*T$77</f>
        <v>8824.8451278281718</v>
      </c>
      <c r="U35" s="21">
        <f>'增加值 (2001-2022, 当年价) '!U35*U$77</f>
        <v>9040.5154886877699</v>
      </c>
      <c r="V35" s="20">
        <f>'增加值 (2001-2022, 当年价) '!V35*V$77</f>
        <v>11747.284288306733</v>
      </c>
      <c r="W35" s="20">
        <f>'增加值 (2001-2022, 当年价) '!W35*W$77</f>
        <v>11527.535972617879</v>
      </c>
      <c r="X35" s="90">
        <f>VLOOKUP($A35,平滑数据导入!$A$1:$AN$61,COLUMN(平滑数据导入!C$1),0)</f>
        <v>12261.60186323961</v>
      </c>
      <c r="Y35" s="90">
        <f>VLOOKUP($A35,平滑数据导入!$A$1:$AN$61,COLUMN(平滑数据导入!D$1),0)</f>
        <v>13003.776962170499</v>
      </c>
      <c r="Z35" s="141">
        <f>VLOOKUP(A35,情景假设!$B$48:$S$88,14,0)/情景假设!O$47*Z$13</f>
        <v>13751.057985358817</v>
      </c>
      <c r="AA35" s="89">
        <f>VLOOKUP($A35,平滑数据导入!$A$1:$AN$61,COLUMN(平滑数据导入!F$1),0)</f>
        <v>14500.391806915901</v>
      </c>
      <c r="AB35" s="90">
        <f>VLOOKUP($A35,平滑数据导入!$A$1:$AN$61,COLUMN(平滑数据导入!G$1),0)</f>
        <v>15248.71002974705</v>
      </c>
      <c r="AC35" s="90">
        <f>VLOOKUP($A35,平滑数据导入!$A$1:$AN$61,COLUMN(平滑数据导入!H$1),0)</f>
        <v>15992.9633524863</v>
      </c>
      <c r="AD35" s="90">
        <f>VLOOKUP($A35,平滑数据导入!$A$1:$AN$61,COLUMN(平滑数据导入!I$1),0)</f>
        <v>16730.155136893442</v>
      </c>
      <c r="AE35" s="133">
        <f>VLOOKUP(A35,情景假设!$B$48:$S$88,15,0)/情景假设!P$47*AE$13</f>
        <v>17457.373618761692</v>
      </c>
      <c r="AF35" s="90">
        <f>VLOOKUP($A35,平滑数据导入!$A$1:$AN$61,COLUMN(平滑数据导入!K$1),0)</f>
        <v>18172.03662051147</v>
      </c>
      <c r="AG35" s="90">
        <f>VLOOKUP($A35,平滑数据导入!$A$1:$AN$61,COLUMN(平滑数据导入!L$1),0)</f>
        <v>18872.628726518331</v>
      </c>
      <c r="AH35" s="90">
        <f>VLOOKUP($A35,平滑数据导入!$A$1:$AN$61,COLUMN(平滑数据导入!M$1),0)</f>
        <v>19558.193875078839</v>
      </c>
      <c r="AI35" s="90">
        <f>VLOOKUP($A35,平滑数据导入!$A$1:$AN$61,COLUMN(平滑数据导入!N$1),0)</f>
        <v>20228.14771343473</v>
      </c>
      <c r="AJ35" s="141">
        <f>VLOOKUP(A35,情景假设!$B$48:$S$88,16,0)/情景假设!Q$47*AJ$13</f>
        <v>20882.282470849343</v>
      </c>
      <c r="AK35" s="89">
        <f>VLOOKUP($A35,平滑数据导入!$A$1:$AN$61,COLUMN(平滑数据导入!P$1),0)</f>
        <v>21520.46511527133</v>
      </c>
      <c r="AL35" s="90">
        <f>VLOOKUP($A35,平滑数据导入!$A$1:$AN$61,COLUMN(平滑数据导入!Q$1),0)</f>
        <v>22141.657034837641</v>
      </c>
      <c r="AM35" s="90">
        <f>VLOOKUP($A35,平滑数据导入!$A$1:$AN$61,COLUMN(平滑数据导入!R$1),0)</f>
        <v>22744.699404022729</v>
      </c>
      <c r="AN35" s="90">
        <f>VLOOKUP($A35,平滑数据导入!$A$1:$AN$61,COLUMN(平滑数据导入!S$1),0)</f>
        <v>23328.603236236369</v>
      </c>
      <c r="AO35" s="101">
        <f>VLOOKUP($A35,平滑数据导入!$A$1:$AN$61,COLUMN(平滑数据导入!T$1),0)</f>
        <v>23892.55325425453</v>
      </c>
      <c r="AP35" s="90">
        <f>VLOOKUP($A35,平滑数据导入!$A$1:$AN$61,COLUMN(平滑数据导入!U$1),0)</f>
        <v>24435.909960503432</v>
      </c>
      <c r="AQ35" s="90">
        <f>VLOOKUP($A35,平滑数据导入!$A$1:$AN$61,COLUMN(平滑数据导入!V$1),0)</f>
        <v>24958.21000563756</v>
      </c>
      <c r="AR35" s="90">
        <f>VLOOKUP($A35,平滑数据导入!$A$1:$AN$61,COLUMN(平滑数据导入!W$1),0)</f>
        <v>25459.1649755324</v>
      </c>
      <c r="AS35" s="90">
        <f>VLOOKUP($A35,平滑数据导入!$A$1:$AN$61,COLUMN(平滑数据导入!X$1),0)</f>
        <v>25938.658734770521</v>
      </c>
      <c r="AT35" s="90">
        <f>VLOOKUP($A35,平滑数据导入!$A$1:$AN$61,COLUMN(平滑数据导入!Y$1),0)</f>
        <v>26396.743478900738</v>
      </c>
      <c r="AU35" s="89">
        <f>VLOOKUP($A35,平滑数据导入!$A$1:$AN$61,COLUMN(平滑数据导入!Z$1),0)</f>
        <v>26833.634658266321</v>
      </c>
      <c r="AV35" s="90">
        <f>VLOOKUP($A35,平滑数据导入!$A$1:$AN$61,COLUMN(平滑数据导入!AA$1),0)</f>
        <v>27249.70494318382</v>
      </c>
      <c r="AW35" s="90">
        <f>VLOOKUP($A35,平滑数据导入!$A$1:$AN$61,COLUMN(平滑数据导入!AB$1),0)</f>
        <v>27645.477403933179</v>
      </c>
      <c r="AX35" s="90">
        <f>VLOOKUP($A35,平滑数据导入!$A$1:$AN$61,COLUMN(平滑数据导入!AC$1),0)</f>
        <v>28021.618079673881</v>
      </c>
      <c r="AY35" s="133">
        <f>VLOOKUP(A35,情景假设!$B$48:$S$88,17,0)/情景假设!R$47*AY$13</f>
        <v>28378.928108371423</v>
      </c>
      <c r="AZ35" s="89">
        <f>VLOOKUP($A35,平滑数据导入!$A$1:$AN$61,COLUMN(平滑数据导入!AE$1),0)</f>
        <v>28718.335585446272</v>
      </c>
      <c r="BA35" s="90">
        <f>VLOOKUP($A35,平滑数据导入!$A$1:$AN$61,COLUMN(平滑数据导入!AF$1),0)</f>
        <v>29040.88731255128</v>
      </c>
      <c r="BB35" s="90">
        <f>VLOOKUP($A35,平滑数据导入!$A$1:$AN$61,COLUMN(平滑数据导入!AG$1),0)</f>
        <v>29347.74059000835</v>
      </c>
      <c r="BC35" s="90">
        <f>VLOOKUP($A35,平滑数据导入!$A$1:$AN$61,COLUMN(平滑数据导入!AH$1),0)</f>
        <v>29640.155197405929</v>
      </c>
      <c r="BD35" s="101">
        <f>VLOOKUP($A35,平滑数据导入!$A$1:$AN$61,COLUMN(平滑数据导入!AI$1),0)</f>
        <v>29919.485697039469</v>
      </c>
      <c r="BE35" s="90">
        <f>VLOOKUP($A35,平滑数据导入!$A$1:$AN$61,COLUMN(平滑数据导入!AJ$1),0)</f>
        <v>30187.174184644959</v>
      </c>
      <c r="BF35" s="90">
        <f>VLOOKUP($A35,平滑数据导入!$A$1:$AN$61,COLUMN(平滑数据导入!AK$1),0)</f>
        <v>30444.743601573529</v>
      </c>
      <c r="BG35" s="90">
        <f>VLOOKUP($A35,平滑数据导入!$A$1:$AN$61,COLUMN(平滑数据导入!AL$1),0)</f>
        <v>30693.79171250121</v>
      </c>
      <c r="BH35" s="90">
        <f>VLOOKUP($A35,平滑数据导入!$A$1:$AN$61,COLUMN(平滑数据导入!AM$1),0)</f>
        <v>30935.985843262701</v>
      </c>
      <c r="BI35" s="133">
        <f>VLOOKUP(A35,情景假设!$B$48:$S$88,18,0)/情景假设!S$47*BI$13</f>
        <v>31173.058464705889</v>
      </c>
    </row>
    <row r="36" spans="1:61" ht="13.9" customHeight="1" x14ac:dyDescent="0.2">
      <c r="A36" s="30" t="s">
        <v>94</v>
      </c>
      <c r="B36" s="19"/>
      <c r="C36" s="20"/>
      <c r="D36" s="20"/>
      <c r="E36" s="20"/>
      <c r="F36" s="21"/>
      <c r="G36" s="19"/>
      <c r="H36" s="20"/>
      <c r="I36" s="20">
        <f>'增加值 (2001-2022, 当年价) '!I36*I$77</f>
        <v>859.11546311248117</v>
      </c>
      <c r="J36" s="20">
        <f>'增加值 (2001-2022, 当年价) '!J36*J$77</f>
        <v>897.45936104525651</v>
      </c>
      <c r="K36" s="21">
        <f>'增加值 (2001-2022, 当年价) '!K36*K$77</f>
        <v>968.27646768736281</v>
      </c>
      <c r="L36" s="19">
        <f>'增加值 (2001-2022, 当年价) '!L36*L$77</f>
        <v>1032.7418508640769</v>
      </c>
      <c r="M36" s="20">
        <f>'增加值 (2001-2022, 当年价) '!M36*M$77</f>
        <v>1111.9581986161706</v>
      </c>
      <c r="N36" s="20">
        <f>'增加值 (2001-2022, 当年价) '!N36*N$77</f>
        <v>1165.1176258004402</v>
      </c>
      <c r="O36" s="20">
        <f>'增加值 (2001-2022, 当年价) '!O36*O$77</f>
        <v>1211.9788518565749</v>
      </c>
      <c r="P36" s="20">
        <f>'增加值 (2001-2022, 当年价) '!P36*P$77</f>
        <v>1278.5924910259603</v>
      </c>
      <c r="Q36" s="19">
        <f>'增加值 (2001-2022, 当年价) '!Q36*Q$77</f>
        <v>1323.8726547695678</v>
      </c>
      <c r="R36" s="20">
        <f>'增加值 (2001-2022, 当年价) '!R36*R$77</f>
        <v>1417.7596020439064</v>
      </c>
      <c r="S36" s="20">
        <f>'增加值 (2001-2022, 当年价) '!S36*S$77</f>
        <v>1518.9474356656292</v>
      </c>
      <c r="T36" s="20">
        <f>'增加值 (2001-2022, 当年价) '!T36*T$77</f>
        <v>1638.7965466907137</v>
      </c>
      <c r="U36" s="21">
        <f>'增加值 (2001-2022, 当年价) '!U36*U$77</f>
        <v>1620.1904872999933</v>
      </c>
      <c r="V36" s="20">
        <f>'增加值 (2001-2022, 当年价) '!V36*V$77</f>
        <v>1808.38361047637</v>
      </c>
      <c r="W36" s="20">
        <f>'增加值 (2001-2022, 当年价) '!W36*W$77</f>
        <v>1857.221055664822</v>
      </c>
      <c r="X36" s="90">
        <f>VLOOKUP($A36,平滑数据导入!$A$1:$AN$61,COLUMN(平滑数据导入!C$1),0)</f>
        <v>1919.3063723642999</v>
      </c>
      <c r="Y36" s="90">
        <f>VLOOKUP($A36,平滑数据导入!$A$1:$AN$61,COLUMN(平滑数据导入!D$1),0)</f>
        <v>1989.263786002467</v>
      </c>
      <c r="Z36" s="141">
        <f>VLOOKUP(A36,情景假设!$B$48:$S$88,14,0)/情景假设!O$47*Z$13</f>
        <v>2065.5467087322568</v>
      </c>
      <c r="AA36" s="89">
        <f>VLOOKUP($A36,平滑数据导入!$A$1:$AN$61,COLUMN(平滑数据导入!F$1),0)</f>
        <v>2146.3445707779201</v>
      </c>
      <c r="AB36" s="90">
        <f>VLOOKUP($A36,平滑数据导入!$A$1:$AN$61,COLUMN(平滑数据导入!G$1),0)</f>
        <v>2229.527615766388</v>
      </c>
      <c r="AC36" s="90">
        <f>VLOOKUP($A36,平滑数据导入!$A$1:$AN$61,COLUMN(平滑数据导入!H$1),0)</f>
        <v>2312.6103425773008</v>
      </c>
      <c r="AD36" s="90">
        <f>VLOOKUP($A36,平滑数据导入!$A$1:$AN$61,COLUMN(平滑数据导入!I$1),0)</f>
        <v>2392.7398052392768</v>
      </c>
      <c r="AE36" s="133">
        <f>VLOOKUP(A36,情景假设!$B$48:$S$88,15,0)/情景假设!P$47*AE$13</f>
        <v>2466.7156917195443</v>
      </c>
      <c r="AF36" s="90">
        <f>VLOOKUP($A36,平滑数据导入!$A$1:$AN$61,COLUMN(平滑数据导入!K$1),0)</f>
        <v>2531.6643559894128</v>
      </c>
      <c r="AG36" s="90">
        <f>VLOOKUP($A36,平滑数据导入!$A$1:$AN$61,COLUMN(平滑数据导入!L$1),0)</f>
        <v>2587.0911022616369</v>
      </c>
      <c r="AH36" s="90">
        <f>VLOOKUP($A36,平滑数据导入!$A$1:$AN$61,COLUMN(平滑数据导入!M$1),0)</f>
        <v>2633.2774978832508</v>
      </c>
      <c r="AI36" s="90">
        <f>VLOOKUP($A36,平滑数据导入!$A$1:$AN$61,COLUMN(平滑数据导入!N$1),0)</f>
        <v>2670.6783754303979</v>
      </c>
      <c r="AJ36" s="141">
        <f>VLOOKUP(A36,情景假设!$B$48:$S$88,16,0)/情景假设!Q$47*AJ$13</f>
        <v>2699.8979801748819</v>
      </c>
      <c r="AK36" s="89">
        <f>VLOOKUP($A36,平滑数据导入!$A$1:$AN$61,COLUMN(平滑数据导入!P$1),0)</f>
        <v>2721.5717126452578</v>
      </c>
      <c r="AL36" s="90">
        <f>VLOOKUP($A36,平滑数据导入!$A$1:$AN$61,COLUMN(平滑数据导入!Q$1),0)</f>
        <v>2736.057391588216</v>
      </c>
      <c r="AM36" s="90">
        <f>VLOOKUP($A36,平滑数据导入!$A$1:$AN$61,COLUMN(平滑数据导入!R$1),0)</f>
        <v>2743.6901239651011</v>
      </c>
      <c r="AN36" s="90">
        <f>VLOOKUP($A36,平滑数据导入!$A$1:$AN$61,COLUMN(平滑数据导入!S$1),0)</f>
        <v>2744.8637890990449</v>
      </c>
      <c r="AO36" s="101">
        <f>VLOOKUP($A36,平滑数据导入!$A$1:$AN$61,COLUMN(平滑数据导入!T$1),0)</f>
        <v>2740.0208084910291</v>
      </c>
      <c r="AP36" s="90">
        <f>VLOOKUP($A36,平滑数据导入!$A$1:$AN$61,COLUMN(平滑数据导入!U$1),0)</f>
        <v>2729.64201024368</v>
      </c>
      <c r="AQ36" s="90">
        <f>VLOOKUP($A36,平滑数据导入!$A$1:$AN$61,COLUMN(平滑数据导入!V$1),0)</f>
        <v>2714.2368333977629</v>
      </c>
      <c r="AR36" s="90">
        <f>VLOOKUP($A36,平滑数据导入!$A$1:$AN$61,COLUMN(平滑数据导入!W$1),0)</f>
        <v>2694.334077976132</v>
      </c>
      <c r="AS36" s="90">
        <f>VLOOKUP($A36,平滑数据导入!$A$1:$AN$61,COLUMN(平滑数据导入!X$1),0)</f>
        <v>2670.4733656167809</v>
      </c>
      <c r="AT36" s="90">
        <f>VLOOKUP($A36,平滑数据导入!$A$1:$AN$61,COLUMN(平滑数据导入!Y$1),0)</f>
        <v>2643.1974352002708</v>
      </c>
      <c r="AU36" s="89">
        <f>VLOOKUP($A36,平滑数据导入!$A$1:$AN$61,COLUMN(平滑数据导入!Z$1),0)</f>
        <v>2613.045359363904</v>
      </c>
      <c r="AV36" s="90">
        <f>VLOOKUP($A36,平滑数据导入!$A$1:$AN$61,COLUMN(平滑数据导入!AA$1),0)</f>
        <v>2580.546732441484</v>
      </c>
      <c r="AW36" s="90">
        <f>VLOOKUP($A36,平滑数据导入!$A$1:$AN$61,COLUMN(平滑数据导入!AB$1),0)</f>
        <v>2546.2168490379909</v>
      </c>
      <c r="AX36" s="90">
        <f>VLOOKUP($A36,平滑数据导入!$A$1:$AN$61,COLUMN(平滑数据导入!AC$1),0)</f>
        <v>2510.5528657002619</v>
      </c>
      <c r="AY36" s="133">
        <f>VLOOKUP(A36,情景假设!$B$48:$S$88,17,0)/情景假设!R$47*AY$13</f>
        <v>2474.030916255314</v>
      </c>
      <c r="AZ36" s="89">
        <f>VLOOKUP($A36,平滑数据导入!$A$1:$AN$61,COLUMN(平滑数据导入!AE$1),0)</f>
        <v>2437.1041344020191</v>
      </c>
      <c r="BA36" s="90">
        <f>VLOOKUP($A36,平滑数据导入!$A$1:$AN$61,COLUMN(平滑数据导入!AF$1),0)</f>
        <v>2400.201524911341</v>
      </c>
      <c r="BB36" s="90">
        <f>VLOOKUP($A36,平滑数据导入!$A$1:$AN$61,COLUMN(平滑数据导入!AG$1),0)</f>
        <v>2363.7276170262498</v>
      </c>
      <c r="BC36" s="90">
        <f>VLOOKUP($A36,平滑数据导入!$A$1:$AN$61,COLUMN(平滑数据导入!AH$1),0)</f>
        <v>2328.0628299665418</v>
      </c>
      <c r="BD36" s="101">
        <f>VLOOKUP($A36,平滑数据导入!$A$1:$AN$61,COLUMN(平滑数据导入!AI$1),0)</f>
        <v>2293.5644803928199</v>
      </c>
      <c r="BE36" s="90">
        <f>VLOOKUP($A36,平滑数据导入!$A$1:$AN$61,COLUMN(平滑数据导入!AJ$1),0)</f>
        <v>2260.5683648053232</v>
      </c>
      <c r="BF36" s="90">
        <f>VLOOKUP($A36,平滑数据导入!$A$1:$AN$61,COLUMN(平滑数据导入!AK$1),0)</f>
        <v>2229.3908556985139</v>
      </c>
      <c r="BG36" s="90">
        <f>VLOOKUP($A36,平滑数据导入!$A$1:$AN$61,COLUMN(平滑数据导入!AL$1),0)</f>
        <v>2200.331458451923</v>
      </c>
      <c r="BH36" s="90">
        <f>VLOOKUP($A36,平滑数据导入!$A$1:$AN$61,COLUMN(平滑数据导入!AM$1),0)</f>
        <v>2173.6757860642911</v>
      </c>
      <c r="BI36" s="133">
        <f>VLOOKUP(A36,情景假设!$B$48:$S$88,18,0)/情景假设!S$47*BI$13</f>
        <v>2149.6989206627463</v>
      </c>
    </row>
    <row r="37" spans="1:61" ht="13.9" customHeight="1" x14ac:dyDescent="0.2">
      <c r="A37" s="30" t="s">
        <v>95</v>
      </c>
      <c r="B37" s="19"/>
      <c r="C37" s="20"/>
      <c r="D37" s="20"/>
      <c r="E37" s="20"/>
      <c r="F37" s="21"/>
      <c r="G37" s="19"/>
      <c r="H37" s="20"/>
      <c r="I37" s="20">
        <f>'增加值 (2001-2022, 当年价) '!I37*I$77</f>
        <v>3912.843412564428</v>
      </c>
      <c r="J37" s="20">
        <f>'增加值 (2001-2022, 当年价) '!J37*J$77</f>
        <v>4156.1000193668242</v>
      </c>
      <c r="K37" s="21">
        <f>'增加值 (2001-2022, 当年价) '!K37*K$77</f>
        <v>4742.3585227380972</v>
      </c>
      <c r="L37" s="19">
        <f>'增加值 (2001-2022, 当年价) '!L37*L$77</f>
        <v>5142.3942297148078</v>
      </c>
      <c r="M37" s="20">
        <f>'增加值 (2001-2022, 当年价) '!M37*M$77</f>
        <v>5389.9751928362684</v>
      </c>
      <c r="N37" s="20">
        <f>'增加值 (2001-2022, 当年价) '!N37*N$77</f>
        <v>5668.1350044047631</v>
      </c>
      <c r="O37" s="20">
        <f>'增加值 (2001-2022, 当年价) '!O37*O$77</f>
        <v>5901.5425448805636</v>
      </c>
      <c r="P37" s="20">
        <f>'增加值 (2001-2022, 当年价) '!P37*P$77</f>
        <v>6041.1456642093499</v>
      </c>
      <c r="Q37" s="19">
        <f>'增加值 (2001-2022, 当年价) '!Q37*Q$77</f>
        <v>6343.5191773229117</v>
      </c>
      <c r="R37" s="20">
        <f>'增加值 (2001-2022, 当年价) '!R37*R$77</f>
        <v>6825.4963629283529</v>
      </c>
      <c r="S37" s="20">
        <f>'增加值 (2001-2022, 当年价) '!S37*S$77</f>
        <v>7013.6132378289603</v>
      </c>
      <c r="T37" s="20">
        <f>'增加值 (2001-2022, 当年价) '!T37*T$77</f>
        <v>7086.8836785019421</v>
      </c>
      <c r="U37" s="21">
        <f>'增加值 (2001-2022, 当年价) '!U37*U$77</f>
        <v>6979.0004205387331</v>
      </c>
      <c r="V37" s="20">
        <f>'增加值 (2001-2022, 当年价) '!V37*V$77</f>
        <v>7724.2476257787857</v>
      </c>
      <c r="W37" s="20">
        <f>'增加值 (2001-2022, 当年价) '!W37*W$77</f>
        <v>7705.3000762763377</v>
      </c>
      <c r="X37" s="90">
        <f>VLOOKUP($A37,平滑数据导入!$A$1:$AN$61,COLUMN(平滑数据导入!C$1),0)</f>
        <v>7827.3300217630776</v>
      </c>
      <c r="Y37" s="90">
        <f>VLOOKUP($A37,平滑数据导入!$A$1:$AN$61,COLUMN(平滑数据导入!D$1),0)</f>
        <v>7927.1759275081949</v>
      </c>
      <c r="Z37" s="141">
        <f>VLOOKUP(A37,情景假设!$B$48:$S$88,14,0)/情景假设!O$47*Z$13</f>
        <v>8006.1768398242521</v>
      </c>
      <c r="AA37" s="89">
        <f>VLOOKUP($A37,平滑数据导入!$A$1:$AN$61,COLUMN(平滑数据导入!F$1),0)</f>
        <v>8065.9357650948259</v>
      </c>
      <c r="AB37" s="90">
        <f>VLOOKUP($A37,平滑数据导入!$A$1:$AN$61,COLUMN(平滑数据导入!G$1),0)</f>
        <v>8108.2719452223819</v>
      </c>
      <c r="AC37" s="90">
        <f>VLOOKUP($A37,平滑数据导入!$A$1:$AN$61,COLUMN(平滑数据导入!H$1),0)</f>
        <v>8135.1747760141698</v>
      </c>
      <c r="AD37" s="90">
        <f>VLOOKUP($A37,平滑数据导入!$A$1:$AN$61,COLUMN(平滑数据导入!I$1),0)</f>
        <v>8148.7608401860989</v>
      </c>
      <c r="AE37" s="133">
        <f>VLOOKUP(A37,情景假设!$B$48:$S$88,15,0)/情景假设!P$47*AE$13</f>
        <v>8151.2352290010358</v>
      </c>
      <c r="AF37" s="90">
        <f>VLOOKUP($A37,平滑数据导入!$A$1:$AN$61,COLUMN(平滑数据导入!K$1),0)</f>
        <v>8144.4351630729416</v>
      </c>
      <c r="AG37" s="90">
        <f>VLOOKUP($A37,平滑数据导入!$A$1:$AN$61,COLUMN(平滑数据导入!L$1),0)</f>
        <v>8128.5396444246271</v>
      </c>
      <c r="AH37" s="90">
        <f>VLOOKUP($A37,平滑数据导入!$A$1:$AN$61,COLUMN(平滑数据导入!M$1),0)</f>
        <v>8103.3365313009363</v>
      </c>
      <c r="AI37" s="90">
        <f>VLOOKUP($A37,平滑数据导入!$A$1:$AN$61,COLUMN(平滑数据导入!N$1),0)</f>
        <v>8068.6483383754376</v>
      </c>
      <c r="AJ37" s="141">
        <f>VLOOKUP(A37,情景假设!$B$48:$S$88,16,0)/情景假设!Q$47*AJ$13</f>
        <v>8024.3347965865505</v>
      </c>
      <c r="AK37" s="89">
        <f>VLOOKUP($A37,平滑数据导入!$A$1:$AN$61,COLUMN(平滑数据导入!P$1),0)</f>
        <v>7970.4173445136012</v>
      </c>
      <c r="AL37" s="90">
        <f>VLOOKUP($A37,平滑数据导入!$A$1:$AN$61,COLUMN(平滑数据导入!Q$1),0)</f>
        <v>7907.4398546191242</v>
      </c>
      <c r="AM37" s="90">
        <f>VLOOKUP($A37,平滑数据导入!$A$1:$AN$61,COLUMN(平滑数据导入!R$1),0)</f>
        <v>7836.086870400728</v>
      </c>
      <c r="AN37" s="90">
        <f>VLOOKUP($A37,平滑数据导入!$A$1:$AN$61,COLUMN(平滑数据导入!S$1),0)</f>
        <v>7757.0536149289683</v>
      </c>
      <c r="AO37" s="101">
        <f>VLOOKUP($A37,平滑数据导入!$A$1:$AN$61,COLUMN(平滑数据导入!T$1),0)</f>
        <v>7671.0400123469262</v>
      </c>
      <c r="AP37" s="90">
        <f>VLOOKUP($A37,平滑数据导入!$A$1:$AN$61,COLUMN(平滑数据导入!U$1),0)</f>
        <v>7578.745150902836</v>
      </c>
      <c r="AQ37" s="90">
        <f>VLOOKUP($A37,平滑数据导入!$A$1:$AN$61,COLUMN(平滑数据导入!V$1),0)</f>
        <v>7480.8622192992343</v>
      </c>
      <c r="AR37" s="90">
        <f>VLOOKUP($A37,平滑数据导入!$A$1:$AN$61,COLUMN(平滑数据导入!W$1),0)</f>
        <v>7378.0739379360657</v>
      </c>
      <c r="AS37" s="90">
        <f>VLOOKUP($A37,平滑数据导入!$A$1:$AN$61,COLUMN(平滑数据导入!X$1),0)</f>
        <v>7271.0484971560099</v>
      </c>
      <c r="AT37" s="90">
        <f>VLOOKUP($A37,平滑数据导入!$A$1:$AN$61,COLUMN(平滑数据导入!Y$1),0)</f>
        <v>7160.4360059775809</v>
      </c>
      <c r="AU37" s="89">
        <f>VLOOKUP($A37,平滑数据导入!$A$1:$AN$61,COLUMN(平滑数据导入!Z$1),0)</f>
        <v>7046.8654470974789</v>
      </c>
      <c r="AV37" s="90">
        <f>VLOOKUP($A37,平滑数据导入!$A$1:$AN$61,COLUMN(平滑数据导入!AA$1),0)</f>
        <v>6930.942127208039</v>
      </c>
      <c r="AW37" s="90">
        <f>VLOOKUP($A37,平滑数据导入!$A$1:$AN$61,COLUMN(平滑数据导入!AB$1),0)</f>
        <v>6813.2456059202614</v>
      </c>
      <c r="AX37" s="90">
        <f>VLOOKUP($A37,平滑数据导入!$A$1:$AN$61,COLUMN(平滑数据导入!AC$1),0)</f>
        <v>6694.328081806153</v>
      </c>
      <c r="AY37" s="133">
        <f>VLOOKUP(A37,情景假设!$B$48:$S$88,17,0)/情景假设!R$47*AY$13</f>
        <v>6574.7132102453124</v>
      </c>
      <c r="AZ37" s="89">
        <f>VLOOKUP($A37,平滑数据导入!$A$1:$AN$61,COLUMN(平滑数据导入!AE$1),0)</f>
        <v>6454.8953248387979</v>
      </c>
      <c r="BA37" s="90">
        <f>VLOOKUP($A37,平滑数据导入!$A$1:$AN$61,COLUMN(平滑数据导入!AF$1),0)</f>
        <v>6335.3390320788021</v>
      </c>
      <c r="BB37" s="90">
        <f>VLOOKUP($A37,平滑数据导入!$A$1:$AN$61,COLUMN(平滑数据导入!AG$1),0)</f>
        <v>6216.4791476703522</v>
      </c>
      <c r="BC37" s="90">
        <f>VLOOKUP($A37,平滑数据导入!$A$1:$AN$61,COLUMN(平滑数据导入!AH$1),0)</f>
        <v>6098.7209423154154</v>
      </c>
      <c r="BD37" s="101">
        <f>VLOOKUP($A37,平滑数据导入!$A$1:$AN$61,COLUMN(平滑数据导入!AI$1),0)</f>
        <v>5982.4406648147569</v>
      </c>
      <c r="BE37" s="90">
        <f>VLOOKUP($A37,平滑数据导入!$A$1:$AN$61,COLUMN(平滑数据导入!AJ$1),0)</f>
        <v>5867.9863109366588</v>
      </c>
      <c r="BF37" s="90">
        <f>VLOOKUP($A37,平滑数据导入!$A$1:$AN$61,COLUMN(平滑数据导入!AK$1),0)</f>
        <v>5755.6786075686286</v>
      </c>
      <c r="BG37" s="90">
        <f>VLOOKUP($A37,平滑数据导入!$A$1:$AN$61,COLUMN(平滑数据导入!AL$1),0)</f>
        <v>5645.8121831298558</v>
      </c>
      <c r="BH37" s="90">
        <f>VLOOKUP($A37,平滑数据导入!$A$1:$AN$61,COLUMN(平滑数据导入!AM$1),0)</f>
        <v>5538.656897008922</v>
      </c>
      <c r="BI37" s="133">
        <f>VLOOKUP(A37,情景假设!$B$48:$S$88,18,0)/情景假设!S$47*BI$13</f>
        <v>5434.4593028354393</v>
      </c>
    </row>
    <row r="38" spans="1:61" x14ac:dyDescent="0.2">
      <c r="A38" s="30" t="s">
        <v>96</v>
      </c>
      <c r="B38" s="19"/>
      <c r="C38" s="20"/>
      <c r="D38" s="20"/>
      <c r="E38" s="20"/>
      <c r="F38" s="21"/>
      <c r="G38" s="19"/>
      <c r="H38" s="20"/>
      <c r="I38" s="20">
        <f>'增加值 (2001-2022, 当年价) '!I38*I$77</f>
        <v>7040.9466027408052</v>
      </c>
      <c r="J38" s="20">
        <f>'增加值 (2001-2022, 当年价) '!J38*J$77</f>
        <v>7655.5452891847908</v>
      </c>
      <c r="K38" s="21">
        <f>'增加值 (2001-2022, 当年价) '!K38*K$77</f>
        <v>8943.5982804812429</v>
      </c>
      <c r="L38" s="19">
        <f>'增加值 (2001-2022, 当年价) '!L38*L$77</f>
        <v>10174.976314224867</v>
      </c>
      <c r="M38" s="20">
        <f>'增加值 (2001-2022, 当年价) '!M38*M$77</f>
        <v>10771.402974474928</v>
      </c>
      <c r="N38" s="20">
        <f>'增加值 (2001-2022, 当年价) '!N38*N$77</f>
        <v>11409.140798552264</v>
      </c>
      <c r="O38" s="20">
        <f>'增加值 (2001-2022, 当年价) '!O38*O$77</f>
        <v>11955.524478496358</v>
      </c>
      <c r="P38" s="20">
        <f>'增加值 (2001-2022, 当年价) '!P38*P$77</f>
        <v>12079.54459046289</v>
      </c>
      <c r="Q38" s="19">
        <f>'增加值 (2001-2022, 当年价) '!Q38*Q$77</f>
        <v>12554.483415290128</v>
      </c>
      <c r="R38" s="20">
        <f>'增加值 (2001-2022, 当年价) '!R38*R$77</f>
        <v>13177.964146395359</v>
      </c>
      <c r="S38" s="20">
        <f>'增加值 (2001-2022, 当年价) '!S38*S$77</f>
        <v>13724.858717022513</v>
      </c>
      <c r="T38" s="20">
        <f>'增加值 (2001-2022, 当年价) '!T38*T$77</f>
        <v>14410.796017860417</v>
      </c>
      <c r="U38" s="21">
        <f>'增加值 (2001-2022, 当年价) '!U38*U$77</f>
        <v>14330.826150726112</v>
      </c>
      <c r="V38" s="20">
        <f>'增加值 (2001-2022, 当年价) '!V38*V$77</f>
        <v>16114.79117583528</v>
      </c>
      <c r="W38" s="20">
        <f>'增加值 (2001-2022, 当年价) '!W38*W$77</f>
        <v>16124.371416167727</v>
      </c>
      <c r="X38" s="90">
        <f>VLOOKUP($A38,平滑数据导入!$A$1:$AN$61,COLUMN(平滑数据导入!C$1),0)</f>
        <v>16479.100939512271</v>
      </c>
      <c r="Y38" s="90">
        <f>VLOOKUP($A38,平滑数据导入!$A$1:$AN$61,COLUMN(平滑数据导入!D$1),0)</f>
        <v>16875.051960994831</v>
      </c>
      <c r="Z38" s="141">
        <f>VLOOKUP(A38,情景假设!$B$48:$S$88,14,0)/情景假设!O$47*Z$13</f>
        <v>17300.874401424091</v>
      </c>
      <c r="AA38" s="89">
        <f>VLOOKUP($A38,平滑数据导入!$A$1:$AN$61,COLUMN(平滑数据导入!F$1),0)</f>
        <v>17744.050427148839</v>
      </c>
      <c r="AB38" s="90">
        <f>VLOOKUP($A38,平滑数据导入!$A$1:$AN$61,COLUMN(平滑数据导入!G$1),0)</f>
        <v>18190.7118062435</v>
      </c>
      <c r="AC38" s="90">
        <f>VLOOKUP($A38,平滑数据导入!$A$1:$AN$61,COLUMN(平滑数据导入!H$1),0)</f>
        <v>18625.557887925021</v>
      </c>
      <c r="AD38" s="90">
        <f>VLOOKUP($A38,平滑数据导入!$A$1:$AN$61,COLUMN(平滑数据导入!I$1),0)</f>
        <v>19031.893470473751</v>
      </c>
      <c r="AE38" s="133">
        <f>VLOOKUP(A38,情景假设!$B$48:$S$88,15,0)/情景假设!P$47*AE$13</f>
        <v>19391.806251030663</v>
      </c>
      <c r="AF38" s="90">
        <f>VLOOKUP($A38,平滑数据导入!$A$1:$AN$61,COLUMN(平滑数据导入!K$1),0)</f>
        <v>19690.00243636599</v>
      </c>
      <c r="AG38" s="90">
        <f>VLOOKUP($A38,平滑数据导入!$A$1:$AN$61,COLUMN(平滑数据导入!L$1),0)</f>
        <v>19925.129684291311</v>
      </c>
      <c r="AH38" s="90">
        <f>VLOOKUP($A38,平滑数据导入!$A$1:$AN$61,COLUMN(平滑数据导入!M$1),0)</f>
        <v>20100.103866130561</v>
      </c>
      <c r="AI38" s="90">
        <f>VLOOKUP($A38,平滑数据导入!$A$1:$AN$61,COLUMN(平滑数据导入!N$1),0)</f>
        <v>20218.600090910921</v>
      </c>
      <c r="AJ38" s="141">
        <f>VLOOKUP(A38,情景假设!$B$48:$S$88,16,0)/情景假设!Q$47*AJ$13</f>
        <v>20284.923610735314</v>
      </c>
      <c r="AK38" s="89">
        <f>VLOOKUP($A38,平滑数据导入!$A$1:$AN$61,COLUMN(平滑数据导入!P$1),0)</f>
        <v>20303.451655574569</v>
      </c>
      <c r="AL38" s="90">
        <f>VLOOKUP($A38,平滑数据导入!$A$1:$AN$61,COLUMN(平滑数据导入!Q$1),0)</f>
        <v>20277.225251195319</v>
      </c>
      <c r="AM38" s="90">
        <f>VLOOKUP($A38,平滑数据导入!$A$1:$AN$61,COLUMN(平滑数据导入!R$1),0)</f>
        <v>20209.151776237592</v>
      </c>
      <c r="AN38" s="90">
        <f>VLOOKUP($A38,平滑数据导入!$A$1:$AN$61,COLUMN(平滑数据导入!S$1),0)</f>
        <v>20102.372446751011</v>
      </c>
      <c r="AO38" s="101">
        <f>VLOOKUP($A38,平滑数据导入!$A$1:$AN$61,COLUMN(平滑数据导入!T$1),0)</f>
        <v>19960.203908978659</v>
      </c>
      <c r="AP38" s="90">
        <f>VLOOKUP($A38,平滑数据导入!$A$1:$AN$61,COLUMN(平滑数据导入!U$1),0)</f>
        <v>19786.082725561198</v>
      </c>
      <c r="AQ38" s="90">
        <f>VLOOKUP($A38,平滑数据导入!$A$1:$AN$61,COLUMN(平滑数据导入!V$1),0)</f>
        <v>19583.513658879951</v>
      </c>
      <c r="AR38" s="90">
        <f>VLOOKUP($A38,平滑数据导入!$A$1:$AN$61,COLUMN(平滑数据导入!W$1),0)</f>
        <v>19356.02245110878</v>
      </c>
      <c r="AS38" s="90">
        <f>VLOOKUP($A38,平滑数据导入!$A$1:$AN$61,COLUMN(平滑数据导入!X$1),0)</f>
        <v>19107.113603643029</v>
      </c>
      <c r="AT38" s="90">
        <f>VLOOKUP($A38,平滑数据导入!$A$1:$AN$61,COLUMN(平滑数据导入!Y$1),0)</f>
        <v>18840.23347472458</v>
      </c>
      <c r="AU38" s="89">
        <f>VLOOKUP($A38,平滑数据导入!$A$1:$AN$61,COLUMN(平滑数据导入!Z$1),0)</f>
        <v>18558.73884766212</v>
      </c>
      <c r="AV38" s="90">
        <f>VLOOKUP($A38,平滑数据导入!$A$1:$AN$61,COLUMN(平滑数据导入!AA$1),0)</f>
        <v>18265.870976103961</v>
      </c>
      <c r="AW38" s="90">
        <f>VLOOKUP($A38,平滑数据导入!$A$1:$AN$61,COLUMN(平滑数据导入!AB$1),0)</f>
        <v>17964.734989143501</v>
      </c>
      <c r="AX38" s="90">
        <f>VLOOKUP($A38,平滑数据导入!$A$1:$AN$61,COLUMN(平滑数据导入!AC$1),0)</f>
        <v>17658.284438328181</v>
      </c>
      <c r="AY38" s="133">
        <f>VLOOKUP(A38,情景假设!$B$48:$S$88,17,0)/情景假设!R$47*AY$13</f>
        <v>17349.310690666265</v>
      </c>
      <c r="AZ38" s="89">
        <f>VLOOKUP($A38,平滑数据导入!$A$1:$AN$61,COLUMN(平滑数据导入!AE$1),0)</f>
        <v>17040.436815509169</v>
      </c>
      <c r="BA38" s="90">
        <f>VLOOKUP($A38,平滑数据导入!$A$1:$AN$61,COLUMN(平滑数据导入!AF$1),0)</f>
        <v>16734.115577200249</v>
      </c>
      <c r="BB38" s="90">
        <f>VLOOKUP($A38,平滑数据导入!$A$1:$AN$61,COLUMN(平滑数据导入!AG$1),0)</f>
        <v>16432.631127699991</v>
      </c>
      <c r="BC38" s="90">
        <f>VLOOKUP($A38,平滑数据导入!$A$1:$AN$61,COLUMN(平滑数据导入!AH$1),0)</f>
        <v>16138.10399188388</v>
      </c>
      <c r="BD38" s="101">
        <f>VLOOKUP($A38,平滑数据导入!$A$1:$AN$61,COLUMN(平滑数据导入!AI$1),0)</f>
        <v>15852.49895063186</v>
      </c>
      <c r="BE38" s="90">
        <f>VLOOKUP($A38,平滑数据导入!$A$1:$AN$61,COLUMN(平滑数据导入!AJ$1),0)</f>
        <v>15577.635450999631</v>
      </c>
      <c r="BF38" s="90">
        <f>VLOOKUP($A38,平滑数据导入!$A$1:$AN$61,COLUMN(平滑数据导入!AK$1),0)</f>
        <v>15315.200206622651</v>
      </c>
      <c r="BG38" s="90">
        <f>VLOOKUP($A38,平滑数据导入!$A$1:$AN$61,COLUMN(平滑数据导入!AL$1),0)</f>
        <v>15066.761693211791</v>
      </c>
      <c r="BH38" s="90">
        <f>VLOOKUP($A38,平滑数据导入!$A$1:$AN$61,COLUMN(平滑数据导入!AM$1),0)</f>
        <v>14833.786291982509</v>
      </c>
      <c r="BI38" s="133">
        <f>VLOOKUP(A38,情景假设!$B$48:$S$88,18,0)/情景假设!S$47*BI$13</f>
        <v>14617.65588685667</v>
      </c>
    </row>
    <row r="39" spans="1:61" x14ac:dyDescent="0.2">
      <c r="A39" s="30" t="s">
        <v>97</v>
      </c>
      <c r="B39" s="19"/>
      <c r="C39" s="20"/>
      <c r="D39" s="20"/>
      <c r="E39" s="20"/>
      <c r="F39" s="21"/>
      <c r="G39" s="19"/>
      <c r="H39" s="20"/>
      <c r="I39" s="20">
        <f>'增加值 (2001-2022, 当年价) '!I39*I$77</f>
        <v>13264.987048692667</v>
      </c>
      <c r="J39" s="20">
        <f>'增加值 (2001-2022, 当年价) '!J39*J$77</f>
        <v>13819.304430255745</v>
      </c>
      <c r="K39" s="21">
        <f>'增加值 (2001-2022, 当年价) '!K39*K$77</f>
        <v>14976.864655730458</v>
      </c>
      <c r="L39" s="19">
        <f>'增加值 (2001-2022, 当年价) '!L39*L$77</f>
        <v>15786.903470652162</v>
      </c>
      <c r="M39" s="20">
        <f>'增加值 (2001-2022, 当年价) '!M39*M$77</f>
        <v>16456.790947555692</v>
      </c>
      <c r="N39" s="20">
        <f>'增加值 (2001-2022, 当年价) '!N39*N$77</f>
        <v>17181.008126219454</v>
      </c>
      <c r="O39" s="20">
        <f>'增加值 (2001-2022, 当年价) '!O39*O$77</f>
        <v>17493.177034157219</v>
      </c>
      <c r="P39" s="20">
        <f>'增加值 (2001-2022, 当年价) '!P39*P$77</f>
        <v>17492.086758347235</v>
      </c>
      <c r="Q39" s="19">
        <f>'增加值 (2001-2022, 当年价) '!Q39*Q$77</f>
        <v>16780.071954247866</v>
      </c>
      <c r="R39" s="20">
        <f>'增加值 (2001-2022, 当年价) '!R39*R$77</f>
        <v>17035.915204217312</v>
      </c>
      <c r="S39" s="20">
        <f>'增加值 (2001-2022, 当年价) '!S39*S$77</f>
        <v>18150.020662910723</v>
      </c>
      <c r="T39" s="20">
        <f>'增加值 (2001-2022, 当年价) '!T39*T$77</f>
        <v>19232.114006129876</v>
      </c>
      <c r="U39" s="21">
        <f>'增加值 (2001-2022, 当年价) '!U39*U$77</f>
        <v>19850.963290163178</v>
      </c>
      <c r="V39" s="20">
        <f>'增加值 (2001-2022, 当年价) '!V39*V$77</f>
        <v>20916.634028655993</v>
      </c>
      <c r="W39" s="20">
        <f>'增加值 (2001-2022, 当年价) '!W39*W$77</f>
        <v>21502.759178911721</v>
      </c>
      <c r="X39" s="90">
        <f>VLOOKUP($A39,平滑数据导入!$A$1:$AN$61,COLUMN(平滑数据导入!C$1),0)</f>
        <v>21969.586137967792</v>
      </c>
      <c r="Y39" s="90">
        <f>VLOOKUP($A39,平滑数据导入!$A$1:$AN$61,COLUMN(平滑数据导入!D$1),0)</f>
        <v>22490.547281439722</v>
      </c>
      <c r="Z39" s="141">
        <f>VLOOKUP(A39,情景假设!$B$48:$S$88,14,0)/情景假设!O$47*Z$13</f>
        <v>23050.600250710588</v>
      </c>
      <c r="AA39" s="89">
        <f>VLOOKUP($A39,平滑数据导入!$A$1:$AN$61,COLUMN(平滑数据导入!F$1),0)</f>
        <v>23633.178052160001</v>
      </c>
      <c r="AB39" s="90">
        <f>VLOOKUP($A39,平滑数据导入!$A$1:$AN$61,COLUMN(平滑数据导入!G$1),0)</f>
        <v>24219.952753384889</v>
      </c>
      <c r="AC39" s="90">
        <f>VLOOKUP($A39,平滑数据导入!$A$1:$AN$61,COLUMN(平滑数据导入!H$1),0)</f>
        <v>24790.731274015499</v>
      </c>
      <c r="AD39" s="90">
        <f>VLOOKUP($A39,平滑数据导入!$A$1:$AN$61,COLUMN(平滑数据导入!I$1),0)</f>
        <v>25323.508154823801</v>
      </c>
      <c r="AE39" s="133">
        <f>VLOOKUP(A39,情景假设!$B$48:$S$88,15,0)/情景假设!P$47*AE$13</f>
        <v>25794.700673512547</v>
      </c>
      <c r="AF39" s="90">
        <f>VLOOKUP($A39,平滑数据导入!$A$1:$AN$61,COLUMN(平滑数据导入!K$1),0)</f>
        <v>26184.200716226242</v>
      </c>
      <c r="AG39" s="90">
        <f>VLOOKUP($A39,平滑数据导入!$A$1:$AN$61,COLUMN(平滑数据导入!L$1),0)</f>
        <v>26490.277953654</v>
      </c>
      <c r="AH39" s="90">
        <f>VLOOKUP($A39,平滑数据导入!$A$1:$AN$61,COLUMN(平滑数据导入!M$1),0)</f>
        <v>26716.818730026582</v>
      </c>
      <c r="AI39" s="90">
        <f>VLOOKUP($A39,平滑数据导入!$A$1:$AN$61,COLUMN(平滑数据导入!N$1),0)</f>
        <v>26868.70140867167</v>
      </c>
      <c r="AJ39" s="141">
        <f>VLOOKUP(A39,情景假设!$B$48:$S$88,16,0)/情景假设!Q$47*AJ$13</f>
        <v>26951.626821260274</v>
      </c>
      <c r="AK39" s="89">
        <f>VLOOKUP($A39,平滑数据导入!$A$1:$AN$61,COLUMN(平滑数据导入!P$1),0)</f>
        <v>26971.388053093331</v>
      </c>
      <c r="AL39" s="90">
        <f>VLOOKUP($A39,平滑数据导入!$A$1:$AN$61,COLUMN(平滑数据导入!Q$1),0)</f>
        <v>26932.030061700771</v>
      </c>
      <c r="AM39" s="90">
        <f>VLOOKUP($A39,平滑数据导入!$A$1:$AN$61,COLUMN(平滑数据导入!R$1),0)</f>
        <v>26837.42228092386</v>
      </c>
      <c r="AN39" s="90">
        <f>VLOOKUP($A39,平滑数据导入!$A$1:$AN$61,COLUMN(平滑数据导入!S$1),0)</f>
        <v>26691.738482529781</v>
      </c>
      <c r="AO39" s="101">
        <f>VLOOKUP($A39,平滑数据导入!$A$1:$AN$61,COLUMN(平滑数据导入!T$1),0)</f>
        <v>26499.379855352199</v>
      </c>
      <c r="AP39" s="90">
        <f>VLOOKUP($A39,平滑数据导入!$A$1:$AN$61,COLUMN(平滑数据导入!U$1),0)</f>
        <v>26264.901969006271</v>
      </c>
      <c r="AQ39" s="90">
        <f>VLOOKUP($A39,平滑数据导入!$A$1:$AN$61,COLUMN(平滑数据导入!V$1),0)</f>
        <v>25992.94679661977</v>
      </c>
      <c r="AR39" s="90">
        <f>VLOOKUP($A39,平滑数据导入!$A$1:$AN$61,COLUMN(平滑数据导入!W$1),0)</f>
        <v>25688.18070310841</v>
      </c>
      <c r="AS39" s="90">
        <f>VLOOKUP($A39,平滑数据导入!$A$1:$AN$61,COLUMN(平滑数据导入!X$1),0)</f>
        <v>25355.239047542531</v>
      </c>
      <c r="AT39" s="90">
        <f>VLOOKUP($A39,平滑数据导入!$A$1:$AN$61,COLUMN(平滑数据导入!Y$1),0)</f>
        <v>24998.677807594609</v>
      </c>
      <c r="AU39" s="89">
        <f>VLOOKUP($A39,平滑数据导入!$A$1:$AN$61,COLUMN(平滑数据导入!Z$1),0)</f>
        <v>24622.9324165978</v>
      </c>
      <c r="AV39" s="90">
        <f>VLOOKUP($A39,平滑数据导入!$A$1:$AN$61,COLUMN(平滑数据导入!AA$1),0)</f>
        <v>24232.283813263952</v>
      </c>
      <c r="AW39" s="90">
        <f>VLOOKUP($A39,平滑数据导入!$A$1:$AN$61,COLUMN(平滑数据导入!AB$1),0)</f>
        <v>23830.831542907388</v>
      </c>
      <c r="AX39" s="90">
        <f>VLOOKUP($A39,平滑数据导入!$A$1:$AN$61,COLUMN(平滑数据导入!AC$1),0)</f>
        <v>23422.47361793428</v>
      </c>
      <c r="AY39" s="133">
        <f>VLOOKUP(A39,情景假设!$B$48:$S$88,17,0)/情景假设!R$47*AY$13</f>
        <v>23010.892744055724</v>
      </c>
      <c r="AZ39" s="89">
        <f>VLOOKUP($A39,平滑数据导入!$A$1:$AN$61,COLUMN(平滑数据导入!AE$1),0)</f>
        <v>22599.548445837529</v>
      </c>
      <c r="BA39" s="90">
        <f>VLOOKUP($A39,平滑数据导入!$A$1:$AN$61,COLUMN(平滑数据导入!AF$1),0)</f>
        <v>22191.674578795461</v>
      </c>
      <c r="BB39" s="90">
        <f>VLOOKUP($A39,平滑数据导入!$A$1:$AN$61,COLUMN(平滑数据导入!AG$1),0)</f>
        <v>21790.281692735971</v>
      </c>
      <c r="BC39" s="90">
        <f>VLOOKUP($A39,平滑数据导入!$A$1:$AN$61,COLUMN(平滑数据导入!AH$1),0)</f>
        <v>21398.16370962534</v>
      </c>
      <c r="BD39" s="101">
        <f>VLOOKUP($A39,平滑数据导入!$A$1:$AN$61,COLUMN(平滑数据导入!AI$1),0)</f>
        <v>21017.908396009949</v>
      </c>
      <c r="BE39" s="90">
        <f>VLOOKUP($A39,平滑数据导入!$A$1:$AN$61,COLUMN(平滑数据导入!AJ$1),0)</f>
        <v>20651.911142051609</v>
      </c>
      <c r="BF39" s="90">
        <f>VLOOKUP($A39,平滑数据导入!$A$1:$AN$61,COLUMN(平滑数据导入!AK$1),0)</f>
        <v>20302.391603877601</v>
      </c>
      <c r="BG39" s="90">
        <f>VLOOKUP($A39,平滑数据导入!$A$1:$AN$61,COLUMN(平滑数据导入!AL$1),0)</f>
        <v>19971.412820773399</v>
      </c>
      <c r="BH39" s="90">
        <f>VLOOKUP($A39,平滑数据导入!$A$1:$AN$61,COLUMN(平滑数据导入!AM$1),0)</f>
        <v>19660.902481704321</v>
      </c>
      <c r="BI39" s="133">
        <f>VLOOKUP(A39,情景假设!$B$48:$S$88,18,0)/情景假设!S$47*BI$13</f>
        <v>19372.676085093153</v>
      </c>
    </row>
    <row r="40" spans="1:61" x14ac:dyDescent="0.2">
      <c r="A40" s="30" t="s">
        <v>98</v>
      </c>
      <c r="B40" s="19"/>
      <c r="C40" s="20"/>
      <c r="D40" s="20"/>
      <c r="E40" s="20"/>
      <c r="F40" s="21"/>
      <c r="G40" s="19"/>
      <c r="H40" s="20"/>
      <c r="I40" s="20">
        <f>'增加值 (2001-2022, 当年价) '!I40*I$77</f>
        <v>5588.8650324658547</v>
      </c>
      <c r="J40" s="20">
        <f>'增加值 (2001-2022, 当年价) '!J40*J$77</f>
        <v>5976.0522078381691</v>
      </c>
      <c r="K40" s="21">
        <f>'增加值 (2001-2022, 当年价) '!K40*K$77</f>
        <v>6569.4851629081804</v>
      </c>
      <c r="L40" s="19">
        <f>'增加值 (2001-2022, 当年价) '!L40*L$77</f>
        <v>7170.989527532277</v>
      </c>
      <c r="M40" s="20">
        <f>'增加值 (2001-2022, 当年价) '!M40*M$77</f>
        <v>7727.8662112813054</v>
      </c>
      <c r="N40" s="20">
        <f>'增加值 (2001-2022, 当年价) '!N40*N$77</f>
        <v>8412.9829917239895</v>
      </c>
      <c r="O40" s="20">
        <f>'增加值 (2001-2022, 当年价) '!O40*O$77</f>
        <v>9065.9193956357976</v>
      </c>
      <c r="P40" s="20">
        <f>'增加值 (2001-2022, 当年价) '!P40*P$77</f>
        <v>9572.8077773458172</v>
      </c>
      <c r="Q40" s="19">
        <f>'增加值 (2001-2022, 当年价) '!Q40*Q$77</f>
        <v>9921.1618205924387</v>
      </c>
      <c r="R40" s="20">
        <f>'增加值 (2001-2022, 当年价) '!R40*R$77</f>
        <v>10192.935909207006</v>
      </c>
      <c r="S40" s="20">
        <f>'增加值 (2001-2022, 当年价) '!S40*S$77</f>
        <v>10940.720685518332</v>
      </c>
      <c r="T40" s="20">
        <f>'增加值 (2001-2022, 当年价) '!T40*T$77</f>
        <v>11519.159125520338</v>
      </c>
      <c r="U40" s="21">
        <f>'增加值 (2001-2022, 当年价) '!U40*U$77</f>
        <v>11421.806149839256</v>
      </c>
      <c r="V40" s="20">
        <f>'增加值 (2001-2022, 当年价) '!V40*V$77</f>
        <v>12356.060657958777</v>
      </c>
      <c r="W40" s="20">
        <f>'增加值 (2001-2022, 当年价) '!W40*W$77</f>
        <v>13204.368998026079</v>
      </c>
      <c r="X40" s="90">
        <f>VLOOKUP($A40,平滑数据导入!$A$1:$AN$61,COLUMN(平滑数据导入!C$1),0)</f>
        <v>13555.024240247471</v>
      </c>
      <c r="Y40" s="90">
        <f>VLOOKUP($A40,平滑数据导入!$A$1:$AN$61,COLUMN(平滑数据导入!D$1),0)</f>
        <v>13947.842262461259</v>
      </c>
      <c r="Z40" s="141">
        <f>VLOOKUP(A40,情景假设!$B$48:$S$88,14,0)/情景假设!O$47*Z$13</f>
        <v>14372.714823449578</v>
      </c>
      <c r="AA40" s="89">
        <f>VLOOKUP($A40,平滑数据导入!$A$1:$AN$61,COLUMN(平滑数据导入!F$1),0)</f>
        <v>14818.23960504075</v>
      </c>
      <c r="AB40" s="90">
        <f>VLOOKUP($A40,平滑数据导入!$A$1:$AN$61,COLUMN(平滑数据导入!G$1),0)</f>
        <v>15271.489937486551</v>
      </c>
      <c r="AC40" s="90">
        <f>VLOOKUP($A40,平滑数据导入!$A$1:$AN$61,COLUMN(平滑数据导入!H$1),0)</f>
        <v>15717.887328840079</v>
      </c>
      <c r="AD40" s="90">
        <f>VLOOKUP($A40,平滑数据导入!$A$1:$AN$61,COLUMN(平滑数据导入!I$1),0)</f>
        <v>16141.201754793939</v>
      </c>
      <c r="AE40" s="133">
        <f>VLOOKUP(A40,情景假设!$B$48:$S$88,15,0)/情景假设!P$47*AE$13</f>
        <v>16523.706209233234</v>
      </c>
      <c r="AF40" s="90">
        <f>VLOOKUP($A40,平滑数据导入!$A$1:$AN$61,COLUMN(平滑数据导入!K$1),0)</f>
        <v>16849.948121407531</v>
      </c>
      <c r="AG40" s="90">
        <f>VLOOKUP($A40,平滑数据导入!$A$1:$AN$61,COLUMN(平滑数据导入!L$1),0)</f>
        <v>17118.010914227019</v>
      </c>
      <c r="AH40" s="90">
        <f>VLOOKUP($A40,平滑数据导入!$A$1:$AN$61,COLUMN(平滑数据导入!M$1),0)</f>
        <v>17330.233345124441</v>
      </c>
      <c r="AI40" s="90">
        <f>VLOOKUP($A40,平滑数据导入!$A$1:$AN$61,COLUMN(平滑数据导入!N$1),0)</f>
        <v>17489.792438875491</v>
      </c>
      <c r="AJ40" s="141">
        <f>VLOOKUP(A40,情景假设!$B$48:$S$88,16,0)/情景假设!Q$47*AJ$13</f>
        <v>17600.572215232572</v>
      </c>
      <c r="AK40" s="89">
        <f>VLOOKUP($A40,平滑数据导入!$A$1:$AN$61,COLUMN(平滑数据导入!P$1),0)</f>
        <v>17666.563275892469</v>
      </c>
      <c r="AL40" s="90">
        <f>VLOOKUP($A40,平滑数据导入!$A$1:$AN$61,COLUMN(平滑数据导入!Q$1),0)</f>
        <v>17690.325954412379</v>
      </c>
      <c r="AM40" s="90">
        <f>VLOOKUP($A40,平滑数据导入!$A$1:$AN$61,COLUMN(平滑数据导入!R$1),0)</f>
        <v>17674.287253511458</v>
      </c>
      <c r="AN40" s="90">
        <f>VLOOKUP($A40,平滑数据导入!$A$1:$AN$61,COLUMN(平滑数据导入!S$1),0)</f>
        <v>17621.145264788091</v>
      </c>
      <c r="AO40" s="101">
        <f>VLOOKUP($A40,平滑数据导入!$A$1:$AN$61,COLUMN(平滑数据导入!T$1),0)</f>
        <v>17533.81169333035</v>
      </c>
      <c r="AP40" s="90">
        <f>VLOOKUP($A40,平滑数据导入!$A$1:$AN$61,COLUMN(平滑数据导入!U$1),0)</f>
        <v>17415.35634335101</v>
      </c>
      <c r="AQ40" s="90">
        <f>VLOOKUP($A40,平滑数据导入!$A$1:$AN$61,COLUMN(平滑数据导入!V$1),0)</f>
        <v>17268.95464246604</v>
      </c>
      <c r="AR40" s="90">
        <f>VLOOKUP($A40,平滑数据导入!$A$1:$AN$61,COLUMN(平滑数据导入!W$1),0)</f>
        <v>17097.839071261758</v>
      </c>
      <c r="AS40" s="90">
        <f>VLOOKUP($A40,平滑数据导入!$A$1:$AN$61,COLUMN(平滑数据导入!X$1),0)</f>
        <v>16905.255155898871</v>
      </c>
      <c r="AT40" s="90">
        <f>VLOOKUP($A40,平滑数据导入!$A$1:$AN$61,COLUMN(平滑数据导入!Y$1),0)</f>
        <v>16694.422482065231</v>
      </c>
      <c r="AU40" s="89">
        <f>VLOOKUP($A40,平滑数据导入!$A$1:$AN$61,COLUMN(平滑数据导入!Z$1),0)</f>
        <v>16468.501004455102</v>
      </c>
      <c r="AV40" s="90">
        <f>VLOOKUP($A40,平滑数据导入!$A$1:$AN$61,COLUMN(平滑数据导入!AA$1),0)</f>
        <v>16230.562761423331</v>
      </c>
      <c r="AW40" s="90">
        <f>VLOOKUP($A40,平滑数据导入!$A$1:$AN$61,COLUMN(平滑数据导入!AB$1),0)</f>
        <v>15983.568962369331</v>
      </c>
      <c r="AX40" s="90">
        <f>VLOOKUP($A40,平滑数据导入!$A$1:$AN$61,COLUMN(平滑数据导入!AC$1),0)</f>
        <v>15730.352297265041</v>
      </c>
      <c r="AY40" s="133">
        <f>VLOOKUP(A40,情景假设!$B$48:$S$88,17,0)/情景假设!R$47*AY$13</f>
        <v>15473.604223918661</v>
      </c>
      <c r="AZ40" s="89">
        <f>VLOOKUP($A40,平滑数据导入!$A$1:$AN$61,COLUMN(平滑数据导入!AE$1),0)</f>
        <v>15215.86691849252</v>
      </c>
      <c r="BA40" s="90">
        <f>VLOOKUP($A40,平滑数据导入!$A$1:$AN$61,COLUMN(平滑数据导入!AF$1),0)</f>
        <v>14959.529527162809</v>
      </c>
      <c r="BB40" s="90">
        <f>VLOOKUP($A40,平滑数据导入!$A$1:$AN$61,COLUMN(平滑数据导入!AG$1),0)</f>
        <v>14706.828329792161</v>
      </c>
      <c r="BC40" s="90">
        <f>VLOOKUP($A40,平滑数据导入!$A$1:$AN$61,COLUMN(平滑数据导入!AH$1),0)</f>
        <v>14459.85041792194</v>
      </c>
      <c r="BD40" s="101">
        <f>VLOOKUP($A40,平滑数据导入!$A$1:$AN$61,COLUMN(平滑数据导入!AI$1),0)</f>
        <v>14220.54049695729</v>
      </c>
      <c r="BE40" s="90">
        <f>VLOOKUP($A40,平滑数据导入!$A$1:$AN$61,COLUMN(平滑数据导入!AJ$1),0)</f>
        <v>13990.71044377925</v>
      </c>
      <c r="BF40" s="90">
        <f>VLOOKUP($A40,平滑数据导入!$A$1:$AN$61,COLUMN(平滑数据导入!AK$1),0)</f>
        <v>13772.051283962181</v>
      </c>
      <c r="BG40" s="90">
        <f>VLOOKUP($A40,平滑数据导入!$A$1:$AN$61,COLUMN(平滑数据导入!AL$1),0)</f>
        <v>13566.1472952935</v>
      </c>
      <c r="BH40" s="90">
        <f>VLOOKUP($A40,平滑数据导入!$A$1:$AN$61,COLUMN(平滑数据导入!AM$1),0)</f>
        <v>13374.49199468354</v>
      </c>
      <c r="BI40" s="133">
        <f>VLOOKUP(A40,情景假设!$B$48:$S$88,18,0)/情景假设!S$47*BI$13</f>
        <v>13198.505822465424</v>
      </c>
    </row>
    <row r="41" spans="1:61" x14ac:dyDescent="0.2">
      <c r="A41" s="30" t="s">
        <v>99</v>
      </c>
      <c r="B41" s="19"/>
      <c r="C41" s="20"/>
      <c r="D41" s="20"/>
      <c r="E41" s="20"/>
      <c r="F41" s="21"/>
      <c r="G41" s="19"/>
      <c r="H41" s="20"/>
      <c r="I41" s="20">
        <f>'增加值 (2001-2022, 当年价) '!I41*I$77</f>
        <v>5991.8214005513137</v>
      </c>
      <c r="J41" s="20">
        <f>'增加值 (2001-2022, 当年价) '!J41*J$77</f>
        <v>6247.8875774577018</v>
      </c>
      <c r="K41" s="21">
        <f>'增加值 (2001-2022, 当年价) '!K41*K$77</f>
        <v>7220.2243795774129</v>
      </c>
      <c r="L41" s="19">
        <f>'增加值 (2001-2022, 当年价) '!L41*L$77</f>
        <v>8172.6971404983933</v>
      </c>
      <c r="M41" s="20">
        <f>'增加值 (2001-2022, 当年价) '!M41*M$77</f>
        <v>8729.5597507721814</v>
      </c>
      <c r="N41" s="20">
        <f>'增加值 (2001-2022, 当年价) '!N41*N$77</f>
        <v>9321.04171678905</v>
      </c>
      <c r="O41" s="20">
        <f>'增加值 (2001-2022, 当年价) '!O41*O$77</f>
        <v>9972.9623065646138</v>
      </c>
      <c r="P41" s="20">
        <f>'增加值 (2001-2022, 当年价) '!P41*P$77</f>
        <v>10161.569210888461</v>
      </c>
      <c r="Q41" s="19">
        <f>'增加值 (2001-2022, 当年价) '!Q41*Q$77</f>
        <v>10729.678731779901</v>
      </c>
      <c r="R41" s="20">
        <f>'增加值 (2001-2022, 当年价) '!R41*R$77</f>
        <v>11577.496039816844</v>
      </c>
      <c r="S41" s="20">
        <f>'增加值 (2001-2022, 当年价) '!S41*S$77</f>
        <v>11965.7485153379</v>
      </c>
      <c r="T41" s="20">
        <f>'增加值 (2001-2022, 当年价) '!T41*T$77</f>
        <v>12206.123148775057</v>
      </c>
      <c r="U41" s="21">
        <f>'增加值 (2001-2022, 当年价) '!U41*U$77</f>
        <v>12421.774161186662</v>
      </c>
      <c r="V41" s="20">
        <f>'增加值 (2001-2022, 当年价) '!V41*V$77</f>
        <v>15002.765371424184</v>
      </c>
      <c r="W41" s="20">
        <f>'增加值 (2001-2022, 当年价) '!W41*W$77</f>
        <v>15179.327689922766</v>
      </c>
      <c r="X41" s="90">
        <f>VLOOKUP($A41,平滑数据导入!$A$1:$AN$61,COLUMN(平滑数据导入!C$1),0)</f>
        <v>15782.04017115454</v>
      </c>
      <c r="Y41" s="90">
        <f>VLOOKUP($A41,平滑数据导入!$A$1:$AN$61,COLUMN(平滑数据导入!D$1),0)</f>
        <v>16369.299186972141</v>
      </c>
      <c r="Z41" s="141">
        <f>VLOOKUP(A41,情景假设!$B$48:$S$88,14,0)/情景假设!O$47*Z$13</f>
        <v>16939.547355505969</v>
      </c>
      <c r="AA41" s="89">
        <f>VLOOKUP($A41,平滑数据导入!$A$1:$AN$61,COLUMN(平滑数据导入!F$1),0)</f>
        <v>17491.486832378301</v>
      </c>
      <c r="AB41" s="90">
        <f>VLOOKUP($A41,平滑数据导入!$A$1:$AN$61,COLUMN(平滑数据导入!G$1),0)</f>
        <v>18024.088190020619</v>
      </c>
      <c r="AC41" s="90">
        <f>VLOOKUP($A41,平滑数据导入!$A$1:$AN$61,COLUMN(平滑数据导入!H$1),0)</f>
        <v>18536.5953109486</v>
      </c>
      <c r="AD41" s="90">
        <f>VLOOKUP($A41,平滑数据导入!$A$1:$AN$61,COLUMN(平滑数据导入!I$1),0)</f>
        <v>19028.526559794082</v>
      </c>
      <c r="AE41" s="133">
        <f>VLOOKUP(A41,情景假设!$B$48:$S$88,15,0)/情景假设!P$47*AE$13</f>
        <v>19499.672569200298</v>
      </c>
      <c r="AF41" s="90">
        <f>VLOOKUP($A41,平滑数据导入!$A$1:$AN$61,COLUMN(平滑数据导入!K$1),0)</f>
        <v>19949.203899544329</v>
      </c>
      <c r="AG41" s="90">
        <f>VLOOKUP($A41,平滑数据导入!$A$1:$AN$61,COLUMN(平滑数据导入!L$1),0)</f>
        <v>20372.85003097865</v>
      </c>
      <c r="AH41" s="90">
        <f>VLOOKUP($A41,平滑数据导入!$A$1:$AN$61,COLUMN(平滑数据导入!M$1),0)</f>
        <v>20765.315789426331</v>
      </c>
      <c r="AI41" s="90">
        <f>VLOOKUP($A41,平滑数据导入!$A$1:$AN$61,COLUMN(平滑数据导入!N$1),0)</f>
        <v>21121.19025950319</v>
      </c>
      <c r="AJ41" s="141">
        <f>VLOOKUP(A41,情景假设!$B$48:$S$88,16,0)/情景假设!Q$47*AJ$13</f>
        <v>21435.020258543624</v>
      </c>
      <c r="AK41" s="89">
        <f>VLOOKUP($A41,平滑数据导入!$A$1:$AN$61,COLUMN(平滑数据导入!P$1),0)</f>
        <v>21702.425471556398</v>
      </c>
      <c r="AL41" s="90">
        <f>VLOOKUP($A41,平滑数据导入!$A$1:$AN$61,COLUMN(平滑数据导入!Q$1),0)</f>
        <v>21923.36835772391</v>
      </c>
      <c r="AM41" s="90">
        <f>VLOOKUP($A41,平滑数据导入!$A$1:$AN$61,COLUMN(平滑数据导入!R$1),0)</f>
        <v>22099.239470107888</v>
      </c>
      <c r="AN41" s="90">
        <f>VLOOKUP($A41,平滑数据导入!$A$1:$AN$61,COLUMN(平滑数据导入!S$1),0)</f>
        <v>22231.809984145941</v>
      </c>
      <c r="AO41" s="101">
        <f>VLOOKUP($A41,平滑数据导入!$A$1:$AN$61,COLUMN(平滑数据导入!T$1),0)</f>
        <v>22323.185584539959</v>
      </c>
      <c r="AP41" s="90">
        <f>VLOOKUP($A41,平滑数据导入!$A$1:$AN$61,COLUMN(平滑数据导入!U$1),0)</f>
        <v>22375.75916899402</v>
      </c>
      <c r="AQ41" s="90">
        <f>VLOOKUP($A41,平滑数据导入!$A$1:$AN$61,COLUMN(平滑数据导入!V$1),0)</f>
        <v>22392.163519853191</v>
      </c>
      <c r="AR41" s="90">
        <f>VLOOKUP($A41,平滑数据导入!$A$1:$AN$61,COLUMN(平滑数据导入!W$1),0)</f>
        <v>22375.224972543481</v>
      </c>
      <c r="AS41" s="90">
        <f>VLOOKUP($A41,平滑数据导入!$A$1:$AN$61,COLUMN(平滑数据导入!X$1),0)</f>
        <v>22327.918973783981</v>
      </c>
      <c r="AT41" s="90">
        <f>VLOOKUP($A41,平滑数据导入!$A$1:$AN$61,COLUMN(平滑数据导入!Y$1),0)</f>
        <v>22253.328279396519</v>
      </c>
      <c r="AU41" s="89">
        <f>VLOOKUP($A41,平滑数据导入!$A$1:$AN$61,COLUMN(平滑数据导入!Z$1),0)</f>
        <v>22154.60439708631</v>
      </c>
      <c r="AV41" s="90">
        <f>VLOOKUP($A41,平滑数据导入!$A$1:$AN$61,COLUMN(平滑数据导入!AA$1),0)</f>
        <v>22034.932738895579</v>
      </c>
      <c r="AW41" s="90">
        <f>VLOOKUP($A41,平滑数据导入!$A$1:$AN$61,COLUMN(平滑数据导入!AB$1),0)</f>
        <v>21897.501815359221</v>
      </c>
      <c r="AX41" s="90">
        <f>VLOOKUP($A41,平滑数据导入!$A$1:$AN$61,COLUMN(平滑数据导入!AC$1),0)</f>
        <v>21745.47668201787</v>
      </c>
      <c r="AY41" s="133">
        <f>VLOOKUP(A41,情景假设!$B$48:$S$88,17,0)/情景假设!R$47*AY$13</f>
        <v>21581.976741306418</v>
      </c>
      <c r="AZ41" s="89">
        <f>VLOOKUP($A41,平滑数据导入!$A$1:$AN$61,COLUMN(平滑数据导入!AE$1),0)</f>
        <v>21410.057910541789</v>
      </c>
      <c r="BA41" s="90">
        <f>VLOOKUP($A41,平滑数据导入!$A$1:$AN$61,COLUMN(平滑数据导入!AF$1),0)</f>
        <v>21232.699090674279</v>
      </c>
      <c r="BB41" s="90">
        <f>VLOOKUP($A41,平滑数据导入!$A$1:$AN$61,COLUMN(平滑数据导入!AG$1),0)</f>
        <v>21052.792810902611</v>
      </c>
      <c r="BC41" s="90">
        <f>VLOOKUP($A41,平滑数据导入!$A$1:$AN$61,COLUMN(平滑数据导入!AH$1),0)</f>
        <v>20873.13988095371</v>
      </c>
      <c r="BD41" s="101">
        <f>VLOOKUP($A41,平滑数据导入!$A$1:$AN$61,COLUMN(平滑数据导入!AI$1),0)</f>
        <v>20696.44785517297</v>
      </c>
      <c r="BE41" s="90">
        <f>VLOOKUP($A41,平滑数据导入!$A$1:$AN$61,COLUMN(平滑数据导入!AJ$1),0)</f>
        <v>20525.333099678639</v>
      </c>
      <c r="BF41" s="90">
        <f>VLOOKUP($A41,平滑数据导入!$A$1:$AN$61,COLUMN(平滑数据导入!AK$1),0)</f>
        <v>20362.326254683448</v>
      </c>
      <c r="BG41" s="90">
        <f>VLOOKUP($A41,平滑数据导入!$A$1:$AN$61,COLUMN(平滑数据导入!AL$1),0)</f>
        <v>20209.880897590701</v>
      </c>
      <c r="BH41" s="90">
        <f>VLOOKUP($A41,平滑数据导入!$A$1:$AN$61,COLUMN(平滑数据导入!AM$1),0)</f>
        <v>20070.38523762281</v>
      </c>
      <c r="BI41" s="133">
        <f>VLOOKUP(A41,情景假设!$B$48:$S$88,18,0)/情景假设!S$47*BI$13</f>
        <v>19946.176708634623</v>
      </c>
    </row>
    <row r="42" spans="1:61" x14ac:dyDescent="0.2">
      <c r="A42" s="30" t="s">
        <v>100</v>
      </c>
      <c r="B42" s="19"/>
      <c r="C42" s="20"/>
      <c r="D42" s="20"/>
      <c r="E42" s="20"/>
      <c r="F42" s="21"/>
      <c r="G42" s="19"/>
      <c r="H42" s="20"/>
      <c r="I42" s="20">
        <f>'增加值 (2001-2022, 当年价) '!I42*I$77</f>
        <v>6951.0991404058195</v>
      </c>
      <c r="J42" s="20">
        <f>'增加值 (2001-2022, 当年价) '!J42*J$77</f>
        <v>7314.0533347634755</v>
      </c>
      <c r="K42" s="21">
        <f>'增加值 (2001-2022, 当年价) '!K42*K$77</f>
        <v>8644.0889558594426</v>
      </c>
      <c r="L42" s="19">
        <f>'增加值 (2001-2022, 当年价) '!L42*L$77</f>
        <v>9751.1703884161016</v>
      </c>
      <c r="M42" s="20">
        <f>'增加值 (2001-2022, 当年价) '!M42*M$77</f>
        <v>10062.829332726689</v>
      </c>
      <c r="N42" s="20">
        <f>'增加值 (2001-2022, 当年价) '!N42*N$77</f>
        <v>10438.751135915945</v>
      </c>
      <c r="O42" s="20">
        <f>'增加值 (2001-2022, 当年价) '!O42*O$77</f>
        <v>10918.647009586733</v>
      </c>
      <c r="P42" s="20">
        <f>'增加值 (2001-2022, 当年价) '!P42*P$77</f>
        <v>10659.001446727452</v>
      </c>
      <c r="Q42" s="19">
        <f>'增加值 (2001-2022, 当年价) '!Q42*Q$77</f>
        <v>11015.676147174541</v>
      </c>
      <c r="R42" s="20">
        <f>'增加值 (2001-2022, 当年价) '!R42*R$77</f>
        <v>12320.948873046076</v>
      </c>
      <c r="S42" s="20">
        <f>'增加值 (2001-2022, 当年价) '!S42*S$77</f>
        <v>13151.243446087199</v>
      </c>
      <c r="T42" s="20">
        <f>'增加值 (2001-2022, 当年价) '!T42*T$77</f>
        <v>13225.233063001493</v>
      </c>
      <c r="U42" s="21">
        <f>'增加值 (2001-2022, 当年价) '!U42*U$77</f>
        <v>13446.095523164235</v>
      </c>
      <c r="V42" s="20">
        <f>'增加值 (2001-2022, 当年价) '!V42*V$77</f>
        <v>15735.922300230004</v>
      </c>
      <c r="W42" s="20">
        <f>'增加值 (2001-2022, 当年价) '!W42*W$77</f>
        <v>15793.232462385689</v>
      </c>
      <c r="X42" s="90">
        <f>VLOOKUP($A42,平滑数据导入!$A$1:$AN$61,COLUMN(平滑数据导入!C$1),0)</f>
        <v>16449.418719198831</v>
      </c>
      <c r="Y42" s="90">
        <f>VLOOKUP($A42,平滑数据导入!$A$1:$AN$61,COLUMN(平滑数据导入!D$1),0)</f>
        <v>17090.70067245981</v>
      </c>
      <c r="Z42" s="141">
        <f>VLOOKUP(A42,情景假设!$B$48:$S$88,14,0)/情景假设!O$47*Z$13</f>
        <v>17715.320291768166</v>
      </c>
      <c r="AA42" s="89">
        <f>VLOOKUP($A42,平滑数据导入!$A$1:$AN$61,COLUMN(平滑数据导入!F$1),0)</f>
        <v>18321.795103518449</v>
      </c>
      <c r="AB42" s="90">
        <f>VLOOKUP($A42,平滑数据导入!$A$1:$AN$61,COLUMN(平滑数据导入!G$1),0)</f>
        <v>18908.929900436571</v>
      </c>
      <c r="AC42" s="90">
        <f>VLOOKUP($A42,平滑数据导入!$A$1:$AN$61,COLUMN(平滑数据导入!H$1),0)</f>
        <v>19475.824041688651</v>
      </c>
      <c r="AD42" s="90">
        <f>VLOOKUP($A42,平滑数据导入!$A$1:$AN$61,COLUMN(平滑数据导入!I$1),0)</f>
        <v>20021.874604316621</v>
      </c>
      <c r="AE42" s="133">
        <f>VLOOKUP(A42,情景假设!$B$48:$S$88,15,0)/情景假设!P$47*AE$13</f>
        <v>20546.775730786863</v>
      </c>
      <c r="AF42" s="90">
        <f>VLOOKUP($A42,平滑数据导入!$A$1:$AN$61,COLUMN(平滑数据导入!K$1),0)</f>
        <v>21049.552233955281</v>
      </c>
      <c r="AG42" s="90">
        <f>VLOOKUP($A42,平滑数据导入!$A$1:$AN$61,COLUMN(平滑数据导入!L$1),0)</f>
        <v>21525.490239775991</v>
      </c>
      <c r="AH42" s="90">
        <f>VLOOKUP($A42,平滑数据导入!$A$1:$AN$61,COLUMN(平滑数据导入!M$1),0)</f>
        <v>21968.740743825711</v>
      </c>
      <c r="AI42" s="90">
        <f>VLOOKUP($A42,平滑数据导入!$A$1:$AN$61,COLUMN(平滑数据导入!N$1),0)</f>
        <v>22373.303537128821</v>
      </c>
      <c r="AJ42" s="141">
        <f>VLOOKUP(A42,情景假设!$B$48:$S$88,16,0)/情景假设!Q$47*AJ$13</f>
        <v>22733.108227909121</v>
      </c>
      <c r="AK42" s="89">
        <f>VLOOKUP($A42,平滑数据导入!$A$1:$AN$61,COLUMN(平滑数据导入!P$1),0)</f>
        <v>23043.2276238425</v>
      </c>
      <c r="AL42" s="90">
        <f>VLOOKUP($A42,平滑数据导入!$A$1:$AN$61,COLUMN(平滑数据导入!Q$1),0)</f>
        <v>23303.442563099979</v>
      </c>
      <c r="AM42" s="90">
        <f>VLOOKUP($A42,平滑数据导入!$A$1:$AN$61,COLUMN(平滑数据导入!R$1),0)</f>
        <v>23515.095828630921</v>
      </c>
      <c r="AN42" s="90">
        <f>VLOOKUP($A42,平滑数据导入!$A$1:$AN$61,COLUMN(平滑数据导入!S$1),0)</f>
        <v>23679.95829484229</v>
      </c>
      <c r="AO42" s="101">
        <f>VLOOKUP($A42,平滑数据导入!$A$1:$AN$61,COLUMN(平滑数据导入!T$1),0)</f>
        <v>23800.17977900969</v>
      </c>
      <c r="AP42" s="90">
        <f>VLOOKUP($A42,平滑数据导入!$A$1:$AN$61,COLUMN(平滑数据导入!U$1),0)</f>
        <v>23878.23818402399</v>
      </c>
      <c r="AQ42" s="90">
        <f>VLOOKUP($A42,平滑数据导入!$A$1:$AN$61,COLUMN(平滑数据导入!V$1),0)</f>
        <v>23916.888232118239</v>
      </c>
      <c r="AR42" s="90">
        <f>VLOOKUP($A42,平滑数据导入!$A$1:$AN$61,COLUMN(平滑数据导入!W$1),0)</f>
        <v>23919.110961029721</v>
      </c>
      <c r="AS42" s="90">
        <f>VLOOKUP($A42,平滑数据导入!$A$1:$AN$61,COLUMN(平滑数据导入!X$1),0)</f>
        <v>23888.065008357349</v>
      </c>
      <c r="AT42" s="90">
        <f>VLOOKUP($A42,平滑数据导入!$A$1:$AN$61,COLUMN(平滑数据导入!Y$1),0)</f>
        <v>23827.040554175172</v>
      </c>
      <c r="AU42" s="89">
        <f>VLOOKUP($A42,平滑数据导入!$A$1:$AN$61,COLUMN(平滑数据导入!Z$1),0)</f>
        <v>23739.416633074081</v>
      </c>
      <c r="AV42" s="90">
        <f>VLOOKUP($A42,平滑数据导入!$A$1:$AN$61,COLUMN(平滑数据导入!AA$1),0)</f>
        <v>23628.622370653851</v>
      </c>
      <c r="AW42" s="90">
        <f>VLOOKUP($A42,平滑数据导入!$A$1:$AN$61,COLUMN(平滑数据导入!AB$1),0)</f>
        <v>23498.102551062511</v>
      </c>
      <c r="AX42" s="90">
        <f>VLOOKUP($A42,平滑数据导入!$A$1:$AN$61,COLUMN(平滑数据导入!AC$1),0)</f>
        <v>23351.287785428369</v>
      </c>
      <c r="AY42" s="133">
        <f>VLOOKUP(A42,情景假设!$B$48:$S$88,17,0)/情景假设!R$47*AY$13</f>
        <v>23191.569428927982</v>
      </c>
      <c r="AZ42" s="89">
        <f>VLOOKUP($A42,平滑数据导入!$A$1:$AN$61,COLUMN(平滑数据导入!AE$1),0)</f>
        <v>23022.27928881325</v>
      </c>
      <c r="BA42" s="90">
        <f>VLOOKUP($A42,平滑数据导入!$A$1:$AN$61,COLUMN(平滑数据导入!AF$1),0)</f>
        <v>22846.67407818358</v>
      </c>
      <c r="BB42" s="90">
        <f>VLOOKUP($A42,平滑数据导入!$A$1:$AN$61,COLUMN(平滑数据导入!AG$1),0)</f>
        <v>22667.924501111451</v>
      </c>
      <c r="BC42" s="90">
        <f>VLOOKUP($A42,平滑数据导入!$A$1:$AN$61,COLUMN(平滑数据导入!AH$1),0)</f>
        <v>22489.108803799369</v>
      </c>
      <c r="BD42" s="101">
        <f>VLOOKUP($A42,平滑数据导入!$A$1:$AN$61,COLUMN(平滑数据导入!AI$1),0)</f>
        <v>22313.21059319935</v>
      </c>
      <c r="BE42" s="90">
        <f>VLOOKUP($A42,平滑数据导入!$A$1:$AN$61,COLUMN(平滑数据导入!AJ$1),0)</f>
        <v>22143.120708082672</v>
      </c>
      <c r="BF42" s="90">
        <f>VLOOKUP($A42,平滑数据导入!$A$1:$AN$61,COLUMN(平滑数据导入!AK$1),0)</f>
        <v>21981.642926837379</v>
      </c>
      <c r="BG42" s="90">
        <f>VLOOKUP($A42,平滑数据导入!$A$1:$AN$61,COLUMN(平滑数据导入!AL$1),0)</f>
        <v>21831.503310165299</v>
      </c>
      <c r="BH42" s="90">
        <f>VLOOKUP($A42,平滑数据导入!$A$1:$AN$61,COLUMN(平滑数据导入!AM$1),0)</f>
        <v>21695.363004259649</v>
      </c>
      <c r="BI42" s="133">
        <f>VLOOKUP(A42,情景假设!$B$48:$S$88,18,0)/情景假设!S$47*BI$13</f>
        <v>21575.834370037763</v>
      </c>
    </row>
    <row r="43" spans="1:61" x14ac:dyDescent="0.2">
      <c r="A43" s="30" t="s">
        <v>101</v>
      </c>
      <c r="B43" s="19"/>
      <c r="C43" s="20"/>
      <c r="D43" s="20"/>
      <c r="E43" s="20"/>
      <c r="F43" s="21"/>
      <c r="G43" s="19"/>
      <c r="H43" s="20"/>
      <c r="I43" s="20">
        <f>'增加值 (2001-2022, 当年价) '!I43*I$77</f>
        <v>4623.3441154702477</v>
      </c>
      <c r="J43" s="20">
        <f>'增加值 (2001-2022, 当年价) '!J43*J$77</f>
        <v>4952.4069466441206</v>
      </c>
      <c r="K43" s="21">
        <f>'增加值 (2001-2022, 当年价) '!K43*K$77</f>
        <v>5800.0823303648003</v>
      </c>
      <c r="L43" s="19">
        <f>'增加值 (2001-2022, 当年价) '!L43*L$77</f>
        <v>6676.677466975384</v>
      </c>
      <c r="M43" s="20">
        <f>'增加值 (2001-2022, 当年价) '!M43*M$77</f>
        <v>6921.8527542389438</v>
      </c>
      <c r="N43" s="20">
        <f>'增加值 (2001-2022, 当年价) '!N43*N$77</f>
        <v>7134.4071986105519</v>
      </c>
      <c r="O43" s="20">
        <f>'增加值 (2001-2022, 当年价) '!O43*O$77</f>
        <v>7311.9149257243444</v>
      </c>
      <c r="P43" s="20">
        <f>'增加值 (2001-2022, 当年价) '!P43*P$77</f>
        <v>7172.7218386442528</v>
      </c>
      <c r="Q43" s="19">
        <f>'增加值 (2001-2022, 当年价) '!Q43*Q$77</f>
        <v>7468.7356239592245</v>
      </c>
      <c r="R43" s="20">
        <f>'增加值 (2001-2022, 当年价) '!R43*R$77</f>
        <v>8452.0023308915206</v>
      </c>
      <c r="S43" s="20">
        <f>'增加值 (2001-2022, 当年价) '!S43*S$77</f>
        <v>9332.9519669544279</v>
      </c>
      <c r="T43" s="20">
        <f>'增加值 (2001-2022, 当年价) '!T43*T$77</f>
        <v>9619.4212690179938</v>
      </c>
      <c r="U43" s="21">
        <f>'增加值 (2001-2022, 当年价) '!U43*U$77</f>
        <v>9891.7322198258898</v>
      </c>
      <c r="V43" s="20">
        <f>'增加值 (2001-2022, 当年价) '!V43*V$77</f>
        <v>11596.860701442663</v>
      </c>
      <c r="W43" s="20">
        <f>'增加值 (2001-2022, 当年价) '!W43*W$77</f>
        <v>12204.55859303716</v>
      </c>
      <c r="X43" s="90">
        <f>VLOOKUP($A43,平滑数据导入!$A$1:$AN$61,COLUMN(平滑数据导入!C$1),0)</f>
        <v>12946.418478229991</v>
      </c>
      <c r="Y43" s="90">
        <f>VLOOKUP($A43,平滑数据导入!$A$1:$AN$61,COLUMN(平滑数据导入!D$1),0)</f>
        <v>13690.994468145909</v>
      </c>
      <c r="Z43" s="141">
        <f>VLOOKUP(A43,情景假设!$B$48:$S$88,14,0)/情景假设!O$47*Z$13</f>
        <v>14435.923411039988</v>
      </c>
      <c r="AA43" s="89">
        <f>VLOOKUP($A43,平滑数据导入!$A$1:$AN$61,COLUMN(平滑数据导入!F$1),0)</f>
        <v>15179.057089380811</v>
      </c>
      <c r="AB43" s="90">
        <f>VLOOKUP($A43,平滑数据导入!$A$1:$AN$61,COLUMN(平滑数据导入!G$1),0)</f>
        <v>15918.498499994521</v>
      </c>
      <c r="AC43" s="90">
        <f>VLOOKUP($A43,平滑数据导入!$A$1:$AN$61,COLUMN(平滑数据导入!H$1),0)</f>
        <v>16652.633316828382</v>
      </c>
      <c r="AD43" s="90">
        <f>VLOOKUP($A43,平滑数据导入!$A$1:$AN$61,COLUMN(平滑数据导入!I$1),0)</f>
        <v>17380.156388910891</v>
      </c>
      <c r="AE43" s="133">
        <f>VLOOKUP(A43,情景假设!$B$48:$S$88,15,0)/情景假设!P$47*AE$13</f>
        <v>18100.093307266627</v>
      </c>
      <c r="AF43" s="90">
        <f>VLOOKUP($A43,平滑数据导入!$A$1:$AN$61,COLUMN(平滑数据导入!K$1),0)</f>
        <v>18810.71537274951</v>
      </c>
      <c r="AG43" s="90">
        <f>VLOOKUP($A43,平滑数据导入!$A$1:$AN$61,COLUMN(平滑数据导入!L$1),0)</f>
        <v>19505.918791420499</v>
      </c>
      <c r="AH43" s="90">
        <f>VLOOKUP($A43,平滑数据导入!$A$1:$AN$61,COLUMN(平滑数据导入!M$1),0)</f>
        <v>20177.990374110701</v>
      </c>
      <c r="AI43" s="90">
        <f>VLOOKUP($A43,平滑数据导入!$A$1:$AN$61,COLUMN(平滑数据导入!N$1),0)</f>
        <v>20818.699955211789</v>
      </c>
      <c r="AJ43" s="141">
        <f>VLOOKUP(A43,情景假设!$B$48:$S$88,16,0)/情景假设!Q$47*AJ$13</f>
        <v>21419.399752974245</v>
      </c>
      <c r="AK43" s="89">
        <f>VLOOKUP($A43,平滑数据导入!$A$1:$AN$61,COLUMN(平滑数据导入!P$1),0)</f>
        <v>21972.46683946464</v>
      </c>
      <c r="AL43" s="90">
        <f>VLOOKUP($A43,平滑数据导入!$A$1:$AN$61,COLUMN(平滑数据导入!Q$1),0)</f>
        <v>22475.644972227841</v>
      </c>
      <c r="AM43" s="90">
        <f>VLOOKUP($A43,平滑数据导入!$A$1:$AN$61,COLUMN(平滑数据导入!R$1),0)</f>
        <v>22928.590856750219</v>
      </c>
      <c r="AN43" s="90">
        <f>VLOOKUP($A43,平滑数据导入!$A$1:$AN$61,COLUMN(平滑数据导入!S$1),0)</f>
        <v>23331.596315996761</v>
      </c>
      <c r="AO43" s="101">
        <f>VLOOKUP($A43,平滑数据导入!$A$1:$AN$61,COLUMN(平滑数据导入!T$1),0)</f>
        <v>23685.549340946291</v>
      </c>
      <c r="AP43" s="90">
        <f>VLOOKUP($A43,平滑数据导入!$A$1:$AN$61,COLUMN(平滑数据导入!U$1),0)</f>
        <v>23991.887754711861</v>
      </c>
      <c r="AQ43" s="90">
        <f>VLOOKUP($A43,平滑数据导入!$A$1:$AN$61,COLUMN(平滑数据导入!V$1),0)</f>
        <v>24252.54743599319</v>
      </c>
      <c r="AR43" s="90">
        <f>VLOOKUP($A43,平滑数据导入!$A$1:$AN$61,COLUMN(平滑数据导入!W$1),0)</f>
        <v>24469.90700460822</v>
      </c>
      <c r="AS43" s="90">
        <f>VLOOKUP($A43,平滑数据导入!$A$1:$AN$61,COLUMN(平滑数据导入!X$1),0)</f>
        <v>24646.730772797309</v>
      </c>
      <c r="AT43" s="90">
        <f>VLOOKUP($A43,平滑数据导入!$A$1:$AN$61,COLUMN(平滑数据导入!Y$1),0)</f>
        <v>24786.1116228094</v>
      </c>
      <c r="AU43" s="89">
        <f>VLOOKUP($A43,平滑数据导入!$A$1:$AN$61,COLUMN(平滑数据导入!Z$1),0)</f>
        <v>24891.415296118121</v>
      </c>
      <c r="AV43" s="90">
        <f>VLOOKUP($A43,平滑数据导入!$A$1:$AN$61,COLUMN(平滑数据导入!AA$1),0)</f>
        <v>24966.22738425088</v>
      </c>
      <c r="AW43" s="90">
        <f>VLOOKUP($A43,平滑数据导入!$A$1:$AN$61,COLUMN(平滑数据导入!AB$1),0)</f>
        <v>25014.30410656791</v>
      </c>
      <c r="AX43" s="90">
        <f>VLOOKUP($A43,平滑数据导入!$A$1:$AN$61,COLUMN(平滑数据导入!AC$1),0)</f>
        <v>25039.527756102299</v>
      </c>
      <c r="AY43" s="133">
        <f>VLOOKUP(A43,情景假设!$B$48:$S$88,17,0)/情景假设!R$47*AY$13</f>
        <v>25045.867499075885</v>
      </c>
      <c r="AZ43" s="89">
        <f>VLOOKUP($A43,平滑数据导入!$A$1:$AN$61,COLUMN(平滑数据导入!AE$1),0)</f>
        <v>25037.34603368969</v>
      </c>
      <c r="BA43" s="90">
        <f>VLOOKUP($A43,平滑数据导入!$A$1:$AN$61,COLUMN(平滑数据导入!AF$1),0)</f>
        <v>25018.012454533749</v>
      </c>
      <c r="BB43" s="90">
        <f>VLOOKUP($A43,平滑数据导入!$A$1:$AN$61,COLUMN(平滑数据导入!AG$1),0)</f>
        <v>24991.921534295911</v>
      </c>
      <c r="BC43" s="90">
        <f>VLOOKUP($A43,平滑数据导入!$A$1:$AN$61,COLUMN(平滑数据导入!AH$1),0)</f>
        <v>24963.119526963041</v>
      </c>
      <c r="BD43" s="101">
        <f>VLOOKUP($A43,平滑数据导入!$A$1:$AN$61,COLUMN(平滑数据导入!AI$1),0)</f>
        <v>24935.636517917021</v>
      </c>
      <c r="BE43" s="90">
        <f>VLOOKUP($A43,平滑数据导入!$A$1:$AN$61,COLUMN(平滑数据导入!AJ$1),0)</f>
        <v>24913.485296941119</v>
      </c>
      <c r="BF43" s="90">
        <f>VLOOKUP($A43,平滑数据导入!$A$1:$AN$61,COLUMN(平滑数据导入!AK$1),0)</f>
        <v>24900.666710295762</v>
      </c>
      <c r="BG43" s="90">
        <f>VLOOKUP($A43,平滑数据导入!$A$1:$AN$61,COLUMN(平滑数据导入!AL$1),0)</f>
        <v>24901.18145753417</v>
      </c>
      <c r="BH43" s="90">
        <f>VLOOKUP($A43,平滑数据导入!$A$1:$AN$61,COLUMN(平滑数据导入!AM$1),0)</f>
        <v>24919.048337378121</v>
      </c>
      <c r="BI43" s="133">
        <f>VLOOKUP(A43,情景假设!$B$48:$S$88,18,0)/情景假设!S$47*BI$13</f>
        <v>24958.329014765146</v>
      </c>
    </row>
    <row r="44" spans="1:61" x14ac:dyDescent="0.2">
      <c r="A44" s="30" t="s">
        <v>46</v>
      </c>
      <c r="B44" s="19"/>
      <c r="C44" s="20"/>
      <c r="D44" s="20"/>
      <c r="E44" s="20"/>
      <c r="F44" s="21"/>
      <c r="G44" s="19"/>
      <c r="H44" s="20"/>
      <c r="I44" s="20">
        <f>'增加值 (2001-2022, 当年价) '!I44*I$77</f>
        <v>8600.1122331098704</v>
      </c>
      <c r="J44" s="20">
        <f>'增加值 (2001-2022, 当年价) '!J44*J$77</f>
        <v>9652.4482684707364</v>
      </c>
      <c r="K44" s="21">
        <f>'增加值 (2001-2022, 当年价) '!K44*K$77</f>
        <v>11473.328463091299</v>
      </c>
      <c r="L44" s="19">
        <f>'增加值 (2001-2022, 当年价) '!L44*L$77</f>
        <v>12347.438461432741</v>
      </c>
      <c r="M44" s="20">
        <f>'增加值 (2001-2022, 当年价) '!M44*M$77</f>
        <v>12742.077205557398</v>
      </c>
      <c r="N44" s="20">
        <f>'增加值 (2001-2022, 当年价) '!N44*N$77</f>
        <v>13908.044110531482</v>
      </c>
      <c r="O44" s="20">
        <f>'增加值 (2001-2022, 当年价) '!O44*O$77</f>
        <v>14907.451129099412</v>
      </c>
      <c r="P44" s="20">
        <f>'增加值 (2001-2022, 当年价) '!P44*P$77</f>
        <v>15090.378543997835</v>
      </c>
      <c r="Q44" s="19">
        <f>'增加值 (2001-2022, 当年价) '!Q44*Q$77</f>
        <v>17009.078938849983</v>
      </c>
      <c r="R44" s="20">
        <f>'增加值 (2001-2022, 当年价) '!R44*R$77</f>
        <v>19317.208684583806</v>
      </c>
      <c r="S44" s="20">
        <f>'增加值 (2001-2022, 当年价) '!S44*S$77</f>
        <v>20176.588473930504</v>
      </c>
      <c r="T44" s="20">
        <f>'增加值 (2001-2022, 当年价) '!T44*T$77</f>
        <v>19803.763108812167</v>
      </c>
      <c r="U44" s="21">
        <f>'增加值 (2001-2022, 当年价) '!U44*U$77</f>
        <v>20421.849410489154</v>
      </c>
      <c r="V44" s="20">
        <f>'增加值 (2001-2022, 当年价) '!V44*V$77</f>
        <v>22432.47684124767</v>
      </c>
      <c r="W44" s="20">
        <f>'增加值 (2001-2022, 当年价) '!W44*W$77</f>
        <v>24223.247878201622</v>
      </c>
      <c r="X44" s="90">
        <f>VLOOKUP($A44,平滑数据导入!$A$1:$AN$61,COLUMN(平滑数据导入!C$1),0)</f>
        <v>25206.816996408241</v>
      </c>
      <c r="Y44" s="90">
        <f>VLOOKUP($A44,平滑数据导入!$A$1:$AN$61,COLUMN(平滑数据导入!D$1),0)</f>
        <v>26166.583588736281</v>
      </c>
      <c r="Z44" s="141">
        <f>VLOOKUP(A44,情景假设!$B$48:$S$88,14,0)/情景假设!O$47*Z$13</f>
        <v>27099.959371616733</v>
      </c>
      <c r="AA44" s="89">
        <f>VLOOKUP($A44,平滑数据导入!$A$1:$AN$61,COLUMN(平滑数据导入!F$1),0)</f>
        <v>28004.774521469521</v>
      </c>
      <c r="AB44" s="90">
        <f>VLOOKUP($A44,平滑数据导入!$A$1:$AN$61,COLUMN(平滑数据导入!G$1),0)</f>
        <v>28879.29365919554</v>
      </c>
      <c r="AC44" s="90">
        <f>VLOOKUP($A44,平滑数据导入!$A$1:$AN$61,COLUMN(平滑数据导入!H$1),0)</f>
        <v>29722.225276402281</v>
      </c>
      <c r="AD44" s="90">
        <f>VLOOKUP($A44,平滑数据导入!$A$1:$AN$61,COLUMN(平滑数据导入!I$1),0)</f>
        <v>30532.725015739339</v>
      </c>
      <c r="AE44" s="133">
        <f>VLOOKUP(A44,情景假设!$B$48:$S$88,15,0)/情景假设!P$47*AE$13</f>
        <v>31310.393337915713</v>
      </c>
      <c r="AF44" s="90">
        <f>VLOOKUP($A44,平滑数据导入!$A$1:$AN$61,COLUMN(平滑数据导入!K$1),0)</f>
        <v>32053.823258807111</v>
      </c>
      <c r="AG44" s="90">
        <f>VLOOKUP($A44,平滑数据导入!$A$1:$AN$61,COLUMN(平滑数据导入!L$1),0)</f>
        <v>32755.998823089922</v>
      </c>
      <c r="AH44" s="90">
        <f>VLOOKUP($A44,平滑数据导入!$A$1:$AN$61,COLUMN(平滑数据导入!M$1),0)</f>
        <v>33408.217948280697</v>
      </c>
      <c r="AI44" s="90">
        <f>VLOOKUP($A44,平滑数据导入!$A$1:$AN$61,COLUMN(平滑数据导入!N$1),0)</f>
        <v>34001.571368455967</v>
      </c>
      <c r="AJ44" s="141">
        <f>VLOOKUP(A44,情景假设!$B$48:$S$88,16,0)/情景假设!Q$47*AJ$13</f>
        <v>34527.063294497995</v>
      </c>
      <c r="AK44" s="89">
        <f>VLOOKUP($A44,平滑数据导入!$A$1:$AN$61,COLUMN(平滑数据导入!P$1),0)</f>
        <v>34977.430392883631</v>
      </c>
      <c r="AL44" s="90">
        <f>VLOOKUP($A44,平滑数据导入!$A$1:$AN$61,COLUMN(平滑数据导入!Q$1),0)</f>
        <v>35352.480520542267</v>
      </c>
      <c r="AM44" s="90">
        <f>VLOOKUP($A44,平滑数据导入!$A$1:$AN$61,COLUMN(平滑数据导入!R$1),0)</f>
        <v>35654.357002319768</v>
      </c>
      <c r="AN44" s="90">
        <f>VLOOKUP($A44,平滑数据导入!$A$1:$AN$61,COLUMN(平滑数据导入!S$1),0)</f>
        <v>35885.834342425493</v>
      </c>
      <c r="AO44" s="101">
        <f>VLOOKUP($A44,平滑数据导入!$A$1:$AN$61,COLUMN(平滑数据导入!T$1),0)</f>
        <v>36050.243736461976</v>
      </c>
      <c r="AP44" s="90">
        <f>VLOOKUP($A44,平滑数据导入!$A$1:$AN$61,COLUMN(平滑数据导入!U$1),0)</f>
        <v>36151.396346478061</v>
      </c>
      <c r="AQ44" s="90">
        <f>VLOOKUP($A44,平滑数据导入!$A$1:$AN$61,COLUMN(平滑数据导入!V$1),0)</f>
        <v>36193.506251520172</v>
      </c>
      <c r="AR44" s="90">
        <f>VLOOKUP($A44,平滑数据导入!$A$1:$AN$61,COLUMN(平滑数据导入!W$1),0)</f>
        <v>36181.11479021878</v>
      </c>
      <c r="AS44" s="90">
        <f>VLOOKUP($A44,平滑数据导入!$A$1:$AN$61,COLUMN(平滑数据导入!X$1),0)</f>
        <v>36119.017791719103</v>
      </c>
      <c r="AT44" s="90">
        <f>VLOOKUP($A44,平滑数据导入!$A$1:$AN$61,COLUMN(平滑数据导入!Y$1),0)</f>
        <v>36012.196957707747</v>
      </c>
      <c r="AU44" s="89">
        <f>VLOOKUP($A44,平滑数据导入!$A$1:$AN$61,COLUMN(平滑数据导入!Z$1),0)</f>
        <v>35865.756421323284</v>
      </c>
      <c r="AV44" s="90">
        <f>VLOOKUP($A44,平滑数据导入!$A$1:$AN$61,COLUMN(平滑数据导入!AA$1),0)</f>
        <v>35684.865276960612</v>
      </c>
      <c r="AW44" s="90">
        <f>VLOOKUP($A44,平滑数据导入!$A$1:$AN$61,COLUMN(平滑数据导入!AB$1),0)</f>
        <v>35474.706655543923</v>
      </c>
      <c r="AX44" s="90">
        <f>VLOOKUP($A44,平滑数据导入!$A$1:$AN$61,COLUMN(平滑数据导入!AC$1),0)</f>
        <v>35240.433718402863</v>
      </c>
      <c r="AY44" s="133">
        <f>VLOOKUP(A44,情景假设!$B$48:$S$88,17,0)/情景假设!R$47*AY$13</f>
        <v>34987.13276364941</v>
      </c>
      <c r="AZ44" s="89">
        <f>VLOOKUP($A44,平滑数据导入!$A$1:$AN$61,COLUMN(平滑数据导入!AE$1),0)</f>
        <v>34719.793484740709</v>
      </c>
      <c r="BA44" s="90">
        <f>VLOOKUP($A44,平滑数据导入!$A$1:$AN$61,COLUMN(平滑数据导入!AF$1),0)</f>
        <v>34443.286293353733</v>
      </c>
      <c r="BB44" s="90">
        <f>VLOOKUP($A44,平滑数据导入!$A$1:$AN$61,COLUMN(平滑数据导入!AG$1),0)</f>
        <v>34162.346518346087</v>
      </c>
      <c r="BC44" s="90">
        <f>VLOOKUP($A44,平滑数据导入!$A$1:$AN$61,COLUMN(平滑数据导入!AH$1),0)</f>
        <v>33881.56521916559</v>
      </c>
      <c r="BD44" s="101">
        <f>VLOOKUP($A44,平滑数据导入!$A$1:$AN$61,COLUMN(平滑数据导入!AI$1),0)</f>
        <v>33605.386304658263</v>
      </c>
      <c r="BE44" s="90">
        <f>VLOOKUP($A44,平滑数据导入!$A$1:$AN$61,COLUMN(平滑数据导入!AJ$1),0)</f>
        <v>33338.109625436118</v>
      </c>
      <c r="BF44" s="90">
        <f>VLOOKUP($A44,平滑数据导入!$A$1:$AN$61,COLUMN(平滑数据导入!AK$1),0)</f>
        <v>33083.89970815547</v>
      </c>
      <c r="BG44" s="90">
        <f>VLOOKUP($A44,平滑数据导入!$A$1:$AN$61,COLUMN(平滑数据导入!AL$1),0)</f>
        <v>32846.799821500223</v>
      </c>
      <c r="BH44" s="90">
        <f>VLOOKUP($A44,平滑数据导入!$A$1:$AN$61,COLUMN(平滑数据导入!AM$1),0)</f>
        <v>32630.75110471038</v>
      </c>
      <c r="BI44" s="133">
        <f>VLOOKUP(A44,情景假设!$B$48:$S$88,18,0)/情景假设!S$47*BI$13</f>
        <v>32439.616548716054</v>
      </c>
    </row>
    <row r="45" spans="1:61" x14ac:dyDescent="0.2">
      <c r="A45" s="30" t="s">
        <v>102</v>
      </c>
      <c r="B45" s="19"/>
      <c r="C45" s="20"/>
      <c r="D45" s="20"/>
      <c r="E45" s="20"/>
      <c r="F45" s="21"/>
      <c r="G45" s="19"/>
      <c r="H45" s="20"/>
      <c r="I45" s="20">
        <f>'增加值 (2001-2022, 当年价) '!I45*I$77</f>
        <v>3188.2277004700304</v>
      </c>
      <c r="J45" s="20">
        <f>'增加值 (2001-2022, 当年价) '!J45*J$77</f>
        <v>3578.3489927507817</v>
      </c>
      <c r="K45" s="21">
        <f>'增加值 (2001-2022, 当年价) '!K45*K$77</f>
        <v>4253.3844479133541</v>
      </c>
      <c r="L45" s="19">
        <f>'增加值 (2001-2022, 当年价) '!L45*L$77</f>
        <v>4577.4339061565579</v>
      </c>
      <c r="M45" s="20">
        <f>'增加值 (2001-2022, 当年价) '!M45*M$77</f>
        <v>4558.1419551796325</v>
      </c>
      <c r="N45" s="20">
        <f>'增加值 (2001-2022, 当年价) '!N45*N$77</f>
        <v>4537.9000657809465</v>
      </c>
      <c r="O45" s="20">
        <f>'增加值 (2001-2022, 当年价) '!O45*O$77</f>
        <v>4903.1409148629937</v>
      </c>
      <c r="P45" s="20">
        <f>'增加值 (2001-2022, 当年价) '!P45*P$77</f>
        <v>4967.9583726357478</v>
      </c>
      <c r="Q45" s="19">
        <f>'增加值 (2001-2022, 当年价) '!Q45*Q$77</f>
        <v>5003.297460133128</v>
      </c>
      <c r="R45" s="20">
        <f>'增加值 (2001-2022, 当年价) '!R45*R$77</f>
        <v>5378.3809294904404</v>
      </c>
      <c r="S45" s="20">
        <f>'增加值 (2001-2022, 当年价) '!S45*S$77</f>
        <v>5639.0741579686864</v>
      </c>
      <c r="T45" s="20">
        <f>'增加值 (2001-2022, 当年价) '!T45*T$77</f>
        <v>5839.3471629389132</v>
      </c>
      <c r="U45" s="21">
        <f>'增加值 (2001-2022, 当年价) '!U45*U$77</f>
        <v>5631.8307687185261</v>
      </c>
      <c r="V45" s="20">
        <f>'增加值 (2001-2022, 当年价) '!V45*V$77</f>
        <v>6356.3613377239653</v>
      </c>
      <c r="W45" s="20">
        <f>'增加值 (2001-2022, 当年价) '!W45*W$77</f>
        <v>6611.9630030332355</v>
      </c>
      <c r="X45" s="90">
        <f>VLOOKUP($A45,平滑数据导入!$A$1:$AN$61,COLUMN(平滑数据导入!C$1),0)</f>
        <v>6808.9349535602041</v>
      </c>
      <c r="Y45" s="90">
        <f>VLOOKUP($A45,平滑数据导入!$A$1:$AN$61,COLUMN(平滑数据导入!D$1),0)</f>
        <v>6997.2714191327386</v>
      </c>
      <c r="Z45" s="141">
        <f>VLOOKUP(A45,情景假设!$B$48:$S$88,14,0)/情景假设!O$47*Z$13</f>
        <v>7176.5994331709744</v>
      </c>
      <c r="AA45" s="89">
        <f>VLOOKUP($A45,平滑数据导入!$A$1:$AN$61,COLUMN(平滑数据导入!F$1),0)</f>
        <v>7346.6412188719496</v>
      </c>
      <c r="AB45" s="90">
        <f>VLOOKUP($A45,平滑数据导入!$A$1:$AN$61,COLUMN(平滑数据导入!G$1),0)</f>
        <v>7507.2137443218044</v>
      </c>
      <c r="AC45" s="90">
        <f>VLOOKUP($A45,平滑数据导入!$A$1:$AN$61,COLUMN(平滑数据导入!H$1),0)</f>
        <v>7658.2271496666444</v>
      </c>
      <c r="AD45" s="90">
        <f>VLOOKUP($A45,平滑数据导入!$A$1:$AN$61,COLUMN(平滑数据导入!I$1),0)</f>
        <v>7799.6821668827852</v>
      </c>
      <c r="AE45" s="133">
        <f>VLOOKUP(A45,情景假设!$B$48:$S$88,15,0)/情景假设!P$47*AE$13</f>
        <v>7931.6666642531573</v>
      </c>
      <c r="AF45" s="90">
        <f>VLOOKUP($A45,平滑数据导入!$A$1:$AN$61,COLUMN(平滑数据导入!K$1),0)</f>
        <v>8054.0478614100857</v>
      </c>
      <c r="AG45" s="90">
        <f>VLOOKUP($A45,平滑数据导入!$A$1:$AN$61,COLUMN(平滑数据导入!L$1),0)</f>
        <v>8165.5228236611656</v>
      </c>
      <c r="AH45" s="90">
        <f>VLOOKUP($A45,平滑数据导入!$A$1:$AN$61,COLUMN(平滑数据导入!M$1),0)</f>
        <v>8264.4754292904327</v>
      </c>
      <c r="AI45" s="90">
        <f>VLOOKUP($A45,平滑数据导入!$A$1:$AN$61,COLUMN(平滑数据导入!N$1),0)</f>
        <v>8349.290253177056</v>
      </c>
      <c r="AJ45" s="141">
        <f>VLOOKUP(A45,情景假设!$B$48:$S$88,16,0)/情景假设!Q$47*AJ$13</f>
        <v>8418.3748777502988</v>
      </c>
      <c r="AK45" s="89">
        <f>VLOOKUP($A45,平滑数据导入!$A$1:$AN$61,COLUMN(平滑数据导入!P$1),0)</f>
        <v>8470.5367567489429</v>
      </c>
      <c r="AL45" s="90">
        <f>VLOOKUP($A45,平滑数据导入!$A$1:$AN$61,COLUMN(平滑数据导入!Q$1),0)</f>
        <v>8506.0780697948867</v>
      </c>
      <c r="AM45" s="90">
        <f>VLOOKUP($A45,平滑数据导入!$A$1:$AN$61,COLUMN(平滑数据导入!R$1),0)</f>
        <v>8525.7662566432646</v>
      </c>
      <c r="AN45" s="90">
        <f>VLOOKUP($A45,平滑数据导入!$A$1:$AN$61,COLUMN(平滑数据导入!S$1),0)</f>
        <v>8530.4700964070289</v>
      </c>
      <c r="AO45" s="101">
        <f>VLOOKUP($A45,平滑数据导入!$A$1:$AN$61,COLUMN(平滑数据导入!T$1),0)</f>
        <v>8521.1430265872787</v>
      </c>
      <c r="AP45" s="90">
        <f>VLOOKUP($A45,平滑数据导入!$A$1:$AN$61,COLUMN(平滑数据导入!U$1),0)</f>
        <v>8498.8067339218178</v>
      </c>
      <c r="AQ45" s="90">
        <f>VLOOKUP($A45,平滑数据导入!$A$1:$AN$61,COLUMN(平滑数据导入!V$1),0)</f>
        <v>8464.5353162458341</v>
      </c>
      <c r="AR45" s="90">
        <f>VLOOKUP($A45,平滑数据导入!$A$1:$AN$61,COLUMN(平滑数据导入!W$1),0)</f>
        <v>8419.4402692780022</v>
      </c>
      <c r="AS45" s="90">
        <f>VLOOKUP($A45,平滑数据导入!$A$1:$AN$61,COLUMN(平滑数据导入!X$1),0)</f>
        <v>8364.6565060029479</v>
      </c>
      <c r="AT45" s="90">
        <f>VLOOKUP($A45,平滑数据导入!$A$1:$AN$61,COLUMN(平滑数据导入!Y$1),0)</f>
        <v>8301.3295707012658</v>
      </c>
      <c r="AU45" s="89">
        <f>VLOOKUP($A45,平滑数据导入!$A$1:$AN$61,COLUMN(平滑数据导入!Z$1),0)</f>
        <v>8230.6041660226056</v>
      </c>
      <c r="AV45" s="90">
        <f>VLOOKUP($A45,平滑数据导入!$A$1:$AN$61,COLUMN(平滑数据导入!AA$1),0)</f>
        <v>8153.6140708837802</v>
      </c>
      <c r="AW45" s="90">
        <f>VLOOKUP($A45,平滑数据导入!$A$1:$AN$61,COLUMN(平滑数据导入!AB$1),0)</f>
        <v>8071.4734902218152</v>
      </c>
      <c r="AX45" s="90">
        <f>VLOOKUP($A45,平滑数据导入!$A$1:$AN$61,COLUMN(平滑数据导入!AC$1),0)</f>
        <v>7985.269845316353</v>
      </c>
      <c r="AY45" s="133">
        <f>VLOOKUP(A45,情景假设!$B$48:$S$88,17,0)/情景假设!R$47*AY$13</f>
        <v>7896.0579858611645</v>
      </c>
      <c r="AZ45" s="89">
        <f>VLOOKUP($A45,平滑数据导入!$A$1:$AN$61,COLUMN(平滑数据导入!AE$1),0)</f>
        <v>7804.855782362888</v>
      </c>
      <c r="BA45" s="90">
        <f>VLOOKUP($A45,平滑数据导入!$A$1:$AN$61,COLUMN(平滑数据导入!AF$1),0)</f>
        <v>7712.6410397514119</v>
      </c>
      <c r="BB45" s="90">
        <f>VLOOKUP($A45,平滑数据导入!$A$1:$AN$61,COLUMN(平滑数据导入!AG$1),0)</f>
        <v>7620.3496601490224</v>
      </c>
      <c r="BC45" s="90">
        <f>VLOOKUP($A45,平滑数据导入!$A$1:$AN$61,COLUMN(平滑数据导入!AH$1),0)</f>
        <v>7528.8749743006492</v>
      </c>
      <c r="BD45" s="101">
        <f>VLOOKUP($A45,平滑数据导入!$A$1:$AN$61,COLUMN(平滑数据导入!AI$1),0)</f>
        <v>7439.0681568865884</v>
      </c>
      <c r="BE45" s="90">
        <f>VLOOKUP($A45,平滑数据导入!$A$1:$AN$61,COLUMN(平滑数据导入!AJ$1),0)</f>
        <v>7351.7396404464434</v>
      </c>
      <c r="BF45" s="90">
        <f>VLOOKUP($A45,平滑数据导入!$A$1:$AN$61,COLUMN(平滑数据导入!AK$1),0)</f>
        <v>7267.6614455478584</v>
      </c>
      <c r="BG45" s="90">
        <f>VLOOKUP($A45,平滑数据导入!$A$1:$AN$61,COLUMN(平滑数据导入!AL$1),0)</f>
        <v>7187.570350753741</v>
      </c>
      <c r="BH45" s="90">
        <f>VLOOKUP($A45,平滑数据导入!$A$1:$AN$61,COLUMN(平滑数据导入!AM$1),0)</f>
        <v>7112.1718345209392</v>
      </c>
      <c r="BI45" s="133">
        <f>VLOOKUP(A45,情景假设!$B$48:$S$88,18,0)/情景假设!S$47*BI$13</f>
        <v>7042.1447320901125</v>
      </c>
    </row>
    <row r="46" spans="1:61" x14ac:dyDescent="0.2">
      <c r="A46" s="30" t="s">
        <v>103</v>
      </c>
      <c r="B46" s="19"/>
      <c r="C46" s="20"/>
      <c r="D46" s="20"/>
      <c r="E46" s="20"/>
      <c r="F46" s="21"/>
      <c r="G46" s="19"/>
      <c r="H46" s="20"/>
      <c r="I46" s="20">
        <f>'增加值 (2001-2022, 当年价) '!I46*I$77</f>
        <v>8838.8458981359108</v>
      </c>
      <c r="J46" s="20">
        <f>'增加值 (2001-2022, 当年价) '!J46*J$77</f>
        <v>9384.156595166769</v>
      </c>
      <c r="K46" s="21">
        <f>'增加值 (2001-2022, 当年价) '!K46*K$77</f>
        <v>10817.240653312754</v>
      </c>
      <c r="L46" s="19">
        <f>'增加值 (2001-2022, 当年价) '!L46*L$77</f>
        <v>11901.217689061259</v>
      </c>
      <c r="M46" s="20">
        <f>'增加值 (2001-2022, 当年价) '!M46*M$77</f>
        <v>12428.8831864778</v>
      </c>
      <c r="N46" s="20">
        <f>'增加值 (2001-2022, 当年价) '!N46*N$77</f>
        <v>13093.912999248869</v>
      </c>
      <c r="O46" s="20">
        <f>'增加值 (2001-2022, 当年价) '!O46*O$77</f>
        <v>13733.533913610911</v>
      </c>
      <c r="P46" s="20">
        <f>'增加值 (2001-2022, 当年价) '!P46*P$77</f>
        <v>13980.230978733629</v>
      </c>
      <c r="Q46" s="19">
        <f>'增加值 (2001-2022, 当年价) '!Q46*Q$77</f>
        <v>14802.762226490715</v>
      </c>
      <c r="R46" s="20">
        <f>'增加值 (2001-2022, 当年价) '!R46*R$77</f>
        <v>16571.758972982709</v>
      </c>
      <c r="S46" s="20">
        <f>'增加值 (2001-2022, 当年价) '!S46*S$77</f>
        <v>17705.011225836581</v>
      </c>
      <c r="T46" s="20">
        <f>'增加值 (2001-2022, 当年价) '!T46*T$77</f>
        <v>18897.138056727734</v>
      </c>
      <c r="U46" s="21">
        <f>'增加值 (2001-2022, 当年价) '!U46*U$77</f>
        <v>19907.377761640477</v>
      </c>
      <c r="V46" s="20">
        <f>'增加值 (2001-2022, 当年价) '!V46*V$77</f>
        <v>24209.543450590434</v>
      </c>
      <c r="W46" s="20">
        <f>'增加值 (2001-2022, 当年价) '!W46*W$77</f>
        <v>27519.375031440293</v>
      </c>
      <c r="X46" s="90">
        <f>VLOOKUP($A46,平滑数据导入!$A$1:$AN$61,COLUMN(平滑数据导入!C$1),0)</f>
        <v>29731.48670210264</v>
      </c>
      <c r="Y46" s="90">
        <f>VLOOKUP($A46,平滑数据导入!$A$1:$AN$61,COLUMN(平滑数据导入!D$1),0)</f>
        <v>32002.565979382001</v>
      </c>
      <c r="Z46" s="141">
        <f>VLOOKUP(A46,情景假设!$B$48:$S$88,14,0)/情景假设!O$47*Z$13</f>
        <v>34326.185273463998</v>
      </c>
      <c r="AA46" s="89">
        <f>VLOOKUP($A46,平滑数据导入!$A$1:$AN$61,COLUMN(平滑数据导入!F$1),0)</f>
        <v>36696.217203054461</v>
      </c>
      <c r="AB46" s="90">
        <f>VLOOKUP($A46,平滑数据导入!$A$1:$AN$61,COLUMN(平滑数据导入!G$1),0)</f>
        <v>39107.001460574029</v>
      </c>
      <c r="AC46" s="90">
        <f>VLOOKUP($A46,平滑数据导入!$A$1:$AN$61,COLUMN(平滑数据导入!H$1),0)</f>
        <v>41553.50399073126</v>
      </c>
      <c r="AD46" s="90">
        <f>VLOOKUP($A46,平滑数据导入!$A$1:$AN$61,COLUMN(平滑数据导入!I$1),0)</f>
        <v>44031.466365628927</v>
      </c>
      <c r="AE46" s="133">
        <f>VLOOKUP(A46,情景假设!$B$48:$S$88,15,0)/情景假设!P$47*AE$13</f>
        <v>46537.543950463085</v>
      </c>
      <c r="AF46" s="90">
        <f>VLOOKUP($A46,平滑数据导入!$A$1:$AN$61,COLUMN(平滑数据导入!K$1),0)</f>
        <v>49065.931500733233</v>
      </c>
      <c r="AG46" s="90">
        <f>VLOOKUP($A46,平滑数据导入!$A$1:$AN$61,COLUMN(平滑数据导入!L$1),0)</f>
        <v>51596.523818531437</v>
      </c>
      <c r="AH46" s="90">
        <f>VLOOKUP($A46,平滑数据导入!$A$1:$AN$61,COLUMN(平滑数据导入!M$1),0)</f>
        <v>54102.980118336469</v>
      </c>
      <c r="AI46" s="90">
        <f>VLOOKUP($A46,平滑数据导入!$A$1:$AN$61,COLUMN(平滑数据导入!N$1),0)</f>
        <v>56556.018174881123</v>
      </c>
      <c r="AJ46" s="141">
        <f>VLOOKUP(A46,情景假设!$B$48:$S$88,16,0)/情景假设!Q$47*AJ$13</f>
        <v>58923.685059426971</v>
      </c>
      <c r="AK46" s="89">
        <f>VLOOKUP($A46,平滑数据导入!$A$1:$AN$61,COLUMN(平滑数据导入!P$1),0)</f>
        <v>61176.119072004272</v>
      </c>
      <c r="AL46" s="90">
        <f>VLOOKUP($A46,平滑数据导入!$A$1:$AN$61,COLUMN(平滑数据导入!Q$1),0)</f>
        <v>63300.374684725837</v>
      </c>
      <c r="AM46" s="90">
        <f>VLOOKUP($A46,平滑数据导入!$A$1:$AN$61,COLUMN(平滑数据导入!R$1),0)</f>
        <v>65289.798676927807</v>
      </c>
      <c r="AN46" s="90">
        <f>VLOOKUP($A46,平滑数据导入!$A$1:$AN$61,COLUMN(平滑数据导入!S$1),0)</f>
        <v>67140.013469901998</v>
      </c>
      <c r="AO46" s="101">
        <f>VLOOKUP($A46,平滑数据导入!$A$1:$AN$61,COLUMN(平滑数据导入!T$1),0)</f>
        <v>68848.886336660231</v>
      </c>
      <c r="AP46" s="90">
        <f>VLOOKUP($A46,平滑数据导入!$A$1:$AN$61,COLUMN(平滑数据导入!U$1),0)</f>
        <v>70416.45732331014</v>
      </c>
      <c r="AQ46" s="90">
        <f>VLOOKUP($A46,平滑数据导入!$A$1:$AN$61,COLUMN(平滑数据导入!V$1),0)</f>
        <v>71844.832308467943</v>
      </c>
      <c r="AR46" s="90">
        <f>VLOOKUP($A46,平滑数据导入!$A$1:$AN$61,COLUMN(平滑数据导入!W$1),0)</f>
        <v>73138.048138940852</v>
      </c>
      <c r="AS46" s="90">
        <f>VLOOKUP($A46,平滑数据导入!$A$1:$AN$61,COLUMN(平滑数据导入!X$1),0)</f>
        <v>74301.916984861731</v>
      </c>
      <c r="AT46" s="90">
        <f>VLOOKUP($A46,平滑数据导入!$A$1:$AN$61,COLUMN(平滑数据导入!Y$1),0)</f>
        <v>75343.856991278357</v>
      </c>
      <c r="AU46" s="89">
        <f>VLOOKUP($A46,平滑数据导入!$A$1:$AN$61,COLUMN(平滑数据导入!Z$1),0)</f>
        <v>76272.716010046977</v>
      </c>
      <c r="AV46" s="90">
        <f>VLOOKUP($A46,平滑数据导入!$A$1:$AN$61,COLUMN(平滑数据导入!AA$1),0)</f>
        <v>77098.594724648472</v>
      </c>
      <c r="AW46" s="90">
        <f>VLOOKUP($A46,平滑数据导入!$A$1:$AN$61,COLUMN(平滑数据导入!AB$1),0)</f>
        <v>77832.674881683968</v>
      </c>
      <c r="AX46" s="90">
        <f>VLOOKUP($A46,平滑数据导入!$A$1:$AN$61,COLUMN(平滑数据导入!AC$1),0)</f>
        <v>78487.057665591943</v>
      </c>
      <c r="AY46" s="133">
        <f>VLOOKUP(A46,情景假设!$B$48:$S$88,17,0)/情景假设!R$47*AY$13</f>
        <v>79074.616543505792</v>
      </c>
      <c r="AZ46" s="89">
        <f>VLOOKUP($A46,平滑数据导入!$A$1:$AN$61,COLUMN(平滑数据导入!AE$1),0)</f>
        <v>79608.868206345462</v>
      </c>
      <c r="BA46" s="90">
        <f>VLOOKUP($A46,平滑数据导入!$A$1:$AN$61,COLUMN(平滑数据导入!AF$1),0)</f>
        <v>80103.864575746426</v>
      </c>
      <c r="BB46" s="90">
        <f>VLOOKUP($A46,平滑数据导入!$A$1:$AN$61,COLUMN(平滑数据导入!AG$1),0)</f>
        <v>80574.108263878457</v>
      </c>
      <c r="BC46" s="90">
        <f>VLOOKUP($A46,平滑数据导入!$A$1:$AN$61,COLUMN(平滑数据导入!AH$1),0)</f>
        <v>81034.493388451519</v>
      </c>
      <c r="BD46" s="101">
        <f>VLOOKUP($A46,平滑数据导入!$A$1:$AN$61,COLUMN(平滑数据导入!AI$1),0)</f>
        <v>81500.273276935142</v>
      </c>
      <c r="BE46" s="90">
        <f>VLOOKUP($A46,平滑数据导入!$A$1:$AN$61,COLUMN(平滑数据导入!AJ$1),0)</f>
        <v>81987.056356730172</v>
      </c>
      <c r="BF46" s="90">
        <f>VLOOKUP($A46,平滑数据导入!$A$1:$AN$61,COLUMN(平滑数据导入!AK$1),0)</f>
        <v>82510.831433117128</v>
      </c>
      <c r="BG46" s="90">
        <f>VLOOKUP($A46,平滑数据导入!$A$1:$AN$61,COLUMN(平滑数据导入!AL$1),0)</f>
        <v>83088.023614019781</v>
      </c>
      <c r="BH46" s="90">
        <f>VLOOKUP($A46,平滑数据导入!$A$1:$AN$61,COLUMN(平滑数据导入!AM$1),0)</f>
        <v>83735.582359477339</v>
      </c>
      <c r="BI46" s="133">
        <f>VLOOKUP(A46,情景假设!$B$48:$S$88,18,0)/情景假设!S$47*BI$13</f>
        <v>84471.103525261831</v>
      </c>
    </row>
    <row r="47" spans="1:61" x14ac:dyDescent="0.2">
      <c r="A47" s="30" t="s">
        <v>104</v>
      </c>
      <c r="B47" s="19"/>
      <c r="C47" s="20"/>
      <c r="D47" s="20"/>
      <c r="E47" s="20"/>
      <c r="F47" s="21"/>
      <c r="G47" s="19"/>
      <c r="H47" s="20"/>
      <c r="I47" s="20">
        <f>'增加值 (2001-2022, 当年价) '!I47*I$77</f>
        <v>12389.44931527424</v>
      </c>
      <c r="J47" s="20">
        <f>'增加值 (2001-2022, 当年价) '!J47*J$77</f>
        <v>12366.933798334967</v>
      </c>
      <c r="K47" s="21">
        <f>'增加值 (2001-2022, 当年价) '!K47*K$77</f>
        <v>14039.352340459805</v>
      </c>
      <c r="L47" s="19">
        <f>'增加值 (2001-2022, 当年价) '!L47*L$77</f>
        <v>15635.073609400111</v>
      </c>
      <c r="M47" s="20">
        <f>'增加值 (2001-2022, 当年价) '!M47*M$77</f>
        <v>16685.515258118838</v>
      </c>
      <c r="N47" s="20">
        <f>'增加值 (2001-2022, 当年价) '!N47*N$77</f>
        <v>17641.706205868722</v>
      </c>
      <c r="O47" s="20">
        <f>'增加值 (2001-2022, 当年价) '!O47*O$77</f>
        <v>18977.06187241953</v>
      </c>
      <c r="P47" s="20">
        <f>'增加值 (2001-2022, 当年价) '!P47*P$77</f>
        <v>19894.066811321558</v>
      </c>
      <c r="Q47" s="19">
        <f>'增加值 (2001-2022, 当年价) '!Q47*Q$77</f>
        <v>21355.755278544293</v>
      </c>
      <c r="R47" s="20">
        <f>'增加值 (2001-2022, 当年价) '!R47*R$77</f>
        <v>24599.592644385197</v>
      </c>
      <c r="S47" s="20">
        <f>'增加值 (2001-2022, 当年价) '!S47*S$77</f>
        <v>27702.463848883261</v>
      </c>
      <c r="T47" s="20">
        <f>'增加值 (2001-2022, 当年价) '!T47*T$77</f>
        <v>29193.809335406564</v>
      </c>
      <c r="U47" s="21">
        <f>'增加值 (2001-2022, 当年价) '!U47*U$77</f>
        <v>30415.615726595752</v>
      </c>
      <c r="V47" s="20">
        <f>'增加值 (2001-2022, 当年价) '!V47*V$77</f>
        <v>36640.354816724648</v>
      </c>
      <c r="W47" s="20">
        <f>'增加值 (2001-2022, 当年价) '!W47*W$77</f>
        <v>40049.197919647981</v>
      </c>
      <c r="X47" s="90">
        <f>VLOOKUP($A47,平滑数据导入!$A$1:$AN$61,COLUMN(平滑数据导入!C$1),0)</f>
        <v>43302.371114592701</v>
      </c>
      <c r="Y47" s="90">
        <f>VLOOKUP($A47,平滑数据导入!$A$1:$AN$61,COLUMN(平滑数据导入!D$1),0)</f>
        <v>46657.741816476671</v>
      </c>
      <c r="Z47" s="141">
        <f>VLOOKUP(A47,情景假设!$B$48:$S$88,14,0)/情景假设!O$47*Z$13</f>
        <v>50103.572017024075</v>
      </c>
      <c r="AA47" s="89">
        <f>VLOOKUP($A47,平滑数据导入!$A$1:$AN$61,COLUMN(平滑数据导入!F$1),0)</f>
        <v>53627.228222274833</v>
      </c>
      <c r="AB47" s="90">
        <f>VLOOKUP($A47,平滑数据导入!$A$1:$AN$61,COLUMN(平滑数据导入!G$1),0)</f>
        <v>57215.336053912513</v>
      </c>
      <c r="AC47" s="90">
        <f>VLOOKUP($A47,平滑数据导入!$A$1:$AN$61,COLUMN(平滑数据导入!H$1),0)</f>
        <v>60853.946622368792</v>
      </c>
      <c r="AD47" s="90">
        <f>VLOOKUP($A47,平滑数据导入!$A$1:$AN$61,COLUMN(平滑数据导入!I$1),0)</f>
        <v>64528.711253061338</v>
      </c>
      <c r="AE47" s="133">
        <f>VLOOKUP(A47,情景假设!$B$48:$S$88,15,0)/情景假设!P$47*AE$13</f>
        <v>68225.061047768657</v>
      </c>
      <c r="AF47" s="90">
        <f>VLOOKUP($A47,平滑数据导入!$A$1:$AN$61,COLUMN(平滑数据导入!K$1),0)</f>
        <v>71929.604018721846</v>
      </c>
      <c r="AG47" s="90">
        <f>VLOOKUP($A47,平滑数据导入!$A$1:$AN$61,COLUMN(平滑数据导入!L$1),0)</f>
        <v>75634.453187037157</v>
      </c>
      <c r="AH47" s="90">
        <f>VLOOKUP($A47,平滑数据导入!$A$1:$AN$61,COLUMN(平滑数据导入!M$1),0)</f>
        <v>79334.621240919907</v>
      </c>
      <c r="AI47" s="90">
        <f>VLOOKUP($A47,平滑数据导入!$A$1:$AN$61,COLUMN(平滑数据导入!N$1),0)</f>
        <v>83027.072851067336</v>
      </c>
      <c r="AJ47" s="141">
        <f>VLOOKUP(A47,情景假设!$B$48:$S$88,16,0)/情景假设!Q$47*AJ$13</f>
        <v>86710.842949538463</v>
      </c>
      <c r="AK47" s="89">
        <f>VLOOKUP($A47,平滑数据导入!$A$1:$AN$61,COLUMN(平滑数据导入!P$1),0)</f>
        <v>90385.217803784195</v>
      </c>
      <c r="AL47" s="90">
        <f>VLOOKUP($A47,平滑数据导入!$A$1:$AN$61,COLUMN(平滑数据导入!Q$1),0)</f>
        <v>94043.446540784324</v>
      </c>
      <c r="AM47" s="90">
        <f>VLOOKUP($A47,平滑数据导入!$A$1:$AN$61,COLUMN(平滑数据导入!R$1),0)</f>
        <v>97677.469280304562</v>
      </c>
      <c r="AN47" s="90">
        <f>VLOOKUP($A47,平滑数据导入!$A$1:$AN$61,COLUMN(平滑数据导入!S$1),0)</f>
        <v>101279.74556593</v>
      </c>
      <c r="AO47" s="101">
        <f>VLOOKUP($A47,平滑数据导入!$A$1:$AN$61,COLUMN(平滑数据导入!T$1),0)</f>
        <v>104843.316766451</v>
      </c>
      <c r="AP47" s="90">
        <f>VLOOKUP($A47,平滑数据导入!$A$1:$AN$61,COLUMN(平滑数据导入!U$1),0)</f>
        <v>108361.86112648129</v>
      </c>
      <c r="AQ47" s="90">
        <f>VLOOKUP($A47,平滑数据导入!$A$1:$AN$61,COLUMN(平滑数据导入!V$1),0)</f>
        <v>111829.7412244086</v>
      </c>
      <c r="AR47" s="90">
        <f>VLOOKUP($A47,平滑数据导入!$A$1:$AN$61,COLUMN(平滑数据导入!W$1),0)</f>
        <v>115242.0437448028</v>
      </c>
      <c r="AS47" s="90">
        <f>VLOOKUP($A47,平滑数据导入!$A$1:$AN$61,COLUMN(平滑数据导入!X$1),0)</f>
        <v>118594.61161419059</v>
      </c>
      <c r="AT47" s="90">
        <f>VLOOKUP($A47,平滑数据导入!$A$1:$AN$61,COLUMN(平滑数据导入!Y$1),0)</f>
        <v>121884.0686812112</v>
      </c>
      <c r="AU47" s="89">
        <f>VLOOKUP($A47,平滑数据导入!$A$1:$AN$61,COLUMN(平滑数据导入!Z$1),0)</f>
        <v>125107.83724277779</v>
      </c>
      <c r="AV47" s="90">
        <f>VLOOKUP($A47,平滑数据导入!$A$1:$AN$61,COLUMN(平滑数据导入!AA$1),0)</f>
        <v>128264.14882559179</v>
      </c>
      <c r="AW47" s="90">
        <f>VLOOKUP($A47,平滑数据导入!$A$1:$AN$61,COLUMN(平滑数据导入!AB$1),0)</f>
        <v>131352.04872622321</v>
      </c>
      <c r="AX47" s="90">
        <f>VLOOKUP($A47,平滑数据导入!$A$1:$AN$61,COLUMN(平滑数据导入!AC$1),0)</f>
        <v>134371.39489256759</v>
      </c>
      <c r="AY47" s="133">
        <f>VLOOKUP(A47,情景假设!$B$48:$S$88,17,0)/情景假设!R$47*AY$13</f>
        <v>137322.85179471842</v>
      </c>
      <c r="AZ47" s="89">
        <f>VLOOKUP($A47,平滑数据导入!$A$1:$AN$61,COLUMN(平滑数据导入!AE$1),0)</f>
        <v>140207.8799845537</v>
      </c>
      <c r="BA47" s="90">
        <f>VLOOKUP($A47,平滑数据导入!$A$1:$AN$61,COLUMN(平滑数据导入!AF$1),0)</f>
        <v>143028.7220812251</v>
      </c>
      <c r="BB47" s="90">
        <f>VLOOKUP($A47,平滑数据导入!$A$1:$AN$61,COLUMN(平滑数据导入!AG$1),0)</f>
        <v>145788.3859453343</v>
      </c>
      <c r="BC47" s="90">
        <f>VLOOKUP($A47,平滑数据导入!$A$1:$AN$61,COLUMN(平滑数据导入!AH$1),0)</f>
        <v>148490.62581899701</v>
      </c>
      <c r="BD47" s="101">
        <f>VLOOKUP($A47,平滑数据导入!$A$1:$AN$61,COLUMN(平滑数据导入!AI$1),0)</f>
        <v>151139.92221373069</v>
      </c>
      <c r="BE47" s="90">
        <f>VLOOKUP($A47,平滑数据导入!$A$1:$AN$61,COLUMN(平滑数据导入!AJ$1),0)</f>
        <v>153741.4613246402</v>
      </c>
      <c r="BF47" s="90">
        <f>VLOOKUP($A47,平滑数据导入!$A$1:$AN$61,COLUMN(平滑数据导入!AK$1),0)</f>
        <v>156301.11473945429</v>
      </c>
      <c r="BG47" s="90">
        <f>VLOOKUP($A47,平滑数据导入!$A$1:$AN$61,COLUMN(平滑数据导入!AL$1),0)</f>
        <v>158825.4201962261</v>
      </c>
      <c r="BH47" s="90">
        <f>VLOOKUP($A47,平滑数据导入!$A$1:$AN$61,COLUMN(平滑数据导入!AM$1),0)</f>
        <v>161321.5641257971</v>
      </c>
      <c r="BI47" s="133">
        <f>VLOOKUP(A47,情景假设!$B$48:$S$88,18,0)/情景假设!S$47*BI$13</f>
        <v>163797.36669612661</v>
      </c>
    </row>
    <row r="48" spans="1:61" x14ac:dyDescent="0.2">
      <c r="A48" s="30" t="s">
        <v>105</v>
      </c>
      <c r="B48" s="19"/>
      <c r="C48" s="20"/>
      <c r="D48" s="20"/>
      <c r="E48" s="20"/>
      <c r="F48" s="21"/>
      <c r="G48" s="19"/>
      <c r="H48" s="20"/>
      <c r="I48" s="20">
        <f>'增加值 (2001-2022, 当年价) '!I48*I$77</f>
        <v>1270.0793844876139</v>
      </c>
      <c r="J48" s="20">
        <f>'增加值 (2001-2022, 当年价) '!J48*J$77</f>
        <v>1228.0405287348781</v>
      </c>
      <c r="K48" s="21">
        <f>'增加值 (2001-2022, 当年价) '!K48*K$77</f>
        <v>1426.3115727722129</v>
      </c>
      <c r="L48" s="19">
        <f>'增加值 (2001-2022, 当年价) '!L48*L$77</f>
        <v>1593.909068268578</v>
      </c>
      <c r="M48" s="20">
        <f>'增加值 (2001-2022, 当年价) '!M48*M$77</f>
        <v>1708.5827273955535</v>
      </c>
      <c r="N48" s="20">
        <f>'增加值 (2001-2022, 当年价) '!N48*N$77</f>
        <v>1811.3651372659692</v>
      </c>
      <c r="O48" s="20">
        <f>'增加值 (2001-2022, 当年价) '!O48*O$77</f>
        <v>1899.8480090712155</v>
      </c>
      <c r="P48" s="20">
        <f>'增加值 (2001-2022, 当年价) '!P48*P$77</f>
        <v>1899.7295995723066</v>
      </c>
      <c r="Q48" s="19">
        <f>'增加值 (2001-2022, 当年价) '!Q48*Q$77</f>
        <v>2028.186042724089</v>
      </c>
      <c r="R48" s="20">
        <f>'增加值 (2001-2022, 当年价) '!R48*R$77</f>
        <v>2309.5694704099037</v>
      </c>
      <c r="S48" s="20">
        <f>'增加值 (2001-2022, 当年价) '!S48*S$77</f>
        <v>2442.2123507432102</v>
      </c>
      <c r="T48" s="20">
        <f>'增加值 (2001-2022, 当年价) '!T48*T$77</f>
        <v>2601.9437875043291</v>
      </c>
      <c r="U48" s="21">
        <f>'增加值 (2001-2022, 当年价) '!U48*U$77</f>
        <v>2602.606982377547</v>
      </c>
      <c r="V48" s="20">
        <f>'增加值 (2001-2022, 当年价) '!V48*V$77</f>
        <v>3034.983345987991</v>
      </c>
      <c r="W48" s="20">
        <f>'增加值 (2001-2022, 当年价) '!W48*W$77</f>
        <v>3224.8526645654251</v>
      </c>
      <c r="X48" s="90">
        <f>VLOOKUP($A48,平滑数据导入!$A$1:$AN$61,COLUMN(平滑数据导入!C$1),0)</f>
        <v>3407.2386614197399</v>
      </c>
      <c r="Y48" s="90">
        <f>VLOOKUP($A48,平滑数据导入!$A$1:$AN$61,COLUMN(平滑数据导入!D$1),0)</f>
        <v>3590.021662120776</v>
      </c>
      <c r="Z48" s="141">
        <f>VLOOKUP(A48,情景假设!$B$48:$S$88,14,0)/情景假设!O$47*Z$13</f>
        <v>3772.4508289156779</v>
      </c>
      <c r="AA48" s="89">
        <f>VLOOKUP($A48,平滑数据导入!$A$1:$AN$61,COLUMN(平滑数据导入!F$1),0)</f>
        <v>3953.7779835137972</v>
      </c>
      <c r="AB48" s="90">
        <f>VLOOKUP($A48,平滑数据导入!$A$1:$AN$61,COLUMN(平滑数据导入!G$1),0)</f>
        <v>4133.2655632615852</v>
      </c>
      <c r="AC48" s="90">
        <f>VLOOKUP($A48,平滑数据导入!$A$1:$AN$61,COLUMN(平滑数据导入!H$1),0)</f>
        <v>4310.1943020967183</v>
      </c>
      <c r="AD48" s="90">
        <f>VLOOKUP($A48,平滑数据导入!$A$1:$AN$61,COLUMN(平滑数据导入!I$1),0)</f>
        <v>4483.8705166766094</v>
      </c>
      <c r="AE48" s="133">
        <f>VLOOKUP(A48,情景假设!$B$48:$S$88,15,0)/情景假设!P$47*AE$13</f>
        <v>4653.6328907833931</v>
      </c>
      <c r="AF48" s="90">
        <f>VLOOKUP($A48,平滑数据导入!$A$1:$AN$61,COLUMN(平滑数据导入!K$1),0)</f>
        <v>4818.9054310136362</v>
      </c>
      <c r="AG48" s="90">
        <f>VLOOKUP($A48,平滑数据导入!$A$1:$AN$61,COLUMN(平滑数据导入!L$1),0)</f>
        <v>4979.3557263941702</v>
      </c>
      <c r="AH48" s="90">
        <f>VLOOKUP($A48,平滑数据导入!$A$1:$AN$61,COLUMN(平滑数据导入!M$1),0)</f>
        <v>5134.7798209540097</v>
      </c>
      <c r="AI48" s="90">
        <f>VLOOKUP($A48,平滑数据导入!$A$1:$AN$61,COLUMN(平滑数据导入!N$1),0)</f>
        <v>5285.0594410635485</v>
      </c>
      <c r="AJ48" s="141">
        <f>VLOOKUP(A48,情景假设!$B$48:$S$88,16,0)/情景假设!Q$47*AJ$13</f>
        <v>5430.1616751612701</v>
      </c>
      <c r="AK48" s="89">
        <f>VLOOKUP($A48,平滑数据导入!$A$1:$AN$61,COLUMN(平滑数据导入!P$1),0)</f>
        <v>5570.0758603170061</v>
      </c>
      <c r="AL48" s="90">
        <f>VLOOKUP($A48,平滑数据导入!$A$1:$AN$61,COLUMN(平滑数据导入!Q$1),0)</f>
        <v>5704.6139840962833</v>
      </c>
      <c r="AM48" s="90">
        <f>VLOOKUP($A48,平滑数据导入!$A$1:$AN$61,COLUMN(平滑数据导入!R$1),0)</f>
        <v>5833.5742513248924</v>
      </c>
      <c r="AN48" s="90">
        <f>VLOOKUP($A48,平滑数据导入!$A$1:$AN$61,COLUMN(平滑数据导入!S$1),0)</f>
        <v>5956.8001066626184</v>
      </c>
      <c r="AO48" s="101">
        <f>VLOOKUP($A48,平滑数据导入!$A$1:$AN$61,COLUMN(平滑数据导入!T$1),0)</f>
        <v>6074.1801064752799</v>
      </c>
      <c r="AP48" s="90">
        <f>VLOOKUP($A48,平滑数据导入!$A$1:$AN$61,COLUMN(平滑数据导入!U$1),0)</f>
        <v>6185.6473747790187</v>
      </c>
      <c r="AQ48" s="90">
        <f>VLOOKUP($A48,平滑数据导入!$A$1:$AN$61,COLUMN(平滑数据导入!V$1),0)</f>
        <v>6291.1786804936546</v>
      </c>
      <c r="AR48" s="90">
        <f>VLOOKUP($A48,平滑数据导入!$A$1:$AN$61,COLUMN(平滑数据导入!W$1),0)</f>
        <v>6390.7931767829659</v>
      </c>
      <c r="AS48" s="90">
        <f>VLOOKUP($A48,平滑数据导入!$A$1:$AN$61,COLUMN(平滑数据导入!X$1),0)</f>
        <v>6484.5508458046606</v>
      </c>
      <c r="AT48" s="90">
        <f>VLOOKUP($A48,平滑数据导入!$A$1:$AN$61,COLUMN(平滑数据导入!Y$1),0)</f>
        <v>6572.5506937896616</v>
      </c>
      <c r="AU48" s="89">
        <f>VLOOKUP($A48,平滑数据导入!$A$1:$AN$61,COLUMN(平滑数据导入!Z$1),0)</f>
        <v>6654.928742076504</v>
      </c>
      <c r="AV48" s="90">
        <f>VLOOKUP($A48,平滑数据导入!$A$1:$AN$61,COLUMN(平滑数据导入!AA$1),0)</f>
        <v>6731.8558596239118</v>
      </c>
      <c r="AW48" s="90">
        <f>VLOOKUP($A48,平滑数据导入!$A$1:$AN$61,COLUMN(平滑数据导入!AB$1),0)</f>
        <v>6803.5354816981171</v>
      </c>
      <c r="AX48" s="90">
        <f>VLOOKUP($A48,平滑数据导入!$A$1:$AN$61,COLUMN(平滑数据导入!AC$1),0)</f>
        <v>6870.2012579814091</v>
      </c>
      <c r="AY48" s="133">
        <f>VLOOKUP(A48,情景假设!$B$48:$S$88,17,0)/情景假设!R$47*AY$13</f>
        <v>6932.1146713754242</v>
      </c>
      <c r="AZ48" s="89">
        <f>VLOOKUP($A48,平滑数据导入!$A$1:$AN$61,COLUMN(平滑数据导入!AE$1),0)</f>
        <v>6989.5626663809226</v>
      </c>
      <c r="BA48" s="90">
        <f>VLOOKUP($A48,平滑数据导入!$A$1:$AN$61,COLUMN(平滑数据导入!AF$1),0)</f>
        <v>7042.8553232289514</v>
      </c>
      <c r="BB48" s="90">
        <f>VLOOKUP($A48,平滑数据导入!$A$1:$AN$61,COLUMN(平滑数据导入!AG$1),0)</f>
        <v>7092.3236110152829</v>
      </c>
      <c r="BC48" s="90">
        <f>VLOOKUP($A48,平滑数据导入!$A$1:$AN$61,COLUMN(平滑数据导入!AH$1),0)</f>
        <v>7138.3172500476039</v>
      </c>
      <c r="BD48" s="101">
        <f>VLOOKUP($A48,平滑数据导入!$A$1:$AN$61,COLUMN(平滑数据导入!AI$1),0)</f>
        <v>7181.202710539279</v>
      </c>
      <c r="BE48" s="90">
        <f>VLOOKUP($A48,平滑数据导入!$A$1:$AN$61,COLUMN(平滑数据导入!AJ$1),0)</f>
        <v>7221.3613717585104</v>
      </c>
      <c r="BF48" s="90">
        <f>VLOOKUP($A48,平滑数据导入!$A$1:$AN$61,COLUMN(平滑数据导入!AK$1),0)</f>
        <v>7259.1878628384802</v>
      </c>
      <c r="BG48" s="90">
        <f>VLOOKUP($A48,平滑数据导入!$A$1:$AN$61,COLUMN(平滑数据导入!AL$1),0)</f>
        <v>7295.088603738378</v>
      </c>
      <c r="BH48" s="90">
        <f>VLOOKUP($A48,平滑数据导入!$A$1:$AN$61,COLUMN(平滑数据导入!AM$1),0)</f>
        <v>7329.4805623734173</v>
      </c>
      <c r="BI48" s="133">
        <f>VLOOKUP(A48,情景假设!$B$48:$S$88,18,0)/情景假设!S$47*BI$13</f>
        <v>7362.7902417532632</v>
      </c>
    </row>
    <row r="49" spans="1:61" x14ac:dyDescent="0.2">
      <c r="A49" s="30" t="s">
        <v>106</v>
      </c>
      <c r="B49" s="19"/>
      <c r="C49" s="20"/>
      <c r="D49" s="20"/>
      <c r="E49" s="20"/>
      <c r="F49" s="21"/>
      <c r="G49" s="19"/>
      <c r="H49" s="20"/>
      <c r="I49" s="20">
        <f>'增加值 (2001-2022, 当年价) '!I49*I$77</f>
        <v>531.34866320463868</v>
      </c>
      <c r="J49" s="20">
        <f>'增加值 (2001-2022, 当年价) '!J49*J$77</f>
        <v>533.40516151922805</v>
      </c>
      <c r="K49" s="21">
        <f>'增加值 (2001-2022, 当年价) '!K49*K$77</f>
        <v>607.09317693241007</v>
      </c>
      <c r="L49" s="19">
        <f>'增加值 (2001-2022, 当年价) '!L49*L$77</f>
        <v>691.26269950561482</v>
      </c>
      <c r="M49" s="20">
        <f>'增加值 (2001-2022, 当年价) '!M49*M$77</f>
        <v>704.14318496130761</v>
      </c>
      <c r="N49" s="20">
        <f>'增加值 (2001-2022, 当年价) '!N49*N$77</f>
        <v>684.29349662864342</v>
      </c>
      <c r="O49" s="20">
        <f>'增加值 (2001-2022, 当年价) '!O49*O$77</f>
        <v>690.16619562307301</v>
      </c>
      <c r="P49" s="20">
        <f>'增加值 (2001-2022, 当年价) '!P49*P$77</f>
        <v>694.70654126146223</v>
      </c>
      <c r="Q49" s="19">
        <f>'增加值 (2001-2022, 当年价) '!Q49*Q$77</f>
        <v>714.56325097556112</v>
      </c>
      <c r="R49" s="20">
        <f>'增加值 (2001-2022, 当年价) '!R49*R$77</f>
        <v>765.96223072374698</v>
      </c>
      <c r="S49" s="20">
        <f>'增加值 (2001-2022, 当年价) '!S49*S$77</f>
        <v>787.83551251096753</v>
      </c>
      <c r="T49" s="20">
        <f>'增加值 (2001-2022, 当年价) '!T49*T$77</f>
        <v>780.11423979679637</v>
      </c>
      <c r="U49" s="21">
        <f>'增加值 (2001-2022, 当年价) '!U49*U$77</f>
        <v>726.7325868770115</v>
      </c>
      <c r="V49" s="20">
        <f>'增加值 (2001-2022, 当年价) '!V49*V$77</f>
        <v>826.27948832290463</v>
      </c>
      <c r="W49" s="20">
        <f>'增加值 (2001-2022, 当年价) '!W49*W$77</f>
        <v>907.3493796355416</v>
      </c>
      <c r="X49" s="90">
        <f>VLOOKUP($A49,平滑数据导入!$A$1:$AN$61,COLUMN(平滑数据导入!C$1),0)</f>
        <v>941.68738539869457</v>
      </c>
      <c r="Y49" s="90">
        <f>VLOOKUP($A49,平滑数据导入!$A$1:$AN$61,COLUMN(平滑数据导入!D$1),0)</f>
        <v>972.44335395428664</v>
      </c>
      <c r="Z49" s="141">
        <f>VLOOKUP(A49,情景假设!$B$48:$S$88,14,0)/情景假设!O$47*Z$13</f>
        <v>999.69387054950323</v>
      </c>
      <c r="AA49" s="89">
        <f>VLOOKUP($A49,平滑数据导入!$A$1:$AN$61,COLUMN(平滑数据导入!F$1),0)</f>
        <v>1023.610439453898</v>
      </c>
      <c r="AB49" s="90">
        <f>VLOOKUP($A49,平滑数据导入!$A$1:$AN$61,COLUMN(平滑数据导入!G$1),0)</f>
        <v>1044.4487809360421</v>
      </c>
      <c r="AC49" s="90">
        <f>VLOOKUP($A49,平滑数据导入!$A$1:$AN$61,COLUMN(平滑数据导入!H$1),0)</f>
        <v>1062.5372279299779</v>
      </c>
      <c r="AD49" s="90">
        <f>VLOOKUP($A49,平滑数据导入!$A$1:$AN$61,COLUMN(平滑数据导入!I$1),0)</f>
        <v>1078.265062719302</v>
      </c>
      <c r="AE49" s="133">
        <f>VLOOKUP(A49,情景假设!$B$48:$S$88,15,0)/情景假设!P$47*AE$13</f>
        <v>1092.0715314954546</v>
      </c>
      <c r="AF49" s="90">
        <f>VLOOKUP($A49,平滑数据导入!$A$1:$AN$61,COLUMN(平滑数据导入!K$1),0)</f>
        <v>1104.340222516548</v>
      </c>
      <c r="AG49" s="90">
        <f>VLOOKUP($A49,平滑数据导入!$A$1:$AN$61,COLUMN(平滑数据导入!L$1),0)</f>
        <v>1115.095661742409</v>
      </c>
      <c r="AH49" s="90">
        <f>VLOOKUP($A49,平滑数据导入!$A$1:$AN$61,COLUMN(平滑数据导入!M$1),0)</f>
        <v>1124.274207341226</v>
      </c>
      <c r="AI49" s="90">
        <f>VLOOKUP($A49,平滑数据导入!$A$1:$AN$61,COLUMN(平滑数据导入!N$1),0)</f>
        <v>1131.8182905707049</v>
      </c>
      <c r="AJ49" s="141">
        <f>VLOOKUP(A49,情景假设!$B$48:$S$88,16,0)/情景假设!Q$47*AJ$13</f>
        <v>1137.6769581453987</v>
      </c>
      <c r="AK49" s="89">
        <f>VLOOKUP($A49,平滑数据导入!$A$1:$AN$61,COLUMN(平滑数据导入!P$1),0)</f>
        <v>1141.8214255856931</v>
      </c>
      <c r="AL49" s="90">
        <f>VLOOKUP($A49,平滑数据导入!$A$1:$AN$61,COLUMN(平滑数据导入!Q$1),0)</f>
        <v>1144.290938762673</v>
      </c>
      <c r="AM49" s="90">
        <f>VLOOKUP($A49,平滑数据导入!$A$1:$AN$61,COLUMN(平滑数据导入!R$1),0)</f>
        <v>1145.14787726081</v>
      </c>
      <c r="AN49" s="90">
        <f>VLOOKUP($A49,平滑数据导入!$A$1:$AN$61,COLUMN(平滑数据导入!S$1),0)</f>
        <v>1144.461864541453</v>
      </c>
      <c r="AO49" s="101">
        <f>VLOOKUP($A49,平滑数据导入!$A$1:$AN$61,COLUMN(平滑数据导入!T$1),0)</f>
        <v>1142.3087846127939</v>
      </c>
      <c r="AP49" s="90">
        <f>VLOOKUP($A49,平滑数据导入!$A$1:$AN$61,COLUMN(平滑数据导入!U$1),0)</f>
        <v>1138.7698028345651</v>
      </c>
      <c r="AQ49" s="90">
        <f>VLOOKUP($A49,平滑数据导入!$A$1:$AN$61,COLUMN(平滑数据导入!V$1),0)</f>
        <v>1133.9304041060459</v>
      </c>
      <c r="AR49" s="90">
        <f>VLOOKUP($A49,平滑数据导入!$A$1:$AN$61,COLUMN(平滑数据导入!W$1),0)</f>
        <v>1127.879460215968</v>
      </c>
      <c r="AS49" s="90">
        <f>VLOOKUP($A49,平滑数据导入!$A$1:$AN$61,COLUMN(平滑数据导入!X$1),0)</f>
        <v>1120.7083365890171</v>
      </c>
      <c r="AT49" s="90">
        <f>VLOOKUP($A49,平滑数据导入!$A$1:$AN$61,COLUMN(平滑数据导入!Y$1),0)</f>
        <v>1112.51004708815</v>
      </c>
      <c r="AU49" s="89">
        <f>VLOOKUP($A49,平滑数据导入!$A$1:$AN$61,COLUMN(平滑数据导入!Z$1),0)</f>
        <v>1103.378463963131</v>
      </c>
      <c r="AV49" s="90">
        <f>VLOOKUP($A49,平滑数据导入!$A$1:$AN$61,COLUMN(平滑数据导入!AA$1),0)</f>
        <v>1093.4075885067259</v>
      </c>
      <c r="AW49" s="90">
        <f>VLOOKUP($A49,平滑数据导入!$A$1:$AN$61,COLUMN(平滑数据导入!AB$1),0)</f>
        <v>1082.690886519516</v>
      </c>
      <c r="AX49" s="90">
        <f>VLOOKUP($A49,平滑数据导入!$A$1:$AN$61,COLUMN(平滑数据导入!AC$1),0)</f>
        <v>1071.320691315311</v>
      </c>
      <c r="AY49" s="133">
        <f>VLOOKUP(A49,情景假设!$B$48:$S$88,17,0)/情景假设!R$47*AY$13</f>
        <v>1059.3876757399962</v>
      </c>
      <c r="AZ49" s="89">
        <f>VLOOKUP($A49,平滑数据导入!$A$1:$AN$61,COLUMN(平滑数据导入!AE$1),0)</f>
        <v>1046.9803935407469</v>
      </c>
      <c r="BA49" s="90">
        <f>VLOOKUP($A49,平滑数据导入!$A$1:$AN$61,COLUMN(平滑数据导入!AF$1),0)</f>
        <v>1034.184889418384</v>
      </c>
      <c r="BB49" s="90">
        <f>VLOOKUP($A49,平滑数据导入!$A$1:$AN$61,COLUMN(平滑数据导入!AG$1),0)</f>
        <v>1021.084376228411</v>
      </c>
      <c r="BC49" s="90">
        <f>VLOOKUP($A49,平滑数据导入!$A$1:$AN$61,COLUMN(平滑数据导入!AH$1),0)</f>
        <v>1007.758977066588</v>
      </c>
      <c r="BD49" s="101">
        <f>VLOOKUP($A49,平滑数据导入!$A$1:$AN$61,COLUMN(平滑数据导入!AI$1),0)</f>
        <v>994.28552938090843</v>
      </c>
      <c r="BE49" s="90">
        <f>VLOOKUP($A49,平滑数据导入!$A$1:$AN$61,COLUMN(平滑数据导入!AJ$1),0)</f>
        <v>980.73744778887465</v>
      </c>
      <c r="BF49" s="90">
        <f>VLOOKUP($A49,平滑数据导入!$A$1:$AN$61,COLUMN(平滑数据导入!AK$1),0)</f>
        <v>967.18464194016906</v>
      </c>
      <c r="BG49" s="90">
        <f>VLOOKUP($A49,平滑数据导入!$A$1:$AN$61,COLUMN(平滑数据导入!AL$1),0)</f>
        <v>953.69348554182591</v>
      </c>
      <c r="BH49" s="90">
        <f>VLOOKUP($A49,平滑数据导入!$A$1:$AN$61,COLUMN(平滑数据导入!AM$1),0)</f>
        <v>940.3268325465416</v>
      </c>
      <c r="BI49" s="133">
        <f>VLOOKUP(A49,情景假设!$B$48:$S$88,18,0)/情景假设!S$47*BI$13</f>
        <v>927.1440764843768</v>
      </c>
    </row>
    <row r="50" spans="1:61" x14ac:dyDescent="0.2">
      <c r="A50" s="30" t="s">
        <v>47</v>
      </c>
      <c r="B50" s="19"/>
      <c r="C50" s="20"/>
      <c r="D50" s="20"/>
      <c r="E50" s="20"/>
      <c r="F50" s="21"/>
      <c r="G50" s="19"/>
      <c r="H50" s="20"/>
      <c r="I50" s="20">
        <f>'增加值 (2001-2022, 当年价) '!I50*I$77</f>
        <v>277.82138277902817</v>
      </c>
      <c r="J50" s="20">
        <f>'增加值 (2001-2022, 当年价) '!J50*J$77</f>
        <v>339.99581571765185</v>
      </c>
      <c r="K50" s="21">
        <f>'增加值 (2001-2022, 当年价) '!K50*K$77</f>
        <v>419.65234009725702</v>
      </c>
      <c r="L50" s="19">
        <f>'增加值 (2001-2022, 当年价) '!L50*L$77</f>
        <v>470.17292912503825</v>
      </c>
      <c r="M50" s="20">
        <f>'增加值 (2001-2022, 当年价) '!M50*M$77</f>
        <v>515.18952431708408</v>
      </c>
      <c r="N50" s="20">
        <f>'增加值 (2001-2022, 当年价) '!N50*N$77</f>
        <v>564.77911820922452</v>
      </c>
      <c r="O50" s="20">
        <f>'增加值 (2001-2022, 当年价) '!O50*O$77</f>
        <v>630.81220526617665</v>
      </c>
      <c r="P50" s="20">
        <f>'增加值 (2001-2022, 当年价) '!P50*P$77</f>
        <v>720.54132717818436</v>
      </c>
      <c r="Q50" s="19">
        <f>'增加值 (2001-2022, 当年价) '!Q50*Q$77</f>
        <v>760.82510418843708</v>
      </c>
      <c r="R50" s="20">
        <f>'增加值 (2001-2022, 当年价) '!R50*R$77</f>
        <v>780.89655528325477</v>
      </c>
      <c r="S50" s="20">
        <f>'增加值 (2001-2022, 当年价) '!S50*S$77</f>
        <v>810.97168640436632</v>
      </c>
      <c r="T50" s="20">
        <f>'增加值 (2001-2022, 当年价) '!T50*T$77</f>
        <v>884.34251709928117</v>
      </c>
      <c r="U50" s="21">
        <f>'增加值 (2001-2022, 当年价) '!U50*U$77</f>
        <v>878.57955136179089</v>
      </c>
      <c r="V50" s="20">
        <f>'增加值 (2001-2022, 当年价) '!V50*V$77</f>
        <v>1191.0274591227624</v>
      </c>
      <c r="W50" s="20">
        <f>'增加值 (2001-2022, 当年价) '!W50*W$77</f>
        <v>1483.3175160522719</v>
      </c>
      <c r="X50" s="90">
        <f>VLOOKUP($A50,平滑数据导入!$A$1:$AN$61,COLUMN(平滑数据导入!C$1),0)</f>
        <v>1586.7963251492431</v>
      </c>
      <c r="Y50" s="90">
        <f>VLOOKUP($A50,平滑数据导入!$A$1:$AN$61,COLUMN(平滑数据导入!D$1),0)</f>
        <v>1706.5051396771839</v>
      </c>
      <c r="Z50" s="141">
        <f>VLOOKUP(A50,情景假设!$B$48:$S$88,14,0)/情景假设!O$47*Z$13</f>
        <v>1842.5566629645907</v>
      </c>
      <c r="AA50" s="89">
        <f>VLOOKUP($A50,平滑数据导入!$A$1:$AN$61,COLUMN(平滑数据导入!F$1),0)</f>
        <v>1994.7497731922949</v>
      </c>
      <c r="AB50" s="90">
        <f>VLOOKUP($A50,平滑数据导入!$A$1:$AN$61,COLUMN(平滑数据导入!G$1),0)</f>
        <v>2162.4087999522508</v>
      </c>
      <c r="AC50" s="90">
        <f>VLOOKUP($A50,平滑数据导入!$A$1:$AN$61,COLUMN(平滑数据导入!H$1),0)</f>
        <v>2344.2097217650798</v>
      </c>
      <c r="AD50" s="90">
        <f>VLOOKUP($A50,平滑数据导入!$A$1:$AN$61,COLUMN(平滑数据导入!I$1),0)</f>
        <v>2538.0016233514748</v>
      </c>
      <c r="AE50" s="133">
        <f>VLOOKUP(A50,情景假设!$B$48:$S$88,15,0)/情景假设!P$47*AE$13</f>
        <v>2740.6374118703829</v>
      </c>
      <c r="AF50" s="90">
        <f>VLOOKUP($A50,平滑数据导入!$A$1:$AN$61,COLUMN(平滑数据导入!K$1),0)</f>
        <v>2948.5832664211171</v>
      </c>
      <c r="AG50" s="90">
        <f>VLOOKUP($A50,平滑数据导入!$A$1:$AN$61,COLUMN(平滑数据导入!L$1),0)</f>
        <v>3160.5071721351228</v>
      </c>
      <c r="AH50" s="90">
        <f>VLOOKUP($A50,平滑数据导入!$A$1:$AN$61,COLUMN(平滑数据导入!M$1),0)</f>
        <v>3375.76001815257</v>
      </c>
      <c r="AI50" s="90">
        <f>VLOOKUP($A50,平滑数据导入!$A$1:$AN$61,COLUMN(平滑数据导入!N$1),0)</f>
        <v>3593.7476966837648</v>
      </c>
      <c r="AJ50" s="141">
        <f>VLOOKUP(A50,情景假设!$B$48:$S$88,16,0)/情景假设!Q$47*AJ$13</f>
        <v>3813.9471259917295</v>
      </c>
      <c r="AK50" s="89">
        <f>VLOOKUP($A50,平滑数据导入!$A$1:$AN$61,COLUMN(平滑数据导入!P$1),0)</f>
        <v>4035.8358173130532</v>
      </c>
      <c r="AL50" s="90">
        <f>VLOOKUP($A50,平滑数据导入!$A$1:$AN$61,COLUMN(平滑数据导入!Q$1),0)</f>
        <v>4258.612090450416</v>
      </c>
      <c r="AM50" s="90">
        <f>VLOOKUP($A50,平滑数据导入!$A$1:$AN$61,COLUMN(平滑数据导入!R$1),0)</f>
        <v>4481.395950922978</v>
      </c>
      <c r="AN50" s="90">
        <f>VLOOKUP($A50,平滑数据导入!$A$1:$AN$61,COLUMN(平滑数据导入!S$1),0)</f>
        <v>4703.3150026440408</v>
      </c>
      <c r="AO50" s="101">
        <f>VLOOKUP($A50,平滑数据导入!$A$1:$AN$61,COLUMN(平滑数据导入!T$1),0)</f>
        <v>4923.5142794994481</v>
      </c>
      <c r="AP50" s="90">
        <f>VLOOKUP($A50,平滑数据导入!$A$1:$AN$61,COLUMN(平滑数据导入!U$1),0)</f>
        <v>5141.1656326988086</v>
      </c>
      <c r="AQ50" s="90">
        <f>VLOOKUP($A50,平滑数据导入!$A$1:$AN$61,COLUMN(平滑数据导入!V$1),0)</f>
        <v>5355.4765282749813</v>
      </c>
      <c r="AR50" s="90">
        <f>VLOOKUP($A50,平滑数据导入!$A$1:$AN$61,COLUMN(平滑数据导入!W$1),0)</f>
        <v>5565.6981285655456</v>
      </c>
      <c r="AS50" s="90">
        <f>VLOOKUP($A50,平滑数据导入!$A$1:$AN$61,COLUMN(平滑数据导入!X$1),0)</f>
        <v>5771.132553004335</v>
      </c>
      <c r="AT50" s="90">
        <f>VLOOKUP($A50,平滑数据导入!$A$1:$AN$61,COLUMN(平滑数据导入!Y$1),0)</f>
        <v>5971.1392363436607</v>
      </c>
      <c r="AU50" s="89">
        <f>VLOOKUP($A50,平滑数据导入!$A$1:$AN$61,COLUMN(平滑数据导入!Z$1),0)</f>
        <v>6165.1403257949614</v>
      </c>
      <c r="AV50" s="90">
        <f>VLOOKUP($A50,平滑数据导入!$A$1:$AN$61,COLUMN(平滑数据导入!AA$1),0)</f>
        <v>6352.6250818344824</v>
      </c>
      <c r="AW50" s="90">
        <f>VLOOKUP($A50,平滑数据导入!$A$1:$AN$61,COLUMN(平滑数据导入!AB$1),0)</f>
        <v>6533.1532699505688</v>
      </c>
      <c r="AX50" s="90">
        <f>VLOOKUP($A50,平滑数据导入!$A$1:$AN$61,COLUMN(平滑数据导入!AC$1),0)</f>
        <v>6706.3575518638008</v>
      </c>
      <c r="AY50" s="133">
        <f>VLOOKUP(A50,情景假设!$B$48:$S$88,17,0)/情景假设!R$47*AY$13</f>
        <v>6871.9449042753276</v>
      </c>
      <c r="AZ50" s="89">
        <f>VLOOKUP($A50,平滑数据导入!$A$1:$AN$61,COLUMN(平滑数据导入!AE$1),0)</f>
        <v>7029.6971106308347</v>
      </c>
      <c r="BA50" s="90">
        <f>VLOOKUP($A50,平滑数据导入!$A$1:$AN$61,COLUMN(平滑数据导入!AF$1),0)</f>
        <v>7179.4703864652693</v>
      </c>
      <c r="BB50" s="90">
        <f>VLOOKUP($A50,平滑数据导入!$A$1:$AN$61,COLUMN(平滑数据导入!AG$1),0)</f>
        <v>7321.1942114514623</v>
      </c>
      <c r="BC50" s="90">
        <f>VLOOKUP($A50,平滑数据导入!$A$1:$AN$61,COLUMN(平滑数据导入!AH$1),0)</f>
        <v>7454.8694512384918</v>
      </c>
      <c r="BD50" s="101">
        <f>VLOOKUP($A50,平滑数据导入!$A$1:$AN$61,COLUMN(平滑数据导入!AI$1),0)</f>
        <v>7580.565859548029</v>
      </c>
      <c r="BE50" s="90">
        <f>VLOOKUP($A50,平滑数据导入!$A$1:$AN$61,COLUMN(平滑数据导入!AJ$1),0)</f>
        <v>7698.4190558796399</v>
      </c>
      <c r="BF50" s="90">
        <f>VLOOKUP($A50,平滑数据导入!$A$1:$AN$61,COLUMN(平滑数据导入!AK$1),0)</f>
        <v>7808.627076715059</v>
      </c>
      <c r="BG50" s="90">
        <f>VLOOKUP($A50,平滑数据导入!$A$1:$AN$61,COLUMN(平滑数据导入!AL$1),0)</f>
        <v>7911.4465985029328</v>
      </c>
      <c r="BH50" s="90">
        <f>VLOOKUP($A50,平滑数据导入!$A$1:$AN$61,COLUMN(平滑数据导入!AM$1),0)</f>
        <v>8007.1889291960388</v>
      </c>
      <c r="BI50" s="133">
        <f>VLOOKUP(A50,情景假设!$B$48:$S$88,18,0)/情景假设!S$47*BI$13</f>
        <v>8096.2158619680977</v>
      </c>
    </row>
    <row r="51" spans="1:61" x14ac:dyDescent="0.2">
      <c r="A51" s="30" t="s">
        <v>107</v>
      </c>
      <c r="B51" s="19"/>
      <c r="C51" s="20"/>
      <c r="D51" s="20"/>
      <c r="E51" s="20"/>
      <c r="F51" s="21"/>
      <c r="G51" s="19"/>
      <c r="H51" s="20"/>
      <c r="I51" s="20">
        <f>'增加值 (2001-2022, 当年价) '!I51*I$77</f>
        <v>163.00121187963498</v>
      </c>
      <c r="J51" s="20">
        <f>'增加值 (2001-2022, 当年价) '!J51*J$77</f>
        <v>169.9672234422103</v>
      </c>
      <c r="K51" s="21">
        <f>'增加值 (2001-2022, 当年价) '!K51*K$77</f>
        <v>196.4186255294118</v>
      </c>
      <c r="L51" s="19">
        <f>'增加值 (2001-2022, 当年价) '!L51*L$77</f>
        <v>222.32964722611601</v>
      </c>
      <c r="M51" s="20">
        <f>'增加值 (2001-2022, 当年价) '!M51*M$77</f>
        <v>236.20857147082742</v>
      </c>
      <c r="N51" s="20">
        <f>'增加值 (2001-2022, 当年价) '!N51*N$77</f>
        <v>259.16922848586364</v>
      </c>
      <c r="O51" s="20">
        <f>'增加值 (2001-2022, 当年价) '!O51*O$77</f>
        <v>278.53808139535778</v>
      </c>
      <c r="P51" s="20">
        <f>'增加值 (2001-2022, 当年价) '!P51*P$77</f>
        <v>287.50526069023118</v>
      </c>
      <c r="Q51" s="19">
        <f>'增加值 (2001-2022, 当年价) '!Q51*Q$77</f>
        <v>298.80928044207468</v>
      </c>
      <c r="R51" s="20">
        <f>'增加值 (2001-2022, 当年价) '!R51*R$77</f>
        <v>332.09867260573429</v>
      </c>
      <c r="S51" s="20">
        <f>'增加值 (2001-2022, 当年价) '!S51*S$77</f>
        <v>369.0279075690683</v>
      </c>
      <c r="T51" s="20">
        <f>'增加值 (2001-2022, 当年价) '!T51*T$77</f>
        <v>405.26130946507971</v>
      </c>
      <c r="U51" s="21">
        <f>'增加值 (2001-2022, 当年价) '!U51*U$77</f>
        <v>379.09823240746709</v>
      </c>
      <c r="V51" s="20">
        <f>'增加值 (2001-2022, 当年价) '!V51*V$77</f>
        <v>416.42224208501489</v>
      </c>
      <c r="W51" s="20">
        <f>'增加值 (2001-2022, 当年价) '!W51*W$77</f>
        <v>474.62286420659473</v>
      </c>
      <c r="X51" s="90">
        <f>VLOOKUP($A51,平滑数据导入!$A$1:$AN$61,COLUMN(平滑数据导入!C$1),0)</f>
        <v>500.17571763878033</v>
      </c>
      <c r="Y51" s="90">
        <f>VLOOKUP($A51,平滑数据导入!$A$1:$AN$61,COLUMN(平滑数据导入!D$1),0)</f>
        <v>523.74412336160742</v>
      </c>
      <c r="Z51" s="141">
        <f>VLOOKUP(A51,情景假设!$B$48:$S$88,14,0)/情景假设!O$47*Z$13</f>
        <v>545.28989121011773</v>
      </c>
      <c r="AA51" s="89">
        <f>VLOOKUP($A51,平滑数据导入!$A$1:$AN$61,COLUMN(平滑数据导入!F$1),0)</f>
        <v>564.85446788227046</v>
      </c>
      <c r="AB51" s="90">
        <f>VLOOKUP($A51,平滑数据导入!$A$1:$AN$61,COLUMN(平滑数据导入!G$1),0)</f>
        <v>582.55326604811387</v>
      </c>
      <c r="AC51" s="90">
        <f>VLOOKUP($A51,平滑数据导入!$A$1:$AN$61,COLUMN(平滑数据导入!H$1),0)</f>
        <v>598.56839182871158</v>
      </c>
      <c r="AD51" s="90">
        <f>VLOOKUP($A51,平滑数据导入!$A$1:$AN$61,COLUMN(平滑数据导入!I$1),0)</f>
        <v>613.14063081403606</v>
      </c>
      <c r="AE51" s="133">
        <f>VLOOKUP(A51,情景假设!$B$48:$S$88,15,0)/情景假设!P$47*AE$13</f>
        <v>626.56149942110687</v>
      </c>
      <c r="AF51" s="90">
        <f>VLOOKUP($A51,平滑数据导入!$A$1:$AN$61,COLUMN(平滑数据导入!K$1),0)</f>
        <v>639.0949291026435</v>
      </c>
      <c r="AG51" s="90">
        <f>VLOOKUP($A51,平滑数据导入!$A$1:$AN$61,COLUMN(平滑数据导入!L$1),0)</f>
        <v>650.74744389608952</v>
      </c>
      <c r="AH51" s="90">
        <f>VLOOKUP($A51,平滑数据导入!$A$1:$AN$61,COLUMN(平滑数据导入!M$1),0)</f>
        <v>661.46067539287424</v>
      </c>
      <c r="AI51" s="90">
        <f>VLOOKUP($A51,平滑数据导入!$A$1:$AN$61,COLUMN(平滑数据导入!N$1),0)</f>
        <v>671.18010703370987</v>
      </c>
      <c r="AJ51" s="141">
        <f>VLOOKUP(A51,情景假设!$B$48:$S$88,16,0)/情景假设!Q$47*AJ$13</f>
        <v>679.85553277435372</v>
      </c>
      <c r="AK51" s="89">
        <f>VLOOKUP($A51,平滑数据导入!$A$1:$AN$61,COLUMN(平滑数据导入!P$1),0)</f>
        <v>687.44946183230138</v>
      </c>
      <c r="AL51" s="90">
        <f>VLOOKUP($A51,平滑数据导入!$A$1:$AN$61,COLUMN(平滑数据导入!Q$1),0)</f>
        <v>693.96204179113886</v>
      </c>
      <c r="AM51" s="90">
        <f>VLOOKUP($A51,平滑数据导入!$A$1:$AN$61,COLUMN(平滑数据导入!R$1),0)</f>
        <v>699.40819109883944</v>
      </c>
      <c r="AN51" s="90">
        <f>VLOOKUP($A51,平滑数据导入!$A$1:$AN$61,COLUMN(平滑数据导入!S$1),0)</f>
        <v>703.8093451079344</v>
      </c>
      <c r="AO51" s="101">
        <f>VLOOKUP($A51,平滑数据导入!$A$1:$AN$61,COLUMN(平滑数据导入!T$1),0)</f>
        <v>707.19294438452459</v>
      </c>
      <c r="AP51" s="90">
        <f>VLOOKUP($A51,平滑数据导入!$A$1:$AN$61,COLUMN(平滑数据导入!U$1),0)</f>
        <v>709.5918893375291</v>
      </c>
      <c r="AQ51" s="90">
        <f>VLOOKUP($A51,平滑数据导入!$A$1:$AN$61,COLUMN(平滑数据导入!V$1),0)</f>
        <v>711.04397170179982</v>
      </c>
      <c r="AR51" s="90">
        <f>VLOOKUP($A51,平滑数据导入!$A$1:$AN$61,COLUMN(平滑数据导入!W$1),0)</f>
        <v>711.59129292141938</v>
      </c>
      <c r="AS51" s="90">
        <f>VLOOKUP($A51,平滑数据导入!$A$1:$AN$61,COLUMN(平滑数据导入!X$1),0)</f>
        <v>711.27967883926294</v>
      </c>
      <c r="AT51" s="90">
        <f>VLOOKUP($A51,平滑数据导入!$A$1:$AN$61,COLUMN(平滑数据导入!Y$1),0)</f>
        <v>710.15809933691389</v>
      </c>
      <c r="AU51" s="89">
        <f>VLOOKUP($A51,平滑数据导入!$A$1:$AN$61,COLUMN(平滑数据导入!Z$1),0)</f>
        <v>708.27810071585714</v>
      </c>
      <c r="AV51" s="90">
        <f>VLOOKUP($A51,平滑数据导入!$A$1:$AN$61,COLUMN(平滑数据导入!AA$1),0)</f>
        <v>705.69325769613124</v>
      </c>
      <c r="AW51" s="90">
        <f>VLOOKUP($A51,平滑数据导入!$A$1:$AN$61,COLUMN(平滑数据导入!AB$1),0)</f>
        <v>702.45865095983083</v>
      </c>
      <c r="AX51" s="90">
        <f>VLOOKUP($A51,平滑数据导入!$A$1:$AN$61,COLUMN(平滑数据导入!AC$1),0)</f>
        <v>698.63037520938803</v>
      </c>
      <c r="AY51" s="133">
        <f>VLOOKUP(A51,情景假设!$B$48:$S$88,17,0)/情景假设!R$47*AY$13</f>
        <v>694.2650817666846</v>
      </c>
      <c r="AZ51" s="89">
        <f>VLOOKUP($A51,平滑数据导入!$A$1:$AN$61,COLUMN(平滑数据导入!AE$1),0)</f>
        <v>689.419558828238</v>
      </c>
      <c r="BA51" s="90">
        <f>VLOOKUP($A51,平滑数据导入!$A$1:$AN$61,COLUMN(平滑数据导入!AF$1),0)</f>
        <v>684.15035163007565</v>
      </c>
      <c r="BB51" s="90">
        <f>VLOOKUP($A51,平滑数据导入!$A$1:$AN$61,COLUMN(平滑数据导入!AG$1),0)</f>
        <v>678.51342397644578</v>
      </c>
      <c r="BC51" s="90">
        <f>VLOOKUP($A51,平滑数据导入!$A$1:$AN$61,COLUMN(平滑数据导入!AH$1),0)</f>
        <v>672.56386185918291</v>
      </c>
      <c r="BD51" s="101">
        <f>VLOOKUP($A51,平滑数据导入!$A$1:$AN$61,COLUMN(平滑数据导入!AI$1),0)</f>
        <v>666.35561924624028</v>
      </c>
      <c r="BE51" s="90">
        <f>VLOOKUP($A51,平滑数据导入!$A$1:$AN$61,COLUMN(平滑数据导入!AJ$1),0)</f>
        <v>659.9413055530332</v>
      </c>
      <c r="BF51" s="90">
        <f>VLOOKUP($A51,平滑数据导入!$A$1:$AN$61,COLUMN(平滑数据导入!AK$1),0)</f>
        <v>653.37201383067645</v>
      </c>
      <c r="BG51" s="90">
        <f>VLOOKUP($A51,平滑数据导入!$A$1:$AN$61,COLUMN(平滑数据导入!AL$1),0)</f>
        <v>646.697188310809</v>
      </c>
      <c r="BH51" s="90">
        <f>VLOOKUP($A51,平滑数据导入!$A$1:$AN$61,COLUMN(平滑数据导入!AM$1),0)</f>
        <v>639.96452963565071</v>
      </c>
      <c r="BI51" s="133">
        <f>VLOOKUP(A51,情景假设!$B$48:$S$88,18,0)/情景假设!S$47*BI$13</f>
        <v>633.2199358708358</v>
      </c>
    </row>
    <row r="52" spans="1:61" x14ac:dyDescent="0.2">
      <c r="A52" s="30" t="s">
        <v>108</v>
      </c>
      <c r="B52" s="19"/>
      <c r="C52" s="20"/>
      <c r="D52" s="20"/>
      <c r="E52" s="20"/>
      <c r="F52" s="21"/>
      <c r="G52" s="19"/>
      <c r="H52" s="20"/>
      <c r="I52" s="20">
        <f>'增加值 (2001-2022, 当年价) '!I52*I$77</f>
        <v>10649.638711539816</v>
      </c>
      <c r="J52" s="20">
        <f>'增加值 (2001-2022, 当年价) '!J52*J$77</f>
        <v>10700.951638142691</v>
      </c>
      <c r="K52" s="21">
        <f>'增加值 (2001-2022, 当年价) '!K52*K$77</f>
        <v>11534.955049889852</v>
      </c>
      <c r="L52" s="19">
        <f>'增加值 (2001-2022, 当年价) '!L52*L$77</f>
        <v>12203.169573535575</v>
      </c>
      <c r="M52" s="20">
        <f>'增加值 (2001-2022, 当年价) '!M52*M$77</f>
        <v>12198.207729660531</v>
      </c>
      <c r="N52" s="20">
        <f>'增加值 (2001-2022, 当年价) '!N52*N$77</f>
        <v>12306.267191958539</v>
      </c>
      <c r="O52" s="20">
        <f>'增加值 (2001-2022, 当年价) '!O52*O$77</f>
        <v>12057.930249434579</v>
      </c>
      <c r="P52" s="20">
        <f>'增加值 (2001-2022, 当年价) '!P52*P$77</f>
        <v>11496.645752598572</v>
      </c>
      <c r="Q52" s="19">
        <f>'增加值 (2001-2022, 当年价) '!Q52*Q$77</f>
        <v>11757.936502161634</v>
      </c>
      <c r="R52" s="20">
        <f>'增加值 (2001-2022, 当年价) '!R52*R$77</f>
        <v>12829.820765210363</v>
      </c>
      <c r="S52" s="20">
        <f>'增加值 (2001-2022, 当年价) '!S52*S$77</f>
        <v>14000.998845353402</v>
      </c>
      <c r="T52" s="20">
        <f>'增加值 (2001-2022, 当年价) '!T52*T$77</f>
        <v>14376.753818674912</v>
      </c>
      <c r="U52" s="21">
        <f>'增加值 (2001-2022, 当年价) '!U52*U$77</f>
        <v>14171.804811655176</v>
      </c>
      <c r="V52" s="20">
        <f>'增加值 (2001-2022, 当年价) '!V52*V$77</f>
        <v>16363.884569742619</v>
      </c>
      <c r="W52" s="20">
        <f>'增加值 (2001-2022, 当年价) '!W52*W$77</f>
        <v>17470.728074872739</v>
      </c>
      <c r="X52" s="90">
        <f>VLOOKUP($A52,平滑数据导入!$A$1:$AN$61,COLUMN(平滑数据导入!C$1),0)</f>
        <v>18456.129930863131</v>
      </c>
      <c r="Y52" s="90">
        <f>VLOOKUP($A52,平滑数据导入!$A$1:$AN$61,COLUMN(平滑数据导入!D$1),0)</f>
        <v>19523.374045715162</v>
      </c>
      <c r="Z52" s="141">
        <f>VLOOKUP(A52,情景假设!$B$48:$S$88,14,0)/情景假设!O$47*Z$13</f>
        <v>20664.45634347801</v>
      </c>
      <c r="AA52" s="89">
        <f>VLOOKUP($A52,平滑数据导入!$A$1:$AN$61,COLUMN(平滑数据导入!F$1),0)</f>
        <v>21868.461881668609</v>
      </c>
      <c r="AB52" s="90">
        <f>VLOOKUP($A52,平滑数据导入!$A$1:$AN$61,COLUMN(平滑数据导入!G$1),0)</f>
        <v>23121.068948838809</v>
      </c>
      <c r="AC52" s="90">
        <f>VLOOKUP($A52,平滑数据导入!$A$1:$AN$61,COLUMN(平滑数据导入!H$1),0)</f>
        <v>24404.126543201452</v>
      </c>
      <c r="AD52" s="90">
        <f>VLOOKUP($A52,平滑数据导入!$A$1:$AN$61,COLUMN(平滑数据导入!I$1),0)</f>
        <v>25695.352996942642</v>
      </c>
      <c r="AE52" s="133">
        <f>VLOOKUP(A52,情景假设!$B$48:$S$88,15,0)/情景假设!P$47*AE$13</f>
        <v>26968.211203618961</v>
      </c>
      <c r="AF52" s="90">
        <f>VLOOKUP($A52,平滑数据导入!$A$1:$AN$61,COLUMN(平滑数据导入!K$1),0)</f>
        <v>28195.972068100651</v>
      </c>
      <c r="AG52" s="90">
        <f>VLOOKUP($A52,平滑数据导入!$A$1:$AN$61,COLUMN(平滑数据导入!L$1),0)</f>
        <v>29365.27173680226</v>
      </c>
      <c r="AH52" s="90">
        <f>VLOOKUP($A52,平滑数据导入!$A$1:$AN$61,COLUMN(平滑数据导入!M$1),0)</f>
        <v>30466.91738463553</v>
      </c>
      <c r="AI52" s="90">
        <f>VLOOKUP($A52,平滑数据导入!$A$1:$AN$61,COLUMN(平滑数据导入!N$1),0)</f>
        <v>31492.421936528081</v>
      </c>
      <c r="AJ52" s="141">
        <f>VLOOKUP(A52,情景假设!$B$48:$S$88,16,0)/情景假设!Q$47*AJ$13</f>
        <v>32434.124608891998</v>
      </c>
      <c r="AK52" s="89">
        <f>VLOOKUP($A52,平滑数据导入!$A$1:$AN$61,COLUMN(平滑数据导入!P$1),0)</f>
        <v>33286.237749544911</v>
      </c>
      <c r="AL52" s="90">
        <f>VLOOKUP($A52,平滑数据导入!$A$1:$AN$61,COLUMN(平滑数据导入!Q$1),0)</f>
        <v>34047.934553269697</v>
      </c>
      <c r="AM52" s="90">
        <f>VLOOKUP($A52,平滑数据导入!$A$1:$AN$61,COLUMN(平滑数据导入!R$1),0)</f>
        <v>34720.806428201176</v>
      </c>
      <c r="AN52" s="90">
        <f>VLOOKUP($A52,平滑数据导入!$A$1:$AN$61,COLUMN(平滑数据导入!S$1),0)</f>
        <v>35307.847967730188</v>
      </c>
      <c r="AO52" s="101">
        <f>VLOOKUP($A52,平滑数据导入!$A$1:$AN$61,COLUMN(平滑数据导入!T$1),0)</f>
        <v>35813.316858946368</v>
      </c>
      <c r="AP52" s="90">
        <f>VLOOKUP($A52,平滑数据导入!$A$1:$AN$61,COLUMN(平滑数据导入!U$1),0)</f>
        <v>36242.58249834468</v>
      </c>
      <c r="AQ52" s="90">
        <f>VLOOKUP($A52,平滑数据导入!$A$1:$AN$61,COLUMN(平滑数据导入!V$1),0)</f>
        <v>36601.970076192869</v>
      </c>
      <c r="AR52" s="90">
        <f>VLOOKUP($A52,平滑数据导入!$A$1:$AN$61,COLUMN(平滑数据导入!W$1),0)</f>
        <v>36898.606268784861</v>
      </c>
      <c r="AS52" s="90">
        <f>VLOOKUP($A52,平滑数据导入!$A$1:$AN$61,COLUMN(平滑数据导入!X$1),0)</f>
        <v>37140.271915643338</v>
      </c>
      <c r="AT52" s="90">
        <f>VLOOKUP($A52,平滑数据导入!$A$1:$AN$61,COLUMN(平滑数据导入!Y$1),0)</f>
        <v>37335.266222747079</v>
      </c>
      <c r="AU52" s="89">
        <f>VLOOKUP($A52,平滑数据导入!$A$1:$AN$61,COLUMN(平滑数据导入!Z$1),0)</f>
        <v>37492.286182696298</v>
      </c>
      <c r="AV52" s="90">
        <f>VLOOKUP($A52,平滑数据导入!$A$1:$AN$61,COLUMN(平滑数据导入!AA$1),0)</f>
        <v>37620.324089446724</v>
      </c>
      <c r="AW52" s="90">
        <f>VLOOKUP($A52,平滑数据导入!$A$1:$AN$61,COLUMN(平滑数据导入!AB$1),0)</f>
        <v>37728.585290384202</v>
      </c>
      <c r="AX52" s="90">
        <f>VLOOKUP($A52,平滑数据导入!$A$1:$AN$61,COLUMN(平滑数据导入!AC$1),0)</f>
        <v>37826.427694058308</v>
      </c>
      <c r="AY52" s="133">
        <f>VLOOKUP(A52,情景假设!$B$48:$S$88,17,0)/情景假设!R$47*AY$13</f>
        <v>37923.324061087442</v>
      </c>
      <c r="AZ52" s="89">
        <f>VLOOKUP($A52,平滑数据导入!$A$1:$AN$61,COLUMN(平滑数据导入!AE$1),0)</f>
        <v>38028.847764399659</v>
      </c>
      <c r="BA52" s="90">
        <f>VLOOKUP($A52,平滑数据导入!$A$1:$AN$61,COLUMN(平滑数据导入!AF$1),0)</f>
        <v>38152.682523294337</v>
      </c>
      <c r="BB52" s="90">
        <f>VLOOKUP($A52,平滑数据导入!$A$1:$AN$61,COLUMN(平滑数据导入!AG$1),0)</f>
        <v>38304.656600419803</v>
      </c>
      <c r="BC52" s="90">
        <f>VLOOKUP($A52,平滑数据导入!$A$1:$AN$61,COLUMN(平滑数据导入!AH$1),0)</f>
        <v>38494.802106936069</v>
      </c>
      <c r="BD52" s="101">
        <f>VLOOKUP($A52,平滑数据导入!$A$1:$AN$61,COLUMN(平滑数据导入!AI$1),0)</f>
        <v>38733.440395135403</v>
      </c>
      <c r="BE52" s="90">
        <f>VLOOKUP($A52,平滑数据导入!$A$1:$AN$61,COLUMN(平滑数据导入!AJ$1),0)</f>
        <v>39031.295039331737</v>
      </c>
      <c r="BF52" s="90">
        <f>VLOOKUP($A52,平滑数据导入!$A$1:$AN$61,COLUMN(平滑数据导入!AK$1),0)</f>
        <v>39399.634630648558</v>
      </c>
      <c r="BG52" s="90">
        <f>VLOOKUP($A52,平滑数据导入!$A$1:$AN$61,COLUMN(平滑数据导入!AL$1),0)</f>
        <v>39850.448564128143</v>
      </c>
      <c r="BH52" s="90">
        <f>VLOOKUP($A52,平滑数据导入!$A$1:$AN$61,COLUMN(平滑数据导入!AM$1),0)</f>
        <v>40396.660214313029</v>
      </c>
      <c r="BI52" s="133">
        <f>VLOOKUP(A52,情景假设!$B$48:$S$88,18,0)/情景假设!S$47*BI$13</f>
        <v>41052.38343139783</v>
      </c>
    </row>
    <row r="53" spans="1:61" x14ac:dyDescent="0.2">
      <c r="A53" s="30" t="s">
        <v>109</v>
      </c>
      <c r="B53" s="19"/>
      <c r="C53" s="20"/>
      <c r="D53" s="20"/>
      <c r="E53" s="20"/>
      <c r="F53" s="21"/>
      <c r="G53" s="19"/>
      <c r="H53" s="20"/>
      <c r="I53" s="20">
        <f>'增加值 (2001-2022, 当年价) '!I53*I$77</f>
        <v>635.44685597040052</v>
      </c>
      <c r="J53" s="20">
        <f>'增加值 (2001-2022, 当年价) '!J53*J$77</f>
        <v>690.31214519662922</v>
      </c>
      <c r="K53" s="21">
        <f>'增加值 (2001-2022, 当年价) '!K53*K$77</f>
        <v>790.36890513133335</v>
      </c>
      <c r="L53" s="19">
        <f>'增加值 (2001-2022, 当年价) '!L53*L$77</f>
        <v>858.93810846948372</v>
      </c>
      <c r="M53" s="20">
        <f>'增加值 (2001-2022, 当年价) '!M53*M$77</f>
        <v>913.37500817935734</v>
      </c>
      <c r="N53" s="20">
        <f>'增加值 (2001-2022, 当年价) '!N53*N$77</f>
        <v>1018.6453797166182</v>
      </c>
      <c r="O53" s="20">
        <f>'增加值 (2001-2022, 当年价) '!O53*O$77</f>
        <v>1137.7437969036205</v>
      </c>
      <c r="P53" s="20">
        <f>'增加值 (2001-2022, 当年价) '!P53*P$77</f>
        <v>1199.1978904190339</v>
      </c>
      <c r="Q53" s="19">
        <f>'增加值 (2001-2022, 当年价) '!Q53*Q$77</f>
        <v>1337.6292732244519</v>
      </c>
      <c r="R53" s="20">
        <f>'增加值 (2001-2022, 当年价) '!R53*R$77</f>
        <v>1523.2072734394874</v>
      </c>
      <c r="S53" s="20">
        <f>'增加值 (2001-2022, 当年价) '!S53*S$77</f>
        <v>1785.1032639547602</v>
      </c>
      <c r="T53" s="20">
        <f>'增加值 (2001-2022, 当年价) '!T53*T$77</f>
        <v>1919.0682487030381</v>
      </c>
      <c r="U53" s="21">
        <f>'增加值 (2001-2022, 当年价) '!U53*U$77</f>
        <v>1856.4384809055559</v>
      </c>
      <c r="V53" s="20">
        <f>'增加值 (2001-2022, 当年价) '!V53*V$77</f>
        <v>2282.7594992660579</v>
      </c>
      <c r="W53" s="20">
        <f>'增加值 (2001-2022, 当年价) '!W53*W$77</f>
        <v>2464.9908072284757</v>
      </c>
      <c r="X53" s="90">
        <f>VLOOKUP($A53,平滑数据导入!$A$1:$AN$61,COLUMN(平滑数据导入!C$1),0)</f>
        <v>2697.1003978645931</v>
      </c>
      <c r="Y53" s="90">
        <f>VLOOKUP($A53,平滑数据导入!$A$1:$AN$61,COLUMN(平滑数据导入!D$1),0)</f>
        <v>2958.1893522335981</v>
      </c>
      <c r="Z53" s="141">
        <f>VLOOKUP(A53,情景假设!$B$48:$S$88,14,0)/情景假设!O$47*Z$13</f>
        <v>3248.618609852289</v>
      </c>
      <c r="AA53" s="89">
        <f>VLOOKUP($A53,平滑数据导入!$A$1:$AN$61,COLUMN(平滑数据导入!F$1),0)</f>
        <v>3567.8964595702778</v>
      </c>
      <c r="AB53" s="90">
        <f>VLOOKUP($A53,平滑数据导入!$A$1:$AN$61,COLUMN(平滑数据导入!G$1),0)</f>
        <v>3914.3834673584738</v>
      </c>
      <c r="AC53" s="90">
        <f>VLOOKUP($A53,平滑数据导入!$A$1:$AN$61,COLUMN(平滑数据导入!H$1),0)</f>
        <v>4284.981585727257</v>
      </c>
      <c r="AD53" s="90">
        <f>VLOOKUP($A53,平滑数据导入!$A$1:$AN$61,COLUMN(平滑数据导入!I$1),0)</f>
        <v>4674.8305290537628</v>
      </c>
      <c r="AE53" s="133">
        <f>VLOOKUP(A53,情景假设!$B$48:$S$88,15,0)/情景假设!P$47*AE$13</f>
        <v>5077.0443587889886</v>
      </c>
      <c r="AF53" s="90">
        <f>VLOOKUP($A53,平滑数据导入!$A$1:$AN$61,COLUMN(平滑数据导入!K$1),0)</f>
        <v>5483.7190087770914</v>
      </c>
      <c r="AG53" s="90">
        <f>VLOOKUP($A53,平滑数据导入!$A$1:$AN$61,COLUMN(平滑数据导入!L$1),0)</f>
        <v>5890.1455748230064</v>
      </c>
      <c r="AH53" s="90">
        <f>VLOOKUP($A53,平滑数据导入!$A$1:$AN$61,COLUMN(平滑数据导入!M$1),0)</f>
        <v>6292.5262432065547</v>
      </c>
      <c r="AI53" s="90">
        <f>VLOOKUP($A53,平滑数据导入!$A$1:$AN$61,COLUMN(平滑数据导入!N$1),0)</f>
        <v>6687.0379051373011</v>
      </c>
      <c r="AJ53" s="141">
        <f>VLOOKUP(A53,情景假设!$B$48:$S$88,16,0)/情景假设!Q$47*AJ$13</f>
        <v>7069.909395588239</v>
      </c>
      <c r="AK53" s="89">
        <f>VLOOKUP($A53,平滑数据导入!$A$1:$AN$61,COLUMN(平滑数据导入!P$1),0)</f>
        <v>7437.7664874515503</v>
      </c>
      <c r="AL53" s="90">
        <f>VLOOKUP($A53,平滑数据导入!$A$1:$AN$61,COLUMN(平滑数据导入!Q$1),0)</f>
        <v>7788.6133804061601</v>
      </c>
      <c r="AM53" s="90">
        <f>VLOOKUP($A53,平滑数据导入!$A$1:$AN$61,COLUMN(平滑数据导入!R$1),0)</f>
        <v>8121.2466469102883</v>
      </c>
      <c r="AN53" s="90">
        <f>VLOOKUP($A53,平滑数据导入!$A$1:$AN$61,COLUMN(平滑数据导入!S$1),0)</f>
        <v>8435.0222532629323</v>
      </c>
      <c r="AO53" s="101">
        <f>VLOOKUP($A53,平滑数据导入!$A$1:$AN$61,COLUMN(平滑数据导入!T$1),0)</f>
        <v>8729.8498525578179</v>
      </c>
      <c r="AP53" s="90">
        <f>VLOOKUP($A53,平滑数据导入!$A$1:$AN$61,COLUMN(平滑数据导入!U$1),0)</f>
        <v>9006.1744740438025</v>
      </c>
      <c r="AQ53" s="90">
        <f>VLOOKUP($A53,平滑数据导入!$A$1:$AN$61,COLUMN(平滑数据导入!V$1),0)</f>
        <v>9264.948502954654</v>
      </c>
      <c r="AR53" s="90">
        <f>VLOOKUP($A53,平滑数据导入!$A$1:$AN$61,COLUMN(平滑数据导入!W$1),0)</f>
        <v>9507.5970243092506</v>
      </c>
      <c r="AS53" s="90">
        <f>VLOOKUP($A53,平滑数据导入!$A$1:$AN$61,COLUMN(平滑数据导入!X$1),0)</f>
        <v>9735.9796227713377</v>
      </c>
      <c r="AT53" s="90">
        <f>VLOOKUP($A53,平滑数据导入!$A$1:$AN$61,COLUMN(平滑数据导入!Y$1),0)</f>
        <v>9952.3516224316591</v>
      </c>
      <c r="AU53" s="89">
        <f>VLOOKUP($A53,平滑数据导入!$A$1:$AN$61,COLUMN(平滑数据导入!Z$1),0)</f>
        <v>10159.327553707861</v>
      </c>
      <c r="AV53" s="90">
        <f>VLOOKUP($A53,平滑数据导入!$A$1:$AN$61,COLUMN(平滑数据导入!AA$1),0)</f>
        <v>10359.849388941881</v>
      </c>
      <c r="AW53" s="90">
        <f>VLOOKUP($A53,平滑数据导入!$A$1:$AN$61,COLUMN(平滑数据导入!AB$1),0)</f>
        <v>10557.16183190755</v>
      </c>
      <c r="AX53" s="90">
        <f>VLOOKUP($A53,平滑数据导入!$A$1:$AN$61,COLUMN(平滑数据导入!AC$1),0)</f>
        <v>10754.79671466839</v>
      </c>
      <c r="AY53" s="133">
        <f>VLOOKUP(A53,情景假设!$B$48:$S$88,17,0)/情景假设!R$47*AY$13</f>
        <v>10956.568379938613</v>
      </c>
      <c r="AZ53" s="89">
        <f>VLOOKUP($A53,平滑数据导入!$A$1:$AN$61,COLUMN(平滑数据导入!AE$1),0)</f>
        <v>11166.581836933099</v>
      </c>
      <c r="BA53" s="90">
        <f>VLOOKUP($A53,平滑数据导入!$A$1:$AN$61,COLUMN(平滑数据导入!AF$1),0)</f>
        <v>11389.255500041099</v>
      </c>
      <c r="BB53" s="90">
        <f>VLOOKUP($A53,平滑数据导入!$A$1:$AN$61,COLUMN(平滑数据导入!AG$1),0)</f>
        <v>11629.36047838915</v>
      </c>
      <c r="BC53" s="90">
        <f>VLOOKUP($A53,平滑数据导入!$A$1:$AN$61,COLUMN(平滑数据导入!AH$1),0)</f>
        <v>11892.078708178629</v>
      </c>
      <c r="BD53" s="101">
        <f>VLOOKUP($A53,平滑数据导入!$A$1:$AN$61,COLUMN(平滑数据导入!AI$1),0)</f>
        <v>12183.082741229569</v>
      </c>
      <c r="BE53" s="90">
        <f>VLOOKUP($A53,平滑数据导入!$A$1:$AN$61,COLUMN(平滑数据导入!AJ$1),0)</f>
        <v>12508.64076387796</v>
      </c>
      <c r="BF53" s="90">
        <f>VLOOKUP($A53,平滑数据导入!$A$1:$AN$61,COLUMN(平滑数据导入!AK$1),0)</f>
        <v>12875.75147544808</v>
      </c>
      <c r="BG53" s="90">
        <f>VLOOKUP($A53,平滑数据导入!$A$1:$AN$61,COLUMN(平滑数据导入!AL$1),0)</f>
        <v>13292.314880254309</v>
      </c>
      <c r="BH53" s="90">
        <f>VLOOKUP($A53,平滑数据导入!$A$1:$AN$61,COLUMN(平滑数据导入!AM$1),0)</f>
        <v>13767.346945322161</v>
      </c>
      <c r="BI53" s="133">
        <f>VLOOKUP(A53,情景假设!$B$48:$S$88,18,0)/情景假设!S$47*BI$13</f>
        <v>14311.248591542073</v>
      </c>
    </row>
    <row r="54" spans="1:61" x14ac:dyDescent="0.2">
      <c r="A54" s="31" t="s">
        <v>110</v>
      </c>
      <c r="B54" s="19"/>
      <c r="C54" s="20"/>
      <c r="D54" s="20"/>
      <c r="E54" s="20"/>
      <c r="F54" s="21"/>
      <c r="G54" s="19"/>
      <c r="H54" s="20"/>
      <c r="I54" s="20">
        <f>'增加值 (2001-2022, 当年价) '!I54*I$77</f>
        <v>772.52531059024352</v>
      </c>
      <c r="J54" s="20">
        <f>'增加值 (2001-2022, 当年价) '!J54*J$77</f>
        <v>769.65677167553315</v>
      </c>
      <c r="K54" s="21">
        <f>'增加值 (2001-2022, 当年价) '!K54*K$77</f>
        <v>789.2808019013371</v>
      </c>
      <c r="L54" s="25">
        <f>'增加值 (2001-2022, 当年价) '!L54*L$77</f>
        <v>813.7681388479034</v>
      </c>
      <c r="M54" s="26">
        <f>'增加值 (2001-2022, 当年价) '!M54*M$77</f>
        <v>809.56374762604992</v>
      </c>
      <c r="N54" s="26">
        <f>'增加值 (2001-2022, 当年价) '!N54*N$77</f>
        <v>820.58064700482055</v>
      </c>
      <c r="O54" s="26">
        <f>'增加值 (2001-2022, 当年价) '!O54*O$77</f>
        <v>844.93068560736822</v>
      </c>
      <c r="P54" s="26">
        <f>'增加值 (2001-2022, 当年价) '!P54*P$77</f>
        <v>846.48120875534187</v>
      </c>
      <c r="Q54" s="25">
        <f>'增加值 (2001-2022, 当年价) '!Q54*Q$77</f>
        <v>883.89316881893217</v>
      </c>
      <c r="R54" s="26">
        <f>'增加值 (2001-2022, 当年价) '!R54*R$77</f>
        <v>972.5233546006923</v>
      </c>
      <c r="S54" s="26">
        <f>'增加值 (2001-2022, 当年价) '!S54*S$77</f>
        <v>1034.1872244828596</v>
      </c>
      <c r="T54" s="26">
        <f>'增加值 (2001-2022, 当年价) '!T54*T$77</f>
        <v>1075.902264997181</v>
      </c>
      <c r="U54" s="27">
        <f>'增加值 (2001-2022, 当年价) '!U54*U$77</f>
        <v>1091.7883404123318</v>
      </c>
      <c r="V54" s="26">
        <f>'增加值 (2001-2022, 当年价) '!V54*V$77</f>
        <v>1244.7503877019715</v>
      </c>
      <c r="W54" s="26">
        <f>'增加值 (2001-2022, 当年价) '!W54*W$77</f>
        <v>1298.5975960878834</v>
      </c>
      <c r="X54" s="92">
        <f>VLOOKUP($A54,平滑数据导入!$A$1:$AN$61,COLUMN(平滑数据导入!C$1),0)</f>
        <v>1369.3309303282369</v>
      </c>
      <c r="Y54" s="92">
        <f>VLOOKUP($A54,平滑数据导入!$A$1:$AN$61,COLUMN(平滑数据导入!D$1),0)</f>
        <v>1445.7801951071269</v>
      </c>
      <c r="Z54" s="142">
        <f>VLOOKUP(A54,情景假设!$B$48:$S$88,14,0)/情景假设!O$47*Z$13</f>
        <v>1527.339699896884</v>
      </c>
      <c r="AA54" s="91">
        <f>VLOOKUP($A54,平滑数据导入!$A$1:$AN$61,COLUMN(平滑数据导入!F$1),0)</f>
        <v>1613.199250896663</v>
      </c>
      <c r="AB54" s="92">
        <f>VLOOKUP($A54,平滑数据导入!$A$1:$AN$61,COLUMN(平滑数据导入!G$1),0)</f>
        <v>1702.310865304238</v>
      </c>
      <c r="AC54" s="92">
        <f>VLOOKUP($A54,平滑数据导入!$A$1:$AN$61,COLUMN(平滑数据导入!H$1),0)</f>
        <v>1793.3609338783899</v>
      </c>
      <c r="AD54" s="92">
        <f>VLOOKUP($A54,平滑数据导入!$A$1:$AN$61,COLUMN(平滑数据导入!I$1),0)</f>
        <v>1884.7510736027029</v>
      </c>
      <c r="AE54" s="134">
        <f>VLOOKUP(A54,情景假设!$B$48:$S$88,15,0)/情景假设!P$47*AE$13</f>
        <v>1974.5913968579525</v>
      </c>
      <c r="AF54" s="92">
        <f>VLOOKUP($A54,平滑数据导入!$A$1:$AN$61,COLUMN(平滑数据导入!K$1),0)</f>
        <v>2060.9905848067119</v>
      </c>
      <c r="AG54" s="92">
        <f>VLOOKUP($A54,平滑数据导入!$A$1:$AN$61,COLUMN(平滑数据导入!L$1),0)</f>
        <v>2143.0152125302511</v>
      </c>
      <c r="AH54" s="92">
        <f>VLOOKUP($A54,平滑数据导入!$A$1:$AN$61,COLUMN(平滑数据导入!M$1),0)</f>
        <v>2220.0309287172681</v>
      </c>
      <c r="AI54" s="92">
        <f>VLOOKUP($A54,平滑数据导入!$A$1:$AN$61,COLUMN(平滑数据导入!N$1),0)</f>
        <v>2291.45517825971</v>
      </c>
      <c r="AJ54" s="142">
        <f>VLOOKUP(A54,情景假设!$B$48:$S$88,16,0)/情景假设!Q$47*AJ$13</f>
        <v>2356.7652459111428</v>
      </c>
      <c r="AK54" s="91">
        <f>VLOOKUP($A54,平滑数据导入!$A$1:$AN$61,COLUMN(平滑数据导入!P$1),0)</f>
        <v>2415.572657595907</v>
      </c>
      <c r="AL54" s="92">
        <f>VLOOKUP($A54,平滑数据导入!$A$1:$AN$61,COLUMN(平滑数据导入!Q$1),0)</f>
        <v>2467.8431041199851</v>
      </c>
      <c r="AM54" s="92">
        <f>VLOOKUP($A54,平滑数据导入!$A$1:$AN$61,COLUMN(平滑数据导入!R$1),0)</f>
        <v>2513.7127281630128</v>
      </c>
      <c r="AN54" s="92">
        <f>VLOOKUP($A54,平滑数据导入!$A$1:$AN$61,COLUMN(平滑数据导入!S$1),0)</f>
        <v>2553.4149629849771</v>
      </c>
      <c r="AO54" s="102">
        <f>VLOOKUP($A54,平滑数据导入!$A$1:$AN$61,COLUMN(平滑数据导入!T$1),0)</f>
        <v>2587.270327373184</v>
      </c>
      <c r="AP54" s="92">
        <f>VLOOKUP($A54,平滑数据导入!$A$1:$AN$61,COLUMN(平滑数据导入!U$1),0)</f>
        <v>2615.6755219799229</v>
      </c>
      <c r="AQ54" s="92">
        <f>VLOOKUP($A54,平滑数据导入!$A$1:$AN$61,COLUMN(平滑数据导入!V$1),0)</f>
        <v>2639.092291281645</v>
      </c>
      <c r="AR54" s="92">
        <f>VLOOKUP($A54,平滑数据导入!$A$1:$AN$61,COLUMN(平滑数据导入!W$1),0)</f>
        <v>2658.036469518212</v>
      </c>
      <c r="AS54" s="92">
        <f>VLOOKUP($A54,平滑数据导入!$A$1:$AN$61,COLUMN(平滑数据导入!X$1),0)</f>
        <v>2673.0675742561771</v>
      </c>
      <c r="AT54" s="92">
        <f>VLOOKUP($A54,平滑数据导入!$A$1:$AN$61,COLUMN(平滑数据导入!Y$1),0)</f>
        <v>2684.7792521326178</v>
      </c>
      <c r="AU54" s="91">
        <f>VLOOKUP($A54,平滑数据导入!$A$1:$AN$61,COLUMN(平滑数据导入!Z$1),0)</f>
        <v>2693.790821865814</v>
      </c>
      <c r="AV54" s="92">
        <f>VLOOKUP($A54,平滑数据导入!$A$1:$AN$61,COLUMN(平滑数据导入!AA$1),0)</f>
        <v>2700.740103149511</v>
      </c>
      <c r="AW54" s="92">
        <f>VLOOKUP($A54,平滑数据导入!$A$1:$AN$61,COLUMN(平滑数据导入!AB$1),0)</f>
        <v>2706.2776693011101</v>
      </c>
      <c r="AX54" s="92">
        <f>VLOOKUP($A54,平滑数据导入!$A$1:$AN$61,COLUMN(平滑数据导入!AC$1),0)</f>
        <v>2711.0626185809829</v>
      </c>
      <c r="AY54" s="134">
        <f>VLOOKUP(A54,情景假设!$B$48:$S$88,17,0)/情景假设!R$47*AY$13</f>
        <v>2715.7599254136212</v>
      </c>
      <c r="AZ54" s="91">
        <f>VLOOKUP($A54,平滑数据导入!$A$1:$AN$61,COLUMN(平滑数据导入!AE$1),0)</f>
        <v>2721.0394092956381</v>
      </c>
      <c r="BA54" s="92">
        <f>VLOOKUP($A54,平滑数据导入!$A$1:$AN$61,COLUMN(平滑数据导入!AF$1),0)</f>
        <v>2727.576346565429</v>
      </c>
      <c r="BB54" s="92">
        <f>VLOOKUP($A54,平滑数据导入!$A$1:$AN$61,COLUMN(平滑数据导入!AG$1),0)</f>
        <v>2736.0537487873262</v>
      </c>
      <c r="BC54" s="92">
        <f>VLOOKUP($A54,平滑数据导入!$A$1:$AN$61,COLUMN(平滑数据导入!AH$1),0)</f>
        <v>2747.166341528462</v>
      </c>
      <c r="BD54" s="102">
        <f>VLOOKUP($A54,平滑数据导入!$A$1:$AN$61,COLUMN(平滑数据导入!AI$1),0)</f>
        <v>2761.6262990969581</v>
      </c>
      <c r="BE54" s="92">
        <f>VLOOKUP($A54,平滑数据导入!$A$1:$AN$61,COLUMN(平滑数据导入!AJ$1),0)</f>
        <v>2780.1708249007188</v>
      </c>
      <c r="BF54" s="92">
        <f>VLOOKUP($A54,平滑数据导入!$A$1:$AN$61,COLUMN(平滑数据导入!AK$1),0)</f>
        <v>2803.571714397302</v>
      </c>
      <c r="BG54" s="92">
        <f>VLOOKUP($A54,平滑数据导入!$A$1:$AN$61,COLUMN(平滑数据导入!AL$1),0)</f>
        <v>2832.6470996255389</v>
      </c>
      <c r="BH54" s="92">
        <f>VLOOKUP($A54,平滑数据导入!$A$1:$AN$61,COLUMN(平滑数据导入!AM$1),0)</f>
        <v>2868.2756533039378</v>
      </c>
      <c r="BI54" s="134">
        <f>VLOOKUP(A54,情景假设!$B$48:$S$88,18,0)/情景假设!S$47*BI$13</f>
        <v>2911.4136297442415</v>
      </c>
    </row>
    <row r="55" spans="1:61" x14ac:dyDescent="0.2">
      <c r="A55" s="32"/>
      <c r="B55" s="35"/>
      <c r="C55" s="36"/>
      <c r="D55" s="36"/>
      <c r="E55" s="36"/>
      <c r="F55" s="37"/>
      <c r="G55" s="35"/>
      <c r="H55" s="36"/>
      <c r="I55" s="36"/>
      <c r="J55" s="36"/>
      <c r="K55" s="37"/>
      <c r="L55" s="25"/>
      <c r="M55" s="26"/>
      <c r="N55" s="26"/>
      <c r="O55" s="26"/>
      <c r="P55" s="27"/>
      <c r="Q55" s="25"/>
      <c r="R55" s="26"/>
      <c r="S55" s="26"/>
      <c r="T55" s="26"/>
      <c r="U55" s="27"/>
      <c r="V55" s="25"/>
      <c r="W55" s="26"/>
      <c r="X55" s="26"/>
      <c r="Y55" s="26"/>
      <c r="Z55" s="27"/>
      <c r="AA55" s="25"/>
      <c r="AB55" s="26"/>
      <c r="AC55" s="26"/>
      <c r="AD55" s="26"/>
      <c r="AE55" s="27"/>
      <c r="AF55" s="25"/>
      <c r="AG55" s="26"/>
      <c r="AH55" s="26"/>
      <c r="AI55" s="26"/>
      <c r="AJ55" s="27"/>
      <c r="AK55" s="25"/>
      <c r="AL55" s="26"/>
      <c r="AM55" s="26"/>
      <c r="AN55" s="26"/>
      <c r="AO55" s="27"/>
      <c r="AP55" s="25"/>
      <c r="AQ55" s="26"/>
      <c r="AR55" s="26"/>
      <c r="AS55" s="26"/>
      <c r="AT55" s="27"/>
      <c r="AU55" s="25"/>
      <c r="AV55" s="26"/>
      <c r="AW55" s="26"/>
      <c r="AX55" s="26"/>
      <c r="AY55" s="27"/>
      <c r="AZ55" s="25"/>
      <c r="BA55" s="26"/>
      <c r="BB55" s="26"/>
      <c r="BC55" s="26"/>
      <c r="BD55" s="27"/>
      <c r="BE55" s="25"/>
      <c r="BF55" s="26"/>
      <c r="BG55" s="26"/>
      <c r="BH55" s="26"/>
      <c r="BI55" s="27"/>
    </row>
    <row r="56" spans="1:61" s="9" customFormat="1" x14ac:dyDescent="0.2">
      <c r="A56" s="4" t="s">
        <v>35</v>
      </c>
      <c r="B56" s="6">
        <f>B2-B3-B4-B5</f>
        <v>85159.972603165224</v>
      </c>
      <c r="C56" s="7">
        <f t="shared" ref="C56:Z56" si="9">C2-C3-C4-C5</f>
        <v>95166.703516711757</v>
      </c>
      <c r="D56" s="7">
        <f t="shared" si="9"/>
        <v>104088.24150810447</v>
      </c>
      <c r="E56" s="7">
        <f t="shared" si="9"/>
        <v>112231.0158089881</v>
      </c>
      <c r="F56" s="8">
        <f t="shared" si="9"/>
        <v>125401.69192976059</v>
      </c>
      <c r="G56" s="6">
        <f t="shared" si="9"/>
        <v>142978.37226587938</v>
      </c>
      <c r="H56" s="7">
        <f t="shared" si="9"/>
        <v>167541.49267001179</v>
      </c>
      <c r="I56" s="7">
        <f t="shared" si="9"/>
        <v>183610.20739593869</v>
      </c>
      <c r="J56" s="7">
        <f t="shared" si="9"/>
        <v>208205.9118021396</v>
      </c>
      <c r="K56" s="8">
        <f t="shared" si="9"/>
        <v>229127.61075000683</v>
      </c>
      <c r="L56" s="6">
        <f t="shared" si="9"/>
        <v>251708.3636572689</v>
      </c>
      <c r="M56" s="7">
        <f t="shared" si="9"/>
        <v>278805.76639792533</v>
      </c>
      <c r="N56" s="7">
        <f t="shared" si="9"/>
        <v>310001.39344416757</v>
      </c>
      <c r="O56" s="7">
        <f t="shared" si="9"/>
        <v>342958.0095287055</v>
      </c>
      <c r="P56" s="8">
        <f t="shared" si="9"/>
        <v>386077.17871781316</v>
      </c>
      <c r="Q56" s="6">
        <f t="shared" si="9"/>
        <v>425343.01125934906</v>
      </c>
      <c r="R56" s="7">
        <f t="shared" si="9"/>
        <v>457751.78044071991</v>
      </c>
      <c r="S56" s="7">
        <f t="shared" si="9"/>
        <v>493758.45247992256</v>
      </c>
      <c r="T56" s="7">
        <f t="shared" si="9"/>
        <v>533245.36875375663</v>
      </c>
      <c r="U56" s="8">
        <f t="shared" si="9"/>
        <v>546822.9</v>
      </c>
      <c r="V56" s="6">
        <f>V2-V3-V4-V5</f>
        <v>582938.40935426694</v>
      </c>
      <c r="W56" s="7">
        <f t="shared" si="9"/>
        <v>591543.43563865288</v>
      </c>
      <c r="X56" s="85">
        <f>SUM(X57:X70)</f>
        <v>629006.02073155297</v>
      </c>
      <c r="Y56" s="85">
        <f>SUM(Y57:Y70)</f>
        <v>669738.69850012322</v>
      </c>
      <c r="Z56" s="131">
        <f t="shared" si="9"/>
        <v>713506.34991351445</v>
      </c>
      <c r="AA56" s="87">
        <f>SUM(AA57:AA70)</f>
        <v>759968.86901186162</v>
      </c>
      <c r="AB56" s="85">
        <f t="shared" ref="AB56:AI56" si="10">SUM(AB57:AB70)</f>
        <v>808660.70982751797</v>
      </c>
      <c r="AC56" s="85">
        <f t="shared" si="10"/>
        <v>858972.76870711369</v>
      </c>
      <c r="AD56" s="85">
        <f t="shared" si="10"/>
        <v>910138.41457174718</v>
      </c>
      <c r="AE56" s="131">
        <f>AE2*情景假设!F16</f>
        <v>961225.83240580815</v>
      </c>
      <c r="AF56" s="87">
        <f t="shared" si="10"/>
        <v>1011379.1115707357</v>
      </c>
      <c r="AG56" s="85">
        <f t="shared" si="10"/>
        <v>1060639.6611855985</v>
      </c>
      <c r="AH56" s="85">
        <f t="shared" si="10"/>
        <v>1109392.0415894722</v>
      </c>
      <c r="AI56" s="85">
        <f t="shared" si="10"/>
        <v>1158146.1392701799</v>
      </c>
      <c r="AJ56" s="88">
        <f>AJ2*情景假设!F17</f>
        <v>1207537.4411834625</v>
      </c>
      <c r="AK56" s="87">
        <f>SUM(AK57:AK70)</f>
        <v>1258168.5113449702</v>
      </c>
      <c r="AL56" s="85">
        <f t="shared" ref="AL56:AX56" si="11">SUM(AL57:AL70)</f>
        <v>1310077.978808112</v>
      </c>
      <c r="AM56" s="85">
        <f t="shared" si="11"/>
        <v>1363137.8779656703</v>
      </c>
      <c r="AN56" s="85">
        <f t="shared" si="11"/>
        <v>1417201.8830178573</v>
      </c>
      <c r="AO56" s="88">
        <f t="shared" si="11"/>
        <v>1472104.6479067204</v>
      </c>
      <c r="AP56" s="87">
        <f t="shared" si="11"/>
        <v>1527661.3461077644</v>
      </c>
      <c r="AQ56" s="85">
        <f t="shared" si="11"/>
        <v>1583667.4439124605</v>
      </c>
      <c r="AR56" s="85">
        <f t="shared" si="11"/>
        <v>1639898.7407183654</v>
      </c>
      <c r="AS56" s="85">
        <f t="shared" si="11"/>
        <v>1696111.7087246533</v>
      </c>
      <c r="AT56" s="88">
        <f t="shared" si="11"/>
        <v>1752044.1621838647</v>
      </c>
      <c r="AU56" s="87">
        <f t="shared" si="11"/>
        <v>1807416.2828786194</v>
      </c>
      <c r="AV56" s="85">
        <f t="shared" si="11"/>
        <v>1861932.0236954938</v>
      </c>
      <c r="AW56" s="85">
        <f t="shared" si="11"/>
        <v>1915280.9060147197</v>
      </c>
      <c r="AX56" s="85">
        <f t="shared" si="11"/>
        <v>1967140.2191271172</v>
      </c>
      <c r="AY56" s="131">
        <f>AY2*情景假设!F18</f>
        <v>2017177.621086858</v>
      </c>
      <c r="AZ56" s="87">
        <f>SUM(AZ57:AZ70)</f>
        <v>2065054.1304302304</v>
      </c>
      <c r="BA56" s="85">
        <f t="shared" ref="BA56:BH56" si="12">SUM(BA57:BA70)</f>
        <v>2110427.4872245821</v>
      </c>
      <c r="BB56" s="85">
        <f t="shared" si="12"/>
        <v>2152955.8502166606</v>
      </c>
      <c r="BC56" s="85">
        <f t="shared" si="12"/>
        <v>2192301.7847551778</v>
      </c>
      <c r="BD56" s="88">
        <f t="shared" si="12"/>
        <v>2228136.4840644859</v>
      </c>
      <c r="BE56" s="87">
        <f t="shared" si="12"/>
        <v>2260144.1547980495</v>
      </c>
      <c r="BF56" s="85">
        <f t="shared" si="12"/>
        <v>2288026.4870999129</v>
      </c>
      <c r="BG56" s="85">
        <f t="shared" si="12"/>
        <v>2311507.1201722752</v>
      </c>
      <c r="BH56" s="85">
        <f t="shared" si="12"/>
        <v>2330336.0071127606</v>
      </c>
      <c r="BI56" s="131">
        <f>BI2*情景假设!F19</f>
        <v>2344293.5780463237</v>
      </c>
    </row>
    <row r="57" spans="1:61" s="9" customFormat="1" x14ac:dyDescent="0.2">
      <c r="A57" s="10" t="s">
        <v>4</v>
      </c>
      <c r="B57" s="22">
        <f>B$77*'增加值 (2001-2022, 当年价) '!B57</f>
        <v>12922.19691913198</v>
      </c>
      <c r="C57" s="23">
        <f>C$77*'增加值 (2001-2022, 当年价) '!C57</f>
        <v>14005.145364926902</v>
      </c>
      <c r="D57" s="23">
        <f>D$77*'增加值 (2001-2022, 当年价) '!D57</f>
        <v>14410.716652702284</v>
      </c>
      <c r="E57" s="23">
        <f>E$77*'增加值 (2001-2022, 当年价) '!E57</f>
        <v>15841.240702858573</v>
      </c>
      <c r="F57" s="24">
        <f>F$77*'增加值 (2001-2022, 当年价) '!F57</f>
        <v>17478.670029358709</v>
      </c>
      <c r="G57" s="22">
        <f>G$77*'增加值 (2001-2022, 当年价) '!G57</f>
        <v>19206.903926131014</v>
      </c>
      <c r="H57" s="23">
        <f>H$77*'增加值 (2001-2022, 当年价) '!H57</f>
        <v>21357.812046410043</v>
      </c>
      <c r="I57" s="23">
        <f>I$77*'增加值 (2001-2022, 当年价) '!I57</f>
        <v>22214.293173693201</v>
      </c>
      <c r="J57" s="23">
        <f>J$77*'增加值 (2001-2022, 当年价) '!J57</f>
        <v>22471.738420302012</v>
      </c>
      <c r="K57" s="24">
        <f>K$77*'增加值 (2001-2022, 当年价) '!K57</f>
        <v>23894.578991226455</v>
      </c>
      <c r="L57" s="22">
        <f>L$77*'增加值 (2001-2022, 当年价) '!L57</f>
        <v>25720.526961160911</v>
      </c>
      <c r="M57" s="23">
        <f>M$77*'增加值 (2001-2022, 当年价) '!M57</f>
        <v>27354.589707269035</v>
      </c>
      <c r="N57" s="23">
        <f>N$77*'增加值 (2001-2022, 当年价) '!N57</f>
        <v>29353.002496532965</v>
      </c>
      <c r="O57" s="23">
        <f>O$77*'增加值 (2001-2022, 当年价) '!O57</f>
        <v>31825.567469102905</v>
      </c>
      <c r="P57" s="24">
        <f>P$77*'增加值 (2001-2022, 当年价) '!P57</f>
        <v>34027.489263973992</v>
      </c>
      <c r="Q57" s="22">
        <f>Q$77*'增加值 (2001-2022, 当年价) '!Q57</f>
        <v>36297.463499736106</v>
      </c>
      <c r="R57" s="23">
        <f>R$77*'增加值 (2001-2022, 当年价) '!R57</f>
        <v>39121.852645308427</v>
      </c>
      <c r="S57" s="23">
        <f>S$77*'增加值 (2001-2022, 当年价) '!S57</f>
        <v>41053.77693860625</v>
      </c>
      <c r="T57" s="23">
        <f>T$77*'增加值 (2001-2022, 当年价) '!T57</f>
        <v>42691.5780889854</v>
      </c>
      <c r="U57" s="23">
        <f>U$77*'增加值 (2001-2022, 当年价) '!U57</f>
        <v>40582.9</v>
      </c>
      <c r="V57" s="22">
        <f>V$77*'增加值 (2001-2022, 当年价) '!V57</f>
        <v>44991.98369146973</v>
      </c>
      <c r="W57" s="23">
        <f>W$77*'增加值 (2001-2022, 当年价) '!W57</f>
        <v>46450.003049149032</v>
      </c>
      <c r="X57" s="98">
        <f>VLOOKUP($A57,平滑数据导入!$A$1:$AN$61,COLUMN(平滑数据导入!C$1),0)</f>
        <v>48311.096009389643</v>
      </c>
      <c r="Y57" s="98">
        <f>VLOOKUP($A57,平滑数据导入!$A$1:$AN$61,COLUMN(平滑数据导入!D$1),0)</f>
        <v>50291.27062116388</v>
      </c>
      <c r="Z57" s="132">
        <f>VLOOKUP(A57,情景假设!$B$29:$S$42,14,0)/情景假设!O$28*Z$56</f>
        <v>52364.670461178488</v>
      </c>
      <c r="AA57" s="98">
        <f>VLOOKUP($A57,平滑数据导入!$A$1:$AN$61,COLUMN(平滑数据导入!F$1),0)</f>
        <v>54500.396684875261</v>
      </c>
      <c r="AB57" s="98">
        <f>VLOOKUP($A57,平滑数据导入!$A$1:$AN$61,COLUMN(平滑数据导入!G$1),0)</f>
        <v>56662.00623931329</v>
      </c>
      <c r="AC57" s="98">
        <f>VLOOKUP($A57,平滑数据导入!$A$1:$AN$61,COLUMN(平滑数据导入!H$1),0)</f>
        <v>58807.227010766197</v>
      </c>
      <c r="AD57" s="98">
        <f>VLOOKUP($A57,平滑数据导入!$A$1:$AN$61,COLUMN(平滑数据导入!I$1),0)</f>
        <v>60887.956392395252</v>
      </c>
      <c r="AE57" s="140">
        <f>VLOOKUP(A57,情景假设!$B$29:$S$42,15,0)/情景假设!P$28*AE$56</f>
        <v>62850.61205207678</v>
      </c>
      <c r="AF57" s="100">
        <f>VLOOKUP($A57,平滑数据导入!$A$1:$AN$61,COLUMN(平滑数据导入!K$1),0)</f>
        <v>64650.657604550259</v>
      </c>
      <c r="AG57" s="98">
        <f>VLOOKUP($A57,平滑数据导入!$A$1:$AN$61,COLUMN(平滑数据导入!L$1),0)</f>
        <v>66297.833437558278</v>
      </c>
      <c r="AH57" s="98">
        <f>VLOOKUP($A57,平滑数据导入!$A$1:$AN$61,COLUMN(平滑数据导入!M$1),0)</f>
        <v>67820.149600441378</v>
      </c>
      <c r="AI57" s="98">
        <f>VLOOKUP($A57,平滑数据导入!$A$1:$AN$61,COLUMN(平滑数据导入!N$1),0)</f>
        <v>69250.23188956693</v>
      </c>
      <c r="AJ57" s="132">
        <f>VLOOKUP(A57,情景假设!$B$29:$S$42,16,0)/情景假设!Q$28*AJ$56</f>
        <v>70624.740588899484</v>
      </c>
      <c r="AK57" s="98">
        <f>VLOOKUP($A57,平滑数据导入!$A$1:$AN$61,COLUMN(平滑数据导入!P$1),0)</f>
        <v>71975.236698282592</v>
      </c>
      <c r="AL57" s="98">
        <f>VLOOKUP($A57,平滑数据导入!$A$1:$AN$61,COLUMN(平滑数据导入!Q$1),0)</f>
        <v>73300.506101082443</v>
      </c>
      <c r="AM57" s="98">
        <f>VLOOKUP($A57,平滑数据导入!$A$1:$AN$61,COLUMN(平滑数据导入!R$1),0)</f>
        <v>74590.394924386637</v>
      </c>
      <c r="AN57" s="98">
        <f>VLOOKUP($A57,平滑数据导入!$A$1:$AN$61,COLUMN(平滑数据导入!S$1),0)</f>
        <v>75834.238200734981</v>
      </c>
      <c r="AO57" s="98">
        <f>VLOOKUP($A57,平滑数据导入!$A$1:$AN$61,COLUMN(平滑数据导入!T$1),0)</f>
        <v>77020.913507970909</v>
      </c>
      <c r="AP57" s="100">
        <f>VLOOKUP($A57,平滑数据导入!$A$1:$AN$61,COLUMN(平滑数据导入!U$1),0)</f>
        <v>78138.90911827446</v>
      </c>
      <c r="AQ57" s="98">
        <f>VLOOKUP($A57,平滑数据导入!$A$1:$AN$61,COLUMN(平滑数据导入!V$1),0)</f>
        <v>79176.407169025828</v>
      </c>
      <c r="AR57" s="98">
        <f>VLOOKUP($A57,平滑数据导入!$A$1:$AN$61,COLUMN(平滑数据导入!W$1),0)</f>
        <v>80121.382101401003</v>
      </c>
      <c r="AS57" s="98">
        <f>VLOOKUP($A57,平滑数据导入!$A$1:$AN$61,COLUMN(平滑数据导入!X$1),0)</f>
        <v>80961.714294988473</v>
      </c>
      <c r="AT57" s="99">
        <f>VLOOKUP($A57,平滑数据导入!$A$1:$AN$61,COLUMN(平滑数据导入!Y$1),0)</f>
        <v>81685.318460407376</v>
      </c>
      <c r="AU57" s="98">
        <f>VLOOKUP($A57,平滑数据导入!$A$1:$AN$61,COLUMN(平滑数据导入!Z$1),0)</f>
        <v>82280.285941250637</v>
      </c>
      <c r="AV57" s="98">
        <f>VLOOKUP($A57,平滑数据导入!$A$1:$AN$61,COLUMN(平滑数据导入!AA$1),0)</f>
        <v>82735.039628527331</v>
      </c>
      <c r="AW57" s="98">
        <f>VLOOKUP($A57,平滑数据导入!$A$1:$AN$61,COLUMN(平滑数据导入!AB$1),0)</f>
        <v>83038.499714584119</v>
      </c>
      <c r="AX57" s="98">
        <f>VLOOKUP($A57,平滑数据导入!$A$1:$AN$61,COLUMN(平滑数据导入!AC$1),0)</f>
        <v>83180.258021408561</v>
      </c>
      <c r="AY57" s="140">
        <f>VLOOKUP(A57,情景假设!$B$29:$S$42,17,0)/情景假设!R$28*AY$56</f>
        <v>83150.758145039159</v>
      </c>
      <c r="AZ57" s="100">
        <f>VLOOKUP($A57,平滑数据导入!$A$1:$AN$61,COLUMN(平滑数据导入!AE$1),0)</f>
        <v>82941.478180774211</v>
      </c>
      <c r="BA57" s="98">
        <f>VLOOKUP($A57,平滑数据导入!$A$1:$AN$61,COLUMN(平滑数据导入!AF$1),0)</f>
        <v>82545.112352264012</v>
      </c>
      <c r="BB57" s="98">
        <f>VLOOKUP($A57,平滑数据导入!$A$1:$AN$61,COLUMN(平滑数据导入!AG$1),0)</f>
        <v>81955.747482272738</v>
      </c>
      <c r="BC57" s="98">
        <f>VLOOKUP($A57,平滑数据导入!$A$1:$AN$61,COLUMN(平滑数据导入!AH$1),0)</f>
        <v>81169.029935552084</v>
      </c>
      <c r="BD57" s="99">
        <f>VLOOKUP($A57,平滑数据导入!$A$1:$AN$61,COLUMN(平滑数据导入!AI$1),0)</f>
        <v>80182.318456549707</v>
      </c>
      <c r="BE57" s="98">
        <f>VLOOKUP($A57,平滑数据导入!$A$1:$AN$61,COLUMN(平滑数据导入!AJ$1),0)</f>
        <v>78994.818237148153</v>
      </c>
      <c r="BF57" s="98">
        <f>VLOOKUP($A57,平滑数据导入!$A$1:$AN$61,COLUMN(平滑数据导入!AK$1),0)</f>
        <v>77607.691600665348</v>
      </c>
      <c r="BG57" s="98">
        <f>VLOOKUP($A57,平滑数据导入!$A$1:$AN$61,COLUMN(平滑数据导入!AL$1),0)</f>
        <v>76024.140892946321</v>
      </c>
      <c r="BH57" s="98">
        <f>VLOOKUP($A57,平滑数据导入!$A$1:$AN$61,COLUMN(平滑数据导入!AM$1),0)</f>
        <v>74249.459539873613</v>
      </c>
      <c r="BI57" s="132">
        <f>VLOOKUP(A57,情景假设!$B$29:$S$42,18,0)/情景假设!S$28*BI$56</f>
        <v>72291.047767686745</v>
      </c>
    </row>
    <row r="58" spans="1:61" s="9" customFormat="1" x14ac:dyDescent="0.2">
      <c r="A58" s="14" t="s">
        <v>5</v>
      </c>
      <c r="B58" s="19">
        <f>B$77*'增加值 (2001-2022, 当年价) '!B58</f>
        <v>17152.616485966111</v>
      </c>
      <c r="C58" s="20">
        <f>C$77*'增加值 (2001-2022, 当年价) '!C58</f>
        <v>18681.749754360146</v>
      </c>
      <c r="D58" s="20">
        <f>D$77*'增加值 (2001-2022, 当年价) '!D58</f>
        <v>20339.742996748846</v>
      </c>
      <c r="E58" s="20">
        <f>E$77*'增加值 (2001-2022, 当年价) '!E58</f>
        <v>21201.883194183185</v>
      </c>
      <c r="F58" s="21">
        <f>F$77*'增加值 (2001-2022, 当年价) '!F58</f>
        <v>22884.560803942069</v>
      </c>
      <c r="G58" s="19">
        <f>G$77*'增加值 (2001-2022, 当年价) '!G58</f>
        <v>26058.395523850108</v>
      </c>
      <c r="H58" s="20">
        <f>H$77*'增加值 (2001-2022, 当年价) '!H58</f>
        <v>30623.280761177761</v>
      </c>
      <c r="I58" s="20">
        <f>I$77*'增加值 (2001-2022, 当年价) '!I58</f>
        <v>35540.208943581521</v>
      </c>
      <c r="J58" s="20">
        <f>J$77*'增加值 (2001-2022, 当年价) '!J58</f>
        <v>39448.493208340893</v>
      </c>
      <c r="K58" s="21">
        <f>K$77*'增加值 (2001-2022, 当年价) '!K58</f>
        <v>45678.365859529622</v>
      </c>
      <c r="L58" s="19">
        <f>L$77*'增加值 (2001-2022, 当年价) '!L58</f>
        <v>51500.521306789298</v>
      </c>
      <c r="M58" s="20">
        <f>M$77*'增加值 (2001-2022, 当年价) '!M58</f>
        <v>57367.259264602661</v>
      </c>
      <c r="N58" s="20">
        <f>N$77*'增加值 (2001-2022, 当年价) '!N58</f>
        <v>63443.814282969681</v>
      </c>
      <c r="O58" s="20">
        <f>O$77*'增加值 (2001-2022, 当年价) '!O58</f>
        <v>70456.495572018976</v>
      </c>
      <c r="P58" s="21">
        <f>P$77*'增加值 (2001-2022, 当年价) '!P58</f>
        <v>75503.463751392177</v>
      </c>
      <c r="Q58" s="19">
        <f>Q$77*'增加值 (2001-2022, 当年价) '!Q58</f>
        <v>81020.819704871668</v>
      </c>
      <c r="R58" s="20">
        <f>R$77*'增加值 (2001-2022, 当年价) '!R58</f>
        <v>85528.934305470306</v>
      </c>
      <c r="S58" s="20">
        <f>S$77*'增加值 (2001-2022, 当年价) '!S58</f>
        <v>90483.044653986115</v>
      </c>
      <c r="T58" s="20">
        <f>T$77*'增加值 (2001-2022, 当年价) '!T58</f>
        <v>96158.315337849839</v>
      </c>
      <c r="U58" s="20">
        <f>U$77*'增加值 (2001-2022, 当年价) '!U58</f>
        <v>96086.1</v>
      </c>
      <c r="V58" s="19">
        <f>V$77*'增加值 (2001-2022, 当年价) '!V58</f>
        <v>105634.48778242921</v>
      </c>
      <c r="W58" s="20">
        <f>W$77*'增加值 (2001-2022, 当年价) '!W58</f>
        <v>107085.79216328831</v>
      </c>
      <c r="X58" s="90">
        <f>VLOOKUP($A58,平滑数据导入!$A$1:$AN$61,COLUMN(平滑数据导入!C$1),0)</f>
        <v>111656.9444446438</v>
      </c>
      <c r="Y58" s="90">
        <f>VLOOKUP($A58,平滑数据导入!$A$1:$AN$61,COLUMN(平滑数据导入!D$1),0)</f>
        <v>116516.9047777411</v>
      </c>
      <c r="Z58" s="133">
        <f>VLOOKUP(A58,情景假设!$B$29:$S$42,14,0)/情景假设!O$28*Z$56</f>
        <v>121606.90352640692</v>
      </c>
      <c r="AA58" s="90">
        <f>VLOOKUP($A58,平滑数据导入!$A$1:$AN$61,COLUMN(平滑数据导入!F$1),0)</f>
        <v>126855.817191599</v>
      </c>
      <c r="AB58" s="90">
        <f>VLOOKUP($A58,平滑数据导入!$A$1:$AN$61,COLUMN(平滑数据导入!G$1),0)</f>
        <v>132178.91612173361</v>
      </c>
      <c r="AC58" s="90">
        <f>VLOOKUP($A58,平滑数据导入!$A$1:$AN$61,COLUMN(平滑数据导入!H$1),0)</f>
        <v>137477.11275616309</v>
      </c>
      <c r="AD58" s="90">
        <f>VLOOKUP($A58,平滑数据导入!$A$1:$AN$61,COLUMN(平滑数据导入!I$1),0)</f>
        <v>142636.87389263569</v>
      </c>
      <c r="AE58" s="141">
        <f>VLOOKUP(A58,情景假设!$B$29:$S$42,15,0)/情景假设!P$28*AE$56</f>
        <v>147530.96732895877</v>
      </c>
      <c r="AF58" s="89">
        <f>VLOOKUP($A58,平滑数据导入!$A$1:$AN$61,COLUMN(平滑数据导入!K$1),0)</f>
        <v>152052.59302401391</v>
      </c>
      <c r="AG58" s="90">
        <f>VLOOKUP($A58,平滑数据导入!$A$1:$AN$61,COLUMN(平滑数据导入!L$1),0)</f>
        <v>156222.3271968395</v>
      </c>
      <c r="AH58" s="90">
        <f>VLOOKUP($A58,平滑数据导入!$A$1:$AN$61,COLUMN(平滑数据导入!M$1),0)</f>
        <v>160104.2624384863</v>
      </c>
      <c r="AI58" s="90">
        <f>VLOOKUP($A58,平滑数据导入!$A$1:$AN$61,COLUMN(平滑数据导入!N$1),0)</f>
        <v>163774.05103162781</v>
      </c>
      <c r="AJ58" s="133">
        <f>VLOOKUP(A58,情景假设!$B$29:$S$42,16,0)/情景假设!Q$28*AJ$56</f>
        <v>167317.58311285393</v>
      </c>
      <c r="AK58" s="90">
        <f>VLOOKUP($A58,平滑数据导入!$A$1:$AN$61,COLUMN(平滑数据导入!P$1),0)</f>
        <v>170809.3174298025</v>
      </c>
      <c r="AL58" s="90">
        <f>VLOOKUP($A58,平滑数据导入!$A$1:$AN$61,COLUMN(平滑数据导入!Q$1),0)</f>
        <v>174246.2404069789</v>
      </c>
      <c r="AM58" s="90">
        <f>VLOOKUP($A58,平滑数据导入!$A$1:$AN$61,COLUMN(平滑数据导入!R$1),0)</f>
        <v>177604.04952518779</v>
      </c>
      <c r="AN58" s="90">
        <f>VLOOKUP($A58,平滑数据导入!$A$1:$AN$61,COLUMN(平滑数据导入!S$1),0)</f>
        <v>180857.11685745479</v>
      </c>
      <c r="AO58" s="90">
        <f>VLOOKUP($A58,平滑数据导入!$A$1:$AN$61,COLUMN(平滑数据导入!T$1),0)</f>
        <v>183978.61207539469</v>
      </c>
      <c r="AP58" s="89">
        <f>VLOOKUP($A58,平滑数据导入!$A$1:$AN$61,COLUMN(平滑数据导入!U$1),0)</f>
        <v>186940.66038418171</v>
      </c>
      <c r="AQ58" s="90">
        <f>VLOOKUP($A58,平滑数据导入!$A$1:$AN$61,COLUMN(平滑数据导入!V$1),0)</f>
        <v>189714.5368016776</v>
      </c>
      <c r="AR58" s="90">
        <f>VLOOKUP($A58,平滑数据导入!$A$1:$AN$61,COLUMN(平滑数据导入!W$1),0)</f>
        <v>192270.8975757882</v>
      </c>
      <c r="AS58" s="90">
        <f>VLOOKUP($A58,平滑数据导入!$A$1:$AN$61,COLUMN(平滑数据导入!X$1),0)</f>
        <v>194580.04878973751</v>
      </c>
      <c r="AT58" s="101">
        <f>VLOOKUP($A58,平滑数据导入!$A$1:$AN$61,COLUMN(平滑数据导入!Y$1),0)</f>
        <v>196612.25134180591</v>
      </c>
      <c r="AU58" s="90">
        <f>VLOOKUP($A58,平滑数据导入!$A$1:$AN$61,COLUMN(平滑数据导入!Z$1),0)</f>
        <v>198338.06051361019</v>
      </c>
      <c r="AV58" s="90">
        <f>VLOOKUP($A58,平滑数据导入!$A$1:$AN$61,COLUMN(平滑数据导入!AA$1),0)</f>
        <v>199728.69727427719</v>
      </c>
      <c r="AW58" s="90">
        <f>VLOOKUP($A58,平滑数据导入!$A$1:$AN$61,COLUMN(平滑数据导入!AB$1),0)</f>
        <v>200756.4473283125</v>
      </c>
      <c r="AX58" s="90">
        <f>VLOOKUP($A58,平滑数据导入!$A$1:$AN$61,COLUMN(平滑数据导入!AC$1),0)</f>
        <v>201395.08273029249</v>
      </c>
      <c r="AY58" s="141">
        <f>VLOOKUP(A58,情景假设!$B$29:$S$42,17,0)/情景假设!R$28*AY$56</f>
        <v>201620.29969384658</v>
      </c>
      <c r="AZ58" s="89">
        <f>VLOOKUP($A58,平滑数据导入!$A$1:$AN$61,COLUMN(平滑数据导入!AE$1),0)</f>
        <v>201410.16505572529</v>
      </c>
      <c r="BA58" s="90">
        <f>VLOOKUP($A58,平滑数据导入!$A$1:$AN$61,COLUMN(平滑数据导入!AF$1),0)</f>
        <v>200745.5627632394</v>
      </c>
      <c r="BB58" s="90">
        <f>VLOOKUP($A58,平滑数据导入!$A$1:$AN$61,COLUMN(平滑数据导入!AG$1),0)</f>
        <v>199610.63078409611</v>
      </c>
      <c r="BC58" s="90">
        <f>VLOOKUP($A58,平滑数据导入!$A$1:$AN$61,COLUMN(平滑数据导入!AH$1),0)</f>
        <v>197993.17804314461</v>
      </c>
      <c r="BD58" s="101">
        <f>VLOOKUP($A58,平滑数据导入!$A$1:$AN$61,COLUMN(平滑数据导入!AI$1),0)</f>
        <v>195885.07042254071</v>
      </c>
      <c r="BE58" s="90">
        <f>VLOOKUP($A58,平滑数据导入!$A$1:$AN$61,COLUMN(平滑数据导入!AJ$1),0)</f>
        <v>193282.574570292</v>
      </c>
      <c r="BF58" s="90">
        <f>VLOOKUP($A58,平滑数据导入!$A$1:$AN$61,COLUMN(平滑数据导入!AK$1),0)</f>
        <v>190186.64829221461</v>
      </c>
      <c r="BG58" s="90">
        <f>VLOOKUP($A58,平滑数据导入!$A$1:$AN$61,COLUMN(平滑数据导入!AL$1),0)</f>
        <v>186603.1666919183</v>
      </c>
      <c r="BH58" s="90">
        <f>VLOOKUP($A58,平滑数据导入!$A$1:$AN$61,COLUMN(平滑数据导入!AM$1),0)</f>
        <v>182543.07400003029</v>
      </c>
      <c r="BI58" s="133">
        <f>VLOOKUP(A58,情景假设!$B$29:$S$42,18,0)/情景假设!S$28*BI$56</f>
        <v>178022.4522121099</v>
      </c>
    </row>
    <row r="59" spans="1:61" s="9" customFormat="1" x14ac:dyDescent="0.2">
      <c r="A59" s="14" t="s">
        <v>6</v>
      </c>
      <c r="B59" s="19">
        <f>B$77*'增加值 (2001-2022, 当年价) '!B59</f>
        <v>4513.6385874010248</v>
      </c>
      <c r="C59" s="20">
        <f>C$77*'增加值 (2001-2022, 当年价) '!C59</f>
        <v>5092.0326235075754</v>
      </c>
      <c r="D59" s="20">
        <f>D$77*'增加值 (2001-2022, 当年价) '!D59</f>
        <v>5691.7851781488607</v>
      </c>
      <c r="E59" s="20">
        <f>E$77*'增加值 (2001-2022, 当年价) '!E59</f>
        <v>6238.1108824838657</v>
      </c>
      <c r="F59" s="21">
        <f>F$77*'增加值 (2001-2022, 当年价) '!F59</f>
        <v>6873.8054741095848</v>
      </c>
      <c r="G59" s="19">
        <f>G$77*'增加值 (2001-2022, 当年价) '!G59</f>
        <v>7553.6469442222424</v>
      </c>
      <c r="H59" s="20">
        <f>H$77*'增加值 (2001-2022, 当年价) '!H59</f>
        <v>8113.2807727908448</v>
      </c>
      <c r="I59" s="20">
        <f>I$77*'增加值 (2001-2022, 当年价) '!I59</f>
        <v>8979.4462881834588</v>
      </c>
      <c r="J59" s="20">
        <f>J$77*'增加值 (2001-2022, 当年价) '!J59</f>
        <v>9462.0566134484743</v>
      </c>
      <c r="K59" s="21">
        <f>K$77*'增加值 (2001-2022, 当年价) '!K59</f>
        <v>9810.4193647830252</v>
      </c>
      <c r="L59" s="19">
        <f>L$77*'增加值 (2001-2022, 当年价) '!L59</f>
        <v>10086.374948865838</v>
      </c>
      <c r="M59" s="20">
        <f>M$77*'增加值 (2001-2022, 当年价) '!M59</f>
        <v>10978.23468974103</v>
      </c>
      <c r="N59" s="20">
        <f>N$77*'增加值 (2001-2022, 当年价) '!N59</f>
        <v>11528.425064808491</v>
      </c>
      <c r="O59" s="20">
        <f>O$77*'增加值 (2001-2022, 当年价) '!O59</f>
        <v>12523.822103857652</v>
      </c>
      <c r="P59" s="21">
        <f>P$77*'增加值 (2001-2022, 当年价) '!P59</f>
        <v>13720.594558606477</v>
      </c>
      <c r="Q59" s="19">
        <f>Q$77*'增加值 (2001-2022, 当年价) '!Q59</f>
        <v>14954.528147087502</v>
      </c>
      <c r="R59" s="20">
        <f>R$77*'增加值 (2001-2022, 当年价) '!R59</f>
        <v>15867.146170529086</v>
      </c>
      <c r="S59" s="20">
        <f>S$77*'增加值 (2001-2022, 当年价) '!S59</f>
        <v>16814.082962921035</v>
      </c>
      <c r="T59" s="20">
        <f>T$77*'增加值 (2001-2022, 当年价) '!T59</f>
        <v>17998.073570923636</v>
      </c>
      <c r="U59" s="20">
        <f>U$77*'增加值 (2001-2022, 当年价) '!U59</f>
        <v>15285.4</v>
      </c>
      <c r="V59" s="19">
        <f>V$77*'增加值 (2001-2022, 当年价) '!V59</f>
        <v>17067.645704961466</v>
      </c>
      <c r="W59" s="20">
        <f>W$77*'增加值 (2001-2022, 当年价) '!W59</f>
        <v>16696.536385320014</v>
      </c>
      <c r="X59" s="90">
        <f>VLOOKUP($A59,平滑数据导入!$A$1:$AN$61,COLUMN(平滑数据导入!C$1),0)</f>
        <v>17477.11131027971</v>
      </c>
      <c r="Y59" s="90">
        <f>VLOOKUP($A59,平滑数据导入!$A$1:$AN$61,COLUMN(平滑数据导入!D$1),0)</f>
        <v>18306.6081085429</v>
      </c>
      <c r="Z59" s="133">
        <f>VLOOKUP(A59,情景假设!$B$29:$S$42,14,0)/情景假设!O$28*Z$56</f>
        <v>19176.081219351425</v>
      </c>
      <c r="AA59" s="90">
        <f>VLOOKUP($A59,平滑数据导入!$A$1:$AN$61,COLUMN(平滑数据导入!F$1),0)</f>
        <v>20074.482325054571</v>
      </c>
      <c r="AB59" s="90">
        <f>VLOOKUP($A59,平滑数据导入!$A$1:$AN$61,COLUMN(平滑数据导入!G$1),0)</f>
        <v>20988.439130156999</v>
      </c>
      <c r="AC59" s="90">
        <f>VLOOKUP($A59,平滑数据导入!$A$1:$AN$61,COLUMN(平滑数据导入!H$1),0)</f>
        <v>21902.112124920379</v>
      </c>
      <c r="AD59" s="90">
        <f>VLOOKUP($A59,平滑数据导入!$A$1:$AN$61,COLUMN(平滑数据导入!I$1),0)</f>
        <v>22797.157360735731</v>
      </c>
      <c r="AE59" s="141">
        <f>VLOOKUP(A59,情景假设!$B$29:$S$42,15,0)/情景假设!P$28*AE$56</f>
        <v>23652.824768748607</v>
      </c>
      <c r="AF59" s="89">
        <f>VLOOKUP($A59,平滑数据导入!$A$1:$AN$61,COLUMN(平滑数据导入!K$1),0)</f>
        <v>24451.43650346026</v>
      </c>
      <c r="AG59" s="90">
        <f>VLOOKUP($A59,平滑数据导入!$A$1:$AN$61,COLUMN(平滑数据导入!L$1),0)</f>
        <v>25195.723518003739</v>
      </c>
      <c r="AH59" s="90">
        <f>VLOOKUP($A59,平滑数据导入!$A$1:$AN$61,COLUMN(平滑数据导入!M$1),0)</f>
        <v>25895.54634329542</v>
      </c>
      <c r="AI59" s="90">
        <f>VLOOKUP($A59,平滑数据导入!$A$1:$AN$61,COLUMN(平滑数据导入!N$1),0)</f>
        <v>26562.797344700411</v>
      </c>
      <c r="AJ59" s="133">
        <f>VLOOKUP(A59,情景假设!$B$29:$S$42,16,0)/情景假设!Q$28*AJ$56</f>
        <v>27211.201860703073</v>
      </c>
      <c r="AK59" s="90">
        <f>VLOOKUP($A59,平滑数据导入!$A$1:$AN$61,COLUMN(平滑数据导入!P$1),0)</f>
        <v>27852.788697118991</v>
      </c>
      <c r="AL59" s="90">
        <f>VLOOKUP($A59,平滑数据导入!$A$1:$AN$61,COLUMN(平滑数据导入!Q$1),0)</f>
        <v>28487.031976516751</v>
      </c>
      <c r="AM59" s="90">
        <f>VLOOKUP($A59,平滑数据导入!$A$1:$AN$61,COLUMN(平滑数据导入!R$1),0)</f>
        <v>29109.91625594144</v>
      </c>
      <c r="AN59" s="90">
        <f>VLOOKUP($A59,平滑数据导入!$A$1:$AN$61,COLUMN(平滑数据导入!S$1),0)</f>
        <v>29717.18168470544</v>
      </c>
      <c r="AO59" s="90">
        <f>VLOOKUP($A59,平滑数据导入!$A$1:$AN$61,COLUMN(平滑数据导入!T$1),0)</f>
        <v>30304.342753122499</v>
      </c>
      <c r="AP59" s="89">
        <f>VLOOKUP($A59,平滑数据导入!$A$1:$AN$61,COLUMN(平滑数据导入!U$1),0)</f>
        <v>30866.712858724881</v>
      </c>
      <c r="AQ59" s="90">
        <f>VLOOKUP($A59,平滑数据导入!$A$1:$AN$61,COLUMN(平滑数据导入!V$1),0)</f>
        <v>31399.4349704091</v>
      </c>
      <c r="AR59" s="90">
        <f>VLOOKUP($A59,平滑数据导入!$A$1:$AN$61,COLUMN(平滑数据导入!W$1),0)</f>
        <v>31897.518573014921</v>
      </c>
      <c r="AS59" s="90">
        <f>VLOOKUP($A59,平滑数据导入!$A$1:$AN$61,COLUMN(平滑数据导入!X$1),0)</f>
        <v>32355.88295634486</v>
      </c>
      <c r="AT59" s="101">
        <f>VLOOKUP($A59,平滑数据导入!$A$1:$AN$61,COLUMN(平滑数据导入!Y$1),0)</f>
        <v>32769.406774030089</v>
      </c>
      <c r="AU59" s="90">
        <f>VLOOKUP($A59,平滑数据导入!$A$1:$AN$61,COLUMN(平滑数据导入!Z$1),0)</f>
        <v>33132.983640221137</v>
      </c>
      <c r="AV59" s="90">
        <f>VLOOKUP($A59,平滑数据导入!$A$1:$AN$61,COLUMN(平滑数据导入!AA$1),0)</f>
        <v>33441.58335801967</v>
      </c>
      <c r="AW59" s="90">
        <f>VLOOKUP($A59,平滑数据导入!$A$1:$AN$61,COLUMN(平滑数据导入!AB$1),0)</f>
        <v>33690.318186086268</v>
      </c>
      <c r="AX59" s="90">
        <f>VLOOKUP($A59,平滑数据导入!$A$1:$AN$61,COLUMN(平滑数据导入!AC$1),0)</f>
        <v>33874.513353182207</v>
      </c>
      <c r="AY59" s="141">
        <f>VLOOKUP(A59,情景假设!$B$29:$S$42,17,0)/情景假设!R$28*AY$56</f>
        <v>33989.780829841307</v>
      </c>
      <c r="AZ59" s="89">
        <f>VLOOKUP($A59,平滑数据导入!$A$1:$AN$61,COLUMN(平滑数据导入!AE$1),0)</f>
        <v>34032.095168179287</v>
      </c>
      <c r="BA59" s="90">
        <f>VLOOKUP($A59,平滑数据导入!$A$1:$AN$61,COLUMN(平滑数据导入!AF$1),0)</f>
        <v>33997.870032222352</v>
      </c>
      <c r="BB59" s="90">
        <f>VLOOKUP($A59,平滑数据导入!$A$1:$AN$61,COLUMN(平滑数据导入!AG$1),0)</f>
        <v>33884.033869927029</v>
      </c>
      <c r="BC59" s="90">
        <f>VLOOKUP($A59,平滑数据导入!$A$1:$AN$61,COLUMN(平滑数据导入!AH$1),0)</f>
        <v>33688.1030326482</v>
      </c>
      <c r="BD59" s="101">
        <f>VLOOKUP($A59,平滑数据导入!$A$1:$AN$61,COLUMN(平滑数据导入!AI$1),0)</f>
        <v>33408.250536689069</v>
      </c>
      <c r="BE59" s="90">
        <f>VLOOKUP($A59,平滑数据导入!$A$1:$AN$61,COLUMN(平滑数据导入!AJ$1),0)</f>
        <v>33043.368593098567</v>
      </c>
      <c r="BF59" s="90">
        <f>VLOOKUP($A59,平滑数据导入!$A$1:$AN$61,COLUMN(平滑数据导入!AK$1),0)</f>
        <v>32593.12301377788</v>
      </c>
      <c r="BG59" s="90">
        <f>VLOOKUP($A59,平滑数据导入!$A$1:$AN$61,COLUMN(平滑数据导入!AL$1),0)</f>
        <v>32057.997640929079</v>
      </c>
      <c r="BH59" s="90">
        <f>VLOOKUP($A59,平滑数据导入!$A$1:$AN$61,COLUMN(平滑数据导入!AM$1),0)</f>
        <v>31439.327048103161</v>
      </c>
      <c r="BI59" s="133">
        <f>VLOOKUP(A59,情景假设!$B$29:$S$42,18,0)/情景假设!S$28*BI$56</f>
        <v>30739.315927822794</v>
      </c>
    </row>
    <row r="60" spans="1:61" s="9" customFormat="1" x14ac:dyDescent="0.2">
      <c r="A60" s="14" t="s">
        <v>7</v>
      </c>
      <c r="B60" s="19">
        <f>B$77*'增加值 (2001-2022, 当年价) '!B60</f>
        <v>9784.408500699994</v>
      </c>
      <c r="C60" s="20">
        <f>C$77*'增加值 (2001-2022, 当年价) '!C60</f>
        <v>10382.528937787503</v>
      </c>
      <c r="D60" s="20">
        <f>D$77*'增加值 (2001-2022, 当年价) '!D60</f>
        <v>11007.589536974048</v>
      </c>
      <c r="E60" s="20">
        <f>E$77*'增加值 (2001-2022, 当年价) '!E60</f>
        <v>11234.659311987014</v>
      </c>
      <c r="F60" s="21">
        <f>F$77*'增加值 (2001-2022, 当年价) '!F60</f>
        <v>12264.296250729163</v>
      </c>
      <c r="G60" s="19">
        <f>G$77*'增加值 (2001-2022, 当年价) '!G60</f>
        <v>15717.404628357772</v>
      </c>
      <c r="H60" s="20">
        <f>H$77*'增加值 (2001-2022, 当年价) '!H60</f>
        <v>22227.765856134683</v>
      </c>
      <c r="I60" s="20">
        <f>I$77*'增加值 (2001-2022, 当年价) '!I60</f>
        <v>24898.85730634338</v>
      </c>
      <c r="J60" s="20">
        <f>J$77*'增加值 (2001-2022, 当年价) '!J60</f>
        <v>29699.732335281249</v>
      </c>
      <c r="K60" s="21">
        <f>K$77*'增加值 (2001-2022, 当年价) '!K60</f>
        <v>32735.023671667281</v>
      </c>
      <c r="L60" s="19">
        <f>L$77*'增加值 (2001-2022, 当年价) '!L60</f>
        <v>36207.040865314841</v>
      </c>
      <c r="M60" s="20">
        <f>M$77*'增加值 (2001-2022, 当年价) '!M60</f>
        <v>40602.972624593269</v>
      </c>
      <c r="N60" s="20">
        <f>N$77*'增加值 (2001-2022, 当年价) '!N60</f>
        <v>46542.227698753755</v>
      </c>
      <c r="O60" s="20">
        <f>O$77*'增加值 (2001-2022, 当年价) '!O60</f>
        <v>52257.487203405923</v>
      </c>
      <c r="P60" s="21">
        <f>P$77*'增加值 (2001-2022, 当年价) '!P60</f>
        <v>62771.042778023329</v>
      </c>
      <c r="Q60" s="19">
        <f>Q$77*'增加值 (2001-2022, 当年价) '!Q60</f>
        <v>65898.479240726272</v>
      </c>
      <c r="R60" s="20">
        <f>R$77*'增加值 (2001-2022, 当年价) '!R60</f>
        <v>68337.804624444689</v>
      </c>
      <c r="S60" s="20">
        <f>S$77*'增加值 (2001-2022, 当年价) '!S60</f>
        <v>71864.668488840805</v>
      </c>
      <c r="T60" s="20">
        <f>T$77*'增加值 (2001-2022, 当年价) '!T60</f>
        <v>76655.099319507237</v>
      </c>
      <c r="U60" s="20">
        <f>U$77*'增加值 (2001-2022, 当年价) '!U60</f>
        <v>83617.7</v>
      </c>
      <c r="V60" s="19">
        <f>V$77*'增加值 (2001-2022, 当年价) '!V60</f>
        <v>87195.415071666503</v>
      </c>
      <c r="W60" s="20">
        <f>W$77*'增加值 (2001-2022, 当年价) '!W60</f>
        <v>90528.212015436089</v>
      </c>
      <c r="X60" s="90">
        <f>VLOOKUP($A60,平滑数据导入!$A$1:$AN$61,COLUMN(平滑数据导入!C$1),0)</f>
        <v>94538.415553733445</v>
      </c>
      <c r="Y60" s="90">
        <f>VLOOKUP($A60,平滑数据导入!$A$1:$AN$61,COLUMN(平滑数据导入!D$1),0)</f>
        <v>99116.204206572205</v>
      </c>
      <c r="Z60" s="133">
        <f>VLOOKUP(A60,情景假设!$B$29:$S$42,14,0)/情景假设!O$28*Z$56</f>
        <v>104190.44399753914</v>
      </c>
      <c r="AA60" s="90">
        <f>VLOOKUP($A60,平滑数据导入!$A$1:$AN$61,COLUMN(平滑数据导入!F$1),0)</f>
        <v>109671.28164285921</v>
      </c>
      <c r="AB60" s="90">
        <f>VLOOKUP($A60,平滑数据导入!$A$1:$AN$61,COLUMN(平滑数据导入!G$1),0)</f>
        <v>115444.8783319933</v>
      </c>
      <c r="AC60" s="90">
        <f>VLOOKUP($A60,平滑数据导入!$A$1:$AN$61,COLUMN(平滑数据导入!H$1),0)</f>
        <v>121369.0806093361</v>
      </c>
      <c r="AD60" s="90">
        <f>VLOOKUP($A60,平滑数据导入!$A$1:$AN$61,COLUMN(平滑数据导入!I$1),0)</f>
        <v>127270.5768326089</v>
      </c>
      <c r="AE60" s="141">
        <f>VLOOKUP(A60,情景假设!$B$29:$S$42,15,0)/情景假设!P$28*AE$56</f>
        <v>132944.21379650323</v>
      </c>
      <c r="AF60" s="89">
        <f>VLOOKUP($A60,平滑数据导入!$A$1:$AN$61,COLUMN(平滑数据导入!K$1),0)</f>
        <v>138200.16333795019</v>
      </c>
      <c r="AG60" s="90">
        <f>VLOOKUP($A60,平滑数据导入!$A$1:$AN$61,COLUMN(平滑数据导入!L$1),0)</f>
        <v>143016.69740186949</v>
      </c>
      <c r="AH60" s="90">
        <f>VLOOKUP($A60,平滑数据导入!$A$1:$AN$61,COLUMN(平滑数据导入!M$1),0)</f>
        <v>147430.27730587841</v>
      </c>
      <c r="AI60" s="90">
        <f>VLOOKUP($A60,平滑数据导入!$A$1:$AN$61,COLUMN(平滑数据导入!N$1),0)</f>
        <v>151492.46959091121</v>
      </c>
      <c r="AJ60" s="133">
        <f>VLOOKUP(A60,情景假设!$B$29:$S$42,16,0)/情景假设!Q$28*AJ$56</f>
        <v>155268.19719590069</v>
      </c>
      <c r="AK60" s="90">
        <f>VLOOKUP($A60,平滑数据导入!$A$1:$AN$61,COLUMN(平滑数据导入!P$1),0)</f>
        <v>158816.71684749809</v>
      </c>
      <c r="AL60" s="90">
        <f>VLOOKUP($A60,平滑数据导入!$A$1:$AN$61,COLUMN(平滑数据导入!Q$1),0)</f>
        <v>162135.1320546419</v>
      </c>
      <c r="AM60" s="90">
        <f>VLOOKUP($A60,平滑数据导入!$A$1:$AN$61,COLUMN(平滑数据导入!R$1),0)</f>
        <v>165204.81152406131</v>
      </c>
      <c r="AN60" s="90">
        <f>VLOOKUP($A60,平滑数据导入!$A$1:$AN$61,COLUMN(平滑数据导入!S$1),0)</f>
        <v>168008.14403109031</v>
      </c>
      <c r="AO60" s="90">
        <f>VLOOKUP($A60,平滑数据导入!$A$1:$AN$61,COLUMN(平滑数据导入!T$1),0)</f>
        <v>170528.7036987087</v>
      </c>
      <c r="AP60" s="89">
        <f>VLOOKUP($A60,平滑数据导入!$A$1:$AN$61,COLUMN(平滑数据导入!U$1),0)</f>
        <v>172751.40773465449</v>
      </c>
      <c r="AQ60" s="90">
        <f>VLOOKUP($A60,平滑数据导入!$A$1:$AN$61,COLUMN(平滑数据导入!V$1),0)</f>
        <v>174662.66454580019</v>
      </c>
      <c r="AR60" s="90">
        <f>VLOOKUP($A60,平滑数据导入!$A$1:$AN$61,COLUMN(平滑数据导入!W$1),0)</f>
        <v>176250.51022781979</v>
      </c>
      <c r="AS60" s="90">
        <f>VLOOKUP($A60,平滑数据导入!$A$1:$AN$61,COLUMN(平滑数据导入!X$1),0)</f>
        <v>177504.73154113651</v>
      </c>
      <c r="AT60" s="101">
        <f>VLOOKUP($A60,平滑数据导入!$A$1:$AN$61,COLUMN(平滑数据导入!Y$1),0)</f>
        <v>178416.97363015401</v>
      </c>
      <c r="AU60" s="90">
        <f>VLOOKUP($A60,平滑数据导入!$A$1:$AN$61,COLUMN(平滑数据导入!Z$1),0)</f>
        <v>178980.83092002079</v>
      </c>
      <c r="AV60" s="90">
        <f>VLOOKUP($A60,平滑数据导入!$A$1:$AN$61,COLUMN(平滑数据导入!AA$1),0)</f>
        <v>179191.91983126849</v>
      </c>
      <c r="AW60" s="90">
        <f>VLOOKUP($A60,平滑数据导入!$A$1:$AN$61,COLUMN(平滑数据导入!AB$1),0)</f>
        <v>179047.93218443339</v>
      </c>
      <c r="AX60" s="90">
        <f>VLOOKUP($A60,平滑数据导入!$A$1:$AN$61,COLUMN(平滑数据导入!AC$1),0)</f>
        <v>178548.66842057739</v>
      </c>
      <c r="AY60" s="141">
        <f>VLOOKUP(A60,情景假设!$B$29:$S$42,17,0)/情景假设!R$28*AY$56</f>
        <v>177696.05003528664</v>
      </c>
      <c r="AZ60" s="89">
        <f>VLOOKUP($A60,平滑数据导入!$A$1:$AN$61,COLUMN(平滑数据导入!AE$1),0)</f>
        <v>176494.11090858359</v>
      </c>
      <c r="BA60" s="90">
        <f>VLOOKUP($A60,平滑数据导入!$A$1:$AN$61,COLUMN(平滑数据导入!AF$1),0)</f>
        <v>174948.96750628861</v>
      </c>
      <c r="BB60" s="90">
        <f>VLOOKUP($A60,平滑数据导入!$A$1:$AN$61,COLUMN(平滑数据导入!AG$1),0)</f>
        <v>173068.76822451569</v>
      </c>
      <c r="BC60" s="90">
        <f>VLOOKUP($A60,平滑数据导入!$A$1:$AN$61,COLUMN(平滑数据导入!AH$1),0)</f>
        <v>170863.62244285151</v>
      </c>
      <c r="BD60" s="101">
        <f>VLOOKUP($A60,平滑数据导入!$A$1:$AN$61,COLUMN(平滑数据导入!AI$1),0)</f>
        <v>168345.51013798159</v>
      </c>
      <c r="BE60" s="90">
        <f>VLOOKUP($A60,平滑数据导入!$A$1:$AN$61,COLUMN(平滑数据导入!AJ$1),0)</f>
        <v>165528.1731829569</v>
      </c>
      <c r="BF60" s="90">
        <f>VLOOKUP($A60,平滑数据导入!$A$1:$AN$61,COLUMN(平滑数据导入!AK$1),0)</f>
        <v>162426.98971281521</v>
      </c>
      <c r="BG60" s="90">
        <f>VLOOKUP($A60,平滑数据导入!$A$1:$AN$61,COLUMN(平滑数据导入!AL$1),0)</f>
        <v>159058.8331703743</v>
      </c>
      <c r="BH60" s="90">
        <f>VLOOKUP($A60,平滑数据导入!$A$1:$AN$61,COLUMN(平滑数据导入!AM$1),0)</f>
        <v>155441.91785235991</v>
      </c>
      <c r="BI60" s="133">
        <f>VLOOKUP(A60,情景假设!$B$29:$S$42,18,0)/情景假设!S$28*BI$56</f>
        <v>151595.6329520476</v>
      </c>
    </row>
    <row r="61" spans="1:61" s="9" customFormat="1" x14ac:dyDescent="0.2">
      <c r="A61" s="14" t="s">
        <v>8</v>
      </c>
      <c r="B61" s="19">
        <f>B$77*'增加值 (2001-2022, 当年价) '!B61</f>
        <v>8849.7481207415294</v>
      </c>
      <c r="C61" s="20">
        <f>C$77*'增加值 (2001-2022, 当年价) '!C61</f>
        <v>9968.9694766959637</v>
      </c>
      <c r="D61" s="20">
        <f>D$77*'增加值 (2001-2022, 当年价) '!D61</f>
        <v>11210.23682603325</v>
      </c>
      <c r="E61" s="20">
        <f>E$77*'增加值 (2001-2022, 当年价) '!E61</f>
        <v>12174.086673928416</v>
      </c>
      <c r="F61" s="21">
        <f>F$77*'增加值 (2001-2022, 当年价) '!F61</f>
        <v>13897.18752418652</v>
      </c>
      <c r="G61" s="19">
        <f>G$77*'增加值 (2001-2022, 当年价) '!G61</f>
        <v>16266.835276597949</v>
      </c>
      <c r="H61" s="20">
        <f>H$77*'增加值 (2001-2022, 当年价) '!H61</f>
        <v>20054.709273094148</v>
      </c>
      <c r="I61" s="20">
        <f>I$77*'增加值 (2001-2022, 当年价) '!I61</f>
        <v>19815.693481260099</v>
      </c>
      <c r="J61" s="20">
        <f>J$77*'增加值 (2001-2022, 当年价) '!J61</f>
        <v>25515.727051401482</v>
      </c>
      <c r="K61" s="21">
        <f>K$77*'增加值 (2001-2022, 当年价) '!K61</f>
        <v>29673.719962985957</v>
      </c>
      <c r="L61" s="19">
        <f>L$77*'增加值 (2001-2022, 当年价) '!L61</f>
        <v>32713.773617339204</v>
      </c>
      <c r="M61" s="20">
        <f>M$77*'增加值 (2001-2022, 当年价) '!M61</f>
        <v>35399.508787493542</v>
      </c>
      <c r="N61" s="20">
        <f>N$77*'增加值 (2001-2022, 当年价) '!N61</f>
        <v>39832.538462927179</v>
      </c>
      <c r="O61" s="20">
        <f>O$77*'增加值 (2001-2022, 当年价) '!O61</f>
        <v>42479.298420686639</v>
      </c>
      <c r="P61" s="21">
        <f>P$77*'增加值 (2001-2022, 当年价) '!P61</f>
        <v>47467.341287589115</v>
      </c>
      <c r="Q61" s="19">
        <f>Q$77*'增加值 (2001-2022, 当年价) '!Q61</f>
        <v>54914.739986851237</v>
      </c>
      <c r="R61" s="20">
        <f>R$77*'增加值 (2001-2022, 当年价) '!R61</f>
        <v>60161.524062886783</v>
      </c>
      <c r="S61" s="20">
        <f>S$77*'增加值 (2001-2022, 当年价) '!S61</f>
        <v>65771.006096197845</v>
      </c>
      <c r="T61" s="20">
        <f>T$77*'增加值 (2001-2022, 当年价) '!T61</f>
        <v>70818.500320559091</v>
      </c>
      <c r="U61" s="20">
        <f>U$77*'增加值 (2001-2022, 当年价) '!U61</f>
        <v>73425.3</v>
      </c>
      <c r="V61" s="19">
        <f>V$77*'增加值 (2001-2022, 当年价) '!V61</f>
        <v>74150.558181630418</v>
      </c>
      <c r="W61" s="20">
        <f>W$77*'增加值 (2001-2022, 当年价) '!W61</f>
        <v>69030.48514791824</v>
      </c>
      <c r="X61" s="90">
        <f>VLOOKUP($A61,平滑数据导入!$A$1:$AN$61,COLUMN(平滑数据导入!C$1),0)</f>
        <v>72436.596785564383</v>
      </c>
      <c r="Y61" s="90">
        <f>VLOOKUP($A61,平滑数据导入!$A$1:$AN$61,COLUMN(平滑数据导入!D$1),0)</f>
        <v>76029.80094713674</v>
      </c>
      <c r="Z61" s="133">
        <f>VLOOKUP(A61,情景假设!$B$29:$S$42,14,0)/情景假设!O$28*Z$56</f>
        <v>79764.747207664856</v>
      </c>
      <c r="AA61" s="90">
        <f>VLOOKUP($A61,平滑数据导入!$A$1:$AN$61,COLUMN(平滑数据导入!F$1),0)</f>
        <v>83585.718237924346</v>
      </c>
      <c r="AB61" s="90">
        <f>VLOOKUP($A61,平滑数据导入!$A$1:$AN$61,COLUMN(平滑数据导入!G$1),0)</f>
        <v>87425.823408038501</v>
      </c>
      <c r="AC61" s="90">
        <f>VLOOKUP($A61,平滑数据导入!$A$1:$AN$61,COLUMN(平滑数据导入!H$1),0)</f>
        <v>91206.664336196365</v>
      </c>
      <c r="AD61" s="90">
        <f>VLOOKUP($A61,平滑数据导入!$A$1:$AN$61,COLUMN(平滑数据导入!I$1),0)</f>
        <v>94838.619643522121</v>
      </c>
      <c r="AE61" s="141">
        <f>VLOOKUP(A61,情景假设!$B$29:$S$42,15,0)/情景假设!P$28*AE$56</f>
        <v>98221.894701301935</v>
      </c>
      <c r="AF61" s="89">
        <f>VLOOKUP($A61,平滑数据导入!$A$1:$AN$61,COLUMN(平滑数据导入!K$1),0)</f>
        <v>101277.60039462621</v>
      </c>
      <c r="AG61" s="90">
        <f>VLOOKUP($A61,平滑数据导入!$A$1:$AN$61,COLUMN(平滑数据导入!L$1),0)</f>
        <v>104044.212808248</v>
      </c>
      <c r="AH61" s="90">
        <f>VLOOKUP($A61,平滑数据导入!$A$1:$AN$61,COLUMN(平滑数据导入!M$1),0)</f>
        <v>106601.7322931837</v>
      </c>
      <c r="AI61" s="90">
        <f>VLOOKUP($A61,平滑数据导入!$A$1:$AN$61,COLUMN(平滑数据导入!N$1),0)</f>
        <v>109042.2439998187</v>
      </c>
      <c r="AJ61" s="133">
        <f>VLOOKUP(A61,情景假设!$B$29:$S$42,16,0)/情景假设!Q$28*AJ$56</f>
        <v>111468.42395783791</v>
      </c>
      <c r="AK61" s="90">
        <f>VLOOKUP($A61,平滑数据导入!$A$1:$AN$61,COLUMN(平滑数据导入!P$1),0)</f>
        <v>113970.1798874145</v>
      </c>
      <c r="AL61" s="90">
        <f>VLOOKUP($A61,平滑数据导入!$A$1:$AN$61,COLUMN(平滑数据导入!Q$1),0)</f>
        <v>116552.6206587262</v>
      </c>
      <c r="AM61" s="90">
        <f>VLOOKUP($A61,平滑数据导入!$A$1:$AN$61,COLUMN(平滑数据导入!R$1),0)</f>
        <v>119197.4007539592</v>
      </c>
      <c r="AN61" s="90">
        <f>VLOOKUP($A61,平滑数据导入!$A$1:$AN$61,COLUMN(平滑数据导入!S$1),0)</f>
        <v>121884.3532402273</v>
      </c>
      <c r="AO61" s="90">
        <f>VLOOKUP($A61,平滑数据导入!$A$1:$AN$61,COLUMN(平滑数据导入!T$1),0)</f>
        <v>124591.39706867639</v>
      </c>
      <c r="AP61" s="89">
        <f>VLOOKUP($A61,平滑数据导入!$A$1:$AN$61,COLUMN(平滑数据导入!U$1),0)</f>
        <v>127294.4818355622</v>
      </c>
      <c r="AQ61" s="90">
        <f>VLOOKUP($A61,平滑数据导入!$A$1:$AN$61,COLUMN(平滑数据导入!V$1),0)</f>
        <v>129967.5761555917</v>
      </c>
      <c r="AR61" s="90">
        <f>VLOOKUP($A61,平滑数据导入!$A$1:$AN$61,COLUMN(平滑数据导入!W$1),0)</f>
        <v>132582.70595680579</v>
      </c>
      <c r="AS61" s="90">
        <f>VLOOKUP($A61,平滑数据导入!$A$1:$AN$61,COLUMN(平滑数据导入!X$1),0)</f>
        <v>135110.04891153431</v>
      </c>
      <c r="AT61" s="101">
        <f>VLOOKUP($A61,平滑数据导入!$A$1:$AN$61,COLUMN(平滑数据导入!Y$1),0)</f>
        <v>137518.0908241932</v>
      </c>
      <c r="AU61" s="90">
        <f>VLOOKUP($A61,平滑数据导入!$A$1:$AN$61,COLUMN(平滑数据导入!Z$1),0)</f>
        <v>139773.84906127889</v>
      </c>
      <c r="AV61" s="90">
        <f>VLOOKUP($A61,平滑数据导入!$A$1:$AN$61,COLUMN(平滑数据导入!AA$1),0)</f>
        <v>141843.16699581771</v>
      </c>
      <c r="AW61" s="90">
        <f>VLOOKUP($A61,平滑数据导入!$A$1:$AN$61,COLUMN(平滑数据导入!AB$1),0)</f>
        <v>143691.0819219682</v>
      </c>
      <c r="AX61" s="90">
        <f>VLOOKUP($A61,平滑数据导入!$A$1:$AN$61,COLUMN(平滑数据导入!AC$1),0)</f>
        <v>145282.2669645565</v>
      </c>
      <c r="AY61" s="141">
        <f>VLOOKUP(A61,情景假设!$B$29:$S$42,17,0)/情景假设!R$28*AY$56</f>
        <v>146581.5451712535</v>
      </c>
      <c r="AZ61" s="89">
        <f>VLOOKUP($A61,平滑数据导入!$A$1:$AN$61,COLUMN(平滑数据导入!AE$1),0)</f>
        <v>147554.47126353841</v>
      </c>
      <c r="BA61" s="90">
        <f>VLOOKUP($A61,平滑数据导入!$A$1:$AN$61,COLUMN(平滑数据导入!AF$1),0)</f>
        <v>148167.97349513051</v>
      </c>
      <c r="BB61" s="90">
        <f>VLOOKUP($A61,平滑数据导入!$A$1:$AN$61,COLUMN(平滑数据导入!AG$1),0)</f>
        <v>148391.0448114801</v>
      </c>
      <c r="BC61" s="90">
        <f>VLOOKUP($A61,平滑数据导入!$A$1:$AN$61,COLUMN(平滑数据导入!AH$1),0)</f>
        <v>148195.46914005381</v>
      </c>
      <c r="BD61" s="101">
        <f>VLOOKUP($A61,平滑数据导入!$A$1:$AN$61,COLUMN(平滑数据导入!AI$1),0)</f>
        <v>147556.56531727291</v>
      </c>
      <c r="BE61" s="90">
        <f>VLOOKUP($A61,平滑数据导入!$A$1:$AN$61,COLUMN(平滑数据导入!AJ$1),0)</f>
        <v>146453.92804936389</v>
      </c>
      <c r="BF61" s="90">
        <f>VLOOKUP($A61,平滑数据导入!$A$1:$AN$61,COLUMN(平滑数据导入!AK$1),0)</f>
        <v>144872.14260705459</v>
      </c>
      <c r="BG61" s="90">
        <f>VLOOKUP($A61,平滑数据导入!$A$1:$AN$61,COLUMN(平滑数据导入!AL$1),0)</f>
        <v>142801.44787598739</v>
      </c>
      <c r="BH61" s="90">
        <f>VLOOKUP($A61,平滑数据导入!$A$1:$AN$61,COLUMN(平滑数据导入!AM$1),0)</f>
        <v>140238.32113434459</v>
      </c>
      <c r="BI61" s="133">
        <f>VLOOKUP(A61,情景假设!$B$29:$S$42,18,0)/情景假设!S$28*BI$56</f>
        <v>137185.95770165289</v>
      </c>
    </row>
    <row r="62" spans="1:61" x14ac:dyDescent="0.2">
      <c r="A62" s="33" t="s">
        <v>36</v>
      </c>
      <c r="B62" s="19"/>
      <c r="C62" s="20"/>
      <c r="D62" s="20"/>
      <c r="E62" s="20"/>
      <c r="F62" s="21"/>
      <c r="G62" s="19"/>
      <c r="H62" s="20"/>
      <c r="I62" s="20"/>
      <c r="J62" s="20"/>
      <c r="K62" s="21">
        <f>K$77*'增加值 (2001-2022, 当年价) '!K62</f>
        <v>11512.104788054585</v>
      </c>
      <c r="L62" s="19">
        <f>L$77*'增加值 (2001-2022, 当年价) '!L62</f>
        <v>12134.643632880272</v>
      </c>
      <c r="M62" s="20">
        <f>M$77*'增加值 (2001-2022, 当年价) '!M62</f>
        <v>13731.513190189038</v>
      </c>
      <c r="N62" s="20">
        <f>N$77*'增加值 (2001-2022, 当年价) '!N62</f>
        <v>15474.890022027235</v>
      </c>
      <c r="O62" s="20">
        <f>O$77*'增加值 (2001-2022, 当年价) '!O62</f>
        <v>17254.984302718942</v>
      </c>
      <c r="P62" s="21">
        <f>P$77*'增加值 (2001-2022, 当年价) '!P62</f>
        <v>19530.225722543935</v>
      </c>
      <c r="Q62" s="19">
        <f>Q$77*'增加值 (2001-2022, 当年价) '!Q62</f>
        <v>22115.729205661723</v>
      </c>
      <c r="R62" s="20">
        <f>R$77*'增加值 (2001-2022, 当年价) '!R62</f>
        <v>25091.611082592321</v>
      </c>
      <c r="S62" s="20">
        <f>S$77*'增加值 (2001-2022, 当年价) '!S62</f>
        <v>29243.941068429212</v>
      </c>
      <c r="T62" s="20">
        <f>T$77*'增加值 (2001-2022, 当年价) '!T62</f>
        <v>33568.93907008104</v>
      </c>
      <c r="U62" s="20">
        <f>U$77*'增加值 (2001-2022, 当年价) '!U62</f>
        <v>38244.1</v>
      </c>
      <c r="V62" s="89">
        <f>V$77*'增加值 (2001-2022, 当年价) '!V62</f>
        <v>40828.762535731257</v>
      </c>
      <c r="W62" s="90">
        <f>W$77*'增加值 (2001-2022, 当年价) '!W62</f>
        <v>42091.75905114122</v>
      </c>
      <c r="X62" s="90">
        <f>VLOOKUP($A62,平滑数据导入!$A$1:$AN$61,COLUMN(平滑数据导入!C$1),0)</f>
        <v>47647.43232378018</v>
      </c>
      <c r="Y62" s="90">
        <f>VLOOKUP($A62,平滑数据导入!$A$1:$AN$61,COLUMN(平滑数据导入!D$1),0)</f>
        <v>53866.388160768147</v>
      </c>
      <c r="Z62" s="133">
        <f>VLOOKUP(A62,情景假设!$B$29:$S$42,14,0)/情景假设!O$28*Z$56</f>
        <v>60782.886884931671</v>
      </c>
      <c r="AA62" s="90">
        <f>VLOOKUP($A62,平滑数据导入!$A$1:$AN$61,COLUMN(平滑数据导入!F$1),0)</f>
        <v>68419.372431691809</v>
      </c>
      <c r="AB62" s="90">
        <f>VLOOKUP($A62,平滑数据导入!$A$1:$AN$61,COLUMN(平滑数据导入!G$1),0)</f>
        <v>76782.160883105942</v>
      </c>
      <c r="AC62" s="90">
        <f>VLOOKUP($A62,平滑数据导入!$A$1:$AN$61,COLUMN(平滑数据导入!H$1),0)</f>
        <v>85856.70934065347</v>
      </c>
      <c r="AD62" s="90">
        <f>VLOOKUP($A62,平滑数据导入!$A$1:$AN$61,COLUMN(平滑数据导入!I$1),0)</f>
        <v>95602.664589621141</v>
      </c>
      <c r="AE62" s="141">
        <f>VLOOKUP(A62,情景假设!$B$29:$S$42,15,0)/情景假设!P$28*AE$56</f>
        <v>105948.98190268177</v>
      </c>
      <c r="AF62" s="89">
        <f>VLOOKUP($A62,平滑数据导入!$A$1:$AN$61,COLUMN(平滑数据导入!K$1),0)</f>
        <v>116815.0423761994</v>
      </c>
      <c r="AG62" s="90">
        <f>VLOOKUP($A62,平滑数据导入!$A$1:$AN$61,COLUMN(平滑数据导入!L$1),0)</f>
        <v>128203.5362606328</v>
      </c>
      <c r="AH62" s="90">
        <f>VLOOKUP($A62,平滑数据导入!$A$1:$AN$61,COLUMN(平滑数据导入!M$1),0)</f>
        <v>140158.52624017661</v>
      </c>
      <c r="AI62" s="90">
        <f>VLOOKUP($A62,平滑数据导入!$A$1:$AN$61,COLUMN(平滑数据导入!N$1),0)</f>
        <v>152748.29008057629</v>
      </c>
      <c r="AJ62" s="133">
        <f>VLOOKUP(A62,情景假设!$B$29:$S$42,16,0)/情景假设!Q$28*AJ$56</f>
        <v>166069.37186368078</v>
      </c>
      <c r="AK62" s="90">
        <f>VLOOKUP($A62,平滑数据导入!$A$1:$AN$61,COLUMN(平滑数据导入!P$1),0)</f>
        <v>180228.38570138981</v>
      </c>
      <c r="AL62" s="90">
        <f>VLOOKUP($A62,平滑数据导入!$A$1:$AN$61,COLUMN(平滑数据导入!Q$1),0)</f>
        <v>195263.80143585501</v>
      </c>
      <c r="AM62" s="90">
        <f>VLOOKUP($A62,平滑数据导入!$A$1:$AN$61,COLUMN(平滑数据导入!R$1),0)</f>
        <v>211190.65548441219</v>
      </c>
      <c r="AN62" s="90">
        <f>VLOOKUP($A62,平滑数据导入!$A$1:$AN$61,COLUMN(平滑数据导入!S$1),0)</f>
        <v>228019.2855852611</v>
      </c>
      <c r="AO62" s="90">
        <f>VLOOKUP($A62,平滑数据导入!$A$1:$AN$61,COLUMN(平滑数据导入!T$1),0)</f>
        <v>245754.73880438469</v>
      </c>
      <c r="AP62" s="89">
        <f>VLOOKUP($A62,平滑数据导入!$A$1:$AN$61,COLUMN(平滑数据导入!U$1),0)</f>
        <v>264396.17775477021</v>
      </c>
      <c r="AQ62" s="90">
        <f>VLOOKUP($A62,平滑数据导入!$A$1:$AN$61,COLUMN(平滑数据导入!V$1),0)</f>
        <v>283936.29346122988</v>
      </c>
      <c r="AR62" s="90">
        <f>VLOOKUP($A62,平滑数据导入!$A$1:$AN$61,COLUMN(平滑数据导入!W$1),0)</f>
        <v>304360.73419157829</v>
      </c>
      <c r="AS62" s="90">
        <f>VLOOKUP($A62,平滑数据导入!$A$1:$AN$61,COLUMN(平滑数据导入!X$1),0)</f>
        <v>325647.56038604851</v>
      </c>
      <c r="AT62" s="101">
        <f>VLOOKUP($A62,平滑数据导入!$A$1:$AN$61,COLUMN(平滑数据导入!Y$1),0)</f>
        <v>347766.7365235702</v>
      </c>
      <c r="AU62" s="90">
        <f>VLOOKUP($A62,平滑数据导入!$A$1:$AN$61,COLUMN(平滑数据导入!Z$1),0)</f>
        <v>370679.67133672949</v>
      </c>
      <c r="AV62" s="90">
        <f>VLOOKUP($A62,平滑数据导入!$A$1:$AN$61,COLUMN(平滑数据导入!AA$1),0)</f>
        <v>394338.81819739268</v>
      </c>
      <c r="AW62" s="90">
        <f>VLOOKUP($A62,平滑数据导入!$A$1:$AN$61,COLUMN(平滑数据导入!AB$1),0)</f>
        <v>418687.34771315602</v>
      </c>
      <c r="AX62" s="90">
        <f>VLOOKUP($A62,平滑数据导入!$A$1:$AN$61,COLUMN(平滑数据导入!AC$1),0)</f>
        <v>443658.90457317058</v>
      </c>
      <c r="AY62" s="141">
        <f>VLOOKUP(A62,情景假设!$B$29:$S$42,17,0)/情景假设!R$28*AY$56</f>
        <v>469177.46043525141</v>
      </c>
      <c r="AZ62" s="89">
        <f>VLOOKUP($A62,平滑数据导入!$A$1:$AN$61,COLUMN(平滑数据导入!AE$1),0)</f>
        <v>495157.27413231001</v>
      </c>
      <c r="BA62" s="90">
        <f>VLOOKUP($A62,平滑数据导入!$A$1:$AN$61,COLUMN(平滑数据导入!AF$1),0)</f>
        <v>521502.96967744798</v>
      </c>
      <c r="BB62" s="90">
        <f>VLOOKUP($A62,平滑数据导入!$A$1:$AN$61,COLUMN(平滑数据导入!AG$1),0)</f>
        <v>548109.7414511923</v>
      </c>
      <c r="BC62" s="90">
        <f>VLOOKUP($A62,平滑数据导入!$A$1:$AN$61,COLUMN(平滑数据导入!AH$1),0)</f>
        <v>574863.69455542089</v>
      </c>
      <c r="BD62" s="101">
        <f>VLOOKUP($A62,平滑数据导入!$A$1:$AN$61,COLUMN(平滑数据导入!AI$1),0)</f>
        <v>601642.3266180841</v>
      </c>
      <c r="BE62" s="90">
        <f>VLOOKUP($A62,平滑数据导入!$A$1:$AN$61,COLUMN(平滑数据导入!AJ$1),0)</f>
        <v>628315.1553401784</v>
      </c>
      <c r="BF62" s="90">
        <f>VLOOKUP($A62,平滑数据导入!$A$1:$AN$61,COLUMN(平滑数据导入!AK$1),0)</f>
        <v>654744.49381011701</v>
      </c>
      <c r="BG62" s="90">
        <f>VLOOKUP($A62,平滑数据导入!$A$1:$AN$61,COLUMN(平滑数据导入!AL$1),0)</f>
        <v>680786.37309788761</v>
      </c>
      <c r="BH62" s="90">
        <f>VLOOKUP($A62,平滑数据导入!$A$1:$AN$61,COLUMN(平滑数据导入!AM$1),0)</f>
        <v>706291.60891891317</v>
      </c>
      <c r="BI62" s="133">
        <f>VLOOKUP(A62,情景假设!$B$29:$S$42,18,0)/情景假设!S$28*BI$56</f>
        <v>731107.00627126999</v>
      </c>
    </row>
    <row r="63" spans="1:61" x14ac:dyDescent="0.2">
      <c r="A63" s="33" t="s">
        <v>37</v>
      </c>
      <c r="B63" s="19"/>
      <c r="C63" s="20"/>
      <c r="D63" s="20"/>
      <c r="E63" s="20"/>
      <c r="F63" s="21"/>
      <c r="G63" s="19"/>
      <c r="H63" s="20"/>
      <c r="I63" s="20"/>
      <c r="J63" s="20"/>
      <c r="K63" s="21">
        <f>K$77*'增加值 (2001-2022, 当年价) '!K63</f>
        <v>9235.1766732951</v>
      </c>
      <c r="L63" s="19">
        <f>L$77*'增加值 (2001-2022, 当年价) '!L63</f>
        <v>10775.019036718917</v>
      </c>
      <c r="M63" s="20">
        <f>M$77*'增加值 (2001-2022, 当年价) '!M63</f>
        <v>12532.839010693882</v>
      </c>
      <c r="N63" s="20">
        <f>N$77*'增加值 (2001-2022, 当年价) '!N63</f>
        <v>14545.249222143182</v>
      </c>
      <c r="O63" s="20">
        <f>O$77*'增加值 (2001-2022, 当年价) '!O63</f>
        <v>17233.458234108643</v>
      </c>
      <c r="P63" s="21">
        <f>P$77*'增加值 (2001-2022, 当年价) '!P63</f>
        <v>20168.976311489714</v>
      </c>
      <c r="Q63" s="19">
        <f>Q$77*'增加值 (2001-2022, 当年价) '!Q63</f>
        <v>23659.228873689208</v>
      </c>
      <c r="R63" s="20">
        <f>R$77*'增加值 (2001-2022, 当年价) '!R63</f>
        <v>26634.906038232781</v>
      </c>
      <c r="S63" s="20">
        <f>S$77*'增加值 (2001-2022, 当年价) '!S63</f>
        <v>29991.998098909156</v>
      </c>
      <c r="T63" s="20">
        <f>T$77*'增加值 (2001-2022, 当年价) '!T63</f>
        <v>32811.140261061249</v>
      </c>
      <c r="U63" s="20">
        <f>U$77*'增加值 (2001-2022, 当年价) '!U63</f>
        <v>32467.599999999999</v>
      </c>
      <c r="V63" s="89">
        <f>V$77*'增加值 (2001-2022, 当年价) '!V63</f>
        <v>34661.867595396638</v>
      </c>
      <c r="W63" s="90">
        <f>W$77*'增加值 (2001-2022, 当年价) '!W63</f>
        <v>35734.097446895939</v>
      </c>
      <c r="X63" s="90">
        <f>VLOOKUP($A63,平滑数据导入!$A$1:$AN$61,COLUMN(平滑数据导入!C$1),0)</f>
        <v>39327.475571755</v>
      </c>
      <c r="Y63" s="90">
        <f>VLOOKUP($A63,平滑数据导入!$A$1:$AN$61,COLUMN(平滑数据导入!D$1),0)</f>
        <v>43258.822547031283</v>
      </c>
      <c r="Z63" s="133">
        <f>VLOOKUP(A63,情景假设!$B$29:$S$42,14,0)/情景假设!O$28*Z$56</f>
        <v>47528.759607043845</v>
      </c>
      <c r="AA63" s="90">
        <f>VLOOKUP($A63,平滑数据导入!$A$1:$AN$61,COLUMN(平滑数据导入!F$1),0)</f>
        <v>52128.978902323979</v>
      </c>
      <c r="AB63" s="90">
        <f>VLOOKUP($A63,平滑数据导入!$A$1:$AN$61,COLUMN(平滑数据导入!G$1),0)</f>
        <v>57040.15506899367</v>
      </c>
      <c r="AC63" s="90">
        <f>VLOOKUP($A63,平滑数据导入!$A$1:$AN$61,COLUMN(平滑数据导入!H$1),0)</f>
        <v>62229.843471713939</v>
      </c>
      <c r="AD63" s="90">
        <f>VLOOKUP($A63,平滑数据导入!$A$1:$AN$61,COLUMN(平滑数据导入!I$1),0)</f>
        <v>67650.504753539091</v>
      </c>
      <c r="AE63" s="141">
        <f>VLOOKUP(A63,情景假设!$B$29:$S$42,15,0)/情景假设!P$28*AE$56</f>
        <v>73237.832988082402</v>
      </c>
      <c r="AF63" s="89">
        <f>VLOOKUP($A63,平滑数据导入!$A$1:$AN$61,COLUMN(平滑数据导入!K$1),0)</f>
        <v>78926.687348438732</v>
      </c>
      <c r="AG63" s="90">
        <f>VLOOKUP($A63,平滑数据导入!$A$1:$AN$61,COLUMN(平滑数据导入!L$1),0)</f>
        <v>84711.860353247059</v>
      </c>
      <c r="AH63" s="90">
        <f>VLOOKUP($A63,平滑数据导入!$A$1:$AN$61,COLUMN(平滑数据导入!M$1),0)</f>
        <v>90614.681977084576</v>
      </c>
      <c r="AI63" s="90">
        <f>VLOOKUP($A63,平滑数据导入!$A$1:$AN$61,COLUMN(平滑数据导入!N$1),0)</f>
        <v>96669.390801621528</v>
      </c>
      <c r="AJ63" s="133">
        <f>VLOOKUP(A63,情景假设!$B$29:$S$42,16,0)/情景假设!Q$28*AJ$56</f>
        <v>102924.20132046423</v>
      </c>
      <c r="AK63" s="90">
        <f>VLOOKUP($A63,平滑数据导入!$A$1:$AN$61,COLUMN(平滑数据导入!P$1),0)</f>
        <v>109428.90294915131</v>
      </c>
      <c r="AL63" s="90">
        <f>VLOOKUP($A63,平滑数据导入!$A$1:$AN$61,COLUMN(平滑数据导入!Q$1),0)</f>
        <v>116188.7034419069</v>
      </c>
      <c r="AM63" s="90">
        <f>VLOOKUP($A63,平滑数据导入!$A$1:$AN$61,COLUMN(平滑数据导入!R$1),0)</f>
        <v>123194.19403986901</v>
      </c>
      <c r="AN63" s="90">
        <f>VLOOKUP($A63,平滑数据导入!$A$1:$AN$61,COLUMN(平滑数据导入!S$1),0)</f>
        <v>130433.2170208615</v>
      </c>
      <c r="AO63" s="90">
        <f>VLOOKUP($A63,平滑数据导入!$A$1:$AN$61,COLUMN(平滑数据导入!T$1),0)</f>
        <v>137890.69355339339</v>
      </c>
      <c r="AP63" s="89">
        <f>VLOOKUP($A63,平滑数据导入!$A$1:$AN$61,COLUMN(平滑数据导入!U$1),0)</f>
        <v>145548.47041198489</v>
      </c>
      <c r="AQ63" s="90">
        <f>VLOOKUP($A63,平滑数据导入!$A$1:$AN$61,COLUMN(平滑数据导入!V$1),0)</f>
        <v>153385.19047849579</v>
      </c>
      <c r="AR63" s="90">
        <f>VLOOKUP($A63,平滑数据导入!$A$1:$AN$61,COLUMN(平滑数据导入!W$1),0)</f>
        <v>161376.1921421983</v>
      </c>
      <c r="AS63" s="90">
        <f>VLOOKUP($A63,平滑数据导入!$A$1:$AN$61,COLUMN(平滑数据导入!X$1),0)</f>
        <v>169493.4428063455</v>
      </c>
      <c r="AT63" s="101">
        <f>VLOOKUP($A63,平滑数据导入!$A$1:$AN$61,COLUMN(平滑数据导入!Y$1),0)</f>
        <v>177705.51169427999</v>
      </c>
      <c r="AU63" s="90">
        <f>VLOOKUP($A63,平滑数据导入!$A$1:$AN$61,COLUMN(平滑数据导入!Z$1),0)</f>
        <v>185977.58700794351</v>
      </c>
      <c r="AV63" s="90">
        <f>VLOOKUP($A63,平滑数据导入!$A$1:$AN$61,COLUMN(平滑数据导入!AA$1),0)</f>
        <v>194271.54221158021</v>
      </c>
      <c r="AW63" s="90">
        <f>VLOOKUP($A63,平滑数据导入!$A$1:$AN$61,COLUMN(平滑数据导入!AB$1),0)</f>
        <v>202546.0557812902</v>
      </c>
      <c r="AX63" s="90">
        <f>VLOOKUP($A63,平滑数据导入!$A$1:$AN$61,COLUMN(平滑数据导入!AC$1),0)</f>
        <v>210756.7881676486</v>
      </c>
      <c r="AY63" s="141">
        <f>VLOOKUP(A63,情景假设!$B$29:$S$42,17,0)/情景假设!R$28*AY$56</f>
        <v>218856.61895830036</v>
      </c>
      <c r="AZ63" s="89">
        <f>VLOOKUP($A63,平滑数据导入!$A$1:$AN$61,COLUMN(平滑数据导入!AE$1),0)</f>
        <v>226795.94629932911</v>
      </c>
      <c r="BA63" s="90">
        <f>VLOOKUP($A63,平滑数据导入!$A$1:$AN$61,COLUMN(平滑数据导入!AF$1),0)</f>
        <v>234523.04954248201</v>
      </c>
      <c r="BB63" s="90">
        <f>VLOOKUP($A63,平滑数据导入!$A$1:$AN$61,COLUMN(平滑数据导入!AG$1),0)</f>
        <v>241984.51484006611</v>
      </c>
      <c r="BC63" s="90">
        <f>VLOOKUP($A63,平滑数据导入!$A$1:$AN$61,COLUMN(平滑数据导入!AH$1),0)</f>
        <v>249125.7220269448</v>
      </c>
      <c r="BD63" s="101">
        <f>VLOOKUP($A63,平滑数据导入!$A$1:$AN$61,COLUMN(平滑数据导入!AI$1),0)</f>
        <v>255891.38963262801</v>
      </c>
      <c r="BE63" s="90">
        <f>VLOOKUP($A63,平滑数据导入!$A$1:$AN$61,COLUMN(平滑数据导入!AJ$1),0)</f>
        <v>262226.17328560492</v>
      </c>
      <c r="BF63" s="90">
        <f>VLOOKUP($A63,平滑数据导入!$A$1:$AN$61,COLUMN(平滑数据导入!AK$1),0)</f>
        <v>268075.31114324607</v>
      </c>
      <c r="BG63" s="90">
        <f>VLOOKUP($A63,平滑数据导入!$A$1:$AN$61,COLUMN(平滑数据导入!AL$1),0)</f>
        <v>273385.30834599258</v>
      </c>
      <c r="BH63" s="90">
        <f>VLOOKUP($A63,平滑数据导入!$A$1:$AN$61,COLUMN(平滑数据导入!AM$1),0)</f>
        <v>278104.65090179618</v>
      </c>
      <c r="BI63" s="133">
        <f>VLOOKUP(A63,情景假设!$B$29:$S$42,18,0)/情景假设!S$28*BI$56</f>
        <v>282184.53790764866</v>
      </c>
    </row>
    <row r="64" spans="1:61" x14ac:dyDescent="0.2">
      <c r="A64" s="33" t="s">
        <v>38</v>
      </c>
      <c r="B64" s="19"/>
      <c r="C64" s="20"/>
      <c r="D64" s="20"/>
      <c r="E64" s="20"/>
      <c r="F64" s="21"/>
      <c r="G64" s="19"/>
      <c r="H64" s="20"/>
      <c r="I64" s="20"/>
      <c r="J64" s="20"/>
      <c r="K64" s="21">
        <f>K$77*'增加值 (2001-2022, 当年价) '!K64</f>
        <v>8223.2227567125155</v>
      </c>
      <c r="L64" s="19">
        <f>L$77*'增加值 (2001-2022, 当年价) '!L64</f>
        <v>9355.5737844991854</v>
      </c>
      <c r="M64" s="20">
        <f>M$77*'增加值 (2001-2022, 当年价) '!M64</f>
        <v>10885.223190938372</v>
      </c>
      <c r="N64" s="20">
        <f>N$77*'增加值 (2001-2022, 当年价) '!N64</f>
        <v>12424.365258586176</v>
      </c>
      <c r="O64" s="20">
        <f>O$77*'增加值 (2001-2022, 当年价) '!O64</f>
        <v>13914.986113061001</v>
      </c>
      <c r="P64" s="21">
        <f>P$77*'增加值 (2001-2022, 当年价) '!P64</f>
        <v>15483.430230071255</v>
      </c>
      <c r="Q64" s="19">
        <f>Q$77*'增加值 (2001-2022, 当年价) '!Q64</f>
        <v>16917.723452864859</v>
      </c>
      <c r="R64" s="20">
        <f>R$77*'增加值 (2001-2022, 当年价) '!R64</f>
        <v>18384.538044701698</v>
      </c>
      <c r="S64" s="20">
        <f>S$77*'增加值 (2001-2022, 当年价) '!S64</f>
        <v>20533.707492574169</v>
      </c>
      <c r="T64" s="20">
        <f>T$77*'增加值 (2001-2022, 当年价) '!T64</f>
        <v>22744.318910727616</v>
      </c>
      <c r="U64" s="20">
        <f>U$77*'增加值 (2001-2022, 当年价) '!U64</f>
        <v>24166.2</v>
      </c>
      <c r="V64" s="89">
        <f>V$77*'增加值 (2001-2022, 当年价) '!V64</f>
        <v>25799.431577445641</v>
      </c>
      <c r="W64" s="90">
        <f>W$77*'增加值 (2001-2022, 当年价) '!W64</f>
        <v>26597.51092538951</v>
      </c>
      <c r="X64" s="90">
        <f>VLOOKUP($A64,平滑数据导入!$A$1:$AN$61,COLUMN(平滑数据导入!C$1),0)</f>
        <v>28990.32900111888</v>
      </c>
      <c r="Y64" s="90">
        <f>VLOOKUP($A64,平滑数据导入!$A$1:$AN$61,COLUMN(平滑数据导入!D$1),0)</f>
        <v>31589.728954007231</v>
      </c>
      <c r="Z64" s="133">
        <f>VLOOKUP(A64,情景假设!$B$29:$S$42,14,0)/情景假设!O$28*Z$56</f>
        <v>34391.648063235451</v>
      </c>
      <c r="AA64" s="90">
        <f>VLOOKUP($A64,平滑数据导入!$A$1:$AN$61,COLUMN(平滑数据导入!F$1),0)</f>
        <v>37385.925334768748</v>
      </c>
      <c r="AB64" s="90">
        <f>VLOOKUP($A64,平滑数据导入!$A$1:$AN$61,COLUMN(平滑数据导入!G$1),0)</f>
        <v>40555.061472579917</v>
      </c>
      <c r="AC64" s="90">
        <f>VLOOKUP($A64,平滑数据导入!$A$1:$AN$61,COLUMN(平滑数据导入!H$1),0)</f>
        <v>43873.017205319957</v>
      </c>
      <c r="AD64" s="90">
        <f>VLOOKUP($A64,平滑数据导入!$A$1:$AN$61,COLUMN(平滑数据导入!I$1),0)</f>
        <v>47304.142557618346</v>
      </c>
      <c r="AE64" s="141">
        <f>VLOOKUP(A64,情景假设!$B$29:$S$42,15,0)/情景假设!P$28*AE$56</f>
        <v>50802.35049201631</v>
      </c>
      <c r="AF64" s="89">
        <f>VLOOKUP($A64,平滑数据导入!$A$1:$AN$61,COLUMN(平滑数据导入!K$1),0)</f>
        <v>54322.387943602007</v>
      </c>
      <c r="AG64" s="90">
        <f>VLOOKUP($A64,平滑数据导入!$A$1:$AN$61,COLUMN(平滑数据导入!L$1),0)</f>
        <v>57861.100522052213</v>
      </c>
      <c r="AH64" s="90">
        <f>VLOOKUP($A64,平滑数据导入!$A$1:$AN$61,COLUMN(平滑数据导入!M$1),0)</f>
        <v>61433.240389035338</v>
      </c>
      <c r="AI64" s="90">
        <f>VLOOKUP($A64,平滑数据导入!$A$1:$AN$61,COLUMN(平滑数据导入!N$1),0)</f>
        <v>65061.663036756217</v>
      </c>
      <c r="AJ64" s="133">
        <f>VLOOKUP(A64,情景假设!$B$29:$S$42,16,0)/情景假设!Q$28*AJ$56</f>
        <v>68777.756569293138</v>
      </c>
      <c r="AK64" s="90">
        <f>VLOOKUP($A64,平滑数据导入!$A$1:$AN$61,COLUMN(平滑数据导入!P$1),0)</f>
        <v>72612.969021459503</v>
      </c>
      <c r="AL64" s="90">
        <f>VLOOKUP($A64,平滑数据导入!$A$1:$AN$61,COLUMN(平滑数据导入!Q$1),0)</f>
        <v>76568.559185634032</v>
      </c>
      <c r="AM64" s="90">
        <f>VLOOKUP($A64,平滑数据导入!$A$1:$AN$61,COLUMN(平滑数据导入!R$1),0)</f>
        <v>80636.138562949345</v>
      </c>
      <c r="AN64" s="90">
        <f>VLOOKUP($A64,平滑数据导入!$A$1:$AN$61,COLUMN(平滑数据导入!S$1),0)</f>
        <v>84805.655126006954</v>
      </c>
      <c r="AO64" s="90">
        <f>VLOOKUP($A64,平滑数据导入!$A$1:$AN$61,COLUMN(平滑数据导入!T$1),0)</f>
        <v>89065.318225714858</v>
      </c>
      <c r="AP64" s="89">
        <f>VLOOKUP($A64,平滑数据导入!$A$1:$AN$61,COLUMN(平滑数据导入!U$1),0)</f>
        <v>93401.538539630172</v>
      </c>
      <c r="AQ64" s="90">
        <f>VLOOKUP($A64,平滑数据导入!$A$1:$AN$61,COLUMN(平滑数据导入!V$1),0)</f>
        <v>97798.886039395293</v>
      </c>
      <c r="AR64" s="90">
        <f>VLOOKUP($A64,平滑数据导入!$A$1:$AN$61,COLUMN(平滑数据导入!W$1),0)</f>
        <v>102240.06899250951</v>
      </c>
      <c r="AS64" s="90">
        <f>VLOOKUP($A64,平滑数据导入!$A$1:$AN$61,COLUMN(平滑数据导入!X$1),0)</f>
        <v>106705.9369828253</v>
      </c>
      <c r="AT64" s="101">
        <f>VLOOKUP($A64,平滑数据导入!$A$1:$AN$61,COLUMN(平滑数据导入!Y$1),0)</f>
        <v>111175.5108249827</v>
      </c>
      <c r="AU64" s="90">
        <f>VLOOKUP($A64,平滑数据导入!$A$1:$AN$61,COLUMN(平滑数据导入!Z$1),0)</f>
        <v>115626.0420515741</v>
      </c>
      <c r="AV64" s="90">
        <f>VLOOKUP($A64,平滑数据导入!$A$1:$AN$61,COLUMN(平滑数据导入!AA$1),0)</f>
        <v>120033.1043607248</v>
      </c>
      <c r="AW64" s="90">
        <f>VLOOKUP($A64,平滑数据导入!$A$1:$AN$61,COLUMN(平滑数据导入!AB$1),0)</f>
        <v>124370.7190203966</v>
      </c>
      <c r="AX64" s="90">
        <f>VLOOKUP($A64,平滑数据导入!$A$1:$AN$61,COLUMN(平滑数据导入!AC$1),0)</f>
        <v>128611.51573100391</v>
      </c>
      <c r="AY64" s="141">
        <f>VLOOKUP(A64,情景假设!$B$29:$S$42,17,0)/情景假设!R$28*AY$56</f>
        <v>132726.9298497675</v>
      </c>
      <c r="AZ64" s="89">
        <f>VLOOKUP($A64,平滑数据导入!$A$1:$AN$61,COLUMN(平滑数据导入!AE$1),0)</f>
        <v>136687.43618196991</v>
      </c>
      <c r="BA64" s="90">
        <f>VLOOKUP($A64,平滑数据导入!$A$1:$AN$61,COLUMN(平滑数据导入!AF$1),0)</f>
        <v>140462.81875314639</v>
      </c>
      <c r="BB64" s="90">
        <f>VLOOKUP($A64,平滑数据导入!$A$1:$AN$61,COLUMN(平滑数据导入!AG$1),0)</f>
        <v>144022.47510370289</v>
      </c>
      <c r="BC64" s="90">
        <f>VLOOKUP($A64,平滑数据导入!$A$1:$AN$61,COLUMN(平滑数据导入!AH$1),0)</f>
        <v>147335.75270931769</v>
      </c>
      <c r="BD64" s="101">
        <f>VLOOKUP($A64,平滑数据导入!$A$1:$AN$61,COLUMN(平滑数据导入!AI$1),0)</f>
        <v>150372.31414704971</v>
      </c>
      <c r="BE64" s="90">
        <f>VLOOKUP($A64,平滑数据导入!$A$1:$AN$61,COLUMN(平滑数据导入!AJ$1),0)</f>
        <v>153102.52662289579</v>
      </c>
      <c r="BF64" s="90">
        <f>VLOOKUP($A64,平滑数据导入!$A$1:$AN$61,COLUMN(平滑数据导入!AK$1),0)</f>
        <v>155497.87048016911</v>
      </c>
      <c r="BG64" s="90">
        <f>VLOOKUP($A64,平滑数据导入!$A$1:$AN$61,COLUMN(平滑数据导入!AL$1),0)</f>
        <v>157531.36035130639</v>
      </c>
      <c r="BH64" s="90">
        <f>VLOOKUP($A64,平滑数据导入!$A$1:$AN$61,COLUMN(平滑数据导入!AM$1),0)</f>
        <v>159177.97173308159</v>
      </c>
      <c r="BI64" s="133">
        <f>VLOOKUP(A64,情景假设!$B$29:$S$42,18,0)/情景假设!S$28*BI$56</f>
        <v>160415.06499255693</v>
      </c>
    </row>
    <row r="65" spans="1:61" x14ac:dyDescent="0.2">
      <c r="A65" s="33" t="s">
        <v>39</v>
      </c>
      <c r="B65" s="19"/>
      <c r="C65" s="20"/>
      <c r="D65" s="20"/>
      <c r="E65" s="20"/>
      <c r="F65" s="21"/>
      <c r="G65" s="19"/>
      <c r="H65" s="20"/>
      <c r="I65" s="20"/>
      <c r="J65" s="20"/>
      <c r="K65" s="21">
        <f>K$77*'增加值 (2001-2022, 当年价) '!K65</f>
        <v>2588.8465312850017</v>
      </c>
      <c r="L65" s="19">
        <f>L$77*'增加值 (2001-2022, 当年价) '!L65</f>
        <v>2943.1056237537528</v>
      </c>
      <c r="M65" s="20">
        <f>M$77*'增加值 (2001-2022, 当年价) '!M65</f>
        <v>3481.8302033218015</v>
      </c>
      <c r="N65" s="20">
        <f>N$77*'增加值 (2001-2022, 当年价) '!N65</f>
        <v>4130.9729578746819</v>
      </c>
      <c r="O65" s="20">
        <f>O$77*'增加值 (2001-2022, 当年价) '!O65</f>
        <v>4395.4447557680423</v>
      </c>
      <c r="P65" s="21">
        <f>P$77*'增加值 (2001-2022, 当年价) '!P65</f>
        <v>4603.151826708925</v>
      </c>
      <c r="Q65" s="19">
        <f>Q$77*'增加值 (2001-2022, 当年价) '!Q65</f>
        <v>4785.5632996742488</v>
      </c>
      <c r="R65" s="20">
        <f>R$77*'增加值 (2001-2022, 当年价) '!R65</f>
        <v>4850.5663499254233</v>
      </c>
      <c r="S65" s="20">
        <f>S$77*'增加值 (2001-2022, 当年价) '!S65</f>
        <v>5186.6305211276767</v>
      </c>
      <c r="T65" s="20">
        <f>T$77*'增加值 (2001-2022, 当年价) '!T65</f>
        <v>5892.3934190869013</v>
      </c>
      <c r="U65" s="20">
        <f>U$77*'增加值 (2001-2022, 当年价) '!U65</f>
        <v>5863.1</v>
      </c>
      <c r="V65" s="89">
        <f>V$77*'增加值 (2001-2022, 当年价) '!V65</f>
        <v>6259.3476542328353</v>
      </c>
      <c r="W65" s="90">
        <f>W$77*'增加值 (2001-2022, 当年价) '!W65</f>
        <v>6452.974249433144</v>
      </c>
      <c r="X65" s="90">
        <f>VLOOKUP($A65,平滑数据导入!$A$1:$AN$61,COLUMN(平滑数据导入!C$1),0)</f>
        <v>6843.8408704817784</v>
      </c>
      <c r="Y65" s="90">
        <f>VLOOKUP($A65,平滑数据导入!$A$1:$AN$61,COLUMN(平滑数据导入!D$1),0)</f>
        <v>7261.9280643527954</v>
      </c>
      <c r="Z65" s="133">
        <f>VLOOKUP(A65,情景假设!$B$29:$S$42,14,0)/情景假设!O$28*Z$56</f>
        <v>7704.3828951481291</v>
      </c>
      <c r="AA65" s="90">
        <f>VLOOKUP($A65,平滑数据导入!$A$1:$AN$61,COLUMN(平滑数据导入!F$1),0)</f>
        <v>8167.3178629064996</v>
      </c>
      <c r="AB65" s="90">
        <f>VLOOKUP($A65,平滑数据导入!$A$1:$AN$61,COLUMN(平滑数据导入!G$1),0)</f>
        <v>8645.6679069113397</v>
      </c>
      <c r="AC65" s="90">
        <f>VLOOKUP($A65,平滑数据导入!$A$1:$AN$61,COLUMN(平滑数据导入!H$1),0)</f>
        <v>9133.0732402126687</v>
      </c>
      <c r="AD65" s="90">
        <f>VLOOKUP($A65,平滑数据导入!$A$1:$AN$61,COLUMN(平滑数据导入!I$1),0)</f>
        <v>9621.802498072122</v>
      </c>
      <c r="AE65" s="141">
        <f>VLOOKUP(A65,情景假设!$B$29:$S$42,15,0)/情景假设!P$28*AE$56</f>
        <v>10102.732421389632</v>
      </c>
      <c r="AF65" s="89">
        <f>VLOOKUP($A65,平滑数据导入!$A$1:$AN$61,COLUMN(平滑数据导入!K$1),0)</f>
        <v>10567.660388002911</v>
      </c>
      <c r="AG65" s="90">
        <f>VLOOKUP($A65,平滑数据导入!$A$1:$AN$61,COLUMN(平滑数据导入!L$1),0)</f>
        <v>11016.979757760109</v>
      </c>
      <c r="AH65" s="90">
        <f>VLOOKUP($A65,平滑数据导入!$A$1:$AN$61,COLUMN(平滑数据导入!M$1),0)</f>
        <v>11454.310320812499</v>
      </c>
      <c r="AI65" s="90">
        <f>VLOOKUP($A65,平滑数据导入!$A$1:$AN$61,COLUMN(平滑数据导入!N$1),0)</f>
        <v>11884.393191994361</v>
      </c>
      <c r="AJ65" s="133">
        <f>VLOOKUP(A65,情景假设!$B$29:$S$42,16,0)/情景假设!Q$28*AJ$56</f>
        <v>12313.052644333626</v>
      </c>
      <c r="AK65" s="90">
        <f>VLOOKUP($A65,平滑数据导入!$A$1:$AN$61,COLUMN(平滑数据导入!P$1),0)</f>
        <v>12745.622564523401</v>
      </c>
      <c r="AL65" s="90">
        <f>VLOOKUP($A65,平滑数据导入!$A$1:$AN$61,COLUMN(平滑数据导入!Q$1),0)</f>
        <v>13181.860344957109</v>
      </c>
      <c r="AM65" s="90">
        <f>VLOOKUP($A65,平滑数据导入!$A$1:$AN$61,COLUMN(平滑数据导入!R$1),0)</f>
        <v>13619.883358811991</v>
      </c>
      <c r="AN65" s="90">
        <f>VLOOKUP($A65,平滑数据导入!$A$1:$AN$61,COLUMN(平滑数据导入!S$1),0)</f>
        <v>14057.619822611519</v>
      </c>
      <c r="AO65" s="90">
        <f>VLOOKUP($A65,平滑数据导入!$A$1:$AN$61,COLUMN(平滑数据导入!T$1),0)</f>
        <v>14492.810627643559</v>
      </c>
      <c r="AP65" s="89">
        <f>VLOOKUP($A65,平滑数据导入!$A$1:$AN$61,COLUMN(平滑数据导入!U$1),0)</f>
        <v>14923.01422291627</v>
      </c>
      <c r="AQ65" s="90">
        <f>VLOOKUP($A65,平滑数据导入!$A$1:$AN$61,COLUMN(平滑数据导入!V$1),0)</f>
        <v>15345.614868573741</v>
      </c>
      <c r="AR65" s="90">
        <f>VLOOKUP($A65,平滑数据导入!$A$1:$AN$61,COLUMN(平滑数据导入!W$1),0)</f>
        <v>15757.83454855633</v>
      </c>
      <c r="AS65" s="90">
        <f>VLOOKUP($A65,平滑数据导入!$A$1:$AN$61,COLUMN(平滑数据导入!X$1),0)</f>
        <v>16156.748788430899</v>
      </c>
      <c r="AT65" s="101">
        <f>VLOOKUP($A65,平滑数据导入!$A$1:$AN$61,COLUMN(平滑数据导入!Y$1),0)</f>
        <v>16539.306567950101</v>
      </c>
      <c r="AU65" s="90">
        <f>VLOOKUP($A65,平滑数据导入!$A$1:$AN$61,COLUMN(平滑数据导入!Z$1),0)</f>
        <v>16902.354447614369</v>
      </c>
      <c r="AV65" s="90">
        <f>VLOOKUP($A65,平滑数据导入!$A$1:$AN$61,COLUMN(平滑数据导入!AA$1),0)</f>
        <v>17242.664944326621</v>
      </c>
      <c r="AW65" s="90">
        <f>VLOOKUP($A65,平滑数据导入!$A$1:$AN$61,COLUMN(平滑数据导入!AB$1),0)</f>
        <v>17556.969093692871</v>
      </c>
      <c r="AX65" s="90">
        <f>VLOOKUP($A65,平滑数据导入!$A$1:$AN$61,COLUMN(平滑数据导入!AC$1),0)</f>
        <v>17841.993026781998</v>
      </c>
      <c r="AY65" s="141">
        <f>VLOOKUP(A65,情景假设!$B$29:$S$42,17,0)/情景假设!R$28*AY$56</f>
        <v>18094.498268999749</v>
      </c>
      <c r="AZ65" s="89">
        <f>VLOOKUP($A65,平滑数据导入!$A$1:$AN$61,COLUMN(平滑数据导入!AE$1),0)</f>
        <v>18311.325340659099</v>
      </c>
      <c r="BA65" s="90">
        <f>VLOOKUP($A65,平滑数据导入!$A$1:$AN$61,COLUMN(平滑数据导入!AF$1),0)</f>
        <v>18489.44010601706</v>
      </c>
      <c r="BB65" s="90">
        <f>VLOOKUP($A65,平滑数据导入!$A$1:$AN$61,COLUMN(平滑数据导入!AG$1),0)</f>
        <v>18625.982183877411</v>
      </c>
      <c r="BC65" s="90">
        <f>VLOOKUP($A65,平滑数据导入!$A$1:$AN$61,COLUMN(平滑数据导入!AH$1),0)</f>
        <v>18718.314602816408</v>
      </c>
      <c r="BD65" s="101">
        <f>VLOOKUP($A65,平滑数据导入!$A$1:$AN$61,COLUMN(平滑数据导入!AI$1),0)</f>
        <v>18764.073762690859</v>
      </c>
      <c r="BE65" s="90">
        <f>VLOOKUP($A65,平滑数据导入!$A$1:$AN$61,COLUMN(平滑数据导入!AJ$1),0)</f>
        <v>18761.218656725399</v>
      </c>
      <c r="BF65" s="90">
        <f>VLOOKUP($A65,平滑数据导入!$A$1:$AN$61,COLUMN(平滑数据导入!AK$1),0)</f>
        <v>18708.078220740212</v>
      </c>
      <c r="BG65" s="90">
        <f>VLOOKUP($A65,平滑数据导入!$A$1:$AN$61,COLUMN(平滑数据导入!AL$1),0)</f>
        <v>18603.395613520199</v>
      </c>
      <c r="BH65" s="90">
        <f>VLOOKUP($A65,平滑数据导入!$A$1:$AN$61,COLUMN(平滑数据导入!AM$1),0)</f>
        <v>18446.36820021773</v>
      </c>
      <c r="BI65" s="133">
        <f>VLOOKUP(A65,情景假设!$B$29:$S$42,18,0)/情景假设!S$28*BI$56</f>
        <v>18236.682013709888</v>
      </c>
    </row>
    <row r="66" spans="1:61" x14ac:dyDescent="0.2">
      <c r="A66" s="33" t="s">
        <v>40</v>
      </c>
      <c r="B66" s="19"/>
      <c r="C66" s="20"/>
      <c r="D66" s="20"/>
      <c r="E66" s="20"/>
      <c r="F66" s="21"/>
      <c r="G66" s="19"/>
      <c r="H66" s="20"/>
      <c r="I66" s="20"/>
      <c r="J66" s="20"/>
      <c r="K66" s="21">
        <f>K$77*'增加值 (2001-2022, 当年价) '!K66</f>
        <v>8215.2085396484417</v>
      </c>
      <c r="L66" s="19">
        <f>L$77*'增加值 (2001-2022, 当年价) '!L66</f>
        <v>8919.7543985306074</v>
      </c>
      <c r="M66" s="20">
        <f>M$77*'增加值 (2001-2022, 当年价) '!M66</f>
        <v>9471.2872506004296</v>
      </c>
      <c r="N66" s="20">
        <f>N$77*'增加值 (2001-2022, 当年价) '!N66</f>
        <v>9814.5407288437873</v>
      </c>
      <c r="O66" s="20">
        <f>O$77*'增加值 (2001-2022, 当年价) '!O66</f>
        <v>10744.631189497688</v>
      </c>
      <c r="P66" s="21">
        <f>P$77*'增加值 (2001-2022, 当年价) '!P66</f>
        <v>11803.562331981635</v>
      </c>
      <c r="Q66" s="19">
        <f>Q$77*'增加值 (2001-2022, 当年价) '!Q66</f>
        <v>13389.26892517825</v>
      </c>
      <c r="R66" s="20">
        <f>R$77*'增加值 (2001-2022, 当年价) '!R66</f>
        <v>14464.859726951376</v>
      </c>
      <c r="S66" s="20">
        <f>S$77*'增加值 (2001-2022, 当年价) '!S66</f>
        <v>15056.098053059803</v>
      </c>
      <c r="T66" s="20">
        <f>T$77*'增加值 (2001-2022, 当年价) '!T66</f>
        <v>17073.494684407979</v>
      </c>
      <c r="U66" s="20">
        <f>U$77*'增加值 (2001-2022, 当年价) '!U66</f>
        <v>16353.2</v>
      </c>
      <c r="V66" s="89">
        <f>V$77*'增加值 (2001-2022, 当年价) '!V66</f>
        <v>17458.40324388129</v>
      </c>
      <c r="W66" s="90">
        <f>W$77*'增加值 (2001-2022, 当年价) '!W66</f>
        <v>17998.461308152702</v>
      </c>
      <c r="X66" s="90">
        <f>VLOOKUP($A66,平滑数据导入!$A$1:$AN$61,COLUMN(平滑数据导入!C$1),0)</f>
        <v>19297.54642595008</v>
      </c>
      <c r="Y66" s="90">
        <f>VLOOKUP($A66,平滑数据导入!$A$1:$AN$61,COLUMN(平滑数据导入!D$1),0)</f>
        <v>20694.163497724279</v>
      </c>
      <c r="Z66" s="133">
        <f>VLOOKUP(A66,情景假设!$B$29:$S$42,14,0)/情景假设!O$28*Z$56</f>
        <v>22181.931168451523</v>
      </c>
      <c r="AA66" s="90">
        <f>VLOOKUP($A66,平滑数据导入!$A$1:$AN$61,COLUMN(平滑数据导入!F$1),0)</f>
        <v>23751.068726314621</v>
      </c>
      <c r="AB66" s="90">
        <f>VLOOKUP($A66,平滑数据导入!$A$1:$AN$61,COLUMN(平滑数据导入!G$1),0)</f>
        <v>25387.849487169471</v>
      </c>
      <c r="AC66" s="90">
        <f>VLOOKUP($A66,平滑数据导入!$A$1:$AN$61,COLUMN(平滑数据导入!H$1),0)</f>
        <v>27074.11435512457</v>
      </c>
      <c r="AD66" s="90">
        <f>VLOOKUP($A66,平滑数据导入!$A$1:$AN$61,COLUMN(平滑数据导入!I$1),0)</f>
        <v>28786.894641683601</v>
      </c>
      <c r="AE66" s="141">
        <f>VLOOKUP(A66,情景假设!$B$29:$S$42,15,0)/情景假设!P$28*AE$56</f>
        <v>30498.201039285108</v>
      </c>
      <c r="AF66" s="89">
        <f>VLOOKUP($A66,平滑数据导入!$A$1:$AN$61,COLUMN(平滑数据导入!K$1),0)</f>
        <v>32181.946398171898</v>
      </c>
      <c r="AG66" s="90">
        <f>VLOOKUP($A66,平滑数据导入!$A$1:$AN$61,COLUMN(平滑数据导入!L$1),0)</f>
        <v>33837.769188535298</v>
      </c>
      <c r="AH66" s="90">
        <f>VLOOKUP($A66,平滑数据导入!$A$1:$AN$61,COLUMN(平滑数据导入!M$1),0)</f>
        <v>35475.484039551789</v>
      </c>
      <c r="AI66" s="90">
        <f>VLOOKUP($A66,平滑数据导入!$A$1:$AN$61,COLUMN(平滑数据导入!N$1),0)</f>
        <v>37108.89160210314</v>
      </c>
      <c r="AJ66" s="133">
        <f>VLOOKUP(A66,情景假设!$B$29:$S$42,16,0)/情景假设!Q$28*AJ$56</f>
        <v>38755.785137596213</v>
      </c>
      <c r="AK66" s="90">
        <f>VLOOKUP($A66,平滑数据导入!$A$1:$AN$61,COLUMN(平滑数据导入!P$1),0)</f>
        <v>40433.047375067013</v>
      </c>
      <c r="AL66" s="90">
        <f>VLOOKUP($A66,平滑数据导入!$A$1:$AN$61,COLUMN(平滑数据导入!Q$1),0)</f>
        <v>42140.213455547411</v>
      </c>
      <c r="AM66" s="90">
        <f>VLOOKUP($A66,平滑数据导入!$A$1:$AN$61,COLUMN(平滑数据导入!R$1),0)</f>
        <v>43871.538951060051</v>
      </c>
      <c r="AN66" s="90">
        <f>VLOOKUP($A66,平滑数据导入!$A$1:$AN$61,COLUMN(平滑数据导入!S$1),0)</f>
        <v>45620.542846317927</v>
      </c>
      <c r="AO66" s="90">
        <f>VLOOKUP($A66,平滑数据导入!$A$1:$AN$61,COLUMN(平滑数据导入!T$1),0)</f>
        <v>47379.997134505567</v>
      </c>
      <c r="AP66" s="89">
        <f>VLOOKUP($A66,平滑数据导入!$A$1:$AN$61,COLUMN(平滑数据导入!U$1),0)</f>
        <v>49141.925986034847</v>
      </c>
      <c r="AQ66" s="90">
        <f>VLOOKUP($A66,平滑数据导入!$A$1:$AN$61,COLUMN(平滑数据导入!V$1),0)</f>
        <v>50897.6157801874</v>
      </c>
      <c r="AR66" s="90">
        <f>VLOOKUP($A66,平滑数据导入!$A$1:$AN$61,COLUMN(平滑数据导入!W$1),0)</f>
        <v>52637.637235118433</v>
      </c>
      <c r="AS66" s="90">
        <f>VLOOKUP($A66,平滑数据导入!$A$1:$AN$61,COLUMN(平滑数据导入!X$1),0)</f>
        <v>54351.88077630983</v>
      </c>
      <c r="AT66" s="101">
        <f>VLOOKUP($A66,平滑数据导入!$A$1:$AN$61,COLUMN(平滑数据导入!Y$1),0)</f>
        <v>56029.606143410689</v>
      </c>
      <c r="AU66" s="90">
        <f>VLOOKUP($A66,平滑数据导入!$A$1:$AN$61,COLUMN(平滑数据导入!Z$1),0)</f>
        <v>57659.507047594139</v>
      </c>
      <c r="AV66" s="90">
        <f>VLOOKUP($A66,平滑数据导入!$A$1:$AN$61,COLUMN(平滑数据导入!AA$1),0)</f>
        <v>59229.791454375983</v>
      </c>
      <c r="AW66" s="90">
        <f>VLOOKUP($A66,平滑数据导入!$A$1:$AN$61,COLUMN(平滑数据导入!AB$1),0)</f>
        <v>60728.277780061777</v>
      </c>
      <c r="AX66" s="90">
        <f>VLOOKUP($A66,平滑数据导入!$A$1:$AN$61,COLUMN(平滑数据导入!AC$1),0)</f>
        <v>62142.506955117417</v>
      </c>
      <c r="AY66" s="141">
        <f>VLOOKUP(A66,情景假设!$B$29:$S$42,17,0)/情景假设!R$28*AY$56</f>
        <v>63459.869928301581</v>
      </c>
      <c r="AZ66" s="89">
        <f>VLOOKUP($A66,平滑数据导入!$A$1:$AN$61,COLUMN(平滑数据导入!AE$1),0)</f>
        <v>64667.749767049652</v>
      </c>
      <c r="BA66" s="90">
        <f>VLOOKUP($A66,平滑数据导入!$A$1:$AN$61,COLUMN(平滑数据导入!AF$1),0)</f>
        <v>65753.677060340633</v>
      </c>
      <c r="BB66" s="90">
        <f>VLOOKUP($A66,平滑数据导入!$A$1:$AN$61,COLUMN(平滑数据导入!AG$1),0)</f>
        <v>66705.496860477855</v>
      </c>
      <c r="BC66" s="90">
        <f>VLOOKUP($A66,平滑数据导入!$A$1:$AN$61,COLUMN(平滑数据导入!AH$1),0)</f>
        <v>67511.544922520174</v>
      </c>
      <c r="BD66" s="101">
        <f>VLOOKUP($A66,平滑数据导入!$A$1:$AN$61,COLUMN(平滑数据导入!AI$1),0)</f>
        <v>68160.830529297804</v>
      </c>
      <c r="BE66" s="90">
        <f>VLOOKUP($A66,平滑数据导入!$A$1:$AN$61,COLUMN(平滑数据导入!AJ$1),0)</f>
        <v>68643.222742622282</v>
      </c>
      <c r="BF66" s="90">
        <f>VLOOKUP($A66,平滑数据导入!$A$1:$AN$61,COLUMN(平滑数据导入!AK$1),0)</f>
        <v>68949.636515460181</v>
      </c>
      <c r="BG66" s="90">
        <f>VLOOKUP($A66,平滑数据导入!$A$1:$AN$61,COLUMN(平滑数据导入!AL$1),0)</f>
        <v>69072.214754245462</v>
      </c>
      <c r="BH66" s="90">
        <f>VLOOKUP($A66,平滑数据导入!$A$1:$AN$61,COLUMN(平滑数据导入!AM$1),0)</f>
        <v>69004.502154076923</v>
      </c>
      <c r="BI66" s="133">
        <f>VLOOKUP(A66,情景假设!$B$29:$S$42,18,0)/情景假设!S$28*BI$56</f>
        <v>68741.606460467126</v>
      </c>
    </row>
    <row r="67" spans="1:61" x14ac:dyDescent="0.2">
      <c r="A67" s="33" t="s">
        <v>41</v>
      </c>
      <c r="B67" s="19"/>
      <c r="C67" s="20"/>
      <c r="D67" s="20"/>
      <c r="E67" s="20"/>
      <c r="F67" s="21"/>
      <c r="G67" s="19"/>
      <c r="H67" s="20"/>
      <c r="I67" s="20"/>
      <c r="J67" s="20"/>
      <c r="K67" s="21">
        <f>K$77*'增加值 (2001-2022, 当年价) '!K67</f>
        <v>15733.180194722509</v>
      </c>
      <c r="L67" s="19">
        <f>L$77*'增加值 (2001-2022, 当年价) '!L67</f>
        <v>17398.154822835269</v>
      </c>
      <c r="M67" s="20">
        <f>M$77*'增加值 (2001-2022, 当年价) '!M67</f>
        <v>19161.404772517511</v>
      </c>
      <c r="N67" s="20">
        <f>N$77*'增加值 (2001-2022, 当年价) '!N67</f>
        <v>21360.323296462921</v>
      </c>
      <c r="O67" s="20">
        <f>O$77*'增加值 (2001-2022, 当年价) '!O67</f>
        <v>23657.484004820206</v>
      </c>
      <c r="P67" s="21">
        <f>P$77*'增加值 (2001-2022, 当年价) '!P67</f>
        <v>27171.707502012752</v>
      </c>
      <c r="Q67" s="19">
        <f>Q$77*'增加值 (2001-2022, 当年价) '!Q67</f>
        <v>29633.545175076048</v>
      </c>
      <c r="R67" s="20">
        <f>R$77*'增加值 (2001-2022, 当年价) '!R67</f>
        <v>31835.885917761083</v>
      </c>
      <c r="S67" s="20">
        <f>S$77*'增加值 (2001-2022, 当年价) '!S67</f>
        <v>34605.423559402407</v>
      </c>
      <c r="T67" s="20">
        <f>T$77*'增加值 (2001-2022, 当年价) '!T67</f>
        <v>38135.335369113411</v>
      </c>
      <c r="U67" s="20">
        <f>U$77*'增加值 (2001-2022, 当年价) '!U67</f>
        <v>40091.9</v>
      </c>
      <c r="V67" s="89">
        <f>V$77*'增加值 (2001-2022, 当年价) '!V67</f>
        <v>42801.442959993416</v>
      </c>
      <c r="W67" s="90">
        <f>W$77*'增加值 (2001-2022, 当年价) '!W67</f>
        <v>44125.462351119488</v>
      </c>
      <c r="X67" s="90">
        <f>VLOOKUP($A67,平滑数据导入!$A$1:$AN$61,COLUMN(平滑数据导入!C$1),0)</f>
        <v>47445.301217263906</v>
      </c>
      <c r="Y67" s="90">
        <f>VLOOKUP($A67,平滑数据导入!$A$1:$AN$61,COLUMN(平滑数据导入!D$1),0)</f>
        <v>51020.137783439583</v>
      </c>
      <c r="Z67" s="133">
        <f>VLOOKUP(A67,情景假设!$B$29:$S$42,14,0)/情景假设!O$28*Z$56</f>
        <v>54835.57487858602</v>
      </c>
      <c r="AA67" s="90">
        <f>VLOOKUP($A67,平滑数据导入!$A$1:$AN$61,COLUMN(平滑数据导入!F$1),0)</f>
        <v>58868.558897944968</v>
      </c>
      <c r="AB67" s="90">
        <f>VLOOKUP($A67,平滑数据导入!$A$1:$AN$61,COLUMN(平滑数据导入!G$1),0)</f>
        <v>63085.930466064143</v>
      </c>
      <c r="AC67" s="90">
        <f>VLOOKUP($A67,平滑数据导入!$A$1:$AN$61,COLUMN(平滑数据导入!H$1),0)</f>
        <v>67443.111984962117</v>
      </c>
      <c r="AD67" s="90">
        <f>VLOOKUP($A67,平滑数据导入!$A$1:$AN$61,COLUMN(平滑数据导入!I$1),0)</f>
        <v>71883.058126554053</v>
      </c>
      <c r="AE67" s="141">
        <f>VLOOKUP(A67,情景假设!$B$29:$S$42,15,0)/情景假设!P$28*AE$56</f>
        <v>76335.616748930523</v>
      </c>
      <c r="AF67" s="89">
        <f>VLOOKUP($A67,平滑数据导入!$A$1:$AN$61,COLUMN(平滑数据导入!K$1),0)</f>
        <v>80734.803498429363</v>
      </c>
      <c r="AG67" s="90">
        <f>VLOOKUP($A67,平滑数据导入!$A$1:$AN$61,COLUMN(平滑数据导入!L$1),0)</f>
        <v>85078.850897826385</v>
      </c>
      <c r="AH67" s="90">
        <f>VLOOKUP($A67,平滑数据导入!$A$1:$AN$61,COLUMN(平滑数据导入!M$1),0)</f>
        <v>89391.72782330506</v>
      </c>
      <c r="AI67" s="90">
        <f>VLOOKUP($A67,平滑数据导入!$A$1:$AN$61,COLUMN(平滑数据导入!N$1),0)</f>
        <v>93707.766128707008</v>
      </c>
      <c r="AJ67" s="133">
        <f>VLOOKUP(A67,情景假设!$B$29:$S$42,16,0)/情景假设!Q$28*AJ$56</f>
        <v>98071.771329044757</v>
      </c>
      <c r="AK67" s="90">
        <f>VLOOKUP($A67,平滑数据导入!$A$1:$AN$61,COLUMN(平滑数据导入!P$1),0)</f>
        <v>102526.6600835471</v>
      </c>
      <c r="AL67" s="90">
        <f>VLOOKUP($A67,平滑数据导入!$A$1:$AN$61,COLUMN(平滑数据导入!Q$1),0)</f>
        <v>107071.5910117288</v>
      </c>
      <c r="AM67" s="90">
        <f>VLOOKUP($A67,平滑数据导入!$A$1:$AN$61,COLUMN(平滑数据导入!R$1),0)</f>
        <v>111692.2881131865</v>
      </c>
      <c r="AN67" s="90">
        <f>VLOOKUP($A67,平滑数据导入!$A$1:$AN$61,COLUMN(平滑数据导入!S$1),0)</f>
        <v>116372.5192239982</v>
      </c>
      <c r="AO67" s="90">
        <f>VLOOKUP($A67,平滑数据导入!$A$1:$AN$61,COLUMN(平滑数据导入!T$1),0)</f>
        <v>121094.0572963158</v>
      </c>
      <c r="AP67" s="89">
        <f>VLOOKUP($A67,平滑数据导入!$A$1:$AN$61,COLUMN(平滑数据导入!U$1),0)</f>
        <v>125836.6656725457</v>
      </c>
      <c r="AQ67" s="90">
        <f>VLOOKUP($A67,平滑数据导入!$A$1:$AN$61,COLUMN(平滑数据导入!V$1),0)</f>
        <v>130578.1108013784</v>
      </c>
      <c r="AR67" s="90">
        <f>VLOOKUP($A67,平滑数据导入!$A$1:$AN$61,COLUMN(平滑数据导入!W$1),0)</f>
        <v>135294.20573550701</v>
      </c>
      <c r="AS67" s="90">
        <f>VLOOKUP($A67,平滑数据导入!$A$1:$AN$61,COLUMN(平滑数据导入!X$1),0)</f>
        <v>139958.88754000771</v>
      </c>
      <c r="AT67" s="101">
        <f>VLOOKUP($A67,平滑数据导入!$A$1:$AN$61,COLUMN(平滑数据导入!Y$1),0)</f>
        <v>144544.33141557689</v>
      </c>
      <c r="AU67" s="90">
        <f>VLOOKUP($A67,平滑数据导入!$A$1:$AN$61,COLUMN(平滑数据导入!Z$1),0)</f>
        <v>149021.10389375029</v>
      </c>
      <c r="AV67" s="90">
        <f>VLOOKUP($A67,平滑数据导入!$A$1:$AN$61,COLUMN(平滑数据导入!AA$1),0)</f>
        <v>153358.35688641609</v>
      </c>
      <c r="AW67" s="90">
        <f>VLOOKUP($A67,平滑数据导入!$A$1:$AN$61,COLUMN(平滑数据导入!AB$1),0)</f>
        <v>157524.06366746259</v>
      </c>
      <c r="AX67" s="90">
        <f>VLOOKUP($A67,平滑数据导入!$A$1:$AN$61,COLUMN(平滑数据导入!AC$1),0)</f>
        <v>161485.29703266971</v>
      </c>
      <c r="AY67" s="141">
        <f>VLOOKUP(A67,情景假设!$B$29:$S$42,17,0)/情景假设!R$28*AY$56</f>
        <v>165208.54893231147</v>
      </c>
      <c r="AZ67" s="89">
        <f>VLOOKUP($A67,平滑数据导入!$A$1:$AN$61,COLUMN(平滑数据导入!AE$1),0)</f>
        <v>168660.0898121722</v>
      </c>
      <c r="BA67" s="90">
        <f>VLOOKUP($A67,平滑数据导入!$A$1:$AN$61,COLUMN(平滑数据导入!AF$1),0)</f>
        <v>171806.36475149571</v>
      </c>
      <c r="BB67" s="90">
        <f>VLOOKUP($A67,平滑数据导入!$A$1:$AN$61,COLUMN(平滑数据导入!AG$1),0)</f>
        <v>174614.42227543981</v>
      </c>
      <c r="BC67" s="90">
        <f>VLOOKUP($A67,平滑数据导入!$A$1:$AN$61,COLUMN(平滑数据导入!AH$1),0)</f>
        <v>177052.37047563211</v>
      </c>
      <c r="BD67" s="101">
        <f>VLOOKUP($A67,平滑数据导入!$A$1:$AN$61,COLUMN(平滑数据导入!AI$1),0)</f>
        <v>179089.85383169301</v>
      </c>
      <c r="BE67" s="90">
        <f>VLOOKUP($A67,平滑数据导入!$A$1:$AN$61,COLUMN(平滑数据导入!AJ$1),0)</f>
        <v>180698.5429303878</v>
      </c>
      <c r="BF67" s="90">
        <f>VLOOKUP($A67,平滑数据导入!$A$1:$AN$61,COLUMN(平滑数据导入!AK$1),0)</f>
        <v>181852.62817258781</v>
      </c>
      <c r="BG67" s="90">
        <f>VLOOKUP($A67,平滑数据导入!$A$1:$AN$61,COLUMN(平滑数据导入!AL$1),0)</f>
        <v>182529.3075892948</v>
      </c>
      <c r="BH67" s="90">
        <f>VLOOKUP($A67,平滑数据导入!$A$1:$AN$61,COLUMN(平滑数据导入!AM$1),0)</f>
        <v>182709.25810531221</v>
      </c>
      <c r="BI67" s="133">
        <f>VLOOKUP(A67,情景假设!$B$29:$S$42,18,0)/情景假设!S$28*BI$56</f>
        <v>182377.07904043965</v>
      </c>
    </row>
    <row r="68" spans="1:61" x14ac:dyDescent="0.2">
      <c r="A68" s="33" t="s">
        <v>42</v>
      </c>
      <c r="B68" s="19"/>
      <c r="C68" s="20"/>
      <c r="D68" s="20"/>
      <c r="E68" s="20"/>
      <c r="F68" s="21"/>
      <c r="G68" s="19"/>
      <c r="H68" s="20"/>
      <c r="I68" s="20"/>
      <c r="J68" s="20"/>
      <c r="K68" s="21">
        <f>K$77*'增加值 (2001-2022, 当年价) '!K68</f>
        <v>7491.8936471671614</v>
      </c>
      <c r="L68" s="19">
        <f>L$77*'增加值 (2001-2022, 当年价) '!L68</f>
        <v>8747.9466481582349</v>
      </c>
      <c r="M68" s="20">
        <f>M$77*'增加值 (2001-2022, 当年价) '!M68</f>
        <v>10373.084381318287</v>
      </c>
      <c r="N68" s="20">
        <f>N$77*'增加值 (2001-2022, 当年价) '!N68</f>
        <v>12436.988896993911</v>
      </c>
      <c r="O68" s="20">
        <f>O$77*'增加值 (2001-2022, 当年价) '!O68</f>
        <v>14112.735955786691</v>
      </c>
      <c r="P68" s="21">
        <f>P$77*'增加值 (2001-2022, 当年价) '!P68</f>
        <v>16462.572780624898</v>
      </c>
      <c r="Q68" s="19">
        <f>Q$77*'增加值 (2001-2022, 当年价) '!Q68</f>
        <v>18426.166061860604</v>
      </c>
      <c r="R68" s="20">
        <f>R$77*'增加值 (2001-2022, 当年价) '!R68</f>
        <v>19548.121738038648</v>
      </c>
      <c r="S68" s="20">
        <f>S$77*'增加值 (2001-2022, 当年价) '!S68</f>
        <v>21019.486568285836</v>
      </c>
      <c r="T68" s="20">
        <f>T$77*'增加值 (2001-2022, 当年价) '!T68</f>
        <v>22473.188187999254</v>
      </c>
      <c r="U68" s="20">
        <f>U$77*'增加值 (2001-2022, 当年价) '!U68</f>
        <v>24396.1</v>
      </c>
      <c r="V68" s="89">
        <f>V$77*'增加值 (2001-2022, 当年价) '!V68</f>
        <v>26044.86897842944</v>
      </c>
      <c r="W68" s="90">
        <f>W$77*'增加值 (2001-2022, 当年价) '!W68</f>
        <v>26850.540684381289</v>
      </c>
      <c r="X68" s="90">
        <f>VLOOKUP($A68,平滑数据导入!$A$1:$AN$61,COLUMN(平滑数据导入!C$1),0)</f>
        <v>28392.932955723059</v>
      </c>
      <c r="Y68" s="90">
        <f>VLOOKUP($A68,平滑数据导入!$A$1:$AN$61,COLUMN(平滑数据导入!D$1),0)</f>
        <v>30041.103394334121</v>
      </c>
      <c r="Z68" s="133">
        <f>VLOOKUP(A68,情景假设!$B$29:$S$42,14,0)/情景假设!O$28*Z$56</f>
        <v>31782.670524012417</v>
      </c>
      <c r="AA68" s="90">
        <f>VLOOKUP($A68,平滑数据导入!$A$1:$AN$61,COLUMN(平滑数据导入!F$1),0)</f>
        <v>33601.158811715322</v>
      </c>
      <c r="AB68" s="90">
        <f>VLOOKUP($A68,平滑数据导入!$A$1:$AN$61,COLUMN(平滑数据导入!G$1),0)</f>
        <v>35475.454608692031</v>
      </c>
      <c r="AC68" s="90">
        <f>VLOOKUP($A68,平滑数据导入!$A$1:$AN$61,COLUMN(平滑数据导入!H$1),0)</f>
        <v>37379.372774696953</v>
      </c>
      <c r="AD68" s="90">
        <f>VLOOKUP($A68,平滑数据导入!$A$1:$AN$61,COLUMN(平滑数据导入!I$1),0)</f>
        <v>39281.390856643273</v>
      </c>
      <c r="AE68" s="141">
        <f>VLOOKUP(A68,情景假设!$B$29:$S$42,15,0)/情景假设!P$28*AE$56</f>
        <v>41144.613939322691</v>
      </c>
      <c r="AF68" s="89">
        <f>VLOOKUP($A68,平滑数据导入!$A$1:$AN$61,COLUMN(平滑数据导入!K$1),0)</f>
        <v>42936.20605212808</v>
      </c>
      <c r="AG68" s="90">
        <f>VLOOKUP($A68,平滑数据导入!$A$1:$AN$61,COLUMN(平滑数据导入!L$1),0)</f>
        <v>44658.405808028227</v>
      </c>
      <c r="AH68" s="90">
        <f>VLOOKUP($A68,平滑数据导入!$A$1:$AN$61,COLUMN(平滑数据导入!M$1),0)</f>
        <v>46326.420525941212</v>
      </c>
      <c r="AI68" s="90">
        <f>VLOOKUP($A68,平滑数据导入!$A$1:$AN$61,COLUMN(平滑数据导入!N$1),0)</f>
        <v>47959.799629633177</v>
      </c>
      <c r="AJ68" s="133">
        <f>VLOOKUP(A68,情景假设!$B$29:$S$42,16,0)/情景假设!Q$28*AJ$56</f>
        <v>49582.242586477536</v>
      </c>
      <c r="AK68" s="90">
        <f>VLOOKUP($A68,平滑数据导入!$A$1:$AN$61,COLUMN(平滑数据导入!P$1),0)</f>
        <v>51215.251801829167</v>
      </c>
      <c r="AL68" s="90">
        <f>VLOOKUP($A68,平滑数据导入!$A$1:$AN$61,COLUMN(平滑数据导入!Q$1),0)</f>
        <v>52857.805094081661</v>
      </c>
      <c r="AM68" s="90">
        <f>VLOOKUP($A68,平滑数据导入!$A$1:$AN$61,COLUMN(平滑数据导入!R$1),0)</f>
        <v>54502.318162611416</v>
      </c>
      <c r="AN68" s="90">
        <f>VLOOKUP($A68,平滑数据导入!$A$1:$AN$61,COLUMN(平滑数据导入!S$1),0)</f>
        <v>56140.494097809787</v>
      </c>
      <c r="AO68" s="90">
        <f>VLOOKUP($A68,平滑数据导入!$A$1:$AN$61,COLUMN(平滑数据导入!T$1),0)</f>
        <v>57763.335467098863</v>
      </c>
      <c r="AP68" s="89">
        <f>VLOOKUP($A68,平滑数据导入!$A$1:$AN$61,COLUMN(平滑数据导入!U$1),0)</f>
        <v>59361.168605399747</v>
      </c>
      <c r="AQ68" s="90">
        <f>VLOOKUP($A68,平滑数据导入!$A$1:$AN$61,COLUMN(平滑数据导入!V$1),0)</f>
        <v>60923.681293395908</v>
      </c>
      <c r="AR68" s="90">
        <f>VLOOKUP($A68,平滑数据导入!$A$1:$AN$61,COLUMN(平滑数据导入!W$1),0)</f>
        <v>62439.97487359737</v>
      </c>
      <c r="AS68" s="90">
        <f>VLOOKUP($A68,平滑数据导入!$A$1:$AN$61,COLUMN(平滑数据导入!X$1),0)</f>
        <v>63898.631670328759</v>
      </c>
      <c r="AT68" s="101">
        <f>VLOOKUP($A68,平滑数据导入!$A$1:$AN$61,COLUMN(平滑数据导入!Y$1),0)</f>
        <v>65287.798342672628</v>
      </c>
      <c r="AU68" s="90">
        <f>VLOOKUP($A68,平滑数据导入!$A$1:$AN$61,COLUMN(平滑数据导入!Z$1),0)</f>
        <v>66595.285508021901</v>
      </c>
      <c r="AV68" s="90">
        <f>VLOOKUP($A68,平滑数据导入!$A$1:$AN$61,COLUMN(平滑数据导入!AA$1),0)</f>
        <v>67808.683628874802</v>
      </c>
      <c r="AW68" s="90">
        <f>VLOOKUP($A68,平滑数据导入!$A$1:$AN$61,COLUMN(平滑数据导入!AB$1),0)</f>
        <v>68915.494759763504</v>
      </c>
      <c r="AX68" s="90">
        <f>VLOOKUP($A68,平滑数据导入!$A$1:$AN$61,COLUMN(平滑数据导入!AC$1),0)</f>
        <v>69903.279309977137</v>
      </c>
      <c r="AY68" s="141">
        <f>VLOOKUP(A68,情景假设!$B$29:$S$42,17,0)/情景假设!R$28*AY$56</f>
        <v>70759.816498957007</v>
      </c>
      <c r="AZ68" s="89">
        <f>VLOOKUP($A68,平滑数据导入!$A$1:$AN$61,COLUMN(平滑数据导入!AE$1),0)</f>
        <v>71473.276675570582</v>
      </c>
      <c r="BA68" s="90">
        <f>VLOOKUP($A68,平滑数据导入!$A$1:$AN$61,COLUMN(平滑数据导入!AF$1),0)</f>
        <v>72032.403153327075</v>
      </c>
      <c r="BB68" s="90">
        <f>VLOOKUP($A68,平滑数据导入!$A$1:$AN$61,COLUMN(平滑数据导入!AG$1),0)</f>
        <v>72426.700697038046</v>
      </c>
      <c r="BC68" s="90">
        <f>VLOOKUP($A68,平滑数据导入!$A$1:$AN$61,COLUMN(平滑数据导入!AH$1),0)</f>
        <v>72646.627300872264</v>
      </c>
      <c r="BD68" s="101">
        <f>VLOOKUP($A68,平滑数据导入!$A$1:$AN$61,COLUMN(平滑数据导入!AI$1),0)</f>
        <v>72683.785443488901</v>
      </c>
      <c r="BE68" s="90">
        <f>VLOOKUP($A68,平滑数据导入!$A$1:$AN$61,COLUMN(平滑数据导入!AJ$1),0)</f>
        <v>72531.108614564582</v>
      </c>
      <c r="BF68" s="90">
        <f>VLOOKUP($A68,平滑数据导入!$A$1:$AN$61,COLUMN(平滑数据导入!AK$1),0)</f>
        <v>72183.038600628992</v>
      </c>
      <c r="BG68" s="90">
        <f>VLOOKUP($A68,平滑数据导入!$A$1:$AN$61,COLUMN(平滑数据导入!AL$1),0)</f>
        <v>71635.688818317882</v>
      </c>
      <c r="BH68" s="90">
        <f>VLOOKUP($A68,平滑数据导入!$A$1:$AN$61,COLUMN(平滑数据导入!AM$1),0)</f>
        <v>70886.988910053042</v>
      </c>
      <c r="BI68" s="133">
        <f>VLOOKUP(A68,情景假设!$B$29:$S$42,18,0)/情景假设!S$28*BI$56</f>
        <v>69936.805888191739</v>
      </c>
    </row>
    <row r="69" spans="1:61" x14ac:dyDescent="0.2">
      <c r="A69" s="33" t="s">
        <v>43</v>
      </c>
      <c r="B69" s="19"/>
      <c r="C69" s="20"/>
      <c r="D69" s="20"/>
      <c r="E69" s="20"/>
      <c r="F69" s="21"/>
      <c r="G69" s="19"/>
      <c r="H69" s="20"/>
      <c r="I69" s="20"/>
      <c r="J69" s="20"/>
      <c r="K69" s="21">
        <f>K$77*'增加值 (2001-2022, 当年价) '!K69</f>
        <v>3597.11136382222</v>
      </c>
      <c r="L69" s="19">
        <f>L$77*'增加值 (2001-2022, 当年价) '!L69</f>
        <v>3916.4866138689254</v>
      </c>
      <c r="M69" s="20">
        <f>M$77*'增加值 (2001-2022, 当年价) '!M69</f>
        <v>4326.1858267345506</v>
      </c>
      <c r="N69" s="20">
        <f>N$77*'增加值 (2001-2022, 当年价) '!N69</f>
        <v>4663.8708363727164</v>
      </c>
      <c r="O69" s="20">
        <f>O$77*'增加值 (2001-2022, 当年价) '!O69</f>
        <v>4997.5054726508833</v>
      </c>
      <c r="P69" s="21">
        <f>P$77*'增加值 (2001-2022, 当年价) '!P69</f>
        <v>5645.8461028166093</v>
      </c>
      <c r="Q69" s="19">
        <f>Q$77*'增加值 (2001-2022, 当年价) '!Q69</f>
        <v>6132.0181186612717</v>
      </c>
      <c r="R69" s="20">
        <f>R$77*'增加值 (2001-2022, 当年价) '!R69</f>
        <v>6982.3452602433181</v>
      </c>
      <c r="S69" s="20">
        <f>S$77*'增加值 (2001-2022, 当年价) '!S69</f>
        <v>7431.0051655009729</v>
      </c>
      <c r="T69" s="20">
        <f>T$77*'增加值 (2001-2022, 当年价) '!T69</f>
        <v>8180.9699496434896</v>
      </c>
      <c r="U69" s="20">
        <f>U$77*'增加值 (2001-2022, 当年价) '!U69</f>
        <v>6981.2</v>
      </c>
      <c r="V69" s="89">
        <f>V$77*'增加值 (2001-2022, 当年价) '!V69</f>
        <v>7453.0125434889851</v>
      </c>
      <c r="W69" s="90">
        <f>W$77*'增加值 (2001-2022, 当年价) '!W69</f>
        <v>7683.5639559520841</v>
      </c>
      <c r="X69" s="90">
        <f>VLOOKUP($A69,平滑数据导入!$A$1:$AN$61,COLUMN(平滑数据导入!C$1),0)</f>
        <v>8277.7836288869603</v>
      </c>
      <c r="Y69" s="90">
        <f>VLOOKUP($A69,平滑数据导入!$A$1:$AN$61,COLUMN(平滑数据导入!D$1),0)</f>
        <v>8915.8793864442814</v>
      </c>
      <c r="Z69" s="133">
        <f>VLOOKUP(A69,情景假设!$B$29:$S$42,14,0)/情景假设!O$28*Z$56</f>
        <v>9595.0255471041819</v>
      </c>
      <c r="AA69" s="90">
        <f>VLOOKUP($A69,平滑数据导入!$A$1:$AN$61,COLUMN(平滑数据导入!F$1),0)</f>
        <v>10310.81521571222</v>
      </c>
      <c r="AB69" s="90">
        <f>VLOOKUP($A69,平滑数据导入!$A$1:$AN$61,COLUMN(平滑数据导入!G$1),0)</f>
        <v>11057.014300952431</v>
      </c>
      <c r="AC69" s="90">
        <f>VLOOKUP($A69,平滑数据导入!$A$1:$AN$61,COLUMN(平滑数据导入!H$1),0)</f>
        <v>11825.344987302709</v>
      </c>
      <c r="AD69" s="90">
        <f>VLOOKUP($A69,平滑数据导入!$A$1:$AN$61,COLUMN(平滑数据导入!I$1),0)</f>
        <v>12605.32158642827</v>
      </c>
      <c r="AE69" s="141">
        <f>VLOOKUP(A69,情景假设!$B$29:$S$42,15,0)/情景假设!P$28*AE$56</f>
        <v>13384.165057379332</v>
      </c>
      <c r="AF69" s="89">
        <f>VLOOKUP($A69,平滑数据导入!$A$1:$AN$61,COLUMN(平滑数据导入!K$1),0)</f>
        <v>14149.876332687951</v>
      </c>
      <c r="AG69" s="90">
        <f>VLOOKUP($A69,平滑数据导入!$A$1:$AN$61,COLUMN(平滑数据导入!L$1),0)</f>
        <v>14901.826376043509</v>
      </c>
      <c r="AH69" s="90">
        <f>VLOOKUP($A69,平滑数据导入!$A$1:$AN$61,COLUMN(平滑数据导入!M$1),0)</f>
        <v>15643.97155518086</v>
      </c>
      <c r="AI69" s="90">
        <f>VLOOKUP($A69,平滑数据导入!$A$1:$AN$61,COLUMN(平滑数据导入!N$1),0)</f>
        <v>16382.13005005929</v>
      </c>
      <c r="AJ69" s="133">
        <f>VLOOKUP(A69,情景假设!$B$29:$S$42,16,0)/情景假设!Q$28*AJ$56</f>
        <v>17123.980449184579</v>
      </c>
      <c r="AK69" s="90">
        <f>VLOOKUP($A69,平滑数据导入!$A$1:$AN$61,COLUMN(平滑数据导入!P$1),0)</f>
        <v>17876.867514330199</v>
      </c>
      <c r="AL69" s="90">
        <f>VLOOKUP($A69,平滑数据导入!$A$1:$AN$61,COLUMN(平滑数据导入!Q$1),0)</f>
        <v>18640.454441828038</v>
      </c>
      <c r="AM69" s="90">
        <f>VLOOKUP($A69,平滑数据导入!$A$1:$AN$61,COLUMN(平滑数据导入!R$1),0)</f>
        <v>19412.083501254241</v>
      </c>
      <c r="AN69" s="90">
        <f>VLOOKUP($A69,平滑数据导入!$A$1:$AN$61,COLUMN(平滑数据导入!S$1),0)</f>
        <v>20188.80393611022</v>
      </c>
      <c r="AO69" s="90">
        <f>VLOOKUP($A69,平滑数据导入!$A$1:$AN$61,COLUMN(平滑数据导入!T$1),0)</f>
        <v>20967.372905688269</v>
      </c>
      <c r="AP69" s="89">
        <f>VLOOKUP($A69,平滑数据导入!$A$1:$AN$61,COLUMN(平滑数据导入!U$1),0)</f>
        <v>21744.260461239199</v>
      </c>
      <c r="AQ69" s="90">
        <f>VLOOKUP($A69,平滑数据导入!$A$1:$AN$61,COLUMN(平滑数据导入!V$1),0)</f>
        <v>22515.658958477619</v>
      </c>
      <c r="AR69" s="90">
        <f>VLOOKUP($A69,平滑数据导入!$A$1:$AN$61,COLUMN(平滑数据导入!W$1),0)</f>
        <v>23277.49727027912</v>
      </c>
      <c r="AS69" s="90">
        <f>VLOOKUP($A69,平滑数据导入!$A$1:$AN$61,COLUMN(平滑数据导入!X$1),0)</f>
        <v>24025.460111157259</v>
      </c>
      <c r="AT69" s="101">
        <f>VLOOKUP($A69,平滑数据导入!$A$1:$AN$61,COLUMN(平滑数据导入!Y$1),0)</f>
        <v>24755.012718129259</v>
      </c>
      <c r="AU69" s="90">
        <f>VLOOKUP($A69,平滑数据导入!$A$1:$AN$61,COLUMN(平滑数据导入!Z$1),0)</f>
        <v>25461.431050659201</v>
      </c>
      <c r="AV69" s="90">
        <f>VLOOKUP($A69,平滑数据导入!$A$1:$AN$61,COLUMN(平滑数据导入!AA$1),0)</f>
        <v>26139.837575685669</v>
      </c>
      <c r="AW69" s="90">
        <f>VLOOKUP($A69,平滑数据导入!$A$1:$AN$61,COLUMN(平滑数据导入!AB$1),0)</f>
        <v>26785.242593021361</v>
      </c>
      <c r="AX69" s="90">
        <f>VLOOKUP($A69,平滑数据导入!$A$1:$AN$61,COLUMN(平滑数据导入!AC$1),0)</f>
        <v>27392.59093291757</v>
      </c>
      <c r="AY69" s="141">
        <f>VLOOKUP(A69,情景假设!$B$29:$S$42,17,0)/情景假设!R$28*AY$56</f>
        <v>27956.81372319494</v>
      </c>
      <c r="AZ69" s="89">
        <f>VLOOKUP($A69,平滑数据导入!$A$1:$AN$61,COLUMN(平滑数据导入!AE$1),0)</f>
        <v>28472.88478056026</v>
      </c>
      <c r="BA69" s="90">
        <f>VLOOKUP($A69,平滑数据导入!$A$1:$AN$61,COLUMN(平滑数据导入!AF$1),0)</f>
        <v>28935.88103267748</v>
      </c>
      <c r="BB69" s="90">
        <f>VLOOKUP($A69,平滑数据导入!$A$1:$AN$61,COLUMN(平滑数据导入!AG$1),0)</f>
        <v>29341.046227982471</v>
      </c>
      <c r="BC69" s="90">
        <f>VLOOKUP($A69,平滑数据导入!$A$1:$AN$61,COLUMN(平滑数据导入!AH$1),0)</f>
        <v>29683.85704338544</v>
      </c>
      <c r="BD69" s="101">
        <f>VLOOKUP($A69,平滑数据导入!$A$1:$AN$61,COLUMN(平滑数据导入!AI$1),0)</f>
        <v>29960.090560638491</v>
      </c>
      <c r="BE69" s="90">
        <f>VLOOKUP($A69,平滑数据导入!$A$1:$AN$61,COLUMN(平滑数据导入!AJ$1),0)</f>
        <v>30165.891955318089</v>
      </c>
      <c r="BF69" s="90">
        <f>VLOOKUP($A69,平滑数据导入!$A$1:$AN$61,COLUMN(平滑数据导入!AK$1),0)</f>
        <v>30297.8411333517</v>
      </c>
      <c r="BG69" s="90">
        <f>VLOOKUP($A69,平滑数据导入!$A$1:$AN$61,COLUMN(平滑数据导入!AL$1),0)</f>
        <v>30353.01696406315</v>
      </c>
      <c r="BH69" s="90">
        <f>VLOOKUP($A69,平滑数据导入!$A$1:$AN$61,COLUMN(平滑数据导入!AM$1),0)</f>
        <v>30329.057700900368</v>
      </c>
      <c r="BI69" s="133">
        <f>VLOOKUP(A69,情景假设!$B$29:$S$42,18,0)/情景假设!S$28*BI$56</f>
        <v>30224.216155984355</v>
      </c>
    </row>
    <row r="70" spans="1:61" x14ac:dyDescent="0.2">
      <c r="A70" s="34" t="s">
        <v>44</v>
      </c>
      <c r="B70" s="25"/>
      <c r="C70" s="26"/>
      <c r="D70" s="26"/>
      <c r="E70" s="26"/>
      <c r="F70" s="27"/>
      <c r="G70" s="25"/>
      <c r="H70" s="26"/>
      <c r="I70" s="26"/>
      <c r="J70" s="26"/>
      <c r="K70" s="27">
        <f>K$77*'增加值 (2001-2022, 当年价) '!K70</f>
        <v>20738.631195312271</v>
      </c>
      <c r="L70" s="25">
        <f>L$77*'增加值 (2001-2022, 当年价) '!L70</f>
        <v>21289.323639356655</v>
      </c>
      <c r="M70" s="26">
        <f>M$77*'增加值 (2001-2022, 当年价) '!M70</f>
        <v>23139.718384670832</v>
      </c>
      <c r="N70" s="26">
        <f>N$77*'增加值 (2001-2022, 当年价) '!N70</f>
        <v>24450.409640985366</v>
      </c>
      <c r="O70" s="26">
        <f>O$77*'增加值 (2001-2022, 当年价) '!O70</f>
        <v>27104.108731221386</v>
      </c>
      <c r="P70" s="27">
        <f>P$77*'增加值 (2001-2022, 当年价) '!P70</f>
        <v>31717.662775723042</v>
      </c>
      <c r="Q70" s="25">
        <f>Q$77*'增加值 (2001-2022, 当年价) '!Q70</f>
        <v>37197.627670673319</v>
      </c>
      <c r="R70" s="26">
        <f>R$77*'增加值 (2001-2022, 当年价) '!R70</f>
        <v>40941.789861161691</v>
      </c>
      <c r="S70" s="26">
        <f>S$77*'增加值 (2001-2022, 当年价) '!S70</f>
        <v>44703.37925914779</v>
      </c>
      <c r="T70" s="26">
        <f>T$77*'增加值 (2001-2022, 当年价) '!T70</f>
        <v>48044.022263810512</v>
      </c>
      <c r="U70" s="26">
        <f>U$77*'增加值 (2001-2022, 当年价) '!U70</f>
        <v>49261.9</v>
      </c>
      <c r="V70" s="91">
        <f>V$77*'增加值 (2001-2022, 当年价) '!V70</f>
        <v>52591.181833510003</v>
      </c>
      <c r="W70" s="92">
        <f>W$77*'增加值 (2001-2022, 当年价) '!W70</f>
        <v>54218.036905075918</v>
      </c>
      <c r="X70" s="92">
        <f>VLOOKUP($A70,平滑数据导入!$A$1:$AN$61,COLUMN(平滑数据导入!C$1),0)</f>
        <v>58363.214632982214</v>
      </c>
      <c r="Y70" s="92">
        <f>VLOOKUP($A70,平滑数据导入!$A$1:$AN$61,COLUMN(平滑数据导入!D$1),0)</f>
        <v>62829.758050864963</v>
      </c>
      <c r="Z70" s="134">
        <f>VLOOKUP(A70,情景假设!$B$29:$S$42,14,0)/情景假设!O$28*Z$56</f>
        <v>67600.623932860472</v>
      </c>
      <c r="AA70" s="92">
        <f>VLOOKUP($A70,平滑数据导入!$A$1:$AN$61,COLUMN(平滑数据导入!F$1),0)</f>
        <v>72647.976746171204</v>
      </c>
      <c r="AB70" s="92">
        <f>VLOOKUP($A70,平滑数据导入!$A$1:$AN$61,COLUMN(平滑数据导入!G$1),0)</f>
        <v>77931.352401813376</v>
      </c>
      <c r="AC70" s="92">
        <f>VLOOKUP($A70,平滑数据导入!$A$1:$AN$61,COLUMN(平滑数据导入!H$1),0)</f>
        <v>83395.984509745278</v>
      </c>
      <c r="AD70" s="92">
        <f>VLOOKUP($A70,平滑数据导入!$A$1:$AN$61,COLUMN(平滑数据导入!I$1),0)</f>
        <v>88971.450839689482</v>
      </c>
      <c r="AE70" s="142">
        <f>VLOOKUP(A70,情景假设!$B$29:$S$42,15,0)/情景假设!P$28*AE$56</f>
        <v>94570.825169131072</v>
      </c>
      <c r="AF70" s="91">
        <f>VLOOKUP($A70,平滑数据导入!$A$1:$AN$61,COLUMN(平滑数据导入!K$1),0)</f>
        <v>100112.05036847451</v>
      </c>
      <c r="AG70" s="92">
        <f>VLOOKUP($A70,平滑数据导入!$A$1:$AN$61,COLUMN(平滑数据导入!L$1),0)</f>
        <v>105592.5376589541</v>
      </c>
      <c r="AH70" s="92">
        <f>VLOOKUP($A70,平滑数据导入!$A$1:$AN$61,COLUMN(平滑数据导入!M$1),0)</f>
        <v>111041.7107370991</v>
      </c>
      <c r="AI70" s="92">
        <f>VLOOKUP($A70,平滑数据导入!$A$1:$AN$61,COLUMN(平滑数据导入!N$1),0)</f>
        <v>116502.0208921038</v>
      </c>
      <c r="AJ70" s="134">
        <f>VLOOKUP(A70,情景假设!$B$29:$S$42,16,0)/情景假设!Q$28*AJ$56</f>
        <v>122029.13256719288</v>
      </c>
      <c r="AK70" s="92">
        <f>VLOOKUP($A70,平滑数据导入!$A$1:$AN$61,COLUMN(平滑数据导入!P$1),0)</f>
        <v>127676.56477355601</v>
      </c>
      <c r="AL70" s="92">
        <f>VLOOKUP($A70,平滑数据导入!$A$1:$AN$61,COLUMN(平滑数据导入!Q$1),0)</f>
        <v>133443.45919862681</v>
      </c>
      <c r="AM70" s="92">
        <f>VLOOKUP($A70,平滑数据导入!$A$1:$AN$61,COLUMN(平滑数据导入!R$1),0)</f>
        <v>139312.20480797911</v>
      </c>
      <c r="AN70" s="92">
        <f>VLOOKUP($A70,平滑数据导入!$A$1:$AN$61,COLUMN(平滑数据导入!S$1),0)</f>
        <v>145262.71134466751</v>
      </c>
      <c r="AO70" s="92">
        <f>VLOOKUP($A70,平滑数据导入!$A$1:$AN$61,COLUMN(平滑数据导入!T$1),0)</f>
        <v>151272.35478810189</v>
      </c>
      <c r="AP70" s="91">
        <f>VLOOKUP($A70,平滑数据导入!$A$1:$AN$61,COLUMN(平滑数据导入!U$1),0)</f>
        <v>157315.9525218457</v>
      </c>
      <c r="AQ70" s="92">
        <f>VLOOKUP($A70,平滑数据导入!$A$1:$AN$61,COLUMN(平滑数据导入!V$1),0)</f>
        <v>163365.772588822</v>
      </c>
      <c r="AR70" s="92">
        <f>VLOOKUP($A70,平滑数据导入!$A$1:$AN$61,COLUMN(平滑数据导入!W$1),0)</f>
        <v>169391.58129419151</v>
      </c>
      <c r="AS70" s="92">
        <f>VLOOKUP($A70,平滑数据导入!$A$1:$AN$61,COLUMN(平滑数据导入!X$1),0)</f>
        <v>175360.7331694579</v>
      </c>
      <c r="AT70" s="102">
        <f>VLOOKUP($A70,平滑数据导入!$A$1:$AN$61,COLUMN(平滑数据导入!Y$1),0)</f>
        <v>181238.30692270159</v>
      </c>
      <c r="AU70" s="92">
        <f>VLOOKUP($A70,平滑数据导入!$A$1:$AN$61,COLUMN(平滑数据导入!Z$1),0)</f>
        <v>186987.29045835091</v>
      </c>
      <c r="AV70" s="92">
        <f>VLOOKUP($A70,平滑数据导入!$A$1:$AN$61,COLUMN(平滑数据导入!AA$1),0)</f>
        <v>192568.81734820671</v>
      </c>
      <c r="AW70" s="92">
        <f>VLOOKUP($A70,平滑数据导入!$A$1:$AN$61,COLUMN(平滑数据导入!AB$1),0)</f>
        <v>197942.45627048999</v>
      </c>
      <c r="AX70" s="92">
        <f>VLOOKUP($A70,平滑数据导入!$A$1:$AN$61,COLUMN(平滑数据导入!AC$1),0)</f>
        <v>203066.5539078131</v>
      </c>
      <c r="AY70" s="142">
        <f>VLOOKUP(A70,情景假设!$B$29:$S$42,17,0)/情景假设!R$28*AY$56</f>
        <v>207898.63061650691</v>
      </c>
      <c r="AZ70" s="91">
        <f>VLOOKUP($A70,平滑数据导入!$A$1:$AN$61,COLUMN(平滑数据导入!AE$1),0)</f>
        <v>212395.82686380911</v>
      </c>
      <c r="BA70" s="92">
        <f>VLOOKUP($A70,平滑数据导入!$A$1:$AN$61,COLUMN(平滑数据导入!AF$1),0)</f>
        <v>216515.39699850339</v>
      </c>
      <c r="BB70" s="92">
        <f>VLOOKUP($A70,平滑数据导入!$A$1:$AN$61,COLUMN(平滑数据导入!AG$1),0)</f>
        <v>220215.24540459199</v>
      </c>
      <c r="BC70" s="92">
        <f>VLOOKUP($A70,平滑数据导入!$A$1:$AN$61,COLUMN(平滑数据导入!AH$1),0)</f>
        <v>223454.4985240174</v>
      </c>
      <c r="BD70" s="102">
        <f>VLOOKUP($A70,平滑数据导入!$A$1:$AN$61,COLUMN(平滑数据导入!AI$1),0)</f>
        <v>226194.10466788069</v>
      </c>
      <c r="BE70" s="92">
        <f>VLOOKUP($A70,平滑数据导入!$A$1:$AN$61,COLUMN(平滑数据导入!AJ$1),0)</f>
        <v>228397.4520168922</v>
      </c>
      <c r="BF70" s="92">
        <f>VLOOKUP($A70,平滑数据导入!$A$1:$AN$61,COLUMN(平滑数据导入!AK$1),0)</f>
        <v>230030.99379708411</v>
      </c>
      <c r="BG70" s="92">
        <f>VLOOKUP($A70,平滑数据导入!$A$1:$AN$61,COLUMN(平滑数据导入!AL$1),0)</f>
        <v>231064.86836549159</v>
      </c>
      <c r="BH70" s="92">
        <f>VLOOKUP($A70,平滑数据导入!$A$1:$AN$61,COLUMN(平滑数据导入!AM$1),0)</f>
        <v>231473.5009136975</v>
      </c>
      <c r="BI70" s="134">
        <f>VLOOKUP(A70,情景假设!$B$29:$S$42,18,0)/情景假设!S$28*BI$56</f>
        <v>231236.17275473531</v>
      </c>
    </row>
    <row r="74" spans="1:61" x14ac:dyDescent="0.2">
      <c r="A74" s="143" t="s">
        <v>202</v>
      </c>
      <c r="B74" s="122">
        <v>1.083</v>
      </c>
      <c r="C74" s="122">
        <v>1.091</v>
      </c>
      <c r="D74" s="122">
        <v>1.1000000000000001</v>
      </c>
      <c r="E74" s="122">
        <v>1.101</v>
      </c>
      <c r="F74" s="122">
        <v>1.1140000000000001</v>
      </c>
      <c r="G74" s="122">
        <v>1.127</v>
      </c>
      <c r="H74" s="122">
        <v>1.1420000000000001</v>
      </c>
      <c r="I74" s="122">
        <v>1.097</v>
      </c>
      <c r="J74" s="122">
        <v>1.0940000000000001</v>
      </c>
      <c r="K74" s="122">
        <v>1.1059999999999999</v>
      </c>
      <c r="L74" s="122">
        <v>1.0959999999999999</v>
      </c>
      <c r="M74" s="122">
        <v>1.079</v>
      </c>
      <c r="N74" s="122">
        <v>1.0780000000000001</v>
      </c>
      <c r="O74" s="122">
        <v>1.0740000000000001</v>
      </c>
      <c r="P74" s="122">
        <v>1.07</v>
      </c>
      <c r="Q74" s="122">
        <v>1.0680000000000001</v>
      </c>
      <c r="R74" s="122">
        <v>1.069</v>
      </c>
      <c r="S74" s="122">
        <v>1.0669999999999999</v>
      </c>
      <c r="T74" s="122">
        <v>1.06</v>
      </c>
      <c r="U74" s="122">
        <v>1.022</v>
      </c>
      <c r="V74" s="122">
        <v>1.0840000000000001</v>
      </c>
      <c r="W74" s="122">
        <v>1.03</v>
      </c>
    </row>
    <row r="75" spans="1:61" x14ac:dyDescent="0.2">
      <c r="A75" s="5" t="s">
        <v>203</v>
      </c>
      <c r="B75" s="144">
        <f t="shared" ref="B75:S75" si="13">C75/C74</f>
        <v>0.20569891495237672</v>
      </c>
      <c r="C75" s="144">
        <f t="shared" si="13"/>
        <v>0.22441751621304298</v>
      </c>
      <c r="D75" s="144">
        <f t="shared" si="13"/>
        <v>0.24685926783434731</v>
      </c>
      <c r="E75" s="144">
        <f t="shared" si="13"/>
        <v>0.27179205388561639</v>
      </c>
      <c r="F75" s="144">
        <f t="shared" si="13"/>
        <v>0.30277634802857667</v>
      </c>
      <c r="G75" s="144">
        <f t="shared" si="13"/>
        <v>0.34122894422820593</v>
      </c>
      <c r="H75" s="144">
        <f t="shared" si="13"/>
        <v>0.38968345430861123</v>
      </c>
      <c r="I75" s="144">
        <f t="shared" si="13"/>
        <v>0.42748274937654651</v>
      </c>
      <c r="J75" s="144">
        <f t="shared" si="13"/>
        <v>0.46766612781794192</v>
      </c>
      <c r="K75" s="144">
        <f t="shared" si="13"/>
        <v>0.51723873736664372</v>
      </c>
      <c r="L75" s="144">
        <f t="shared" si="13"/>
        <v>0.56689365615384146</v>
      </c>
      <c r="M75" s="144">
        <f t="shared" si="13"/>
        <v>0.61167825498999495</v>
      </c>
      <c r="N75" s="144">
        <f t="shared" si="13"/>
        <v>0.65938915887921457</v>
      </c>
      <c r="O75" s="144">
        <f t="shared" si="13"/>
        <v>0.70818395663627653</v>
      </c>
      <c r="P75" s="144">
        <f t="shared" si="13"/>
        <v>0.75775683360081592</v>
      </c>
      <c r="Q75" s="144">
        <f t="shared" si="13"/>
        <v>0.8092842982856715</v>
      </c>
      <c r="R75" s="144">
        <f t="shared" si="13"/>
        <v>0.86512491486738274</v>
      </c>
      <c r="S75" s="144">
        <f t="shared" si="13"/>
        <v>0.92308828416349731</v>
      </c>
      <c r="T75" s="144">
        <f>U75/U74</f>
        <v>0.97847358121330719</v>
      </c>
      <c r="U75">
        <v>1</v>
      </c>
      <c r="V75">
        <f>U75*V74</f>
        <v>1.0840000000000001</v>
      </c>
      <c r="W75">
        <f>V75*W74</f>
        <v>1.1165200000000002</v>
      </c>
    </row>
    <row r="76" spans="1:61" x14ac:dyDescent="0.2">
      <c r="A76" s="5" t="s">
        <v>204</v>
      </c>
      <c r="B76" s="145">
        <f>$U$76*B75</f>
        <v>208489.63213153562</v>
      </c>
      <c r="C76" s="145">
        <f t="shared" ref="C76:S76" si="14">$U$76*C75</f>
        <v>227462.18865550534</v>
      </c>
      <c r="D76" s="145">
        <f t="shared" si="14"/>
        <v>250208.40752105589</v>
      </c>
      <c r="E76" s="145">
        <f t="shared" si="14"/>
        <v>275479.45668068255</v>
      </c>
      <c r="F76" s="145">
        <f t="shared" si="14"/>
        <v>306884.11474228039</v>
      </c>
      <c r="G76" s="145">
        <f t="shared" si="14"/>
        <v>345858.39731455001</v>
      </c>
      <c r="H76" s="145">
        <f t="shared" si="14"/>
        <v>394970.28973321617</v>
      </c>
      <c r="I76" s="145">
        <f t="shared" si="14"/>
        <v>433282.40783733811</v>
      </c>
      <c r="J76" s="145">
        <f t="shared" si="14"/>
        <v>474010.95417404792</v>
      </c>
      <c r="K76" s="145">
        <f t="shared" si="14"/>
        <v>524256.11531649699</v>
      </c>
      <c r="L76" s="145">
        <f t="shared" si="14"/>
        <v>574584.70238688064</v>
      </c>
      <c r="M76" s="145">
        <f t="shared" si="14"/>
        <v>619976.89387544419</v>
      </c>
      <c r="N76" s="145">
        <f t="shared" si="14"/>
        <v>668335.0915977289</v>
      </c>
      <c r="O76" s="145">
        <f t="shared" si="14"/>
        <v>717791.88837596087</v>
      </c>
      <c r="P76" s="145">
        <f t="shared" si="14"/>
        <v>768037.32056227815</v>
      </c>
      <c r="Q76" s="145">
        <f t="shared" si="14"/>
        <v>820263.85836051323</v>
      </c>
      <c r="R76" s="145">
        <f t="shared" si="14"/>
        <v>876862.06458738854</v>
      </c>
      <c r="S76" s="145">
        <f t="shared" si="14"/>
        <v>935611.82291474345</v>
      </c>
      <c r="T76" s="145">
        <f>$U$76*T75</f>
        <v>991748.53228962817</v>
      </c>
      <c r="U76" s="20">
        <f>'增加值 (2001-2022, 当年价) '!U2</f>
        <v>1013567</v>
      </c>
      <c r="V76" s="145">
        <f>$U$76*V75</f>
        <v>1098706.628</v>
      </c>
      <c r="W76" s="145">
        <f>$U$76*W75</f>
        <v>1131667.8268400002</v>
      </c>
    </row>
    <row r="77" spans="1:61" x14ac:dyDescent="0.2">
      <c r="A77" s="5" t="s">
        <v>205</v>
      </c>
      <c r="B77" s="146">
        <f>B76/'增加值 (2001-2022, 当年价) '!B2</f>
        <v>1.880604386234334</v>
      </c>
      <c r="C77" s="146">
        <f>C76/'增加值 (2001-2022, 当年价) '!C2</f>
        <v>1.8687729827905077</v>
      </c>
      <c r="D77" s="146">
        <f>D76/'增加值 (2001-2022, 当年价) '!D2</f>
        <v>1.8207303599209435</v>
      </c>
      <c r="E77" s="146">
        <f>E76/'增加值 (2001-2022, 当年价) '!E2</f>
        <v>1.7021695269820634</v>
      </c>
      <c r="F77" s="146">
        <f>F76/'增加值 (2001-2022, 当年价) '!F2</f>
        <v>1.6382976557212348</v>
      </c>
      <c r="G77" s="146">
        <f>G76/'增加值 (2001-2022, 当年价) '!G2</f>
        <v>1.5761062772236869</v>
      </c>
      <c r="H77" s="146">
        <f>H76/'增加值 (2001-2022, 当年价) '!H2</f>
        <v>1.462353016850966</v>
      </c>
      <c r="I77" s="146">
        <f>I76/'增加值 (2001-2022, 当年价) '!I2</f>
        <v>1.3572113916330555</v>
      </c>
      <c r="J77" s="146">
        <f>J76/'增加值 (2001-2022, 当年价) '!J2</f>
        <v>1.3600771328803327</v>
      </c>
      <c r="K77" s="146">
        <f>K76/'增加值 (2001-2022, 当年价) '!K2</f>
        <v>1.2720979466782969</v>
      </c>
      <c r="L77" s="146">
        <f>L76/'增加值 (2001-2022, 当年价) '!L2</f>
        <v>1.1775719696530038</v>
      </c>
      <c r="M77" s="146">
        <f>M76/'增加值 (2001-2022, 当年价) '!M2</f>
        <v>1.1511324109239931</v>
      </c>
      <c r="N77" s="146">
        <f>N76/'增加值 (2001-2022, 当年价) '!N2</f>
        <v>1.1271105721193642</v>
      </c>
      <c r="O77" s="146">
        <f>O76/'增加值 (2001-2022, 当年价) '!O2</f>
        <v>1.1153403425024848</v>
      </c>
      <c r="P77" s="146">
        <f>P76/'增加值 (2001-2022, 当年价) '!P2</f>
        <v>1.1149425535796456</v>
      </c>
      <c r="Q77" s="146">
        <f>Q76/'增加值 (2001-2022, 当年价) '!Q2</f>
        <v>1.0989673677660976</v>
      </c>
      <c r="R77" s="146">
        <f>R76/'增加值 (2001-2022, 当年价) '!R2</f>
        <v>1.0538752770011348</v>
      </c>
      <c r="S77" s="146">
        <f>S76/'增加值 (2001-2022, 当年价) '!S2</f>
        <v>1.0177646673196517</v>
      </c>
      <c r="T77" s="146">
        <f>T76/'增加值 (2001-2022, 当年价) '!T2</f>
        <v>1.0053048673650729</v>
      </c>
      <c r="U77" s="146">
        <f>U76/'增加值 (2001-2022, 当年价) '!U2</f>
        <v>1</v>
      </c>
      <c r="V77" s="146">
        <f>V76/'增加值 (2001-2022, 当年价) '!V2</f>
        <v>0.95603137385935189</v>
      </c>
      <c r="W77" s="146">
        <f>W76/'增加值 (2001-2022, 当年价) '!W2</f>
        <v>0.93510254016006533</v>
      </c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AFFCC-DCB5-438D-B47B-3BD7C6D0FC4B}">
  <dimension ref="A1:AA70"/>
  <sheetViews>
    <sheetView topLeftCell="D1" workbookViewId="0"/>
  </sheetViews>
  <sheetFormatPr defaultRowHeight="14.25" x14ac:dyDescent="0.2"/>
  <cols>
    <col min="1" max="1" width="34.25" customWidth="1"/>
    <col min="2" max="23" width="9.875" customWidth="1"/>
    <col min="25" max="25" width="9.5" customWidth="1"/>
    <col min="26" max="26" width="14.375" customWidth="1"/>
    <col min="27" max="27" width="12.5" customWidth="1"/>
    <col min="28" max="28" width="11.75" customWidth="1"/>
  </cols>
  <sheetData>
    <row r="1" spans="1:27" s="5" customFormat="1" x14ac:dyDescent="0.2">
      <c r="A1" s="96" t="s">
        <v>48</v>
      </c>
      <c r="B1" s="1">
        <v>2001</v>
      </c>
      <c r="C1" s="2">
        <v>2002</v>
      </c>
      <c r="D1" s="2">
        <v>2003</v>
      </c>
      <c r="E1" s="2">
        <v>2004</v>
      </c>
      <c r="F1" s="3">
        <v>2005</v>
      </c>
      <c r="G1" s="1">
        <v>2006</v>
      </c>
      <c r="H1" s="2">
        <v>2007</v>
      </c>
      <c r="I1" s="2">
        <v>2008</v>
      </c>
      <c r="J1" s="2">
        <v>2009</v>
      </c>
      <c r="K1" s="3">
        <v>2010</v>
      </c>
      <c r="L1" s="1">
        <v>2011</v>
      </c>
      <c r="M1" s="2">
        <v>2012</v>
      </c>
      <c r="N1" s="2">
        <v>2013</v>
      </c>
      <c r="O1" s="2">
        <v>2014</v>
      </c>
      <c r="P1" s="3">
        <v>2015</v>
      </c>
      <c r="Q1" s="1">
        <v>2016</v>
      </c>
      <c r="R1" s="2">
        <v>2017</v>
      </c>
      <c r="S1" s="2">
        <v>2018</v>
      </c>
      <c r="T1" s="2">
        <v>2019</v>
      </c>
      <c r="U1" s="3">
        <v>2020</v>
      </c>
      <c r="V1" s="1">
        <v>2021</v>
      </c>
      <c r="W1" s="3">
        <v>2022</v>
      </c>
      <c r="Z1" s="57"/>
    </row>
    <row r="2" spans="1:27" s="9" customFormat="1" x14ac:dyDescent="0.2">
      <c r="A2" s="4" t="s">
        <v>0</v>
      </c>
      <c r="B2" s="6">
        <v>110863.1</v>
      </c>
      <c r="C2" s="7">
        <v>121717.4</v>
      </c>
      <c r="D2" s="7">
        <v>137422</v>
      </c>
      <c r="E2" s="7">
        <v>161840.20000000001</v>
      </c>
      <c r="F2" s="7">
        <v>187318.9</v>
      </c>
      <c r="G2" s="6">
        <v>219438.5</v>
      </c>
      <c r="H2" s="7">
        <v>270092.3</v>
      </c>
      <c r="I2" s="7">
        <v>319244.59999999998</v>
      </c>
      <c r="J2" s="7">
        <v>348517.7</v>
      </c>
      <c r="K2" s="8">
        <v>412119.3</v>
      </c>
      <c r="L2" s="6">
        <v>487940.2</v>
      </c>
      <c r="M2" s="7">
        <v>538580</v>
      </c>
      <c r="N2" s="7">
        <v>592963.19999999995</v>
      </c>
      <c r="O2" s="7">
        <v>643563.1</v>
      </c>
      <c r="P2" s="8">
        <v>688858.2</v>
      </c>
      <c r="Q2" s="6">
        <v>746395.1</v>
      </c>
      <c r="R2" s="7">
        <v>832035.9</v>
      </c>
      <c r="S2" s="7">
        <v>919281.1</v>
      </c>
      <c r="T2" s="7">
        <v>986515.2</v>
      </c>
      <c r="U2" s="8">
        <v>1013567</v>
      </c>
      <c r="V2" s="6">
        <v>1149237</v>
      </c>
      <c r="W2" s="8">
        <v>1210207.2</v>
      </c>
    </row>
    <row r="3" spans="1:27" x14ac:dyDescent="0.2">
      <c r="A3" s="10" t="s">
        <v>1</v>
      </c>
      <c r="B3" s="11">
        <v>15780</v>
      </c>
      <c r="C3" s="12">
        <v>16535.7</v>
      </c>
      <c r="D3" s="12">
        <v>17380.599999999999</v>
      </c>
      <c r="E3" s="12">
        <v>21410.7</v>
      </c>
      <c r="F3" s="13">
        <v>22416.2</v>
      </c>
      <c r="G3" s="11">
        <v>24036.400000000001</v>
      </c>
      <c r="H3" s="12">
        <v>28483.7</v>
      </c>
      <c r="I3" s="12">
        <v>33428.1</v>
      </c>
      <c r="J3" s="12">
        <v>34659.699999999997</v>
      </c>
      <c r="K3" s="13">
        <v>39619</v>
      </c>
      <c r="L3" s="11">
        <v>46122.6</v>
      </c>
      <c r="M3" s="12">
        <v>50581.2</v>
      </c>
      <c r="N3" s="12">
        <v>54692.4</v>
      </c>
      <c r="O3" s="12">
        <v>57472.2</v>
      </c>
      <c r="P3" s="13">
        <v>59852.6</v>
      </c>
      <c r="Q3" s="11">
        <v>62451</v>
      </c>
      <c r="R3" s="12">
        <v>64660</v>
      </c>
      <c r="S3" s="12">
        <v>67558.7</v>
      </c>
      <c r="T3" s="12">
        <v>73576.899999999994</v>
      </c>
      <c r="U3" s="13">
        <v>81396.5</v>
      </c>
      <c r="V3" s="11">
        <v>86775</v>
      </c>
      <c r="W3" s="13">
        <v>92582.399999999994</v>
      </c>
      <c r="Y3" s="153">
        <f>U3/U$2</f>
        <v>8.0306975266558597E-2</v>
      </c>
      <c r="Z3" s="153">
        <f t="shared" ref="Z3:AA5" si="0">V3/V$2</f>
        <v>7.5506618739215672E-2</v>
      </c>
      <c r="AA3" s="153">
        <f t="shared" si="0"/>
        <v>7.6501280111372666E-2</v>
      </c>
    </row>
    <row r="4" spans="1:27" x14ac:dyDescent="0.2">
      <c r="A4" s="14" t="s">
        <v>2</v>
      </c>
      <c r="B4" s="11">
        <v>43854.3</v>
      </c>
      <c r="C4" s="12">
        <v>47774.9</v>
      </c>
      <c r="D4" s="12">
        <v>55362.2</v>
      </c>
      <c r="E4" s="12">
        <v>65774.899999999994</v>
      </c>
      <c r="F4" s="13">
        <v>77958.3</v>
      </c>
      <c r="G4" s="11">
        <v>92235.8</v>
      </c>
      <c r="H4" s="12">
        <v>111690.8</v>
      </c>
      <c r="I4" s="12">
        <v>131724</v>
      </c>
      <c r="J4" s="12">
        <v>138092.6</v>
      </c>
      <c r="K4" s="13">
        <v>165123.1</v>
      </c>
      <c r="L4" s="11">
        <v>195139.1</v>
      </c>
      <c r="M4" s="12">
        <v>208901.4</v>
      </c>
      <c r="N4" s="12">
        <v>222333.2</v>
      </c>
      <c r="O4" s="12">
        <v>233197.4</v>
      </c>
      <c r="P4" s="13">
        <v>234968.9</v>
      </c>
      <c r="Q4" s="11">
        <v>245406.4</v>
      </c>
      <c r="R4" s="12">
        <v>275119.3</v>
      </c>
      <c r="S4" s="12">
        <v>301089.3</v>
      </c>
      <c r="T4" s="12">
        <v>311858.7</v>
      </c>
      <c r="U4" s="13">
        <v>312902.90000000002</v>
      </c>
      <c r="V4" s="11">
        <v>372575.3</v>
      </c>
      <c r="W4" s="13">
        <v>401644.3</v>
      </c>
      <c r="Y4" s="153">
        <f t="shared" ref="Y4:Y5" si="1">U4/U$2</f>
        <v>0.30871456943645564</v>
      </c>
      <c r="Z4" s="153">
        <f t="shared" si="0"/>
        <v>0.32419361715642636</v>
      </c>
      <c r="AA4" s="153">
        <f t="shared" si="0"/>
        <v>0.33188060689111748</v>
      </c>
    </row>
    <row r="5" spans="1:27" x14ac:dyDescent="0.2">
      <c r="A5" s="14" t="s">
        <v>3</v>
      </c>
      <c r="B5" s="11">
        <v>5945.5</v>
      </c>
      <c r="C5" s="12">
        <v>6482.1</v>
      </c>
      <c r="D5" s="12">
        <v>7510.8</v>
      </c>
      <c r="E5" s="12">
        <v>8720.5</v>
      </c>
      <c r="F5" s="13">
        <v>10400.5</v>
      </c>
      <c r="G5" s="11">
        <v>12450.1</v>
      </c>
      <c r="H5" s="12">
        <v>15348</v>
      </c>
      <c r="I5" s="12">
        <v>18807.599999999999</v>
      </c>
      <c r="J5" s="12">
        <v>22681.5</v>
      </c>
      <c r="K5" s="13">
        <v>27259.3</v>
      </c>
      <c r="L5" s="11">
        <v>32926.5</v>
      </c>
      <c r="M5" s="12">
        <v>36896.1</v>
      </c>
      <c r="N5" s="12">
        <v>40896.800000000003</v>
      </c>
      <c r="O5" s="12">
        <v>45401.7</v>
      </c>
      <c r="P5" s="13">
        <v>47761.3</v>
      </c>
      <c r="Q5" s="11">
        <v>51498.9</v>
      </c>
      <c r="R5" s="12">
        <v>57905.599999999999</v>
      </c>
      <c r="S5" s="12">
        <v>65493</v>
      </c>
      <c r="T5" s="12">
        <v>70648.100000000006</v>
      </c>
      <c r="U5" s="13">
        <v>72444.7</v>
      </c>
      <c r="V5" s="11">
        <v>80138.5</v>
      </c>
      <c r="W5" s="13">
        <v>83383.100000000006</v>
      </c>
      <c r="Y5" s="153">
        <f t="shared" si="1"/>
        <v>7.1474998692735658E-2</v>
      </c>
      <c r="Z5" s="153">
        <f t="shared" si="0"/>
        <v>6.973191778545243E-2</v>
      </c>
      <c r="AA5" s="153">
        <f t="shared" si="0"/>
        <v>6.8899854504253497E-2</v>
      </c>
    </row>
    <row r="6" spans="1:27" x14ac:dyDescent="0.2">
      <c r="A6" s="14" t="s">
        <v>4</v>
      </c>
      <c r="B6" s="11">
        <v>6871.3</v>
      </c>
      <c r="C6" s="12">
        <v>7494.3</v>
      </c>
      <c r="D6" s="12">
        <v>7914.8</v>
      </c>
      <c r="E6" s="12">
        <v>9306.5</v>
      </c>
      <c r="F6" s="13">
        <v>10668.8</v>
      </c>
      <c r="G6" s="11">
        <v>12186.3</v>
      </c>
      <c r="H6" s="12">
        <v>14605.1</v>
      </c>
      <c r="I6" s="12">
        <v>16367.6</v>
      </c>
      <c r="J6" s="12">
        <v>16522.400000000001</v>
      </c>
      <c r="K6" s="13">
        <v>18783.599999999999</v>
      </c>
      <c r="L6" s="11">
        <v>21842</v>
      </c>
      <c r="M6" s="12">
        <v>23763.200000000001</v>
      </c>
      <c r="N6" s="12">
        <v>26042.7</v>
      </c>
      <c r="O6" s="12">
        <v>28534.400000000001</v>
      </c>
      <c r="P6" s="13">
        <v>30519.5</v>
      </c>
      <c r="Q6" s="11">
        <v>33028.699999999997</v>
      </c>
      <c r="R6" s="12">
        <v>37121.9</v>
      </c>
      <c r="S6" s="12">
        <v>40337.199999999997</v>
      </c>
      <c r="T6" s="12">
        <v>42466.3</v>
      </c>
      <c r="U6" s="13">
        <v>40582.9</v>
      </c>
      <c r="V6" s="11">
        <v>47061.2</v>
      </c>
      <c r="W6" s="13">
        <v>49673.7</v>
      </c>
      <c r="Y6" s="58">
        <f>1-SUM(Y3:Y5)</f>
        <v>0.53950345660425003</v>
      </c>
      <c r="Z6" s="58">
        <f t="shared" ref="Z6:AA6" si="2">1-SUM(Z3:Z5)</f>
        <v>0.53056784631890552</v>
      </c>
      <c r="AA6" s="58">
        <f t="shared" si="2"/>
        <v>0.52271825849325637</v>
      </c>
    </row>
    <row r="7" spans="1:27" x14ac:dyDescent="0.2">
      <c r="A7" s="14" t="s">
        <v>5</v>
      </c>
      <c r="B7" s="11">
        <v>9120.7999999999993</v>
      </c>
      <c r="C7" s="12">
        <v>9996.7999999999993</v>
      </c>
      <c r="D7" s="12">
        <v>11171.2</v>
      </c>
      <c r="E7" s="12">
        <v>12455.8</v>
      </c>
      <c r="F7" s="13">
        <v>13968.5</v>
      </c>
      <c r="G7" s="11">
        <v>16533.400000000001</v>
      </c>
      <c r="H7" s="12">
        <v>20941.099999999999</v>
      </c>
      <c r="I7" s="12">
        <v>26186.2</v>
      </c>
      <c r="J7" s="12">
        <v>29004.6</v>
      </c>
      <c r="K7" s="13">
        <v>35907.9</v>
      </c>
      <c r="L7" s="11">
        <v>43734.5</v>
      </c>
      <c r="M7" s="12">
        <v>49835.5</v>
      </c>
      <c r="N7" s="12">
        <v>56288.9</v>
      </c>
      <c r="O7" s="12">
        <v>63170.400000000001</v>
      </c>
      <c r="P7" s="13">
        <v>67719.600000000006</v>
      </c>
      <c r="Q7" s="11">
        <v>73724.5</v>
      </c>
      <c r="R7" s="12">
        <v>81156.600000000006</v>
      </c>
      <c r="S7" s="12">
        <v>88903.7</v>
      </c>
      <c r="T7" s="12">
        <v>95650.9</v>
      </c>
      <c r="U7" s="13">
        <v>96086.1</v>
      </c>
      <c r="V7" s="11">
        <v>110492.7</v>
      </c>
      <c r="W7" s="13">
        <v>114517.7</v>
      </c>
    </row>
    <row r="8" spans="1:27" x14ac:dyDescent="0.2">
      <c r="A8" s="14" t="s">
        <v>6</v>
      </c>
      <c r="B8" s="11">
        <v>2400.1</v>
      </c>
      <c r="C8" s="12">
        <v>2724.8</v>
      </c>
      <c r="D8" s="12">
        <v>3126.1</v>
      </c>
      <c r="E8" s="12">
        <v>3664.8</v>
      </c>
      <c r="F8" s="13">
        <v>4195.7</v>
      </c>
      <c r="G8" s="11">
        <v>4792.6000000000004</v>
      </c>
      <c r="H8" s="12">
        <v>5548.1</v>
      </c>
      <c r="I8" s="12">
        <v>6616.1</v>
      </c>
      <c r="J8" s="12">
        <v>6957</v>
      </c>
      <c r="K8" s="13">
        <v>7712</v>
      </c>
      <c r="L8" s="11">
        <v>8565.4</v>
      </c>
      <c r="M8" s="12">
        <v>9536.9</v>
      </c>
      <c r="N8" s="12">
        <v>10228.299999999999</v>
      </c>
      <c r="O8" s="12">
        <v>11228.7</v>
      </c>
      <c r="P8" s="13">
        <v>12306.1</v>
      </c>
      <c r="Q8" s="11">
        <v>13607.8</v>
      </c>
      <c r="R8" s="12">
        <v>15056</v>
      </c>
      <c r="S8" s="12">
        <v>16520.599999999999</v>
      </c>
      <c r="T8" s="12">
        <v>17903.099999999999</v>
      </c>
      <c r="U8" s="13">
        <v>15285.4</v>
      </c>
      <c r="V8" s="11">
        <v>17852.599999999999</v>
      </c>
      <c r="W8" s="13">
        <v>17855.3</v>
      </c>
    </row>
    <row r="9" spans="1:27" x14ac:dyDescent="0.2">
      <c r="A9" s="14" t="s">
        <v>7</v>
      </c>
      <c r="B9" s="11">
        <v>5202.8</v>
      </c>
      <c r="C9" s="12">
        <v>5555.8</v>
      </c>
      <c r="D9" s="12">
        <v>6045.7</v>
      </c>
      <c r="E9" s="12">
        <v>6600.2</v>
      </c>
      <c r="F9" s="13">
        <v>7486</v>
      </c>
      <c r="G9" s="11">
        <v>9972.2999999999993</v>
      </c>
      <c r="H9" s="12">
        <v>15200</v>
      </c>
      <c r="I9" s="12">
        <v>18345.599999999999</v>
      </c>
      <c r="J9" s="12">
        <v>21836.799999999999</v>
      </c>
      <c r="K9" s="13">
        <v>25733.1</v>
      </c>
      <c r="L9" s="11">
        <v>30747.200000000001</v>
      </c>
      <c r="M9" s="12">
        <v>35272.199999999997</v>
      </c>
      <c r="N9" s="12">
        <v>41293.4</v>
      </c>
      <c r="O9" s="12">
        <v>46853.4</v>
      </c>
      <c r="P9" s="13">
        <v>56299.8</v>
      </c>
      <c r="Q9" s="11">
        <v>59964</v>
      </c>
      <c r="R9" s="12">
        <v>64844.3</v>
      </c>
      <c r="S9" s="12">
        <v>70610.3</v>
      </c>
      <c r="T9" s="12">
        <v>76250.600000000006</v>
      </c>
      <c r="U9" s="13">
        <v>83617.7</v>
      </c>
      <c r="V9" s="11">
        <v>91205.6</v>
      </c>
      <c r="W9" s="13">
        <v>96811</v>
      </c>
    </row>
    <row r="10" spans="1:27" x14ac:dyDescent="0.2">
      <c r="A10" s="14" t="s">
        <v>8</v>
      </c>
      <c r="B10" s="11">
        <v>4705.8</v>
      </c>
      <c r="C10" s="12">
        <v>5334.5</v>
      </c>
      <c r="D10" s="12">
        <v>6157</v>
      </c>
      <c r="E10" s="12">
        <v>7152.1</v>
      </c>
      <c r="F10" s="13">
        <v>8482.7000000000007</v>
      </c>
      <c r="G10" s="11">
        <v>10320.9</v>
      </c>
      <c r="H10" s="12">
        <v>13714</v>
      </c>
      <c r="I10" s="12">
        <v>14600.3</v>
      </c>
      <c r="J10" s="12">
        <v>18760.5</v>
      </c>
      <c r="K10" s="13">
        <v>23326.6</v>
      </c>
      <c r="L10" s="11">
        <v>27780.7</v>
      </c>
      <c r="M10" s="12">
        <v>30751.9</v>
      </c>
      <c r="N10" s="12">
        <v>35340.400000000001</v>
      </c>
      <c r="O10" s="12">
        <v>38086.400000000001</v>
      </c>
      <c r="P10" s="13">
        <v>42573.8</v>
      </c>
      <c r="Q10" s="11">
        <v>49969.4</v>
      </c>
      <c r="R10" s="12">
        <v>57086</v>
      </c>
      <c r="S10" s="12">
        <v>64623</v>
      </c>
      <c r="T10" s="12">
        <v>70444.800000000003</v>
      </c>
      <c r="U10" s="13">
        <v>73425.3</v>
      </c>
      <c r="V10" s="11">
        <v>77560.800000000003</v>
      </c>
      <c r="W10" s="13">
        <v>73821.3</v>
      </c>
    </row>
    <row r="11" spans="1:27" x14ac:dyDescent="0.2">
      <c r="A11" s="15" t="s">
        <v>9</v>
      </c>
      <c r="B11" s="16">
        <v>16982.599999999999</v>
      </c>
      <c r="C11" s="17">
        <v>19818.599999999999</v>
      </c>
      <c r="D11" s="17">
        <v>22753.8</v>
      </c>
      <c r="E11" s="17">
        <v>26754.6</v>
      </c>
      <c r="F11" s="18">
        <v>31742.1</v>
      </c>
      <c r="G11" s="16">
        <v>36910.800000000003</v>
      </c>
      <c r="H11" s="17">
        <v>44561.5</v>
      </c>
      <c r="I11" s="17">
        <v>53169.3</v>
      </c>
      <c r="J11" s="17">
        <v>60002.6</v>
      </c>
      <c r="K11" s="18">
        <v>68654.7</v>
      </c>
      <c r="L11" s="16">
        <v>81082.2</v>
      </c>
      <c r="M11" s="17">
        <v>93041.600000000006</v>
      </c>
      <c r="N11" s="17">
        <v>105847.3</v>
      </c>
      <c r="O11" s="17">
        <v>119618.5</v>
      </c>
      <c r="P11" s="18">
        <v>136856.5</v>
      </c>
      <c r="Q11" s="16">
        <v>156744.29999999999</v>
      </c>
      <c r="R11" s="17">
        <v>179086.3</v>
      </c>
      <c r="S11" s="17">
        <v>204145.2</v>
      </c>
      <c r="T11" s="17">
        <v>227715.8</v>
      </c>
      <c r="U11" s="18">
        <v>237825.3</v>
      </c>
      <c r="V11" s="16">
        <v>260008</v>
      </c>
      <c r="W11" s="18">
        <v>279918.40000000002</v>
      </c>
    </row>
    <row r="12" spans="1:27" x14ac:dyDescent="0.2">
      <c r="A12" s="32"/>
      <c r="B12" s="11"/>
      <c r="C12" s="12"/>
      <c r="D12" s="12"/>
      <c r="E12" s="12"/>
      <c r="F12" s="13"/>
      <c r="G12" s="11"/>
      <c r="H12" s="12"/>
      <c r="I12" s="12"/>
      <c r="J12" s="12"/>
      <c r="K12" s="13"/>
      <c r="L12" s="11"/>
      <c r="M12" s="12"/>
      <c r="N12" s="12"/>
      <c r="O12" s="12"/>
      <c r="P12" s="13"/>
      <c r="Q12" s="11"/>
      <c r="R12" s="12"/>
      <c r="S12" s="12"/>
      <c r="T12" s="12"/>
      <c r="U12" s="13"/>
      <c r="V12" s="11"/>
      <c r="W12" s="13"/>
    </row>
    <row r="13" spans="1:27" s="9" customFormat="1" x14ac:dyDescent="0.2">
      <c r="A13" s="4" t="s">
        <v>2</v>
      </c>
      <c r="B13" s="6">
        <f>B4</f>
        <v>43854.3</v>
      </c>
      <c r="C13" s="7">
        <f t="shared" ref="C13:W13" si="3">C4</f>
        <v>47774.9</v>
      </c>
      <c r="D13" s="7">
        <f t="shared" si="3"/>
        <v>55362.2</v>
      </c>
      <c r="E13" s="7">
        <f t="shared" si="3"/>
        <v>65774.899999999994</v>
      </c>
      <c r="F13" s="8">
        <f t="shared" si="3"/>
        <v>77958.3</v>
      </c>
      <c r="G13" s="6">
        <f t="shared" si="3"/>
        <v>92235.8</v>
      </c>
      <c r="H13" s="7">
        <f t="shared" si="3"/>
        <v>111690.8</v>
      </c>
      <c r="I13" s="7">
        <f t="shared" si="3"/>
        <v>131724</v>
      </c>
      <c r="J13" s="7">
        <f t="shared" si="3"/>
        <v>138092.6</v>
      </c>
      <c r="K13" s="8">
        <f t="shared" si="3"/>
        <v>165123.1</v>
      </c>
      <c r="L13" s="6">
        <f t="shared" si="3"/>
        <v>195139.1</v>
      </c>
      <c r="M13" s="39">
        <f t="shared" si="3"/>
        <v>208901.4</v>
      </c>
      <c r="N13" s="39">
        <f t="shared" si="3"/>
        <v>222333.2</v>
      </c>
      <c r="O13" s="39">
        <f t="shared" si="3"/>
        <v>233197.4</v>
      </c>
      <c r="P13" s="40">
        <f t="shared" si="3"/>
        <v>234968.9</v>
      </c>
      <c r="Q13" s="38">
        <f t="shared" si="3"/>
        <v>245406.4</v>
      </c>
      <c r="R13" s="39">
        <f t="shared" si="3"/>
        <v>275119.3</v>
      </c>
      <c r="S13" s="39">
        <f t="shared" si="3"/>
        <v>301089.3</v>
      </c>
      <c r="T13" s="39">
        <f t="shared" si="3"/>
        <v>311858.7</v>
      </c>
      <c r="U13" s="40">
        <f t="shared" si="3"/>
        <v>312902.90000000002</v>
      </c>
      <c r="V13" s="38">
        <f t="shared" si="3"/>
        <v>372575.3</v>
      </c>
      <c r="W13" s="40">
        <f t="shared" si="3"/>
        <v>401644.3</v>
      </c>
    </row>
    <row r="14" spans="1:27" x14ac:dyDescent="0.2">
      <c r="A14" s="29" t="s">
        <v>71</v>
      </c>
      <c r="B14" s="22"/>
      <c r="C14" s="23"/>
      <c r="D14" s="23"/>
      <c r="E14" s="23"/>
      <c r="F14" s="24"/>
      <c r="G14" s="22"/>
      <c r="H14" s="23"/>
      <c r="I14" s="23">
        <v>8602.7065308573456</v>
      </c>
      <c r="J14" s="23">
        <v>8813.1098474423725</v>
      </c>
      <c r="K14" s="24">
        <v>10724.333438976624</v>
      </c>
      <c r="L14" s="22">
        <v>12979.900758022894</v>
      </c>
      <c r="M14" s="23">
        <v>13879.376892260501</v>
      </c>
      <c r="N14" s="23">
        <v>14233.428153652432</v>
      </c>
      <c r="O14" s="23">
        <v>14134.746448756892</v>
      </c>
      <c r="P14" s="23">
        <v>13669.399830990402</v>
      </c>
      <c r="Q14" s="22">
        <v>13330.672222464094</v>
      </c>
      <c r="R14" s="23">
        <v>13775.299188477968</v>
      </c>
      <c r="S14" s="23">
        <v>14515.154370104327</v>
      </c>
      <c r="T14" s="23">
        <v>14947.752961203312</v>
      </c>
      <c r="U14" s="24">
        <v>14783.756200003678</v>
      </c>
      <c r="V14" s="22">
        <v>17179.351501906425</v>
      </c>
      <c r="W14" s="24">
        <v>19251.430204064447</v>
      </c>
    </row>
    <row r="15" spans="1:27" x14ac:dyDescent="0.2">
      <c r="A15" s="30" t="s">
        <v>72</v>
      </c>
      <c r="B15" s="19"/>
      <c r="C15" s="20"/>
      <c r="D15" s="20"/>
      <c r="E15" s="20"/>
      <c r="F15" s="21"/>
      <c r="G15" s="19"/>
      <c r="H15" s="20"/>
      <c r="I15" s="20">
        <v>9050.3068706590057</v>
      </c>
      <c r="J15" s="20">
        <v>8972.0194546512812</v>
      </c>
      <c r="K15" s="21">
        <v>9296.816554432462</v>
      </c>
      <c r="L15" s="19">
        <v>10142.370950361594</v>
      </c>
      <c r="M15" s="20">
        <v>10193.314991483156</v>
      </c>
      <c r="N15" s="20">
        <v>10117.090518246121</v>
      </c>
      <c r="O15" s="20">
        <v>10144.966774531002</v>
      </c>
      <c r="P15" s="20">
        <v>10032.417299100189</v>
      </c>
      <c r="Q15" s="19">
        <v>9922.8733724772756</v>
      </c>
      <c r="R15" s="20">
        <v>10190.994985123793</v>
      </c>
      <c r="S15" s="20">
        <v>10717.327020300094</v>
      </c>
      <c r="T15" s="20">
        <v>10848.433525772056</v>
      </c>
      <c r="U15" s="21">
        <v>10602.811030571023</v>
      </c>
      <c r="V15" s="19">
        <v>11997.592947184336</v>
      </c>
      <c r="W15" s="21">
        <v>13158.089316705255</v>
      </c>
    </row>
    <row r="16" spans="1:27" x14ac:dyDescent="0.2">
      <c r="A16" s="30" t="s">
        <v>73</v>
      </c>
      <c r="B16" s="19"/>
      <c r="C16" s="20"/>
      <c r="D16" s="20"/>
      <c r="E16" s="20"/>
      <c r="F16" s="21"/>
      <c r="G16" s="19"/>
      <c r="H16" s="20"/>
      <c r="I16" s="20">
        <v>1505.3011427690797</v>
      </c>
      <c r="J16" s="20">
        <v>1784.1858104882399</v>
      </c>
      <c r="K16" s="21">
        <v>2234.091223853492</v>
      </c>
      <c r="L16" s="19">
        <v>2782.8170885006584</v>
      </c>
      <c r="M16" s="20">
        <v>3268.3475053164429</v>
      </c>
      <c r="N16" s="20">
        <v>3646.6209599717336</v>
      </c>
      <c r="O16" s="20">
        <v>3907.5126656933317</v>
      </c>
      <c r="P16" s="20">
        <v>3801.1192983568349</v>
      </c>
      <c r="Q16" s="19">
        <v>3665.5304343510165</v>
      </c>
      <c r="R16" s="20">
        <v>3760.7060865959761</v>
      </c>
      <c r="S16" s="20">
        <v>3695.1495227066553</v>
      </c>
      <c r="T16" s="20">
        <v>3862.9873022264719</v>
      </c>
      <c r="U16" s="21">
        <v>3696.6327461554224</v>
      </c>
      <c r="V16" s="147">
        <v>4162.7890113712529</v>
      </c>
      <c r="W16" s="148">
        <v>4885.3719176390277</v>
      </c>
    </row>
    <row r="17" spans="1:23" x14ac:dyDescent="0.2">
      <c r="A17" s="30" t="s">
        <v>74</v>
      </c>
      <c r="B17" s="19"/>
      <c r="C17" s="20"/>
      <c r="D17" s="20"/>
      <c r="E17" s="20"/>
      <c r="F17" s="21"/>
      <c r="G17" s="19"/>
      <c r="H17" s="20"/>
      <c r="I17" s="20">
        <v>965.80073320027714</v>
      </c>
      <c r="J17" s="20">
        <v>1094.4853873917432</v>
      </c>
      <c r="K17" s="21">
        <v>1263.6542678009414</v>
      </c>
      <c r="L17" s="19">
        <v>1515.0004634392046</v>
      </c>
      <c r="M17" s="20">
        <v>1701.1332373090552</v>
      </c>
      <c r="N17" s="20">
        <v>1807.244893533888</v>
      </c>
      <c r="O17" s="20">
        <v>1880.5112297730902</v>
      </c>
      <c r="P17" s="20">
        <v>1861.4333047191292</v>
      </c>
      <c r="Q17" s="19">
        <v>1889.0250545824697</v>
      </c>
      <c r="R17" s="20">
        <v>1922.1224461354216</v>
      </c>
      <c r="S17" s="20">
        <v>2011.4850800506881</v>
      </c>
      <c r="T17" s="20">
        <v>2022.3477372231948</v>
      </c>
      <c r="U17" s="21">
        <v>1962.7921031386184</v>
      </c>
      <c r="V17" s="147">
        <v>2101.2870026618502</v>
      </c>
      <c r="W17" s="148">
        <v>2295.809785923595</v>
      </c>
    </row>
    <row r="18" spans="1:23" x14ac:dyDescent="0.2">
      <c r="A18" s="30" t="s">
        <v>75</v>
      </c>
      <c r="B18" s="19"/>
      <c r="C18" s="20"/>
      <c r="D18" s="20"/>
      <c r="E18" s="20"/>
      <c r="F18" s="21"/>
      <c r="G18" s="19"/>
      <c r="H18" s="20"/>
      <c r="I18" s="20">
        <v>545.80041435153373</v>
      </c>
      <c r="J18" s="20">
        <v>620.58882009721879</v>
      </c>
      <c r="K18" s="21">
        <v>804.14070521768201</v>
      </c>
      <c r="L18" s="19">
        <v>1031.6990489512123</v>
      </c>
      <c r="M18" s="20">
        <v>1107.2122491938214</v>
      </c>
      <c r="N18" s="20">
        <v>1203.1325084532007</v>
      </c>
      <c r="O18" s="20">
        <v>1256.5705179170764</v>
      </c>
      <c r="P18" s="20">
        <v>1271.2510100937773</v>
      </c>
      <c r="Q18" s="19">
        <v>1312.7498946872574</v>
      </c>
      <c r="R18" s="20">
        <v>1380.0906985971237</v>
      </c>
      <c r="S18" s="20">
        <v>1442.830475328278</v>
      </c>
      <c r="T18" s="20">
        <v>1411.1878269692647</v>
      </c>
      <c r="U18" s="21">
        <v>1364.1405953083029</v>
      </c>
      <c r="V18" s="19">
        <v>1597.0744131292022</v>
      </c>
      <c r="W18" s="21">
        <v>1638.765774402842</v>
      </c>
    </row>
    <row r="19" spans="1:23" x14ac:dyDescent="0.2">
      <c r="A19" s="30" t="s">
        <v>76</v>
      </c>
      <c r="B19" s="19"/>
      <c r="C19" s="20"/>
      <c r="D19" s="20"/>
      <c r="E19" s="20"/>
      <c r="F19" s="21"/>
      <c r="G19" s="19"/>
      <c r="H19" s="20"/>
      <c r="I19" s="20">
        <v>458.50034807654498</v>
      </c>
      <c r="J19" s="20">
        <v>521.25415963701107</v>
      </c>
      <c r="K19" s="21">
        <v>626.26618411819004</v>
      </c>
      <c r="L19" s="19">
        <v>762.31779115243853</v>
      </c>
      <c r="M19" s="20">
        <v>847.80976910915558</v>
      </c>
      <c r="N19" s="20">
        <v>864.50137752992862</v>
      </c>
      <c r="O19" s="20">
        <v>809.92873491075056</v>
      </c>
      <c r="P19" s="20">
        <v>677.1890952580502</v>
      </c>
      <c r="Q19" s="19">
        <v>573.24786178264799</v>
      </c>
      <c r="R19" s="20">
        <v>725.48414377325219</v>
      </c>
      <c r="S19" s="20">
        <v>926.76357095617357</v>
      </c>
      <c r="T19" s="20">
        <v>1100.9341051264412</v>
      </c>
      <c r="U19" s="21">
        <v>935.75183103419295</v>
      </c>
      <c r="V19" s="19">
        <v>1076.1731642745904</v>
      </c>
      <c r="W19" s="21">
        <v>1223.8580985832502</v>
      </c>
    </row>
    <row r="20" spans="1:23" x14ac:dyDescent="0.2">
      <c r="A20" s="30" t="s">
        <v>77</v>
      </c>
      <c r="B20" s="19"/>
      <c r="C20" s="20"/>
      <c r="D20" s="20"/>
      <c r="E20" s="20"/>
      <c r="F20" s="21"/>
      <c r="G20" s="19"/>
      <c r="H20" s="20"/>
      <c r="I20" s="20">
        <v>3.1000023534073922</v>
      </c>
      <c r="J20" s="20">
        <v>4.1845774988797642</v>
      </c>
      <c r="K20" s="21">
        <v>5.2441173212446506</v>
      </c>
      <c r="L20" s="19">
        <v>6.6845669743072351</v>
      </c>
      <c r="M20" s="20">
        <v>6.8678688886411861</v>
      </c>
      <c r="N20" s="20">
        <v>7.502827183510365</v>
      </c>
      <c r="O20" s="20">
        <v>7.0510098450435912</v>
      </c>
      <c r="P20" s="20">
        <v>6.8523339159222463</v>
      </c>
      <c r="Q20" s="19">
        <v>6.0176719759568336</v>
      </c>
      <c r="R20" s="20">
        <v>7.2600738655111625</v>
      </c>
      <c r="S20" s="20">
        <v>7.7098865415536757</v>
      </c>
      <c r="T20" s="20">
        <v>7.8117283723092017</v>
      </c>
      <c r="U20" s="21">
        <v>7.680442047975407</v>
      </c>
      <c r="V20" s="19">
        <v>7.4611990340320693</v>
      </c>
      <c r="W20" s="148">
        <v>9.9031707646251146</v>
      </c>
    </row>
    <row r="21" spans="1:23" x14ac:dyDescent="0.2">
      <c r="A21" s="30" t="s">
        <v>79</v>
      </c>
      <c r="B21" s="19"/>
      <c r="C21" s="20"/>
      <c r="D21" s="20"/>
      <c r="E21" s="20"/>
      <c r="F21" s="21"/>
      <c r="G21" s="19"/>
      <c r="H21" s="20"/>
      <c r="I21" s="20">
        <v>4457.8033841998304</v>
      </c>
      <c r="J21" s="20">
        <v>4887.310870278885</v>
      </c>
      <c r="K21" s="21">
        <v>5835.5436011208267</v>
      </c>
      <c r="L21" s="19">
        <v>6911.4548569209974</v>
      </c>
      <c r="M21" s="20">
        <v>7646.1720166414416</v>
      </c>
      <c r="N21" s="20">
        <v>8115.6992231973009</v>
      </c>
      <c r="O21" s="20">
        <v>8468.3010733558294</v>
      </c>
      <c r="P21" s="20">
        <v>8478.8312167853383</v>
      </c>
      <c r="Q21" s="19">
        <v>8906.718913980023</v>
      </c>
      <c r="R21" s="20">
        <v>10040.499011076579</v>
      </c>
      <c r="S21" s="20">
        <v>10962.787118472648</v>
      </c>
      <c r="T21" s="20">
        <v>10904.279075637376</v>
      </c>
      <c r="U21" s="21">
        <v>10445.304759048124</v>
      </c>
      <c r="V21" s="19">
        <v>12251.644128479631</v>
      </c>
      <c r="W21" s="21">
        <v>12813.230318340402</v>
      </c>
    </row>
    <row r="22" spans="1:23" x14ac:dyDescent="0.2">
      <c r="A22" s="30" t="s">
        <v>80</v>
      </c>
      <c r="B22" s="19"/>
      <c r="C22" s="20"/>
      <c r="D22" s="20"/>
      <c r="E22" s="20"/>
      <c r="F22" s="21"/>
      <c r="G22" s="19"/>
      <c r="H22" s="20"/>
      <c r="I22" s="20">
        <v>2093.0015889295714</v>
      </c>
      <c r="J22" s="20">
        <v>2259.0238769767952</v>
      </c>
      <c r="K22" s="21">
        <v>2702.009141156459</v>
      </c>
      <c r="L22" s="19">
        <v>3284.3257250851011</v>
      </c>
      <c r="M22" s="20">
        <v>3575.8910859003236</v>
      </c>
      <c r="N22" s="20">
        <v>3816.2913666362542</v>
      </c>
      <c r="O22" s="20">
        <v>4015.3739178761771</v>
      </c>
      <c r="P22" s="20">
        <v>4096.5824328702329</v>
      </c>
      <c r="Q22" s="19">
        <v>4412.8276565020033</v>
      </c>
      <c r="R22" s="20">
        <v>5081.6882115949693</v>
      </c>
      <c r="S22" s="20">
        <v>5590.3906597777359</v>
      </c>
      <c r="T22" s="20">
        <v>5746.0886509559768</v>
      </c>
      <c r="U22" s="21">
        <v>5671.8703052305846</v>
      </c>
      <c r="V22" s="19">
        <v>6671.2559236630732</v>
      </c>
      <c r="W22" s="148">
        <v>7087.9072166344358</v>
      </c>
    </row>
    <row r="23" spans="1:23" x14ac:dyDescent="0.2">
      <c r="A23" s="30" t="s">
        <v>210</v>
      </c>
      <c r="B23" s="19"/>
      <c r="C23" s="20"/>
      <c r="D23" s="20"/>
      <c r="E23" s="20"/>
      <c r="F23" s="21"/>
      <c r="G23" s="19"/>
      <c r="H23" s="20"/>
      <c r="I23" s="20">
        <v>2225.4016894428423</v>
      </c>
      <c r="J23" s="20">
        <v>2412.4518267161093</v>
      </c>
      <c r="K23" s="21">
        <v>2870.4949098137049</v>
      </c>
      <c r="L23" s="19">
        <v>3542.7552369727405</v>
      </c>
      <c r="M23" s="20">
        <v>3881.4136443644743</v>
      </c>
      <c r="N23" s="20">
        <v>4149.8851711755378</v>
      </c>
      <c r="O23" s="20">
        <v>4281.9375707243807</v>
      </c>
      <c r="P23" s="20">
        <v>4376.6646858009617</v>
      </c>
      <c r="Q23" s="19">
        <v>4679.8658385035824</v>
      </c>
      <c r="R23" s="20">
        <v>5389.2018711243009</v>
      </c>
      <c r="S23" s="20">
        <v>5962.0264288111493</v>
      </c>
      <c r="T23" s="20">
        <v>6180.4515572956461</v>
      </c>
      <c r="U23" s="21">
        <v>5848.183273548666</v>
      </c>
      <c r="V23" s="19">
        <v>7044.2320771396617</v>
      </c>
      <c r="W23" s="21">
        <v>7776.8139449688724</v>
      </c>
    </row>
    <row r="24" spans="1:23" x14ac:dyDescent="0.2">
      <c r="A24" s="30" t="s">
        <v>211</v>
      </c>
      <c r="B24" s="19"/>
      <c r="C24" s="20"/>
      <c r="D24" s="20"/>
      <c r="E24" s="20"/>
      <c r="F24" s="21"/>
      <c r="G24" s="19"/>
      <c r="H24" s="20"/>
      <c r="I24" s="20">
        <v>4354.7033059300547</v>
      </c>
      <c r="J24" s="20">
        <v>4457.0904818116478</v>
      </c>
      <c r="K24" s="21">
        <v>5178.3935224540319</v>
      </c>
      <c r="L24" s="19">
        <v>6052.5161126521898</v>
      </c>
      <c r="M24" s="20">
        <v>6442.4695311329133</v>
      </c>
      <c r="N24" s="20">
        <v>6700.5694930672189</v>
      </c>
      <c r="O24" s="20">
        <v>7024.1474564585051</v>
      </c>
      <c r="P24" s="20">
        <v>6892.8908144172274</v>
      </c>
      <c r="Q24" s="19">
        <v>6258.0223166001024</v>
      </c>
      <c r="R24" s="20">
        <v>6836.6564345643601</v>
      </c>
      <c r="S24" s="20">
        <v>7471.6985881219116</v>
      </c>
      <c r="T24" s="20">
        <v>7672.4996428390778</v>
      </c>
      <c r="U24" s="21">
        <v>7700.2442564631801</v>
      </c>
      <c r="V24" s="19">
        <v>8679.6538512085281</v>
      </c>
      <c r="W24" s="21">
        <v>9645.4161959301746</v>
      </c>
    </row>
    <row r="25" spans="1:23" x14ac:dyDescent="0.2">
      <c r="A25" s="30" t="s">
        <v>83</v>
      </c>
      <c r="B25" s="19"/>
      <c r="C25" s="20"/>
      <c r="D25" s="20"/>
      <c r="E25" s="20"/>
      <c r="F25" s="21"/>
      <c r="G25" s="19"/>
      <c r="H25" s="20"/>
      <c r="I25" s="20">
        <v>4161.3031591078006</v>
      </c>
      <c r="J25" s="20">
        <v>4270.9522222361084</v>
      </c>
      <c r="K25" s="21">
        <v>4948.8287005516922</v>
      </c>
      <c r="L25" s="19">
        <v>5563.3116715859496</v>
      </c>
      <c r="M25" s="20">
        <v>6078.8650882925831</v>
      </c>
      <c r="N25" s="20">
        <v>6410.8646235561791</v>
      </c>
      <c r="O25" s="20">
        <v>6627.2853308965241</v>
      </c>
      <c r="P25" s="20">
        <v>6729.8701869121869</v>
      </c>
      <c r="Q25" s="19">
        <v>7029.5175490771526</v>
      </c>
      <c r="R25" s="20">
        <v>7716.585225621604</v>
      </c>
      <c r="S25" s="20">
        <v>8035.5619548706381</v>
      </c>
      <c r="T25" s="20">
        <v>7945.6145359996881</v>
      </c>
      <c r="U25" s="21">
        <v>7781.1697585795664</v>
      </c>
      <c r="V25" s="19">
        <v>8592.9127006410708</v>
      </c>
      <c r="W25" s="21">
        <v>8683.3644373810675</v>
      </c>
    </row>
    <row r="26" spans="1:23" ht="13.9" customHeight="1" x14ac:dyDescent="0.2">
      <c r="A26" s="30" t="s">
        <v>84</v>
      </c>
      <c r="B26" s="19"/>
      <c r="C26" s="20"/>
      <c r="D26" s="20"/>
      <c r="E26" s="20"/>
      <c r="F26" s="21"/>
      <c r="G26" s="19"/>
      <c r="H26" s="20"/>
      <c r="I26" s="20">
        <v>2550.0019358673712</v>
      </c>
      <c r="J26" s="20">
        <v>2650.9639468624891</v>
      </c>
      <c r="K26" s="21">
        <v>3165.3021687226246</v>
      </c>
      <c r="L26" s="19">
        <v>3798.1798233626464</v>
      </c>
      <c r="M26" s="20">
        <v>3965.2133968775975</v>
      </c>
      <c r="N26" s="20">
        <v>4124.0688515832608</v>
      </c>
      <c r="O26" s="20">
        <v>4283.2688632305862</v>
      </c>
      <c r="P26" s="20">
        <v>4243.8798038274035</v>
      </c>
      <c r="Q26" s="19">
        <v>4361.4088591846903</v>
      </c>
      <c r="R26" s="20">
        <v>4870.5585385394124</v>
      </c>
      <c r="S26" s="20">
        <v>5242.6273533999974</v>
      </c>
      <c r="T26" s="20">
        <v>5163.4734525339654</v>
      </c>
      <c r="U26" s="21">
        <v>4569.5272137342927</v>
      </c>
      <c r="V26" s="19">
        <v>5399.5623528281139</v>
      </c>
      <c r="W26" s="21">
        <v>5501.2623524786677</v>
      </c>
    </row>
    <row r="27" spans="1:23" ht="13.9" customHeight="1" x14ac:dyDescent="0.2">
      <c r="A27" s="30" t="s">
        <v>212</v>
      </c>
      <c r="B27" s="19"/>
      <c r="C27" s="20"/>
      <c r="D27" s="20"/>
      <c r="E27" s="20"/>
      <c r="F27" s="21"/>
      <c r="G27" s="19"/>
      <c r="H27" s="20"/>
      <c r="I27" s="20">
        <v>1697.8012889080874</v>
      </c>
      <c r="J27" s="20">
        <v>1755.3860378449449</v>
      </c>
      <c r="K27" s="21">
        <v>2123.3035148085542</v>
      </c>
      <c r="L27" s="19">
        <v>2492.7412276544087</v>
      </c>
      <c r="M27" s="20">
        <v>2614.5030749530165</v>
      </c>
      <c r="N27" s="20">
        <v>2742.0754970743087</v>
      </c>
      <c r="O27" s="20">
        <v>2821.3604122877309</v>
      </c>
      <c r="P27" s="20">
        <v>2808.8031069630865</v>
      </c>
      <c r="Q27" s="19">
        <v>2875.4658113298697</v>
      </c>
      <c r="R27" s="20">
        <v>3174.7255790545173</v>
      </c>
      <c r="S27" s="20">
        <v>3427.0670060003536</v>
      </c>
      <c r="T27" s="20">
        <v>3415.4672948781413</v>
      </c>
      <c r="U27" s="21">
        <v>2932.9101730437146</v>
      </c>
      <c r="V27" s="19">
        <v>3468.8549607972727</v>
      </c>
      <c r="W27" s="21">
        <v>3588.2299654049029</v>
      </c>
    </row>
    <row r="28" spans="1:23" ht="13.9" customHeight="1" x14ac:dyDescent="0.2">
      <c r="A28" s="30" t="s">
        <v>213</v>
      </c>
      <c r="B28" s="19"/>
      <c r="C28" s="20"/>
      <c r="D28" s="20"/>
      <c r="E28" s="20"/>
      <c r="F28" s="21"/>
      <c r="G28" s="19"/>
      <c r="H28" s="20"/>
      <c r="I28" s="20">
        <v>979.20074337307062</v>
      </c>
      <c r="J28" s="20">
        <v>1090.2191748276123</v>
      </c>
      <c r="K28" s="21">
        <v>1385.5070741671168</v>
      </c>
      <c r="L28" s="19">
        <v>1740.1898485939689</v>
      </c>
      <c r="M28" s="20">
        <v>1904.8430564949463</v>
      </c>
      <c r="N28" s="20">
        <v>2064.3195681255211</v>
      </c>
      <c r="O28" s="20">
        <v>2190.0079535742352</v>
      </c>
      <c r="P28" s="20">
        <v>2209.3585250360502</v>
      </c>
      <c r="Q28" s="19">
        <v>2336.1666635431679</v>
      </c>
      <c r="R28" s="20">
        <v>2618.7536006855421</v>
      </c>
      <c r="S28" s="20">
        <v>2775.6038109468777</v>
      </c>
      <c r="T28" s="20">
        <v>2768.9184431682488</v>
      </c>
      <c r="U28" s="21">
        <v>2641.6002604003402</v>
      </c>
      <c r="V28" s="19">
        <v>3176.0967726764525</v>
      </c>
      <c r="W28" s="21">
        <v>3282.0983887934508</v>
      </c>
    </row>
    <row r="29" spans="1:23" ht="13.9" customHeight="1" x14ac:dyDescent="0.2">
      <c r="A29" s="30" t="s">
        <v>214</v>
      </c>
      <c r="B29" s="19"/>
      <c r="C29" s="20"/>
      <c r="D29" s="20"/>
      <c r="E29" s="20"/>
      <c r="F29" s="21"/>
      <c r="G29" s="19"/>
      <c r="H29" s="20"/>
      <c r="I29" s="20">
        <v>694.4005271632559</v>
      </c>
      <c r="J29" s="20">
        <v>714.66836118218998</v>
      </c>
      <c r="K29" s="21">
        <v>888.20296794302919</v>
      </c>
      <c r="L29" s="19">
        <v>1062.1044100724307</v>
      </c>
      <c r="M29" s="20">
        <v>1150.1864749888562</v>
      </c>
      <c r="N29" s="20">
        <v>1229.7431384498705</v>
      </c>
      <c r="O29" s="20">
        <v>1295.0859613333421</v>
      </c>
      <c r="P29" s="20">
        <v>1313.90371704728</v>
      </c>
      <c r="Q29" s="19">
        <v>1386.7146977008076</v>
      </c>
      <c r="R29" s="20">
        <v>1607.1475740781318</v>
      </c>
      <c r="S29" s="20">
        <v>1749.8039730000289</v>
      </c>
      <c r="T29" s="20">
        <v>1750.7134038440061</v>
      </c>
      <c r="U29" s="21">
        <v>1627.6494522571516</v>
      </c>
      <c r="V29" s="19">
        <v>1988.8923975108025</v>
      </c>
      <c r="W29" s="21">
        <v>1927.2041407983827</v>
      </c>
    </row>
    <row r="30" spans="1:23" ht="13.9" customHeight="1" x14ac:dyDescent="0.2">
      <c r="A30" s="30" t="s">
        <v>88</v>
      </c>
      <c r="B30" s="19"/>
      <c r="C30" s="20"/>
      <c r="D30" s="20"/>
      <c r="E30" s="20"/>
      <c r="F30" s="21"/>
      <c r="G30" s="19"/>
      <c r="H30" s="20"/>
      <c r="I30" s="20">
        <v>1767.901342125461</v>
      </c>
      <c r="J30" s="20">
        <v>1851.2764017040881</v>
      </c>
      <c r="K30" s="21">
        <v>2233.5254573509437</v>
      </c>
      <c r="L30" s="19">
        <v>2652.2804511754725</v>
      </c>
      <c r="M30" s="20">
        <v>2810.2476720913332</v>
      </c>
      <c r="N30" s="20">
        <v>2955.5508517473181</v>
      </c>
      <c r="O30" s="20">
        <v>3049.598654484786</v>
      </c>
      <c r="P30" s="20">
        <v>3047.6023438583661</v>
      </c>
      <c r="Q30" s="19">
        <v>3195.3661610663376</v>
      </c>
      <c r="R30" s="20">
        <v>3514.4279889072404</v>
      </c>
      <c r="S30" s="20">
        <v>3659.7021888682193</v>
      </c>
      <c r="T30" s="20">
        <v>3722.3333030256695</v>
      </c>
      <c r="U30" s="21">
        <v>3663.3945727849982</v>
      </c>
      <c r="V30" s="19">
        <v>4241.0609759775298</v>
      </c>
      <c r="W30" s="21">
        <v>4378.2009379019628</v>
      </c>
    </row>
    <row r="31" spans="1:23" ht="13.9" customHeight="1" x14ac:dyDescent="0.2">
      <c r="A31" s="30" t="s">
        <v>215</v>
      </c>
      <c r="B31" s="19"/>
      <c r="C31" s="20"/>
      <c r="D31" s="20"/>
      <c r="E31" s="20"/>
      <c r="F31" s="21"/>
      <c r="G31" s="19"/>
      <c r="H31" s="20"/>
      <c r="I31" s="20">
        <v>707.70053726013282</v>
      </c>
      <c r="J31" s="20">
        <v>728.35656568063916</v>
      </c>
      <c r="K31" s="21">
        <v>868.91557478910011</v>
      </c>
      <c r="L31" s="19">
        <v>1027.3154481748047</v>
      </c>
      <c r="M31" s="20">
        <v>1101.5073385079752</v>
      </c>
      <c r="N31" s="20">
        <v>1195.86467816087</v>
      </c>
      <c r="O31" s="20">
        <v>1274.4692669713031</v>
      </c>
      <c r="P31" s="20">
        <v>1290.5683998282011</v>
      </c>
      <c r="Q31" s="19">
        <v>1355.6974637941767</v>
      </c>
      <c r="R31" s="20">
        <v>1574.0617552970548</v>
      </c>
      <c r="S31" s="20">
        <v>1730.0103237342687</v>
      </c>
      <c r="T31" s="20">
        <v>1730.9094671658074</v>
      </c>
      <c r="U31" s="21">
        <v>1649.6368760600501</v>
      </c>
      <c r="V31" s="19">
        <v>1997.7939698123578</v>
      </c>
      <c r="W31" s="21">
        <v>2083.1435551560949</v>
      </c>
    </row>
    <row r="32" spans="1:23" ht="13.9" customHeight="1" x14ac:dyDescent="0.2">
      <c r="A32" s="30" t="s">
        <v>216</v>
      </c>
      <c r="B32" s="19"/>
      <c r="C32" s="20"/>
      <c r="D32" s="20"/>
      <c r="E32" s="20"/>
      <c r="F32" s="21"/>
      <c r="G32" s="19"/>
      <c r="H32" s="20"/>
      <c r="I32" s="20">
        <v>911.60069205360617</v>
      </c>
      <c r="J32" s="20">
        <v>926.99785509351943</v>
      </c>
      <c r="K32" s="21">
        <v>1092.4161308331393</v>
      </c>
      <c r="L32" s="19">
        <v>1272.2822677545569</v>
      </c>
      <c r="M32" s="20">
        <v>1374.077655850861</v>
      </c>
      <c r="N32" s="20">
        <v>1513.1141621834495</v>
      </c>
      <c r="O32" s="20">
        <v>1665.3467393526321</v>
      </c>
      <c r="P32" s="20">
        <v>1672.1590326007936</v>
      </c>
      <c r="Q32" s="19">
        <v>1708.5340920291119</v>
      </c>
      <c r="R32" s="20">
        <v>1967.4998052053454</v>
      </c>
      <c r="S32" s="20">
        <v>2186.7703758991765</v>
      </c>
      <c r="T32" s="20">
        <v>2158.0233059854831</v>
      </c>
      <c r="U32" s="21">
        <v>1972.7493616245627</v>
      </c>
      <c r="V32" s="19">
        <v>2468.5930080775088</v>
      </c>
      <c r="W32" s="21">
        <v>2497.1420053870911</v>
      </c>
    </row>
    <row r="33" spans="1:23" ht="13.9" customHeight="1" x14ac:dyDescent="0.2">
      <c r="A33" s="30" t="s">
        <v>91</v>
      </c>
      <c r="B33" s="19"/>
      <c r="C33" s="20"/>
      <c r="D33" s="20"/>
      <c r="E33" s="20"/>
      <c r="F33" s="21"/>
      <c r="G33" s="19"/>
      <c r="H33" s="20"/>
      <c r="I33" s="20">
        <v>3408.2025873816369</v>
      </c>
      <c r="J33" s="20">
        <v>3391.6166641791879</v>
      </c>
      <c r="K33" s="21">
        <v>3859.4980708178568</v>
      </c>
      <c r="L33" s="19">
        <v>4310.6782924902254</v>
      </c>
      <c r="M33" s="20">
        <v>4462.4681978598592</v>
      </c>
      <c r="N33" s="20">
        <v>4593.6200957591973</v>
      </c>
      <c r="O33" s="20">
        <v>4690.8368641529569</v>
      </c>
      <c r="P33" s="20">
        <v>4781.2543899953389</v>
      </c>
      <c r="Q33" s="19">
        <v>5050.9450451232142</v>
      </c>
      <c r="R33" s="20">
        <v>5587.2772760826665</v>
      </c>
      <c r="S33" s="20">
        <v>6129.3098338874352</v>
      </c>
      <c r="T33" s="20">
        <v>6282.0684978630661</v>
      </c>
      <c r="U33" s="21">
        <v>6152.0529589530752</v>
      </c>
      <c r="V33" s="19">
        <v>6753.6438071886414</v>
      </c>
      <c r="W33" s="21">
        <v>6656.396030917992</v>
      </c>
    </row>
    <row r="34" spans="1:23" ht="13.9" customHeight="1" x14ac:dyDescent="0.2">
      <c r="A34" s="30" t="s">
        <v>209</v>
      </c>
      <c r="B34" s="19"/>
      <c r="C34" s="20"/>
      <c r="D34" s="20"/>
      <c r="E34" s="20"/>
      <c r="F34" s="21"/>
      <c r="G34" s="19"/>
      <c r="H34" s="20"/>
      <c r="I34" s="20">
        <v>7594.7057656203615</v>
      </c>
      <c r="J34" s="20">
        <v>8233.0582764270821</v>
      </c>
      <c r="K34" s="21">
        <v>9873.1716461249434</v>
      </c>
      <c r="L34" s="19">
        <v>11754.999587720577</v>
      </c>
      <c r="M34" s="20">
        <v>12787.099613506582</v>
      </c>
      <c r="N34" s="20">
        <v>13907.280625677899</v>
      </c>
      <c r="O34" s="20">
        <v>14861.832903527142</v>
      </c>
      <c r="P34" s="20">
        <v>15444.495754439948</v>
      </c>
      <c r="Q34" s="19">
        <v>16468.566947534313</v>
      </c>
      <c r="R34" s="20">
        <v>18043.445055433003</v>
      </c>
      <c r="S34" s="20">
        <v>19272.983068576188</v>
      </c>
      <c r="T34" s="20">
        <v>19696.878895295122</v>
      </c>
      <c r="U34" s="21">
        <v>19806.415285139785</v>
      </c>
      <c r="V34" s="19">
        <v>23231.600908935638</v>
      </c>
      <c r="W34" s="21">
        <v>25720.00992281779</v>
      </c>
    </row>
    <row r="35" spans="1:23" ht="13.9" customHeight="1" x14ac:dyDescent="0.2">
      <c r="A35" s="30" t="s">
        <v>93</v>
      </c>
      <c r="B35" s="19"/>
      <c r="C35" s="20"/>
      <c r="D35" s="20"/>
      <c r="E35" s="20"/>
      <c r="F35" s="21"/>
      <c r="G35" s="19"/>
      <c r="H35" s="20"/>
      <c r="I35" s="20">
        <v>2587.4019642600924</v>
      </c>
      <c r="J35" s="20">
        <v>2809.7741352375892</v>
      </c>
      <c r="K35" s="21">
        <v>3360.7592533095376</v>
      </c>
      <c r="L35" s="19">
        <v>4112.9527578956458</v>
      </c>
      <c r="M35" s="20">
        <v>4586.2261353509812</v>
      </c>
      <c r="N35" s="20">
        <v>5050.2849579329986</v>
      </c>
      <c r="O35" s="20">
        <v>5494.779677332579</v>
      </c>
      <c r="P35" s="20">
        <v>5731.0634429073598</v>
      </c>
      <c r="Q35" s="19">
        <v>6286.9694383867254</v>
      </c>
      <c r="R35" s="20">
        <v>7458.8858149386815</v>
      </c>
      <c r="S35" s="20">
        <v>8436.2668648294366</v>
      </c>
      <c r="T35" s="20">
        <v>8778.2775298385786</v>
      </c>
      <c r="U35" s="21">
        <v>9040.5154886877699</v>
      </c>
      <c r="V35" s="19">
        <v>12287.55102553251</v>
      </c>
      <c r="W35" s="21">
        <v>12327.563531850383</v>
      </c>
    </row>
    <row r="36" spans="1:23" ht="13.9" customHeight="1" x14ac:dyDescent="0.2">
      <c r="A36" s="30" t="s">
        <v>94</v>
      </c>
      <c r="B36" s="19"/>
      <c r="C36" s="20"/>
      <c r="D36" s="20"/>
      <c r="E36" s="20"/>
      <c r="F36" s="21"/>
      <c r="G36" s="19"/>
      <c r="H36" s="20"/>
      <c r="I36" s="20">
        <v>633.0004805506062</v>
      </c>
      <c r="J36" s="20">
        <v>659.85916485827727</v>
      </c>
      <c r="K36" s="21">
        <v>761.16502680923827</v>
      </c>
      <c r="L36" s="19">
        <v>877.00953952597558</v>
      </c>
      <c r="M36" s="20">
        <v>965.96897808100289</v>
      </c>
      <c r="N36" s="20">
        <v>1033.7207853614659</v>
      </c>
      <c r="O36" s="20">
        <v>1086.6448613678429</v>
      </c>
      <c r="P36" s="20">
        <v>1146.7788066038906</v>
      </c>
      <c r="Q36" s="19">
        <v>1204.6514697343941</v>
      </c>
      <c r="R36" s="20">
        <v>1345.2821533855754</v>
      </c>
      <c r="S36" s="20">
        <v>1492.4348274595486</v>
      </c>
      <c r="T36" s="20">
        <v>1630.1488233972616</v>
      </c>
      <c r="U36" s="21">
        <v>1620.1904872999933</v>
      </c>
      <c r="V36" s="19">
        <v>1891.5525786316018</v>
      </c>
      <c r="W36" s="21">
        <v>1986.1148653782011</v>
      </c>
    </row>
    <row r="37" spans="1:23" ht="13.9" customHeight="1" x14ac:dyDescent="0.2">
      <c r="A37" s="30" t="s">
        <v>95</v>
      </c>
      <c r="B37" s="19"/>
      <c r="C37" s="20"/>
      <c r="D37" s="20"/>
      <c r="E37" s="20"/>
      <c r="F37" s="21"/>
      <c r="G37" s="19"/>
      <c r="H37" s="20"/>
      <c r="I37" s="20">
        <v>2883.0021886688746</v>
      </c>
      <c r="J37" s="20">
        <v>3055.7825868045834</v>
      </c>
      <c r="K37" s="21">
        <v>3727.9822164019265</v>
      </c>
      <c r="L37" s="19">
        <v>4366.9468722409565</v>
      </c>
      <c r="M37" s="20">
        <v>4682.3242414917613</v>
      </c>
      <c r="N37" s="20">
        <v>5028.9076729594299</v>
      </c>
      <c r="O37" s="20">
        <v>5291.2481688228863</v>
      </c>
      <c r="P37" s="20">
        <v>5418.3470213901046</v>
      </c>
      <c r="Q37" s="19">
        <v>5772.2543574861229</v>
      </c>
      <c r="R37" s="20">
        <v>6476.5693928703895</v>
      </c>
      <c r="S37" s="20">
        <v>6891.1934782524522</v>
      </c>
      <c r="T37" s="20">
        <v>7049.4870845267333</v>
      </c>
      <c r="U37" s="21">
        <v>6979.0004205387331</v>
      </c>
      <c r="V37" s="19">
        <v>8079.4917792260139</v>
      </c>
      <c r="W37" s="21">
        <v>8240.0589725244354</v>
      </c>
    </row>
    <row r="38" spans="1:23" x14ac:dyDescent="0.2">
      <c r="A38" s="30" t="s">
        <v>96</v>
      </c>
      <c r="B38" s="19"/>
      <c r="C38" s="20"/>
      <c r="D38" s="20"/>
      <c r="E38" s="20"/>
      <c r="F38" s="21"/>
      <c r="G38" s="19"/>
      <c r="H38" s="20"/>
      <c r="I38" s="20">
        <v>5187.8039383893129</v>
      </c>
      <c r="J38" s="20">
        <v>5628.7581815099666</v>
      </c>
      <c r="K38" s="21">
        <v>7030.589353465095</v>
      </c>
      <c r="L38" s="19">
        <v>8640.6407221319441</v>
      </c>
      <c r="M38" s="20">
        <v>9357.2232631595507</v>
      </c>
      <c r="N38" s="20">
        <v>10122.468088555916</v>
      </c>
      <c r="O38" s="20">
        <v>10719.171559482726</v>
      </c>
      <c r="P38" s="20">
        <v>10834.230473740719</v>
      </c>
      <c r="Q38" s="19">
        <v>11423.890993970081</v>
      </c>
      <c r="R38" s="20">
        <v>12504.291953687391</v>
      </c>
      <c r="S38" s="20">
        <v>13485.296903819431</v>
      </c>
      <c r="T38" s="20">
        <v>14334.752059473703</v>
      </c>
      <c r="U38" s="21">
        <v>14330.826150726112</v>
      </c>
      <c r="V38" s="19">
        <v>16855.92295029225</v>
      </c>
      <c r="W38" s="21">
        <v>17243.425959903449</v>
      </c>
    </row>
    <row r="39" spans="1:23" x14ac:dyDescent="0.2">
      <c r="A39" s="30" t="s">
        <v>97</v>
      </c>
      <c r="B39" s="19"/>
      <c r="C39" s="20"/>
      <c r="D39" s="20"/>
      <c r="E39" s="20"/>
      <c r="F39" s="21"/>
      <c r="G39" s="19"/>
      <c r="H39" s="20"/>
      <c r="I39" s="20">
        <v>9773.7074198380105</v>
      </c>
      <c r="J39" s="20">
        <v>10160.676991156828</v>
      </c>
      <c r="K39" s="21">
        <v>11773.358093091856</v>
      </c>
      <c r="L39" s="19">
        <v>13406.317301611809</v>
      </c>
      <c r="M39" s="20">
        <v>14296.175480235263</v>
      </c>
      <c r="N39" s="20">
        <v>15243.409609682854</v>
      </c>
      <c r="O39" s="20">
        <v>15684.160580893045</v>
      </c>
      <c r="P39" s="20">
        <v>15688.778495526043</v>
      </c>
      <c r="Q39" s="19">
        <v>15268.944689738328</v>
      </c>
      <c r="R39" s="20">
        <v>16165.020259981835</v>
      </c>
      <c r="S39" s="20">
        <v>17833.219452105724</v>
      </c>
      <c r="T39" s="20">
        <v>19130.628559013832</v>
      </c>
      <c r="U39" s="21">
        <v>19850.963290163178</v>
      </c>
      <c r="V39" s="19">
        <v>21878.606289058018</v>
      </c>
      <c r="W39" s="21">
        <v>22995.081561035015</v>
      </c>
    </row>
    <row r="40" spans="1:23" x14ac:dyDescent="0.2">
      <c r="A40" s="30" t="s">
        <v>98</v>
      </c>
      <c r="B40" s="19"/>
      <c r="C40" s="20"/>
      <c r="D40" s="20"/>
      <c r="E40" s="20"/>
      <c r="F40" s="21"/>
      <c r="G40" s="19"/>
      <c r="H40" s="20"/>
      <c r="I40" s="20">
        <v>4117.9031261600967</v>
      </c>
      <c r="J40" s="20">
        <v>4393.9068331972139</v>
      </c>
      <c r="K40" s="21">
        <v>5164.2919321286736</v>
      </c>
      <c r="L40" s="19">
        <v>6089.6401343905618</v>
      </c>
      <c r="M40" s="20">
        <v>6713.2730674121904</v>
      </c>
      <c r="N40" s="20">
        <v>7464.2037789643146</v>
      </c>
      <c r="O40" s="20">
        <v>8128.3883045910716</v>
      </c>
      <c r="P40" s="20">
        <v>8585.9201863013168</v>
      </c>
      <c r="Q40" s="19">
        <v>9027.7128435209761</v>
      </c>
      <c r="R40" s="20">
        <v>9671.8616819739964</v>
      </c>
      <c r="S40" s="20">
        <v>10749.754866546331</v>
      </c>
      <c r="T40" s="20">
        <v>11458.373971382749</v>
      </c>
      <c r="U40" s="21">
        <v>11421.806149839256</v>
      </c>
      <c r="V40" s="19">
        <v>12924.32549371184</v>
      </c>
      <c r="W40" s="21">
        <v>14120.771178491113</v>
      </c>
    </row>
    <row r="41" spans="1:23" x14ac:dyDescent="0.2">
      <c r="A41" s="30" t="s">
        <v>99</v>
      </c>
      <c r="B41" s="19"/>
      <c r="C41" s="20"/>
      <c r="D41" s="20"/>
      <c r="E41" s="20"/>
      <c r="F41" s="21"/>
      <c r="G41" s="19"/>
      <c r="H41" s="20"/>
      <c r="I41" s="20">
        <v>4414.8033515557918</v>
      </c>
      <c r="J41" s="20">
        <v>4593.7744458846264</v>
      </c>
      <c r="K41" s="21">
        <v>5675.839976340555</v>
      </c>
      <c r="L41" s="19">
        <v>6940.2952440407098</v>
      </c>
      <c r="M41" s="20">
        <v>7583.4540561368804</v>
      </c>
      <c r="N41" s="20">
        <v>8269.855635603004</v>
      </c>
      <c r="O41" s="20">
        <v>8941.631470254466</v>
      </c>
      <c r="P41" s="20">
        <v>9113.9845530728253</v>
      </c>
      <c r="Q41" s="19">
        <v>9763.4188661947501</v>
      </c>
      <c r="R41" s="20">
        <v>10985.64155785237</v>
      </c>
      <c r="S41" s="20">
        <v>11756.891253506043</v>
      </c>
      <c r="T41" s="20">
        <v>12141.712971874478</v>
      </c>
      <c r="U41" s="21">
        <v>12421.774161186662</v>
      </c>
      <c r="V41" s="19">
        <v>15692.75421460315</v>
      </c>
      <c r="W41" s="21">
        <v>16232.794841220792</v>
      </c>
    </row>
    <row r="42" spans="1:23" x14ac:dyDescent="0.2">
      <c r="A42" s="30" t="s">
        <v>100</v>
      </c>
      <c r="B42" s="19"/>
      <c r="C42" s="20"/>
      <c r="D42" s="20"/>
      <c r="E42" s="20"/>
      <c r="F42" s="21"/>
      <c r="G42" s="19"/>
      <c r="H42" s="20"/>
      <c r="I42" s="20">
        <v>5121.6038881326776</v>
      </c>
      <c r="J42" s="20">
        <v>5377.6753964490099</v>
      </c>
      <c r="K42" s="21">
        <v>6795.144177719093</v>
      </c>
      <c r="L42" s="19">
        <v>8280.7426125211587</v>
      </c>
      <c r="M42" s="20">
        <v>8741.6784005320806</v>
      </c>
      <c r="N42" s="20">
        <v>9261.5147032889799</v>
      </c>
      <c r="O42" s="20">
        <v>9789.5203764338039</v>
      </c>
      <c r="P42" s="20">
        <v>9560.1351051725105</v>
      </c>
      <c r="Q42" s="19">
        <v>10023.660820399446</v>
      </c>
      <c r="R42" s="20">
        <v>11691.088254870228</v>
      </c>
      <c r="S42" s="20">
        <v>12921.693853572104</v>
      </c>
      <c r="T42" s="20">
        <v>13155.445171239578</v>
      </c>
      <c r="U42" s="21">
        <v>13446.095523164235</v>
      </c>
      <c r="V42" s="19">
        <v>16459.629600550139</v>
      </c>
      <c r="W42" s="21">
        <v>16889.305486949375</v>
      </c>
    </row>
    <row r="43" spans="1:23" x14ac:dyDescent="0.2">
      <c r="A43" s="30" t="s">
        <v>101</v>
      </c>
      <c r="B43" s="19"/>
      <c r="C43" s="20"/>
      <c r="D43" s="20"/>
      <c r="E43" s="20"/>
      <c r="F43" s="21"/>
      <c r="G43" s="19"/>
      <c r="H43" s="20"/>
      <c r="I43" s="20">
        <v>3406.5025860910582</v>
      </c>
      <c r="J43" s="20">
        <v>3641.2691801942542</v>
      </c>
      <c r="K43" s="21">
        <v>4559.4620646232306</v>
      </c>
      <c r="L43" s="19">
        <v>5669.8678628897787</v>
      </c>
      <c r="M43" s="20">
        <v>6013.0812828759626</v>
      </c>
      <c r="N43" s="20">
        <v>6329.8201392924193</v>
      </c>
      <c r="O43" s="20">
        <v>6555.7701511259147</v>
      </c>
      <c r="P43" s="20">
        <v>6433.2658356391921</v>
      </c>
      <c r="Q43" s="19">
        <v>6796.1395788676937</v>
      </c>
      <c r="R43" s="20">
        <v>8019.9265656389625</v>
      </c>
      <c r="S43" s="20">
        <v>9170.0490954685556</v>
      </c>
      <c r="T43" s="20">
        <v>9568.6607926516044</v>
      </c>
      <c r="U43" s="21">
        <v>9891.7322198258898</v>
      </c>
      <c r="V43" s="19">
        <v>12130.209340963274</v>
      </c>
      <c r="W43" s="21">
        <v>13051.57249487105</v>
      </c>
    </row>
    <row r="44" spans="1:23" x14ac:dyDescent="0.2">
      <c r="A44" s="30" t="s">
        <v>46</v>
      </c>
      <c r="B44" s="19"/>
      <c r="C44" s="20"/>
      <c r="D44" s="20"/>
      <c r="E44" s="20"/>
      <c r="F44" s="21"/>
      <c r="G44" s="19"/>
      <c r="H44" s="20"/>
      <c r="I44" s="20">
        <v>6336.6048105165419</v>
      </c>
      <c r="J44" s="20">
        <v>7096.9859246358001</v>
      </c>
      <c r="K44" s="21">
        <v>9019.2178149885876</v>
      </c>
      <c r="L44" s="19">
        <v>10485.506431569675</v>
      </c>
      <c r="M44" s="20">
        <v>11069.167269236703</v>
      </c>
      <c r="N44" s="20">
        <v>12339.556077785224</v>
      </c>
      <c r="O44" s="20">
        <v>13365.831541295836</v>
      </c>
      <c r="P44" s="20">
        <v>13534.66911416065</v>
      </c>
      <c r="Q44" s="19">
        <v>15477.328479211192</v>
      </c>
      <c r="R44" s="20">
        <v>18329.691478817189</v>
      </c>
      <c r="S44" s="20">
        <v>19824.414348227318</v>
      </c>
      <c r="T44" s="20">
        <v>19699.261141267809</v>
      </c>
      <c r="U44" s="21">
        <v>20421.849410489154</v>
      </c>
      <c r="V44" s="19">
        <v>23464.163891077344</v>
      </c>
      <c r="W44" s="21">
        <v>25904.376084846514</v>
      </c>
    </row>
    <row r="45" spans="1:23" x14ac:dyDescent="0.2">
      <c r="A45" s="30" t="s">
        <v>102</v>
      </c>
      <c r="B45" s="19"/>
      <c r="C45" s="20"/>
      <c r="D45" s="20"/>
      <c r="E45" s="20"/>
      <c r="F45" s="21"/>
      <c r="G45" s="19"/>
      <c r="H45" s="20"/>
      <c r="I45" s="20">
        <v>2349.1017833513883</v>
      </c>
      <c r="J45" s="20">
        <v>2630.9897477451559</v>
      </c>
      <c r="K45" s="21">
        <v>3343.5982339408652</v>
      </c>
      <c r="L45" s="19">
        <v>3887.1797428274335</v>
      </c>
      <c r="M45" s="20">
        <v>3959.7025606471234</v>
      </c>
      <c r="N45" s="20">
        <v>4026.1356587651371</v>
      </c>
      <c r="O45" s="20">
        <v>4396.0939347552294</v>
      </c>
      <c r="P45" s="20">
        <v>4455.7976163754547</v>
      </c>
      <c r="Q45" s="19">
        <v>4552.7261380867694</v>
      </c>
      <c r="R45" s="20">
        <v>5103.4321108613012</v>
      </c>
      <c r="S45" s="20">
        <v>5540.6464176237805</v>
      </c>
      <c r="T45" s="20">
        <v>5808.5336622749837</v>
      </c>
      <c r="U45" s="21">
        <v>5631.8307687185261</v>
      </c>
      <c r="V45" s="19">
        <v>6648.6953373342867</v>
      </c>
      <c r="W45" s="21">
        <v>7070.8427354944824</v>
      </c>
    </row>
    <row r="46" spans="1:23" x14ac:dyDescent="0.2">
      <c r="A46" s="30" t="s">
        <v>103</v>
      </c>
      <c r="B46" s="19"/>
      <c r="C46" s="20"/>
      <c r="D46" s="20"/>
      <c r="E46" s="20"/>
      <c r="F46" s="21"/>
      <c r="G46" s="19"/>
      <c r="H46" s="20"/>
      <c r="I46" s="20">
        <v>6512.5049440534312</v>
      </c>
      <c r="J46" s="20">
        <v>6899.7238232314576</v>
      </c>
      <c r="K46" s="21">
        <v>8503.4652257388989</v>
      </c>
      <c r="L46" s="19">
        <v>10106.573522269047</v>
      </c>
      <c r="M46" s="20">
        <v>10797.092557320457</v>
      </c>
      <c r="N46" s="20">
        <v>11617.23909183791</v>
      </c>
      <c r="O46" s="20">
        <v>12313.312260181528</v>
      </c>
      <c r="P46" s="20">
        <v>12538.969773687946</v>
      </c>
      <c r="Q46" s="19">
        <v>13469.701340250633</v>
      </c>
      <c r="R46" s="20">
        <v>15724.592211839945</v>
      </c>
      <c r="S46" s="20">
        <v>17395.977473322848</v>
      </c>
      <c r="T46" s="20">
        <v>18797.420235572485</v>
      </c>
      <c r="U46" s="21">
        <v>19907.377761640477</v>
      </c>
      <c r="V46" s="19">
        <v>25322.959175346121</v>
      </c>
      <c r="W46" s="21">
        <v>29429.259198386615</v>
      </c>
    </row>
    <row r="47" spans="1:23" x14ac:dyDescent="0.2">
      <c r="A47" s="30" t="s">
        <v>217</v>
      </c>
      <c r="B47" s="19"/>
      <c r="C47" s="20"/>
      <c r="D47" s="20"/>
      <c r="E47" s="20"/>
      <c r="F47" s="21"/>
      <c r="G47" s="19"/>
      <c r="H47" s="20"/>
      <c r="I47" s="20">
        <v>9128.6069301015214</v>
      </c>
      <c r="J47" s="20">
        <v>9092.8179728635132</v>
      </c>
      <c r="K47" s="21">
        <v>11036.376858495349</v>
      </c>
      <c r="L47" s="19">
        <v>13277.382624866073</v>
      </c>
      <c r="M47" s="20">
        <v>14494.87052903469</v>
      </c>
      <c r="N47" s="20">
        <v>15652.15218653846</v>
      </c>
      <c r="O47" s="20">
        <v>17014.592899814572</v>
      </c>
      <c r="P47" s="20">
        <v>17843.131690910417</v>
      </c>
      <c r="Q47" s="19">
        <v>19432.565429085258</v>
      </c>
      <c r="R47" s="20">
        <v>23342.034091913429</v>
      </c>
      <c r="S47" s="20">
        <v>27218.928636852241</v>
      </c>
      <c r="T47" s="20">
        <v>29039.757274750104</v>
      </c>
      <c r="U47" s="21">
        <v>30415.615726595752</v>
      </c>
      <c r="V47" s="19">
        <v>38325.473220416563</v>
      </c>
      <c r="W47" s="21">
        <v>42828.669797851893</v>
      </c>
    </row>
    <row r="48" spans="1:23" x14ac:dyDescent="0.2">
      <c r="A48" s="30" t="s">
        <v>105</v>
      </c>
      <c r="B48" s="19"/>
      <c r="C48" s="20"/>
      <c r="D48" s="20"/>
      <c r="E48" s="20"/>
      <c r="F48" s="21"/>
      <c r="G48" s="19"/>
      <c r="H48" s="20"/>
      <c r="I48" s="20">
        <v>935.80071042536667</v>
      </c>
      <c r="J48" s="20">
        <v>902.91976759742204</v>
      </c>
      <c r="K48" s="21">
        <v>1121.2277926370361</v>
      </c>
      <c r="L48" s="19">
        <v>1353.5555442426646</v>
      </c>
      <c r="M48" s="20">
        <v>1484.2625498000748</v>
      </c>
      <c r="N48" s="20">
        <v>1607.0873453524314</v>
      </c>
      <c r="O48" s="20">
        <v>1703.3796202588117</v>
      </c>
      <c r="P48" s="20">
        <v>1703.8811492780646</v>
      </c>
      <c r="Q48" s="19">
        <v>1845.5380043238597</v>
      </c>
      <c r="R48" s="20">
        <v>2191.5017087998513</v>
      </c>
      <c r="S48" s="20">
        <v>2399.5845298647796</v>
      </c>
      <c r="T48" s="20">
        <v>2588.213657339672</v>
      </c>
      <c r="U48" s="21">
        <v>2602.606982377547</v>
      </c>
      <c r="V48" s="19">
        <v>3174.5645895868765</v>
      </c>
      <c r="W48" s="21">
        <v>3448.6620729459401</v>
      </c>
    </row>
    <row r="49" spans="1:23" x14ac:dyDescent="0.2">
      <c r="A49" s="30" t="s">
        <v>106</v>
      </c>
      <c r="B49" s="19"/>
      <c r="C49" s="20"/>
      <c r="D49" s="20"/>
      <c r="E49" s="20"/>
      <c r="F49" s="21"/>
      <c r="G49" s="19"/>
      <c r="H49" s="20"/>
      <c r="I49" s="20">
        <v>391.50029721257863</v>
      </c>
      <c r="J49" s="20">
        <v>392.18743453880273</v>
      </c>
      <c r="K49" s="21">
        <v>477.23776185446434</v>
      </c>
      <c r="L49" s="19">
        <v>587.02373809841094</v>
      </c>
      <c r="M49" s="20">
        <v>611.69608142307857</v>
      </c>
      <c r="N49" s="20">
        <v>607.12188631318668</v>
      </c>
      <c r="O49" s="20">
        <v>618.79425438386795</v>
      </c>
      <c r="P49" s="20">
        <v>623.08729631946562</v>
      </c>
      <c r="Q49" s="19">
        <v>650.21334748826462</v>
      </c>
      <c r="R49" s="20">
        <v>726.80538906210836</v>
      </c>
      <c r="S49" s="20">
        <v>774.08416484508427</v>
      </c>
      <c r="T49" s="20">
        <v>775.99767505502462</v>
      </c>
      <c r="U49" s="21">
        <v>726.7325868770115</v>
      </c>
      <c r="V49" s="19">
        <v>864.2807243734494</v>
      </c>
      <c r="W49" s="21">
        <v>970.32073025940758</v>
      </c>
    </row>
    <row r="50" spans="1:23" x14ac:dyDescent="0.2">
      <c r="A50" s="30" t="s">
        <v>47</v>
      </c>
      <c r="B50" s="19"/>
      <c r="C50" s="20"/>
      <c r="D50" s="20"/>
      <c r="E50" s="20"/>
      <c r="F50" s="21"/>
      <c r="G50" s="19"/>
      <c r="H50" s="20"/>
      <c r="I50" s="20">
        <v>204.70015540080419</v>
      </c>
      <c r="J50" s="20">
        <v>249.98274546210359</v>
      </c>
      <c r="K50" s="21">
        <v>329.88995949018982</v>
      </c>
      <c r="L50" s="19">
        <v>399.27320048521921</v>
      </c>
      <c r="M50" s="20">
        <v>447.55018573714801</v>
      </c>
      <c r="N50" s="20">
        <v>501.08581374340338</v>
      </c>
      <c r="O50" s="20">
        <v>565.5782196946501</v>
      </c>
      <c r="P50" s="20">
        <v>646.25870172844986</v>
      </c>
      <c r="Q50" s="19">
        <v>692.30909534191903</v>
      </c>
      <c r="R50" s="20">
        <v>740.9762543299646</v>
      </c>
      <c r="S50" s="20">
        <v>796.81650625592272</v>
      </c>
      <c r="T50" s="20">
        <v>879.67595284519336</v>
      </c>
      <c r="U50" s="21">
        <v>878.57955136179089</v>
      </c>
      <c r="V50" s="19">
        <v>1245.8037379199884</v>
      </c>
      <c r="W50" s="21">
        <v>1586.2618828929353</v>
      </c>
    </row>
    <row r="51" spans="1:23" x14ac:dyDescent="0.2">
      <c r="A51" s="30" t="s">
        <v>107</v>
      </c>
      <c r="B51" s="19"/>
      <c r="C51" s="20"/>
      <c r="D51" s="20"/>
      <c r="E51" s="20"/>
      <c r="F51" s="21"/>
      <c r="G51" s="19"/>
      <c r="H51" s="20"/>
      <c r="I51" s="20">
        <v>120.10009117555731</v>
      </c>
      <c r="J51" s="20">
        <v>124.96881193955414</v>
      </c>
      <c r="K51" s="21">
        <v>154.405268904254</v>
      </c>
      <c r="L51" s="19">
        <v>188.80344722508136</v>
      </c>
      <c r="M51" s="20">
        <v>205.1966995536396</v>
      </c>
      <c r="N51" s="20">
        <v>229.94126299297713</v>
      </c>
      <c r="O51" s="20">
        <v>249.73370977544215</v>
      </c>
      <c r="P51" s="20">
        <v>257.86553734734042</v>
      </c>
      <c r="Q51" s="19">
        <v>271.90004836037383</v>
      </c>
      <c r="R51" s="20">
        <v>315.12141887486052</v>
      </c>
      <c r="S51" s="20">
        <v>362.58667589721591</v>
      </c>
      <c r="T51" s="20">
        <v>403.12279649782153</v>
      </c>
      <c r="U51" s="21">
        <v>379.09823240746709</v>
      </c>
      <c r="V51" s="19">
        <v>435.57382474173647</v>
      </c>
      <c r="W51" s="21">
        <v>507.562372919393</v>
      </c>
    </row>
    <row r="52" spans="1:23" x14ac:dyDescent="0.2">
      <c r="A52" s="30" t="s">
        <v>108</v>
      </c>
      <c r="B52" s="19"/>
      <c r="C52" s="20"/>
      <c r="D52" s="20"/>
      <c r="E52" s="20"/>
      <c r="F52" s="21"/>
      <c r="G52" s="19"/>
      <c r="H52" s="20"/>
      <c r="I52" s="20">
        <v>7846.7059569296052</v>
      </c>
      <c r="J52" s="20">
        <v>7867.9005619927739</v>
      </c>
      <c r="K52" s="21">
        <v>9067.6626591607474</v>
      </c>
      <c r="L52" s="19">
        <v>10362.992571172948</v>
      </c>
      <c r="M52" s="20">
        <v>10596.702528659802</v>
      </c>
      <c r="N52" s="20">
        <v>10918.420513808534</v>
      </c>
      <c r="O52" s="20">
        <v>10810.987274413699</v>
      </c>
      <c r="P52" s="20">
        <v>10311.424311223325</v>
      </c>
      <c r="Q52" s="19">
        <v>10699.077012689037</v>
      </c>
      <c r="R52" s="20">
        <v>12173.946049591737</v>
      </c>
      <c r="S52" s="20">
        <v>13756.617118794198</v>
      </c>
      <c r="T52" s="20">
        <v>14300.889496692394</v>
      </c>
      <c r="U52" s="21">
        <v>14171.804811655176</v>
      </c>
      <c r="V52" s="19">
        <v>17116.47234304051</v>
      </c>
      <c r="W52" s="21">
        <v>18683.221705164229</v>
      </c>
    </row>
    <row r="53" spans="1:23" x14ac:dyDescent="0.2">
      <c r="A53" s="30" t="s">
        <v>109</v>
      </c>
      <c r="B53" s="19"/>
      <c r="C53" s="20"/>
      <c r="D53" s="20"/>
      <c r="E53" s="20"/>
      <c r="F53" s="21"/>
      <c r="G53" s="19"/>
      <c r="H53" s="20"/>
      <c r="I53" s="20">
        <v>468.20035544043242</v>
      </c>
      <c r="J53" s="20">
        <v>507.55367361754389</v>
      </c>
      <c r="K53" s="21">
        <v>621.31135986434469</v>
      </c>
      <c r="L53" s="19">
        <v>729.4145331283554</v>
      </c>
      <c r="M53" s="20">
        <v>793.45781554895825</v>
      </c>
      <c r="N53" s="20">
        <v>903.76703485373821</v>
      </c>
      <c r="O53" s="20">
        <v>1020.0866529680699</v>
      </c>
      <c r="P53" s="20">
        <v>1075.5692179555595</v>
      </c>
      <c r="Q53" s="19">
        <v>1217.1692376485112</v>
      </c>
      <c r="R53" s="20">
        <v>1445.3392224683976</v>
      </c>
      <c r="S53" s="20">
        <v>1753.9450142791297</v>
      </c>
      <c r="T53" s="20">
        <v>1908.9415668830491</v>
      </c>
      <c r="U53" s="21">
        <v>1856.4384809055559</v>
      </c>
      <c r="V53" s="19">
        <v>2387.7453833454315</v>
      </c>
      <c r="W53" s="21">
        <v>2636.0647109423239</v>
      </c>
    </row>
    <row r="54" spans="1:23" x14ac:dyDescent="0.2">
      <c r="A54" s="31" t="s">
        <v>110</v>
      </c>
      <c r="B54" s="19"/>
      <c r="C54" s="20"/>
      <c r="D54" s="20"/>
      <c r="E54" s="20"/>
      <c r="F54" s="21"/>
      <c r="G54" s="19"/>
      <c r="H54" s="20"/>
      <c r="I54" s="20">
        <v>569.20043211596362</v>
      </c>
      <c r="J54" s="20">
        <v>565.89200205548332</v>
      </c>
      <c r="K54" s="21">
        <v>620.45599866135126</v>
      </c>
      <c r="L54" s="25">
        <v>691.0559692480598</v>
      </c>
      <c r="M54" s="26">
        <v>703.27595673917983</v>
      </c>
      <c r="N54" s="26">
        <v>728.03917140253634</v>
      </c>
      <c r="O54" s="26">
        <v>757.5541325005787</v>
      </c>
      <c r="P54" s="26">
        <v>759.21508784252694</v>
      </c>
      <c r="Q54" s="25">
        <v>804.29428092632736</v>
      </c>
      <c r="R54" s="26">
        <v>922.80687840791347</v>
      </c>
      <c r="S54" s="26">
        <v>1016.1359081234936</v>
      </c>
      <c r="T54" s="26">
        <v>1070.2248640426317</v>
      </c>
      <c r="U54" s="27">
        <v>1091.7883404123318</v>
      </c>
      <c r="V54" s="25">
        <v>1301.9974257508991</v>
      </c>
      <c r="W54" s="27">
        <v>1388.7221350779319</v>
      </c>
    </row>
    <row r="55" spans="1:23" x14ac:dyDescent="0.2">
      <c r="A55" s="32"/>
      <c r="B55" s="35"/>
      <c r="C55" s="36"/>
      <c r="D55" s="36"/>
      <c r="E55" s="36"/>
      <c r="F55" s="37"/>
      <c r="G55" s="35"/>
      <c r="H55" s="36"/>
      <c r="I55" s="36"/>
      <c r="J55" s="36"/>
      <c r="K55" s="37"/>
      <c r="L55" s="25"/>
      <c r="M55" s="26"/>
      <c r="N55" s="26"/>
      <c r="O55" s="26"/>
      <c r="P55" s="27"/>
      <c r="Q55" s="25"/>
      <c r="R55" s="26"/>
      <c r="S55" s="26"/>
      <c r="T55" s="26"/>
      <c r="U55" s="27"/>
      <c r="V55" s="25"/>
      <c r="W55" s="27"/>
    </row>
    <row r="56" spans="1:23" s="9" customFormat="1" x14ac:dyDescent="0.2">
      <c r="A56" s="4" t="s">
        <v>35</v>
      </c>
      <c r="B56" s="6">
        <f>B2-B3-B4-B5</f>
        <v>45283.3</v>
      </c>
      <c r="C56" s="7">
        <f t="shared" ref="C56:W56" si="4">C2-C3-C4-C5</f>
        <v>50924.7</v>
      </c>
      <c r="D56" s="7">
        <f t="shared" si="4"/>
        <v>57168.399999999994</v>
      </c>
      <c r="E56" s="7">
        <f t="shared" si="4"/>
        <v>65934.100000000006</v>
      </c>
      <c r="F56" s="8">
        <f t="shared" si="4"/>
        <v>76543.89999999998</v>
      </c>
      <c r="G56" s="6">
        <f t="shared" si="4"/>
        <v>90716.2</v>
      </c>
      <c r="H56" s="7">
        <f t="shared" si="4"/>
        <v>114569.79999999997</v>
      </c>
      <c r="I56" s="7">
        <f t="shared" si="4"/>
        <v>135284.9</v>
      </c>
      <c r="J56" s="7">
        <f t="shared" si="4"/>
        <v>153083.9</v>
      </c>
      <c r="K56" s="8">
        <f t="shared" si="4"/>
        <v>180117.9</v>
      </c>
      <c r="L56" s="6">
        <f t="shared" si="4"/>
        <v>213752.00000000003</v>
      </c>
      <c r="M56" s="7">
        <f t="shared" si="4"/>
        <v>242201.30000000002</v>
      </c>
      <c r="N56" s="7">
        <f t="shared" si="4"/>
        <v>275040.79999999993</v>
      </c>
      <c r="O56" s="7">
        <f t="shared" si="4"/>
        <v>307491.8</v>
      </c>
      <c r="P56" s="8">
        <f t="shared" si="4"/>
        <v>346275.39999999997</v>
      </c>
      <c r="Q56" s="6">
        <f t="shared" si="4"/>
        <v>387038.79999999993</v>
      </c>
      <c r="R56" s="7">
        <f t="shared" si="4"/>
        <v>434351.00000000006</v>
      </c>
      <c r="S56" s="7">
        <f t="shared" si="4"/>
        <v>485140.10000000009</v>
      </c>
      <c r="T56" s="7">
        <f t="shared" si="4"/>
        <v>530431.49999999988</v>
      </c>
      <c r="U56" s="8">
        <f t="shared" si="4"/>
        <v>546822.9</v>
      </c>
      <c r="V56" s="6">
        <f>V2-V3-V4-V5</f>
        <v>609748.19999999995</v>
      </c>
      <c r="W56" s="8">
        <f t="shared" si="4"/>
        <v>632597.4</v>
      </c>
    </row>
    <row r="57" spans="1:23" s="9" customFormat="1" x14ac:dyDescent="0.2">
      <c r="A57" s="10" t="s">
        <v>4</v>
      </c>
      <c r="B57" s="22">
        <f>B6</f>
        <v>6871.3</v>
      </c>
      <c r="C57" s="23">
        <f t="shared" ref="C57:W61" si="5">C6</f>
        <v>7494.3</v>
      </c>
      <c r="D57" s="23">
        <f t="shared" si="5"/>
        <v>7914.8</v>
      </c>
      <c r="E57" s="23">
        <f t="shared" si="5"/>
        <v>9306.5</v>
      </c>
      <c r="F57" s="24">
        <f t="shared" si="5"/>
        <v>10668.8</v>
      </c>
      <c r="G57" s="22">
        <f t="shared" si="5"/>
        <v>12186.3</v>
      </c>
      <c r="H57" s="23">
        <f t="shared" si="5"/>
        <v>14605.1</v>
      </c>
      <c r="I57" s="23">
        <f t="shared" si="5"/>
        <v>16367.6</v>
      </c>
      <c r="J57" s="23">
        <f t="shared" si="5"/>
        <v>16522.400000000001</v>
      </c>
      <c r="K57" s="24">
        <f t="shared" si="5"/>
        <v>18783.599999999999</v>
      </c>
      <c r="L57" s="22">
        <f t="shared" si="5"/>
        <v>21842</v>
      </c>
      <c r="M57" s="23">
        <f t="shared" si="5"/>
        <v>23763.200000000001</v>
      </c>
      <c r="N57" s="23">
        <f t="shared" si="5"/>
        <v>26042.7</v>
      </c>
      <c r="O57" s="23">
        <f t="shared" si="5"/>
        <v>28534.400000000001</v>
      </c>
      <c r="P57" s="24">
        <f t="shared" si="5"/>
        <v>30519.5</v>
      </c>
      <c r="Q57" s="22">
        <f t="shared" si="5"/>
        <v>33028.699999999997</v>
      </c>
      <c r="R57" s="23">
        <f t="shared" si="5"/>
        <v>37121.9</v>
      </c>
      <c r="S57" s="23">
        <f t="shared" si="5"/>
        <v>40337.199999999997</v>
      </c>
      <c r="T57" s="23">
        <f t="shared" si="5"/>
        <v>42466.3</v>
      </c>
      <c r="U57" s="23">
        <f t="shared" si="5"/>
        <v>40582.9</v>
      </c>
      <c r="V57" s="22">
        <f t="shared" si="5"/>
        <v>47061.2</v>
      </c>
      <c r="W57" s="24">
        <f t="shared" si="5"/>
        <v>49673.7</v>
      </c>
    </row>
    <row r="58" spans="1:23" s="9" customFormat="1" x14ac:dyDescent="0.2">
      <c r="A58" s="14" t="s">
        <v>5</v>
      </c>
      <c r="B58" s="19">
        <f>B7</f>
        <v>9120.7999999999993</v>
      </c>
      <c r="C58" s="20">
        <f t="shared" si="5"/>
        <v>9996.7999999999993</v>
      </c>
      <c r="D58" s="20">
        <f t="shared" si="5"/>
        <v>11171.2</v>
      </c>
      <c r="E58" s="20">
        <f t="shared" si="5"/>
        <v>12455.8</v>
      </c>
      <c r="F58" s="21">
        <f t="shared" si="5"/>
        <v>13968.5</v>
      </c>
      <c r="G58" s="19">
        <f t="shared" si="5"/>
        <v>16533.400000000001</v>
      </c>
      <c r="H58" s="20">
        <f t="shared" si="5"/>
        <v>20941.099999999999</v>
      </c>
      <c r="I58" s="20">
        <f t="shared" si="5"/>
        <v>26186.2</v>
      </c>
      <c r="J58" s="20">
        <f t="shared" si="5"/>
        <v>29004.6</v>
      </c>
      <c r="K58" s="21">
        <f t="shared" si="5"/>
        <v>35907.9</v>
      </c>
      <c r="L58" s="19">
        <f t="shared" si="5"/>
        <v>43734.5</v>
      </c>
      <c r="M58" s="20">
        <f t="shared" si="5"/>
        <v>49835.5</v>
      </c>
      <c r="N58" s="20">
        <f t="shared" si="5"/>
        <v>56288.9</v>
      </c>
      <c r="O58" s="20">
        <f t="shared" si="5"/>
        <v>63170.400000000001</v>
      </c>
      <c r="P58" s="21">
        <f t="shared" si="5"/>
        <v>67719.600000000006</v>
      </c>
      <c r="Q58" s="19">
        <f t="shared" si="5"/>
        <v>73724.5</v>
      </c>
      <c r="R58" s="20">
        <f t="shared" si="5"/>
        <v>81156.600000000006</v>
      </c>
      <c r="S58" s="20">
        <f t="shared" si="5"/>
        <v>88903.7</v>
      </c>
      <c r="T58" s="20">
        <f t="shared" si="5"/>
        <v>95650.9</v>
      </c>
      <c r="U58" s="20">
        <f t="shared" si="5"/>
        <v>96086.1</v>
      </c>
      <c r="V58" s="19">
        <f>V7</f>
        <v>110492.7</v>
      </c>
      <c r="W58" s="21">
        <f t="shared" si="5"/>
        <v>114517.7</v>
      </c>
    </row>
    <row r="59" spans="1:23" s="9" customFormat="1" x14ac:dyDescent="0.2">
      <c r="A59" s="14" t="s">
        <v>6</v>
      </c>
      <c r="B59" s="19">
        <f t="shared" ref="B59:B61" si="6">B8</f>
        <v>2400.1</v>
      </c>
      <c r="C59" s="20">
        <f t="shared" si="5"/>
        <v>2724.8</v>
      </c>
      <c r="D59" s="20">
        <f t="shared" si="5"/>
        <v>3126.1</v>
      </c>
      <c r="E59" s="20">
        <f t="shared" si="5"/>
        <v>3664.8</v>
      </c>
      <c r="F59" s="21">
        <f t="shared" si="5"/>
        <v>4195.7</v>
      </c>
      <c r="G59" s="19">
        <f t="shared" si="5"/>
        <v>4792.6000000000004</v>
      </c>
      <c r="H59" s="20">
        <f t="shared" si="5"/>
        <v>5548.1</v>
      </c>
      <c r="I59" s="20">
        <f t="shared" si="5"/>
        <v>6616.1</v>
      </c>
      <c r="J59" s="20">
        <f t="shared" si="5"/>
        <v>6957</v>
      </c>
      <c r="K59" s="21">
        <f t="shared" si="5"/>
        <v>7712</v>
      </c>
      <c r="L59" s="19">
        <f t="shared" si="5"/>
        <v>8565.4</v>
      </c>
      <c r="M59" s="20">
        <f t="shared" si="5"/>
        <v>9536.9</v>
      </c>
      <c r="N59" s="20">
        <f t="shared" si="5"/>
        <v>10228.299999999999</v>
      </c>
      <c r="O59" s="20">
        <f t="shared" si="5"/>
        <v>11228.7</v>
      </c>
      <c r="P59" s="21">
        <f t="shared" si="5"/>
        <v>12306.1</v>
      </c>
      <c r="Q59" s="19">
        <f t="shared" si="5"/>
        <v>13607.8</v>
      </c>
      <c r="R59" s="20">
        <f t="shared" si="5"/>
        <v>15056</v>
      </c>
      <c r="S59" s="20">
        <f t="shared" si="5"/>
        <v>16520.599999999999</v>
      </c>
      <c r="T59" s="20">
        <f t="shared" si="5"/>
        <v>17903.099999999999</v>
      </c>
      <c r="U59" s="20">
        <f t="shared" si="5"/>
        <v>15285.4</v>
      </c>
      <c r="V59" s="19">
        <f t="shared" si="5"/>
        <v>17852.599999999999</v>
      </c>
      <c r="W59" s="21">
        <f t="shared" si="5"/>
        <v>17855.3</v>
      </c>
    </row>
    <row r="60" spans="1:23" s="9" customFormat="1" x14ac:dyDescent="0.2">
      <c r="A60" s="14" t="s">
        <v>7</v>
      </c>
      <c r="B60" s="19">
        <f t="shared" si="6"/>
        <v>5202.8</v>
      </c>
      <c r="C60" s="20">
        <f t="shared" si="5"/>
        <v>5555.8</v>
      </c>
      <c r="D60" s="20">
        <f t="shared" si="5"/>
        <v>6045.7</v>
      </c>
      <c r="E60" s="20">
        <f t="shared" si="5"/>
        <v>6600.2</v>
      </c>
      <c r="F60" s="21">
        <f t="shared" si="5"/>
        <v>7486</v>
      </c>
      <c r="G60" s="19">
        <f t="shared" si="5"/>
        <v>9972.2999999999993</v>
      </c>
      <c r="H60" s="20">
        <f t="shared" si="5"/>
        <v>15200</v>
      </c>
      <c r="I60" s="20">
        <f t="shared" si="5"/>
        <v>18345.599999999999</v>
      </c>
      <c r="J60" s="20">
        <f t="shared" si="5"/>
        <v>21836.799999999999</v>
      </c>
      <c r="K60" s="21">
        <f t="shared" si="5"/>
        <v>25733.1</v>
      </c>
      <c r="L60" s="19">
        <f t="shared" si="5"/>
        <v>30747.200000000001</v>
      </c>
      <c r="M60" s="20">
        <f t="shared" si="5"/>
        <v>35272.199999999997</v>
      </c>
      <c r="N60" s="20">
        <f t="shared" si="5"/>
        <v>41293.4</v>
      </c>
      <c r="O60" s="20">
        <f t="shared" si="5"/>
        <v>46853.4</v>
      </c>
      <c r="P60" s="21">
        <f t="shared" si="5"/>
        <v>56299.8</v>
      </c>
      <c r="Q60" s="19">
        <f t="shared" si="5"/>
        <v>59964</v>
      </c>
      <c r="R60" s="20">
        <f t="shared" si="5"/>
        <v>64844.3</v>
      </c>
      <c r="S60" s="20">
        <f t="shared" si="5"/>
        <v>70610.3</v>
      </c>
      <c r="T60" s="20">
        <f t="shared" si="5"/>
        <v>76250.600000000006</v>
      </c>
      <c r="U60" s="20">
        <f t="shared" si="5"/>
        <v>83617.7</v>
      </c>
      <c r="V60" s="19">
        <f t="shared" si="5"/>
        <v>91205.6</v>
      </c>
      <c r="W60" s="21">
        <f t="shared" si="5"/>
        <v>96811</v>
      </c>
    </row>
    <row r="61" spans="1:23" s="9" customFormat="1" x14ac:dyDescent="0.2">
      <c r="A61" s="14" t="s">
        <v>8</v>
      </c>
      <c r="B61" s="19">
        <f t="shared" si="6"/>
        <v>4705.8</v>
      </c>
      <c r="C61" s="20">
        <f t="shared" si="5"/>
        <v>5334.5</v>
      </c>
      <c r="D61" s="20">
        <f t="shared" si="5"/>
        <v>6157</v>
      </c>
      <c r="E61" s="20">
        <f t="shared" si="5"/>
        <v>7152.1</v>
      </c>
      <c r="F61" s="21">
        <f t="shared" si="5"/>
        <v>8482.7000000000007</v>
      </c>
      <c r="G61" s="19">
        <f t="shared" si="5"/>
        <v>10320.9</v>
      </c>
      <c r="H61" s="20">
        <f t="shared" si="5"/>
        <v>13714</v>
      </c>
      <c r="I61" s="20">
        <f t="shared" si="5"/>
        <v>14600.3</v>
      </c>
      <c r="J61" s="20">
        <f t="shared" si="5"/>
        <v>18760.5</v>
      </c>
      <c r="K61" s="21">
        <f t="shared" si="5"/>
        <v>23326.6</v>
      </c>
      <c r="L61" s="19">
        <f t="shared" si="5"/>
        <v>27780.7</v>
      </c>
      <c r="M61" s="20">
        <f t="shared" si="5"/>
        <v>30751.9</v>
      </c>
      <c r="N61" s="20">
        <f t="shared" si="5"/>
        <v>35340.400000000001</v>
      </c>
      <c r="O61" s="20">
        <f t="shared" si="5"/>
        <v>38086.400000000001</v>
      </c>
      <c r="P61" s="21">
        <f t="shared" si="5"/>
        <v>42573.8</v>
      </c>
      <c r="Q61" s="19">
        <f t="shared" si="5"/>
        <v>49969.4</v>
      </c>
      <c r="R61" s="20">
        <f t="shared" si="5"/>
        <v>57086</v>
      </c>
      <c r="S61" s="20">
        <f t="shared" si="5"/>
        <v>64623</v>
      </c>
      <c r="T61" s="20">
        <f t="shared" si="5"/>
        <v>70444.800000000003</v>
      </c>
      <c r="U61" s="20">
        <f t="shared" si="5"/>
        <v>73425.3</v>
      </c>
      <c r="V61" s="19">
        <f t="shared" si="5"/>
        <v>77560.800000000003</v>
      </c>
      <c r="W61" s="21">
        <f t="shared" si="5"/>
        <v>73821.3</v>
      </c>
    </row>
    <row r="62" spans="1:23" x14ac:dyDescent="0.2">
      <c r="A62" s="33" t="s">
        <v>207</v>
      </c>
      <c r="B62" s="19"/>
      <c r="C62" s="20"/>
      <c r="D62" s="20"/>
      <c r="E62" s="20"/>
      <c r="F62" s="21"/>
      <c r="G62" s="19"/>
      <c r="H62" s="20"/>
      <c r="I62" s="20"/>
      <c r="J62" s="20"/>
      <c r="K62" s="21">
        <f>统计资料!I13</f>
        <v>9049.7000000000007</v>
      </c>
      <c r="L62" s="19">
        <f>统计资料!J13</f>
        <v>10304.799999999999</v>
      </c>
      <c r="M62" s="20">
        <f>统计资料!K13</f>
        <v>11928.7</v>
      </c>
      <c r="N62" s="20">
        <f>统计资料!L13</f>
        <v>13729.7</v>
      </c>
      <c r="O62" s="20">
        <f>统计资料!M13</f>
        <v>15470.6</v>
      </c>
      <c r="P62" s="21">
        <f>统计资料!N13</f>
        <v>17516.8</v>
      </c>
      <c r="Q62" s="19">
        <f>统计资料!O13</f>
        <v>20124.099999999999</v>
      </c>
      <c r="R62" s="20">
        <f>统计资料!P13</f>
        <v>23808.9</v>
      </c>
      <c r="S62" s="20">
        <f>统计资料!Q13</f>
        <v>28733.5</v>
      </c>
      <c r="T62" s="20">
        <f>统计资料!R13</f>
        <v>33391.800000000003</v>
      </c>
      <c r="U62" s="20">
        <f>统计资料!S13</f>
        <v>38244.1</v>
      </c>
      <c r="V62" s="89">
        <f>$U62/SUM($U$62:$U$70)*($V$56-SUM($V$57:$V$61))</f>
        <v>42706.509066655221</v>
      </c>
      <c r="W62" s="101">
        <f>$U62/SUM($U$62:$U$70)*($W$56-SUM($W$57:$W$61))</f>
        <v>45012.987606617135</v>
      </c>
    </row>
    <row r="63" spans="1:23" x14ac:dyDescent="0.2">
      <c r="A63" s="33" t="s">
        <v>37</v>
      </c>
      <c r="B63" s="19"/>
      <c r="C63" s="20"/>
      <c r="D63" s="20"/>
      <c r="E63" s="20"/>
      <c r="F63" s="21"/>
      <c r="G63" s="19"/>
      <c r="H63" s="20"/>
      <c r="I63" s="20"/>
      <c r="J63" s="20"/>
      <c r="K63" s="21">
        <f>统计资料!I16</f>
        <v>7259.8</v>
      </c>
      <c r="L63" s="19">
        <f>统计资料!J16</f>
        <v>9150.2000000000007</v>
      </c>
      <c r="M63" s="20">
        <f>统计资料!K16</f>
        <v>10887.4</v>
      </c>
      <c r="N63" s="20">
        <f>统计资料!L16</f>
        <v>12904.9</v>
      </c>
      <c r="O63" s="20">
        <f>统计资料!M16</f>
        <v>15451.3</v>
      </c>
      <c r="P63" s="21">
        <f>统计资料!N16</f>
        <v>18089.7</v>
      </c>
      <c r="Q63" s="19">
        <f>统计资料!O16</f>
        <v>21528.6</v>
      </c>
      <c r="R63" s="20">
        <f>统计资料!P16</f>
        <v>25273.3</v>
      </c>
      <c r="S63" s="20">
        <f>统计资料!Q16</f>
        <v>29468.5</v>
      </c>
      <c r="T63" s="20">
        <f>统计资料!R16</f>
        <v>32638</v>
      </c>
      <c r="U63" s="20">
        <f>统计资料!S16</f>
        <v>32467.599999999999</v>
      </c>
      <c r="V63" s="89">
        <f t="shared" ref="V63:V70" si="7">$U63/SUM($U$62:$U$70)*($V$56-SUM($V$57:$V$61))</f>
        <v>36255.993833624932</v>
      </c>
      <c r="W63" s="101">
        <f t="shared" ref="W63:W70" si="8">$U63/SUM($U$62:$U$70)*($W$56-SUM($W$57:$W$61))</f>
        <v>38214.095152366055</v>
      </c>
    </row>
    <row r="64" spans="1:23" x14ac:dyDescent="0.2">
      <c r="A64" s="33" t="s">
        <v>218</v>
      </c>
      <c r="B64" s="19"/>
      <c r="C64" s="20"/>
      <c r="D64" s="20"/>
      <c r="E64" s="20"/>
      <c r="F64" s="21"/>
      <c r="G64" s="19"/>
      <c r="H64" s="20"/>
      <c r="I64" s="20"/>
      <c r="J64" s="20"/>
      <c r="K64" s="21">
        <f>统计资料!I17</f>
        <v>6464.3</v>
      </c>
      <c r="L64" s="19">
        <f>统计资料!J17</f>
        <v>7944.8</v>
      </c>
      <c r="M64" s="20">
        <f>统计资料!K17</f>
        <v>9456.1</v>
      </c>
      <c r="N64" s="20">
        <f>统计资料!L17</f>
        <v>11023.2</v>
      </c>
      <c r="O64" s="20">
        <f>统计资料!M17</f>
        <v>12476</v>
      </c>
      <c r="P64" s="21">
        <f>统计资料!N17</f>
        <v>13887.2</v>
      </c>
      <c r="Q64" s="19">
        <f>统计资料!O17</f>
        <v>15394.2</v>
      </c>
      <c r="R64" s="20">
        <f>统计资料!P17</f>
        <v>17444.7</v>
      </c>
      <c r="S64" s="20">
        <f>统计资料!Q17</f>
        <v>20175.3</v>
      </c>
      <c r="T64" s="20">
        <f>统计资料!R17</f>
        <v>22624.3</v>
      </c>
      <c r="U64" s="20">
        <f>统计资料!S17</f>
        <v>24166.2</v>
      </c>
      <c r="V64" s="89">
        <f t="shared" si="7"/>
        <v>26985.967493197735</v>
      </c>
      <c r="W64" s="101">
        <f>$U64/SUM($U$62:$U$70)*($W$56-SUM($W$57:$W$61))</f>
        <v>28443.41639884403</v>
      </c>
    </row>
    <row r="65" spans="1:23" x14ac:dyDescent="0.2">
      <c r="A65" s="33" t="s">
        <v>39</v>
      </c>
      <c r="B65" s="19"/>
      <c r="C65" s="20"/>
      <c r="D65" s="20"/>
      <c r="E65" s="20"/>
      <c r="F65" s="21"/>
      <c r="G65" s="19"/>
      <c r="H65" s="20"/>
      <c r="I65" s="20"/>
      <c r="J65" s="20"/>
      <c r="K65" s="21">
        <f>统计资料!I18</f>
        <v>2035.1</v>
      </c>
      <c r="L65" s="19">
        <f>统计资料!J18</f>
        <v>2499.3000000000002</v>
      </c>
      <c r="M65" s="20">
        <f>统计资料!K18</f>
        <v>3024.7</v>
      </c>
      <c r="N65" s="20">
        <f>统计资料!L18</f>
        <v>3665.1</v>
      </c>
      <c r="O65" s="20">
        <f>统计资料!M18</f>
        <v>3940.9</v>
      </c>
      <c r="P65" s="21">
        <f>统计资料!N18</f>
        <v>4128.6000000000004</v>
      </c>
      <c r="Q65" s="19">
        <f>统计资料!O18</f>
        <v>4354.6000000000004</v>
      </c>
      <c r="R65" s="20">
        <f>统计资料!P18</f>
        <v>4602.6000000000004</v>
      </c>
      <c r="S65" s="20">
        <f>统计资料!Q18</f>
        <v>5096.1000000000004</v>
      </c>
      <c r="T65" s="20">
        <f>统计资料!R18</f>
        <v>5861.3</v>
      </c>
      <c r="U65" s="20">
        <f>统计资料!S18</f>
        <v>5863.1</v>
      </c>
      <c r="V65" s="89">
        <f t="shared" si="7"/>
        <v>6547.2199191170994</v>
      </c>
      <c r="W65" s="101">
        <f t="shared" si="8"/>
        <v>6900.8199339599296</v>
      </c>
    </row>
    <row r="66" spans="1:23" x14ac:dyDescent="0.2">
      <c r="A66" s="33" t="s">
        <v>40</v>
      </c>
      <c r="B66" s="19"/>
      <c r="C66" s="20"/>
      <c r="D66" s="20"/>
      <c r="E66" s="20"/>
      <c r="F66" s="21"/>
      <c r="G66" s="19"/>
      <c r="H66" s="20"/>
      <c r="I66" s="20"/>
      <c r="J66" s="20"/>
      <c r="K66" s="21">
        <f>统计资料!I19</f>
        <v>6458</v>
      </c>
      <c r="L66" s="19">
        <f>统计资料!J19</f>
        <v>7574.7</v>
      </c>
      <c r="M66" s="20">
        <f>统计资料!K19</f>
        <v>8227.7999999999993</v>
      </c>
      <c r="N66" s="20">
        <f>统计资料!L19</f>
        <v>8707.7000000000007</v>
      </c>
      <c r="O66" s="20">
        <f>统计资料!M19</f>
        <v>9633.5</v>
      </c>
      <c r="P66" s="21">
        <f>统计资料!N19</f>
        <v>10586.7</v>
      </c>
      <c r="Q66" s="19">
        <f>统计资料!O19</f>
        <v>12183.5</v>
      </c>
      <c r="R66" s="20">
        <f>统计资料!P19</f>
        <v>13725.4</v>
      </c>
      <c r="S66" s="20">
        <f>统计资料!Q19</f>
        <v>14793.3</v>
      </c>
      <c r="T66" s="20">
        <f>统计资料!R19</f>
        <v>16983.400000000001</v>
      </c>
      <c r="U66" s="20">
        <f>统计资料!S19</f>
        <v>16353.2</v>
      </c>
      <c r="V66" s="89">
        <f>$U66/SUM($U$62:$U$70)*($V$56-SUM($V$57:$V$61))</f>
        <v>18261.328781925218</v>
      </c>
      <c r="W66" s="101">
        <f t="shared" si="8"/>
        <v>19247.580383079519</v>
      </c>
    </row>
    <row r="67" spans="1:23" x14ac:dyDescent="0.2">
      <c r="A67" s="33" t="s">
        <v>41</v>
      </c>
      <c r="B67" s="19"/>
      <c r="C67" s="20"/>
      <c r="D67" s="20"/>
      <c r="E67" s="20"/>
      <c r="F67" s="21"/>
      <c r="G67" s="19"/>
      <c r="H67" s="20"/>
      <c r="I67" s="20"/>
      <c r="J67" s="20"/>
      <c r="K67" s="21">
        <f>统计资料!I20</f>
        <v>12367.9</v>
      </c>
      <c r="L67" s="19">
        <f>统计资料!J20</f>
        <v>14774.6</v>
      </c>
      <c r="M67" s="20">
        <f>统计资料!K20</f>
        <v>16645.7</v>
      </c>
      <c r="N67" s="20">
        <f>统计资料!L20</f>
        <v>18951.400000000001</v>
      </c>
      <c r="O67" s="20">
        <f>统计资料!M20</f>
        <v>21211</v>
      </c>
      <c r="P67" s="21">
        <f>统计资料!N20</f>
        <v>24370.5</v>
      </c>
      <c r="Q67" s="19">
        <f>统计资料!O20</f>
        <v>26964.9</v>
      </c>
      <c r="R67" s="20">
        <f>统计资料!P20</f>
        <v>30208.400000000001</v>
      </c>
      <c r="S67" s="20">
        <f>统计资料!Q20</f>
        <v>34001.4</v>
      </c>
      <c r="T67" s="20">
        <f>统计资料!R20</f>
        <v>37934.1</v>
      </c>
      <c r="U67" s="20">
        <f>统计资料!S20</f>
        <v>40091.9</v>
      </c>
      <c r="V67" s="89">
        <f t="shared" si="7"/>
        <v>44769.914597269504</v>
      </c>
      <c r="W67" s="101">
        <f t="shared" si="8"/>
        <v>47187.832837633352</v>
      </c>
    </row>
    <row r="68" spans="1:23" x14ac:dyDescent="0.2">
      <c r="A68" s="33" t="s">
        <v>42</v>
      </c>
      <c r="B68" s="19"/>
      <c r="C68" s="20"/>
      <c r="D68" s="20"/>
      <c r="E68" s="20"/>
      <c r="F68" s="21"/>
      <c r="G68" s="19"/>
      <c r="H68" s="20"/>
      <c r="I68" s="20"/>
      <c r="J68" s="20"/>
      <c r="K68" s="21">
        <f>统计资料!I21</f>
        <v>5889.4</v>
      </c>
      <c r="L68" s="19">
        <f>统计资料!J21</f>
        <v>7428.8</v>
      </c>
      <c r="M68" s="20">
        <f>统计资料!K21</f>
        <v>9011.2000000000007</v>
      </c>
      <c r="N68" s="20">
        <f>统计资料!L21</f>
        <v>11034.4</v>
      </c>
      <c r="O68" s="20">
        <f>统计资料!M21</f>
        <v>12653.3</v>
      </c>
      <c r="P68" s="21">
        <f>统计资料!N21</f>
        <v>14765.4</v>
      </c>
      <c r="Q68" s="19">
        <f>统计资料!O21</f>
        <v>16766.8</v>
      </c>
      <c r="R68" s="20">
        <f>统计资料!P21</f>
        <v>18548.8</v>
      </c>
      <c r="S68" s="20">
        <f>统计资料!Q21</f>
        <v>20652.599999999999</v>
      </c>
      <c r="T68" s="20">
        <f>统计资料!R21</f>
        <v>22354.6</v>
      </c>
      <c r="U68" s="20">
        <f>统计资料!S21</f>
        <v>24396.1</v>
      </c>
      <c r="V68" s="89">
        <f t="shared" si="7"/>
        <v>27242.692751065588</v>
      </c>
      <c r="W68" s="101">
        <f t="shared" si="8"/>
        <v>28714.006786662318</v>
      </c>
    </row>
    <row r="69" spans="1:23" x14ac:dyDescent="0.2">
      <c r="A69" s="33" t="s">
        <v>43</v>
      </c>
      <c r="B69" s="19"/>
      <c r="C69" s="20"/>
      <c r="D69" s="20"/>
      <c r="E69" s="20"/>
      <c r="F69" s="21"/>
      <c r="G69" s="19"/>
      <c r="H69" s="20"/>
      <c r="I69" s="20"/>
      <c r="J69" s="20"/>
      <c r="K69" s="21">
        <f>统计资料!I22</f>
        <v>2827.7</v>
      </c>
      <c r="L69" s="19">
        <f>统计资料!J22</f>
        <v>3325.9</v>
      </c>
      <c r="M69" s="20">
        <f>统计资料!K22</f>
        <v>3758.2</v>
      </c>
      <c r="N69" s="20">
        <f>统计资料!L22</f>
        <v>4137.8999999999996</v>
      </c>
      <c r="O69" s="20">
        <f>统计资料!M22</f>
        <v>4480.7</v>
      </c>
      <c r="P69" s="21">
        <f>统计资料!N22</f>
        <v>5063.8</v>
      </c>
      <c r="Q69" s="19">
        <f>统计资料!O22</f>
        <v>5579.8</v>
      </c>
      <c r="R69" s="20">
        <f>统计资料!P22</f>
        <v>6625.4</v>
      </c>
      <c r="S69" s="20">
        <f>统计资料!Q22</f>
        <v>7301.3</v>
      </c>
      <c r="T69" s="20">
        <f>统计资料!R22</f>
        <v>8137.8</v>
      </c>
      <c r="U69" s="20">
        <f>统计资料!S22</f>
        <v>6981.2</v>
      </c>
      <c r="V69" s="89">
        <f t="shared" si="7"/>
        <v>7795.7823846327528</v>
      </c>
      <c r="W69" s="101">
        <f t="shared" si="8"/>
        <v>8216.8143342192798</v>
      </c>
    </row>
    <row r="70" spans="1:23" x14ac:dyDescent="0.2">
      <c r="A70" s="34" t="s">
        <v>44</v>
      </c>
      <c r="B70" s="25"/>
      <c r="C70" s="26"/>
      <c r="D70" s="26"/>
      <c r="E70" s="26"/>
      <c r="F70" s="27"/>
      <c r="G70" s="25"/>
      <c r="H70" s="26"/>
      <c r="I70" s="26"/>
      <c r="J70" s="26"/>
      <c r="K70" s="27">
        <f>统计资料!I23</f>
        <v>16302.7</v>
      </c>
      <c r="L70" s="25">
        <f>统计资料!J23</f>
        <v>18079</v>
      </c>
      <c r="M70" s="26">
        <f>统计资料!K23</f>
        <v>20101.7</v>
      </c>
      <c r="N70" s="26">
        <f>统计资料!L23</f>
        <v>21693</v>
      </c>
      <c r="O70" s="26">
        <f>统计资料!M23</f>
        <v>24301.200000000001</v>
      </c>
      <c r="P70" s="27">
        <f>统计资料!N23</f>
        <v>28447.8</v>
      </c>
      <c r="Q70" s="25">
        <f>统计资料!O23</f>
        <v>33847.800000000003</v>
      </c>
      <c r="R70" s="26">
        <f>统计资料!P23</f>
        <v>38848.800000000003</v>
      </c>
      <c r="S70" s="26">
        <f>统计资料!Q23</f>
        <v>43923.1</v>
      </c>
      <c r="T70" s="26">
        <f>统计资料!R23</f>
        <v>47790.5</v>
      </c>
      <c r="U70" s="26">
        <f>统计资料!S23</f>
        <v>49261.9</v>
      </c>
      <c r="V70" s="91">
        <f t="shared" si="7"/>
        <v>55009.891172511918</v>
      </c>
      <c r="W70" s="102">
        <f t="shared" si="8"/>
        <v>57980.846566618457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9C4EF-CCEA-480E-AD1C-BBB446F41EE7}">
  <dimension ref="A1:AN61"/>
  <sheetViews>
    <sheetView workbookViewId="0">
      <selection sqref="A1:AN61"/>
    </sheetView>
  </sheetViews>
  <sheetFormatPr defaultRowHeight="14.25" x14ac:dyDescent="0.2"/>
  <cols>
    <col min="1" max="1" width="19.25" customWidth="1"/>
  </cols>
  <sheetData>
    <row r="1" spans="1:40" x14ac:dyDescent="0.2">
      <c r="A1" s="122"/>
      <c r="B1" s="123">
        <v>2022</v>
      </c>
      <c r="C1" s="123">
        <v>2023</v>
      </c>
      <c r="D1" s="123">
        <v>2024</v>
      </c>
      <c r="E1" s="123">
        <v>2025</v>
      </c>
      <c r="F1" s="123">
        <v>2026</v>
      </c>
      <c r="G1" s="123">
        <v>2027</v>
      </c>
      <c r="H1" s="123">
        <v>2028</v>
      </c>
      <c r="I1" s="123">
        <v>2029</v>
      </c>
      <c r="J1" s="123">
        <v>2030</v>
      </c>
      <c r="K1" s="123">
        <v>2031</v>
      </c>
      <c r="L1" s="123">
        <v>2032</v>
      </c>
      <c r="M1" s="123">
        <v>2033</v>
      </c>
      <c r="N1" s="123">
        <v>2034</v>
      </c>
      <c r="O1" s="123">
        <v>2035</v>
      </c>
      <c r="P1" s="123">
        <v>2036</v>
      </c>
      <c r="Q1" s="123">
        <v>2037</v>
      </c>
      <c r="R1" s="123">
        <v>2038</v>
      </c>
      <c r="S1" s="123">
        <v>2039</v>
      </c>
      <c r="T1" s="123">
        <v>2040</v>
      </c>
      <c r="U1" s="123">
        <v>2041</v>
      </c>
      <c r="V1" s="123">
        <v>2042</v>
      </c>
      <c r="W1" s="123">
        <v>2043</v>
      </c>
      <c r="X1" s="123">
        <v>2044</v>
      </c>
      <c r="Y1" s="123">
        <v>2045</v>
      </c>
      <c r="Z1" s="123">
        <v>2046</v>
      </c>
      <c r="AA1" s="123">
        <v>2047</v>
      </c>
      <c r="AB1" s="123">
        <v>2048</v>
      </c>
      <c r="AC1" s="123">
        <v>2049</v>
      </c>
      <c r="AD1" s="123">
        <v>2050</v>
      </c>
      <c r="AE1" s="123">
        <v>2051</v>
      </c>
      <c r="AF1" s="123">
        <v>2052</v>
      </c>
      <c r="AG1" s="123">
        <v>2053</v>
      </c>
      <c r="AH1" s="123">
        <v>2054</v>
      </c>
      <c r="AI1" s="123">
        <v>2055</v>
      </c>
      <c r="AJ1" s="123">
        <v>2056</v>
      </c>
      <c r="AK1" s="123">
        <v>2057</v>
      </c>
      <c r="AL1" s="123">
        <v>2058</v>
      </c>
      <c r="AM1" s="123">
        <v>2059</v>
      </c>
      <c r="AN1" s="123">
        <v>2060</v>
      </c>
    </row>
    <row r="2" spans="1:40" x14ac:dyDescent="0.2">
      <c r="A2" s="123" t="s">
        <v>65</v>
      </c>
      <c r="B2" s="122">
        <v>86574.037414115228</v>
      </c>
      <c r="C2" s="122">
        <v>89593.857947440265</v>
      </c>
      <c r="D2" s="122">
        <v>93377.23580659744</v>
      </c>
      <c r="E2" s="122">
        <v>97776.796099259329</v>
      </c>
      <c r="F2" s="122">
        <v>102617.73109802901</v>
      </c>
      <c r="G2" s="122">
        <v>107686.3444024132</v>
      </c>
      <c r="H2" s="122">
        <v>112722.41508442719</v>
      </c>
      <c r="I2" s="122">
        <v>117417.0496921564</v>
      </c>
      <c r="J2" s="122">
        <v>121417.9998828391</v>
      </c>
      <c r="K2" s="122">
        <v>124444.10041788559</v>
      </c>
      <c r="L2" s="122">
        <v>126621.4087210415</v>
      </c>
      <c r="M2" s="122">
        <v>128213.0743154985</v>
      </c>
      <c r="N2" s="122">
        <v>129509.1896599575</v>
      </c>
      <c r="O2" s="122">
        <v>130816.5561282086</v>
      </c>
      <c r="P2" s="122">
        <v>132395.56911422321</v>
      </c>
      <c r="Q2" s="122">
        <v>134277.60420099759</v>
      </c>
      <c r="R2" s="122">
        <v>136435.66026315291</v>
      </c>
      <c r="S2" s="122">
        <v>138842.10065104029</v>
      </c>
      <c r="T2" s="122">
        <v>141467.99763237321</v>
      </c>
      <c r="U2" s="122">
        <v>144282.53854224269</v>
      </c>
      <c r="V2" s="122">
        <v>147252.49656908779</v>
      </c>
      <c r="W2" s="122">
        <v>150341.7731603694</v>
      </c>
      <c r="X2" s="122">
        <v>153511.02266412709</v>
      </c>
      <c r="Y2" s="122">
        <v>156717.37296376229</v>
      </c>
      <c r="Z2" s="122">
        <v>159914.2583959988</v>
      </c>
      <c r="AA2" s="122">
        <v>163051.3830062437</v>
      </c>
      <c r="AB2" s="122">
        <v>166074.8329988312</v>
      </c>
      <c r="AC2" s="122">
        <v>168927.35686922749</v>
      </c>
      <c r="AD2" s="122">
        <v>171548.82994580301</v>
      </c>
      <c r="AE2" s="122">
        <v>173876.91672374061</v>
      </c>
      <c r="AF2" s="122">
        <v>175847.93929090659</v>
      </c>
      <c r="AG2" s="122">
        <v>177397.95324662179</v>
      </c>
      <c r="AH2" s="122">
        <v>178464.02382466401</v>
      </c>
      <c r="AI2" s="122">
        <v>178985.68461070451</v>
      </c>
      <c r="AJ2" s="122">
        <v>178906.54960977641</v>
      </c>
      <c r="AK2" s="122">
        <v>178176.03696546689</v>
      </c>
      <c r="AL2" s="122">
        <v>176751.15003397319</v>
      </c>
      <c r="AM2" s="122">
        <v>174598.24961608159</v>
      </c>
      <c r="AN2" s="122">
        <v>171694.74092733659</v>
      </c>
    </row>
    <row r="3" spans="1:40" x14ac:dyDescent="0.2">
      <c r="A3" s="123" t="s">
        <v>53</v>
      </c>
      <c r="B3" s="122">
        <v>77971.748616420751</v>
      </c>
      <c r="C3" s="122">
        <v>81718.592164723203</v>
      </c>
      <c r="D3" s="122">
        <v>85700.351361091452</v>
      </c>
      <c r="E3" s="122">
        <v>89848.947766887009</v>
      </c>
      <c r="F3" s="122">
        <v>94081.145591891735</v>
      </c>
      <c r="G3" s="122">
        <v>98297.381619859414</v>
      </c>
      <c r="H3" s="122">
        <v>102381.5252344701</v>
      </c>
      <c r="I3" s="122">
        <v>106201.84855555531</v>
      </c>
      <c r="J3" s="122">
        <v>109613.4721164518</v>
      </c>
      <c r="K3" s="122">
        <v>112504.7385764627</v>
      </c>
      <c r="L3" s="122">
        <v>114936.7118095749</v>
      </c>
      <c r="M3" s="122">
        <v>117029.9309807307</v>
      </c>
      <c r="N3" s="122">
        <v>118919.8930790796</v>
      </c>
      <c r="O3" s="122">
        <v>120753.74411834629</v>
      </c>
      <c r="P3" s="122">
        <v>122659.836259519</v>
      </c>
      <c r="Q3" s="122">
        <v>124657.6536978496</v>
      </c>
      <c r="R3" s="122">
        <v>126738.164598777</v>
      </c>
      <c r="S3" s="122">
        <v>128891.6788785129</v>
      </c>
      <c r="T3" s="122">
        <v>131107.7772567721</v>
      </c>
      <c r="U3" s="122">
        <v>133375.2480550576</v>
      </c>
      <c r="V3" s="122">
        <v>135682.032911107</v>
      </c>
      <c r="W3" s="122">
        <v>138015.18273496121</v>
      </c>
      <c r="X3" s="122">
        <v>140360.82536439749</v>
      </c>
      <c r="Y3" s="122">
        <v>142704.14648196971</v>
      </c>
      <c r="Z3" s="122">
        <v>145029.3854267202</v>
      </c>
      <c r="AA3" s="122">
        <v>147319.84756446761</v>
      </c>
      <c r="AB3" s="122">
        <v>149557.93486475729</v>
      </c>
      <c r="AC3" s="122">
        <v>151725.19626351789</v>
      </c>
      <c r="AD3" s="122">
        <v>153802.39926175459</v>
      </c>
      <c r="AE3" s="122">
        <v>155769.6240165527</v>
      </c>
      <c r="AF3" s="122">
        <v>157606.38091640419</v>
      </c>
      <c r="AG3" s="122">
        <v>159291.75229514041</v>
      </c>
      <c r="AH3" s="122">
        <v>160804.5585259785</v>
      </c>
      <c r="AI3" s="122">
        <v>162123.5482501784</v>
      </c>
      <c r="AJ3" s="122">
        <v>163227.6119370567</v>
      </c>
      <c r="AK3" s="122">
        <v>164096.01735018639</v>
      </c>
      <c r="AL3" s="122">
        <v>164708.66481859001</v>
      </c>
      <c r="AM3" s="122">
        <v>165046.35949522519</v>
      </c>
      <c r="AN3" s="122">
        <v>165091.09704551581</v>
      </c>
    </row>
    <row r="4" spans="1:40" x14ac:dyDescent="0.2">
      <c r="A4" s="123" t="s">
        <v>192</v>
      </c>
      <c r="B4" s="122">
        <v>46450.003049149032</v>
      </c>
      <c r="C4" s="122">
        <v>48311.096009389643</v>
      </c>
      <c r="D4" s="122">
        <v>50291.27062116388</v>
      </c>
      <c r="E4" s="122">
        <v>52364.670461178488</v>
      </c>
      <c r="F4" s="122">
        <v>54500.396684875261</v>
      </c>
      <c r="G4" s="122">
        <v>56662.00623931329</v>
      </c>
      <c r="H4" s="122">
        <v>58807.227010766197</v>
      </c>
      <c r="I4" s="122">
        <v>60887.956392395252</v>
      </c>
      <c r="J4" s="122">
        <v>62850.61205207678</v>
      </c>
      <c r="K4" s="122">
        <v>64650.657604550259</v>
      </c>
      <c r="L4" s="122">
        <v>66297.833437558278</v>
      </c>
      <c r="M4" s="122">
        <v>67820.149600441378</v>
      </c>
      <c r="N4" s="122">
        <v>69250.23188956693</v>
      </c>
      <c r="O4" s="122">
        <v>70624.740588899484</v>
      </c>
      <c r="P4" s="122">
        <v>71975.236698282592</v>
      </c>
      <c r="Q4" s="122">
        <v>73300.506101082443</v>
      </c>
      <c r="R4" s="122">
        <v>74590.394924386637</v>
      </c>
      <c r="S4" s="122">
        <v>75834.238200734981</v>
      </c>
      <c r="T4" s="122">
        <v>77020.913507970909</v>
      </c>
      <c r="U4" s="122">
        <v>78138.90911827446</v>
      </c>
      <c r="V4" s="122">
        <v>79176.407169025828</v>
      </c>
      <c r="W4" s="122">
        <v>80121.382101401003</v>
      </c>
      <c r="X4" s="122">
        <v>80961.714294988473</v>
      </c>
      <c r="Y4" s="122">
        <v>81685.318460407376</v>
      </c>
      <c r="Z4" s="122">
        <v>82280.285941250637</v>
      </c>
      <c r="AA4" s="122">
        <v>82735.039628527331</v>
      </c>
      <c r="AB4" s="122">
        <v>83038.499714584119</v>
      </c>
      <c r="AC4" s="122">
        <v>83180.258021408561</v>
      </c>
      <c r="AD4" s="122">
        <v>83150.758145039159</v>
      </c>
      <c r="AE4" s="122">
        <v>82941.478180774211</v>
      </c>
      <c r="AF4" s="122">
        <v>82545.112352264012</v>
      </c>
      <c r="AG4" s="122">
        <v>81955.747482272738</v>
      </c>
      <c r="AH4" s="122">
        <v>81169.029935552084</v>
      </c>
      <c r="AI4" s="122">
        <v>80182.318456549707</v>
      </c>
      <c r="AJ4" s="122">
        <v>78994.818237148153</v>
      </c>
      <c r="AK4" s="122">
        <v>77607.691600665348</v>
      </c>
      <c r="AL4" s="122">
        <v>76024.140892946321</v>
      </c>
      <c r="AM4" s="122">
        <v>74249.459539873613</v>
      </c>
      <c r="AN4" s="122">
        <v>72291.047767686745</v>
      </c>
    </row>
    <row r="5" spans="1:40" x14ac:dyDescent="0.2">
      <c r="A5" s="123" t="s">
        <v>193</v>
      </c>
      <c r="B5" s="122">
        <v>107085.79216328829</v>
      </c>
      <c r="C5" s="122">
        <v>111656.9444446438</v>
      </c>
      <c r="D5" s="122">
        <v>116516.9047777411</v>
      </c>
      <c r="E5" s="122">
        <v>121606.9035264069</v>
      </c>
      <c r="F5" s="122">
        <v>126855.817191599</v>
      </c>
      <c r="G5" s="122">
        <v>132178.91612173361</v>
      </c>
      <c r="H5" s="122">
        <v>137477.11275616309</v>
      </c>
      <c r="I5" s="122">
        <v>142636.87389263569</v>
      </c>
      <c r="J5" s="122">
        <v>147530.9673289588</v>
      </c>
      <c r="K5" s="122">
        <v>152052.59302401391</v>
      </c>
      <c r="L5" s="122">
        <v>156222.3271968395</v>
      </c>
      <c r="M5" s="122">
        <v>160104.2624384863</v>
      </c>
      <c r="N5" s="122">
        <v>163774.05103162781</v>
      </c>
      <c r="O5" s="122">
        <v>167317.5831128539</v>
      </c>
      <c r="P5" s="122">
        <v>170809.3174298025</v>
      </c>
      <c r="Q5" s="122">
        <v>174246.2404069789</v>
      </c>
      <c r="R5" s="122">
        <v>177604.04952518779</v>
      </c>
      <c r="S5" s="122">
        <v>180857.11685745479</v>
      </c>
      <c r="T5" s="122">
        <v>183978.61207539469</v>
      </c>
      <c r="U5" s="122">
        <v>186940.66038418171</v>
      </c>
      <c r="V5" s="122">
        <v>189714.5368016776</v>
      </c>
      <c r="W5" s="122">
        <v>192270.8975757882</v>
      </c>
      <c r="X5" s="122">
        <v>194580.04878973751</v>
      </c>
      <c r="Y5" s="122">
        <v>196612.25134180591</v>
      </c>
      <c r="Z5" s="122">
        <v>198338.06051361019</v>
      </c>
      <c r="AA5" s="122">
        <v>199728.69727427719</v>
      </c>
      <c r="AB5" s="122">
        <v>200756.4473283125</v>
      </c>
      <c r="AC5" s="122">
        <v>201395.08273029249</v>
      </c>
      <c r="AD5" s="122">
        <v>201620.29969384661</v>
      </c>
      <c r="AE5" s="122">
        <v>201410.16505572529</v>
      </c>
      <c r="AF5" s="122">
        <v>200745.5627632394</v>
      </c>
      <c r="AG5" s="122">
        <v>199610.63078409611</v>
      </c>
      <c r="AH5" s="122">
        <v>197993.17804314461</v>
      </c>
      <c r="AI5" s="122">
        <v>195885.07042254071</v>
      </c>
      <c r="AJ5" s="122">
        <v>193282.574570292</v>
      </c>
      <c r="AK5" s="122">
        <v>190186.64829221461</v>
      </c>
      <c r="AL5" s="122">
        <v>186603.1666919183</v>
      </c>
      <c r="AM5" s="122">
        <v>182543.07400003029</v>
      </c>
      <c r="AN5" s="122">
        <v>178022.4522121099</v>
      </c>
    </row>
    <row r="6" spans="1:40" x14ac:dyDescent="0.2">
      <c r="A6" s="123" t="s">
        <v>194</v>
      </c>
      <c r="B6" s="122">
        <v>16696.536385320011</v>
      </c>
      <c r="C6" s="122">
        <v>17477.11131027971</v>
      </c>
      <c r="D6" s="122">
        <v>18306.6081085429</v>
      </c>
      <c r="E6" s="122">
        <v>19176.081219351421</v>
      </c>
      <c r="F6" s="122">
        <v>20074.482325054571</v>
      </c>
      <c r="G6" s="122">
        <v>20988.439130156999</v>
      </c>
      <c r="H6" s="122">
        <v>21902.112124920379</v>
      </c>
      <c r="I6" s="122">
        <v>22797.157360735731</v>
      </c>
      <c r="J6" s="122">
        <v>23652.824768748611</v>
      </c>
      <c r="K6" s="122">
        <v>24451.43650346026</v>
      </c>
      <c r="L6" s="122">
        <v>25195.723518003739</v>
      </c>
      <c r="M6" s="122">
        <v>25895.54634329542</v>
      </c>
      <c r="N6" s="122">
        <v>26562.797344700411</v>
      </c>
      <c r="O6" s="122">
        <v>27211.20186070307</v>
      </c>
      <c r="P6" s="122">
        <v>27852.788697118991</v>
      </c>
      <c r="Q6" s="122">
        <v>28487.031976516751</v>
      </c>
      <c r="R6" s="122">
        <v>29109.91625594144</v>
      </c>
      <c r="S6" s="122">
        <v>29717.18168470544</v>
      </c>
      <c r="T6" s="122">
        <v>30304.342753122499</v>
      </c>
      <c r="U6" s="122">
        <v>30866.712858724881</v>
      </c>
      <c r="V6" s="122">
        <v>31399.4349704091</v>
      </c>
      <c r="W6" s="122">
        <v>31897.518573014921</v>
      </c>
      <c r="X6" s="122">
        <v>32355.88295634486</v>
      </c>
      <c r="Y6" s="122">
        <v>32769.406774030089</v>
      </c>
      <c r="Z6" s="122">
        <v>33132.983640221137</v>
      </c>
      <c r="AA6" s="122">
        <v>33441.58335801967</v>
      </c>
      <c r="AB6" s="122">
        <v>33690.318186086268</v>
      </c>
      <c r="AC6" s="122">
        <v>33874.513353182207</v>
      </c>
      <c r="AD6" s="122">
        <v>33989.780829841307</v>
      </c>
      <c r="AE6" s="122">
        <v>34032.095168179287</v>
      </c>
      <c r="AF6" s="122">
        <v>33997.870032222352</v>
      </c>
      <c r="AG6" s="122">
        <v>33884.033869927029</v>
      </c>
      <c r="AH6" s="122">
        <v>33688.1030326482</v>
      </c>
      <c r="AI6" s="122">
        <v>33408.250536689069</v>
      </c>
      <c r="AJ6" s="122">
        <v>33043.368593098567</v>
      </c>
      <c r="AK6" s="122">
        <v>32593.12301377788</v>
      </c>
      <c r="AL6" s="122">
        <v>32057.997640929079</v>
      </c>
      <c r="AM6" s="122">
        <v>31439.327048103161</v>
      </c>
      <c r="AN6" s="122">
        <v>30739.31592782279</v>
      </c>
    </row>
    <row r="7" spans="1:40" x14ac:dyDescent="0.2">
      <c r="A7" s="123" t="s">
        <v>58</v>
      </c>
      <c r="B7" s="122">
        <v>90528.212015436089</v>
      </c>
      <c r="C7" s="122">
        <v>94538.415553733445</v>
      </c>
      <c r="D7" s="122">
        <v>99116.204206572205</v>
      </c>
      <c r="E7" s="122">
        <v>104190.4439975391</v>
      </c>
      <c r="F7" s="122">
        <v>109671.28164285921</v>
      </c>
      <c r="G7" s="122">
        <v>115444.8783319933</v>
      </c>
      <c r="H7" s="122">
        <v>121369.0806093361</v>
      </c>
      <c r="I7" s="122">
        <v>127270.5768326089</v>
      </c>
      <c r="J7" s="122">
        <v>132944.2137965032</v>
      </c>
      <c r="K7" s="122">
        <v>138200.16333795019</v>
      </c>
      <c r="L7" s="122">
        <v>143016.69740186949</v>
      </c>
      <c r="M7" s="122">
        <v>147430.27730587841</v>
      </c>
      <c r="N7" s="122">
        <v>151492.46959091121</v>
      </c>
      <c r="O7" s="122">
        <v>155268.19719590069</v>
      </c>
      <c r="P7" s="122">
        <v>158816.71684749809</v>
      </c>
      <c r="Q7" s="122">
        <v>162135.1320546419</v>
      </c>
      <c r="R7" s="122">
        <v>165204.81152406131</v>
      </c>
      <c r="S7" s="122">
        <v>168008.14403109031</v>
      </c>
      <c r="T7" s="122">
        <v>170528.7036987087</v>
      </c>
      <c r="U7" s="122">
        <v>172751.40773465449</v>
      </c>
      <c r="V7" s="122">
        <v>174662.66454580019</v>
      </c>
      <c r="W7" s="122">
        <v>176250.51022781979</v>
      </c>
      <c r="X7" s="122">
        <v>177504.73154113651</v>
      </c>
      <c r="Y7" s="122">
        <v>178416.97363015401</v>
      </c>
      <c r="Z7" s="122">
        <v>178980.83092002079</v>
      </c>
      <c r="AA7" s="122">
        <v>179191.91983126849</v>
      </c>
      <c r="AB7" s="122">
        <v>179047.93218443339</v>
      </c>
      <c r="AC7" s="122">
        <v>178548.66842057739</v>
      </c>
      <c r="AD7" s="122">
        <v>177696.05003528661</v>
      </c>
      <c r="AE7" s="122">
        <v>176494.11090858359</v>
      </c>
      <c r="AF7" s="122">
        <v>174948.96750628861</v>
      </c>
      <c r="AG7" s="122">
        <v>173068.76822451569</v>
      </c>
      <c r="AH7" s="122">
        <v>170863.62244285151</v>
      </c>
      <c r="AI7" s="122">
        <v>168345.51013798159</v>
      </c>
      <c r="AJ7" s="122">
        <v>165528.1731829569</v>
      </c>
      <c r="AK7" s="122">
        <v>162426.98971281521</v>
      </c>
      <c r="AL7" s="122">
        <v>159058.8331703743</v>
      </c>
      <c r="AM7" s="122">
        <v>155441.91785235991</v>
      </c>
      <c r="AN7" s="122">
        <v>151595.6329520476</v>
      </c>
    </row>
    <row r="8" spans="1:40" x14ac:dyDescent="0.2">
      <c r="A8" s="123" t="s">
        <v>195</v>
      </c>
      <c r="B8" s="122">
        <v>69030.48514791824</v>
      </c>
      <c r="C8" s="122">
        <v>72436.596785564383</v>
      </c>
      <c r="D8" s="122">
        <v>76029.80094713674</v>
      </c>
      <c r="E8" s="122">
        <v>79764.747207664856</v>
      </c>
      <c r="F8" s="122">
        <v>83585.718237924346</v>
      </c>
      <c r="G8" s="122">
        <v>87425.823408038501</v>
      </c>
      <c r="H8" s="122">
        <v>91206.664336196365</v>
      </c>
      <c r="I8" s="122">
        <v>94838.619643522121</v>
      </c>
      <c r="J8" s="122">
        <v>98221.894701301935</v>
      </c>
      <c r="K8" s="122">
        <v>101277.60039462621</v>
      </c>
      <c r="L8" s="122">
        <v>104044.212808248</v>
      </c>
      <c r="M8" s="122">
        <v>106601.7322931837</v>
      </c>
      <c r="N8" s="122">
        <v>109042.2439998187</v>
      </c>
      <c r="O8" s="122">
        <v>111468.42395783791</v>
      </c>
      <c r="P8" s="122">
        <v>113970.1798874145</v>
      </c>
      <c r="Q8" s="122">
        <v>116552.6206587262</v>
      </c>
      <c r="R8" s="122">
        <v>119197.4007539592</v>
      </c>
      <c r="S8" s="122">
        <v>121884.3532402273</v>
      </c>
      <c r="T8" s="122">
        <v>124591.39706867639</v>
      </c>
      <c r="U8" s="122">
        <v>127294.4818355622</v>
      </c>
      <c r="V8" s="122">
        <v>129967.5761555917</v>
      </c>
      <c r="W8" s="122">
        <v>132582.70595680579</v>
      </c>
      <c r="X8" s="122">
        <v>135110.04891153431</v>
      </c>
      <c r="Y8" s="122">
        <v>137518.0908241932</v>
      </c>
      <c r="Z8" s="122">
        <v>139773.84906127889</v>
      </c>
      <c r="AA8" s="122">
        <v>141843.16699581771</v>
      </c>
      <c r="AB8" s="122">
        <v>143691.0819219682</v>
      </c>
      <c r="AC8" s="122">
        <v>145282.2669645565</v>
      </c>
      <c r="AD8" s="122">
        <v>146581.5451712535</v>
      </c>
      <c r="AE8" s="122">
        <v>147554.47126353841</v>
      </c>
      <c r="AF8" s="122">
        <v>148167.97349513051</v>
      </c>
      <c r="AG8" s="122">
        <v>148391.0448114801</v>
      </c>
      <c r="AH8" s="122">
        <v>148195.46914005381</v>
      </c>
      <c r="AI8" s="122">
        <v>147556.56531727291</v>
      </c>
      <c r="AJ8" s="122">
        <v>146453.92804936389</v>
      </c>
      <c r="AK8" s="122">
        <v>144872.14260705459</v>
      </c>
      <c r="AL8" s="122">
        <v>142801.44787598739</v>
      </c>
      <c r="AM8" s="122">
        <v>140238.32113434459</v>
      </c>
      <c r="AN8" s="122">
        <v>137185.95770165289</v>
      </c>
    </row>
    <row r="9" spans="1:40" x14ac:dyDescent="0.2">
      <c r="A9" s="123" t="s">
        <v>71</v>
      </c>
      <c r="B9" s="122">
        <v>18002.06128553487</v>
      </c>
      <c r="C9" s="122">
        <v>18307.704086688758</v>
      </c>
      <c r="D9" s="122">
        <v>18640.84670933599</v>
      </c>
      <c r="E9" s="122">
        <v>18989.430815221531</v>
      </c>
      <c r="F9" s="122">
        <v>19340.481415718819</v>
      </c>
      <c r="G9" s="122">
        <v>19680.045218854619</v>
      </c>
      <c r="H9" s="122">
        <v>19993.224459263249</v>
      </c>
      <c r="I9" s="122">
        <v>20264.317824808651</v>
      </c>
      <c r="J9" s="122">
        <v>20477.078278073481</v>
      </c>
      <c r="K9" s="122">
        <v>20619.056590203589</v>
      </c>
      <c r="L9" s="122">
        <v>20694.086721499822</v>
      </c>
      <c r="M9" s="122">
        <v>20710.74743434865</v>
      </c>
      <c r="N9" s="122">
        <v>20678.197239451019</v>
      </c>
      <c r="O9" s="122">
        <v>20605.935087193589</v>
      </c>
      <c r="P9" s="122">
        <v>20502.317491829119</v>
      </c>
      <c r="Q9" s="122">
        <v>20370.618687914099</v>
      </c>
      <c r="R9" s="122">
        <v>20212.90091877407</v>
      </c>
      <c r="S9" s="122">
        <v>20031.282831085729</v>
      </c>
      <c r="T9" s="122">
        <v>19827.916998306071</v>
      </c>
      <c r="U9" s="122">
        <v>19604.96900725516</v>
      </c>
      <c r="V9" s="122">
        <v>19364.598272147108</v>
      </c>
      <c r="W9" s="122">
        <v>19108.940693350509</v>
      </c>
      <c r="X9" s="122">
        <v>18840.093234257321</v>
      </c>
      <c r="Y9" s="122">
        <v>18560.100449508071</v>
      </c>
      <c r="Z9" s="122">
        <v>18270.9429619291</v>
      </c>
      <c r="AA9" s="122">
        <v>17974.527854176249</v>
      </c>
      <c r="AB9" s="122">
        <v>17672.680914394899</v>
      </c>
      <c r="AC9" s="122">
        <v>17367.140653188559</v>
      </c>
      <c r="AD9" s="122">
        <v>17059.553991726782</v>
      </c>
      <c r="AE9" s="122">
        <v>16751.473507705599</v>
      </c>
      <c r="AF9" s="122">
        <v>16444.356116809191</v>
      </c>
      <c r="AG9" s="122">
        <v>16139.56306197376</v>
      </c>
      <c r="AH9" s="122">
        <v>15838.361080744129</v>
      </c>
      <c r="AI9" s="122">
        <v>15541.924621946901</v>
      </c>
      <c r="AJ9" s="122">
        <v>15251.338986381459</v>
      </c>
      <c r="AK9" s="122">
        <v>14967.60427185862</v>
      </c>
      <c r="AL9" s="122">
        <v>14691.640010328079</v>
      </c>
      <c r="AM9" s="122">
        <v>14424.290393678641</v>
      </c>
      <c r="AN9" s="122">
        <v>14166.329994763049</v>
      </c>
    </row>
    <row r="10" spans="1:40" x14ac:dyDescent="0.2">
      <c r="A10" s="123" t="s">
        <v>72</v>
      </c>
      <c r="B10" s="122">
        <v>12304.162743704101</v>
      </c>
      <c r="C10" s="122">
        <v>12376.746330509141</v>
      </c>
      <c r="D10" s="122">
        <v>12456.25389273695</v>
      </c>
      <c r="E10" s="122">
        <v>12537.169506699929</v>
      </c>
      <c r="F10" s="122">
        <v>12613.83579115547</v>
      </c>
      <c r="G10" s="122">
        <v>12680.46042154594</v>
      </c>
      <c r="H10" s="122">
        <v>12731.148755094369</v>
      </c>
      <c r="I10" s="122">
        <v>12759.963366001461</v>
      </c>
      <c r="J10" s="122">
        <v>12761.01070092609</v>
      </c>
      <c r="K10" s="122">
        <v>12730.378793477939</v>
      </c>
      <c r="L10" s="122">
        <v>12671.67411406135</v>
      </c>
      <c r="M10" s="122">
        <v>12590.446728624809</v>
      </c>
      <c r="N10" s="122">
        <v>12492.254392312499</v>
      </c>
      <c r="O10" s="122">
        <v>12382.57863454803</v>
      </c>
      <c r="P10" s="122">
        <v>12265.95939381119</v>
      </c>
      <c r="Q10" s="122">
        <v>12143.60558779832</v>
      </c>
      <c r="R10" s="122">
        <v>12015.90633518691</v>
      </c>
      <c r="S10" s="122">
        <v>11883.24943352524</v>
      </c>
      <c r="T10" s="122">
        <v>11746.02004429609</v>
      </c>
      <c r="U10" s="122">
        <v>11604.599461388691</v>
      </c>
      <c r="V10" s="122">
        <v>11459.36396511095</v>
      </c>
      <c r="W10" s="122">
        <v>11310.683763139081</v>
      </c>
      <c r="X10" s="122">
        <v>11158.92201911377</v>
      </c>
      <c r="Y10" s="122">
        <v>11004.43396894434</v>
      </c>
      <c r="Z10" s="122">
        <v>10847.566124285529</v>
      </c>
      <c r="AA10" s="122">
        <v>10688.65556210204</v>
      </c>
      <c r="AB10" s="122">
        <v>10528.029298736299</v>
      </c>
      <c r="AC10" s="122">
        <v>10366.00374644739</v>
      </c>
      <c r="AD10" s="122">
        <v>10202.884249991421</v>
      </c>
      <c r="AE10" s="122">
        <v>10038.96470046471</v>
      </c>
      <c r="AF10" s="122">
        <v>9874.5272233338219</v>
      </c>
      <c r="AG10" s="122">
        <v>9709.8419373240486</v>
      </c>
      <c r="AH10" s="122">
        <v>9545.166780632655</v>
      </c>
      <c r="AI10" s="122">
        <v>9380.7474007711353</v>
      </c>
      <c r="AJ10" s="122">
        <v>9216.817104219419</v>
      </c>
      <c r="AK10" s="122">
        <v>9053.5968619937648</v>
      </c>
      <c r="AL10" s="122">
        <v>8891.2953671825962</v>
      </c>
      <c r="AM10" s="122">
        <v>8730.1091404930467</v>
      </c>
      <c r="AN10" s="122">
        <v>8570.2226798680622</v>
      </c>
    </row>
    <row r="11" spans="1:40" x14ac:dyDescent="0.2">
      <c r="A11" s="123" t="s">
        <v>73</v>
      </c>
      <c r="B11" s="122">
        <v>4568.3236898109044</v>
      </c>
      <c r="C11" s="122">
        <v>4601.6267244596311</v>
      </c>
      <c r="D11" s="122">
        <v>4624.7402479686052</v>
      </c>
      <c r="E11" s="122">
        <v>4638.3804758833439</v>
      </c>
      <c r="F11" s="122">
        <v>4643.3357326490559</v>
      </c>
      <c r="G11" s="122">
        <v>4640.4502313446492</v>
      </c>
      <c r="H11" s="122">
        <v>4630.6088220406236</v>
      </c>
      <c r="I11" s="122">
        <v>4614.723009450081</v>
      </c>
      <c r="J11" s="122">
        <v>4593.718468291695</v>
      </c>
      <c r="K11" s="122">
        <v>4568.350942247529</v>
      </c>
      <c r="L11" s="122">
        <v>4538.6861694934678</v>
      </c>
      <c r="M11" s="122">
        <v>4504.6313274543772</v>
      </c>
      <c r="N11" s="122">
        <v>4466.1113553227569</v>
      </c>
      <c r="O11" s="122">
        <v>4423.0701771722361</v>
      </c>
      <c r="P11" s="122">
        <v>4375.5424662579671</v>
      </c>
      <c r="Q11" s="122">
        <v>4323.859852260287</v>
      </c>
      <c r="R11" s="122">
        <v>4268.4264171792202</v>
      </c>
      <c r="S11" s="122">
        <v>4209.6435705796112</v>
      </c>
      <c r="T11" s="122">
        <v>4147.9072911080111</v>
      </c>
      <c r="U11" s="122">
        <v>4083.6056566917882</v>
      </c>
      <c r="V11" s="122">
        <v>4017.116667580256</v>
      </c>
      <c r="W11" s="122">
        <v>3948.8063617179678</v>
      </c>
      <c r="X11" s="122">
        <v>3879.0272178041992</v>
      </c>
      <c r="Y11" s="122">
        <v>3808.1168378114739</v>
      </c>
      <c r="Z11" s="122">
        <v>3736.396897710481</v>
      </c>
      <c r="AA11" s="122">
        <v>3664.1723526724409</v>
      </c>
      <c r="AB11" s="122">
        <v>3591.7308810707341</v>
      </c>
      <c r="AC11" s="122">
        <v>3519.3425501551728</v>
      </c>
      <c r="AD11" s="122">
        <v>3447.259685287142</v>
      </c>
      <c r="AE11" s="122">
        <v>3375.7169240642529</v>
      </c>
      <c r="AF11" s="122">
        <v>3304.9314364832112</v>
      </c>
      <c r="AG11" s="122">
        <v>3235.10329244679</v>
      </c>
      <c r="AH11" s="122">
        <v>3166.4159583674882</v>
      </c>
      <c r="AI11" s="122">
        <v>3099.0369053135032</v>
      </c>
      <c r="AJ11" s="122">
        <v>3033.1183120386681</v>
      </c>
      <c r="AK11" s="122">
        <v>2968.7978472964228</v>
      </c>
      <c r="AL11" s="122">
        <v>2906.1995170221271</v>
      </c>
      <c r="AM11" s="122">
        <v>2845.4345632433992</v>
      </c>
      <c r="AN11" s="122">
        <v>2786.6024029160608</v>
      </c>
    </row>
    <row r="12" spans="1:40" x14ac:dyDescent="0.2">
      <c r="A12" s="123" t="s">
        <v>74</v>
      </c>
      <c r="B12" s="122">
        <v>2146.8175625414901</v>
      </c>
      <c r="C12" s="122">
        <v>2136.1669112190921</v>
      </c>
      <c r="D12" s="122">
        <v>2123.2128253597289</v>
      </c>
      <c r="E12" s="122">
        <v>2108.1143033711519</v>
      </c>
      <c r="F12" s="122">
        <v>2091.033744422673</v>
      </c>
      <c r="G12" s="122">
        <v>2072.1355802030939</v>
      </c>
      <c r="H12" s="122">
        <v>2051.5849965982839</v>
      </c>
      <c r="I12" s="122">
        <v>2029.54675313707</v>
      </c>
      <c r="J12" s="122">
        <v>2006.1841059288481</v>
      </c>
      <c r="K12" s="122">
        <v>1981.6232646593089</v>
      </c>
      <c r="L12" s="122">
        <v>1955.852392674537</v>
      </c>
      <c r="M12" s="122">
        <v>1928.83133594318</v>
      </c>
      <c r="N12" s="122">
        <v>1900.5274290608529</v>
      </c>
      <c r="O12" s="122">
        <v>1870.9158739446409</v>
      </c>
      <c r="P12" s="122">
        <v>1840.01193521544</v>
      </c>
      <c r="Q12" s="122">
        <v>1807.962334675932</v>
      </c>
      <c r="R12" s="122">
        <v>1774.941676332802</v>
      </c>
      <c r="S12" s="122">
        <v>1741.118687256652</v>
      </c>
      <c r="T12" s="122">
        <v>1706.655480588445</v>
      </c>
      <c r="U12" s="122">
        <v>1671.7069476333861</v>
      </c>
      <c r="V12" s="122">
        <v>1636.4202738390579</v>
      </c>
      <c r="W12" s="122">
        <v>1600.934572292143</v>
      </c>
      <c r="X12" s="122">
        <v>1565.380627446455</v>
      </c>
      <c r="Y12" s="122">
        <v>1529.8807411021669</v>
      </c>
      <c r="Z12" s="122">
        <v>1494.5486721762741</v>
      </c>
      <c r="AA12" s="122">
        <v>1459.489661520023</v>
      </c>
      <c r="AB12" s="122">
        <v>1424.800532930371</v>
      </c>
      <c r="AC12" s="122">
        <v>1390.5698615494359</v>
      </c>
      <c r="AD12" s="122">
        <v>1356.8782010272701</v>
      </c>
      <c r="AE12" s="122">
        <v>1323.798361119045</v>
      </c>
      <c r="AF12" s="122">
        <v>1291.3957277774659</v>
      </c>
      <c r="AG12" s="122">
        <v>1259.7286182665989</v>
      </c>
      <c r="AH12" s="122">
        <v>1228.848664346408</v>
      </c>
      <c r="AI12" s="122">
        <v>1198.801217142269</v>
      </c>
      <c r="AJ12" s="122">
        <v>1169.6257679060909</v>
      </c>
      <c r="AK12" s="122">
        <v>1141.356379482859</v>
      </c>
      <c r="AL12" s="122">
        <v>1114.0221239073251</v>
      </c>
      <c r="AM12" s="122">
        <v>1087.647522161227</v>
      </c>
      <c r="AN12" s="122">
        <v>1062.2529827141871</v>
      </c>
    </row>
    <row r="13" spans="1:40" x14ac:dyDescent="0.2">
      <c r="A13" s="123" t="s">
        <v>75</v>
      </c>
      <c r="B13" s="122">
        <v>1532.4140383714739</v>
      </c>
      <c r="C13" s="122">
        <v>1530.1233507657271</v>
      </c>
      <c r="D13" s="122">
        <v>1525.6448506005349</v>
      </c>
      <c r="E13" s="122">
        <v>1519.1391657138761</v>
      </c>
      <c r="F13" s="122">
        <v>1510.772973091802</v>
      </c>
      <c r="G13" s="122">
        <v>1500.7170306339001</v>
      </c>
      <c r="H13" s="122">
        <v>1489.144349163586</v>
      </c>
      <c r="I13" s="122">
        <v>1476.2285215011809</v>
      </c>
      <c r="J13" s="122">
        <v>1462.1422206524951</v>
      </c>
      <c r="K13" s="122">
        <v>1447.022167866485</v>
      </c>
      <c r="L13" s="122">
        <v>1430.869855584647</v>
      </c>
      <c r="M13" s="122">
        <v>1413.657477520371</v>
      </c>
      <c r="N13" s="122">
        <v>1395.362644201974</v>
      </c>
      <c r="O13" s="122">
        <v>1375.9686954982469</v>
      </c>
      <c r="P13" s="122">
        <v>1355.4880045401769</v>
      </c>
      <c r="Q13" s="122">
        <v>1334.028354765803</v>
      </c>
      <c r="R13" s="122">
        <v>1311.718565771677</v>
      </c>
      <c r="S13" s="122">
        <v>1288.684068104707</v>
      </c>
      <c r="T13" s="122">
        <v>1265.0462641985309</v>
      </c>
      <c r="U13" s="122">
        <v>1240.921984630487</v>
      </c>
      <c r="V13" s="122">
        <v>1216.423037181499</v>
      </c>
      <c r="W13" s="122">
        <v>1191.6558451429721</v>
      </c>
      <c r="X13" s="122">
        <v>1166.7211704562139</v>
      </c>
      <c r="Y13" s="122">
        <v>1141.71391658537</v>
      </c>
      <c r="Z13" s="122">
        <v>1116.723005505871</v>
      </c>
      <c r="AA13" s="122">
        <v>1091.8313228263389</v>
      </c>
      <c r="AB13" s="122">
        <v>1067.1157248396801</v>
      </c>
      <c r="AC13" s="122">
        <v>1042.6471012052971</v>
      </c>
      <c r="AD13" s="122">
        <v>1018.490486984029</v>
      </c>
      <c r="AE13" s="122">
        <v>994.70521786577228</v>
      </c>
      <c r="AF13" s="122">
        <v>971.34512263216573</v>
      </c>
      <c r="AG13" s="122">
        <v>948.45874716862329</v>
      </c>
      <c r="AH13" s="122">
        <v>926.08960466807434</v>
      </c>
      <c r="AI13" s="122">
        <v>904.27644704008117</v>
      </c>
      <c r="AJ13" s="122">
        <v>883.05355294223</v>
      </c>
      <c r="AK13" s="122">
        <v>862.45102827515291</v>
      </c>
      <c r="AL13" s="122">
        <v>842.49511541927814</v>
      </c>
      <c r="AM13" s="122">
        <v>823.20850793242823</v>
      </c>
      <c r="AN13" s="122">
        <v>804.61066786605875</v>
      </c>
    </row>
    <row r="14" spans="1:40" x14ac:dyDescent="0.2">
      <c r="A14" s="123" t="s">
        <v>76</v>
      </c>
      <c r="B14" s="122">
        <v>1144.432816780665</v>
      </c>
      <c r="C14" s="122">
        <v>1228.935884672414</v>
      </c>
      <c r="D14" s="122">
        <v>1309.05662363189</v>
      </c>
      <c r="E14" s="122">
        <v>1384.3660913195511</v>
      </c>
      <c r="F14" s="122">
        <v>1454.7213665962011</v>
      </c>
      <c r="G14" s="122">
        <v>1520.2606559998551</v>
      </c>
      <c r="H14" s="122">
        <v>1581.3889459529969</v>
      </c>
      <c r="I14" s="122">
        <v>1638.7578130182501</v>
      </c>
      <c r="J14" s="122">
        <v>1693.2431053643841</v>
      </c>
      <c r="K14" s="122">
        <v>1745.678148728256</v>
      </c>
      <c r="L14" s="122">
        <v>1796.0420902915171</v>
      </c>
      <c r="M14" s="122">
        <v>1844.0907934010941</v>
      </c>
      <c r="N14" s="122">
        <v>1889.5897508014029</v>
      </c>
      <c r="O14" s="122">
        <v>1932.3160698994129</v>
      </c>
      <c r="P14" s="122">
        <v>1972.0793016383229</v>
      </c>
      <c r="Q14" s="122">
        <v>2008.782848802676</v>
      </c>
      <c r="R14" s="122">
        <v>2042.372842790958</v>
      </c>
      <c r="S14" s="122">
        <v>2072.819531288786</v>
      </c>
      <c r="T14" s="122">
        <v>2100.116553084265</v>
      </c>
      <c r="U14" s="122">
        <v>2124.2799780974428</v>
      </c>
      <c r="V14" s="122">
        <v>2145.347143880877</v>
      </c>
      <c r="W14" s="122">
        <v>2163.3753211527051</v>
      </c>
      <c r="X14" s="122">
        <v>2178.440241430581</v>
      </c>
      <c r="Y14" s="122">
        <v>2190.63451961086</v>
      </c>
      <c r="Z14" s="122">
        <v>2200.0660034630132</v>
      </c>
      <c r="AA14" s="122">
        <v>2206.856080572782</v>
      </c>
      <c r="AB14" s="122">
        <v>2211.1379713639831</v>
      </c>
      <c r="AC14" s="122">
        <v>2213.0550345540091</v>
      </c>
      <c r="AD14" s="122">
        <v>2212.7591088472218</v>
      </c>
      <c r="AE14" s="122">
        <v>2210.408911934529</v>
      </c>
      <c r="AF14" s="122">
        <v>2206.1685150320659</v>
      </c>
      <c r="AG14" s="122">
        <v>2200.2059083343152</v>
      </c>
      <c r="AH14" s="122">
        <v>2192.6916699462331</v>
      </c>
      <c r="AI14" s="122">
        <v>2183.7977481544358</v>
      </c>
      <c r="AJ14" s="122">
        <v>2173.6963643482341</v>
      </c>
      <c r="AK14" s="122">
        <v>2162.5590415478541</v>
      </c>
      <c r="AL14" s="122">
        <v>2150.5557613689748</v>
      </c>
      <c r="AM14" s="122">
        <v>2137.8542503720769</v>
      </c>
      <c r="AN14" s="122">
        <v>2124.6193951250871</v>
      </c>
    </row>
    <row r="15" spans="1:40" x14ac:dyDescent="0.2">
      <c r="A15" s="123" t="s">
        <v>77</v>
      </c>
      <c r="B15" s="122">
        <v>9.2604801376398402</v>
      </c>
      <c r="C15" s="122">
        <v>9.5821508942011224</v>
      </c>
      <c r="D15" s="122">
        <v>9.8681746081646757</v>
      </c>
      <c r="E15" s="122">
        <v>10.119546760461679</v>
      </c>
      <c r="F15" s="122">
        <v>10.338125785691849</v>
      </c>
      <c r="G15" s="122">
        <v>10.52652859363495</v>
      </c>
      <c r="H15" s="122">
        <v>10.68801972881811</v>
      </c>
      <c r="I15" s="122">
        <v>10.826401442173561</v>
      </c>
      <c r="J15" s="122">
        <v>10.94591098142728</v>
      </c>
      <c r="K15" s="122">
        <v>11.05022392902954</v>
      </c>
      <c r="L15" s="122">
        <v>11.139600581432269</v>
      </c>
      <c r="M15" s="122">
        <v>11.213466827222771</v>
      </c>
      <c r="N15" s="122">
        <v>11.271307529025959</v>
      </c>
      <c r="O15" s="122">
        <v>11.31267158371111</v>
      </c>
      <c r="P15" s="122">
        <v>11.33732950331185</v>
      </c>
      <c r="Q15" s="122">
        <v>11.345737180573609</v>
      </c>
      <c r="R15" s="122">
        <v>11.33857656142124</v>
      </c>
      <c r="S15" s="122">
        <v>11.316593852623139</v>
      </c>
      <c r="T15" s="122">
        <v>11.280589723926511</v>
      </c>
      <c r="U15" s="122">
        <v>11.23140965428089</v>
      </c>
      <c r="V15" s="122">
        <v>11.16993454279427</v>
      </c>
      <c r="W15" s="122">
        <v>11.09707168986103</v>
      </c>
      <c r="X15" s="122">
        <v>11.01374623827892</v>
      </c>
      <c r="Y15" s="122">
        <v>10.92089314852071</v>
      </c>
      <c r="Z15" s="122">
        <v>10.81944976699018</v>
      </c>
      <c r="AA15" s="122">
        <v>10.71034903136449</v>
      </c>
      <c r="AB15" s="122">
        <v>10.594513343250309</v>
      </c>
      <c r="AC15" s="122">
        <v>10.4728491255526</v>
      </c>
      <c r="AD15" s="122">
        <v>10.346242070316871</v>
      </c>
      <c r="AE15" s="122">
        <v>10.215553072457331</v>
      </c>
      <c r="AF15" s="122">
        <v>10.081614835781631</v>
      </c>
      <c r="AG15" s="122">
        <v>9.9452291300864886</v>
      </c>
      <c r="AH15" s="122">
        <v>9.8071646718155385</v>
      </c>
      <c r="AI15" s="122">
        <v>9.6681555957997105</v>
      </c>
      <c r="AJ15" s="122">
        <v>9.5289004818795533</v>
      </c>
      <c r="AK15" s="122">
        <v>9.3900618976578709</v>
      </c>
      <c r="AL15" s="122">
        <v>9.252266417158209</v>
      </c>
      <c r="AM15" s="122">
        <v>9.1161050746693473</v>
      </c>
      <c r="AN15" s="122">
        <v>8.9821342134349731</v>
      </c>
    </row>
    <row r="16" spans="1:40" x14ac:dyDescent="0.2">
      <c r="A16" s="123" t="s">
        <v>79</v>
      </c>
      <c r="B16" s="122">
        <v>11981.68421833607</v>
      </c>
      <c r="C16" s="122">
        <v>12183.59039365953</v>
      </c>
      <c r="D16" s="122">
        <v>12350.18240568944</v>
      </c>
      <c r="E16" s="122">
        <v>12483.541864999001</v>
      </c>
      <c r="F16" s="122">
        <v>12586.19182157204</v>
      </c>
      <c r="G16" s="122">
        <v>12661.01872685713</v>
      </c>
      <c r="H16" s="122">
        <v>12711.196796719951</v>
      </c>
      <c r="I16" s="122">
        <v>12740.11730872413</v>
      </c>
      <c r="J16" s="122">
        <v>12751.32486502452</v>
      </c>
      <c r="K16" s="122">
        <v>12747.77931237476</v>
      </c>
      <c r="L16" s="122">
        <v>12729.76825127492</v>
      </c>
      <c r="M16" s="122">
        <v>12696.947458137511</v>
      </c>
      <c r="N16" s="122">
        <v>12649.02763179972</v>
      </c>
      <c r="O16" s="122">
        <v>12585.77847491293</v>
      </c>
      <c r="P16" s="122">
        <v>12507.22288309648</v>
      </c>
      <c r="Q16" s="122">
        <v>12414.200168684471</v>
      </c>
      <c r="R16" s="122">
        <v>12307.77201924675</v>
      </c>
      <c r="S16" s="122">
        <v>12189.019820552659</v>
      </c>
      <c r="T16" s="122">
        <v>12059.03513005174</v>
      </c>
      <c r="U16" s="122">
        <v>11918.910822579821</v>
      </c>
      <c r="V16" s="122">
        <v>11769.732962788279</v>
      </c>
      <c r="W16" s="122">
        <v>11612.573442547069</v>
      </c>
      <c r="X16" s="122">
        <v>11448.48340641874</v>
      </c>
      <c r="Y16" s="122">
        <v>11278.48747443146</v>
      </c>
      <c r="Z16" s="122">
        <v>11103.57875891858</v>
      </c>
      <c r="AA16" s="122">
        <v>10924.71466123205</v>
      </c>
      <c r="AB16" s="122">
        <v>10742.813424707019</v>
      </c>
      <c r="AC16" s="122">
        <v>10558.751412363619</v>
      </c>
      <c r="AD16" s="122">
        <v>10373.36107143661</v>
      </c>
      <c r="AE16" s="122">
        <v>10187.429541870841</v>
      </c>
      <c r="AF16" s="122">
        <v>10001.69786231899</v>
      </c>
      <c r="AG16" s="122">
        <v>9816.8607248317348</v>
      </c>
      <c r="AH16" s="122">
        <v>9633.5667282242575</v>
      </c>
      <c r="AI16" s="122">
        <v>9452.4190799145708</v>
      </c>
      <c r="AJ16" s="122">
        <v>9273.9766967404394</v>
      </c>
      <c r="AK16" s="122">
        <v>9098.7556567424181</v>
      </c>
      <c r="AL16" s="122">
        <v>8927.2309560368049</v>
      </c>
      <c r="AM16" s="122">
        <v>8759.8385275762248</v>
      </c>
      <c r="AN16" s="122">
        <v>8596.97748170468</v>
      </c>
    </row>
    <row r="17" spans="1:40" x14ac:dyDescent="0.2">
      <c r="A17" s="123" t="s">
        <v>80</v>
      </c>
      <c r="B17" s="122">
        <v>6627.9200426937196</v>
      </c>
      <c r="C17" s="122">
        <v>6836.6375533616583</v>
      </c>
      <c r="D17" s="122">
        <v>7020.6450104061696</v>
      </c>
      <c r="E17" s="122">
        <v>7180.7918825363367</v>
      </c>
      <c r="F17" s="122">
        <v>7318.4690383425586</v>
      </c>
      <c r="G17" s="122">
        <v>7435.5383790986098</v>
      </c>
      <c r="H17" s="122">
        <v>7534.2596874997198</v>
      </c>
      <c r="I17" s="122">
        <v>7617.2190083663036</v>
      </c>
      <c r="J17" s="122">
        <v>7687.2622537976149</v>
      </c>
      <c r="K17" s="122">
        <v>7746.8410398641699</v>
      </c>
      <c r="L17" s="122">
        <v>7796.1454571329687</v>
      </c>
      <c r="M17" s="122">
        <v>7834.8160052150743</v>
      </c>
      <c r="N17" s="122">
        <v>7862.533122356429</v>
      </c>
      <c r="O17" s="122">
        <v>7879.0204906239805</v>
      </c>
      <c r="P17" s="122">
        <v>7884.156922064547</v>
      </c>
      <c r="Q17" s="122">
        <v>7878.3049104884631</v>
      </c>
      <c r="R17" s="122">
        <v>7861.9813297894389</v>
      </c>
      <c r="S17" s="122">
        <v>7835.7420490840723</v>
      </c>
      <c r="T17" s="122">
        <v>7800.1751476216687</v>
      </c>
      <c r="U17" s="122">
        <v>7755.8943004632247</v>
      </c>
      <c r="V17" s="122">
        <v>7703.5324104492338</v>
      </c>
      <c r="W17" s="122">
        <v>7643.7355511188516</v>
      </c>
      <c r="X17" s="122">
        <v>7577.1572743126917</v>
      </c>
      <c r="Y17" s="122">
        <v>7504.4533254321204</v>
      </c>
      <c r="Z17" s="122">
        <v>7426.27679895249</v>
      </c>
      <c r="AA17" s="122">
        <v>7343.2737569724941</v>
      </c>
      <c r="AB17" s="122">
        <v>7256.0793244671104</v>
      </c>
      <c r="AC17" s="122">
        <v>7165.3142666083504</v>
      </c>
      <c r="AD17" s="122">
        <v>7071.5820460973509</v>
      </c>
      <c r="AE17" s="122">
        <v>6975.4663519625601</v>
      </c>
      <c r="AF17" s="122">
        <v>6877.529085737925</v>
      </c>
      <c r="AG17" s="122">
        <v>6778.3087863390219</v>
      </c>
      <c r="AH17" s="122">
        <v>6678.3194712783998</v>
      </c>
      <c r="AI17" s="122">
        <v>6578.0498690646646</v>
      </c>
      <c r="AJ17" s="122">
        <v>6477.9630156575813</v>
      </c>
      <c r="AK17" s="122">
        <v>6378.4961866423764</v>
      </c>
      <c r="AL17" s="122">
        <v>6280.0611362709042</v>
      </c>
      <c r="AM17" s="122">
        <v>6183.0446146214354</v>
      </c>
      <c r="AN17" s="122">
        <v>6087.8091347805748</v>
      </c>
    </row>
    <row r="18" spans="1:40" x14ac:dyDescent="0.2">
      <c r="A18" s="123" t="s">
        <v>81</v>
      </c>
      <c r="B18" s="122">
        <v>7272.1184742926107</v>
      </c>
      <c r="C18" s="122">
        <v>7534.3214010356896</v>
      </c>
      <c r="D18" s="122">
        <v>7768.2119036831864</v>
      </c>
      <c r="E18" s="122">
        <v>7974.5032124361551</v>
      </c>
      <c r="F18" s="122">
        <v>8154.6211727874042</v>
      </c>
      <c r="G18" s="122">
        <v>8310.6204989868038</v>
      </c>
      <c r="H18" s="122">
        <v>8445.095132730552</v>
      </c>
      <c r="I18" s="122">
        <v>8561.0888433666805</v>
      </c>
      <c r="J18" s="122">
        <v>8662.0114185586463</v>
      </c>
      <c r="K18" s="122">
        <v>8750.8290790838964</v>
      </c>
      <c r="L18" s="122">
        <v>8827.743359390106</v>
      </c>
      <c r="M18" s="122">
        <v>8892.2788875323786</v>
      </c>
      <c r="N18" s="122">
        <v>8944.0076112744464</v>
      </c>
      <c r="O18" s="122">
        <v>8982.5529252072301</v>
      </c>
      <c r="P18" s="122">
        <v>9007.7138069564116</v>
      </c>
      <c r="Q18" s="122">
        <v>9019.8304606677721</v>
      </c>
      <c r="R18" s="122">
        <v>9019.423948098336</v>
      </c>
      <c r="S18" s="122">
        <v>9007.0689918503322</v>
      </c>
      <c r="T18" s="122">
        <v>8983.3861953234627</v>
      </c>
      <c r="U18" s="122">
        <v>8949.0343429094592</v>
      </c>
      <c r="V18" s="122">
        <v>8904.7028800275075</v>
      </c>
      <c r="W18" s="122">
        <v>8851.1046607032804</v>
      </c>
      <c r="X18" s="122">
        <v>8788.9690380615593</v>
      </c>
      <c r="Y18" s="122">
        <v>8719.0353606521694</v>
      </c>
      <c r="Z18" s="122">
        <v>8642.0469252477906</v>
      </c>
      <c r="AA18" s="122">
        <v>8558.7454248838785</v>
      </c>
      <c r="AB18" s="122">
        <v>8469.8659196659792</v>
      </c>
      <c r="AC18" s="122">
        <v>8376.1323474094806</v>
      </c>
      <c r="AD18" s="122">
        <v>8278.2535816330619</v>
      </c>
      <c r="AE18" s="122">
        <v>8176.9200358859198</v>
      </c>
      <c r="AF18" s="122">
        <v>8072.8008059079921</v>
      </c>
      <c r="AG18" s="122">
        <v>7966.5413347244657</v>
      </c>
      <c r="AH18" s="122">
        <v>7858.7615804602092</v>
      </c>
      <c r="AI18" s="122">
        <v>7750.0546623982464</v>
      </c>
      <c r="AJ18" s="122">
        <v>7640.9859575577148</v>
      </c>
      <c r="AK18" s="122">
        <v>7532.0926177681195</v>
      </c>
      <c r="AL18" s="122">
        <v>7423.8834758001012</v>
      </c>
      <c r="AM18" s="122">
        <v>7316.8393085006464</v>
      </c>
      <c r="AN18" s="122">
        <v>7211.413424989737</v>
      </c>
    </row>
    <row r="19" spans="1:40" x14ac:dyDescent="0.2">
      <c r="A19" s="123" t="s">
        <v>82</v>
      </c>
      <c r="B19" s="122">
        <v>9019.4531857153415</v>
      </c>
      <c r="C19" s="122">
        <v>9253.8255514041102</v>
      </c>
      <c r="D19" s="122">
        <v>9456.8147949104314</v>
      </c>
      <c r="E19" s="122">
        <v>9629.8168982428433</v>
      </c>
      <c r="F19" s="122">
        <v>9774.7990784669291</v>
      </c>
      <c r="G19" s="122">
        <v>9894.2164452323232</v>
      </c>
      <c r="H19" s="122">
        <v>9990.927923830388</v>
      </c>
      <c r="I19" s="122">
        <v>10068.11553573817</v>
      </c>
      <c r="J19" s="122">
        <v>10129.210457319379</v>
      </c>
      <c r="K19" s="122">
        <v>10177.134227618049</v>
      </c>
      <c r="L19" s="122">
        <v>10212.14236987303</v>
      </c>
      <c r="M19" s="122">
        <v>10233.84857422811</v>
      </c>
      <c r="N19" s="122">
        <v>10241.91570830548</v>
      </c>
      <c r="O19" s="122">
        <v>10236.059691831881</v>
      </c>
      <c r="P19" s="122">
        <v>10216.199578139969</v>
      </c>
      <c r="Q19" s="122">
        <v>10182.896393575469</v>
      </c>
      <c r="R19" s="122">
        <v>10136.904575377979</v>
      </c>
      <c r="S19" s="122">
        <v>10079.016283782221</v>
      </c>
      <c r="T19" s="122">
        <v>10010.05283129588</v>
      </c>
      <c r="U19" s="122">
        <v>9930.8564739313661</v>
      </c>
      <c r="V19" s="122">
        <v>9842.2826427618493</v>
      </c>
      <c r="W19" s="122">
        <v>9745.1926799489502</v>
      </c>
      <c r="X19" s="122">
        <v>9640.447129501259</v>
      </c>
      <c r="Y19" s="122">
        <v>9528.899619727048</v>
      </c>
      <c r="Z19" s="122">
        <v>9411.391361852222</v>
      </c>
      <c r="AA19" s="122">
        <v>9288.7462777537967</v>
      </c>
      <c r="AB19" s="122">
        <v>9161.7667593333044</v>
      </c>
      <c r="AC19" s="122">
        <v>9031.2300528055839</v>
      </c>
      <c r="AD19" s="122">
        <v>8897.8852531527373</v>
      </c>
      <c r="AE19" s="122">
        <v>8762.4508872029583</v>
      </c>
      <c r="AF19" s="122">
        <v>8625.6130582222631</v>
      </c>
      <c r="AG19" s="122">
        <v>8488.0241205136517</v>
      </c>
      <c r="AH19" s="122">
        <v>8350.3018492428801</v>
      </c>
      <c r="AI19" s="122">
        <v>8213.0290684770098</v>
      </c>
      <c r="AJ19" s="122">
        <v>8076.7536991445131</v>
      </c>
      <c r="AK19" s="122">
        <v>7941.9891882120464</v>
      </c>
      <c r="AL19" s="122">
        <v>7809.2152807247539</v>
      </c>
      <c r="AM19" s="122">
        <v>7678.8790973764089</v>
      </c>
      <c r="AN19" s="122">
        <v>7551.3964818706863</v>
      </c>
    </row>
    <row r="20" spans="1:40" x14ac:dyDescent="0.2">
      <c r="A20" s="123" t="s">
        <v>83</v>
      </c>
      <c r="B20" s="122">
        <v>8119.836142530613</v>
      </c>
      <c r="C20" s="122">
        <v>8094.1000231452126</v>
      </c>
      <c r="D20" s="122">
        <v>8067.1591239499139</v>
      </c>
      <c r="E20" s="122">
        <v>8037.7735320370703</v>
      </c>
      <c r="F20" s="122">
        <v>8004.7232949267118</v>
      </c>
      <c r="G20" s="122">
        <v>7966.8131063407827</v>
      </c>
      <c r="H20" s="122">
        <v>7922.8787908377144</v>
      </c>
      <c r="I20" s="122">
        <v>7871.7954925723998</v>
      </c>
      <c r="J20" s="122">
        <v>7812.4874425546368</v>
      </c>
      <c r="K20" s="122">
        <v>7744.1546161005963</v>
      </c>
      <c r="L20" s="122">
        <v>7666.9141905073629</v>
      </c>
      <c r="M20" s="122">
        <v>7581.1297394676376</v>
      </c>
      <c r="N20" s="122">
        <v>7487.1895721992651</v>
      </c>
      <c r="O20" s="122">
        <v>7385.5040170272196</v>
      </c>
      <c r="P20" s="122">
        <v>7276.5735771967047</v>
      </c>
      <c r="Q20" s="122">
        <v>7161.1898954440676</v>
      </c>
      <c r="R20" s="122">
        <v>7040.2027906791182</v>
      </c>
      <c r="S20" s="122">
        <v>6914.4413400377252</v>
      </c>
      <c r="T20" s="122">
        <v>6784.7087267415855</v>
      </c>
      <c r="U20" s="122">
        <v>6651.7778656773062</v>
      </c>
      <c r="V20" s="122">
        <v>6516.3877886724422</v>
      </c>
      <c r="W20" s="122">
        <v>6379.2407611700437</v>
      </c>
      <c r="X20" s="122">
        <v>6241.000093550675</v>
      </c>
      <c r="Y20" s="122">
        <v>6102.2886036704404</v>
      </c>
      <c r="Z20" s="122">
        <v>5963.6876821894684</v>
      </c>
      <c r="AA20" s="122">
        <v>5825.7369088381374</v>
      </c>
      <c r="AB20" s="122">
        <v>5688.934165774629</v>
      </c>
      <c r="AC20" s="122">
        <v>5553.736193470857</v>
      </c>
      <c r="AD20" s="122">
        <v>5420.5595349702808</v>
      </c>
      <c r="AE20" s="122">
        <v>5289.7818157248821</v>
      </c>
      <c r="AF20" s="122">
        <v>5161.7433083847654</v>
      </c>
      <c r="AG20" s="122">
        <v>5036.7487347272163</v>
      </c>
      <c r="AH20" s="122">
        <v>4915.0692602324734</v>
      </c>
      <c r="AI20" s="122">
        <v>4796.9446405091812</v>
      </c>
      <c r="AJ20" s="122">
        <v>4682.5854827264602</v>
      </c>
      <c r="AK20" s="122">
        <v>4572.1755893194368</v>
      </c>
      <c r="AL20" s="122">
        <v>4465.8743554133489</v>
      </c>
      <c r="AM20" s="122">
        <v>4363.8191955845914</v>
      </c>
      <c r="AN20" s="122">
        <v>4266.1279796879544</v>
      </c>
    </row>
    <row r="21" spans="1:40" x14ac:dyDescent="0.2">
      <c r="A21" s="123" t="s">
        <v>84</v>
      </c>
      <c r="B21" s="122">
        <v>5144.2443998897388</v>
      </c>
      <c r="C21" s="122">
        <v>5141.6343969177733</v>
      </c>
      <c r="D21" s="122">
        <v>5139.3984190593901</v>
      </c>
      <c r="E21" s="122">
        <v>5136.3745359993773</v>
      </c>
      <c r="F21" s="122">
        <v>5131.4038203351283</v>
      </c>
      <c r="G21" s="122">
        <v>5123.333433496121</v>
      </c>
      <c r="H21" s="122">
        <v>5111.0223066274848</v>
      </c>
      <c r="I21" s="122">
        <v>5093.349364717802</v>
      </c>
      <c r="J21" s="122">
        <v>5069.2241986603858</v>
      </c>
      <c r="K21" s="122">
        <v>5037.8222745751154</v>
      </c>
      <c r="L21" s="122">
        <v>4999.2528131548652</v>
      </c>
      <c r="M21" s="122">
        <v>4953.874900262017</v>
      </c>
      <c r="N21" s="122">
        <v>4902.0689170080695</v>
      </c>
      <c r="O21" s="122">
        <v>4844.2326849565052</v>
      </c>
      <c r="P21" s="122">
        <v>4780.8079997202349</v>
      </c>
      <c r="Q21" s="122">
        <v>4712.3644367937377</v>
      </c>
      <c r="R21" s="122">
        <v>4639.4979652803904</v>
      </c>
      <c r="S21" s="122">
        <v>4562.7949263736646</v>
      </c>
      <c r="T21" s="122">
        <v>4482.8276809400322</v>
      </c>
      <c r="U21" s="122">
        <v>4400.1508412991116</v>
      </c>
      <c r="V21" s="122">
        <v>4315.298083126223</v>
      </c>
      <c r="W21" s="122">
        <v>4228.7795238627132</v>
      </c>
      <c r="X21" s="122">
        <v>4141.0796459653193</v>
      </c>
      <c r="Y21" s="122">
        <v>4052.6557367501928</v>
      </c>
      <c r="Z21" s="122">
        <v>3963.9368114453559</v>
      </c>
      <c r="AA21" s="122">
        <v>3875.3229822810249</v>
      </c>
      <c r="AB21" s="122">
        <v>3787.1852339219649</v>
      </c>
      <c r="AC21" s="122">
        <v>3699.8655641616601</v>
      </c>
      <c r="AD21" s="122">
        <v>3613.677448428954</v>
      </c>
      <c r="AE21" s="122">
        <v>3528.90658717003</v>
      </c>
      <c r="AF21" s="122">
        <v>3445.8118964283071</v>
      </c>
      <c r="AG21" s="122">
        <v>3364.62670382346</v>
      </c>
      <c r="AH21" s="122">
        <v>3285.5601145025012</v>
      </c>
      <c r="AI21" s="122">
        <v>3208.7985143878609</v>
      </c>
      <c r="AJ21" s="122">
        <v>3134.5071810747609</v>
      </c>
      <c r="AK21" s="122">
        <v>3062.8319759419592</v>
      </c>
      <c r="AL21" s="122">
        <v>2993.9010943563248</v>
      </c>
      <c r="AM21" s="122">
        <v>2927.826854208296</v>
      </c>
      <c r="AN21" s="122">
        <v>2864.7075063570942</v>
      </c>
    </row>
    <row r="22" spans="1:40" x14ac:dyDescent="0.2">
      <c r="A22" s="123" t="s">
        <v>85</v>
      </c>
      <c r="B22" s="122">
        <v>3355.3629553285882</v>
      </c>
      <c r="C22" s="122">
        <v>3350.2731095037511</v>
      </c>
      <c r="D22" s="122">
        <v>3340.4002069872822</v>
      </c>
      <c r="E22" s="122">
        <v>3326.095362525959</v>
      </c>
      <c r="F22" s="122">
        <v>3307.722870767514</v>
      </c>
      <c r="G22" s="122">
        <v>3285.6559122863409</v>
      </c>
      <c r="H22" s="122">
        <v>3260.272565549938</v>
      </c>
      <c r="I22" s="122">
        <v>3231.9521614277669</v>
      </c>
      <c r="J22" s="122">
        <v>3201.07200647133</v>
      </c>
      <c r="K22" s="122">
        <v>3167.930815626376</v>
      </c>
      <c r="L22" s="122">
        <v>3132.5317250417238</v>
      </c>
      <c r="M22" s="122">
        <v>3094.8138467056751</v>
      </c>
      <c r="N22" s="122">
        <v>3054.7281516323342</v>
      </c>
      <c r="O22" s="122">
        <v>3012.238153598068</v>
      </c>
      <c r="P22" s="122">
        <v>2967.370930816674</v>
      </c>
      <c r="Q22" s="122">
        <v>2920.362448878217</v>
      </c>
      <c r="R22" s="122">
        <v>2871.494717536305</v>
      </c>
      <c r="S22" s="122">
        <v>2821.0423139459481</v>
      </c>
      <c r="T22" s="122">
        <v>2769.2709849586081</v>
      </c>
      <c r="U22" s="122">
        <v>2716.4364580955848</v>
      </c>
      <c r="V22" s="122">
        <v>2662.783455668849</v>
      </c>
      <c r="W22" s="122">
        <v>2608.5449042482678</v>
      </c>
      <c r="X22" s="122">
        <v>2553.9413297969681</v>
      </c>
      <c r="Y22" s="122">
        <v>2499.1804273004091</v>
      </c>
      <c r="Z22" s="122">
        <v>2444.4567925811398</v>
      </c>
      <c r="AA22" s="122">
        <v>2389.9518031961629</v>
      </c>
      <c r="AB22" s="122">
        <v>2335.8336348295702</v>
      </c>
      <c r="AC22" s="122">
        <v>2282.2573993896199</v>
      </c>
      <c r="AD22" s="122">
        <v>2229.3653910640101</v>
      </c>
      <c r="AE22" s="122">
        <v>2177.2874268478349</v>
      </c>
      <c r="AF22" s="122">
        <v>2126.1412685029782</v>
      </c>
      <c r="AG22" s="122">
        <v>2076.0331135040092</v>
      </c>
      <c r="AH22" s="122">
        <v>2027.05814324479</v>
      </c>
      <c r="AI22" s="122">
        <v>1979.301117593498</v>
      </c>
      <c r="AJ22" s="122">
        <v>1932.8370057670061</v>
      </c>
      <c r="AK22" s="122">
        <v>1887.731644425204</v>
      </c>
      <c r="AL22" s="122">
        <v>1844.042414842166</v>
      </c>
      <c r="AM22" s="122">
        <v>1801.8189319765929</v>
      </c>
      <c r="AN22" s="122">
        <v>1761.10373922439</v>
      </c>
    </row>
    <row r="23" spans="1:40" x14ac:dyDescent="0.2">
      <c r="A23" s="123" t="s">
        <v>86</v>
      </c>
      <c r="B23" s="122">
        <v>3069.0985404160142</v>
      </c>
      <c r="C23" s="122">
        <v>3111.258511558</v>
      </c>
      <c r="D23" s="122">
        <v>3145.034328968205</v>
      </c>
      <c r="E23" s="122">
        <v>3170.9554783257272</v>
      </c>
      <c r="F23" s="122">
        <v>3189.6409195122919</v>
      </c>
      <c r="G23" s="122">
        <v>3201.7821113820301</v>
      </c>
      <c r="H23" s="122">
        <v>3208.1267421951211</v>
      </c>
      <c r="I23" s="122">
        <v>3209.4636339939711</v>
      </c>
      <c r="J23" s="122">
        <v>3206.609190438794</v>
      </c>
      <c r="K23" s="122">
        <v>3200.2404322050229</v>
      </c>
      <c r="L23" s="122">
        <v>3190.4231761100041</v>
      </c>
      <c r="M23" s="122">
        <v>3177.079822154843</v>
      </c>
      <c r="N23" s="122">
        <v>3160.1460526575588</v>
      </c>
      <c r="O23" s="122">
        <v>3139.571800382249</v>
      </c>
      <c r="P23" s="122">
        <v>3115.37050811873</v>
      </c>
      <c r="Q23" s="122">
        <v>3087.7615752891029</v>
      </c>
      <c r="R23" s="122">
        <v>3057.0185419809791</v>
      </c>
      <c r="S23" s="122">
        <v>3023.4176109661262</v>
      </c>
      <c r="T23" s="122">
        <v>2987.2353913821289</v>
      </c>
      <c r="U23" s="122">
        <v>2948.7468248290629</v>
      </c>
      <c r="V23" s="122">
        <v>2908.2233039309672</v>
      </c>
      <c r="W23" s="122">
        <v>2865.9309895575898</v>
      </c>
      <c r="X23" s="122">
        <v>2822.1293293644449</v>
      </c>
      <c r="Y23" s="122">
        <v>2777.069777123103</v>
      </c>
      <c r="Z23" s="122">
        <v>2730.994709501625</v>
      </c>
      <c r="AA23" s="122">
        <v>2684.1365345279378</v>
      </c>
      <c r="AB23" s="122">
        <v>2636.7169839283679</v>
      </c>
      <c r="AC23" s="122">
        <v>2588.9465798715842</v>
      </c>
      <c r="AD23" s="122">
        <v>2541.0242653506612</v>
      </c>
      <c r="AE23" s="122">
        <v>2493.137186481797</v>
      </c>
      <c r="AF23" s="122">
        <v>2445.4606143630581</v>
      </c>
      <c r="AG23" s="122">
        <v>2398.1579937916508</v>
      </c>
      <c r="AH23" s="122">
        <v>2351.381106053856</v>
      </c>
      <c r="AI23" s="122">
        <v>2305.2703331465891</v>
      </c>
      <c r="AJ23" s="122">
        <v>2259.9550111322342</v>
      </c>
      <c r="AK23" s="122">
        <v>2215.5538608388601</v>
      </c>
      <c r="AL23" s="122">
        <v>2172.175484766402</v>
      </c>
      <c r="AM23" s="122">
        <v>2129.9189198193048</v>
      </c>
      <c r="AN23" s="122">
        <v>2088.8742363320262</v>
      </c>
    </row>
    <row r="24" spans="1:40" x14ac:dyDescent="0.2">
      <c r="A24" s="123" t="s">
        <v>87</v>
      </c>
      <c r="B24" s="122">
        <v>1802.133487467564</v>
      </c>
      <c r="C24" s="122">
        <v>1824.611838085385</v>
      </c>
      <c r="D24" s="122">
        <v>1842.3336672023829</v>
      </c>
      <c r="E24" s="122">
        <v>1855.6068924465851</v>
      </c>
      <c r="F24" s="122">
        <v>1864.786741274263</v>
      </c>
      <c r="G24" s="122">
        <v>1870.2664994241891</v>
      </c>
      <c r="H24" s="122">
        <v>1872.4686811192</v>
      </c>
      <c r="I24" s="122">
        <v>1871.8368588165961</v>
      </c>
      <c r="J24" s="122">
        <v>1868.828338873672</v>
      </c>
      <c r="K24" s="122">
        <v>1863.8212580130289</v>
      </c>
      <c r="L24" s="122">
        <v>1856.8521076348411</v>
      </c>
      <c r="M24" s="122">
        <v>1847.8774889110371</v>
      </c>
      <c r="N24" s="122">
        <v>1836.861628453833</v>
      </c>
      <c r="O24" s="122">
        <v>1823.7769292605581</v>
      </c>
      <c r="P24" s="122">
        <v>1808.6327779136329</v>
      </c>
      <c r="Q24" s="122">
        <v>1791.558745425285</v>
      </c>
      <c r="R24" s="122">
        <v>1772.715540378533</v>
      </c>
      <c r="S24" s="122">
        <v>1752.2648916643871</v>
      </c>
      <c r="T24" s="122">
        <v>1730.368268775663</v>
      </c>
      <c r="U24" s="122">
        <v>1707.185711127019</v>
      </c>
      <c r="V24" s="122">
        <v>1682.8747714129629</v>
      </c>
      <c r="W24" s="122">
        <v>1657.589575830579</v>
      </c>
      <c r="X24" s="122">
        <v>1631.4800020015571</v>
      </c>
      <c r="Y24" s="122">
        <v>1604.690973646319</v>
      </c>
      <c r="Z24" s="122">
        <v>1577.361869502329</v>
      </c>
      <c r="AA24" s="122">
        <v>1549.626042643355</v>
      </c>
      <c r="AB24" s="122">
        <v>1521.6104452454499</v>
      </c>
      <c r="AC24" s="122">
        <v>1493.4353529525031</v>
      </c>
      <c r="AD24" s="122">
        <v>1465.2141823100169</v>
      </c>
      <c r="AE24" s="122">
        <v>1437.053394246677</v>
      </c>
      <c r="AF24" s="122">
        <v>1409.0524762745699</v>
      </c>
      <c r="AG24" s="122">
        <v>1381.3039959333039</v>
      </c>
      <c r="AH24" s="122">
        <v>1353.8937180029409</v>
      </c>
      <c r="AI24" s="122">
        <v>1326.900778137486</v>
      </c>
      <c r="AJ24" s="122">
        <v>1300.397905806271</v>
      </c>
      <c r="AK24" s="122">
        <v>1274.4516897576109</v>
      </c>
      <c r="AL24" s="122">
        <v>1249.122879620707</v>
      </c>
      <c r="AM24" s="122">
        <v>1224.466717722607</v>
      </c>
      <c r="AN24" s="122">
        <v>1200.5332957027661</v>
      </c>
    </row>
    <row r="25" spans="1:40" x14ac:dyDescent="0.2">
      <c r="A25" s="123" t="s">
        <v>88</v>
      </c>
      <c r="B25" s="122">
        <v>4094.0668183633061</v>
      </c>
      <c r="C25" s="122">
        <v>4133.9533518058142</v>
      </c>
      <c r="D25" s="122">
        <v>4178.2103878123899</v>
      </c>
      <c r="E25" s="122">
        <v>4224.8860151190765</v>
      </c>
      <c r="F25" s="122">
        <v>4271.9436873075574</v>
      </c>
      <c r="G25" s="122">
        <v>4317.2554295474001</v>
      </c>
      <c r="H25" s="122">
        <v>4358.605309522045</v>
      </c>
      <c r="I25" s="122">
        <v>4393.7039280837162</v>
      </c>
      <c r="J25" s="122">
        <v>4420.2145576874173</v>
      </c>
      <c r="K25" s="122">
        <v>4436.2610151907493</v>
      </c>
      <c r="L25" s="122">
        <v>4441.8902721047343</v>
      </c>
      <c r="M25" s="122">
        <v>4437.6941056692976</v>
      </c>
      <c r="N25" s="122">
        <v>4424.3299424319966</v>
      </c>
      <c r="O25" s="122">
        <v>4402.5070980329629</v>
      </c>
      <c r="P25" s="122">
        <v>4372.9452205697498</v>
      </c>
      <c r="Q25" s="122">
        <v>4336.278829150916</v>
      </c>
      <c r="R25" s="122">
        <v>4293.134802931133</v>
      </c>
      <c r="S25" s="122">
        <v>4244.1525298448714</v>
      </c>
      <c r="T25" s="122">
        <v>4189.9760993148884</v>
      </c>
      <c r="U25" s="122">
        <v>4131.24720192934</v>
      </c>
      <c r="V25" s="122">
        <v>4068.5987902917359</v>
      </c>
      <c r="W25" s="122">
        <v>4002.6495328636151</v>
      </c>
      <c r="X25" s="122">
        <v>3933.9990724085842</v>
      </c>
      <c r="Y25" s="122">
        <v>3863.2240828891358</v>
      </c>
      <c r="Z25" s="122">
        <v>3790.8751035264459</v>
      </c>
      <c r="AA25" s="122">
        <v>3717.47411626029</v>
      </c>
      <c r="AB25" s="122">
        <v>3643.5128230051041</v>
      </c>
      <c r="AC25" s="122">
        <v>3569.45157177583</v>
      </c>
      <c r="AD25" s="122">
        <v>3495.7188757846161</v>
      </c>
      <c r="AE25" s="122">
        <v>3422.711466775057</v>
      </c>
      <c r="AF25" s="122">
        <v>3350.7948229261042</v>
      </c>
      <c r="AG25" s="122">
        <v>3280.3041123724161</v>
      </c>
      <c r="AH25" s="122">
        <v>3211.5454954972188</v>
      </c>
      <c r="AI25" s="122">
        <v>3144.7977324134349</v>
      </c>
      <c r="AJ25" s="122">
        <v>3080.3140462260099</v>
      </c>
      <c r="AK25" s="122">
        <v>3018.324197556562</v>
      </c>
      <c r="AL25" s="122">
        <v>2959.0367312229291</v>
      </c>
      <c r="AM25" s="122">
        <v>2902.6413617483072</v>
      </c>
      <c r="AN25" s="122">
        <v>2849.31147039809</v>
      </c>
    </row>
    <row r="26" spans="1:40" x14ac:dyDescent="0.2">
      <c r="A26" s="123" t="s">
        <v>89</v>
      </c>
      <c r="B26" s="122">
        <v>1947.952829944534</v>
      </c>
      <c r="C26" s="122">
        <v>1997.779873160551</v>
      </c>
      <c r="D26" s="122">
        <v>2040.8689351082401</v>
      </c>
      <c r="E26" s="122">
        <v>2077.5244808205048</v>
      </c>
      <c r="F26" s="122">
        <v>2108.1718356308161</v>
      </c>
      <c r="G26" s="122">
        <v>2133.3394030510681</v>
      </c>
      <c r="H26" s="122">
        <v>2153.6407621747771</v>
      </c>
      <c r="I26" s="122">
        <v>2169.7575029722552</v>
      </c>
      <c r="J26" s="122">
        <v>2182.4235157761482</v>
      </c>
      <c r="K26" s="122">
        <v>2192.2631495179721</v>
      </c>
      <c r="L26" s="122">
        <v>2199.3314100417979</v>
      </c>
      <c r="M26" s="122">
        <v>2203.546334790014</v>
      </c>
      <c r="N26" s="122">
        <v>2204.836501676044</v>
      </c>
      <c r="O26" s="122">
        <v>2203.1418569978978</v>
      </c>
      <c r="P26" s="122">
        <v>2198.4460931187309</v>
      </c>
      <c r="Q26" s="122">
        <v>2190.871289303213</v>
      </c>
      <c r="R26" s="122">
        <v>2180.5810362562429</v>
      </c>
      <c r="S26" s="122">
        <v>2167.7468368176251</v>
      </c>
      <c r="T26" s="122">
        <v>2152.5462667925049</v>
      </c>
      <c r="U26" s="122">
        <v>2135.1612157363302</v>
      </c>
      <c r="V26" s="122">
        <v>2115.7762242409899</v>
      </c>
      <c r="W26" s="122">
        <v>2094.5769312107491</v>
      </c>
      <c r="X26" s="122">
        <v>2071.7486416364718</v>
      </c>
      <c r="Y26" s="122">
        <v>2047.4750225295629</v>
      </c>
      <c r="Z26" s="122">
        <v>2021.9369320069779</v>
      </c>
      <c r="AA26" s="122">
        <v>1995.311384061044</v>
      </c>
      <c r="AB26" s="122">
        <v>1967.770649328161</v>
      </c>
      <c r="AC26" s="122">
        <v>1939.481490205507</v>
      </c>
      <c r="AD26" s="122">
        <v>1910.6045269639831</v>
      </c>
      <c r="AE26" s="122">
        <v>1881.293730070586</v>
      </c>
      <c r="AF26" s="122">
        <v>1851.6960327599161</v>
      </c>
      <c r="AG26" s="122">
        <v>1821.951056973714</v>
      </c>
      <c r="AH26" s="122">
        <v>1792.190945105486</v>
      </c>
      <c r="AI26" s="122">
        <v>1762.5402895280861</v>
      </c>
      <c r="AJ26" s="122">
        <v>1733.1161516266541</v>
      </c>
      <c r="AK26" s="122">
        <v>1704.0281619874561</v>
      </c>
      <c r="AL26" s="122">
        <v>1675.3786934839591</v>
      </c>
      <c r="AM26" s="122">
        <v>1647.263099233908</v>
      </c>
      <c r="AN26" s="122">
        <v>1619.770007754883</v>
      </c>
    </row>
    <row r="27" spans="1:40" x14ac:dyDescent="0.2">
      <c r="A27" s="123" t="s">
        <v>90</v>
      </c>
      <c r="B27" s="122">
        <v>2335.083832377868</v>
      </c>
      <c r="C27" s="122">
        <v>2379.4176052840062</v>
      </c>
      <c r="D27" s="122">
        <v>2416.5474711923839</v>
      </c>
      <c r="E27" s="122">
        <v>2446.875652126022</v>
      </c>
      <c r="F27" s="122">
        <v>2470.9036893329512</v>
      </c>
      <c r="G27" s="122">
        <v>2489.2156776005659</v>
      </c>
      <c r="H27" s="122">
        <v>2502.4618786138221</v>
      </c>
      <c r="I27" s="122">
        <v>2511.3433172410751</v>
      </c>
      <c r="J27" s="122">
        <v>2516.5978499561788</v>
      </c>
      <c r="K27" s="122">
        <v>2518.8444655299809</v>
      </c>
      <c r="L27" s="122">
        <v>2518.1425631770749</v>
      </c>
      <c r="M27" s="122">
        <v>2514.418614003921</v>
      </c>
      <c r="N27" s="122">
        <v>2507.6102344572751</v>
      </c>
      <c r="O27" s="122">
        <v>2497.667024977738</v>
      </c>
      <c r="P27" s="122">
        <v>2484.5886597545982</v>
      </c>
      <c r="Q27" s="122">
        <v>2468.535581817046</v>
      </c>
      <c r="R27" s="122">
        <v>2449.7130905612939</v>
      </c>
      <c r="S27" s="122">
        <v>2428.3316301064069</v>
      </c>
      <c r="T27" s="122">
        <v>2404.604840945864</v>
      </c>
      <c r="U27" s="122">
        <v>2378.7477358639262</v>
      </c>
      <c r="V27" s="122">
        <v>2350.9750128807782</v>
      </c>
      <c r="W27" s="122">
        <v>2321.4995146779888</v>
      </c>
      <c r="X27" s="122">
        <v>2290.530840833871</v>
      </c>
      <c r="Y27" s="122">
        <v>2258.274116309482</v>
      </c>
      <c r="Z27" s="122">
        <v>2224.9289170026341</v>
      </c>
      <c r="AA27" s="122">
        <v>2190.6883508507358</v>
      </c>
      <c r="AB27" s="122">
        <v>2155.7382909268431</v>
      </c>
      <c r="AC27" s="122">
        <v>2120.2567552407231</v>
      </c>
      <c r="AD27" s="122">
        <v>2084.4134265253092</v>
      </c>
      <c r="AE27" s="122">
        <v>2048.369304149533</v>
      </c>
      <c r="AF27" s="122">
        <v>2012.276479436624</v>
      </c>
      <c r="AG27" s="122">
        <v>1976.2780250650351</v>
      </c>
      <c r="AH27" s="122">
        <v>1940.5079888654659</v>
      </c>
      <c r="AI27" s="122">
        <v>1905.091482179449</v>
      </c>
      <c r="AJ27" s="122">
        <v>1870.144852988514</v>
      </c>
      <c r="AK27" s="122">
        <v>1835.7759342334571</v>
      </c>
      <c r="AL27" s="122">
        <v>1802.084358096929</v>
      </c>
      <c r="AM27" s="122">
        <v>1769.1619274962511</v>
      </c>
      <c r="AN27" s="122">
        <v>1737.093036605208</v>
      </c>
    </row>
    <row r="28" spans="1:40" x14ac:dyDescent="0.2">
      <c r="A28" s="123" t="s">
        <v>91</v>
      </c>
      <c r="B28" s="122">
        <v>6224.4128368227912</v>
      </c>
      <c r="C28" s="122">
        <v>6255.9997120955813</v>
      </c>
      <c r="D28" s="122">
        <v>6291.235376945011</v>
      </c>
      <c r="E28" s="122">
        <v>6327.8240107466572</v>
      </c>
      <c r="F28" s="122">
        <v>6363.4180445108777</v>
      </c>
      <c r="G28" s="122">
        <v>6395.6175244371088</v>
      </c>
      <c r="H28" s="122">
        <v>6421.9783764188196</v>
      </c>
      <c r="I28" s="122">
        <v>6440.0298602790663</v>
      </c>
      <c r="J28" s="122">
        <v>6447.3013667726664</v>
      </c>
      <c r="K28" s="122">
        <v>6441.8605658519919</v>
      </c>
      <c r="L28" s="122">
        <v>6423.8522632317636</v>
      </c>
      <c r="M28" s="122">
        <v>6393.9923110905038</v>
      </c>
      <c r="N28" s="122">
        <v>6353.0530585471924</v>
      </c>
      <c r="O28" s="122">
        <v>6301.8509768254862</v>
      </c>
      <c r="P28" s="122">
        <v>6241.2304123511221</v>
      </c>
      <c r="Q28" s="122">
        <v>6172.0397185287311</v>
      </c>
      <c r="R28" s="122">
        <v>6095.1343976227072</v>
      </c>
      <c r="S28" s="122">
        <v>6011.3720419008278</v>
      </c>
      <c r="T28" s="122">
        <v>5921.603763856463</v>
      </c>
      <c r="U28" s="122">
        <v>5826.6665528390631</v>
      </c>
      <c r="V28" s="122">
        <v>5727.3765886911333</v>
      </c>
      <c r="W28" s="122">
        <v>5624.5235209172106</v>
      </c>
      <c r="X28" s="122">
        <v>5518.8657025127477</v>
      </c>
      <c r="Y28" s="122">
        <v>5411.1263510081762</v>
      </c>
      <c r="Z28" s="122">
        <v>5301.9905955791992</v>
      </c>
      <c r="AA28" s="122">
        <v>5192.103358194272</v>
      </c>
      <c r="AB28" s="122">
        <v>5082.0680085917929</v>
      </c>
      <c r="AC28" s="122">
        <v>4972.4457272284408</v>
      </c>
      <c r="AD28" s="122">
        <v>4863.755506992411</v>
      </c>
      <c r="AE28" s="122">
        <v>4756.4747231855672</v>
      </c>
      <c r="AF28" s="122">
        <v>4651.0402017818496</v>
      </c>
      <c r="AG28" s="122">
        <v>4547.8497179989799</v>
      </c>
      <c r="AH28" s="122">
        <v>4447.263860514935</v>
      </c>
      <c r="AI28" s="122">
        <v>4349.6082009704796</v>
      </c>
      <c r="AJ28" s="122">
        <v>4255.1757134964964</v>
      </c>
      <c r="AK28" s="122">
        <v>4164.2293946824529</v>
      </c>
      <c r="AL28" s="122">
        <v>4077.005040481748</v>
      </c>
      <c r="AM28" s="122">
        <v>3993.7141428795389</v>
      </c>
      <c r="AN28" s="122">
        <v>3914.546875605909</v>
      </c>
    </row>
    <row r="29" spans="1:40" x14ac:dyDescent="0.2">
      <c r="A29" s="123" t="s">
        <v>92</v>
      </c>
      <c r="B29" s="122">
        <v>24050.846611769</v>
      </c>
      <c r="C29" s="122">
        <v>24687.576935505062</v>
      </c>
      <c r="D29" s="122">
        <v>25400.819908023001</v>
      </c>
      <c r="E29" s="122">
        <v>26172.187822448679</v>
      </c>
      <c r="F29" s="122">
        <v>26980.947580343782</v>
      </c>
      <c r="G29" s="122">
        <v>27803.604224684859</v>
      </c>
      <c r="H29" s="122">
        <v>28613.6710572294</v>
      </c>
      <c r="I29" s="122">
        <v>29381.671453943702</v>
      </c>
      <c r="J29" s="122">
        <v>30075.420252915999</v>
      </c>
      <c r="K29" s="122">
        <v>30666.871948591201</v>
      </c>
      <c r="L29" s="122">
        <v>31152.565186963999</v>
      </c>
      <c r="M29" s="122">
        <v>31536.763607334771</v>
      </c>
      <c r="N29" s="122">
        <v>31825.250061358769</v>
      </c>
      <c r="O29" s="122">
        <v>32025.088350002032</v>
      </c>
      <c r="P29" s="122">
        <v>32143.534495593209</v>
      </c>
      <c r="Q29" s="122">
        <v>32185.250651861679</v>
      </c>
      <c r="R29" s="122">
        <v>32154.65683208016</v>
      </c>
      <c r="S29" s="122">
        <v>32056.664001233341</v>
      </c>
      <c r="T29" s="122">
        <v>31896.569711032542</v>
      </c>
      <c r="U29" s="122">
        <v>31679.957325242991</v>
      </c>
      <c r="V29" s="122">
        <v>31412.600785840728</v>
      </c>
      <c r="W29" s="122">
        <v>31100.376487724381</v>
      </c>
      <c r="X29" s="122">
        <v>30749.183450863071</v>
      </c>
      <c r="Y29" s="122">
        <v>30364.872617223358</v>
      </c>
      <c r="Z29" s="122">
        <v>29953.18576613981</v>
      </c>
      <c r="AA29" s="122">
        <v>29519.704243736691</v>
      </c>
      <c r="AB29" s="122">
        <v>29069.807444679431</v>
      </c>
      <c r="AC29" s="122">
        <v>28608.640770657581</v>
      </c>
      <c r="AD29" s="122">
        <v>28141.092620219239</v>
      </c>
      <c r="AE29" s="122">
        <v>27671.77983783741</v>
      </c>
      <c r="AF29" s="122">
        <v>27205.04096401919</v>
      </c>
      <c r="AG29" s="122">
        <v>26744.936579538691</v>
      </c>
      <c r="AH29" s="122">
        <v>26295.25602156594</v>
      </c>
      <c r="AI29" s="122">
        <v>25859.529763356852</v>
      </c>
      <c r="AJ29" s="122">
        <v>25441.046788042389</v>
      </c>
      <c r="AK29" s="122">
        <v>25042.876346879031</v>
      </c>
      <c r="AL29" s="122">
        <v>24667.893569473799</v>
      </c>
      <c r="AM29" s="122">
        <v>24318.808484882869</v>
      </c>
      <c r="AN29" s="122">
        <v>23998.198115647119</v>
      </c>
    </row>
    <row r="30" spans="1:40" x14ac:dyDescent="0.2">
      <c r="A30" s="123" t="s">
        <v>93</v>
      </c>
      <c r="B30" s="122">
        <v>11527.535972617879</v>
      </c>
      <c r="C30" s="122">
        <v>12261.60186323961</v>
      </c>
      <c r="D30" s="122">
        <v>13003.776962170499</v>
      </c>
      <c r="E30" s="122">
        <v>13751.057985358821</v>
      </c>
      <c r="F30" s="122">
        <v>14500.391806915901</v>
      </c>
      <c r="G30" s="122">
        <v>15248.71002974705</v>
      </c>
      <c r="H30" s="122">
        <v>15992.9633524863</v>
      </c>
      <c r="I30" s="122">
        <v>16730.155136893442</v>
      </c>
      <c r="J30" s="122">
        <v>17457.373618761689</v>
      </c>
      <c r="K30" s="122">
        <v>18172.03662051147</v>
      </c>
      <c r="L30" s="122">
        <v>18872.628726518331</v>
      </c>
      <c r="M30" s="122">
        <v>19558.193875078839</v>
      </c>
      <c r="N30" s="122">
        <v>20228.14771343473</v>
      </c>
      <c r="O30" s="122">
        <v>20882.282470849339</v>
      </c>
      <c r="P30" s="122">
        <v>21520.46511527133</v>
      </c>
      <c r="Q30" s="122">
        <v>22141.657034837641</v>
      </c>
      <c r="R30" s="122">
        <v>22744.699404022729</v>
      </c>
      <c r="S30" s="122">
        <v>23328.603236236369</v>
      </c>
      <c r="T30" s="122">
        <v>23892.55325425453</v>
      </c>
      <c r="U30" s="122">
        <v>24435.909960503432</v>
      </c>
      <c r="V30" s="122">
        <v>24958.21000563756</v>
      </c>
      <c r="W30" s="122">
        <v>25459.1649755324</v>
      </c>
      <c r="X30" s="122">
        <v>25938.658734770521</v>
      </c>
      <c r="Y30" s="122">
        <v>26396.743478900738</v>
      </c>
      <c r="Z30" s="122">
        <v>26833.634658266321</v>
      </c>
      <c r="AA30" s="122">
        <v>27249.70494318382</v>
      </c>
      <c r="AB30" s="122">
        <v>27645.477403933179</v>
      </c>
      <c r="AC30" s="122">
        <v>28021.618079673881</v>
      </c>
      <c r="AD30" s="122">
        <v>28378.92810837142</v>
      </c>
      <c r="AE30" s="122">
        <v>28718.335585446272</v>
      </c>
      <c r="AF30" s="122">
        <v>29040.88731255128</v>
      </c>
      <c r="AG30" s="122">
        <v>29347.74059000835</v>
      </c>
      <c r="AH30" s="122">
        <v>29640.155197405929</v>
      </c>
      <c r="AI30" s="122">
        <v>29919.485697039469</v>
      </c>
      <c r="AJ30" s="122">
        <v>30187.174184644959</v>
      </c>
      <c r="AK30" s="122">
        <v>30444.743601573529</v>
      </c>
      <c r="AL30" s="122">
        <v>30693.79171250121</v>
      </c>
      <c r="AM30" s="122">
        <v>30935.985843262701</v>
      </c>
      <c r="AN30" s="122">
        <v>31173.058464705889</v>
      </c>
    </row>
    <row r="31" spans="1:40" x14ac:dyDescent="0.2">
      <c r="A31" s="123" t="s">
        <v>94</v>
      </c>
      <c r="B31" s="122">
        <v>1857.221055664822</v>
      </c>
      <c r="C31" s="122">
        <v>1919.3063723642999</v>
      </c>
      <c r="D31" s="122">
        <v>1989.263786002467</v>
      </c>
      <c r="E31" s="122">
        <v>2065.5467087322568</v>
      </c>
      <c r="F31" s="122">
        <v>2146.3445707779201</v>
      </c>
      <c r="G31" s="122">
        <v>2229.527615766388</v>
      </c>
      <c r="H31" s="122">
        <v>2312.6103425773008</v>
      </c>
      <c r="I31" s="122">
        <v>2392.7398052392768</v>
      </c>
      <c r="J31" s="122">
        <v>2466.7156917195439</v>
      </c>
      <c r="K31" s="122">
        <v>2531.6643559894128</v>
      </c>
      <c r="L31" s="122">
        <v>2587.0911022616369</v>
      </c>
      <c r="M31" s="122">
        <v>2633.2774978832508</v>
      </c>
      <c r="N31" s="122">
        <v>2670.6783754303979</v>
      </c>
      <c r="O31" s="122">
        <v>2699.8979801748819</v>
      </c>
      <c r="P31" s="122">
        <v>2721.5717126452578</v>
      </c>
      <c r="Q31" s="122">
        <v>2736.057391588216</v>
      </c>
      <c r="R31" s="122">
        <v>2743.6901239651011</v>
      </c>
      <c r="S31" s="122">
        <v>2744.8637890990449</v>
      </c>
      <c r="T31" s="122">
        <v>2740.0208084910291</v>
      </c>
      <c r="U31" s="122">
        <v>2729.64201024368</v>
      </c>
      <c r="V31" s="122">
        <v>2714.2368333977629</v>
      </c>
      <c r="W31" s="122">
        <v>2694.334077976132</v>
      </c>
      <c r="X31" s="122">
        <v>2670.4733656167809</v>
      </c>
      <c r="Y31" s="122">
        <v>2643.1974352002708</v>
      </c>
      <c r="Z31" s="122">
        <v>2613.045359363904</v>
      </c>
      <c r="AA31" s="122">
        <v>2580.546732441484</v>
      </c>
      <c r="AB31" s="122">
        <v>2546.2168490379909</v>
      </c>
      <c r="AC31" s="122">
        <v>2510.5528657002619</v>
      </c>
      <c r="AD31" s="122">
        <v>2474.030916255314</v>
      </c>
      <c r="AE31" s="122">
        <v>2437.1041344020191</v>
      </c>
      <c r="AF31" s="122">
        <v>2400.201524911341</v>
      </c>
      <c r="AG31" s="122">
        <v>2363.7276170262498</v>
      </c>
      <c r="AH31" s="122">
        <v>2328.0628299665418</v>
      </c>
      <c r="AI31" s="122">
        <v>2293.5644803928199</v>
      </c>
      <c r="AJ31" s="122">
        <v>2260.5683648053232</v>
      </c>
      <c r="AK31" s="122">
        <v>2229.3908556985139</v>
      </c>
      <c r="AL31" s="122">
        <v>2200.331458451923</v>
      </c>
      <c r="AM31" s="122">
        <v>2173.6757860642911</v>
      </c>
      <c r="AN31" s="122">
        <v>2149.6989206627459</v>
      </c>
    </row>
    <row r="32" spans="1:40" x14ac:dyDescent="0.2">
      <c r="A32" s="123" t="s">
        <v>95</v>
      </c>
      <c r="B32" s="122">
        <v>7705.3000762763377</v>
      </c>
      <c r="C32" s="122">
        <v>7827.3300217630776</v>
      </c>
      <c r="D32" s="122">
        <v>7927.1759275081949</v>
      </c>
      <c r="E32" s="122">
        <v>8006.1768398242521</v>
      </c>
      <c r="F32" s="122">
        <v>8065.9357650948259</v>
      </c>
      <c r="G32" s="122">
        <v>8108.2719452223819</v>
      </c>
      <c r="H32" s="122">
        <v>8135.1747760141698</v>
      </c>
      <c r="I32" s="122">
        <v>8148.7608401860989</v>
      </c>
      <c r="J32" s="122">
        <v>8151.2352290010358</v>
      </c>
      <c r="K32" s="122">
        <v>8144.4351630729416</v>
      </c>
      <c r="L32" s="122">
        <v>8128.5396444246271</v>
      </c>
      <c r="M32" s="122">
        <v>8103.3365313009363</v>
      </c>
      <c r="N32" s="122">
        <v>8068.6483383754376</v>
      </c>
      <c r="O32" s="122">
        <v>8024.3347965865514</v>
      </c>
      <c r="P32" s="122">
        <v>7970.4173445136012</v>
      </c>
      <c r="Q32" s="122">
        <v>7907.4398546191242</v>
      </c>
      <c r="R32" s="122">
        <v>7836.086870400728</v>
      </c>
      <c r="S32" s="122">
        <v>7757.0536149289683</v>
      </c>
      <c r="T32" s="122">
        <v>7671.0400123469262</v>
      </c>
      <c r="U32" s="122">
        <v>7578.745150902836</v>
      </c>
      <c r="V32" s="122">
        <v>7480.8622192992343</v>
      </c>
      <c r="W32" s="122">
        <v>7378.0739379360657</v>
      </c>
      <c r="X32" s="122">
        <v>7271.0484971560099</v>
      </c>
      <c r="Y32" s="122">
        <v>7160.4360059775809</v>
      </c>
      <c r="Z32" s="122">
        <v>7046.8654470974789</v>
      </c>
      <c r="AA32" s="122">
        <v>6930.942127208039</v>
      </c>
      <c r="AB32" s="122">
        <v>6813.2456059202614</v>
      </c>
      <c r="AC32" s="122">
        <v>6694.328081806153</v>
      </c>
      <c r="AD32" s="122">
        <v>6574.7132102453124</v>
      </c>
      <c r="AE32" s="122">
        <v>6454.8953248387979</v>
      </c>
      <c r="AF32" s="122">
        <v>6335.3390320788021</v>
      </c>
      <c r="AG32" s="122">
        <v>6216.4791476703522</v>
      </c>
      <c r="AH32" s="122">
        <v>6098.7209423154154</v>
      </c>
      <c r="AI32" s="122">
        <v>5982.4406648147569</v>
      </c>
      <c r="AJ32" s="122">
        <v>5867.9863109366588</v>
      </c>
      <c r="AK32" s="122">
        <v>5755.6786075686286</v>
      </c>
      <c r="AL32" s="122">
        <v>5645.8121831298558</v>
      </c>
      <c r="AM32" s="122">
        <v>5538.656897008922</v>
      </c>
      <c r="AN32" s="122">
        <v>5434.4593028354393</v>
      </c>
    </row>
    <row r="33" spans="1:40" x14ac:dyDescent="0.2">
      <c r="A33" s="123" t="s">
        <v>96</v>
      </c>
      <c r="B33" s="122">
        <v>16124.371416167731</v>
      </c>
      <c r="C33" s="122">
        <v>16479.100939512271</v>
      </c>
      <c r="D33" s="122">
        <v>16875.051960994831</v>
      </c>
      <c r="E33" s="122">
        <v>17300.874401424091</v>
      </c>
      <c r="F33" s="122">
        <v>17744.050427148839</v>
      </c>
      <c r="G33" s="122">
        <v>18190.7118062435</v>
      </c>
      <c r="H33" s="122">
        <v>18625.557887925021</v>
      </c>
      <c r="I33" s="122">
        <v>19031.893470473751</v>
      </c>
      <c r="J33" s="122">
        <v>19391.806251030659</v>
      </c>
      <c r="K33" s="122">
        <v>19690.00243636599</v>
      </c>
      <c r="L33" s="122">
        <v>19925.129684291311</v>
      </c>
      <c r="M33" s="122">
        <v>20100.103866130561</v>
      </c>
      <c r="N33" s="122">
        <v>20218.600090910921</v>
      </c>
      <c r="O33" s="122">
        <v>20284.92361073531</v>
      </c>
      <c r="P33" s="122">
        <v>20303.451655574569</v>
      </c>
      <c r="Q33" s="122">
        <v>20277.225251195319</v>
      </c>
      <c r="R33" s="122">
        <v>20209.151776237592</v>
      </c>
      <c r="S33" s="122">
        <v>20102.372446751011</v>
      </c>
      <c r="T33" s="122">
        <v>19960.203908978659</v>
      </c>
      <c r="U33" s="122">
        <v>19786.082725561198</v>
      </c>
      <c r="V33" s="122">
        <v>19583.513658879951</v>
      </c>
      <c r="W33" s="122">
        <v>19356.02245110878</v>
      </c>
      <c r="X33" s="122">
        <v>19107.113603643029</v>
      </c>
      <c r="Y33" s="122">
        <v>18840.23347472458</v>
      </c>
      <c r="Z33" s="122">
        <v>18558.73884766212</v>
      </c>
      <c r="AA33" s="122">
        <v>18265.870976103961</v>
      </c>
      <c r="AB33" s="122">
        <v>17964.734989143501</v>
      </c>
      <c r="AC33" s="122">
        <v>17658.284438328181</v>
      </c>
      <c r="AD33" s="122">
        <v>17349.310690666269</v>
      </c>
      <c r="AE33" s="122">
        <v>17040.436815509169</v>
      </c>
      <c r="AF33" s="122">
        <v>16734.115577200249</v>
      </c>
      <c r="AG33" s="122">
        <v>16432.631127699991</v>
      </c>
      <c r="AH33" s="122">
        <v>16138.10399188388</v>
      </c>
      <c r="AI33" s="122">
        <v>15852.49895063186</v>
      </c>
      <c r="AJ33" s="122">
        <v>15577.635450999631</v>
      </c>
      <c r="AK33" s="122">
        <v>15315.200206622651</v>
      </c>
      <c r="AL33" s="122">
        <v>15066.761693211791</v>
      </c>
      <c r="AM33" s="122">
        <v>14833.786291982509</v>
      </c>
      <c r="AN33" s="122">
        <v>14617.65588685667</v>
      </c>
    </row>
    <row r="34" spans="1:40" x14ac:dyDescent="0.2">
      <c r="A34" s="123" t="s">
        <v>97</v>
      </c>
      <c r="B34" s="122">
        <v>21502.759178911721</v>
      </c>
      <c r="C34" s="122">
        <v>21969.586137967792</v>
      </c>
      <c r="D34" s="122">
        <v>22490.547281439722</v>
      </c>
      <c r="E34" s="122">
        <v>23050.600250710591</v>
      </c>
      <c r="F34" s="122">
        <v>23633.178052160001</v>
      </c>
      <c r="G34" s="122">
        <v>24219.952753384889</v>
      </c>
      <c r="H34" s="122">
        <v>24790.731274015499</v>
      </c>
      <c r="I34" s="122">
        <v>25323.508154823801</v>
      </c>
      <c r="J34" s="122">
        <v>25794.700673512551</v>
      </c>
      <c r="K34" s="122">
        <v>26184.200716226242</v>
      </c>
      <c r="L34" s="122">
        <v>26490.277953654</v>
      </c>
      <c r="M34" s="122">
        <v>26716.818730026582</v>
      </c>
      <c r="N34" s="122">
        <v>26868.70140867167</v>
      </c>
      <c r="O34" s="122">
        <v>26951.62682126027</v>
      </c>
      <c r="P34" s="122">
        <v>26971.388053093331</v>
      </c>
      <c r="Q34" s="122">
        <v>26932.030061700771</v>
      </c>
      <c r="R34" s="122">
        <v>26837.42228092386</v>
      </c>
      <c r="S34" s="122">
        <v>26691.738482529781</v>
      </c>
      <c r="T34" s="122">
        <v>26499.379855352199</v>
      </c>
      <c r="U34" s="122">
        <v>26264.901969006271</v>
      </c>
      <c r="V34" s="122">
        <v>25992.94679661977</v>
      </c>
      <c r="W34" s="122">
        <v>25688.18070310841</v>
      </c>
      <c r="X34" s="122">
        <v>25355.239047542531</v>
      </c>
      <c r="Y34" s="122">
        <v>24998.677807594609</v>
      </c>
      <c r="Z34" s="122">
        <v>24622.9324165978</v>
      </c>
      <c r="AA34" s="122">
        <v>24232.283813263952</v>
      </c>
      <c r="AB34" s="122">
        <v>23830.831542907388</v>
      </c>
      <c r="AC34" s="122">
        <v>23422.47361793428</v>
      </c>
      <c r="AD34" s="122">
        <v>23010.89274405572</v>
      </c>
      <c r="AE34" s="122">
        <v>22599.548445837529</v>
      </c>
      <c r="AF34" s="122">
        <v>22191.674578795461</v>
      </c>
      <c r="AG34" s="122">
        <v>21790.281692735971</v>
      </c>
      <c r="AH34" s="122">
        <v>21398.16370962534</v>
      </c>
      <c r="AI34" s="122">
        <v>21017.908396009949</v>
      </c>
      <c r="AJ34" s="122">
        <v>20651.911142051609</v>
      </c>
      <c r="AK34" s="122">
        <v>20302.391603877601</v>
      </c>
      <c r="AL34" s="122">
        <v>19971.412820773399</v>
      </c>
      <c r="AM34" s="122">
        <v>19660.902481704321</v>
      </c>
      <c r="AN34" s="122">
        <v>19372.67608509315</v>
      </c>
    </row>
    <row r="35" spans="1:40" x14ac:dyDescent="0.2">
      <c r="A35" s="123" t="s">
        <v>98</v>
      </c>
      <c r="B35" s="122">
        <v>13204.368998026081</v>
      </c>
      <c r="C35" s="122">
        <v>13555.024240247471</v>
      </c>
      <c r="D35" s="122">
        <v>13947.842262461259</v>
      </c>
      <c r="E35" s="122">
        <v>14372.71482344958</v>
      </c>
      <c r="F35" s="122">
        <v>14818.23960504075</v>
      </c>
      <c r="G35" s="122">
        <v>15271.489937486551</v>
      </c>
      <c r="H35" s="122">
        <v>15717.887328840079</v>
      </c>
      <c r="I35" s="122">
        <v>16141.201754793939</v>
      </c>
      <c r="J35" s="122">
        <v>16523.706209233231</v>
      </c>
      <c r="K35" s="122">
        <v>16849.948121407531</v>
      </c>
      <c r="L35" s="122">
        <v>17118.010914227019</v>
      </c>
      <c r="M35" s="122">
        <v>17330.233345124441</v>
      </c>
      <c r="N35" s="122">
        <v>17489.792438875491</v>
      </c>
      <c r="O35" s="122">
        <v>17600.572215232569</v>
      </c>
      <c r="P35" s="122">
        <v>17666.563275892469</v>
      </c>
      <c r="Q35" s="122">
        <v>17690.325954412379</v>
      </c>
      <c r="R35" s="122">
        <v>17674.287253511458</v>
      </c>
      <c r="S35" s="122">
        <v>17621.145264788091</v>
      </c>
      <c r="T35" s="122">
        <v>17533.81169333035</v>
      </c>
      <c r="U35" s="122">
        <v>17415.35634335101</v>
      </c>
      <c r="V35" s="122">
        <v>17268.95464246604</v>
      </c>
      <c r="W35" s="122">
        <v>17097.839071261758</v>
      </c>
      <c r="X35" s="122">
        <v>16905.255155898871</v>
      </c>
      <c r="Y35" s="122">
        <v>16694.422482065231</v>
      </c>
      <c r="Z35" s="122">
        <v>16468.501004455102</v>
      </c>
      <c r="AA35" s="122">
        <v>16230.562761423331</v>
      </c>
      <c r="AB35" s="122">
        <v>15983.568962369331</v>
      </c>
      <c r="AC35" s="122">
        <v>15730.352297265041</v>
      </c>
      <c r="AD35" s="122">
        <v>15473.604223918661</v>
      </c>
      <c r="AE35" s="122">
        <v>15215.86691849252</v>
      </c>
      <c r="AF35" s="122">
        <v>14959.529527162809</v>
      </c>
      <c r="AG35" s="122">
        <v>14706.828329792161</v>
      </c>
      <c r="AH35" s="122">
        <v>14459.85041792194</v>
      </c>
      <c r="AI35" s="122">
        <v>14220.54049695729</v>
      </c>
      <c r="AJ35" s="122">
        <v>13990.71044377925</v>
      </c>
      <c r="AK35" s="122">
        <v>13772.051283962181</v>
      </c>
      <c r="AL35" s="122">
        <v>13566.1472952935</v>
      </c>
      <c r="AM35" s="122">
        <v>13374.49199468354</v>
      </c>
      <c r="AN35" s="122">
        <v>13198.50582246542</v>
      </c>
    </row>
    <row r="36" spans="1:40" x14ac:dyDescent="0.2">
      <c r="A36" s="123" t="s">
        <v>99</v>
      </c>
      <c r="B36" s="122">
        <v>15179.327689922769</v>
      </c>
      <c r="C36" s="122">
        <v>15782.04017115454</v>
      </c>
      <c r="D36" s="122">
        <v>16369.299186972141</v>
      </c>
      <c r="E36" s="122">
        <v>16939.547355505969</v>
      </c>
      <c r="F36" s="122">
        <v>17491.486832378301</v>
      </c>
      <c r="G36" s="122">
        <v>18024.088190020619</v>
      </c>
      <c r="H36" s="122">
        <v>18536.5953109486</v>
      </c>
      <c r="I36" s="122">
        <v>19028.526559794082</v>
      </c>
      <c r="J36" s="122">
        <v>19499.672569200298</v>
      </c>
      <c r="K36" s="122">
        <v>19949.203899544329</v>
      </c>
      <c r="L36" s="122">
        <v>20372.85003097865</v>
      </c>
      <c r="M36" s="122">
        <v>20765.315789426331</v>
      </c>
      <c r="N36" s="122">
        <v>21121.19025950319</v>
      </c>
      <c r="O36" s="122">
        <v>21435.02025854362</v>
      </c>
      <c r="P36" s="122">
        <v>21702.425471556398</v>
      </c>
      <c r="Q36" s="122">
        <v>21923.36835772391</v>
      </c>
      <c r="R36" s="122">
        <v>22099.239470107888</v>
      </c>
      <c r="S36" s="122">
        <v>22231.809984145941</v>
      </c>
      <c r="T36" s="122">
        <v>22323.185584539959</v>
      </c>
      <c r="U36" s="122">
        <v>22375.75916899402</v>
      </c>
      <c r="V36" s="122">
        <v>22392.163519853191</v>
      </c>
      <c r="W36" s="122">
        <v>22375.224972543481</v>
      </c>
      <c r="X36" s="122">
        <v>22327.918973783981</v>
      </c>
      <c r="Y36" s="122">
        <v>22253.328279396519</v>
      </c>
      <c r="Z36" s="122">
        <v>22154.60439708631</v>
      </c>
      <c r="AA36" s="122">
        <v>22034.932738895579</v>
      </c>
      <c r="AB36" s="122">
        <v>21897.501815359221</v>
      </c>
      <c r="AC36" s="122">
        <v>21745.47668201787</v>
      </c>
      <c r="AD36" s="122">
        <v>21581.976741306418</v>
      </c>
      <c r="AE36" s="122">
        <v>21410.057910541789</v>
      </c>
      <c r="AF36" s="122">
        <v>21232.699090674279</v>
      </c>
      <c r="AG36" s="122">
        <v>21052.792810902611</v>
      </c>
      <c r="AH36" s="122">
        <v>20873.13988095371</v>
      </c>
      <c r="AI36" s="122">
        <v>20696.44785517297</v>
      </c>
      <c r="AJ36" s="122">
        <v>20525.333099678639</v>
      </c>
      <c r="AK36" s="122">
        <v>20362.326254683448</v>
      </c>
      <c r="AL36" s="122">
        <v>20209.880897590701</v>
      </c>
      <c r="AM36" s="122">
        <v>20070.38523762281</v>
      </c>
      <c r="AN36" s="122">
        <v>19946.176708634619</v>
      </c>
    </row>
    <row r="37" spans="1:40" x14ac:dyDescent="0.2">
      <c r="A37" s="123" t="s">
        <v>100</v>
      </c>
      <c r="B37" s="122">
        <v>15793.232462385689</v>
      </c>
      <c r="C37" s="122">
        <v>16449.418719198831</v>
      </c>
      <c r="D37" s="122">
        <v>17090.70067245981</v>
      </c>
      <c r="E37" s="122">
        <v>17715.32029176817</v>
      </c>
      <c r="F37" s="122">
        <v>18321.795103518449</v>
      </c>
      <c r="G37" s="122">
        <v>18908.929900436571</v>
      </c>
      <c r="H37" s="122">
        <v>19475.824041688651</v>
      </c>
      <c r="I37" s="122">
        <v>20021.874604316621</v>
      </c>
      <c r="J37" s="122">
        <v>20546.77573078686</v>
      </c>
      <c r="K37" s="122">
        <v>21049.552233955281</v>
      </c>
      <c r="L37" s="122">
        <v>21525.490239775991</v>
      </c>
      <c r="M37" s="122">
        <v>21968.740743825711</v>
      </c>
      <c r="N37" s="122">
        <v>22373.303537128821</v>
      </c>
      <c r="O37" s="122">
        <v>22733.108227909121</v>
      </c>
      <c r="P37" s="122">
        <v>23043.2276238425</v>
      </c>
      <c r="Q37" s="122">
        <v>23303.442563099979</v>
      </c>
      <c r="R37" s="122">
        <v>23515.095828630921</v>
      </c>
      <c r="S37" s="122">
        <v>23679.95829484229</v>
      </c>
      <c r="T37" s="122">
        <v>23800.17977900969</v>
      </c>
      <c r="U37" s="122">
        <v>23878.23818402399</v>
      </c>
      <c r="V37" s="122">
        <v>23916.888232118239</v>
      </c>
      <c r="W37" s="122">
        <v>23919.110961029721</v>
      </c>
      <c r="X37" s="122">
        <v>23888.065008357349</v>
      </c>
      <c r="Y37" s="122">
        <v>23827.040554175172</v>
      </c>
      <c r="Z37" s="122">
        <v>23739.416633074081</v>
      </c>
      <c r="AA37" s="122">
        <v>23628.622370653851</v>
      </c>
      <c r="AB37" s="122">
        <v>23498.102551062511</v>
      </c>
      <c r="AC37" s="122">
        <v>23351.287785428369</v>
      </c>
      <c r="AD37" s="122">
        <v>23191.569428927982</v>
      </c>
      <c r="AE37" s="122">
        <v>23022.27928881325</v>
      </c>
      <c r="AF37" s="122">
        <v>22846.67407818358</v>
      </c>
      <c r="AG37" s="122">
        <v>22667.924501111451</v>
      </c>
      <c r="AH37" s="122">
        <v>22489.108803799369</v>
      </c>
      <c r="AI37" s="122">
        <v>22313.21059319935</v>
      </c>
      <c r="AJ37" s="122">
        <v>22143.120708082672</v>
      </c>
      <c r="AK37" s="122">
        <v>21981.642926837379</v>
      </c>
      <c r="AL37" s="122">
        <v>21831.503310165299</v>
      </c>
      <c r="AM37" s="122">
        <v>21695.363004259649</v>
      </c>
      <c r="AN37" s="122">
        <v>21575.834370037759</v>
      </c>
    </row>
    <row r="38" spans="1:40" x14ac:dyDescent="0.2">
      <c r="A38" s="123" t="s">
        <v>101</v>
      </c>
      <c r="B38" s="122">
        <v>12204.55859303716</v>
      </c>
      <c r="C38" s="122">
        <v>12946.418478229991</v>
      </c>
      <c r="D38" s="122">
        <v>13690.994468145909</v>
      </c>
      <c r="E38" s="122">
        <v>14435.92341103999</v>
      </c>
      <c r="F38" s="122">
        <v>15179.057089380811</v>
      </c>
      <c r="G38" s="122">
        <v>15918.498499994521</v>
      </c>
      <c r="H38" s="122">
        <v>16652.633316828382</v>
      </c>
      <c r="I38" s="122">
        <v>17380.156388910891</v>
      </c>
      <c r="J38" s="122">
        <v>18100.09330726663</v>
      </c>
      <c r="K38" s="122">
        <v>18810.71537274951</v>
      </c>
      <c r="L38" s="122">
        <v>19505.918791420499</v>
      </c>
      <c r="M38" s="122">
        <v>20177.990374110701</v>
      </c>
      <c r="N38" s="122">
        <v>20818.699955211789</v>
      </c>
      <c r="O38" s="122">
        <v>21419.399752974241</v>
      </c>
      <c r="P38" s="122">
        <v>21972.46683946464</v>
      </c>
      <c r="Q38" s="122">
        <v>22475.644972227841</v>
      </c>
      <c r="R38" s="122">
        <v>22928.590856750219</v>
      </c>
      <c r="S38" s="122">
        <v>23331.596315996761</v>
      </c>
      <c r="T38" s="122">
        <v>23685.549340946291</v>
      </c>
      <c r="U38" s="122">
        <v>23991.887754711861</v>
      </c>
      <c r="V38" s="122">
        <v>24252.54743599319</v>
      </c>
      <c r="W38" s="122">
        <v>24469.90700460822</v>
      </c>
      <c r="X38" s="122">
        <v>24646.730772797309</v>
      </c>
      <c r="Y38" s="122">
        <v>24786.1116228094</v>
      </c>
      <c r="Z38" s="122">
        <v>24891.415296118121</v>
      </c>
      <c r="AA38" s="122">
        <v>24966.22738425088</v>
      </c>
      <c r="AB38" s="122">
        <v>25014.30410656791</v>
      </c>
      <c r="AC38" s="122">
        <v>25039.527756102299</v>
      </c>
      <c r="AD38" s="122">
        <v>25045.867499075881</v>
      </c>
      <c r="AE38" s="122">
        <v>25037.34603368969</v>
      </c>
      <c r="AF38" s="122">
        <v>25018.012454533749</v>
      </c>
      <c r="AG38" s="122">
        <v>24991.921534295911</v>
      </c>
      <c r="AH38" s="122">
        <v>24963.119526963041</v>
      </c>
      <c r="AI38" s="122">
        <v>24935.636517917021</v>
      </c>
      <c r="AJ38" s="122">
        <v>24913.485296941119</v>
      </c>
      <c r="AK38" s="122">
        <v>24900.666710295762</v>
      </c>
      <c r="AL38" s="122">
        <v>24901.18145753417</v>
      </c>
      <c r="AM38" s="122">
        <v>24919.048337378121</v>
      </c>
      <c r="AN38" s="122">
        <v>24958.32901476515</v>
      </c>
    </row>
    <row r="39" spans="1:40" x14ac:dyDescent="0.2">
      <c r="A39" s="123" t="s">
        <v>46</v>
      </c>
      <c r="B39" s="122">
        <v>24223.247878201619</v>
      </c>
      <c r="C39" s="122">
        <v>25206.816996408241</v>
      </c>
      <c r="D39" s="122">
        <v>26166.583588736281</v>
      </c>
      <c r="E39" s="122">
        <v>27099.959371616729</v>
      </c>
      <c r="F39" s="122">
        <v>28004.774521469521</v>
      </c>
      <c r="G39" s="122">
        <v>28879.29365919554</v>
      </c>
      <c r="H39" s="122">
        <v>29722.225276402281</v>
      </c>
      <c r="I39" s="122">
        <v>30532.725015739339</v>
      </c>
      <c r="J39" s="122">
        <v>31310.39333791571</v>
      </c>
      <c r="K39" s="122">
        <v>32053.823258807111</v>
      </c>
      <c r="L39" s="122">
        <v>32755.998823089922</v>
      </c>
      <c r="M39" s="122">
        <v>33408.217948280697</v>
      </c>
      <c r="N39" s="122">
        <v>34001.571368455967</v>
      </c>
      <c r="O39" s="122">
        <v>34527.063294498003</v>
      </c>
      <c r="P39" s="122">
        <v>34977.430392883631</v>
      </c>
      <c r="Q39" s="122">
        <v>35352.480520542267</v>
      </c>
      <c r="R39" s="122">
        <v>35654.357002319768</v>
      </c>
      <c r="S39" s="122">
        <v>35885.834342425493</v>
      </c>
      <c r="T39" s="122">
        <v>36050.243736461976</v>
      </c>
      <c r="U39" s="122">
        <v>36151.396346478061</v>
      </c>
      <c r="V39" s="122">
        <v>36193.506251520172</v>
      </c>
      <c r="W39" s="122">
        <v>36181.11479021878</v>
      </c>
      <c r="X39" s="122">
        <v>36119.017791719103</v>
      </c>
      <c r="Y39" s="122">
        <v>36012.196957707747</v>
      </c>
      <c r="Z39" s="122">
        <v>35865.756421323284</v>
      </c>
      <c r="AA39" s="122">
        <v>35684.865276960612</v>
      </c>
      <c r="AB39" s="122">
        <v>35474.706655543923</v>
      </c>
      <c r="AC39" s="122">
        <v>35240.433718402863</v>
      </c>
      <c r="AD39" s="122">
        <v>34987.13276364941</v>
      </c>
      <c r="AE39" s="122">
        <v>34719.793484740709</v>
      </c>
      <c r="AF39" s="122">
        <v>34443.286293353733</v>
      </c>
      <c r="AG39" s="122">
        <v>34162.346518346087</v>
      </c>
      <c r="AH39" s="122">
        <v>33881.56521916559</v>
      </c>
      <c r="AI39" s="122">
        <v>33605.386304658263</v>
      </c>
      <c r="AJ39" s="122">
        <v>33338.109625436118</v>
      </c>
      <c r="AK39" s="122">
        <v>33083.89970815547</v>
      </c>
      <c r="AL39" s="122">
        <v>32846.799821500223</v>
      </c>
      <c r="AM39" s="122">
        <v>32630.75110471038</v>
      </c>
      <c r="AN39" s="122">
        <v>32439.616548716051</v>
      </c>
    </row>
    <row r="40" spans="1:40" x14ac:dyDescent="0.2">
      <c r="A40" s="123" t="s">
        <v>102</v>
      </c>
      <c r="B40" s="122">
        <v>6611.9630030332364</v>
      </c>
      <c r="C40" s="122">
        <v>6808.9349535602041</v>
      </c>
      <c r="D40" s="122">
        <v>6997.2714191327386</v>
      </c>
      <c r="E40" s="122">
        <v>7176.5994331709744</v>
      </c>
      <c r="F40" s="122">
        <v>7346.6412188719496</v>
      </c>
      <c r="G40" s="122">
        <v>7507.2137443218044</v>
      </c>
      <c r="H40" s="122">
        <v>7658.2271496666444</v>
      </c>
      <c r="I40" s="122">
        <v>7799.6821668827852</v>
      </c>
      <c r="J40" s="122">
        <v>7931.6666642531573</v>
      </c>
      <c r="K40" s="122">
        <v>8054.0478614100857</v>
      </c>
      <c r="L40" s="122">
        <v>8165.5228236611656</v>
      </c>
      <c r="M40" s="122">
        <v>8264.4754292904327</v>
      </c>
      <c r="N40" s="122">
        <v>8349.290253177056</v>
      </c>
      <c r="O40" s="122">
        <v>8418.3748777502988</v>
      </c>
      <c r="P40" s="122">
        <v>8470.5367567489429</v>
      </c>
      <c r="Q40" s="122">
        <v>8506.0780697948867</v>
      </c>
      <c r="R40" s="122">
        <v>8525.7662566432646</v>
      </c>
      <c r="S40" s="122">
        <v>8530.4700964070289</v>
      </c>
      <c r="T40" s="122">
        <v>8521.1430265872787</v>
      </c>
      <c r="U40" s="122">
        <v>8498.8067339218178</v>
      </c>
      <c r="V40" s="122">
        <v>8464.5353162458341</v>
      </c>
      <c r="W40" s="122">
        <v>8419.4402692780022</v>
      </c>
      <c r="X40" s="122">
        <v>8364.6565060029479</v>
      </c>
      <c r="Y40" s="122">
        <v>8301.3295707012658</v>
      </c>
      <c r="Z40" s="122">
        <v>8230.6041660226056</v>
      </c>
      <c r="AA40" s="122">
        <v>8153.6140708837802</v>
      </c>
      <c r="AB40" s="122">
        <v>8071.4734902218152</v>
      </c>
      <c r="AC40" s="122">
        <v>7985.269845316353</v>
      </c>
      <c r="AD40" s="122">
        <v>7896.0579858611654</v>
      </c>
      <c r="AE40" s="122">
        <v>7804.855782362888</v>
      </c>
      <c r="AF40" s="122">
        <v>7712.6410397514119</v>
      </c>
      <c r="AG40" s="122">
        <v>7620.3496601490224</v>
      </c>
      <c r="AH40" s="122">
        <v>7528.8749743006492</v>
      </c>
      <c r="AI40" s="122">
        <v>7439.0681568865884</v>
      </c>
      <c r="AJ40" s="122">
        <v>7351.7396404464434</v>
      </c>
      <c r="AK40" s="122">
        <v>7267.6614455478584</v>
      </c>
      <c r="AL40" s="122">
        <v>7187.570350753741</v>
      </c>
      <c r="AM40" s="122">
        <v>7112.1718345209392</v>
      </c>
      <c r="AN40" s="122">
        <v>7042.1447320901116</v>
      </c>
    </row>
    <row r="41" spans="1:40" x14ac:dyDescent="0.2">
      <c r="A41" s="123" t="s">
        <v>103</v>
      </c>
      <c r="B41" s="122">
        <v>27519.37503144029</v>
      </c>
      <c r="C41" s="122">
        <v>29731.48670210264</v>
      </c>
      <c r="D41" s="122">
        <v>32002.565979382001</v>
      </c>
      <c r="E41" s="122">
        <v>34326.185273463998</v>
      </c>
      <c r="F41" s="122">
        <v>36696.217203054461</v>
      </c>
      <c r="G41" s="122">
        <v>39107.001460574029</v>
      </c>
      <c r="H41" s="122">
        <v>41553.50399073126</v>
      </c>
      <c r="I41" s="122">
        <v>44031.466365628927</v>
      </c>
      <c r="J41" s="122">
        <v>46537.543950463078</v>
      </c>
      <c r="K41" s="122">
        <v>49065.931500733233</v>
      </c>
      <c r="L41" s="122">
        <v>51596.523818531437</v>
      </c>
      <c r="M41" s="122">
        <v>54102.980118336469</v>
      </c>
      <c r="N41" s="122">
        <v>56556.018174881123</v>
      </c>
      <c r="O41" s="122">
        <v>58923.685059426971</v>
      </c>
      <c r="P41" s="122">
        <v>61176.119072004272</v>
      </c>
      <c r="Q41" s="122">
        <v>63300.374684725837</v>
      </c>
      <c r="R41" s="122">
        <v>65289.798676927807</v>
      </c>
      <c r="S41" s="122">
        <v>67140.013469901998</v>
      </c>
      <c r="T41" s="122">
        <v>68848.886336660231</v>
      </c>
      <c r="U41" s="122">
        <v>70416.45732331014</v>
      </c>
      <c r="V41" s="122">
        <v>71844.832308467943</v>
      </c>
      <c r="W41" s="122">
        <v>73138.048138940852</v>
      </c>
      <c r="X41" s="122">
        <v>74301.916984861731</v>
      </c>
      <c r="Y41" s="122">
        <v>75343.856991278357</v>
      </c>
      <c r="Z41" s="122">
        <v>76272.716010046977</v>
      </c>
      <c r="AA41" s="122">
        <v>77098.594724648472</v>
      </c>
      <c r="AB41" s="122">
        <v>77832.674881683968</v>
      </c>
      <c r="AC41" s="122">
        <v>78487.057665591943</v>
      </c>
      <c r="AD41" s="122">
        <v>79074.616543505792</v>
      </c>
      <c r="AE41" s="122">
        <v>79608.868206345462</v>
      </c>
      <c r="AF41" s="122">
        <v>80103.864575746426</v>
      </c>
      <c r="AG41" s="122">
        <v>80574.108263878457</v>
      </c>
      <c r="AH41" s="122">
        <v>81034.493388451519</v>
      </c>
      <c r="AI41" s="122">
        <v>81500.273276935142</v>
      </c>
      <c r="AJ41" s="122">
        <v>81987.056356730172</v>
      </c>
      <c r="AK41" s="122">
        <v>82510.831433117128</v>
      </c>
      <c r="AL41" s="122">
        <v>83088.023614019781</v>
      </c>
      <c r="AM41" s="122">
        <v>83735.582359477339</v>
      </c>
      <c r="AN41" s="122">
        <v>84471.103525261831</v>
      </c>
    </row>
    <row r="42" spans="1:40" x14ac:dyDescent="0.2">
      <c r="A42" s="123" t="s">
        <v>104</v>
      </c>
      <c r="B42" s="122">
        <v>40049.197919647981</v>
      </c>
      <c r="C42" s="122">
        <v>43302.371114592701</v>
      </c>
      <c r="D42" s="122">
        <v>46657.741816476671</v>
      </c>
      <c r="E42" s="122">
        <v>50103.572017024067</v>
      </c>
      <c r="F42" s="122">
        <v>53627.228222274833</v>
      </c>
      <c r="G42" s="122">
        <v>57215.336053912513</v>
      </c>
      <c r="H42" s="122">
        <v>60853.946622368792</v>
      </c>
      <c r="I42" s="122">
        <v>64528.711253061338</v>
      </c>
      <c r="J42" s="122">
        <v>68225.061047768657</v>
      </c>
      <c r="K42" s="122">
        <v>71929.604018721846</v>
      </c>
      <c r="L42" s="122">
        <v>75634.453187037157</v>
      </c>
      <c r="M42" s="122">
        <v>79334.621240919907</v>
      </c>
      <c r="N42" s="122">
        <v>83027.072851067336</v>
      </c>
      <c r="O42" s="122">
        <v>86710.842949538463</v>
      </c>
      <c r="P42" s="122">
        <v>90385.217803784195</v>
      </c>
      <c r="Q42" s="122">
        <v>94043.446540784324</v>
      </c>
      <c r="R42" s="122">
        <v>97677.469280304562</v>
      </c>
      <c r="S42" s="122">
        <v>101279.74556593</v>
      </c>
      <c r="T42" s="122">
        <v>104843.316766451</v>
      </c>
      <c r="U42" s="122">
        <v>108361.86112648129</v>
      </c>
      <c r="V42" s="122">
        <v>111829.7412244086</v>
      </c>
      <c r="W42" s="122">
        <v>115242.0437448028</v>
      </c>
      <c r="X42" s="122">
        <v>118594.61161419059</v>
      </c>
      <c r="Y42" s="122">
        <v>121884.0686812112</v>
      </c>
      <c r="Z42" s="122">
        <v>125107.83724277779</v>
      </c>
      <c r="AA42" s="122">
        <v>128264.14882559179</v>
      </c>
      <c r="AB42" s="122">
        <v>131352.04872622321</v>
      </c>
      <c r="AC42" s="122">
        <v>134371.39489256759</v>
      </c>
      <c r="AD42" s="122">
        <v>137322.85179471839</v>
      </c>
      <c r="AE42" s="122">
        <v>140207.8799845537</v>
      </c>
      <c r="AF42" s="122">
        <v>143028.7220812251</v>
      </c>
      <c r="AG42" s="122">
        <v>145788.3859453343</v>
      </c>
      <c r="AH42" s="122">
        <v>148490.62581899701</v>
      </c>
      <c r="AI42" s="122">
        <v>151139.92221373069</v>
      </c>
      <c r="AJ42" s="122">
        <v>153741.4613246402</v>
      </c>
      <c r="AK42" s="122">
        <v>156301.11473945429</v>
      </c>
      <c r="AL42" s="122">
        <v>158825.4201962261</v>
      </c>
      <c r="AM42" s="122">
        <v>161321.5641257971</v>
      </c>
      <c r="AN42" s="122">
        <v>163797.36669612661</v>
      </c>
    </row>
    <row r="43" spans="1:40" x14ac:dyDescent="0.2">
      <c r="A43" s="123" t="s">
        <v>105</v>
      </c>
      <c r="B43" s="122">
        <v>3224.8526645654251</v>
      </c>
      <c r="C43" s="122">
        <v>3407.2386614197399</v>
      </c>
      <c r="D43" s="122">
        <v>3590.021662120776</v>
      </c>
      <c r="E43" s="122">
        <v>3772.4508289156779</v>
      </c>
      <c r="F43" s="122">
        <v>3953.7779835137972</v>
      </c>
      <c r="G43" s="122">
        <v>4133.2655632615852</v>
      </c>
      <c r="H43" s="122">
        <v>4310.1943020967183</v>
      </c>
      <c r="I43" s="122">
        <v>4483.8705166766094</v>
      </c>
      <c r="J43" s="122">
        <v>4653.6328907833931</v>
      </c>
      <c r="K43" s="122">
        <v>4818.9054310136362</v>
      </c>
      <c r="L43" s="122">
        <v>4979.3557263941702</v>
      </c>
      <c r="M43" s="122">
        <v>5134.7798209540097</v>
      </c>
      <c r="N43" s="122">
        <v>5285.0594410635485</v>
      </c>
      <c r="O43" s="122">
        <v>5430.1616751612701</v>
      </c>
      <c r="P43" s="122">
        <v>5570.0758603170061</v>
      </c>
      <c r="Q43" s="122">
        <v>5704.6139840962833</v>
      </c>
      <c r="R43" s="122">
        <v>5833.5742513248924</v>
      </c>
      <c r="S43" s="122">
        <v>5956.8001066626184</v>
      </c>
      <c r="T43" s="122">
        <v>6074.1801064752799</v>
      </c>
      <c r="U43" s="122">
        <v>6185.6473747790187</v>
      </c>
      <c r="V43" s="122">
        <v>6291.1786804936546</v>
      </c>
      <c r="W43" s="122">
        <v>6390.7931767829659</v>
      </c>
      <c r="X43" s="122">
        <v>6484.5508458046606</v>
      </c>
      <c r="Y43" s="122">
        <v>6572.5506937896616</v>
      </c>
      <c r="Z43" s="122">
        <v>6654.928742076504</v>
      </c>
      <c r="AA43" s="122">
        <v>6731.8558596239118</v>
      </c>
      <c r="AB43" s="122">
        <v>6803.5354816981171</v>
      </c>
      <c r="AC43" s="122">
        <v>6870.2012579814091</v>
      </c>
      <c r="AD43" s="122">
        <v>6932.1146713754242</v>
      </c>
      <c r="AE43" s="122">
        <v>6989.5626663809226</v>
      </c>
      <c r="AF43" s="122">
        <v>7042.8553232289514</v>
      </c>
      <c r="AG43" s="122">
        <v>7092.3236110152829</v>
      </c>
      <c r="AH43" s="122">
        <v>7138.3172500476039</v>
      </c>
      <c r="AI43" s="122">
        <v>7181.202710539279</v>
      </c>
      <c r="AJ43" s="122">
        <v>7221.3613717585104</v>
      </c>
      <c r="AK43" s="122">
        <v>7259.1878628384802</v>
      </c>
      <c r="AL43" s="122">
        <v>7295.088603738378</v>
      </c>
      <c r="AM43" s="122">
        <v>7329.4805623734173</v>
      </c>
      <c r="AN43" s="122">
        <v>7362.7902417532632</v>
      </c>
    </row>
    <row r="44" spans="1:40" x14ac:dyDescent="0.2">
      <c r="A44" s="123" t="s">
        <v>106</v>
      </c>
      <c r="B44" s="122">
        <v>907.3493796355416</v>
      </c>
      <c r="C44" s="122">
        <v>941.68738539869457</v>
      </c>
      <c r="D44" s="122">
        <v>972.44335395428664</v>
      </c>
      <c r="E44" s="122">
        <v>999.69387054950323</v>
      </c>
      <c r="F44" s="122">
        <v>1023.610439453898</v>
      </c>
      <c r="G44" s="122">
        <v>1044.4487809360421</v>
      </c>
      <c r="H44" s="122">
        <v>1062.5372279299779</v>
      </c>
      <c r="I44" s="122">
        <v>1078.265062719302</v>
      </c>
      <c r="J44" s="122">
        <v>1092.071531495455</v>
      </c>
      <c r="K44" s="122">
        <v>1104.340222516548</v>
      </c>
      <c r="L44" s="122">
        <v>1115.095661742409</v>
      </c>
      <c r="M44" s="122">
        <v>1124.274207341226</v>
      </c>
      <c r="N44" s="122">
        <v>1131.8182905707049</v>
      </c>
      <c r="O44" s="122">
        <v>1137.6769581453991</v>
      </c>
      <c r="P44" s="122">
        <v>1141.8214255856931</v>
      </c>
      <c r="Q44" s="122">
        <v>1144.290938762673</v>
      </c>
      <c r="R44" s="122">
        <v>1145.14787726081</v>
      </c>
      <c r="S44" s="122">
        <v>1144.461864541453</v>
      </c>
      <c r="T44" s="122">
        <v>1142.3087846127939</v>
      </c>
      <c r="U44" s="122">
        <v>1138.7698028345651</v>
      </c>
      <c r="V44" s="122">
        <v>1133.9304041060459</v>
      </c>
      <c r="W44" s="122">
        <v>1127.879460215968</v>
      </c>
      <c r="X44" s="122">
        <v>1120.7083365890171</v>
      </c>
      <c r="Y44" s="122">
        <v>1112.51004708815</v>
      </c>
      <c r="Z44" s="122">
        <v>1103.378463963131</v>
      </c>
      <c r="AA44" s="122">
        <v>1093.4075885067259</v>
      </c>
      <c r="AB44" s="122">
        <v>1082.690886519516</v>
      </c>
      <c r="AC44" s="122">
        <v>1071.320691315311</v>
      </c>
      <c r="AD44" s="122">
        <v>1059.387675739996</v>
      </c>
      <c r="AE44" s="122">
        <v>1046.9803935407469</v>
      </c>
      <c r="AF44" s="122">
        <v>1034.184889418384</v>
      </c>
      <c r="AG44" s="122">
        <v>1021.084376228411</v>
      </c>
      <c r="AH44" s="122">
        <v>1007.758977066588</v>
      </c>
      <c r="AI44" s="122">
        <v>994.28552938090843</v>
      </c>
      <c r="AJ44" s="122">
        <v>980.73744778887465</v>
      </c>
      <c r="AK44" s="122">
        <v>967.18464194016906</v>
      </c>
      <c r="AL44" s="122">
        <v>953.69348554182591</v>
      </c>
      <c r="AM44" s="122">
        <v>940.3268325465416</v>
      </c>
      <c r="AN44" s="122">
        <v>927.1440764843768</v>
      </c>
    </row>
    <row r="45" spans="1:40" x14ac:dyDescent="0.2">
      <c r="A45" s="123" t="s">
        <v>47</v>
      </c>
      <c r="B45" s="122">
        <v>1483.3175160522719</v>
      </c>
      <c r="C45" s="122">
        <v>1586.7963251492431</v>
      </c>
      <c r="D45" s="122">
        <v>1706.5051396771839</v>
      </c>
      <c r="E45" s="122">
        <v>1842.5566629645909</v>
      </c>
      <c r="F45" s="122">
        <v>1994.7497731922949</v>
      </c>
      <c r="G45" s="122">
        <v>2162.4087999522508</v>
      </c>
      <c r="H45" s="122">
        <v>2344.2097217650798</v>
      </c>
      <c r="I45" s="122">
        <v>2538.0016233514748</v>
      </c>
      <c r="J45" s="122">
        <v>2740.6374118703829</v>
      </c>
      <c r="K45" s="122">
        <v>2948.5832664211171</v>
      </c>
      <c r="L45" s="122">
        <v>3160.5071721351228</v>
      </c>
      <c r="M45" s="122">
        <v>3375.76001815257</v>
      </c>
      <c r="N45" s="122">
        <v>3593.7476966837648</v>
      </c>
      <c r="O45" s="122">
        <v>3813.94712599173</v>
      </c>
      <c r="P45" s="122">
        <v>4035.8358173130532</v>
      </c>
      <c r="Q45" s="122">
        <v>4258.612090450416</v>
      </c>
      <c r="R45" s="122">
        <v>4481.395950922978</v>
      </c>
      <c r="S45" s="122">
        <v>4703.3150026440408</v>
      </c>
      <c r="T45" s="122">
        <v>4923.5142794994481</v>
      </c>
      <c r="U45" s="122">
        <v>5141.1656326988086</v>
      </c>
      <c r="V45" s="122">
        <v>5355.4765282749813</v>
      </c>
      <c r="W45" s="122">
        <v>5565.6981285655456</v>
      </c>
      <c r="X45" s="122">
        <v>5771.132553004335</v>
      </c>
      <c r="Y45" s="122">
        <v>5971.1392363436607</v>
      </c>
      <c r="Z45" s="122">
        <v>6165.1403257949614</v>
      </c>
      <c r="AA45" s="122">
        <v>6352.6250818344824</v>
      </c>
      <c r="AB45" s="122">
        <v>6533.1532699505688</v>
      </c>
      <c r="AC45" s="122">
        <v>6706.3575518638008</v>
      </c>
      <c r="AD45" s="122">
        <v>6871.9449042753276</v>
      </c>
      <c r="AE45" s="122">
        <v>7029.6971106308347</v>
      </c>
      <c r="AF45" s="122">
        <v>7179.4703864652693</v>
      </c>
      <c r="AG45" s="122">
        <v>7321.1942114514623</v>
      </c>
      <c r="AH45" s="122">
        <v>7454.8694512384918</v>
      </c>
      <c r="AI45" s="122">
        <v>7580.565859548029</v>
      </c>
      <c r="AJ45" s="122">
        <v>7698.4190558796399</v>
      </c>
      <c r="AK45" s="122">
        <v>7808.627076715059</v>
      </c>
      <c r="AL45" s="122">
        <v>7911.4465985029328</v>
      </c>
      <c r="AM45" s="122">
        <v>8007.1889291960388</v>
      </c>
      <c r="AN45" s="122">
        <v>8096.2158619680977</v>
      </c>
    </row>
    <row r="46" spans="1:40" x14ac:dyDescent="0.2">
      <c r="A46" s="123" t="s">
        <v>107</v>
      </c>
      <c r="B46" s="122">
        <v>474.62286420659473</v>
      </c>
      <c r="C46" s="122">
        <v>500.17571763878033</v>
      </c>
      <c r="D46" s="122">
        <v>523.74412336160742</v>
      </c>
      <c r="E46" s="122">
        <v>545.28989121011773</v>
      </c>
      <c r="F46" s="122">
        <v>564.85446788227046</v>
      </c>
      <c r="G46" s="122">
        <v>582.55326604811387</v>
      </c>
      <c r="H46" s="122">
        <v>598.56839182871158</v>
      </c>
      <c r="I46" s="122">
        <v>613.14063081403606</v>
      </c>
      <c r="J46" s="122">
        <v>626.56149942110687</v>
      </c>
      <c r="K46" s="122">
        <v>639.0949291026435</v>
      </c>
      <c r="L46" s="122">
        <v>650.74744389608952</v>
      </c>
      <c r="M46" s="122">
        <v>661.46067539287424</v>
      </c>
      <c r="N46" s="122">
        <v>671.18010703370987</v>
      </c>
      <c r="O46" s="122">
        <v>679.85553277435372</v>
      </c>
      <c r="P46" s="122">
        <v>687.44946183230138</v>
      </c>
      <c r="Q46" s="122">
        <v>693.96204179113886</v>
      </c>
      <c r="R46" s="122">
        <v>699.40819109883944</v>
      </c>
      <c r="S46" s="122">
        <v>703.8093451079344</v>
      </c>
      <c r="T46" s="122">
        <v>707.19294438452459</v>
      </c>
      <c r="U46" s="122">
        <v>709.5918893375291</v>
      </c>
      <c r="V46" s="122">
        <v>711.04397170179982</v>
      </c>
      <c r="W46" s="122">
        <v>711.59129292141938</v>
      </c>
      <c r="X46" s="122">
        <v>711.27967883926294</v>
      </c>
      <c r="Y46" s="122">
        <v>710.15809933691389</v>
      </c>
      <c r="Z46" s="122">
        <v>708.27810071585714</v>
      </c>
      <c r="AA46" s="122">
        <v>705.69325769613124</v>
      </c>
      <c r="AB46" s="122">
        <v>702.45865095983083</v>
      </c>
      <c r="AC46" s="122">
        <v>698.63037520938803</v>
      </c>
      <c r="AD46" s="122">
        <v>694.2650817666846</v>
      </c>
      <c r="AE46" s="122">
        <v>689.419558828238</v>
      </c>
      <c r="AF46" s="122">
        <v>684.15035163007565</v>
      </c>
      <c r="AG46" s="122">
        <v>678.51342397644578</v>
      </c>
      <c r="AH46" s="122">
        <v>672.56386185918291</v>
      </c>
      <c r="AI46" s="122">
        <v>666.35561924624028</v>
      </c>
      <c r="AJ46" s="122">
        <v>659.9413055530332</v>
      </c>
      <c r="AK46" s="122">
        <v>653.37201383067645</v>
      </c>
      <c r="AL46" s="122">
        <v>646.697188310809</v>
      </c>
      <c r="AM46" s="122">
        <v>639.96452963565071</v>
      </c>
      <c r="AN46" s="122">
        <v>633.2199358708358</v>
      </c>
    </row>
    <row r="47" spans="1:40" x14ac:dyDescent="0.2">
      <c r="A47" s="123" t="s">
        <v>108</v>
      </c>
      <c r="B47" s="122">
        <v>17470.728074872739</v>
      </c>
      <c r="C47" s="122">
        <v>18456.129930863131</v>
      </c>
      <c r="D47" s="122">
        <v>19523.374045715162</v>
      </c>
      <c r="E47" s="122">
        <v>20664.45634347801</v>
      </c>
      <c r="F47" s="122">
        <v>21868.461881668609</v>
      </c>
      <c r="G47" s="122">
        <v>23121.068948838809</v>
      </c>
      <c r="H47" s="122">
        <v>24404.126543201452</v>
      </c>
      <c r="I47" s="122">
        <v>25695.352996942642</v>
      </c>
      <c r="J47" s="122">
        <v>26968.211203618961</v>
      </c>
      <c r="K47" s="122">
        <v>28195.972068100651</v>
      </c>
      <c r="L47" s="122">
        <v>29365.27173680226</v>
      </c>
      <c r="M47" s="122">
        <v>30466.91738463553</v>
      </c>
      <c r="N47" s="122">
        <v>31492.421936528081</v>
      </c>
      <c r="O47" s="122">
        <v>32434.124608892002</v>
      </c>
      <c r="P47" s="122">
        <v>33286.237749544911</v>
      </c>
      <c r="Q47" s="122">
        <v>34047.934553269697</v>
      </c>
      <c r="R47" s="122">
        <v>34720.806428201176</v>
      </c>
      <c r="S47" s="122">
        <v>35307.847967730188</v>
      </c>
      <c r="T47" s="122">
        <v>35813.316858946368</v>
      </c>
      <c r="U47" s="122">
        <v>36242.58249834468</v>
      </c>
      <c r="V47" s="122">
        <v>36601.970076192869</v>
      </c>
      <c r="W47" s="122">
        <v>36898.606268784861</v>
      </c>
      <c r="X47" s="122">
        <v>37140.271915643338</v>
      </c>
      <c r="Y47" s="122">
        <v>37335.266222747079</v>
      </c>
      <c r="Z47" s="122">
        <v>37492.286182696298</v>
      </c>
      <c r="AA47" s="122">
        <v>37620.324089446724</v>
      </c>
      <c r="AB47" s="122">
        <v>37728.585290384202</v>
      </c>
      <c r="AC47" s="122">
        <v>37826.427694058308</v>
      </c>
      <c r="AD47" s="122">
        <v>37923.324061087442</v>
      </c>
      <c r="AE47" s="122">
        <v>38028.847764399659</v>
      </c>
      <c r="AF47" s="122">
        <v>38152.682523294337</v>
      </c>
      <c r="AG47" s="122">
        <v>38304.656600419803</v>
      </c>
      <c r="AH47" s="122">
        <v>38494.802106936069</v>
      </c>
      <c r="AI47" s="122">
        <v>38733.440395135403</v>
      </c>
      <c r="AJ47" s="122">
        <v>39031.295039331737</v>
      </c>
      <c r="AK47" s="122">
        <v>39399.634630648558</v>
      </c>
      <c r="AL47" s="122">
        <v>39850.448564128143</v>
      </c>
      <c r="AM47" s="122">
        <v>40396.660214313029</v>
      </c>
      <c r="AN47" s="122">
        <v>41052.38343139783</v>
      </c>
    </row>
    <row r="48" spans="1:40" x14ac:dyDescent="0.2">
      <c r="A48" s="123" t="s">
        <v>109</v>
      </c>
      <c r="B48" s="122">
        <v>2464.9908072284761</v>
      </c>
      <c r="C48" s="122">
        <v>2697.1003978645931</v>
      </c>
      <c r="D48" s="122">
        <v>2958.1893522335981</v>
      </c>
      <c r="E48" s="122">
        <v>3248.618609852289</v>
      </c>
      <c r="F48" s="122">
        <v>3567.8964595702778</v>
      </c>
      <c r="G48" s="122">
        <v>3914.3834673584738</v>
      </c>
      <c r="H48" s="122">
        <v>4284.981585727257</v>
      </c>
      <c r="I48" s="122">
        <v>4674.8305290537628</v>
      </c>
      <c r="J48" s="122">
        <v>5077.0443587889886</v>
      </c>
      <c r="K48" s="122">
        <v>5483.7190087770914</v>
      </c>
      <c r="L48" s="122">
        <v>5890.1455748230064</v>
      </c>
      <c r="M48" s="122">
        <v>6292.5262432065547</v>
      </c>
      <c r="N48" s="122">
        <v>6687.0379051373011</v>
      </c>
      <c r="O48" s="122">
        <v>7069.909395588239</v>
      </c>
      <c r="P48" s="122">
        <v>7437.7664874515503</v>
      </c>
      <c r="Q48" s="122">
        <v>7788.6133804061601</v>
      </c>
      <c r="R48" s="122">
        <v>8121.2466469102883</v>
      </c>
      <c r="S48" s="122">
        <v>8435.0222532629323</v>
      </c>
      <c r="T48" s="122">
        <v>8729.8498525578179</v>
      </c>
      <c r="U48" s="122">
        <v>9006.1744740438025</v>
      </c>
      <c r="V48" s="122">
        <v>9264.948502954654</v>
      </c>
      <c r="W48" s="122">
        <v>9507.5970243092506</v>
      </c>
      <c r="X48" s="122">
        <v>9735.9796227713377</v>
      </c>
      <c r="Y48" s="122">
        <v>9952.3516224316591</v>
      </c>
      <c r="Z48" s="122">
        <v>10159.327553707861</v>
      </c>
      <c r="AA48" s="122">
        <v>10359.849388941881</v>
      </c>
      <c r="AB48" s="122">
        <v>10557.16183190755</v>
      </c>
      <c r="AC48" s="122">
        <v>10754.79671466839</v>
      </c>
      <c r="AD48" s="122">
        <v>10956.56837993861</v>
      </c>
      <c r="AE48" s="122">
        <v>11166.581836933099</v>
      </c>
      <c r="AF48" s="122">
        <v>11389.255500041099</v>
      </c>
      <c r="AG48" s="122">
        <v>11629.36047838915</v>
      </c>
      <c r="AH48" s="122">
        <v>11892.078708178629</v>
      </c>
      <c r="AI48" s="122">
        <v>12183.082741229569</v>
      </c>
      <c r="AJ48" s="122">
        <v>12508.64076387796</v>
      </c>
      <c r="AK48" s="122">
        <v>12875.75147544808</v>
      </c>
      <c r="AL48" s="122">
        <v>13292.314880254309</v>
      </c>
      <c r="AM48" s="122">
        <v>13767.346945322161</v>
      </c>
      <c r="AN48" s="122">
        <v>14311.248591542069</v>
      </c>
    </row>
    <row r="49" spans="1:40" x14ac:dyDescent="0.2">
      <c r="A49" s="123" t="s">
        <v>110</v>
      </c>
      <c r="B49" s="122">
        <v>1298.5975960878829</v>
      </c>
      <c r="C49" s="122">
        <v>1369.3309303282369</v>
      </c>
      <c r="D49" s="122">
        <v>1445.7801951071269</v>
      </c>
      <c r="E49" s="122">
        <v>1527.339699896884</v>
      </c>
      <c r="F49" s="122">
        <v>1613.199250896663</v>
      </c>
      <c r="G49" s="122">
        <v>1702.310865304238</v>
      </c>
      <c r="H49" s="122">
        <v>1793.3609338783899</v>
      </c>
      <c r="I49" s="122">
        <v>1884.7510736027029</v>
      </c>
      <c r="J49" s="122">
        <v>1974.591396857953</v>
      </c>
      <c r="K49" s="122">
        <v>2060.9905848067119</v>
      </c>
      <c r="L49" s="122">
        <v>2143.0152125302511</v>
      </c>
      <c r="M49" s="122">
        <v>2220.0309287172681</v>
      </c>
      <c r="N49" s="122">
        <v>2291.45517825971</v>
      </c>
      <c r="O49" s="122">
        <v>2356.7652459111432</v>
      </c>
      <c r="P49" s="122">
        <v>2415.572657595907</v>
      </c>
      <c r="Q49" s="122">
        <v>2467.8431041199851</v>
      </c>
      <c r="R49" s="122">
        <v>2513.7127281630128</v>
      </c>
      <c r="S49" s="122">
        <v>2553.4149629849771</v>
      </c>
      <c r="T49" s="122">
        <v>2587.270327373184</v>
      </c>
      <c r="U49" s="122">
        <v>2615.6755219799229</v>
      </c>
      <c r="V49" s="122">
        <v>2639.092291281645</v>
      </c>
      <c r="W49" s="122">
        <v>2658.036469518212</v>
      </c>
      <c r="X49" s="122">
        <v>2673.0675742561771</v>
      </c>
      <c r="Y49" s="122">
        <v>2684.7792521326178</v>
      </c>
      <c r="Z49" s="122">
        <v>2693.790821865814</v>
      </c>
      <c r="AA49" s="122">
        <v>2700.740103149511</v>
      </c>
      <c r="AB49" s="122">
        <v>2706.2776693011101</v>
      </c>
      <c r="AC49" s="122">
        <v>2711.0626185809829</v>
      </c>
      <c r="AD49" s="122">
        <v>2715.7599254136212</v>
      </c>
      <c r="AE49" s="122">
        <v>2721.0394092956381</v>
      </c>
      <c r="AF49" s="122">
        <v>2727.576346565429</v>
      </c>
      <c r="AG49" s="122">
        <v>2736.0537487873262</v>
      </c>
      <c r="AH49" s="122">
        <v>2747.166341528462</v>
      </c>
      <c r="AI49" s="122">
        <v>2761.6262990969581</v>
      </c>
      <c r="AJ49" s="122">
        <v>2780.1708249007188</v>
      </c>
      <c r="AK49" s="122">
        <v>2803.571714397302</v>
      </c>
      <c r="AL49" s="122">
        <v>2832.6470996255389</v>
      </c>
      <c r="AM49" s="122">
        <v>2868.2756533039378</v>
      </c>
      <c r="AN49" s="122">
        <v>2911.413629744241</v>
      </c>
    </row>
    <row r="50" spans="1:40" x14ac:dyDescent="0.2">
      <c r="A50" s="123" t="s">
        <v>36</v>
      </c>
      <c r="B50" s="122">
        <v>42091.75905114122</v>
      </c>
      <c r="C50" s="122">
        <v>47647.43232378018</v>
      </c>
      <c r="D50" s="122">
        <v>53866.388160768147</v>
      </c>
      <c r="E50" s="122">
        <v>60782.886884931671</v>
      </c>
      <c r="F50" s="122">
        <v>68419.372431691809</v>
      </c>
      <c r="G50" s="122">
        <v>76782.160883105942</v>
      </c>
      <c r="H50" s="122">
        <v>85856.70934065347</v>
      </c>
      <c r="I50" s="122">
        <v>95602.664589621141</v>
      </c>
      <c r="J50" s="122">
        <v>105948.9819026818</v>
      </c>
      <c r="K50" s="122">
        <v>116815.0423761994</v>
      </c>
      <c r="L50" s="122">
        <v>128203.5362606328</v>
      </c>
      <c r="M50" s="122">
        <v>140158.52624017661</v>
      </c>
      <c r="N50" s="122">
        <v>152748.29008057629</v>
      </c>
      <c r="O50" s="122">
        <v>166069.3718636808</v>
      </c>
      <c r="P50" s="122">
        <v>180228.38570138981</v>
      </c>
      <c r="Q50" s="122">
        <v>195263.80143585501</v>
      </c>
      <c r="R50" s="122">
        <v>211190.65548441219</v>
      </c>
      <c r="S50" s="122">
        <v>228019.2855852611</v>
      </c>
      <c r="T50" s="122">
        <v>245754.73880438469</v>
      </c>
      <c r="U50" s="122">
        <v>264396.17775477021</v>
      </c>
      <c r="V50" s="122">
        <v>283936.29346122988</v>
      </c>
      <c r="W50" s="122">
        <v>304360.73419157829</v>
      </c>
      <c r="X50" s="122">
        <v>325647.56038604851</v>
      </c>
      <c r="Y50" s="122">
        <v>347766.7365235702</v>
      </c>
      <c r="Z50" s="122">
        <v>370679.67133672949</v>
      </c>
      <c r="AA50" s="122">
        <v>394338.81819739268</v>
      </c>
      <c r="AB50" s="122">
        <v>418687.34771315602</v>
      </c>
      <c r="AC50" s="122">
        <v>443658.90457317058</v>
      </c>
      <c r="AD50" s="122">
        <v>469177.46043525141</v>
      </c>
      <c r="AE50" s="122">
        <v>495157.27413231001</v>
      </c>
      <c r="AF50" s="122">
        <v>521502.96967744798</v>
      </c>
      <c r="AG50" s="122">
        <v>548109.7414511923</v>
      </c>
      <c r="AH50" s="122">
        <v>574863.69455542089</v>
      </c>
      <c r="AI50" s="122">
        <v>601642.3266180841</v>
      </c>
      <c r="AJ50" s="122">
        <v>628315.1553401784</v>
      </c>
      <c r="AK50" s="122">
        <v>654744.49381011701</v>
      </c>
      <c r="AL50" s="122">
        <v>680786.37309788761</v>
      </c>
      <c r="AM50" s="122">
        <v>706291.60891891317</v>
      </c>
      <c r="AN50" s="122">
        <v>731107.00627126999</v>
      </c>
    </row>
    <row r="51" spans="1:40" x14ac:dyDescent="0.2">
      <c r="A51" s="123" t="s">
        <v>37</v>
      </c>
      <c r="B51" s="122">
        <v>35734.097446895939</v>
      </c>
      <c r="C51" s="122">
        <v>39327.475571755</v>
      </c>
      <c r="D51" s="122">
        <v>43258.822547031283</v>
      </c>
      <c r="E51" s="122">
        <v>47528.759607043838</v>
      </c>
      <c r="F51" s="122">
        <v>52128.978902323979</v>
      </c>
      <c r="G51" s="122">
        <v>57040.15506899367</v>
      </c>
      <c r="H51" s="122">
        <v>62229.843471713939</v>
      </c>
      <c r="I51" s="122">
        <v>67650.504753539091</v>
      </c>
      <c r="J51" s="122">
        <v>73237.832988082402</v>
      </c>
      <c r="K51" s="122">
        <v>78926.687348438732</v>
      </c>
      <c r="L51" s="122">
        <v>84711.860353247059</v>
      </c>
      <c r="M51" s="122">
        <v>90614.681977084576</v>
      </c>
      <c r="N51" s="122">
        <v>96669.390801621528</v>
      </c>
      <c r="O51" s="122">
        <v>102924.2013204642</v>
      </c>
      <c r="P51" s="122">
        <v>109428.90294915131</v>
      </c>
      <c r="Q51" s="122">
        <v>116188.7034419069</v>
      </c>
      <c r="R51" s="122">
        <v>123194.19403986901</v>
      </c>
      <c r="S51" s="122">
        <v>130433.2170208615</v>
      </c>
      <c r="T51" s="122">
        <v>137890.69355339339</v>
      </c>
      <c r="U51" s="122">
        <v>145548.47041198489</v>
      </c>
      <c r="V51" s="122">
        <v>153385.19047849579</v>
      </c>
      <c r="W51" s="122">
        <v>161376.1921421983</v>
      </c>
      <c r="X51" s="122">
        <v>169493.4428063455</v>
      </c>
      <c r="Y51" s="122">
        <v>177705.51169427999</v>
      </c>
      <c r="Z51" s="122">
        <v>185977.58700794351</v>
      </c>
      <c r="AA51" s="122">
        <v>194271.54221158021</v>
      </c>
      <c r="AB51" s="122">
        <v>202546.0557812902</v>
      </c>
      <c r="AC51" s="122">
        <v>210756.7881676486</v>
      </c>
      <c r="AD51" s="122">
        <v>218856.61895830039</v>
      </c>
      <c r="AE51" s="122">
        <v>226795.94629932911</v>
      </c>
      <c r="AF51" s="122">
        <v>234523.04954248201</v>
      </c>
      <c r="AG51" s="122">
        <v>241984.51484006611</v>
      </c>
      <c r="AH51" s="122">
        <v>249125.7220269448</v>
      </c>
      <c r="AI51" s="122">
        <v>255891.38963262801</v>
      </c>
      <c r="AJ51" s="122">
        <v>262226.17328560492</v>
      </c>
      <c r="AK51" s="122">
        <v>268075.31114324607</v>
      </c>
      <c r="AL51" s="122">
        <v>273385.30834599258</v>
      </c>
      <c r="AM51" s="122">
        <v>278104.65090179618</v>
      </c>
      <c r="AN51" s="122">
        <v>282184.53790764872</v>
      </c>
    </row>
    <row r="52" spans="1:40" x14ac:dyDescent="0.2">
      <c r="A52" s="123" t="s">
        <v>38</v>
      </c>
      <c r="B52" s="122">
        <v>26597.51092538951</v>
      </c>
      <c r="C52" s="122">
        <v>28990.32900111888</v>
      </c>
      <c r="D52" s="122">
        <v>31589.728954007231</v>
      </c>
      <c r="E52" s="122">
        <v>34391.648063235451</v>
      </c>
      <c r="F52" s="122">
        <v>37385.925334768748</v>
      </c>
      <c r="G52" s="122">
        <v>40555.061472579917</v>
      </c>
      <c r="H52" s="122">
        <v>43873.017205319957</v>
      </c>
      <c r="I52" s="122">
        <v>47304.142557618346</v>
      </c>
      <c r="J52" s="122">
        <v>50802.35049201631</v>
      </c>
      <c r="K52" s="122">
        <v>54322.387943602007</v>
      </c>
      <c r="L52" s="122">
        <v>57861.100522052213</v>
      </c>
      <c r="M52" s="122">
        <v>61433.240389035338</v>
      </c>
      <c r="N52" s="122">
        <v>65061.663036756217</v>
      </c>
      <c r="O52" s="122">
        <v>68777.756569293138</v>
      </c>
      <c r="P52" s="122">
        <v>72612.969021459503</v>
      </c>
      <c r="Q52" s="122">
        <v>76568.559185634032</v>
      </c>
      <c r="R52" s="122">
        <v>80636.138562949345</v>
      </c>
      <c r="S52" s="122">
        <v>84805.655126006954</v>
      </c>
      <c r="T52" s="122">
        <v>89065.318225714858</v>
      </c>
      <c r="U52" s="122">
        <v>93401.538539630172</v>
      </c>
      <c r="V52" s="122">
        <v>97798.886039395293</v>
      </c>
      <c r="W52" s="122">
        <v>102240.06899250951</v>
      </c>
      <c r="X52" s="122">
        <v>106705.9369828253</v>
      </c>
      <c r="Y52" s="122">
        <v>111175.5108249827</v>
      </c>
      <c r="Z52" s="122">
        <v>115626.0420515741</v>
      </c>
      <c r="AA52" s="122">
        <v>120033.1043607248</v>
      </c>
      <c r="AB52" s="122">
        <v>124370.7190203966</v>
      </c>
      <c r="AC52" s="122">
        <v>128611.51573100391</v>
      </c>
      <c r="AD52" s="122">
        <v>132726.9298497675</v>
      </c>
      <c r="AE52" s="122">
        <v>136687.43618196991</v>
      </c>
      <c r="AF52" s="122">
        <v>140462.81875314639</v>
      </c>
      <c r="AG52" s="122">
        <v>144022.47510370289</v>
      </c>
      <c r="AH52" s="122">
        <v>147335.75270931769</v>
      </c>
      <c r="AI52" s="122">
        <v>150372.31414704971</v>
      </c>
      <c r="AJ52" s="122">
        <v>153102.52662289579</v>
      </c>
      <c r="AK52" s="122">
        <v>155497.87048016911</v>
      </c>
      <c r="AL52" s="122">
        <v>157531.36035130639</v>
      </c>
      <c r="AM52" s="122">
        <v>159177.97173308159</v>
      </c>
      <c r="AN52" s="122">
        <v>160415.0649925569</v>
      </c>
    </row>
    <row r="53" spans="1:40" x14ac:dyDescent="0.2">
      <c r="A53" s="123" t="s">
        <v>39</v>
      </c>
      <c r="B53" s="122">
        <v>6452.974249433144</v>
      </c>
      <c r="C53" s="122">
        <v>6843.8408704817784</v>
      </c>
      <c r="D53" s="122">
        <v>7261.9280643527954</v>
      </c>
      <c r="E53" s="122">
        <v>7704.3828951481291</v>
      </c>
      <c r="F53" s="122">
        <v>8167.3178629064996</v>
      </c>
      <c r="G53" s="122">
        <v>8645.6679069113397</v>
      </c>
      <c r="H53" s="122">
        <v>9133.0732402126687</v>
      </c>
      <c r="I53" s="122">
        <v>9621.802498072122</v>
      </c>
      <c r="J53" s="122">
        <v>10102.73242138963</v>
      </c>
      <c r="K53" s="122">
        <v>10567.660388002911</v>
      </c>
      <c r="L53" s="122">
        <v>11016.979757760109</v>
      </c>
      <c r="M53" s="122">
        <v>11454.310320812499</v>
      </c>
      <c r="N53" s="122">
        <v>11884.393191994361</v>
      </c>
      <c r="O53" s="122">
        <v>12313.052644333629</v>
      </c>
      <c r="P53" s="122">
        <v>12745.622564523401</v>
      </c>
      <c r="Q53" s="122">
        <v>13181.860344957109</v>
      </c>
      <c r="R53" s="122">
        <v>13619.883358811991</v>
      </c>
      <c r="S53" s="122">
        <v>14057.619822611519</v>
      </c>
      <c r="T53" s="122">
        <v>14492.810627643559</v>
      </c>
      <c r="U53" s="122">
        <v>14923.01422291627</v>
      </c>
      <c r="V53" s="122">
        <v>15345.614868573741</v>
      </c>
      <c r="W53" s="122">
        <v>15757.83454855633</v>
      </c>
      <c r="X53" s="122">
        <v>16156.748788430899</v>
      </c>
      <c r="Y53" s="122">
        <v>16539.306567950101</v>
      </c>
      <c r="Z53" s="122">
        <v>16902.354447614369</v>
      </c>
      <c r="AA53" s="122">
        <v>17242.664944326621</v>
      </c>
      <c r="AB53" s="122">
        <v>17556.969093692871</v>
      </c>
      <c r="AC53" s="122">
        <v>17841.993026781998</v>
      </c>
      <c r="AD53" s="122">
        <v>18094.498268999749</v>
      </c>
      <c r="AE53" s="122">
        <v>18311.325340659099</v>
      </c>
      <c r="AF53" s="122">
        <v>18489.44010601706</v>
      </c>
      <c r="AG53" s="122">
        <v>18625.982183877411</v>
      </c>
      <c r="AH53" s="122">
        <v>18718.314602816408</v>
      </c>
      <c r="AI53" s="122">
        <v>18764.073762690859</v>
      </c>
      <c r="AJ53" s="122">
        <v>18761.218656725399</v>
      </c>
      <c r="AK53" s="122">
        <v>18708.078220740212</v>
      </c>
      <c r="AL53" s="122">
        <v>18603.395613520199</v>
      </c>
      <c r="AM53" s="122">
        <v>18446.36820021773</v>
      </c>
      <c r="AN53" s="122">
        <v>18236.682013709891</v>
      </c>
    </row>
    <row r="54" spans="1:40" x14ac:dyDescent="0.2">
      <c r="A54" s="123" t="s">
        <v>40</v>
      </c>
      <c r="B54" s="122">
        <v>17998.461308152699</v>
      </c>
      <c r="C54" s="122">
        <v>19297.54642595008</v>
      </c>
      <c r="D54" s="122">
        <v>20694.163497724279</v>
      </c>
      <c r="E54" s="122">
        <v>22181.93116845152</v>
      </c>
      <c r="F54" s="122">
        <v>23751.068726314621</v>
      </c>
      <c r="G54" s="122">
        <v>25387.849487169471</v>
      </c>
      <c r="H54" s="122">
        <v>27074.11435512457</v>
      </c>
      <c r="I54" s="122">
        <v>28786.894641683601</v>
      </c>
      <c r="J54" s="122">
        <v>30498.201039285112</v>
      </c>
      <c r="K54" s="122">
        <v>32181.946398171898</v>
      </c>
      <c r="L54" s="122">
        <v>33837.769188535298</v>
      </c>
      <c r="M54" s="122">
        <v>35475.484039551789</v>
      </c>
      <c r="N54" s="122">
        <v>37108.89160210314</v>
      </c>
      <c r="O54" s="122">
        <v>38755.785137596213</v>
      </c>
      <c r="P54" s="122">
        <v>40433.047375067013</v>
      </c>
      <c r="Q54" s="122">
        <v>42140.213455547411</v>
      </c>
      <c r="R54" s="122">
        <v>43871.538951060051</v>
      </c>
      <c r="S54" s="122">
        <v>45620.542846317927</v>
      </c>
      <c r="T54" s="122">
        <v>47379.997134505567</v>
      </c>
      <c r="U54" s="122">
        <v>49141.925986034847</v>
      </c>
      <c r="V54" s="122">
        <v>50897.6157801874</v>
      </c>
      <c r="W54" s="122">
        <v>52637.637235118433</v>
      </c>
      <c r="X54" s="122">
        <v>54351.88077630983</v>
      </c>
      <c r="Y54" s="122">
        <v>56029.606143410689</v>
      </c>
      <c r="Z54" s="122">
        <v>57659.507047594139</v>
      </c>
      <c r="AA54" s="122">
        <v>59229.791454375983</v>
      </c>
      <c r="AB54" s="122">
        <v>60728.277780061777</v>
      </c>
      <c r="AC54" s="122">
        <v>62142.506955117417</v>
      </c>
      <c r="AD54" s="122">
        <v>63459.869928301581</v>
      </c>
      <c r="AE54" s="122">
        <v>64667.749767049652</v>
      </c>
      <c r="AF54" s="122">
        <v>65753.677060340633</v>
      </c>
      <c r="AG54" s="122">
        <v>66705.496860477855</v>
      </c>
      <c r="AH54" s="122">
        <v>67511.544922520174</v>
      </c>
      <c r="AI54" s="122">
        <v>68160.830529297804</v>
      </c>
      <c r="AJ54" s="122">
        <v>68643.222742622282</v>
      </c>
      <c r="AK54" s="122">
        <v>68949.636515460181</v>
      </c>
      <c r="AL54" s="122">
        <v>69072.214754245462</v>
      </c>
      <c r="AM54" s="122">
        <v>69004.502154076923</v>
      </c>
      <c r="AN54" s="122">
        <v>68741.606460467126</v>
      </c>
    </row>
    <row r="55" spans="1:40" x14ac:dyDescent="0.2">
      <c r="A55" s="123" t="s">
        <v>41</v>
      </c>
      <c r="B55" s="122">
        <v>44125.462351119488</v>
      </c>
      <c r="C55" s="122">
        <v>47445.301217263906</v>
      </c>
      <c r="D55" s="122">
        <v>51020.137783439583</v>
      </c>
      <c r="E55" s="122">
        <v>54835.57487858602</v>
      </c>
      <c r="F55" s="122">
        <v>58868.558897944968</v>
      </c>
      <c r="G55" s="122">
        <v>63085.930466064143</v>
      </c>
      <c r="H55" s="122">
        <v>67443.111984962117</v>
      </c>
      <c r="I55" s="122">
        <v>71883.058126554053</v>
      </c>
      <c r="J55" s="122">
        <v>76335.616748930523</v>
      </c>
      <c r="K55" s="122">
        <v>80734.803498429363</v>
      </c>
      <c r="L55" s="122">
        <v>85078.850897826385</v>
      </c>
      <c r="M55" s="122">
        <v>89391.72782330506</v>
      </c>
      <c r="N55" s="122">
        <v>93707.766128707008</v>
      </c>
      <c r="O55" s="122">
        <v>98071.771329044757</v>
      </c>
      <c r="P55" s="122">
        <v>102526.6600835471</v>
      </c>
      <c r="Q55" s="122">
        <v>107071.5910117288</v>
      </c>
      <c r="R55" s="122">
        <v>111692.2881131865</v>
      </c>
      <c r="S55" s="122">
        <v>116372.5192239982</v>
      </c>
      <c r="T55" s="122">
        <v>121094.0572963158</v>
      </c>
      <c r="U55" s="122">
        <v>125836.6656725457</v>
      </c>
      <c r="V55" s="122">
        <v>130578.1108013784</v>
      </c>
      <c r="W55" s="122">
        <v>135294.20573550701</v>
      </c>
      <c r="X55" s="122">
        <v>139958.88754000771</v>
      </c>
      <c r="Y55" s="122">
        <v>144544.33141557689</v>
      </c>
      <c r="Z55" s="122">
        <v>149021.10389375029</v>
      </c>
      <c r="AA55" s="122">
        <v>153358.35688641609</v>
      </c>
      <c r="AB55" s="122">
        <v>157524.06366746259</v>
      </c>
      <c r="AC55" s="122">
        <v>161485.29703266971</v>
      </c>
      <c r="AD55" s="122">
        <v>165208.5489323115</v>
      </c>
      <c r="AE55" s="122">
        <v>168660.0898121722</v>
      </c>
      <c r="AF55" s="122">
        <v>171806.36475149571</v>
      </c>
      <c r="AG55" s="122">
        <v>174614.42227543981</v>
      </c>
      <c r="AH55" s="122">
        <v>177052.37047563211</v>
      </c>
      <c r="AI55" s="122">
        <v>179089.85383169301</v>
      </c>
      <c r="AJ55" s="122">
        <v>180698.5429303878</v>
      </c>
      <c r="AK55" s="122">
        <v>181852.62817258781</v>
      </c>
      <c r="AL55" s="122">
        <v>182529.3075892948</v>
      </c>
      <c r="AM55" s="122">
        <v>182709.25810531221</v>
      </c>
      <c r="AN55" s="122">
        <v>182377.07904043971</v>
      </c>
    </row>
    <row r="56" spans="1:40" x14ac:dyDescent="0.2">
      <c r="A56" s="123" t="s">
        <v>42</v>
      </c>
      <c r="B56" s="122">
        <v>26850.540684381289</v>
      </c>
      <c r="C56" s="122">
        <v>28392.932955723059</v>
      </c>
      <c r="D56" s="122">
        <v>30041.103394334121</v>
      </c>
      <c r="E56" s="122">
        <v>31782.670524012421</v>
      </c>
      <c r="F56" s="122">
        <v>33601.158811715322</v>
      </c>
      <c r="G56" s="122">
        <v>35475.454608692031</v>
      </c>
      <c r="H56" s="122">
        <v>37379.372774696953</v>
      </c>
      <c r="I56" s="122">
        <v>39281.390856643273</v>
      </c>
      <c r="J56" s="122">
        <v>41144.613939322691</v>
      </c>
      <c r="K56" s="122">
        <v>42936.20605212808</v>
      </c>
      <c r="L56" s="122">
        <v>44658.405808028227</v>
      </c>
      <c r="M56" s="122">
        <v>46326.420525941212</v>
      </c>
      <c r="N56" s="122">
        <v>47959.799629633177</v>
      </c>
      <c r="O56" s="122">
        <v>49582.242586477543</v>
      </c>
      <c r="P56" s="122">
        <v>51215.251801829167</v>
      </c>
      <c r="Q56" s="122">
        <v>52857.805094081661</v>
      </c>
      <c r="R56" s="122">
        <v>54502.318162611416</v>
      </c>
      <c r="S56" s="122">
        <v>56140.494097809787</v>
      </c>
      <c r="T56" s="122">
        <v>57763.335467098863</v>
      </c>
      <c r="U56" s="122">
        <v>59361.168605399747</v>
      </c>
      <c r="V56" s="122">
        <v>60923.681293395908</v>
      </c>
      <c r="W56" s="122">
        <v>62439.97487359737</v>
      </c>
      <c r="X56" s="122">
        <v>63898.631670328759</v>
      </c>
      <c r="Y56" s="122">
        <v>65287.798342672628</v>
      </c>
      <c r="Z56" s="122">
        <v>66595.285508021901</v>
      </c>
      <c r="AA56" s="122">
        <v>67808.683628874802</v>
      </c>
      <c r="AB56" s="122">
        <v>68915.494759763504</v>
      </c>
      <c r="AC56" s="122">
        <v>69903.279309977137</v>
      </c>
      <c r="AD56" s="122">
        <v>70759.816498957007</v>
      </c>
      <c r="AE56" s="122">
        <v>71473.276675570582</v>
      </c>
      <c r="AF56" s="122">
        <v>72032.403153327075</v>
      </c>
      <c r="AG56" s="122">
        <v>72426.700697038046</v>
      </c>
      <c r="AH56" s="122">
        <v>72646.627300872264</v>
      </c>
      <c r="AI56" s="122">
        <v>72683.785443488901</v>
      </c>
      <c r="AJ56" s="122">
        <v>72531.108614564582</v>
      </c>
      <c r="AK56" s="122">
        <v>72183.038600628992</v>
      </c>
      <c r="AL56" s="122">
        <v>71635.688818317882</v>
      </c>
      <c r="AM56" s="122">
        <v>70886.988910053042</v>
      </c>
      <c r="AN56" s="122">
        <v>69936.805888191739</v>
      </c>
    </row>
    <row r="57" spans="1:40" x14ac:dyDescent="0.2">
      <c r="A57" s="123" t="s">
        <v>43</v>
      </c>
      <c r="B57" s="122">
        <v>7683.5639559520841</v>
      </c>
      <c r="C57" s="122">
        <v>8277.7836288869603</v>
      </c>
      <c r="D57" s="122">
        <v>8915.8793864442814</v>
      </c>
      <c r="E57" s="122">
        <v>9595.0255471041819</v>
      </c>
      <c r="F57" s="122">
        <v>10310.81521571222</v>
      </c>
      <c r="G57" s="122">
        <v>11057.014300952431</v>
      </c>
      <c r="H57" s="122">
        <v>11825.344987302709</v>
      </c>
      <c r="I57" s="122">
        <v>12605.32158642827</v>
      </c>
      <c r="J57" s="122">
        <v>13384.16505737933</v>
      </c>
      <c r="K57" s="122">
        <v>14149.876332687951</v>
      </c>
      <c r="L57" s="122">
        <v>14901.826376043509</v>
      </c>
      <c r="M57" s="122">
        <v>15643.97155518086</v>
      </c>
      <c r="N57" s="122">
        <v>16382.13005005929</v>
      </c>
      <c r="O57" s="122">
        <v>17123.980449184579</v>
      </c>
      <c r="P57" s="122">
        <v>17876.867514330199</v>
      </c>
      <c r="Q57" s="122">
        <v>18640.454441828038</v>
      </c>
      <c r="R57" s="122">
        <v>19412.083501254241</v>
      </c>
      <c r="S57" s="122">
        <v>20188.80393611022</v>
      </c>
      <c r="T57" s="122">
        <v>20967.372905688269</v>
      </c>
      <c r="U57" s="122">
        <v>21744.260461239199</v>
      </c>
      <c r="V57" s="122">
        <v>22515.658958477619</v>
      </c>
      <c r="W57" s="122">
        <v>23277.49727027912</v>
      </c>
      <c r="X57" s="122">
        <v>24025.460111157259</v>
      </c>
      <c r="Y57" s="122">
        <v>24755.012718129259</v>
      </c>
      <c r="Z57" s="122">
        <v>25461.431050659201</v>
      </c>
      <c r="AA57" s="122">
        <v>26139.837575685669</v>
      </c>
      <c r="AB57" s="122">
        <v>26785.242593021361</v>
      </c>
      <c r="AC57" s="122">
        <v>27392.59093291757</v>
      </c>
      <c r="AD57" s="122">
        <v>27956.81372319494</v>
      </c>
      <c r="AE57" s="122">
        <v>28472.88478056026</v>
      </c>
      <c r="AF57" s="122">
        <v>28935.88103267748</v>
      </c>
      <c r="AG57" s="122">
        <v>29341.046227982471</v>
      </c>
      <c r="AH57" s="122">
        <v>29683.85704338544</v>
      </c>
      <c r="AI57" s="122">
        <v>29960.090560638491</v>
      </c>
      <c r="AJ57" s="122">
        <v>30165.891955318089</v>
      </c>
      <c r="AK57" s="122">
        <v>30297.8411333517</v>
      </c>
      <c r="AL57" s="122">
        <v>30353.01696406315</v>
      </c>
      <c r="AM57" s="122">
        <v>30329.057700900368</v>
      </c>
      <c r="AN57" s="122">
        <v>30224.216155984359</v>
      </c>
    </row>
    <row r="58" spans="1:40" x14ac:dyDescent="0.2">
      <c r="A58" s="123" t="s">
        <v>44</v>
      </c>
      <c r="B58" s="122">
        <v>54218.036905075918</v>
      </c>
      <c r="C58" s="122">
        <v>58363.214632982214</v>
      </c>
      <c r="D58" s="122">
        <v>62829.758050864963</v>
      </c>
      <c r="E58" s="122">
        <v>67600.623932860472</v>
      </c>
      <c r="F58" s="122">
        <v>72647.976746171204</v>
      </c>
      <c r="G58" s="122">
        <v>77931.352401813376</v>
      </c>
      <c r="H58" s="122">
        <v>83395.984509745278</v>
      </c>
      <c r="I58" s="122">
        <v>88971.450839689482</v>
      </c>
      <c r="J58" s="122">
        <v>94570.825169131072</v>
      </c>
      <c r="K58" s="122">
        <v>100112.05036847451</v>
      </c>
      <c r="L58" s="122">
        <v>105592.5376589541</v>
      </c>
      <c r="M58" s="122">
        <v>111041.7107370991</v>
      </c>
      <c r="N58" s="122">
        <v>116502.0208921038</v>
      </c>
      <c r="O58" s="122">
        <v>122029.13256719289</v>
      </c>
      <c r="P58" s="122">
        <v>127676.56477355601</v>
      </c>
      <c r="Q58" s="122">
        <v>133443.45919862681</v>
      </c>
      <c r="R58" s="122">
        <v>139312.20480797911</v>
      </c>
      <c r="S58" s="122">
        <v>145262.71134466751</v>
      </c>
      <c r="T58" s="122">
        <v>151272.35478810189</v>
      </c>
      <c r="U58" s="122">
        <v>157315.9525218457</v>
      </c>
      <c r="V58" s="122">
        <v>163365.772588822</v>
      </c>
      <c r="W58" s="122">
        <v>169391.58129419151</v>
      </c>
      <c r="X58" s="122">
        <v>175360.7331694579</v>
      </c>
      <c r="Y58" s="122">
        <v>181238.30692270159</v>
      </c>
      <c r="Z58" s="122">
        <v>186987.29045835091</v>
      </c>
      <c r="AA58" s="122">
        <v>192568.81734820671</v>
      </c>
      <c r="AB58" s="122">
        <v>197942.45627048999</v>
      </c>
      <c r="AC58" s="122">
        <v>203066.5539078131</v>
      </c>
      <c r="AD58" s="122">
        <v>207898.63061650691</v>
      </c>
      <c r="AE58" s="122">
        <v>212395.82686380911</v>
      </c>
      <c r="AF58" s="122">
        <v>216515.39699850339</v>
      </c>
      <c r="AG58" s="122">
        <v>220215.24540459199</v>
      </c>
      <c r="AH58" s="122">
        <v>223454.4985240174</v>
      </c>
      <c r="AI58" s="122">
        <v>226194.10466788069</v>
      </c>
      <c r="AJ58" s="122">
        <v>228397.4520168922</v>
      </c>
      <c r="AK58" s="122">
        <v>230030.99379708411</v>
      </c>
      <c r="AL58" s="122">
        <v>231064.86836549159</v>
      </c>
      <c r="AM58" s="122">
        <v>231473.5009136975</v>
      </c>
      <c r="AN58" s="122">
        <v>231236.17275473531</v>
      </c>
    </row>
    <row r="59" spans="1:40" x14ac:dyDescent="0.2">
      <c r="A59" s="123" t="s">
        <v>196</v>
      </c>
      <c r="B59" s="122">
        <v>375578.60517081118</v>
      </c>
      <c r="C59" s="122">
        <v>390173.76175473508</v>
      </c>
      <c r="D59" s="122">
        <v>405076.35844823148</v>
      </c>
      <c r="E59" s="122">
        <v>420175.96161573642</v>
      </c>
      <c r="F59" s="122">
        <v>435354.15341879491</v>
      </c>
      <c r="G59" s="122">
        <v>450482.33832760691</v>
      </c>
      <c r="H59" s="122">
        <v>465420.25373583141</v>
      </c>
      <c r="I59" s="122">
        <v>480015.42190950742</v>
      </c>
      <c r="J59" s="122">
        <v>494103.80507877521</v>
      </c>
      <c r="K59" s="122">
        <v>507532.58540148841</v>
      </c>
      <c r="L59" s="122">
        <v>520228.48035802098</v>
      </c>
      <c r="M59" s="122">
        <v>532142.75502775738</v>
      </c>
      <c r="N59" s="122">
        <v>543231.30763323873</v>
      </c>
      <c r="O59" s="122">
        <v>553454.66054242046</v>
      </c>
      <c r="P59" s="122">
        <v>562783.57036512182</v>
      </c>
      <c r="Q59" s="122">
        <v>571217.08985945478</v>
      </c>
      <c r="R59" s="122">
        <v>578768.78407504433</v>
      </c>
      <c r="S59" s="122">
        <v>585461.06639077037</v>
      </c>
      <c r="T59" s="122">
        <v>591324.45151759789</v>
      </c>
      <c r="U59" s="122">
        <v>596396.74010938278</v>
      </c>
      <c r="V59" s="122">
        <v>600722.1638949794</v>
      </c>
      <c r="W59" s="122">
        <v>604350.51862431015</v>
      </c>
      <c r="X59" s="122">
        <v>607336.30979722366</v>
      </c>
      <c r="Y59" s="122">
        <v>609737.93333101622</v>
      </c>
      <c r="Z59" s="122">
        <v>611616.91022999573</v>
      </c>
      <c r="AA59" s="122">
        <v>613037.19114304206</v>
      </c>
      <c r="AB59" s="122">
        <v>614064.54360577918</v>
      </c>
      <c r="AC59" s="122">
        <v>614766.03191017942</v>
      </c>
      <c r="AD59" s="122">
        <v>615209.59704701824</v>
      </c>
      <c r="AE59" s="122">
        <v>615463.74212122103</v>
      </c>
      <c r="AF59" s="122">
        <v>615597.32712078001</v>
      </c>
      <c r="AG59" s="122">
        <v>615679.47598400037</v>
      </c>
      <c r="AH59" s="122">
        <v>615779.59860477305</v>
      </c>
      <c r="AI59" s="122">
        <v>615967.53078656411</v>
      </c>
      <c r="AJ59" s="122">
        <v>616313.79625456827</v>
      </c>
      <c r="AK59" s="122">
        <v>616889.99673055205</v>
      </c>
      <c r="AL59" s="122">
        <v>617769.33886349003</v>
      </c>
      <c r="AM59" s="122">
        <v>619027.31063174584</v>
      </c>
      <c r="AN59" s="122">
        <v>620742.52489113924</v>
      </c>
    </row>
    <row r="60" spans="1:40" x14ac:dyDescent="0.2">
      <c r="A60" s="123" t="s">
        <v>197</v>
      </c>
      <c r="B60" s="122">
        <v>261752.4068775413</v>
      </c>
      <c r="C60" s="122">
        <v>284585.85662794212</v>
      </c>
      <c r="D60" s="122">
        <v>309477.90983896668</v>
      </c>
      <c r="E60" s="122">
        <v>336403.50350137369</v>
      </c>
      <c r="F60" s="122">
        <v>365281.17292954942</v>
      </c>
      <c r="G60" s="122">
        <v>395960.64659628237</v>
      </c>
      <c r="H60" s="122">
        <v>428210.57186973159</v>
      </c>
      <c r="I60" s="122">
        <v>461707.23044984939</v>
      </c>
      <c r="J60" s="122">
        <v>496025.31975821877</v>
      </c>
      <c r="K60" s="122">
        <v>530746.66070613475</v>
      </c>
      <c r="L60" s="122">
        <v>565862.86682307965</v>
      </c>
      <c r="M60" s="122">
        <v>601540.07360818691</v>
      </c>
      <c r="N60" s="122">
        <v>638024.34541355481</v>
      </c>
      <c r="O60" s="122">
        <v>675647.29446726781</v>
      </c>
      <c r="P60" s="122">
        <v>714744.27178485342</v>
      </c>
      <c r="Q60" s="122">
        <v>755356.44761016581</v>
      </c>
      <c r="R60" s="122">
        <v>797431.30498213402</v>
      </c>
      <c r="S60" s="122">
        <v>840900.84900364478</v>
      </c>
      <c r="T60" s="122">
        <v>885680.67880284705</v>
      </c>
      <c r="U60" s="122">
        <v>931669.17417636677</v>
      </c>
      <c r="V60" s="122">
        <v>978746.82426995621</v>
      </c>
      <c r="W60" s="122">
        <v>1026775.7262835359</v>
      </c>
      <c r="X60" s="122">
        <v>1075599.282230912</v>
      </c>
      <c r="Y60" s="122">
        <v>1125042.1211532741</v>
      </c>
      <c r="Z60" s="122">
        <v>1174910.2728022379</v>
      </c>
      <c r="AA60" s="122">
        <v>1224991.6166075841</v>
      </c>
      <c r="AB60" s="122">
        <v>1275056.626679335</v>
      </c>
      <c r="AC60" s="122">
        <v>1324859.4296371001</v>
      </c>
      <c r="AD60" s="122">
        <v>1374139.1872115911</v>
      </c>
      <c r="AE60" s="122">
        <v>1422621.8098534299</v>
      </c>
      <c r="AF60" s="122">
        <v>1470022.001075438</v>
      </c>
      <c r="AG60" s="122">
        <v>1516045.6250443689</v>
      </c>
      <c r="AH60" s="122">
        <v>1560392.3821609269</v>
      </c>
      <c r="AI60" s="122">
        <v>1602758.7691934509</v>
      </c>
      <c r="AJ60" s="122">
        <v>1642841.29216519</v>
      </c>
      <c r="AK60" s="122">
        <v>1680339.8918733851</v>
      </c>
      <c r="AL60" s="122">
        <v>1714961.5339001201</v>
      </c>
      <c r="AM60" s="122">
        <v>1746423.9075380489</v>
      </c>
      <c r="AN60" s="122">
        <v>1774459.171485004</v>
      </c>
    </row>
    <row r="61" spans="1:40" x14ac:dyDescent="0.2">
      <c r="A61" s="123" t="s">
        <v>198</v>
      </c>
      <c r="B61" s="122">
        <v>1131667.82684</v>
      </c>
      <c r="C61" s="122">
        <v>1190492.2325984519</v>
      </c>
      <c r="D61" s="122">
        <v>1253892.644116044</v>
      </c>
      <c r="E61" s="122">
        <v>1321308.0553953969</v>
      </c>
      <c r="F61" s="122">
        <v>1392021.8991205769</v>
      </c>
      <c r="G61" s="122">
        <v>1465126.7741773981</v>
      </c>
      <c r="H61" s="122">
        <v>1539496.9627618419</v>
      </c>
      <c r="I61" s="122">
        <v>1613772.7347289659</v>
      </c>
      <c r="J61" s="122">
        <v>1686361.1094838739</v>
      </c>
      <c r="K61" s="122">
        <v>1755860.5359665731</v>
      </c>
      <c r="L61" s="122">
        <v>1822426.2620742361</v>
      </c>
      <c r="M61" s="122">
        <v>1886777.8019134591</v>
      </c>
      <c r="N61" s="122">
        <v>1949806.529642456</v>
      </c>
      <c r="O61" s="122">
        <v>2012562.401972438</v>
      </c>
      <c r="P61" s="122">
        <v>2076007.4870838339</v>
      </c>
      <c r="Q61" s="122">
        <v>2140230.326566414</v>
      </c>
      <c r="R61" s="122">
        <v>2205080.4869026439</v>
      </c>
      <c r="S61" s="122">
        <v>2270396.728938181</v>
      </c>
      <c r="T61" s="122">
        <v>2336004.874313463</v>
      </c>
      <c r="U61" s="122">
        <v>2401715.8728144481</v>
      </c>
      <c r="V61" s="122">
        <v>2467324.137287634</v>
      </c>
      <c r="W61" s="122">
        <v>2532606.2152380059</v>
      </c>
      <c r="X61" s="122">
        <v>2597319.8665504009</v>
      </c>
      <c r="Y61" s="122">
        <v>2661203.6149606132</v>
      </c>
      <c r="Z61" s="122">
        <v>2723976.8369313339</v>
      </c>
      <c r="AA61" s="122">
        <v>2785340.4454092481</v>
      </c>
      <c r="AB61" s="122">
        <v>2844978.2174840872</v>
      </c>
      <c r="AC61" s="122">
        <v>2902558.8041700418</v>
      </c>
      <c r="AD61" s="122">
        <v>2957738.4473414342</v>
      </c>
      <c r="AE61" s="122">
        <v>3010164.4132917449</v>
      </c>
      <c r="AF61" s="122">
        <v>3059479.134552673</v>
      </c>
      <c r="AG61" s="122">
        <v>3105325.0317424228</v>
      </c>
      <c r="AH61" s="122">
        <v>3147349.9657105929</v>
      </c>
      <c r="AI61" s="122">
        <v>3185213.2477119318</v>
      </c>
      <c r="AJ61" s="122">
        <v>3218592.1125994511</v>
      </c>
      <c r="AK61" s="122">
        <v>3247188.5381461191</v>
      </c>
      <c r="AL61" s="122">
        <v>3270736.2738883281</v>
      </c>
      <c r="AM61" s="122">
        <v>3289007.9268558128</v>
      </c>
      <c r="AN61" s="122">
        <v>3301821.9409103151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07476-AC89-4417-AEF3-2E407C5CB792}">
  <dimension ref="A1:S118"/>
  <sheetViews>
    <sheetView workbookViewId="0">
      <selection sqref="A1:A2"/>
    </sheetView>
  </sheetViews>
  <sheetFormatPr defaultRowHeight="14.25" x14ac:dyDescent="0.2"/>
  <cols>
    <col min="1" max="1" width="42.25" bestFit="1" customWidth="1"/>
    <col min="2" max="5" width="12.25" customWidth="1"/>
    <col min="6" max="6" width="11.625" bestFit="1" customWidth="1"/>
    <col min="8" max="9" width="13.875" customWidth="1"/>
    <col min="10" max="11" width="12" customWidth="1"/>
    <col min="12" max="15" width="11.625" customWidth="1"/>
  </cols>
  <sheetData>
    <row r="1" spans="1:19" x14ac:dyDescent="0.15">
      <c r="A1" s="183" t="s">
        <v>170</v>
      </c>
      <c r="B1" s="186">
        <v>2013</v>
      </c>
      <c r="C1" s="186"/>
      <c r="D1" s="185">
        <v>2018</v>
      </c>
      <c r="E1" s="185"/>
      <c r="H1" s="76" t="s">
        <v>171</v>
      </c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</row>
    <row r="2" spans="1:19" ht="24" x14ac:dyDescent="0.15">
      <c r="A2" s="184"/>
      <c r="B2" s="46" t="s">
        <v>49</v>
      </c>
      <c r="C2" s="47" t="s">
        <v>50</v>
      </c>
      <c r="D2" s="46" t="s">
        <v>49</v>
      </c>
      <c r="E2" s="47" t="s">
        <v>50</v>
      </c>
      <c r="H2" s="78" t="s">
        <v>172</v>
      </c>
      <c r="I2" s="79"/>
      <c r="K2" s="79"/>
      <c r="L2" s="79"/>
      <c r="M2" s="79"/>
      <c r="N2" s="79"/>
      <c r="O2" s="79"/>
      <c r="P2" s="79"/>
      <c r="Q2" s="79"/>
      <c r="R2" s="79"/>
      <c r="S2" s="79"/>
    </row>
    <row r="3" spans="1:19" ht="14.45" customHeight="1" x14ac:dyDescent="0.2">
      <c r="A3" s="48" t="s">
        <v>51</v>
      </c>
      <c r="B3" s="52">
        <v>592963.19999999995</v>
      </c>
      <c r="C3" s="52">
        <v>100</v>
      </c>
      <c r="D3" s="52">
        <v>919281.1</v>
      </c>
      <c r="E3" s="52">
        <v>100</v>
      </c>
      <c r="H3" s="80" t="s">
        <v>173</v>
      </c>
      <c r="I3" s="46" t="s">
        <v>174</v>
      </c>
      <c r="J3" s="46" t="s">
        <v>175</v>
      </c>
      <c r="K3" s="46" t="s">
        <v>176</v>
      </c>
      <c r="L3" s="46" t="s">
        <v>177</v>
      </c>
      <c r="M3" s="46" t="s">
        <v>178</v>
      </c>
      <c r="N3" s="46" t="s">
        <v>179</v>
      </c>
      <c r="O3" s="46" t="s">
        <v>180</v>
      </c>
      <c r="P3" s="46" t="s">
        <v>181</v>
      </c>
      <c r="Q3" s="46" t="s">
        <v>182</v>
      </c>
      <c r="R3" s="46" t="s">
        <v>183</v>
      </c>
      <c r="S3" s="47" t="s">
        <v>184</v>
      </c>
    </row>
    <row r="4" spans="1:19" ht="14.45" customHeight="1" x14ac:dyDescent="0.2">
      <c r="A4" s="49" t="s">
        <v>45</v>
      </c>
      <c r="B4" s="52">
        <v>54692.4</v>
      </c>
      <c r="C4" s="52">
        <v>9.1999999999999993</v>
      </c>
      <c r="D4" s="52">
        <v>67558.7</v>
      </c>
      <c r="E4" s="52">
        <v>7.3</v>
      </c>
      <c r="H4" s="48" t="s">
        <v>185</v>
      </c>
      <c r="I4" s="52">
        <v>412119.3</v>
      </c>
      <c r="J4" s="52">
        <v>487940.2</v>
      </c>
      <c r="K4" s="52">
        <v>538580</v>
      </c>
      <c r="L4" s="52">
        <v>592963.19999999995</v>
      </c>
      <c r="M4" s="52">
        <v>643563.1</v>
      </c>
      <c r="N4" s="52">
        <v>688858.2</v>
      </c>
      <c r="O4" s="52">
        <v>746395.1</v>
      </c>
      <c r="P4" s="52">
        <v>832035.9</v>
      </c>
      <c r="Q4" s="52">
        <v>919281.1</v>
      </c>
      <c r="R4" s="52">
        <v>986515.2</v>
      </c>
      <c r="S4" s="52">
        <v>1013567</v>
      </c>
    </row>
    <row r="5" spans="1:19" ht="14.45" customHeight="1" x14ac:dyDescent="0.2">
      <c r="A5" s="50" t="s">
        <v>65</v>
      </c>
      <c r="B5" s="52">
        <v>31498.1</v>
      </c>
      <c r="C5" s="52">
        <v>5.3</v>
      </c>
      <c r="D5" s="52">
        <v>39613.300000000003</v>
      </c>
      <c r="E5" s="52">
        <v>4.3</v>
      </c>
      <c r="H5" s="50" t="s">
        <v>45</v>
      </c>
      <c r="I5" s="52">
        <v>39619</v>
      </c>
      <c r="J5" s="52">
        <v>46122.6</v>
      </c>
      <c r="K5" s="52">
        <v>50581.2</v>
      </c>
      <c r="L5" s="52">
        <v>54692.4</v>
      </c>
      <c r="M5" s="52">
        <v>57472.2</v>
      </c>
      <c r="N5" s="52">
        <v>59852.6</v>
      </c>
      <c r="O5" s="52">
        <v>62451</v>
      </c>
      <c r="P5" s="52">
        <v>64660</v>
      </c>
      <c r="Q5" s="52">
        <v>67558.7</v>
      </c>
      <c r="R5" s="52">
        <v>73576.899999999994</v>
      </c>
      <c r="S5" s="52">
        <v>81396.5</v>
      </c>
    </row>
    <row r="6" spans="1:19" ht="14.45" customHeight="1" x14ac:dyDescent="0.2">
      <c r="A6" s="50" t="s">
        <v>66</v>
      </c>
      <c r="B6" s="52">
        <v>2534.8000000000002</v>
      </c>
      <c r="C6" s="52">
        <v>0.4</v>
      </c>
      <c r="D6" s="52">
        <v>3544.2</v>
      </c>
      <c r="E6" s="52">
        <v>0.4</v>
      </c>
      <c r="H6" s="50" t="s">
        <v>70</v>
      </c>
      <c r="I6" s="52">
        <v>20998.7</v>
      </c>
      <c r="J6" s="52">
        <v>26296.2</v>
      </c>
      <c r="K6" s="52">
        <v>25093</v>
      </c>
      <c r="L6" s="52">
        <v>25467.599999999999</v>
      </c>
      <c r="M6" s="52">
        <v>23550.5</v>
      </c>
      <c r="N6" s="52">
        <v>19243.099999999999</v>
      </c>
      <c r="O6" s="52">
        <v>18514.8</v>
      </c>
      <c r="P6" s="52">
        <v>21380.1</v>
      </c>
      <c r="Q6" s="52">
        <v>22592.3</v>
      </c>
      <c r="R6" s="52">
        <v>23695.5</v>
      </c>
      <c r="S6" s="52">
        <v>22011.5</v>
      </c>
    </row>
    <row r="7" spans="1:19" ht="14.45" customHeight="1" x14ac:dyDescent="0.2">
      <c r="A7" s="50" t="s">
        <v>67</v>
      </c>
      <c r="B7" s="52">
        <v>13394.9</v>
      </c>
      <c r="C7" s="52">
        <v>2.2999999999999998</v>
      </c>
      <c r="D7" s="52">
        <v>14254.9</v>
      </c>
      <c r="E7" s="52">
        <v>1.6</v>
      </c>
      <c r="H7" s="50" t="s">
        <v>78</v>
      </c>
      <c r="I7" s="52">
        <v>132887</v>
      </c>
      <c r="J7" s="52">
        <v>156459.4</v>
      </c>
      <c r="K7" s="52">
        <v>169809.5</v>
      </c>
      <c r="L7" s="52">
        <v>181871.1</v>
      </c>
      <c r="M7" s="52">
        <v>194189.7</v>
      </c>
      <c r="N7" s="52">
        <v>199436</v>
      </c>
      <c r="O7" s="52">
        <v>209508.9</v>
      </c>
      <c r="P7" s="52">
        <v>233876.5</v>
      </c>
      <c r="Q7" s="52">
        <v>255937.2</v>
      </c>
      <c r="R7" s="52">
        <v>264136.7</v>
      </c>
      <c r="S7" s="52">
        <v>266417.8</v>
      </c>
    </row>
    <row r="8" spans="1:19" ht="14.45" customHeight="1" x14ac:dyDescent="0.2">
      <c r="A8" s="50" t="s">
        <v>68</v>
      </c>
      <c r="B8" s="52">
        <v>5600.2</v>
      </c>
      <c r="C8" s="52">
        <v>0.9</v>
      </c>
      <c r="D8" s="52">
        <v>7332.7</v>
      </c>
      <c r="E8" s="52">
        <v>0.8</v>
      </c>
      <c r="H8" s="50" t="s">
        <v>52</v>
      </c>
      <c r="I8" s="52">
        <v>11237.4</v>
      </c>
      <c r="J8" s="52">
        <v>12383.6</v>
      </c>
      <c r="K8" s="52">
        <v>13998.9</v>
      </c>
      <c r="L8" s="52">
        <v>14994.5</v>
      </c>
      <c r="M8" s="52">
        <v>15457.2</v>
      </c>
      <c r="N8" s="52">
        <v>16289.8</v>
      </c>
      <c r="O8" s="52">
        <v>17382.7</v>
      </c>
      <c r="P8" s="52">
        <v>19862.7</v>
      </c>
      <c r="Q8" s="52">
        <v>22559.8</v>
      </c>
      <c r="R8" s="52">
        <v>24026.400000000001</v>
      </c>
      <c r="S8" s="52">
        <v>24473.599999999999</v>
      </c>
    </row>
    <row r="9" spans="1:19" ht="14.45" customHeight="1" x14ac:dyDescent="0.2">
      <c r="A9" s="50" t="s">
        <v>69</v>
      </c>
      <c r="B9" s="52">
        <v>1664.4</v>
      </c>
      <c r="C9" s="52">
        <v>0.3</v>
      </c>
      <c r="D9" s="52">
        <v>2813.6</v>
      </c>
      <c r="E9" s="52">
        <v>0.3</v>
      </c>
      <c r="H9" s="50" t="s">
        <v>53</v>
      </c>
      <c r="I9" s="52">
        <v>27259.3</v>
      </c>
      <c r="J9" s="52">
        <v>32926.5</v>
      </c>
      <c r="K9" s="52">
        <v>36896.1</v>
      </c>
      <c r="L9" s="52">
        <v>40896.800000000003</v>
      </c>
      <c r="M9" s="52">
        <v>45401.7</v>
      </c>
      <c r="N9" s="52">
        <v>47761.3</v>
      </c>
      <c r="O9" s="52">
        <v>51498.9</v>
      </c>
      <c r="P9" s="52">
        <v>57905.599999999999</v>
      </c>
      <c r="Q9" s="52">
        <v>65493</v>
      </c>
      <c r="R9" s="52">
        <v>70648.100000000006</v>
      </c>
      <c r="S9" s="52">
        <v>72444.7</v>
      </c>
    </row>
    <row r="10" spans="1:19" ht="14.45" customHeight="1" x14ac:dyDescent="0.2">
      <c r="A10" s="49" t="s">
        <v>70</v>
      </c>
      <c r="B10" s="52">
        <v>25467.599999999999</v>
      </c>
      <c r="C10" s="52">
        <v>4.3</v>
      </c>
      <c r="D10" s="52">
        <v>22592.3</v>
      </c>
      <c r="E10" s="52">
        <v>2.5</v>
      </c>
      <c r="H10" s="50" t="s">
        <v>54</v>
      </c>
      <c r="I10" s="52">
        <v>35907.9</v>
      </c>
      <c r="J10" s="52">
        <v>43734.5</v>
      </c>
      <c r="K10" s="52">
        <v>49835.5</v>
      </c>
      <c r="L10" s="52">
        <v>56288.9</v>
      </c>
      <c r="M10" s="52">
        <v>63170.400000000001</v>
      </c>
      <c r="N10" s="52">
        <v>67719.600000000006</v>
      </c>
      <c r="O10" s="52">
        <v>73724.5</v>
      </c>
      <c r="P10" s="52">
        <v>81156.600000000006</v>
      </c>
      <c r="Q10" s="52">
        <v>88903.7</v>
      </c>
      <c r="R10" s="52">
        <v>95650.9</v>
      </c>
      <c r="S10" s="52">
        <v>96086.1</v>
      </c>
    </row>
    <row r="11" spans="1:19" ht="14.45" customHeight="1" x14ac:dyDescent="0.2">
      <c r="A11" s="50" t="s">
        <v>71</v>
      </c>
      <c r="B11" s="52">
        <v>11543.5</v>
      </c>
      <c r="C11" s="52">
        <v>1.9</v>
      </c>
      <c r="D11" s="52">
        <v>11347.2</v>
      </c>
      <c r="E11" s="52">
        <v>1.2</v>
      </c>
      <c r="H11" s="50" t="s">
        <v>55</v>
      </c>
      <c r="I11" s="52">
        <v>18783.599999999999</v>
      </c>
      <c r="J11" s="52">
        <v>21842</v>
      </c>
      <c r="K11" s="52">
        <v>23763.200000000001</v>
      </c>
      <c r="L11" s="52">
        <v>26042.7</v>
      </c>
      <c r="M11" s="52">
        <v>28534.400000000001</v>
      </c>
      <c r="N11" s="52">
        <v>30519.5</v>
      </c>
      <c r="O11" s="52">
        <v>33028.699999999997</v>
      </c>
      <c r="P11" s="52">
        <v>37121.9</v>
      </c>
      <c r="Q11" s="52">
        <v>40337.199999999997</v>
      </c>
      <c r="R11" s="52">
        <v>42466.3</v>
      </c>
      <c r="S11" s="52">
        <v>40582.9</v>
      </c>
    </row>
    <row r="12" spans="1:19" ht="14.45" customHeight="1" x14ac:dyDescent="0.2">
      <c r="A12" s="50" t="s">
        <v>72</v>
      </c>
      <c r="B12" s="52">
        <v>7782.6</v>
      </c>
      <c r="C12" s="52">
        <v>1.3</v>
      </c>
      <c r="D12" s="52">
        <v>6370.2</v>
      </c>
      <c r="E12" s="52">
        <v>0.7</v>
      </c>
      <c r="H12" s="50" t="s">
        <v>56</v>
      </c>
      <c r="I12" s="52">
        <v>7712</v>
      </c>
      <c r="J12" s="52">
        <v>8565.4</v>
      </c>
      <c r="K12" s="52">
        <v>9536.9</v>
      </c>
      <c r="L12" s="52">
        <v>10228.299999999999</v>
      </c>
      <c r="M12" s="52">
        <v>11228.7</v>
      </c>
      <c r="N12" s="52">
        <v>12306.1</v>
      </c>
      <c r="O12" s="52">
        <v>13607.8</v>
      </c>
      <c r="P12" s="52">
        <v>15056</v>
      </c>
      <c r="Q12" s="52">
        <v>16520.599999999999</v>
      </c>
      <c r="R12" s="52">
        <v>17903.099999999999</v>
      </c>
      <c r="S12" s="52">
        <v>15285.4</v>
      </c>
    </row>
    <row r="13" spans="1:19" ht="14.45" customHeight="1" x14ac:dyDescent="0.2">
      <c r="A13" s="50" t="s">
        <v>73</v>
      </c>
      <c r="B13" s="52">
        <v>2427</v>
      </c>
      <c r="C13" s="52">
        <v>0.4</v>
      </c>
      <c r="D13" s="52">
        <v>924.2</v>
      </c>
      <c r="E13" s="52">
        <v>0.1</v>
      </c>
      <c r="H13" s="50" t="s">
        <v>57</v>
      </c>
      <c r="I13" s="52">
        <v>9049.7000000000007</v>
      </c>
      <c r="J13" s="52">
        <v>10304.799999999999</v>
      </c>
      <c r="K13" s="52">
        <v>11928.7</v>
      </c>
      <c r="L13" s="52">
        <v>13729.7</v>
      </c>
      <c r="M13" s="52">
        <v>15470.6</v>
      </c>
      <c r="N13" s="52">
        <v>17516.8</v>
      </c>
      <c r="O13" s="52">
        <v>20124.099999999999</v>
      </c>
      <c r="P13" s="52">
        <v>23808.9</v>
      </c>
      <c r="Q13" s="52">
        <v>28733.5</v>
      </c>
      <c r="R13" s="52">
        <v>33391.800000000003</v>
      </c>
      <c r="S13" s="52">
        <v>38244.1</v>
      </c>
    </row>
    <row r="14" spans="1:19" ht="14.45" customHeight="1" x14ac:dyDescent="0.2">
      <c r="A14" s="50" t="s">
        <v>74</v>
      </c>
      <c r="B14" s="52">
        <v>1358</v>
      </c>
      <c r="C14" s="52">
        <v>0.2</v>
      </c>
      <c r="D14" s="52">
        <v>1447</v>
      </c>
      <c r="E14" s="52">
        <v>0.2</v>
      </c>
      <c r="H14" s="50" t="s">
        <v>58</v>
      </c>
      <c r="I14" s="52">
        <v>25733.1</v>
      </c>
      <c r="J14" s="52">
        <v>30747.200000000001</v>
      </c>
      <c r="K14" s="52">
        <v>35272.199999999997</v>
      </c>
      <c r="L14" s="52">
        <v>41293.4</v>
      </c>
      <c r="M14" s="52">
        <v>46853.4</v>
      </c>
      <c r="N14" s="52">
        <v>56299.8</v>
      </c>
      <c r="O14" s="52">
        <v>59964</v>
      </c>
      <c r="P14" s="52">
        <v>64844.3</v>
      </c>
      <c r="Q14" s="52">
        <v>70610.3</v>
      </c>
      <c r="R14" s="52">
        <v>76250.600000000006</v>
      </c>
      <c r="S14" s="52">
        <v>83617.7</v>
      </c>
    </row>
    <row r="15" spans="1:19" ht="14.45" customHeight="1" x14ac:dyDescent="0.2">
      <c r="A15" s="50" t="s">
        <v>75</v>
      </c>
      <c r="B15" s="52">
        <v>1472.9</v>
      </c>
      <c r="C15" s="52">
        <v>0.2</v>
      </c>
      <c r="D15" s="52">
        <v>1620.1</v>
      </c>
      <c r="E15" s="52">
        <v>0.2</v>
      </c>
      <c r="H15" s="50" t="s">
        <v>59</v>
      </c>
      <c r="I15" s="52">
        <v>23326.6</v>
      </c>
      <c r="J15" s="52">
        <v>27780.7</v>
      </c>
      <c r="K15" s="52">
        <v>30751.9</v>
      </c>
      <c r="L15" s="52">
        <v>35340.400000000001</v>
      </c>
      <c r="M15" s="52">
        <v>38086.400000000001</v>
      </c>
      <c r="N15" s="52">
        <v>42573.8</v>
      </c>
      <c r="O15" s="52">
        <v>49969.4</v>
      </c>
      <c r="P15" s="52">
        <v>57086</v>
      </c>
      <c r="Q15" s="52">
        <v>64623</v>
      </c>
      <c r="R15" s="52">
        <v>70444.800000000003</v>
      </c>
      <c r="S15" s="52">
        <v>73425.3</v>
      </c>
    </row>
    <row r="16" spans="1:19" ht="14.45" customHeight="1" x14ac:dyDescent="0.2">
      <c r="A16" s="50" t="s">
        <v>76</v>
      </c>
      <c r="B16" s="52">
        <v>864.3</v>
      </c>
      <c r="C16" s="52">
        <v>0.1</v>
      </c>
      <c r="D16" s="52">
        <v>856.8</v>
      </c>
      <c r="E16" s="52">
        <v>0.1</v>
      </c>
      <c r="H16" s="50" t="s">
        <v>60</v>
      </c>
      <c r="I16" s="52">
        <v>7259.8</v>
      </c>
      <c r="J16" s="52">
        <v>9150.2000000000007</v>
      </c>
      <c r="K16" s="52">
        <v>10887.4</v>
      </c>
      <c r="L16" s="52">
        <v>12904.9</v>
      </c>
      <c r="M16" s="52">
        <v>15451.3</v>
      </c>
      <c r="N16" s="52">
        <v>18089.7</v>
      </c>
      <c r="O16" s="52">
        <v>21528.6</v>
      </c>
      <c r="P16" s="52">
        <v>25273.3</v>
      </c>
      <c r="Q16" s="52">
        <v>29468.5</v>
      </c>
      <c r="R16" s="52">
        <v>32638</v>
      </c>
      <c r="S16" s="52">
        <v>32467.599999999999</v>
      </c>
    </row>
    <row r="17" spans="1:19" ht="14.45" customHeight="1" x14ac:dyDescent="0.2">
      <c r="A17" s="50" t="s">
        <v>77</v>
      </c>
      <c r="B17" s="52">
        <v>19.399999999999999</v>
      </c>
      <c r="C17" s="52">
        <v>0</v>
      </c>
      <c r="D17" s="52">
        <v>26.9</v>
      </c>
      <c r="E17" s="52">
        <v>0</v>
      </c>
      <c r="H17" s="50" t="s">
        <v>61</v>
      </c>
      <c r="I17" s="52">
        <v>6464.3</v>
      </c>
      <c r="J17" s="52">
        <v>7944.8</v>
      </c>
      <c r="K17" s="52">
        <v>9456.1</v>
      </c>
      <c r="L17" s="52">
        <v>11023.2</v>
      </c>
      <c r="M17" s="52">
        <v>12476</v>
      </c>
      <c r="N17" s="52">
        <v>13887.2</v>
      </c>
      <c r="O17" s="52">
        <v>15394.2</v>
      </c>
      <c r="P17" s="52">
        <v>17444.7</v>
      </c>
      <c r="Q17" s="52">
        <v>20175.3</v>
      </c>
      <c r="R17" s="52">
        <v>22624.3</v>
      </c>
      <c r="S17" s="52">
        <v>24166.2</v>
      </c>
    </row>
    <row r="18" spans="1:19" ht="14.45" customHeight="1" x14ac:dyDescent="0.2">
      <c r="A18" s="49" t="s">
        <v>78</v>
      </c>
      <c r="B18" s="52">
        <v>181871.1</v>
      </c>
      <c r="C18" s="52">
        <v>30.7</v>
      </c>
      <c r="D18" s="52">
        <v>255937.2</v>
      </c>
      <c r="E18" s="52">
        <v>27.8</v>
      </c>
      <c r="H18" s="50" t="s">
        <v>62</v>
      </c>
      <c r="I18" s="52">
        <v>2035.1</v>
      </c>
      <c r="J18" s="52">
        <v>2499.3000000000002</v>
      </c>
      <c r="K18" s="52">
        <v>3024.7</v>
      </c>
      <c r="L18" s="52">
        <v>3665.1</v>
      </c>
      <c r="M18" s="52">
        <v>3940.9</v>
      </c>
      <c r="N18" s="52">
        <v>4128.6000000000004</v>
      </c>
      <c r="O18" s="52">
        <v>4354.6000000000004</v>
      </c>
      <c r="P18" s="52">
        <v>4602.6000000000004</v>
      </c>
      <c r="Q18" s="52">
        <v>5096.1000000000004</v>
      </c>
      <c r="R18" s="52">
        <v>5861.3</v>
      </c>
      <c r="S18" s="52">
        <v>5863.1</v>
      </c>
    </row>
    <row r="19" spans="1:19" ht="14.45" customHeight="1" x14ac:dyDescent="0.2">
      <c r="A19" s="50" t="s">
        <v>79</v>
      </c>
      <c r="B19" s="52">
        <v>8931.2999999999993</v>
      </c>
      <c r="C19" s="52">
        <v>1.5</v>
      </c>
      <c r="D19" s="52">
        <v>9303.6</v>
      </c>
      <c r="E19" s="52">
        <v>1</v>
      </c>
      <c r="H19" s="50" t="s">
        <v>63</v>
      </c>
      <c r="I19" s="52">
        <v>6458</v>
      </c>
      <c r="J19" s="52">
        <v>7574.7</v>
      </c>
      <c r="K19" s="52">
        <v>8227.7999999999993</v>
      </c>
      <c r="L19" s="52">
        <v>8707.7000000000007</v>
      </c>
      <c r="M19" s="52">
        <v>9633.5</v>
      </c>
      <c r="N19" s="52">
        <v>10586.7</v>
      </c>
      <c r="O19" s="52">
        <v>12183.5</v>
      </c>
      <c r="P19" s="52">
        <v>13725.4</v>
      </c>
      <c r="Q19" s="52">
        <v>14793.3</v>
      </c>
      <c r="R19" s="52">
        <v>16983.400000000001</v>
      </c>
      <c r="S19" s="52">
        <v>16353.2</v>
      </c>
    </row>
    <row r="20" spans="1:19" ht="14.45" customHeight="1" x14ac:dyDescent="0.2">
      <c r="A20" s="50" t="s">
        <v>80</v>
      </c>
      <c r="B20" s="52">
        <v>3982.1</v>
      </c>
      <c r="C20" s="52">
        <v>0.7</v>
      </c>
      <c r="D20" s="52">
        <v>5686.7</v>
      </c>
      <c r="E20" s="52">
        <v>0.6</v>
      </c>
      <c r="H20" s="50" t="s">
        <v>41</v>
      </c>
      <c r="I20" s="52">
        <v>12367.9</v>
      </c>
      <c r="J20" s="52">
        <v>14774.6</v>
      </c>
      <c r="K20" s="52">
        <v>16645.7</v>
      </c>
      <c r="L20" s="52">
        <v>18951.400000000001</v>
      </c>
      <c r="M20" s="52">
        <v>21211</v>
      </c>
      <c r="N20" s="52">
        <v>24370.5</v>
      </c>
      <c r="O20" s="52">
        <v>26964.9</v>
      </c>
      <c r="P20" s="52">
        <v>30208.400000000001</v>
      </c>
      <c r="Q20" s="52">
        <v>34001.4</v>
      </c>
      <c r="R20" s="52">
        <v>37934.1</v>
      </c>
      <c r="S20" s="52">
        <v>40091.9</v>
      </c>
    </row>
    <row r="21" spans="1:19" ht="14.45" customHeight="1" x14ac:dyDescent="0.2">
      <c r="A21" s="50" t="s">
        <v>81</v>
      </c>
      <c r="B21" s="52">
        <v>4117.8</v>
      </c>
      <c r="C21" s="52">
        <v>0.7</v>
      </c>
      <c r="D21" s="52">
        <v>6327.3</v>
      </c>
      <c r="E21" s="52">
        <v>0.7</v>
      </c>
      <c r="H21" s="50" t="s">
        <v>42</v>
      </c>
      <c r="I21" s="52">
        <v>5889.4</v>
      </c>
      <c r="J21" s="52">
        <v>7428.8</v>
      </c>
      <c r="K21" s="52">
        <v>9011.2000000000007</v>
      </c>
      <c r="L21" s="52">
        <v>11034.4</v>
      </c>
      <c r="M21" s="52">
        <v>12653.3</v>
      </c>
      <c r="N21" s="52">
        <v>14765.4</v>
      </c>
      <c r="O21" s="52">
        <v>16766.8</v>
      </c>
      <c r="P21" s="52">
        <v>18548.8</v>
      </c>
      <c r="Q21" s="52">
        <v>20652.599999999999</v>
      </c>
      <c r="R21" s="52">
        <v>22354.6</v>
      </c>
      <c r="S21" s="52">
        <v>24396.1</v>
      </c>
    </row>
    <row r="22" spans="1:19" ht="14.45" customHeight="1" x14ac:dyDescent="0.2">
      <c r="A22" s="50" t="s">
        <v>82</v>
      </c>
      <c r="B22" s="52">
        <v>6928.9</v>
      </c>
      <c r="C22" s="52">
        <v>1.2</v>
      </c>
      <c r="D22" s="52">
        <v>7927.3</v>
      </c>
      <c r="E22" s="52">
        <v>0.9</v>
      </c>
      <c r="H22" s="50" t="s">
        <v>64</v>
      </c>
      <c r="I22" s="52">
        <v>2827.7</v>
      </c>
      <c r="J22" s="52">
        <v>3325.9</v>
      </c>
      <c r="K22" s="52">
        <v>3758.2</v>
      </c>
      <c r="L22" s="52">
        <v>4137.8999999999996</v>
      </c>
      <c r="M22" s="52">
        <v>4480.7</v>
      </c>
      <c r="N22" s="52">
        <v>5063.8</v>
      </c>
      <c r="O22" s="52">
        <v>5579.8</v>
      </c>
      <c r="P22" s="52">
        <v>6625.4</v>
      </c>
      <c r="Q22" s="52">
        <v>7301.3</v>
      </c>
      <c r="R22" s="52">
        <v>8137.8</v>
      </c>
      <c r="S22" s="52">
        <v>6981.2</v>
      </c>
    </row>
    <row r="23" spans="1:19" ht="14.45" customHeight="1" x14ac:dyDescent="0.2">
      <c r="A23" s="50" t="s">
        <v>83</v>
      </c>
      <c r="B23" s="52">
        <v>7063</v>
      </c>
      <c r="C23" s="52">
        <v>1.2</v>
      </c>
      <c r="D23" s="52">
        <v>8007.1</v>
      </c>
      <c r="E23" s="52">
        <v>0.9</v>
      </c>
      <c r="H23" s="51" t="s">
        <v>44</v>
      </c>
      <c r="I23" s="53">
        <v>16302.7</v>
      </c>
      <c r="J23" s="56">
        <v>18079</v>
      </c>
      <c r="K23" s="56">
        <v>20101.7</v>
      </c>
      <c r="L23" s="56">
        <v>21693</v>
      </c>
      <c r="M23" s="56">
        <v>24301.200000000001</v>
      </c>
      <c r="N23" s="56">
        <v>28447.8</v>
      </c>
      <c r="O23" s="56">
        <v>33847.800000000003</v>
      </c>
      <c r="P23" s="56">
        <v>38848.800000000003</v>
      </c>
      <c r="Q23" s="56">
        <v>43923.1</v>
      </c>
      <c r="R23" s="56">
        <v>47790.5</v>
      </c>
      <c r="S23" s="56">
        <v>49261.9</v>
      </c>
    </row>
    <row r="24" spans="1:19" ht="14.45" customHeight="1" x14ac:dyDescent="0.2">
      <c r="A24" s="50" t="s">
        <v>84</v>
      </c>
      <c r="B24" s="52">
        <v>6055.9</v>
      </c>
      <c r="C24" s="52">
        <v>1</v>
      </c>
      <c r="D24" s="52">
        <v>8430.1</v>
      </c>
      <c r="E24" s="52">
        <v>0.9</v>
      </c>
      <c r="H24" s="79" t="s">
        <v>186</v>
      </c>
    </row>
    <row r="25" spans="1:19" ht="14.45" customHeight="1" x14ac:dyDescent="0.2">
      <c r="A25" s="50" t="s">
        <v>85</v>
      </c>
      <c r="B25" s="52">
        <v>3615.7</v>
      </c>
      <c r="C25" s="52">
        <v>0.6</v>
      </c>
      <c r="D25" s="52">
        <v>4680.3999999999996</v>
      </c>
      <c r="E25" s="52">
        <v>0.5</v>
      </c>
    </row>
    <row r="26" spans="1:19" ht="14.45" customHeight="1" x14ac:dyDescent="0.2">
      <c r="A26" s="50" t="s">
        <v>86</v>
      </c>
      <c r="B26" s="52">
        <v>2920</v>
      </c>
      <c r="C26" s="52">
        <v>0.5</v>
      </c>
      <c r="D26" s="52">
        <v>3655.3</v>
      </c>
      <c r="E26" s="52">
        <v>0.4</v>
      </c>
    </row>
    <row r="27" spans="1:19" ht="14.45" customHeight="1" x14ac:dyDescent="0.2">
      <c r="A27" s="50" t="s">
        <v>87</v>
      </c>
      <c r="B27" s="52">
        <v>1871.5</v>
      </c>
      <c r="C27" s="52">
        <v>0.3</v>
      </c>
      <c r="D27" s="52">
        <v>2983.9</v>
      </c>
      <c r="E27" s="52">
        <v>0.3</v>
      </c>
    </row>
    <row r="28" spans="1:19" ht="14.45" customHeight="1" x14ac:dyDescent="0.2">
      <c r="A28" s="50" t="s">
        <v>88</v>
      </c>
      <c r="B28" s="52">
        <v>2717.6</v>
      </c>
      <c r="C28" s="52">
        <v>0.5</v>
      </c>
      <c r="D28" s="52">
        <v>3772.8</v>
      </c>
      <c r="E28" s="52">
        <v>0.4</v>
      </c>
    </row>
    <row r="29" spans="1:19" ht="14.45" customHeight="1" x14ac:dyDescent="0.2">
      <c r="A29" s="50" t="s">
        <v>89</v>
      </c>
      <c r="B29" s="52">
        <v>1861.1</v>
      </c>
      <c r="C29" s="52">
        <v>0.3</v>
      </c>
      <c r="D29" s="52">
        <v>2544</v>
      </c>
      <c r="E29" s="52">
        <v>0.3</v>
      </c>
    </row>
    <row r="30" spans="1:19" ht="14.45" customHeight="1" x14ac:dyDescent="0.2">
      <c r="A30" s="50" t="s">
        <v>90</v>
      </c>
      <c r="B30" s="52">
        <v>3104.1</v>
      </c>
      <c r="C30" s="52">
        <v>0.5</v>
      </c>
      <c r="D30" s="52">
        <v>4659.8999999999996</v>
      </c>
      <c r="E30" s="52">
        <v>0.5</v>
      </c>
    </row>
    <row r="31" spans="1:19" ht="14.45" customHeight="1" x14ac:dyDescent="0.2">
      <c r="A31" s="50" t="s">
        <v>91</v>
      </c>
      <c r="B31" s="52">
        <v>7439.6</v>
      </c>
      <c r="C31" s="52">
        <v>1.3</v>
      </c>
      <c r="D31" s="52">
        <v>11333.7</v>
      </c>
      <c r="E31" s="52">
        <v>1.2</v>
      </c>
    </row>
    <row r="32" spans="1:19" ht="14.45" customHeight="1" x14ac:dyDescent="0.2">
      <c r="A32" s="50" t="s">
        <v>92</v>
      </c>
      <c r="B32" s="52">
        <v>12836</v>
      </c>
      <c r="C32" s="52">
        <v>2.2000000000000002</v>
      </c>
      <c r="D32" s="52">
        <v>16678.900000000001</v>
      </c>
      <c r="E32" s="52">
        <v>1.8</v>
      </c>
    </row>
    <row r="33" spans="1:5" ht="14.45" customHeight="1" x14ac:dyDescent="0.2">
      <c r="A33" s="50" t="s">
        <v>93</v>
      </c>
      <c r="B33" s="52">
        <v>4709.3</v>
      </c>
      <c r="C33" s="52">
        <v>0.8</v>
      </c>
      <c r="D33" s="52">
        <v>8407.1</v>
      </c>
      <c r="E33" s="52">
        <v>0.9</v>
      </c>
    </row>
    <row r="34" spans="1:5" ht="14.45" customHeight="1" x14ac:dyDescent="0.2">
      <c r="A34" s="50" t="s">
        <v>94</v>
      </c>
      <c r="B34" s="52">
        <v>952.9</v>
      </c>
      <c r="C34" s="52">
        <v>0.2</v>
      </c>
      <c r="D34" s="52">
        <v>1489.3</v>
      </c>
      <c r="E34" s="52">
        <v>0.2</v>
      </c>
    </row>
    <row r="35" spans="1:5" ht="14.45" customHeight="1" x14ac:dyDescent="0.2">
      <c r="A35" s="50" t="s">
        <v>95</v>
      </c>
      <c r="B35" s="52">
        <v>6016.6</v>
      </c>
      <c r="C35" s="52">
        <v>1</v>
      </c>
      <c r="D35" s="52">
        <v>7785.9</v>
      </c>
      <c r="E35" s="52">
        <v>0.8</v>
      </c>
    </row>
    <row r="36" spans="1:5" ht="14.45" customHeight="1" x14ac:dyDescent="0.2">
      <c r="A36" s="50" t="s">
        <v>96</v>
      </c>
      <c r="B36" s="52">
        <v>11568.2</v>
      </c>
      <c r="C36" s="52">
        <v>2</v>
      </c>
      <c r="D36" s="52">
        <v>17101</v>
      </c>
      <c r="E36" s="52">
        <v>1.9</v>
      </c>
    </row>
    <row r="37" spans="1:5" ht="14.45" customHeight="1" x14ac:dyDescent="0.2">
      <c r="A37" s="50" t="s">
        <v>97</v>
      </c>
      <c r="B37" s="52">
        <v>9513.9</v>
      </c>
      <c r="C37" s="52">
        <v>1.6</v>
      </c>
      <c r="D37" s="52">
        <v>12941.5</v>
      </c>
      <c r="E37" s="52">
        <v>1.4</v>
      </c>
    </row>
    <row r="38" spans="1:5" ht="14.45" customHeight="1" x14ac:dyDescent="0.2">
      <c r="A38" s="50" t="s">
        <v>98</v>
      </c>
      <c r="B38" s="52">
        <v>5421.8</v>
      </c>
      <c r="C38" s="52">
        <v>0.9</v>
      </c>
      <c r="D38" s="52">
        <v>7513.4</v>
      </c>
      <c r="E38" s="52">
        <v>0.8</v>
      </c>
    </row>
    <row r="39" spans="1:5" ht="14.45" customHeight="1" x14ac:dyDescent="0.2">
      <c r="A39" s="50" t="s">
        <v>99</v>
      </c>
      <c r="B39" s="52">
        <v>8748.2999999999993</v>
      </c>
      <c r="C39" s="52">
        <v>1.5</v>
      </c>
      <c r="D39" s="52">
        <v>11611.8</v>
      </c>
      <c r="E39" s="52">
        <v>1.3</v>
      </c>
    </row>
    <row r="40" spans="1:5" ht="14.45" customHeight="1" x14ac:dyDescent="0.2">
      <c r="A40" s="50" t="s">
        <v>100</v>
      </c>
      <c r="B40" s="52">
        <v>9843</v>
      </c>
      <c r="C40" s="52">
        <v>1.7</v>
      </c>
      <c r="D40" s="52">
        <v>13328.1</v>
      </c>
      <c r="E40" s="52">
        <v>1.4</v>
      </c>
    </row>
    <row r="41" spans="1:5" ht="14.45" customHeight="1" x14ac:dyDescent="0.2">
      <c r="A41" s="51" t="s">
        <v>101</v>
      </c>
      <c r="B41" s="53">
        <v>7405.2</v>
      </c>
      <c r="C41" s="56">
        <v>1.2</v>
      </c>
      <c r="D41" s="53">
        <v>10552.6</v>
      </c>
      <c r="E41" s="56">
        <v>1.1000000000000001</v>
      </c>
    </row>
    <row r="42" spans="1:5" ht="14.45" customHeight="1" x14ac:dyDescent="0.2">
      <c r="A42" s="54" t="s">
        <v>46</v>
      </c>
      <c r="B42" s="52">
        <v>12121.2</v>
      </c>
      <c r="C42" s="52">
        <v>2</v>
      </c>
      <c r="D42" s="52">
        <v>19378.900000000001</v>
      </c>
      <c r="E42" s="52">
        <v>2.1</v>
      </c>
    </row>
    <row r="43" spans="1:5" ht="14.45" customHeight="1" x14ac:dyDescent="0.2">
      <c r="A43" s="50" t="s">
        <v>102</v>
      </c>
      <c r="B43" s="52">
        <v>3593.2</v>
      </c>
      <c r="C43" s="52">
        <v>0.6</v>
      </c>
      <c r="D43" s="52">
        <v>4434.8999999999996</v>
      </c>
      <c r="E43" s="52">
        <v>0.5</v>
      </c>
    </row>
    <row r="44" spans="1:5" ht="14.45" customHeight="1" x14ac:dyDescent="0.2">
      <c r="A44" s="50" t="s">
        <v>103</v>
      </c>
      <c r="B44" s="52">
        <v>11288.4</v>
      </c>
      <c r="C44" s="52">
        <v>1.9</v>
      </c>
      <c r="D44" s="52">
        <v>15585.3</v>
      </c>
      <c r="E44" s="52">
        <v>1.7</v>
      </c>
    </row>
    <row r="45" spans="1:5" ht="14.45" customHeight="1" x14ac:dyDescent="0.2">
      <c r="A45" s="50" t="s">
        <v>104</v>
      </c>
      <c r="B45" s="52">
        <v>13822.8</v>
      </c>
      <c r="C45" s="52">
        <v>2.2999999999999998</v>
      </c>
      <c r="D45" s="52">
        <v>24312</v>
      </c>
      <c r="E45" s="52">
        <v>2.6</v>
      </c>
    </row>
    <row r="46" spans="1:5" ht="14.45" customHeight="1" x14ac:dyDescent="0.2">
      <c r="A46" s="50" t="s">
        <v>105</v>
      </c>
      <c r="B46" s="52">
        <v>1816.8</v>
      </c>
      <c r="C46" s="52">
        <v>0.3</v>
      </c>
      <c r="D46" s="52">
        <v>2679</v>
      </c>
      <c r="E46" s="52">
        <v>0.3</v>
      </c>
    </row>
    <row r="47" spans="1:5" ht="14.45" customHeight="1" x14ac:dyDescent="0.2">
      <c r="A47" s="50" t="s">
        <v>106</v>
      </c>
      <c r="B47" s="52">
        <v>657.5</v>
      </c>
      <c r="C47" s="52">
        <v>0.1</v>
      </c>
      <c r="D47" s="52">
        <v>1022</v>
      </c>
      <c r="E47" s="52">
        <v>0.1</v>
      </c>
    </row>
    <row r="48" spans="1:5" ht="14.45" customHeight="1" x14ac:dyDescent="0.2">
      <c r="A48" s="50" t="s">
        <v>47</v>
      </c>
      <c r="B48" s="52">
        <v>533.1</v>
      </c>
      <c r="C48" s="52">
        <v>0.1</v>
      </c>
      <c r="D48" s="52">
        <v>913.1</v>
      </c>
      <c r="E48" s="52">
        <v>0.1</v>
      </c>
    </row>
    <row r="49" spans="1:5" ht="14.45" customHeight="1" x14ac:dyDescent="0.2">
      <c r="A49" s="50" t="s">
        <v>107</v>
      </c>
      <c r="B49" s="52">
        <v>414</v>
      </c>
      <c r="C49" s="52">
        <v>0.1</v>
      </c>
      <c r="D49" s="52">
        <v>890.4</v>
      </c>
      <c r="E49" s="52">
        <v>0.1</v>
      </c>
    </row>
    <row r="50" spans="1:5" ht="14.45" customHeight="1" x14ac:dyDescent="0.2">
      <c r="A50" s="49" t="s">
        <v>52</v>
      </c>
      <c r="B50" s="52">
        <v>14994.5</v>
      </c>
      <c r="C50" s="52">
        <v>2.5</v>
      </c>
      <c r="D50" s="52">
        <v>22559.8</v>
      </c>
      <c r="E50" s="52">
        <v>2.5</v>
      </c>
    </row>
    <row r="51" spans="1:5" ht="14.45" customHeight="1" x14ac:dyDescent="0.2">
      <c r="A51" s="50" t="s">
        <v>108</v>
      </c>
      <c r="B51" s="52">
        <v>13303.2</v>
      </c>
      <c r="C51" s="52">
        <v>2.2000000000000002</v>
      </c>
      <c r="D51" s="52">
        <v>19112.2</v>
      </c>
      <c r="E51" s="52">
        <v>2.1</v>
      </c>
    </row>
    <row r="52" spans="1:5" ht="14.45" customHeight="1" x14ac:dyDescent="0.2">
      <c r="A52" s="50" t="s">
        <v>109</v>
      </c>
      <c r="B52" s="52">
        <v>805.4</v>
      </c>
      <c r="C52" s="52">
        <v>0.1</v>
      </c>
      <c r="D52" s="52">
        <v>1597.8</v>
      </c>
      <c r="E52" s="52">
        <v>0.2</v>
      </c>
    </row>
    <row r="53" spans="1:5" ht="14.45" customHeight="1" x14ac:dyDescent="0.2">
      <c r="A53" s="50" t="s">
        <v>110</v>
      </c>
      <c r="B53" s="52">
        <v>885.9</v>
      </c>
      <c r="C53" s="52">
        <v>0.1</v>
      </c>
      <c r="D53" s="52">
        <v>1849.8</v>
      </c>
      <c r="E53" s="52">
        <v>0.2</v>
      </c>
    </row>
    <row r="54" spans="1:5" ht="14.45" customHeight="1" x14ac:dyDescent="0.2">
      <c r="A54" s="49" t="s">
        <v>53</v>
      </c>
      <c r="B54" s="52">
        <v>40896.800000000003</v>
      </c>
      <c r="C54" s="52">
        <v>6.9</v>
      </c>
      <c r="D54" s="52">
        <v>65493</v>
      </c>
      <c r="E54" s="52">
        <v>7.1</v>
      </c>
    </row>
    <row r="55" spans="1:5" ht="14.45" customHeight="1" x14ac:dyDescent="0.2">
      <c r="A55" s="50" t="s">
        <v>111</v>
      </c>
      <c r="B55" s="52">
        <v>25719.599999999999</v>
      </c>
      <c r="C55" s="52">
        <v>4.3</v>
      </c>
      <c r="D55" s="52">
        <v>38489.9</v>
      </c>
      <c r="E55" s="52">
        <v>4.2</v>
      </c>
    </row>
    <row r="56" spans="1:5" ht="14.45" customHeight="1" x14ac:dyDescent="0.2">
      <c r="A56" s="50" t="s">
        <v>112</v>
      </c>
      <c r="B56" s="52">
        <v>8410.1</v>
      </c>
      <c r="C56" s="52">
        <v>1.4</v>
      </c>
      <c r="D56" s="52">
        <v>15789.8</v>
      </c>
      <c r="E56" s="52">
        <v>1.7</v>
      </c>
    </row>
    <row r="57" spans="1:5" ht="14.45" customHeight="1" x14ac:dyDescent="0.2">
      <c r="A57" s="50" t="s">
        <v>113</v>
      </c>
      <c r="B57" s="52">
        <v>2561.1</v>
      </c>
      <c r="C57" s="52">
        <v>0.4</v>
      </c>
      <c r="D57" s="52">
        <v>4840.8999999999996</v>
      </c>
      <c r="E57" s="52">
        <v>0.5</v>
      </c>
    </row>
    <row r="58" spans="1:5" ht="14.45" customHeight="1" x14ac:dyDescent="0.2">
      <c r="A58" s="50" t="s">
        <v>114</v>
      </c>
      <c r="B58" s="52">
        <v>4206</v>
      </c>
      <c r="C58" s="52">
        <v>0.7</v>
      </c>
      <c r="D58" s="52">
        <v>6372.5</v>
      </c>
      <c r="E58" s="52">
        <v>0.7</v>
      </c>
    </row>
    <row r="59" spans="1:5" ht="14.45" customHeight="1" x14ac:dyDescent="0.2">
      <c r="A59" s="49" t="s">
        <v>54</v>
      </c>
      <c r="B59" s="52">
        <v>56288.9</v>
      </c>
      <c r="C59" s="52">
        <v>9.5</v>
      </c>
      <c r="D59" s="52">
        <v>88903.7</v>
      </c>
      <c r="E59" s="52">
        <v>9.6999999999999993</v>
      </c>
    </row>
    <row r="60" spans="1:5" ht="14.45" customHeight="1" x14ac:dyDescent="0.2">
      <c r="A60" s="50" t="s">
        <v>115</v>
      </c>
      <c r="B60" s="52">
        <v>32687.1</v>
      </c>
      <c r="C60" s="52">
        <v>5.5</v>
      </c>
      <c r="D60" s="52">
        <v>48702.5</v>
      </c>
      <c r="E60" s="52">
        <v>5.3</v>
      </c>
    </row>
    <row r="61" spans="1:5" ht="14.45" customHeight="1" x14ac:dyDescent="0.2">
      <c r="A61" s="50" t="s">
        <v>116</v>
      </c>
      <c r="B61" s="52">
        <v>23601.8</v>
      </c>
      <c r="C61" s="52">
        <v>4</v>
      </c>
      <c r="D61" s="52">
        <v>40201.300000000003</v>
      </c>
      <c r="E61" s="52">
        <v>4.4000000000000004</v>
      </c>
    </row>
    <row r="62" spans="1:5" ht="14.45" customHeight="1" x14ac:dyDescent="0.2">
      <c r="A62" s="49" t="s">
        <v>55</v>
      </c>
      <c r="B62" s="52">
        <v>26042.7</v>
      </c>
      <c r="C62" s="52">
        <v>4.4000000000000004</v>
      </c>
      <c r="D62" s="52">
        <v>40337.199999999997</v>
      </c>
      <c r="E62" s="52">
        <v>4.4000000000000004</v>
      </c>
    </row>
    <row r="63" spans="1:5" ht="14.45" customHeight="1" x14ac:dyDescent="0.2">
      <c r="A63" s="50" t="s">
        <v>117</v>
      </c>
      <c r="B63" s="52">
        <v>3545.5</v>
      </c>
      <c r="C63" s="52">
        <v>0.6</v>
      </c>
      <c r="D63" s="52">
        <v>5878.6</v>
      </c>
      <c r="E63" s="52">
        <v>0.6</v>
      </c>
    </row>
    <row r="64" spans="1:5" ht="14.45" customHeight="1" x14ac:dyDescent="0.2">
      <c r="A64" s="50" t="s">
        <v>118</v>
      </c>
      <c r="B64" s="52">
        <v>14459.1</v>
      </c>
      <c r="C64" s="52">
        <v>2.4</v>
      </c>
      <c r="D64" s="52">
        <v>22390.6</v>
      </c>
      <c r="E64" s="52">
        <v>2.4</v>
      </c>
    </row>
    <row r="65" spans="1:5" ht="14.45" customHeight="1" x14ac:dyDescent="0.2">
      <c r="A65" s="50" t="s">
        <v>119</v>
      </c>
      <c r="B65" s="52">
        <v>1689.9</v>
      </c>
      <c r="C65" s="52">
        <v>0.3</v>
      </c>
      <c r="D65" s="52">
        <v>2174.3000000000002</v>
      </c>
      <c r="E65" s="52">
        <v>0.2</v>
      </c>
    </row>
    <row r="66" spans="1:5" ht="14.45" customHeight="1" x14ac:dyDescent="0.2">
      <c r="A66" s="50" t="s">
        <v>120</v>
      </c>
      <c r="B66" s="52">
        <v>1467.7</v>
      </c>
      <c r="C66" s="52">
        <v>0.2</v>
      </c>
      <c r="D66" s="52">
        <v>2202.3000000000002</v>
      </c>
      <c r="E66" s="52">
        <v>0.2</v>
      </c>
    </row>
    <row r="67" spans="1:5" ht="14.45" customHeight="1" x14ac:dyDescent="0.2">
      <c r="A67" s="50" t="s">
        <v>121</v>
      </c>
      <c r="B67" s="52">
        <v>399.5</v>
      </c>
      <c r="C67" s="52">
        <v>0.1</v>
      </c>
      <c r="D67" s="52">
        <v>804.7</v>
      </c>
      <c r="E67" s="52">
        <v>0.1</v>
      </c>
    </row>
    <row r="68" spans="1:5" ht="14.45" customHeight="1" x14ac:dyDescent="0.2">
      <c r="A68" s="50" t="s">
        <v>122</v>
      </c>
      <c r="B68" s="52">
        <v>1484.2</v>
      </c>
      <c r="C68" s="52">
        <v>0.3</v>
      </c>
      <c r="D68" s="52">
        <v>1941.3</v>
      </c>
      <c r="E68" s="52">
        <v>0.2</v>
      </c>
    </row>
    <row r="69" spans="1:5" ht="14.45" customHeight="1" x14ac:dyDescent="0.2">
      <c r="A69" s="50" t="s">
        <v>123</v>
      </c>
      <c r="B69" s="52">
        <v>1687.5</v>
      </c>
      <c r="C69" s="52">
        <v>0.3</v>
      </c>
      <c r="D69" s="52">
        <v>2548.3000000000002</v>
      </c>
      <c r="E69" s="52">
        <v>0.3</v>
      </c>
    </row>
    <row r="70" spans="1:5" ht="14.45" customHeight="1" x14ac:dyDescent="0.2">
      <c r="A70" s="50" t="s">
        <v>124</v>
      </c>
      <c r="B70" s="52">
        <v>1309.2</v>
      </c>
      <c r="C70" s="52">
        <v>0.2</v>
      </c>
      <c r="D70" s="52">
        <v>2397.1</v>
      </c>
      <c r="E70" s="52">
        <v>0.3</v>
      </c>
    </row>
    <row r="71" spans="1:5" ht="14.45" customHeight="1" x14ac:dyDescent="0.2">
      <c r="A71" s="49" t="s">
        <v>56</v>
      </c>
      <c r="B71" s="52">
        <v>10228.299999999999</v>
      </c>
      <c r="C71" s="52">
        <v>1.7</v>
      </c>
      <c r="D71" s="52">
        <v>16520.599999999999</v>
      </c>
      <c r="E71" s="52">
        <v>1.8</v>
      </c>
    </row>
    <row r="72" spans="1:5" ht="14.45" customHeight="1" x14ac:dyDescent="0.2">
      <c r="A72" s="50" t="s">
        <v>125</v>
      </c>
      <c r="B72" s="52">
        <v>2187</v>
      </c>
      <c r="C72" s="52">
        <v>0.4</v>
      </c>
      <c r="D72" s="52">
        <v>3333.7</v>
      </c>
      <c r="E72" s="52">
        <v>0.4</v>
      </c>
    </row>
    <row r="73" spans="1:5" ht="14.45" customHeight="1" x14ac:dyDescent="0.2">
      <c r="A73" s="50" t="s">
        <v>126</v>
      </c>
      <c r="B73" s="52">
        <v>8041.3</v>
      </c>
      <c r="C73" s="52">
        <v>1.4</v>
      </c>
      <c r="D73" s="52">
        <v>13186.9</v>
      </c>
      <c r="E73" s="52">
        <v>1.4</v>
      </c>
    </row>
    <row r="74" spans="1:5" ht="14.45" customHeight="1" x14ac:dyDescent="0.2">
      <c r="A74" s="49" t="s">
        <v>57</v>
      </c>
      <c r="B74" s="52">
        <v>13729.7</v>
      </c>
      <c r="C74" s="52">
        <v>2.2999999999999998</v>
      </c>
      <c r="D74" s="52">
        <v>28733.5</v>
      </c>
      <c r="E74" s="52">
        <v>3.1</v>
      </c>
    </row>
    <row r="75" spans="1:5" ht="14.45" customHeight="1" x14ac:dyDescent="0.2">
      <c r="A75" s="50" t="s">
        <v>127</v>
      </c>
      <c r="B75" s="52">
        <v>7729.9</v>
      </c>
      <c r="C75" s="52">
        <v>1.3</v>
      </c>
      <c r="D75" s="52">
        <v>10976.4</v>
      </c>
      <c r="E75" s="52">
        <v>1.2</v>
      </c>
    </row>
    <row r="76" spans="1:5" ht="14.45" customHeight="1" x14ac:dyDescent="0.2">
      <c r="A76" s="50" t="s">
        <v>128</v>
      </c>
      <c r="B76" s="52">
        <v>1428.4</v>
      </c>
      <c r="C76" s="52">
        <v>0.2</v>
      </c>
      <c r="D76" s="52">
        <v>5208.8999999999996</v>
      </c>
      <c r="E76" s="52">
        <v>0.6</v>
      </c>
    </row>
    <row r="77" spans="1:5" ht="14.45" customHeight="1" x14ac:dyDescent="0.2">
      <c r="A77" s="50" t="s">
        <v>129</v>
      </c>
      <c r="B77" s="52">
        <v>4571.3</v>
      </c>
      <c r="C77" s="52">
        <v>0.8</v>
      </c>
      <c r="D77" s="52">
        <v>12548.3</v>
      </c>
      <c r="E77" s="52">
        <v>1.4</v>
      </c>
    </row>
    <row r="78" spans="1:5" ht="14.45" customHeight="1" x14ac:dyDescent="0.2">
      <c r="A78" s="49" t="s">
        <v>58</v>
      </c>
      <c r="B78" s="52">
        <v>41293.4</v>
      </c>
      <c r="C78" s="52">
        <v>7</v>
      </c>
      <c r="D78" s="52">
        <v>70610.3</v>
      </c>
      <c r="E78" s="52">
        <v>7.7</v>
      </c>
    </row>
    <row r="79" spans="1:5" ht="14.45" customHeight="1" x14ac:dyDescent="0.2">
      <c r="A79" s="50" t="s">
        <v>130</v>
      </c>
      <c r="B79" s="52">
        <v>30532.9</v>
      </c>
      <c r="C79" s="52">
        <v>5.0999999999999996</v>
      </c>
      <c r="D79" s="52">
        <v>57314</v>
      </c>
      <c r="E79" s="52">
        <v>6.2</v>
      </c>
    </row>
    <row r="80" spans="1:5" ht="14.45" customHeight="1" x14ac:dyDescent="0.2">
      <c r="A80" s="50" t="s">
        <v>131</v>
      </c>
      <c r="B80" s="52">
        <v>3252.9</v>
      </c>
      <c r="C80" s="52">
        <v>0.5</v>
      </c>
      <c r="D80" s="52">
        <v>3544.9</v>
      </c>
      <c r="E80" s="52">
        <v>0.4</v>
      </c>
    </row>
    <row r="81" spans="1:5" ht="14.45" customHeight="1" x14ac:dyDescent="0.2">
      <c r="A81" s="50" t="s">
        <v>132</v>
      </c>
      <c r="B81" s="52">
        <v>2670.6</v>
      </c>
      <c r="C81" s="52">
        <v>0.5</v>
      </c>
      <c r="D81" s="52">
        <v>7819.5</v>
      </c>
      <c r="E81" s="52">
        <v>0.9</v>
      </c>
    </row>
    <row r="82" spans="1:5" ht="14.45" customHeight="1" x14ac:dyDescent="0.2">
      <c r="A82" s="51" t="s">
        <v>133</v>
      </c>
      <c r="B82" s="53">
        <v>4837</v>
      </c>
      <c r="C82" s="56">
        <v>0.8</v>
      </c>
      <c r="D82" s="53">
        <v>1931.9</v>
      </c>
      <c r="E82" s="56">
        <v>0.2</v>
      </c>
    </row>
    <row r="83" spans="1:5" ht="14.45" customHeight="1" x14ac:dyDescent="0.2">
      <c r="A83" s="48" t="s">
        <v>59</v>
      </c>
      <c r="B83" s="52">
        <v>35340.400000000001</v>
      </c>
      <c r="C83" s="52">
        <v>6</v>
      </c>
      <c r="D83" s="52">
        <v>64623</v>
      </c>
      <c r="E83" s="52">
        <v>7</v>
      </c>
    </row>
    <row r="84" spans="1:5" ht="14.45" customHeight="1" x14ac:dyDescent="0.2">
      <c r="A84" s="50" t="s">
        <v>59</v>
      </c>
      <c r="B84" s="52">
        <v>35340.400000000001</v>
      </c>
      <c r="C84" s="52">
        <v>6</v>
      </c>
      <c r="D84" s="52">
        <v>64623</v>
      </c>
      <c r="E84" s="52">
        <v>7</v>
      </c>
    </row>
    <row r="85" spans="1:5" ht="14.45" customHeight="1" x14ac:dyDescent="0.2">
      <c r="A85" s="50" t="s">
        <v>134</v>
      </c>
      <c r="B85" s="52">
        <v>14886</v>
      </c>
      <c r="C85" s="52">
        <v>2.5</v>
      </c>
      <c r="D85" s="52">
        <v>27411.200000000001</v>
      </c>
      <c r="E85" s="52">
        <v>3</v>
      </c>
    </row>
    <row r="86" spans="1:5" ht="14.45" customHeight="1" x14ac:dyDescent="0.2">
      <c r="A86" s="50" t="s">
        <v>135</v>
      </c>
      <c r="B86" s="52">
        <v>2089.4</v>
      </c>
      <c r="C86" s="52">
        <v>0.4</v>
      </c>
      <c r="D86" s="52">
        <v>4442.1000000000004</v>
      </c>
      <c r="E86" s="52">
        <v>0.5</v>
      </c>
    </row>
    <row r="87" spans="1:5" ht="14.45" customHeight="1" x14ac:dyDescent="0.2">
      <c r="A87" s="50" t="s">
        <v>136</v>
      </c>
      <c r="B87" s="52">
        <v>756</v>
      </c>
      <c r="C87" s="52">
        <v>0.1</v>
      </c>
      <c r="D87" s="52">
        <v>1580.1</v>
      </c>
      <c r="E87" s="52">
        <v>0.2</v>
      </c>
    </row>
    <row r="88" spans="1:5" ht="14.45" customHeight="1" x14ac:dyDescent="0.2">
      <c r="A88" s="50" t="s">
        <v>137</v>
      </c>
      <c r="B88" s="52">
        <v>1149.4000000000001</v>
      </c>
      <c r="C88" s="52">
        <v>0.2</v>
      </c>
      <c r="D88" s="52">
        <v>2620.6999999999998</v>
      </c>
      <c r="E88" s="52">
        <v>0.3</v>
      </c>
    </row>
    <row r="89" spans="1:5" ht="14.45" customHeight="1" x14ac:dyDescent="0.2">
      <c r="A89" s="50" t="s">
        <v>138</v>
      </c>
      <c r="B89" s="52">
        <v>411.6</v>
      </c>
      <c r="C89" s="52">
        <v>0.1</v>
      </c>
      <c r="D89" s="52">
        <v>251.9</v>
      </c>
      <c r="E89" s="52">
        <v>0</v>
      </c>
    </row>
    <row r="90" spans="1:5" ht="14.45" customHeight="1" x14ac:dyDescent="0.2">
      <c r="A90" s="50" t="s">
        <v>139</v>
      </c>
      <c r="B90" s="52">
        <v>16048</v>
      </c>
      <c r="C90" s="52">
        <v>2.7</v>
      </c>
      <c r="D90" s="52">
        <v>28317</v>
      </c>
      <c r="E90" s="52">
        <v>3.1</v>
      </c>
    </row>
    <row r="91" spans="1:5" ht="14.45" customHeight="1" x14ac:dyDescent="0.2">
      <c r="A91" s="49" t="s">
        <v>60</v>
      </c>
      <c r="B91" s="52">
        <v>12904.9</v>
      </c>
      <c r="C91" s="52">
        <v>2.2000000000000002</v>
      </c>
      <c r="D91" s="52">
        <v>29468.5</v>
      </c>
      <c r="E91" s="52">
        <v>3.2</v>
      </c>
    </row>
    <row r="92" spans="1:5" ht="14.45" customHeight="1" x14ac:dyDescent="0.2">
      <c r="A92" s="50" t="s">
        <v>140</v>
      </c>
      <c r="B92" s="52">
        <v>842.1</v>
      </c>
      <c r="C92" s="52">
        <v>0.1</v>
      </c>
      <c r="D92" s="52">
        <v>2541.1</v>
      </c>
      <c r="E92" s="52">
        <v>0.3</v>
      </c>
    </row>
    <row r="93" spans="1:5" ht="14.45" customHeight="1" x14ac:dyDescent="0.2">
      <c r="A93" s="50" t="s">
        <v>141</v>
      </c>
      <c r="B93" s="52">
        <v>12062.9</v>
      </c>
      <c r="C93" s="52">
        <v>2</v>
      </c>
      <c r="D93" s="52">
        <v>26927.4</v>
      </c>
      <c r="E93" s="52">
        <v>2.9</v>
      </c>
    </row>
    <row r="94" spans="1:5" ht="14.45" customHeight="1" x14ac:dyDescent="0.2">
      <c r="A94" s="49" t="s">
        <v>61</v>
      </c>
      <c r="B94" s="52">
        <v>11023.2</v>
      </c>
      <c r="C94" s="52">
        <v>1.9</v>
      </c>
      <c r="D94" s="52">
        <v>20175.3</v>
      </c>
      <c r="E94" s="52">
        <v>2.2000000000000002</v>
      </c>
    </row>
    <row r="95" spans="1:5" ht="14.45" customHeight="1" x14ac:dyDescent="0.2">
      <c r="A95" s="50" t="s">
        <v>142</v>
      </c>
      <c r="B95" s="52">
        <v>1413.4</v>
      </c>
      <c r="C95" s="52">
        <v>0.2</v>
      </c>
      <c r="D95" s="52">
        <v>4922.3999999999996</v>
      </c>
      <c r="E95" s="52">
        <v>0.5</v>
      </c>
    </row>
    <row r="96" spans="1:5" ht="14.45" customHeight="1" x14ac:dyDescent="0.2">
      <c r="A96" s="50" t="s">
        <v>143</v>
      </c>
      <c r="B96" s="52">
        <v>7580.5</v>
      </c>
      <c r="C96" s="52">
        <v>1.3</v>
      </c>
      <c r="D96" s="52">
        <v>11938.5</v>
      </c>
      <c r="E96" s="52">
        <v>1.3</v>
      </c>
    </row>
    <row r="97" spans="1:5" ht="14.45" customHeight="1" x14ac:dyDescent="0.2">
      <c r="A97" s="50" t="s">
        <v>144</v>
      </c>
      <c r="B97" s="52">
        <v>2029.3</v>
      </c>
      <c r="C97" s="52">
        <v>0.3</v>
      </c>
      <c r="D97" s="52">
        <v>3314.4</v>
      </c>
      <c r="E97" s="52">
        <v>0.4</v>
      </c>
    </row>
    <row r="98" spans="1:5" ht="14.45" customHeight="1" x14ac:dyDescent="0.2">
      <c r="A98" s="49" t="s">
        <v>62</v>
      </c>
      <c r="B98" s="52">
        <v>3665.1</v>
      </c>
      <c r="C98" s="52">
        <v>0.6</v>
      </c>
      <c r="D98" s="52">
        <v>5096.1000000000004</v>
      </c>
      <c r="E98" s="52">
        <v>0.6</v>
      </c>
    </row>
    <row r="99" spans="1:5" ht="14.45" customHeight="1" x14ac:dyDescent="0.2">
      <c r="A99" s="50" t="s">
        <v>145</v>
      </c>
      <c r="B99" s="52">
        <v>509.4</v>
      </c>
      <c r="C99" s="52">
        <v>0.1</v>
      </c>
      <c r="D99" s="52">
        <v>715.3</v>
      </c>
      <c r="E99" s="52">
        <v>0.1</v>
      </c>
    </row>
    <row r="100" spans="1:5" ht="14.45" customHeight="1" x14ac:dyDescent="0.2">
      <c r="A100" s="50" t="s">
        <v>146</v>
      </c>
      <c r="B100" s="52">
        <v>368.9</v>
      </c>
      <c r="C100" s="52">
        <v>0.1</v>
      </c>
      <c r="D100" s="52">
        <v>505.8</v>
      </c>
      <c r="E100" s="52">
        <v>0.1</v>
      </c>
    </row>
    <row r="101" spans="1:5" ht="14.45" customHeight="1" x14ac:dyDescent="0.2">
      <c r="A101" s="50" t="s">
        <v>147</v>
      </c>
      <c r="B101" s="52">
        <v>2178</v>
      </c>
      <c r="C101" s="52">
        <v>0.4</v>
      </c>
      <c r="D101" s="52">
        <v>2899.8</v>
      </c>
      <c r="E101" s="52">
        <v>0.3</v>
      </c>
    </row>
    <row r="102" spans="1:5" ht="14.45" customHeight="1" x14ac:dyDescent="0.2">
      <c r="A102" s="50" t="s">
        <v>148</v>
      </c>
      <c r="B102" s="52">
        <v>608.79999999999995</v>
      </c>
      <c r="C102" s="52">
        <v>0.1</v>
      </c>
      <c r="D102" s="52">
        <v>975.1</v>
      </c>
      <c r="E102" s="52">
        <v>0.1</v>
      </c>
    </row>
    <row r="103" spans="1:5" ht="14.45" customHeight="1" x14ac:dyDescent="0.2">
      <c r="A103" s="49" t="s">
        <v>63</v>
      </c>
      <c r="B103" s="52">
        <v>8707.7000000000007</v>
      </c>
      <c r="C103" s="52">
        <v>1.5</v>
      </c>
      <c r="D103" s="52">
        <v>14793.3</v>
      </c>
      <c r="E103" s="52">
        <v>1.6</v>
      </c>
    </row>
    <row r="104" spans="1:5" ht="14.45" customHeight="1" x14ac:dyDescent="0.2">
      <c r="A104" s="50" t="s">
        <v>149</v>
      </c>
      <c r="B104" s="52">
        <v>5165</v>
      </c>
      <c r="C104" s="52">
        <v>0.9</v>
      </c>
      <c r="D104" s="52">
        <v>8986.2999999999993</v>
      </c>
      <c r="E104" s="52">
        <v>1</v>
      </c>
    </row>
    <row r="105" spans="1:5" ht="14.45" customHeight="1" x14ac:dyDescent="0.2">
      <c r="A105" s="50" t="s">
        <v>150</v>
      </c>
      <c r="B105" s="52">
        <v>2616.1</v>
      </c>
      <c r="C105" s="52">
        <v>0.4</v>
      </c>
      <c r="D105" s="52">
        <v>4597.5</v>
      </c>
      <c r="E105" s="52">
        <v>0.5</v>
      </c>
    </row>
    <row r="106" spans="1:5" ht="14.45" customHeight="1" x14ac:dyDescent="0.2">
      <c r="A106" s="50" t="s">
        <v>151</v>
      </c>
      <c r="B106" s="52">
        <v>926.6</v>
      </c>
      <c r="C106" s="52">
        <v>0.2</v>
      </c>
      <c r="D106" s="52">
        <v>1209.5</v>
      </c>
      <c r="E106" s="52">
        <v>0.1</v>
      </c>
    </row>
    <row r="107" spans="1:5" ht="14.45" customHeight="1" x14ac:dyDescent="0.2">
      <c r="A107" s="49" t="s">
        <v>41</v>
      </c>
      <c r="B107" s="52">
        <v>18951.400000000001</v>
      </c>
      <c r="C107" s="52">
        <v>3.2</v>
      </c>
      <c r="D107" s="52">
        <v>34001.4</v>
      </c>
      <c r="E107" s="52">
        <v>3.7</v>
      </c>
    </row>
    <row r="108" spans="1:5" ht="14.45" customHeight="1" x14ac:dyDescent="0.2">
      <c r="A108" s="50" t="s">
        <v>41</v>
      </c>
      <c r="B108" s="52">
        <v>18951.400000000001</v>
      </c>
      <c r="C108" s="52">
        <v>3.2</v>
      </c>
      <c r="D108" s="52">
        <v>34001.4</v>
      </c>
      <c r="E108" s="52">
        <v>3.7</v>
      </c>
    </row>
    <row r="109" spans="1:5" ht="14.45" customHeight="1" x14ac:dyDescent="0.2">
      <c r="A109" s="49" t="s">
        <v>42</v>
      </c>
      <c r="B109" s="52">
        <v>11034.4</v>
      </c>
      <c r="C109" s="52">
        <v>1.9</v>
      </c>
      <c r="D109" s="52">
        <v>20652.599999999999</v>
      </c>
      <c r="E109" s="52">
        <v>2.2000000000000002</v>
      </c>
    </row>
    <row r="110" spans="1:5" ht="14.45" customHeight="1" x14ac:dyDescent="0.2">
      <c r="A110" s="50" t="s">
        <v>152</v>
      </c>
      <c r="B110" s="52">
        <v>10655.8</v>
      </c>
      <c r="C110" s="52">
        <v>1.8</v>
      </c>
      <c r="D110" s="52">
        <v>19848.599999999999</v>
      </c>
      <c r="E110" s="52">
        <v>2.2000000000000002</v>
      </c>
    </row>
    <row r="111" spans="1:5" ht="14.45" customHeight="1" x14ac:dyDescent="0.2">
      <c r="A111" s="50" t="s">
        <v>153</v>
      </c>
      <c r="B111" s="52">
        <v>378.7</v>
      </c>
      <c r="C111" s="52">
        <v>0.1</v>
      </c>
      <c r="D111" s="52">
        <v>804</v>
      </c>
      <c r="E111" s="52">
        <v>0.1</v>
      </c>
    </row>
    <row r="112" spans="1:5" ht="14.45" customHeight="1" x14ac:dyDescent="0.2">
      <c r="A112" s="49" t="s">
        <v>64</v>
      </c>
      <c r="B112" s="52">
        <v>4137.8999999999996</v>
      </c>
      <c r="C112" s="52">
        <v>0.7</v>
      </c>
      <c r="D112" s="52">
        <v>7301.3</v>
      </c>
      <c r="E112" s="52">
        <v>0.8</v>
      </c>
    </row>
    <row r="113" spans="1:5" ht="14.45" customHeight="1" x14ac:dyDescent="0.2">
      <c r="A113" s="50" t="s">
        <v>154</v>
      </c>
      <c r="B113" s="52">
        <v>698.3</v>
      </c>
      <c r="C113" s="52">
        <v>0.1</v>
      </c>
      <c r="D113" s="52">
        <v>752.9</v>
      </c>
      <c r="E113" s="52">
        <v>0.1</v>
      </c>
    </row>
    <row r="114" spans="1:5" ht="14.45" customHeight="1" x14ac:dyDescent="0.2">
      <c r="A114" s="50" t="s">
        <v>155</v>
      </c>
      <c r="B114" s="52">
        <v>1014.6</v>
      </c>
      <c r="C114" s="52">
        <v>0.2</v>
      </c>
      <c r="D114" s="52">
        <v>1269.5</v>
      </c>
      <c r="E114" s="52">
        <v>0.1</v>
      </c>
    </row>
    <row r="115" spans="1:5" ht="14.45" customHeight="1" x14ac:dyDescent="0.2">
      <c r="A115" s="50" t="s">
        <v>156</v>
      </c>
      <c r="B115" s="52">
        <v>740</v>
      </c>
      <c r="C115" s="52">
        <v>0.1</v>
      </c>
      <c r="D115" s="52">
        <v>1452.3</v>
      </c>
      <c r="E115" s="52">
        <v>0.2</v>
      </c>
    </row>
    <row r="116" spans="1:5" ht="14.45" customHeight="1" x14ac:dyDescent="0.2">
      <c r="A116" s="50" t="s">
        <v>157</v>
      </c>
      <c r="B116" s="52">
        <v>257.39999999999998</v>
      </c>
      <c r="C116" s="52">
        <v>0</v>
      </c>
      <c r="D116" s="52">
        <v>891.5</v>
      </c>
      <c r="E116" s="52">
        <v>0.1</v>
      </c>
    </row>
    <row r="117" spans="1:5" ht="14.45" customHeight="1" x14ac:dyDescent="0.2">
      <c r="A117" s="50" t="s">
        <v>158</v>
      </c>
      <c r="B117" s="52">
        <v>1427.6</v>
      </c>
      <c r="C117" s="52">
        <v>0.2</v>
      </c>
      <c r="D117" s="52">
        <v>2935.2</v>
      </c>
      <c r="E117" s="52">
        <v>0.3</v>
      </c>
    </row>
    <row r="118" spans="1:5" ht="14.45" customHeight="1" x14ac:dyDescent="0.2">
      <c r="A118" s="55" t="s">
        <v>44</v>
      </c>
      <c r="B118" s="53">
        <v>21693</v>
      </c>
      <c r="C118" s="56">
        <v>3.7</v>
      </c>
      <c r="D118" s="53">
        <v>43923.1</v>
      </c>
      <c r="E118" s="56">
        <v>4.8</v>
      </c>
    </row>
  </sheetData>
  <mergeCells count="3">
    <mergeCell ref="A1:A2"/>
    <mergeCell ref="D1:E1"/>
    <mergeCell ref="B1:C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增加值 (2001-2060, 2012USD)</vt:lpstr>
      <vt:lpstr>情景假设</vt:lpstr>
      <vt:lpstr>增加值 (2001-2060, 2020RMB)</vt:lpstr>
      <vt:lpstr>增加值 (2001-2022, 当年价) </vt:lpstr>
      <vt:lpstr>平滑数据导入</vt:lpstr>
      <vt:lpstr>统计资料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cjwdllj@163.com</cp:lastModifiedBy>
  <dcterms:created xsi:type="dcterms:W3CDTF">2023-02-16T02:08:39Z</dcterms:created>
  <dcterms:modified xsi:type="dcterms:W3CDTF">2024-07-18T09:30:02Z</dcterms:modified>
</cp:coreProperties>
</file>