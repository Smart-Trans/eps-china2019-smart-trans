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"/>
    </mc:Choice>
  </mc:AlternateContent>
  <xr:revisionPtr revIDLastSave="0" documentId="13_ncr:1_{C3F9092D-D382-457B-9272-4C306FF8F69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高情景" sheetId="3" r:id="rId1"/>
    <sheet name="中情景" sheetId="4" r:id="rId2"/>
    <sheet name="低情景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" i="4"/>
  <c r="K3" i="4"/>
  <c r="L3" i="4"/>
  <c r="K4" i="4"/>
  <c r="L4" i="4"/>
  <c r="K5" i="4"/>
  <c r="L5" i="4"/>
  <c r="K6" i="4"/>
  <c r="L6" i="4"/>
  <c r="K7" i="4"/>
  <c r="L7" i="4"/>
  <c r="K8" i="4"/>
  <c r="L8" i="4"/>
  <c r="K9" i="4"/>
  <c r="L9" i="4"/>
  <c r="K10" i="4"/>
  <c r="L10" i="4"/>
  <c r="K11" i="4"/>
  <c r="L11" i="4"/>
  <c r="K12" i="4"/>
  <c r="L12" i="4"/>
  <c r="K13" i="4"/>
  <c r="L13" i="4"/>
  <c r="K14" i="4"/>
  <c r="L14" i="4"/>
  <c r="K15" i="4"/>
  <c r="L15" i="4"/>
  <c r="K16" i="4"/>
  <c r="L16" i="4"/>
  <c r="K17" i="4"/>
  <c r="L17" i="4"/>
  <c r="K18" i="4"/>
  <c r="L18" i="4"/>
  <c r="K19" i="4"/>
  <c r="L19" i="4"/>
  <c r="K20" i="4"/>
  <c r="L20" i="4"/>
  <c r="K21" i="4"/>
  <c r="L21" i="4"/>
  <c r="L2" i="4"/>
  <c r="K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" i="4"/>
  <c r="E3" i="4"/>
  <c r="F3" i="4"/>
  <c r="G3" i="4"/>
  <c r="H3" i="4"/>
  <c r="E4" i="4"/>
  <c r="F4" i="4"/>
  <c r="G4" i="4"/>
  <c r="H4" i="4"/>
  <c r="E5" i="4"/>
  <c r="F5" i="4"/>
  <c r="G5" i="4"/>
  <c r="H5" i="4"/>
  <c r="E6" i="4"/>
  <c r="F6" i="4"/>
  <c r="G6" i="4"/>
  <c r="H6" i="4"/>
  <c r="E7" i="4"/>
  <c r="F7" i="4"/>
  <c r="G7" i="4"/>
  <c r="H7" i="4"/>
  <c r="E8" i="4"/>
  <c r="F8" i="4"/>
  <c r="G8" i="4"/>
  <c r="H8" i="4"/>
  <c r="E9" i="4"/>
  <c r="F9" i="4"/>
  <c r="G9" i="4"/>
  <c r="H9" i="4"/>
  <c r="E10" i="4"/>
  <c r="F10" i="4"/>
  <c r="G10" i="4"/>
  <c r="H10" i="4"/>
  <c r="E11" i="4"/>
  <c r="F11" i="4"/>
  <c r="G11" i="4"/>
  <c r="H11" i="4"/>
  <c r="E12" i="4"/>
  <c r="F12" i="4"/>
  <c r="G12" i="4"/>
  <c r="H12" i="4"/>
  <c r="E13" i="4"/>
  <c r="F13" i="4"/>
  <c r="G13" i="4"/>
  <c r="H13" i="4"/>
  <c r="E14" i="4"/>
  <c r="F14" i="4"/>
  <c r="G14" i="4"/>
  <c r="H14" i="4"/>
  <c r="E15" i="4"/>
  <c r="F15" i="4"/>
  <c r="G15" i="4"/>
  <c r="H15" i="4"/>
  <c r="E16" i="4"/>
  <c r="F16" i="4"/>
  <c r="G16" i="4"/>
  <c r="H16" i="4"/>
  <c r="E17" i="4"/>
  <c r="F17" i="4"/>
  <c r="G17" i="4"/>
  <c r="H17" i="4"/>
  <c r="E18" i="4"/>
  <c r="F18" i="4"/>
  <c r="G18" i="4"/>
  <c r="H18" i="4"/>
  <c r="E19" i="4"/>
  <c r="F19" i="4"/>
  <c r="G19" i="4"/>
  <c r="H19" i="4"/>
  <c r="E20" i="4"/>
  <c r="F20" i="4"/>
  <c r="G20" i="4"/>
  <c r="H20" i="4"/>
  <c r="E21" i="4"/>
  <c r="F21" i="4"/>
  <c r="G21" i="4"/>
  <c r="H21" i="4"/>
  <c r="F2" i="4"/>
  <c r="G2" i="4"/>
  <c r="H2" i="4"/>
  <c r="E2" i="4"/>
  <c r="J10" i="1" l="1"/>
  <c r="J5" i="1"/>
  <c r="J8" i="1"/>
  <c r="AS6" i="1"/>
  <c r="AN6" i="1"/>
  <c r="AI6" i="1"/>
  <c r="AD6" i="1"/>
  <c r="Y6" i="1"/>
  <c r="T6" i="1"/>
  <c r="O6" i="1"/>
  <c r="J6" i="1"/>
  <c r="J21" i="1"/>
  <c r="J11" i="1"/>
  <c r="H16" i="1"/>
  <c r="I16" i="1" s="1"/>
  <c r="J7" i="1"/>
  <c r="I5" i="1"/>
  <c r="H5" i="1"/>
  <c r="P2" i="4" l="1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T6" i="4"/>
  <c r="Y6" i="4"/>
  <c r="AD6" i="4"/>
  <c r="AI6" i="4"/>
  <c r="AN6" i="4"/>
  <c r="AS6" i="4"/>
  <c r="T9" i="4"/>
  <c r="Y9" i="4"/>
  <c r="AD9" i="4"/>
  <c r="AI9" i="4"/>
  <c r="AN9" i="4"/>
  <c r="AS9" i="4"/>
  <c r="T12" i="4"/>
  <c r="Y12" i="4"/>
  <c r="AD12" i="4"/>
  <c r="AI12" i="4"/>
  <c r="AJ12" i="4"/>
  <c r="AK12" i="4"/>
  <c r="AL12" i="4"/>
  <c r="AM12" i="4"/>
  <c r="AN12" i="4"/>
  <c r="AO12" i="4"/>
  <c r="AP12" i="4"/>
  <c r="AQ12" i="4"/>
  <c r="AR12" i="4"/>
  <c r="AS12" i="4"/>
  <c r="P13" i="4"/>
  <c r="T13" i="4"/>
  <c r="Y13" i="4"/>
  <c r="AD13" i="4"/>
  <c r="AI13" i="4"/>
  <c r="AJ13" i="4"/>
  <c r="AK13" i="4"/>
  <c r="AL13" i="4"/>
  <c r="AM13" i="4"/>
  <c r="AN13" i="4"/>
  <c r="AO13" i="4"/>
  <c r="AP13" i="4"/>
  <c r="AQ13" i="4"/>
  <c r="AR13" i="4"/>
  <c r="AS13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T15" i="4"/>
  <c r="Y15" i="4"/>
  <c r="AD15" i="4"/>
  <c r="AI15" i="4"/>
  <c r="AN15" i="4"/>
  <c r="AS15" i="4"/>
  <c r="T16" i="4"/>
  <c r="Y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T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T18" i="4"/>
  <c r="Y18" i="4"/>
  <c r="AB18" i="4"/>
  <c r="AD18" i="4"/>
  <c r="AE18" i="4"/>
  <c r="AI18" i="4"/>
  <c r="AJ18" i="4"/>
  <c r="AK18" i="4"/>
  <c r="AL18" i="4"/>
  <c r="AM18" i="4"/>
  <c r="AN18" i="4"/>
  <c r="AO18" i="4"/>
  <c r="AP18" i="4"/>
  <c r="AQ18" i="4"/>
  <c r="AR18" i="4"/>
  <c r="AS18" i="4"/>
  <c r="T19" i="4"/>
  <c r="U19" i="4"/>
  <c r="V19" i="4"/>
  <c r="W19" i="4"/>
  <c r="X19" i="4"/>
  <c r="Y19" i="4"/>
  <c r="AD19" i="4"/>
  <c r="AI19" i="4"/>
  <c r="AL19" i="4"/>
  <c r="AN19" i="4"/>
  <c r="AO19" i="4"/>
  <c r="AP19" i="4"/>
  <c r="AQ19" i="4"/>
  <c r="AR19" i="4"/>
  <c r="AS19" i="4"/>
  <c r="T20" i="4"/>
  <c r="Y20" i="4"/>
  <c r="AD20" i="4"/>
  <c r="AI20" i="4"/>
  <c r="AN20" i="4"/>
  <c r="AO20" i="4"/>
  <c r="AS20" i="4"/>
  <c r="AS6" i="3"/>
  <c r="AN6" i="3"/>
  <c r="AI6" i="3"/>
  <c r="AD6" i="3"/>
  <c r="Y6" i="3"/>
  <c r="T6" i="3"/>
  <c r="O6" i="3"/>
  <c r="J6" i="3"/>
  <c r="J5" i="3"/>
  <c r="H12" i="3"/>
  <c r="I12" i="3" s="1"/>
  <c r="O11" i="3"/>
  <c r="J11" i="3"/>
  <c r="J10" i="3"/>
  <c r="O10" i="3"/>
  <c r="O7" i="3"/>
  <c r="J7" i="3"/>
  <c r="H7" i="3" s="1"/>
  <c r="I7" i="3" s="1"/>
  <c r="H5" i="3"/>
  <c r="I5" i="3" s="1"/>
  <c r="H3" i="1"/>
  <c r="I3" i="1" s="1"/>
  <c r="H4" i="1"/>
  <c r="I4" i="1"/>
  <c r="H6" i="1"/>
  <c r="I6" i="1"/>
  <c r="H9" i="1"/>
  <c r="I9" i="1" s="1"/>
  <c r="H10" i="1"/>
  <c r="I10" i="1" s="1"/>
  <c r="H12" i="1"/>
  <c r="I12" i="1" s="1"/>
  <c r="H13" i="1"/>
  <c r="I13" i="1" s="1"/>
  <c r="H14" i="1"/>
  <c r="I14" i="1" s="1"/>
  <c r="H15" i="1"/>
  <c r="I15" i="1" s="1"/>
  <c r="H17" i="1"/>
  <c r="I17" i="1" s="1"/>
  <c r="H19" i="1"/>
  <c r="I19" i="1" s="1"/>
  <c r="H20" i="1"/>
  <c r="I20" i="1"/>
  <c r="H21" i="1"/>
  <c r="I21" i="1" s="1"/>
  <c r="H2" i="1"/>
  <c r="I2" i="1" s="1"/>
  <c r="T2" i="3"/>
  <c r="O2" i="3"/>
  <c r="I3" i="3"/>
  <c r="I4" i="3"/>
  <c r="I8" i="3"/>
  <c r="I16" i="3"/>
  <c r="I17" i="3"/>
  <c r="I21" i="3"/>
  <c r="H3" i="3"/>
  <c r="H4" i="3"/>
  <c r="H6" i="3"/>
  <c r="I6" i="3" s="1"/>
  <c r="H8" i="3"/>
  <c r="H9" i="3"/>
  <c r="I9" i="3" s="1"/>
  <c r="H13" i="3"/>
  <c r="I13" i="3" s="1"/>
  <c r="H14" i="3"/>
  <c r="I14" i="3" s="1"/>
  <c r="H15" i="3"/>
  <c r="I15" i="3" s="1"/>
  <c r="H16" i="3"/>
  <c r="H17" i="3"/>
  <c r="H18" i="3"/>
  <c r="I18" i="3" s="1"/>
  <c r="H20" i="3"/>
  <c r="I20" i="3" s="1"/>
  <c r="H21" i="3"/>
  <c r="H2" i="3"/>
  <c r="I2" i="3" s="1"/>
  <c r="J21" i="3"/>
  <c r="O21" i="3" s="1"/>
  <c r="AO20" i="3"/>
  <c r="AP20" i="3" s="1"/>
  <c r="AQ20" i="3" s="1"/>
  <c r="AR20" i="3" s="1"/>
  <c r="AJ20" i="3"/>
  <c r="AK20" i="3" s="1"/>
  <c r="AL20" i="3" s="1"/>
  <c r="AM20" i="3" s="1"/>
  <c r="AE20" i="3"/>
  <c r="AF20" i="3" s="1"/>
  <c r="AG20" i="3" s="1"/>
  <c r="AH20" i="3" s="1"/>
  <c r="Z20" i="3"/>
  <c r="AA20" i="3" s="1"/>
  <c r="AB20" i="3" s="1"/>
  <c r="AC20" i="3" s="1"/>
  <c r="U20" i="3"/>
  <c r="V20" i="3" s="1"/>
  <c r="W20" i="3" s="1"/>
  <c r="X20" i="3" s="1"/>
  <c r="P20" i="3"/>
  <c r="Q20" i="3" s="1"/>
  <c r="R20" i="3" s="1"/>
  <c r="S20" i="3" s="1"/>
  <c r="K20" i="3"/>
  <c r="L20" i="3" s="1"/>
  <c r="M20" i="3" s="1"/>
  <c r="N20" i="3" s="1"/>
  <c r="AO19" i="3"/>
  <c r="AP19" i="3" s="1"/>
  <c r="AQ19" i="3" s="1"/>
  <c r="AR19" i="3" s="1"/>
  <c r="AK19" i="3"/>
  <c r="AL19" i="3" s="1"/>
  <c r="AM19" i="3" s="1"/>
  <c r="AJ19" i="3"/>
  <c r="AF19" i="3"/>
  <c r="AG19" i="3" s="1"/>
  <c r="AH19" i="3" s="1"/>
  <c r="AE19" i="3"/>
  <c r="Z19" i="3"/>
  <c r="AA19" i="3" s="1"/>
  <c r="AB19" i="3" s="1"/>
  <c r="AC19" i="3" s="1"/>
  <c r="U19" i="3"/>
  <c r="V19" i="3" s="1"/>
  <c r="W19" i="3" s="1"/>
  <c r="X19" i="3" s="1"/>
  <c r="P19" i="3"/>
  <c r="Q19" i="3" s="1"/>
  <c r="R19" i="3" s="1"/>
  <c r="S19" i="3" s="1"/>
  <c r="AP18" i="3"/>
  <c r="AQ18" i="3" s="1"/>
  <c r="AR18" i="3" s="1"/>
  <c r="AO18" i="3"/>
  <c r="AJ18" i="3"/>
  <c r="AK18" i="3" s="1"/>
  <c r="AL18" i="3" s="1"/>
  <c r="AM18" i="3" s="1"/>
  <c r="AE18" i="3"/>
  <c r="AF18" i="3" s="1"/>
  <c r="AG18" i="3" s="1"/>
  <c r="AH18" i="3" s="1"/>
  <c r="Z18" i="3"/>
  <c r="AA18" i="3" s="1"/>
  <c r="AB18" i="3" s="1"/>
  <c r="AC18" i="3" s="1"/>
  <c r="U18" i="3"/>
  <c r="V18" i="3" s="1"/>
  <c r="W18" i="3" s="1"/>
  <c r="X18" i="3" s="1"/>
  <c r="P18" i="3"/>
  <c r="Q18" i="3" s="1"/>
  <c r="R18" i="3" s="1"/>
  <c r="S18" i="3" s="1"/>
  <c r="K18" i="3"/>
  <c r="L18" i="3" s="1"/>
  <c r="M18" i="3" s="1"/>
  <c r="N18" i="3" s="1"/>
  <c r="AR17" i="3"/>
  <c r="AO17" i="3"/>
  <c r="AP17" i="3" s="1"/>
  <c r="AQ17" i="3" s="1"/>
  <c r="AK17" i="3"/>
  <c r="AL17" i="3" s="1"/>
  <c r="AM17" i="3" s="1"/>
  <c r="AJ17" i="3"/>
  <c r="AE17" i="3"/>
  <c r="AF17" i="3" s="1"/>
  <c r="AG17" i="3" s="1"/>
  <c r="AH17" i="3" s="1"/>
  <c r="Z17" i="3"/>
  <c r="AA17" i="3" s="1"/>
  <c r="AB17" i="3" s="1"/>
  <c r="AC17" i="3" s="1"/>
  <c r="U17" i="3"/>
  <c r="V17" i="3" s="1"/>
  <c r="W17" i="3" s="1"/>
  <c r="X17" i="3" s="1"/>
  <c r="P17" i="3"/>
  <c r="Q17" i="3" s="1"/>
  <c r="R17" i="3" s="1"/>
  <c r="S17" i="3" s="1"/>
  <c r="K17" i="3"/>
  <c r="L17" i="3" s="1"/>
  <c r="M17" i="3" s="1"/>
  <c r="N17" i="3" s="1"/>
  <c r="AP16" i="3"/>
  <c r="AQ16" i="3" s="1"/>
  <c r="AR16" i="3" s="1"/>
  <c r="AO16" i="3"/>
  <c r="AJ16" i="3"/>
  <c r="AK16" i="3" s="1"/>
  <c r="AL16" i="3" s="1"/>
  <c r="AM16" i="3" s="1"/>
  <c r="AE16" i="3"/>
  <c r="AF16" i="3" s="1"/>
  <c r="AG16" i="3" s="1"/>
  <c r="AH16" i="3" s="1"/>
  <c r="Z16" i="3"/>
  <c r="AA16" i="3" s="1"/>
  <c r="AB16" i="3" s="1"/>
  <c r="AC16" i="3" s="1"/>
  <c r="U16" i="3"/>
  <c r="V16" i="3" s="1"/>
  <c r="W16" i="3" s="1"/>
  <c r="X16" i="3" s="1"/>
  <c r="P16" i="3"/>
  <c r="Q16" i="3" s="1"/>
  <c r="R16" i="3" s="1"/>
  <c r="S16" i="3" s="1"/>
  <c r="L16" i="3"/>
  <c r="M16" i="3" s="1"/>
  <c r="N16" i="3" s="1"/>
  <c r="K16" i="3"/>
  <c r="AO15" i="3"/>
  <c r="AP15" i="3" s="1"/>
  <c r="AQ15" i="3" s="1"/>
  <c r="AR15" i="3" s="1"/>
  <c r="AJ15" i="3"/>
  <c r="AK15" i="3" s="1"/>
  <c r="AL15" i="3" s="1"/>
  <c r="AM15" i="3" s="1"/>
  <c r="AE15" i="3"/>
  <c r="AF15" i="3" s="1"/>
  <c r="AG15" i="3" s="1"/>
  <c r="AH15" i="3" s="1"/>
  <c r="Z15" i="3"/>
  <c r="AA15" i="3" s="1"/>
  <c r="AB15" i="3" s="1"/>
  <c r="AC15" i="3" s="1"/>
  <c r="U15" i="3"/>
  <c r="V15" i="3" s="1"/>
  <c r="W15" i="3" s="1"/>
  <c r="X15" i="3" s="1"/>
  <c r="P15" i="3"/>
  <c r="Q15" i="3" s="1"/>
  <c r="R15" i="3" s="1"/>
  <c r="S15" i="3" s="1"/>
  <c r="K15" i="3"/>
  <c r="L15" i="3" s="1"/>
  <c r="M15" i="3" s="1"/>
  <c r="N15" i="3" s="1"/>
  <c r="AO14" i="3"/>
  <c r="AP14" i="3" s="1"/>
  <c r="AQ14" i="3" s="1"/>
  <c r="AR14" i="3" s="1"/>
  <c r="AJ14" i="3"/>
  <c r="AK14" i="3" s="1"/>
  <c r="AL14" i="3" s="1"/>
  <c r="AM14" i="3" s="1"/>
  <c r="AE14" i="3"/>
  <c r="AF14" i="3" s="1"/>
  <c r="AG14" i="3" s="1"/>
  <c r="AH14" i="3" s="1"/>
  <c r="Z14" i="3"/>
  <c r="AA14" i="3" s="1"/>
  <c r="AB14" i="3" s="1"/>
  <c r="AC14" i="3" s="1"/>
  <c r="U14" i="3"/>
  <c r="V14" i="3" s="1"/>
  <c r="W14" i="3" s="1"/>
  <c r="X14" i="3" s="1"/>
  <c r="P14" i="3"/>
  <c r="Q14" i="3" s="1"/>
  <c r="R14" i="3" s="1"/>
  <c r="S14" i="3" s="1"/>
  <c r="K14" i="3"/>
  <c r="L14" i="3" s="1"/>
  <c r="M14" i="3" s="1"/>
  <c r="N14" i="3" s="1"/>
  <c r="AO13" i="3"/>
  <c r="AP13" i="3" s="1"/>
  <c r="AQ13" i="3" s="1"/>
  <c r="AR13" i="3" s="1"/>
  <c r="AJ13" i="3"/>
  <c r="AK13" i="3" s="1"/>
  <c r="AL13" i="3" s="1"/>
  <c r="AM13" i="3" s="1"/>
  <c r="AE13" i="3"/>
  <c r="AF13" i="3" s="1"/>
  <c r="AG13" i="3" s="1"/>
  <c r="AH13" i="3" s="1"/>
  <c r="Z13" i="3"/>
  <c r="AA13" i="3" s="1"/>
  <c r="AB13" i="3" s="1"/>
  <c r="AC13" i="3" s="1"/>
  <c r="U13" i="3"/>
  <c r="V13" i="3" s="1"/>
  <c r="W13" i="3" s="1"/>
  <c r="X13" i="3" s="1"/>
  <c r="P13" i="3"/>
  <c r="Q13" i="3" s="1"/>
  <c r="R13" i="3" s="1"/>
  <c r="S13" i="3" s="1"/>
  <c r="K13" i="3"/>
  <c r="L13" i="3" s="1"/>
  <c r="M13" i="3" s="1"/>
  <c r="N13" i="3" s="1"/>
  <c r="AP12" i="3"/>
  <c r="AQ12" i="3" s="1"/>
  <c r="AR12" i="3" s="1"/>
  <c r="AO12" i="3"/>
  <c r="AJ12" i="3"/>
  <c r="AK12" i="3" s="1"/>
  <c r="AL12" i="3" s="1"/>
  <c r="AM12" i="3" s="1"/>
  <c r="AE12" i="3"/>
  <c r="AF12" i="3" s="1"/>
  <c r="AG12" i="3" s="1"/>
  <c r="AH12" i="3" s="1"/>
  <c r="Z12" i="3"/>
  <c r="AA12" i="3" s="1"/>
  <c r="AB12" i="3" s="1"/>
  <c r="AC12" i="3" s="1"/>
  <c r="U12" i="3"/>
  <c r="V12" i="3" s="1"/>
  <c r="W12" i="3" s="1"/>
  <c r="X12" i="3" s="1"/>
  <c r="P12" i="3"/>
  <c r="Q12" i="3" s="1"/>
  <c r="R12" i="3" s="1"/>
  <c r="S12" i="3" s="1"/>
  <c r="K12" i="3"/>
  <c r="L12" i="3" s="1"/>
  <c r="M12" i="3" s="1"/>
  <c r="N12" i="3" s="1"/>
  <c r="H11" i="3"/>
  <c r="I11" i="3" s="1"/>
  <c r="AO9" i="3"/>
  <c r="AP9" i="3" s="1"/>
  <c r="AQ9" i="3" s="1"/>
  <c r="AR9" i="3" s="1"/>
  <c r="AJ9" i="3"/>
  <c r="AK9" i="3" s="1"/>
  <c r="AL9" i="3" s="1"/>
  <c r="AM9" i="3" s="1"/>
  <c r="AE9" i="3"/>
  <c r="AF9" i="3" s="1"/>
  <c r="AG9" i="3" s="1"/>
  <c r="AH9" i="3" s="1"/>
  <c r="Z9" i="3"/>
  <c r="AA9" i="3" s="1"/>
  <c r="AB9" i="3" s="1"/>
  <c r="AC9" i="3" s="1"/>
  <c r="U9" i="3"/>
  <c r="V9" i="3" s="1"/>
  <c r="W9" i="3" s="1"/>
  <c r="X9" i="3" s="1"/>
  <c r="P9" i="3"/>
  <c r="Q9" i="3" s="1"/>
  <c r="R9" i="3" s="1"/>
  <c r="S9" i="3" s="1"/>
  <c r="K9" i="3"/>
  <c r="L9" i="3" s="1"/>
  <c r="M9" i="3" s="1"/>
  <c r="N9" i="3" s="1"/>
  <c r="J8" i="3"/>
  <c r="AJ6" i="3"/>
  <c r="AK6" i="3" s="1"/>
  <c r="AL6" i="3" s="1"/>
  <c r="AM6" i="3" s="1"/>
  <c r="AE6" i="3"/>
  <c r="AF6" i="3" s="1"/>
  <c r="AG6" i="3" s="1"/>
  <c r="AH6" i="3" s="1"/>
  <c r="Z6" i="3"/>
  <c r="AA6" i="3" s="1"/>
  <c r="AB6" i="3" s="1"/>
  <c r="AC6" i="3" s="1"/>
  <c r="U6" i="3"/>
  <c r="V6" i="3" s="1"/>
  <c r="W6" i="3" s="1"/>
  <c r="X6" i="3" s="1"/>
  <c r="P6" i="3"/>
  <c r="Q6" i="3" s="1"/>
  <c r="R6" i="3" s="1"/>
  <c r="S6" i="3" s="1"/>
  <c r="K6" i="3"/>
  <c r="L6" i="3" s="1"/>
  <c r="M6" i="3" s="1"/>
  <c r="N6" i="3" s="1"/>
  <c r="AP4" i="3"/>
  <c r="AQ4" i="3" s="1"/>
  <c r="AR4" i="3" s="1"/>
  <c r="AO4" i="3"/>
  <c r="AJ4" i="3"/>
  <c r="AK4" i="3" s="1"/>
  <c r="AL4" i="3" s="1"/>
  <c r="AM4" i="3" s="1"/>
  <c r="AE4" i="3"/>
  <c r="AF4" i="3" s="1"/>
  <c r="AG4" i="3" s="1"/>
  <c r="AH4" i="3" s="1"/>
  <c r="Z4" i="3"/>
  <c r="AA4" i="3" s="1"/>
  <c r="AB4" i="3" s="1"/>
  <c r="AC4" i="3" s="1"/>
  <c r="U4" i="3"/>
  <c r="V4" i="3" s="1"/>
  <c r="W4" i="3" s="1"/>
  <c r="X4" i="3" s="1"/>
  <c r="Q4" i="3"/>
  <c r="R4" i="3" s="1"/>
  <c r="S4" i="3" s="1"/>
  <c r="P4" i="3"/>
  <c r="L4" i="3"/>
  <c r="M4" i="3" s="1"/>
  <c r="N4" i="3" s="1"/>
  <c r="K4" i="3"/>
  <c r="AO3" i="3"/>
  <c r="AP3" i="3" s="1"/>
  <c r="AQ3" i="3" s="1"/>
  <c r="AR3" i="3" s="1"/>
  <c r="AK3" i="3"/>
  <c r="AL3" i="3" s="1"/>
  <c r="AM3" i="3" s="1"/>
  <c r="AJ3" i="3"/>
  <c r="AE3" i="3"/>
  <c r="AF3" i="3" s="1"/>
  <c r="AG3" i="3" s="1"/>
  <c r="AH3" i="3" s="1"/>
  <c r="Z3" i="3"/>
  <c r="AA3" i="3" s="1"/>
  <c r="AB3" i="3" s="1"/>
  <c r="AC3" i="3" s="1"/>
  <c r="V3" i="3"/>
  <c r="W3" i="3" s="1"/>
  <c r="X3" i="3" s="1"/>
  <c r="U3" i="3"/>
  <c r="P3" i="3"/>
  <c r="Q3" i="3" s="1"/>
  <c r="R3" i="3" s="1"/>
  <c r="S3" i="3" s="1"/>
  <c r="K3" i="3"/>
  <c r="L3" i="3" s="1"/>
  <c r="M3" i="3" s="1"/>
  <c r="N3" i="3" s="1"/>
  <c r="O21" i="1"/>
  <c r="K21" i="1" s="1"/>
  <c r="L21" i="1" s="1"/>
  <c r="M21" i="1" s="1"/>
  <c r="N21" i="1" s="1"/>
  <c r="AO20" i="1"/>
  <c r="AP20" i="1" s="1"/>
  <c r="AJ20" i="1"/>
  <c r="AK20" i="1" s="1"/>
  <c r="AL20" i="1" s="1"/>
  <c r="AM20" i="1" s="1"/>
  <c r="AM20" i="4" s="1"/>
  <c r="AE20" i="1"/>
  <c r="AE20" i="4" s="1"/>
  <c r="Z20" i="1"/>
  <c r="AA20" i="1" s="1"/>
  <c r="AB20" i="1" s="1"/>
  <c r="AC20" i="1" s="1"/>
  <c r="AC20" i="4" s="1"/>
  <c r="U20" i="1"/>
  <c r="U20" i="4" s="1"/>
  <c r="P20" i="1"/>
  <c r="Q20" i="1" s="1"/>
  <c r="R20" i="1" s="1"/>
  <c r="S20" i="1" s="1"/>
  <c r="S20" i="4" s="1"/>
  <c r="K20" i="1"/>
  <c r="AQ19" i="1"/>
  <c r="AR19" i="1" s="1"/>
  <c r="AP19" i="1"/>
  <c r="AO19" i="1"/>
  <c r="AJ19" i="1"/>
  <c r="AK19" i="1" s="1"/>
  <c r="AL19" i="1" s="1"/>
  <c r="AM19" i="1" s="1"/>
  <c r="AM19" i="4" s="1"/>
  <c r="AE19" i="1"/>
  <c r="AE19" i="4" s="1"/>
  <c r="Z19" i="1"/>
  <c r="AA19" i="1" s="1"/>
  <c r="AB19" i="1" s="1"/>
  <c r="AC19" i="1" s="1"/>
  <c r="AC19" i="4" s="1"/>
  <c r="U19" i="1"/>
  <c r="V19" i="1" s="1"/>
  <c r="W19" i="1" s="1"/>
  <c r="X19" i="1" s="1"/>
  <c r="P19" i="1"/>
  <c r="Q19" i="1" s="1"/>
  <c r="R19" i="1" s="1"/>
  <c r="S19" i="1" s="1"/>
  <c r="S19" i="4" s="1"/>
  <c r="K19" i="1"/>
  <c r="L19" i="1" s="1"/>
  <c r="M19" i="1" s="1"/>
  <c r="N19" i="1" s="1"/>
  <c r="AQ18" i="1"/>
  <c r="AR18" i="1" s="1"/>
  <c r="AP18" i="1"/>
  <c r="AO18" i="1"/>
  <c r="AJ18" i="1"/>
  <c r="AK18" i="1" s="1"/>
  <c r="AL18" i="1" s="1"/>
  <c r="AM18" i="1" s="1"/>
  <c r="AF18" i="1"/>
  <c r="AF18" i="4" s="1"/>
  <c r="AE18" i="1"/>
  <c r="Z18" i="1"/>
  <c r="AA18" i="1" s="1"/>
  <c r="AB18" i="1" s="1"/>
  <c r="AC18" i="1" s="1"/>
  <c r="AC18" i="4" s="1"/>
  <c r="V18" i="1"/>
  <c r="V18" i="4" s="1"/>
  <c r="U18" i="1"/>
  <c r="U18" i="4" s="1"/>
  <c r="P18" i="1"/>
  <c r="Q18" i="1" s="1"/>
  <c r="R18" i="1" s="1"/>
  <c r="S18" i="1" s="1"/>
  <c r="S18" i="4" s="1"/>
  <c r="K18" i="1"/>
  <c r="L18" i="1" s="1"/>
  <c r="AQ17" i="1"/>
  <c r="AR17" i="1" s="1"/>
  <c r="AP17" i="1"/>
  <c r="AO17" i="1"/>
  <c r="AJ17" i="1"/>
  <c r="AK17" i="1" s="1"/>
  <c r="AL17" i="1" s="1"/>
  <c r="AM17" i="1" s="1"/>
  <c r="AH17" i="1"/>
  <c r="AG17" i="1"/>
  <c r="AF17" i="1"/>
  <c r="AE17" i="1"/>
  <c r="Z17" i="1"/>
  <c r="AA17" i="1" s="1"/>
  <c r="AB17" i="1" s="1"/>
  <c r="AC17" i="1" s="1"/>
  <c r="U17" i="1"/>
  <c r="U17" i="4" s="1"/>
  <c r="P17" i="1"/>
  <c r="Q17" i="1" s="1"/>
  <c r="R17" i="1" s="1"/>
  <c r="S17" i="1" s="1"/>
  <c r="S17" i="4" s="1"/>
  <c r="K17" i="1"/>
  <c r="AQ16" i="1"/>
  <c r="AR16" i="1" s="1"/>
  <c r="AP16" i="1"/>
  <c r="AO16" i="1"/>
  <c r="AJ16" i="1"/>
  <c r="AK16" i="1" s="1"/>
  <c r="AL16" i="1" s="1"/>
  <c r="AM16" i="1" s="1"/>
  <c r="AH16" i="1"/>
  <c r="AG16" i="1"/>
  <c r="AF16" i="1"/>
  <c r="AE16" i="1"/>
  <c r="Z16" i="1"/>
  <c r="AA16" i="1" s="1"/>
  <c r="AB16" i="1" s="1"/>
  <c r="AC16" i="1" s="1"/>
  <c r="AC16" i="4" s="1"/>
  <c r="U16" i="1"/>
  <c r="U16" i="4" s="1"/>
  <c r="P16" i="1"/>
  <c r="Q16" i="1" s="1"/>
  <c r="R16" i="1" s="1"/>
  <c r="S16" i="1" s="1"/>
  <c r="S16" i="4" s="1"/>
  <c r="K16" i="1"/>
  <c r="AO15" i="1"/>
  <c r="AO15" i="4" s="1"/>
  <c r="AJ15" i="1"/>
  <c r="AK15" i="1" s="1"/>
  <c r="AL15" i="1" s="1"/>
  <c r="AM15" i="1" s="1"/>
  <c r="AM15" i="4" s="1"/>
  <c r="AE15" i="1"/>
  <c r="AE15" i="4" s="1"/>
  <c r="Z15" i="1"/>
  <c r="AA15" i="1" s="1"/>
  <c r="AB15" i="1" s="1"/>
  <c r="AC15" i="1" s="1"/>
  <c r="AC15" i="4" s="1"/>
  <c r="U15" i="1"/>
  <c r="U15" i="4" s="1"/>
  <c r="P15" i="1"/>
  <c r="Q15" i="1" s="1"/>
  <c r="R15" i="1" s="1"/>
  <c r="S15" i="1" s="1"/>
  <c r="S15" i="4" s="1"/>
  <c r="K15" i="1"/>
  <c r="L15" i="1" s="1"/>
  <c r="AQ14" i="1"/>
  <c r="AR14" i="1" s="1"/>
  <c r="AP14" i="1"/>
  <c r="AO14" i="1"/>
  <c r="AJ14" i="1"/>
  <c r="AK14" i="1" s="1"/>
  <c r="AL14" i="1" s="1"/>
  <c r="AM14" i="1" s="1"/>
  <c r="AH14" i="1"/>
  <c r="AG14" i="1"/>
  <c r="AF14" i="1"/>
  <c r="AE14" i="1"/>
  <c r="Z14" i="1"/>
  <c r="AA14" i="1" s="1"/>
  <c r="AB14" i="1" s="1"/>
  <c r="AC14" i="1" s="1"/>
  <c r="V14" i="1"/>
  <c r="W14" i="1" s="1"/>
  <c r="X14" i="1" s="1"/>
  <c r="U14" i="1"/>
  <c r="P14" i="1"/>
  <c r="Q14" i="1" s="1"/>
  <c r="R14" i="1" s="1"/>
  <c r="S14" i="1" s="1"/>
  <c r="L14" i="1"/>
  <c r="M14" i="1" s="1"/>
  <c r="N14" i="1" s="1"/>
  <c r="K14" i="1"/>
  <c r="AQ13" i="1"/>
  <c r="AR13" i="1" s="1"/>
  <c r="AP13" i="1"/>
  <c r="AO13" i="1"/>
  <c r="AJ13" i="1"/>
  <c r="AK13" i="1" s="1"/>
  <c r="AL13" i="1" s="1"/>
  <c r="AM13" i="1" s="1"/>
  <c r="AE13" i="1"/>
  <c r="AF13" i="1" s="1"/>
  <c r="AG13" i="1" s="1"/>
  <c r="AH13" i="1" s="1"/>
  <c r="AH13" i="4" s="1"/>
  <c r="Z13" i="1"/>
  <c r="AA13" i="1" s="1"/>
  <c r="AB13" i="1" s="1"/>
  <c r="AC13" i="1" s="1"/>
  <c r="AC13" i="4" s="1"/>
  <c r="U13" i="1"/>
  <c r="V13" i="1" s="1"/>
  <c r="W13" i="1" s="1"/>
  <c r="X13" i="1" s="1"/>
  <c r="X13" i="4" s="1"/>
  <c r="P13" i="1"/>
  <c r="Q13" i="1" s="1"/>
  <c r="R13" i="1" s="1"/>
  <c r="S13" i="1" s="1"/>
  <c r="S13" i="4" s="1"/>
  <c r="K13" i="1"/>
  <c r="L13" i="1" s="1"/>
  <c r="M13" i="1" s="1"/>
  <c r="N13" i="1" s="1"/>
  <c r="AO12" i="1"/>
  <c r="AP12" i="1" s="1"/>
  <c r="AQ12" i="1" s="1"/>
  <c r="AR12" i="1" s="1"/>
  <c r="AJ12" i="1"/>
  <c r="AK12" i="1" s="1"/>
  <c r="AL12" i="1" s="1"/>
  <c r="AM12" i="1" s="1"/>
  <c r="AE12" i="1"/>
  <c r="AF12" i="1" s="1"/>
  <c r="AG12" i="1" s="1"/>
  <c r="AH12" i="1" s="1"/>
  <c r="AH12" i="4" s="1"/>
  <c r="Z12" i="1"/>
  <c r="AA12" i="1" s="1"/>
  <c r="AB12" i="1" s="1"/>
  <c r="AC12" i="1" s="1"/>
  <c r="AC12" i="4" s="1"/>
  <c r="U12" i="1"/>
  <c r="U12" i="4" s="1"/>
  <c r="P12" i="1"/>
  <c r="Q12" i="1" s="1"/>
  <c r="R12" i="1" s="1"/>
  <c r="S12" i="1" s="1"/>
  <c r="S12" i="4" s="1"/>
  <c r="K12" i="1"/>
  <c r="L12" i="1" s="1"/>
  <c r="M12" i="1" s="1"/>
  <c r="N12" i="1" s="1"/>
  <c r="H11" i="1"/>
  <c r="AO9" i="1"/>
  <c r="AP9" i="1" s="1"/>
  <c r="AQ9" i="1" s="1"/>
  <c r="AR9" i="1" s="1"/>
  <c r="AJ9" i="1"/>
  <c r="AK9" i="1" s="1"/>
  <c r="AL9" i="1" s="1"/>
  <c r="AM9" i="1" s="1"/>
  <c r="AE9" i="1"/>
  <c r="AF9" i="1" s="1"/>
  <c r="AG9" i="1" s="1"/>
  <c r="AH9" i="1" s="1"/>
  <c r="Z9" i="1"/>
  <c r="AA9" i="1" s="1"/>
  <c r="AB9" i="1" s="1"/>
  <c r="AC9" i="1" s="1"/>
  <c r="U9" i="1"/>
  <c r="V9" i="1" s="1"/>
  <c r="W9" i="1" s="1"/>
  <c r="X9" i="1" s="1"/>
  <c r="P9" i="1"/>
  <c r="Q9" i="1" s="1"/>
  <c r="R9" i="1" s="1"/>
  <c r="S9" i="1" s="1"/>
  <c r="K9" i="1"/>
  <c r="O7" i="1"/>
  <c r="T7" i="1" s="1"/>
  <c r="Y7" i="1" s="1"/>
  <c r="AD7" i="1" s="1"/>
  <c r="AD7" i="4" s="1"/>
  <c r="AO6" i="1"/>
  <c r="AO6" i="4" s="1"/>
  <c r="AJ6" i="1"/>
  <c r="AK6" i="1" s="1"/>
  <c r="AK6" i="4" s="1"/>
  <c r="AE6" i="1"/>
  <c r="AF6" i="1" s="1"/>
  <c r="AG6" i="1" s="1"/>
  <c r="AH6" i="1" s="1"/>
  <c r="AH6" i="4" s="1"/>
  <c r="Z6" i="1"/>
  <c r="AA6" i="1" s="1"/>
  <c r="AB6" i="1" s="1"/>
  <c r="U6" i="1"/>
  <c r="U6" i="4" s="1"/>
  <c r="P6" i="1"/>
  <c r="Q6" i="1" s="1"/>
  <c r="R6" i="1" s="1"/>
  <c r="S6" i="1" s="1"/>
  <c r="S6" i="4" s="1"/>
  <c r="K6" i="1"/>
  <c r="L6" i="1" s="1"/>
  <c r="O5" i="1"/>
  <c r="T5" i="1" s="1"/>
  <c r="T5" i="4" s="1"/>
  <c r="AO4" i="1"/>
  <c r="AP4" i="1" s="1"/>
  <c r="AQ4" i="1" s="1"/>
  <c r="AR4" i="1" s="1"/>
  <c r="AL4" i="1"/>
  <c r="AM4" i="1" s="1"/>
  <c r="AJ4" i="1"/>
  <c r="AK4" i="1" s="1"/>
  <c r="AF4" i="1"/>
  <c r="AG4" i="1" s="1"/>
  <c r="AH4" i="1" s="1"/>
  <c r="AE4" i="1"/>
  <c r="Z4" i="1"/>
  <c r="AA4" i="1" s="1"/>
  <c r="AB4" i="1" s="1"/>
  <c r="AC4" i="1" s="1"/>
  <c r="V4" i="1"/>
  <c r="W4" i="1" s="1"/>
  <c r="X4" i="1" s="1"/>
  <c r="U4" i="1"/>
  <c r="R4" i="1"/>
  <c r="S4" i="1" s="1"/>
  <c r="P4" i="1"/>
  <c r="Q4" i="1" s="1"/>
  <c r="M4" i="1"/>
  <c r="N4" i="1" s="1"/>
  <c r="L4" i="1"/>
  <c r="K4" i="1"/>
  <c r="AO3" i="1"/>
  <c r="AP3" i="1" s="1"/>
  <c r="AQ3" i="1" s="1"/>
  <c r="AR3" i="1" s="1"/>
  <c r="AL3" i="1"/>
  <c r="AM3" i="1" s="1"/>
  <c r="AJ3" i="1"/>
  <c r="AK3" i="1" s="1"/>
  <c r="AF3" i="1"/>
  <c r="AG3" i="1" s="1"/>
  <c r="AH3" i="1" s="1"/>
  <c r="AE3" i="1"/>
  <c r="Z3" i="1"/>
  <c r="AA3" i="1" s="1"/>
  <c r="AB3" i="1" s="1"/>
  <c r="AC3" i="1" s="1"/>
  <c r="V3" i="1"/>
  <c r="W3" i="1" s="1"/>
  <c r="X3" i="1" s="1"/>
  <c r="U3" i="1"/>
  <c r="R3" i="1"/>
  <c r="S3" i="1" s="1"/>
  <c r="P3" i="1"/>
  <c r="Q3" i="1" s="1"/>
  <c r="M3" i="1"/>
  <c r="N3" i="1" s="1"/>
  <c r="L3" i="1"/>
  <c r="K3" i="1"/>
  <c r="T2" i="1"/>
  <c r="Y2" i="1" s="1"/>
  <c r="AP6" i="1" l="1"/>
  <c r="AQ6" i="1" s="1"/>
  <c r="AR6" i="1"/>
  <c r="AR6" i="4" s="1"/>
  <c r="AQ6" i="4"/>
  <c r="AP6" i="4"/>
  <c r="AL6" i="1"/>
  <c r="AJ6" i="4"/>
  <c r="AG6" i="4"/>
  <c r="AE6" i="4"/>
  <c r="AF6" i="4"/>
  <c r="AC6" i="1"/>
  <c r="AC6" i="4" s="1"/>
  <c r="AB6" i="4"/>
  <c r="AA6" i="4"/>
  <c r="Z6" i="4"/>
  <c r="V6" i="1"/>
  <c r="R6" i="4"/>
  <c r="Q6" i="4"/>
  <c r="P6" i="4"/>
  <c r="M6" i="1"/>
  <c r="AF20" i="1"/>
  <c r="AF20" i="4" s="1"/>
  <c r="AQ20" i="1"/>
  <c r="AP20" i="4"/>
  <c r="AG20" i="1"/>
  <c r="AL20" i="4"/>
  <c r="AK20" i="4"/>
  <c r="AJ20" i="4"/>
  <c r="AB20" i="4"/>
  <c r="AA20" i="4"/>
  <c r="Z20" i="4"/>
  <c r="V20" i="1"/>
  <c r="R20" i="4"/>
  <c r="Q20" i="4"/>
  <c r="L20" i="1"/>
  <c r="M20" i="1" s="1"/>
  <c r="N20" i="1" s="1"/>
  <c r="P20" i="4"/>
  <c r="AG13" i="4"/>
  <c r="AF13" i="4"/>
  <c r="AE13" i="4"/>
  <c r="AB13" i="4"/>
  <c r="AA13" i="4"/>
  <c r="Z13" i="4"/>
  <c r="V13" i="4"/>
  <c r="W13" i="4"/>
  <c r="U13" i="4"/>
  <c r="AG12" i="4"/>
  <c r="AF12" i="4"/>
  <c r="AE12" i="4"/>
  <c r="AB16" i="4"/>
  <c r="Z16" i="4"/>
  <c r="AA16" i="4"/>
  <c r="AL15" i="4"/>
  <c r="AK15" i="4"/>
  <c r="AJ15" i="4"/>
  <c r="AF15" i="1"/>
  <c r="AF15" i="4" s="1"/>
  <c r="AP15" i="1"/>
  <c r="Z15" i="4"/>
  <c r="V15" i="1"/>
  <c r="W15" i="1" s="1"/>
  <c r="X15" i="1" s="1"/>
  <c r="X15" i="4" s="1"/>
  <c r="AB15" i="4"/>
  <c r="AA15" i="4"/>
  <c r="P15" i="4"/>
  <c r="Q15" i="4"/>
  <c r="R15" i="4"/>
  <c r="M15" i="1"/>
  <c r="AR9" i="4"/>
  <c r="AM9" i="4"/>
  <c r="AH9" i="4"/>
  <c r="AC9" i="4"/>
  <c r="X9" i="4"/>
  <c r="AP9" i="4"/>
  <c r="AO9" i="4"/>
  <c r="AL9" i="4"/>
  <c r="AK9" i="4"/>
  <c r="AQ9" i="4"/>
  <c r="AJ9" i="4"/>
  <c r="AG9" i="4"/>
  <c r="AF9" i="4"/>
  <c r="AE9" i="4"/>
  <c r="AB9" i="4"/>
  <c r="AA9" i="4"/>
  <c r="Z9" i="4"/>
  <c r="S9" i="4"/>
  <c r="W9" i="4"/>
  <c r="V9" i="4"/>
  <c r="U9" i="4"/>
  <c r="P9" i="4"/>
  <c r="R9" i="4"/>
  <c r="L9" i="1"/>
  <c r="M9" i="1" s="1"/>
  <c r="N9" i="1" s="1"/>
  <c r="Q9" i="4"/>
  <c r="V17" i="1"/>
  <c r="R17" i="4"/>
  <c r="Q17" i="4"/>
  <c r="P17" i="4"/>
  <c r="L17" i="1"/>
  <c r="V16" i="1"/>
  <c r="R16" i="4"/>
  <c r="Q16" i="4"/>
  <c r="P16" i="4"/>
  <c r="H8" i="1"/>
  <c r="L16" i="1"/>
  <c r="R13" i="4"/>
  <c r="Q13" i="4"/>
  <c r="AB12" i="4"/>
  <c r="AA12" i="4"/>
  <c r="Z12" i="4"/>
  <c r="Q12" i="4"/>
  <c r="V12" i="1"/>
  <c r="R12" i="4"/>
  <c r="P12" i="4"/>
  <c r="AJ19" i="4"/>
  <c r="AF19" i="1"/>
  <c r="AF19" i="4" s="1"/>
  <c r="AK19" i="4"/>
  <c r="AG19" i="1"/>
  <c r="AB19" i="4"/>
  <c r="AA19" i="4"/>
  <c r="Z19" i="4"/>
  <c r="Y7" i="4"/>
  <c r="R19" i="4"/>
  <c r="Q19" i="4"/>
  <c r="P19" i="4"/>
  <c r="T7" i="4"/>
  <c r="AG18" i="1"/>
  <c r="AA18" i="4"/>
  <c r="Z18" i="4"/>
  <c r="W18" i="1"/>
  <c r="R18" i="4"/>
  <c r="Q18" i="4"/>
  <c r="P18" i="4"/>
  <c r="M18" i="1"/>
  <c r="I11" i="1"/>
  <c r="AO6" i="3"/>
  <c r="AP6" i="3" s="1"/>
  <c r="AQ6" i="3" s="1"/>
  <c r="AR6" i="3" s="1"/>
  <c r="H10" i="3"/>
  <c r="I10" i="3" s="1"/>
  <c r="H7" i="1"/>
  <c r="T7" i="3"/>
  <c r="Y7" i="3" s="1"/>
  <c r="AD7" i="3" s="1"/>
  <c r="AI7" i="3" s="1"/>
  <c r="K19" i="3"/>
  <c r="L19" i="3" s="1"/>
  <c r="M19" i="3" s="1"/>
  <c r="N19" i="3" s="1"/>
  <c r="H19" i="3"/>
  <c r="I19" i="3" s="1"/>
  <c r="P2" i="1"/>
  <c r="Q2" i="1" s="1"/>
  <c r="R2" i="1" s="1"/>
  <c r="S2" i="1" s="1"/>
  <c r="K2" i="1"/>
  <c r="L2" i="1" s="1"/>
  <c r="M2" i="1" s="1"/>
  <c r="N2" i="1" s="1"/>
  <c r="K5" i="1"/>
  <c r="K7" i="1"/>
  <c r="P7" i="1"/>
  <c r="T11" i="3"/>
  <c r="Y11" i="3" s="1"/>
  <c r="T10" i="3"/>
  <c r="K10" i="3"/>
  <c r="L10" i="3" s="1"/>
  <c r="M10" i="3" s="1"/>
  <c r="N10" i="3" s="1"/>
  <c r="O5" i="3"/>
  <c r="K5" i="3" s="1"/>
  <c r="L5" i="3" s="1"/>
  <c r="M5" i="3" s="1"/>
  <c r="N5" i="3" s="1"/>
  <c r="O8" i="3"/>
  <c r="T21" i="3"/>
  <c r="P21" i="3" s="1"/>
  <c r="Q21" i="3" s="1"/>
  <c r="R21" i="3" s="1"/>
  <c r="S21" i="3" s="1"/>
  <c r="P2" i="3"/>
  <c r="Q2" i="3" s="1"/>
  <c r="R2" i="3" s="1"/>
  <c r="S2" i="3" s="1"/>
  <c r="K2" i="3"/>
  <c r="L2" i="3" s="1"/>
  <c r="M2" i="3" s="1"/>
  <c r="N2" i="3" s="1"/>
  <c r="K21" i="3"/>
  <c r="L21" i="3" s="1"/>
  <c r="M21" i="3" s="1"/>
  <c r="N21" i="3" s="1"/>
  <c r="P10" i="3"/>
  <c r="Q10" i="3" s="1"/>
  <c r="R10" i="3" s="1"/>
  <c r="S10" i="3" s="1"/>
  <c r="Y5" i="1"/>
  <c r="P5" i="1"/>
  <c r="O11" i="1"/>
  <c r="U2" i="1"/>
  <c r="V2" i="1" s="1"/>
  <c r="W2" i="1" s="1"/>
  <c r="X2" i="1" s="1"/>
  <c r="AD2" i="1"/>
  <c r="U7" i="1"/>
  <c r="AI7" i="1"/>
  <c r="AI7" i="4" s="1"/>
  <c r="T21" i="1"/>
  <c r="O8" i="1"/>
  <c r="Z7" i="1"/>
  <c r="O10" i="1"/>
  <c r="AM6" i="1" l="1"/>
  <c r="AM6" i="4" s="1"/>
  <c r="AL6" i="4"/>
  <c r="W6" i="1"/>
  <c r="V6" i="4"/>
  <c r="N6" i="1"/>
  <c r="AR20" i="1"/>
  <c r="AR20" i="4" s="1"/>
  <c r="AQ20" i="4"/>
  <c r="AG20" i="4"/>
  <c r="AH20" i="1"/>
  <c r="AH20" i="4" s="1"/>
  <c r="W20" i="1"/>
  <c r="V20" i="4"/>
  <c r="T21" i="4"/>
  <c r="Y21" i="1"/>
  <c r="I7" i="1"/>
  <c r="AG15" i="1"/>
  <c r="V15" i="4"/>
  <c r="W15" i="4"/>
  <c r="AQ15" i="1"/>
  <c r="AP15" i="4"/>
  <c r="AG15" i="4"/>
  <c r="AH15" i="1"/>
  <c r="AH15" i="4" s="1"/>
  <c r="N15" i="1"/>
  <c r="V17" i="4"/>
  <c r="W17" i="1"/>
  <c r="M17" i="1"/>
  <c r="W16" i="1"/>
  <c r="V16" i="4"/>
  <c r="M16" i="1"/>
  <c r="I8" i="1"/>
  <c r="W12" i="1"/>
  <c r="V12" i="4"/>
  <c r="AG19" i="4"/>
  <c r="AH19" i="1"/>
  <c r="AH19" i="4" s="1"/>
  <c r="Q7" i="1"/>
  <c r="P7" i="4"/>
  <c r="AA7" i="1"/>
  <c r="Z7" i="4"/>
  <c r="L7" i="1"/>
  <c r="V7" i="1"/>
  <c r="U7" i="4"/>
  <c r="AG18" i="4"/>
  <c r="AH18" i="1"/>
  <c r="AH18" i="4" s="1"/>
  <c r="X18" i="1"/>
  <c r="X18" i="4" s="1"/>
  <c r="W18" i="4"/>
  <c r="Q5" i="1"/>
  <c r="P5" i="4"/>
  <c r="U5" i="1"/>
  <c r="Y5" i="4"/>
  <c r="L5" i="1"/>
  <c r="N18" i="1"/>
  <c r="P7" i="3"/>
  <c r="Q7" i="3" s="1"/>
  <c r="R7" i="3" s="1"/>
  <c r="S7" i="3" s="1"/>
  <c r="K7" i="3"/>
  <c r="L7" i="3" s="1"/>
  <c r="M7" i="3" s="1"/>
  <c r="N7" i="3" s="1"/>
  <c r="Z7" i="3"/>
  <c r="AA7" i="3" s="1"/>
  <c r="AB7" i="3" s="1"/>
  <c r="AC7" i="3" s="1"/>
  <c r="U7" i="3"/>
  <c r="V7" i="3" s="1"/>
  <c r="W7" i="3" s="1"/>
  <c r="X7" i="3" s="1"/>
  <c r="AD11" i="3"/>
  <c r="Z11" i="3" s="1"/>
  <c r="AA11" i="3" s="1"/>
  <c r="AB11" i="3" s="1"/>
  <c r="AC11" i="3" s="1"/>
  <c r="P11" i="3"/>
  <c r="Q11" i="3" s="1"/>
  <c r="R11" i="3" s="1"/>
  <c r="S11" i="3" s="1"/>
  <c r="U11" i="3"/>
  <c r="V11" i="3" s="1"/>
  <c r="W11" i="3" s="1"/>
  <c r="X11" i="3" s="1"/>
  <c r="K11" i="3"/>
  <c r="L11" i="3" s="1"/>
  <c r="M11" i="3" s="1"/>
  <c r="N11" i="3" s="1"/>
  <c r="Y10" i="3"/>
  <c r="U10" i="3"/>
  <c r="V10" i="3" s="1"/>
  <c r="W10" i="3" s="1"/>
  <c r="X10" i="3" s="1"/>
  <c r="T8" i="3"/>
  <c r="P8" i="3" s="1"/>
  <c r="Q8" i="3" s="1"/>
  <c r="R8" i="3" s="1"/>
  <c r="S8" i="3" s="1"/>
  <c r="T5" i="3"/>
  <c r="P5" i="3" s="1"/>
  <c r="Q5" i="3" s="1"/>
  <c r="R5" i="3" s="1"/>
  <c r="S5" i="3" s="1"/>
  <c r="Y21" i="3"/>
  <c r="U21" i="3" s="1"/>
  <c r="V21" i="3" s="1"/>
  <c r="W21" i="3" s="1"/>
  <c r="X21" i="3" s="1"/>
  <c r="K8" i="3"/>
  <c r="L8" i="3" s="1"/>
  <c r="M8" i="3" s="1"/>
  <c r="N8" i="3" s="1"/>
  <c r="AN7" i="3"/>
  <c r="Y2" i="3"/>
  <c r="U2" i="3" s="1"/>
  <c r="V2" i="3" s="1"/>
  <c r="W2" i="3" s="1"/>
  <c r="X2" i="3" s="1"/>
  <c r="AE7" i="3"/>
  <c r="AF7" i="3" s="1"/>
  <c r="AG7" i="3" s="1"/>
  <c r="AH7" i="3" s="1"/>
  <c r="AI2" i="1"/>
  <c r="U21" i="1"/>
  <c r="T11" i="1"/>
  <c r="K11" i="1"/>
  <c r="AN7" i="1"/>
  <c r="Z2" i="1"/>
  <c r="AA2" i="1" s="1"/>
  <c r="AB2" i="1" s="1"/>
  <c r="AC2" i="1" s="1"/>
  <c r="T10" i="1"/>
  <c r="T10" i="4" s="1"/>
  <c r="K10" i="1"/>
  <c r="P21" i="1"/>
  <c r="T8" i="1"/>
  <c r="K8" i="1"/>
  <c r="AE7" i="1"/>
  <c r="AD5" i="1"/>
  <c r="X6" i="1" l="1"/>
  <c r="X6" i="4" s="1"/>
  <c r="W6" i="4"/>
  <c r="X20" i="1"/>
  <c r="X20" i="4" s="1"/>
  <c r="W20" i="4"/>
  <c r="Q21" i="1"/>
  <c r="P21" i="4"/>
  <c r="V21" i="1"/>
  <c r="U21" i="4"/>
  <c r="Y21" i="4"/>
  <c r="AD21" i="1"/>
  <c r="L10" i="1"/>
  <c r="P10" i="1"/>
  <c r="AR15" i="1"/>
  <c r="AR15" i="4" s="1"/>
  <c r="AQ15" i="4"/>
  <c r="X17" i="1"/>
  <c r="X17" i="4" s="1"/>
  <c r="W17" i="4"/>
  <c r="N17" i="1"/>
  <c r="X16" i="1"/>
  <c r="X16" i="4" s="1"/>
  <c r="W16" i="4"/>
  <c r="P8" i="1"/>
  <c r="T8" i="4"/>
  <c r="L8" i="1"/>
  <c r="N16" i="1"/>
  <c r="X12" i="1"/>
  <c r="X12" i="4" s="1"/>
  <c r="W12" i="4"/>
  <c r="AB7" i="1"/>
  <c r="AA7" i="4"/>
  <c r="AF7" i="1"/>
  <c r="AE7" i="4"/>
  <c r="W7" i="1"/>
  <c r="V7" i="4"/>
  <c r="M7" i="1"/>
  <c r="AJ7" i="1"/>
  <c r="AN7" i="4"/>
  <c r="R7" i="1"/>
  <c r="Q7" i="4"/>
  <c r="M5" i="1"/>
  <c r="L11" i="1"/>
  <c r="Z5" i="1"/>
  <c r="AD5" i="4"/>
  <c r="P11" i="1"/>
  <c r="T11" i="4"/>
  <c r="V5" i="1"/>
  <c r="U5" i="4"/>
  <c r="R5" i="1"/>
  <c r="Q5" i="4"/>
  <c r="AI11" i="3"/>
  <c r="AE11" i="3"/>
  <c r="AF11" i="3" s="1"/>
  <c r="AG11" i="3" s="1"/>
  <c r="AH11" i="3" s="1"/>
  <c r="AD10" i="3"/>
  <c r="AI10" i="3" s="1"/>
  <c r="AD2" i="3"/>
  <c r="Z2" i="3" s="1"/>
  <c r="AA2" i="3" s="1"/>
  <c r="AB2" i="3" s="1"/>
  <c r="AC2" i="3" s="1"/>
  <c r="AS7" i="3"/>
  <c r="AO7" i="3" s="1"/>
  <c r="AP7" i="3" s="1"/>
  <c r="AQ7" i="3" s="1"/>
  <c r="AR7" i="3" s="1"/>
  <c r="AJ7" i="3"/>
  <c r="AK7" i="3" s="1"/>
  <c r="AL7" i="3" s="1"/>
  <c r="AM7" i="3" s="1"/>
  <c r="Y5" i="3"/>
  <c r="U5" i="3" s="1"/>
  <c r="V5" i="3" s="1"/>
  <c r="W5" i="3" s="1"/>
  <c r="X5" i="3" s="1"/>
  <c r="AD21" i="3"/>
  <c r="Y8" i="3"/>
  <c r="U8" i="3"/>
  <c r="V8" i="3" s="1"/>
  <c r="W8" i="3" s="1"/>
  <c r="X8" i="3" s="1"/>
  <c r="Y11" i="1"/>
  <c r="AI5" i="1"/>
  <c r="AI5" i="4" s="1"/>
  <c r="Y10" i="1"/>
  <c r="Z21" i="1"/>
  <c r="Y8" i="1"/>
  <c r="AN2" i="1"/>
  <c r="AS7" i="1"/>
  <c r="AE2" i="1"/>
  <c r="AF2" i="1" s="1"/>
  <c r="AG2" i="1" s="1"/>
  <c r="AH2" i="1" s="1"/>
  <c r="AA21" i="1" l="1"/>
  <c r="Z21" i="4"/>
  <c r="AD21" i="4"/>
  <c r="AI21" i="1"/>
  <c r="AI21" i="4" s="1"/>
  <c r="W21" i="1"/>
  <c r="V21" i="4"/>
  <c r="R21" i="1"/>
  <c r="Q21" i="4"/>
  <c r="U10" i="1"/>
  <c r="Y10" i="4"/>
  <c r="Q10" i="1"/>
  <c r="P10" i="4"/>
  <c r="M10" i="1"/>
  <c r="M8" i="1"/>
  <c r="U8" i="1"/>
  <c r="Y8" i="4"/>
  <c r="Q8" i="1"/>
  <c r="P8" i="4"/>
  <c r="N7" i="1"/>
  <c r="X7" i="1"/>
  <c r="X7" i="4" s="1"/>
  <c r="W7" i="4"/>
  <c r="AG7" i="1"/>
  <c r="AF7" i="4"/>
  <c r="S7" i="1"/>
  <c r="S7" i="4" s="1"/>
  <c r="R7" i="4"/>
  <c r="AO7" i="1"/>
  <c r="AS7" i="4"/>
  <c r="AK7" i="1"/>
  <c r="AJ7" i="4"/>
  <c r="AC7" i="1"/>
  <c r="AC7" i="4" s="1"/>
  <c r="AB7" i="4"/>
  <c r="Q11" i="1"/>
  <c r="P11" i="4"/>
  <c r="M11" i="1"/>
  <c r="U11" i="1"/>
  <c r="Y11" i="4"/>
  <c r="S5" i="1"/>
  <c r="S5" i="4" s="1"/>
  <c r="R5" i="4"/>
  <c r="AA5" i="1"/>
  <c r="Z5" i="4"/>
  <c r="W5" i="1"/>
  <c r="V5" i="4"/>
  <c r="N5" i="1"/>
  <c r="Z10" i="3"/>
  <c r="AA10" i="3" s="1"/>
  <c r="AB10" i="3" s="1"/>
  <c r="AC10" i="3" s="1"/>
  <c r="AN11" i="3"/>
  <c r="AS11" i="3" s="1"/>
  <c r="AO11" i="3" s="1"/>
  <c r="AP11" i="3" s="1"/>
  <c r="AQ11" i="3" s="1"/>
  <c r="AR11" i="3" s="1"/>
  <c r="AE10" i="3"/>
  <c r="AF10" i="3" s="1"/>
  <c r="AG10" i="3" s="1"/>
  <c r="AH10" i="3" s="1"/>
  <c r="AN10" i="3"/>
  <c r="AJ10" i="3" s="1"/>
  <c r="AK10" i="3" s="1"/>
  <c r="AL10" i="3" s="1"/>
  <c r="AM10" i="3" s="1"/>
  <c r="AD8" i="3"/>
  <c r="AI21" i="3"/>
  <c r="AE21" i="3" s="1"/>
  <c r="AF21" i="3" s="1"/>
  <c r="AG21" i="3" s="1"/>
  <c r="AH21" i="3" s="1"/>
  <c r="Z21" i="3"/>
  <c r="AA21" i="3" s="1"/>
  <c r="AB21" i="3" s="1"/>
  <c r="AC21" i="3" s="1"/>
  <c r="AD5" i="3"/>
  <c r="Z5" i="3" s="1"/>
  <c r="AA5" i="3" s="1"/>
  <c r="AB5" i="3" s="1"/>
  <c r="AC5" i="3" s="1"/>
  <c r="AE2" i="3"/>
  <c r="AF2" i="3" s="1"/>
  <c r="AG2" i="3" s="1"/>
  <c r="AH2" i="3" s="1"/>
  <c r="AI2" i="3"/>
  <c r="AD10" i="1"/>
  <c r="AD10" i="4" s="1"/>
  <c r="AS2" i="1"/>
  <c r="AO2" i="1" s="1"/>
  <c r="AP2" i="1" s="1"/>
  <c r="AQ2" i="1" s="1"/>
  <c r="AR2" i="1" s="1"/>
  <c r="AN5" i="1"/>
  <c r="AJ2" i="1"/>
  <c r="AK2" i="1" s="1"/>
  <c r="AL2" i="1" s="1"/>
  <c r="AM2" i="1" s="1"/>
  <c r="AE5" i="1"/>
  <c r="AE21" i="1"/>
  <c r="AD8" i="1"/>
  <c r="AD8" i="4" s="1"/>
  <c r="AD11" i="1"/>
  <c r="AD11" i="4" s="1"/>
  <c r="AF21" i="1" l="1"/>
  <c r="AE21" i="4"/>
  <c r="S21" i="1"/>
  <c r="S21" i="4" s="1"/>
  <c r="R21" i="4"/>
  <c r="X21" i="1"/>
  <c r="X21" i="4" s="1"/>
  <c r="W21" i="4"/>
  <c r="AB21" i="1"/>
  <c r="AA21" i="4"/>
  <c r="Z11" i="1"/>
  <c r="N10" i="1"/>
  <c r="Z10" i="1"/>
  <c r="R10" i="1"/>
  <c r="Q10" i="4"/>
  <c r="V10" i="1"/>
  <c r="U10" i="4"/>
  <c r="R8" i="1"/>
  <c r="Q8" i="4"/>
  <c r="V8" i="1"/>
  <c r="U8" i="4"/>
  <c r="N8" i="1"/>
  <c r="AH7" i="1"/>
  <c r="AH7" i="4" s="1"/>
  <c r="AG7" i="4"/>
  <c r="AL7" i="1"/>
  <c r="AK7" i="4"/>
  <c r="AP7" i="1"/>
  <c r="AO7" i="4"/>
  <c r="AF5" i="1"/>
  <c r="AE5" i="4"/>
  <c r="AJ5" i="1"/>
  <c r="AN5" i="4"/>
  <c r="N11" i="1"/>
  <c r="X5" i="1"/>
  <c r="X5" i="4" s="1"/>
  <c r="W5" i="4"/>
  <c r="V11" i="1"/>
  <c r="U11" i="4"/>
  <c r="AA11" i="1"/>
  <c r="Z11" i="4"/>
  <c r="AB5" i="1"/>
  <c r="AA5" i="4"/>
  <c r="R11" i="1"/>
  <c r="Q11" i="4"/>
  <c r="AJ11" i="3"/>
  <c r="AK11" i="3" s="1"/>
  <c r="AL11" i="3" s="1"/>
  <c r="AM11" i="3" s="1"/>
  <c r="AS10" i="3"/>
  <c r="AO10" i="3" s="1"/>
  <c r="AP10" i="3" s="1"/>
  <c r="AQ10" i="3" s="1"/>
  <c r="AR10" i="3" s="1"/>
  <c r="AI5" i="3"/>
  <c r="AE5" i="3" s="1"/>
  <c r="AF5" i="3" s="1"/>
  <c r="AG5" i="3" s="1"/>
  <c r="AH5" i="3" s="1"/>
  <c r="AN21" i="3"/>
  <c r="AJ21" i="3" s="1"/>
  <c r="AK21" i="3" s="1"/>
  <c r="AL21" i="3" s="1"/>
  <c r="AM21" i="3" s="1"/>
  <c r="AI8" i="3"/>
  <c r="AE8" i="3" s="1"/>
  <c r="AF8" i="3" s="1"/>
  <c r="AG8" i="3" s="1"/>
  <c r="AH8" i="3" s="1"/>
  <c r="AN2" i="3"/>
  <c r="Z8" i="3"/>
  <c r="AA8" i="3" s="1"/>
  <c r="AB8" i="3" s="1"/>
  <c r="AC8" i="3" s="1"/>
  <c r="AI8" i="1"/>
  <c r="AI8" i="4" s="1"/>
  <c r="AI11" i="1"/>
  <c r="AI11" i="4" s="1"/>
  <c r="AS5" i="1"/>
  <c r="Z8" i="1"/>
  <c r="AN21" i="1"/>
  <c r="AN21" i="4" s="1"/>
  <c r="AI10" i="1"/>
  <c r="AI10" i="4" s="1"/>
  <c r="AC21" i="1" l="1"/>
  <c r="AC21" i="4" s="1"/>
  <c r="AB21" i="4"/>
  <c r="AG21" i="1"/>
  <c r="AF21" i="4"/>
  <c r="W10" i="1"/>
  <c r="V10" i="4"/>
  <c r="S10" i="1"/>
  <c r="S10" i="4" s="1"/>
  <c r="R10" i="4"/>
  <c r="AA10" i="1"/>
  <c r="Z10" i="4"/>
  <c r="AA8" i="1"/>
  <c r="Z8" i="4"/>
  <c r="W8" i="1"/>
  <c r="V8" i="4"/>
  <c r="S8" i="1"/>
  <c r="S8" i="4" s="1"/>
  <c r="R8" i="4"/>
  <c r="AM7" i="1"/>
  <c r="AM7" i="4" s="1"/>
  <c r="AL7" i="4"/>
  <c r="AQ7" i="1"/>
  <c r="AP7" i="4"/>
  <c r="AK5" i="1"/>
  <c r="AJ5" i="4"/>
  <c r="AC5" i="1"/>
  <c r="AC5" i="4" s="1"/>
  <c r="AB5" i="4"/>
  <c r="AO5" i="1"/>
  <c r="AS5" i="4"/>
  <c r="S11" i="1"/>
  <c r="S11" i="4" s="1"/>
  <c r="R11" i="4"/>
  <c r="AB11" i="1"/>
  <c r="AA11" i="4"/>
  <c r="W11" i="1"/>
  <c r="V11" i="4"/>
  <c r="AG5" i="1"/>
  <c r="AF5" i="4"/>
  <c r="AS2" i="3"/>
  <c r="AO2" i="3" s="1"/>
  <c r="AP2" i="3" s="1"/>
  <c r="AQ2" i="3" s="1"/>
  <c r="AR2" i="3" s="1"/>
  <c r="AJ2" i="3"/>
  <c r="AK2" i="3" s="1"/>
  <c r="AL2" i="3" s="1"/>
  <c r="AM2" i="3" s="1"/>
  <c r="AN8" i="3"/>
  <c r="AS21" i="3"/>
  <c r="AO21" i="3" s="1"/>
  <c r="AP21" i="3" s="1"/>
  <c r="AQ21" i="3" s="1"/>
  <c r="AR21" i="3" s="1"/>
  <c r="AN5" i="3"/>
  <c r="AS21" i="1"/>
  <c r="AN11" i="1"/>
  <c r="AN10" i="1"/>
  <c r="AE11" i="1"/>
  <c r="AE10" i="1"/>
  <c r="AN8" i="1"/>
  <c r="AN8" i="4" s="1"/>
  <c r="AJ21" i="1"/>
  <c r="AE8" i="1"/>
  <c r="AO21" i="1" l="1"/>
  <c r="AS21" i="4"/>
  <c r="AH21" i="1"/>
  <c r="AH21" i="4" s="1"/>
  <c r="AG21" i="4"/>
  <c r="AK21" i="1"/>
  <c r="AJ21" i="4"/>
  <c r="AF10" i="1"/>
  <c r="AE10" i="4"/>
  <c r="AB10" i="1"/>
  <c r="AA10" i="4"/>
  <c r="AJ10" i="1"/>
  <c r="AN10" i="4"/>
  <c r="X10" i="1"/>
  <c r="X10" i="4" s="1"/>
  <c r="W10" i="4"/>
  <c r="AF8" i="1"/>
  <c r="AE8" i="4"/>
  <c r="X8" i="1"/>
  <c r="X8" i="4" s="1"/>
  <c r="W8" i="4"/>
  <c r="AB8" i="1"/>
  <c r="AA8" i="4"/>
  <c r="AR7" i="1"/>
  <c r="AR7" i="4" s="1"/>
  <c r="AQ7" i="4"/>
  <c r="AH5" i="1"/>
  <c r="AH5" i="4" s="1"/>
  <c r="AG5" i="4"/>
  <c r="AJ11" i="1"/>
  <c r="AN11" i="4"/>
  <c r="X11" i="1"/>
  <c r="X11" i="4" s="1"/>
  <c r="W11" i="4"/>
  <c r="AF11" i="1"/>
  <c r="AE11" i="4"/>
  <c r="AP5" i="1"/>
  <c r="AO5" i="4"/>
  <c r="AC11" i="1"/>
  <c r="AC11" i="4" s="1"/>
  <c r="AB11" i="4"/>
  <c r="AL5" i="1"/>
  <c r="AK5" i="4"/>
  <c r="AS5" i="3"/>
  <c r="AO5" i="3" s="1"/>
  <c r="AP5" i="3" s="1"/>
  <c r="AQ5" i="3" s="1"/>
  <c r="AR5" i="3" s="1"/>
  <c r="AJ5" i="3"/>
  <c r="AK5" i="3" s="1"/>
  <c r="AL5" i="3" s="1"/>
  <c r="AM5" i="3" s="1"/>
  <c r="AS8" i="3"/>
  <c r="AO8" i="3" s="1"/>
  <c r="AP8" i="3" s="1"/>
  <c r="AQ8" i="3" s="1"/>
  <c r="AR8" i="3" s="1"/>
  <c r="AJ8" i="3"/>
  <c r="AK8" i="3" s="1"/>
  <c r="AL8" i="3" s="1"/>
  <c r="AM8" i="3" s="1"/>
  <c r="AS10" i="1"/>
  <c r="AS11" i="1"/>
  <c r="AS8" i="1"/>
  <c r="AJ8" i="1"/>
  <c r="AL21" i="1" l="1"/>
  <c r="AK21" i="4"/>
  <c r="AP21" i="1"/>
  <c r="AO21" i="4"/>
  <c r="AK10" i="1"/>
  <c r="AJ10" i="4"/>
  <c r="AO10" i="1"/>
  <c r="AS10" i="4"/>
  <c r="AC10" i="1"/>
  <c r="AC10" i="4" s="1"/>
  <c r="AB10" i="4"/>
  <c r="AG10" i="1"/>
  <c r="AF10" i="4"/>
  <c r="AO8" i="1"/>
  <c r="AS8" i="4"/>
  <c r="AK8" i="1"/>
  <c r="AJ8" i="4"/>
  <c r="AC8" i="1"/>
  <c r="AC8" i="4" s="1"/>
  <c r="AB8" i="4"/>
  <c r="AG8" i="1"/>
  <c r="AF8" i="4"/>
  <c r="AK11" i="1"/>
  <c r="AJ11" i="4"/>
  <c r="AG11" i="1"/>
  <c r="AF11" i="4"/>
  <c r="AM5" i="1"/>
  <c r="AM5" i="4" s="1"/>
  <c r="AL5" i="4"/>
  <c r="AO11" i="1"/>
  <c r="AS11" i="4"/>
  <c r="AQ5" i="1"/>
  <c r="AP5" i="4"/>
  <c r="AQ21" i="1" l="1"/>
  <c r="AP21" i="4"/>
  <c r="AM21" i="1"/>
  <c r="AM21" i="4" s="1"/>
  <c r="AL21" i="4"/>
  <c r="AH10" i="1"/>
  <c r="AH10" i="4" s="1"/>
  <c r="AG10" i="4"/>
  <c r="AP10" i="1"/>
  <c r="AO10" i="4"/>
  <c r="AL10" i="1"/>
  <c r="AK10" i="4"/>
  <c r="AL8" i="1"/>
  <c r="AK8" i="4"/>
  <c r="AH8" i="1"/>
  <c r="AH8" i="4" s="1"/>
  <c r="AG8" i="4"/>
  <c r="AP8" i="1"/>
  <c r="AO8" i="4"/>
  <c r="AH11" i="1"/>
  <c r="AH11" i="4" s="1"/>
  <c r="AG11" i="4"/>
  <c r="AP11" i="1"/>
  <c r="AO11" i="4"/>
  <c r="AR5" i="1"/>
  <c r="AR5" i="4" s="1"/>
  <c r="AQ5" i="4"/>
  <c r="AL11" i="1"/>
  <c r="AK11" i="4"/>
  <c r="AR21" i="1" l="1"/>
  <c r="AR21" i="4" s="1"/>
  <c r="AQ21" i="4"/>
  <c r="AM10" i="1"/>
  <c r="AM10" i="4" s="1"/>
  <c r="AL10" i="4"/>
  <c r="AQ10" i="1"/>
  <c r="AP10" i="4"/>
  <c r="AQ8" i="1"/>
  <c r="AP8" i="4"/>
  <c r="AM8" i="1"/>
  <c r="AM8" i="4" s="1"/>
  <c r="AL8" i="4"/>
  <c r="AM11" i="1"/>
  <c r="AM11" i="4" s="1"/>
  <c r="AL11" i="4"/>
  <c r="AQ11" i="1"/>
  <c r="AP11" i="4"/>
  <c r="AR10" i="1" l="1"/>
  <c r="AR10" i="4" s="1"/>
  <c r="AQ10" i="4"/>
  <c r="AR8" i="1"/>
  <c r="AR8" i="4" s="1"/>
  <c r="AQ8" i="4"/>
  <c r="AR11" i="1"/>
  <c r="AR11" i="4" s="1"/>
  <c r="AQ11" i="4"/>
</calcChain>
</file>

<file path=xl/sharedStrings.xml><?xml version="1.0" encoding="utf-8"?>
<sst xmlns="http://schemas.openxmlformats.org/spreadsheetml/2006/main" count="253" uniqueCount="55">
  <si>
    <t>行业</t>
    <phoneticPr fontId="4" type="noConversion"/>
  </si>
  <si>
    <t>计量指标</t>
    <phoneticPr fontId="4" type="noConversion"/>
  </si>
  <si>
    <t>计量单位</t>
    <phoneticPr fontId="4" type="noConversion"/>
  </si>
  <si>
    <t>数据来源</t>
    <phoneticPr fontId="4" type="noConversion"/>
  </si>
  <si>
    <t>煤炭开采和洗选业</t>
  </si>
  <si>
    <t>原煤</t>
    <phoneticPr fontId="4" type="noConversion"/>
  </si>
  <si>
    <t>亿吨</t>
    <phoneticPr fontId="4" type="noConversion"/>
  </si>
  <si>
    <t>中石化《中国能源展望2060》</t>
    <phoneticPr fontId="4" type="noConversion"/>
  </si>
  <si>
    <t>石油和天然气开采业</t>
  </si>
  <si>
    <t>原油</t>
    <phoneticPr fontId="4" type="noConversion"/>
  </si>
  <si>
    <t>中石油《世界与中国能源展望2021》</t>
    <phoneticPr fontId="4" type="noConversion"/>
  </si>
  <si>
    <t>天然气</t>
    <phoneticPr fontId="4" type="noConversion"/>
  </si>
  <si>
    <t>亿立方米</t>
    <phoneticPr fontId="4" type="noConversion"/>
  </si>
  <si>
    <t>黑色金属矿采选业</t>
  </si>
  <si>
    <t>铁矿石原矿</t>
    <phoneticPr fontId="4" type="noConversion"/>
  </si>
  <si>
    <t>产品产量与粗钢产量挂钩</t>
    <phoneticPr fontId="4" type="noConversion"/>
  </si>
  <si>
    <t>有色金属矿采选业</t>
  </si>
  <si>
    <t>铜矿</t>
    <phoneticPr fontId="4" type="noConversion"/>
  </si>
  <si>
    <t>万吨</t>
    <phoneticPr fontId="4" type="noConversion"/>
  </si>
  <si>
    <t>拍数；https://www.wkqh.cn/ueditor/jsp/upload/file/20240603/1717376096015027949.pdf</t>
    <phoneticPr fontId="4" type="noConversion"/>
  </si>
  <si>
    <t>铝土矿</t>
    <phoneticPr fontId="4" type="noConversion"/>
  </si>
  <si>
    <t>产量与电解铜产量挂钩</t>
    <phoneticPr fontId="4" type="noConversion"/>
  </si>
  <si>
    <t>非金属矿采选业</t>
  </si>
  <si>
    <t>石灰石</t>
    <phoneticPr fontId="4" type="noConversion"/>
  </si>
  <si>
    <t>产品产量与水泥产量挂钩;https://www.sohu.com/a/716515038_121388092</t>
    <phoneticPr fontId="4" type="noConversion"/>
  </si>
  <si>
    <t>造纸和纸制品业</t>
  </si>
  <si>
    <t>纸和纸板</t>
    <phoneticPr fontId="4" type="noConversion"/>
  </si>
  <si>
    <t>中国能源研究会-内部报告</t>
    <phoneticPr fontId="4" type="noConversion"/>
  </si>
  <si>
    <t>石油、煤炭及其他燃料加工业</t>
  </si>
  <si>
    <t>原油加工量</t>
    <phoneticPr fontId="4" type="noConversion"/>
  </si>
  <si>
    <t>加工量与原油产量挂钩</t>
    <phoneticPr fontId="4" type="noConversion"/>
  </si>
  <si>
    <t>焦炭</t>
    <phoneticPr fontId="4" type="noConversion"/>
  </si>
  <si>
    <t>焦炭产量与钢铁产量挂钩</t>
    <phoneticPr fontId="4" type="noConversion"/>
  </si>
  <si>
    <t>化学原料和化学制品制造业</t>
  </si>
  <si>
    <t>烧碱</t>
    <phoneticPr fontId="4" type="noConversion"/>
  </si>
  <si>
    <t>纯碱</t>
    <phoneticPr fontId="4" type="noConversion"/>
  </si>
  <si>
    <t>乙烯</t>
    <phoneticPr fontId="4" type="noConversion"/>
  </si>
  <si>
    <t>合成氨</t>
    <phoneticPr fontId="4" type="noConversion"/>
  </si>
  <si>
    <t>非金属矿物制品业</t>
  </si>
  <si>
    <t>水泥</t>
    <phoneticPr fontId="4" type="noConversion"/>
  </si>
  <si>
    <t>平板玻璃</t>
    <phoneticPr fontId="4" type="noConversion"/>
  </si>
  <si>
    <t>万重量厢</t>
    <phoneticPr fontId="4" type="noConversion"/>
  </si>
  <si>
    <t>黑色金属冶炼和压延加工业</t>
  </si>
  <si>
    <t>钢铁</t>
    <phoneticPr fontId="4" type="noConversion"/>
  </si>
  <si>
    <t>有色金属冶炼和压延加工业</t>
  </si>
  <si>
    <t>电解铝</t>
    <phoneticPr fontId="4" type="noConversion"/>
  </si>
  <si>
    <t>精炼铜</t>
    <phoneticPr fontId="4" type="noConversion"/>
  </si>
  <si>
    <t>拍数</t>
    <phoneticPr fontId="4" type="noConversion"/>
  </si>
  <si>
    <t>汽车制造业</t>
  </si>
  <si>
    <t>汽车</t>
    <phoneticPr fontId="4" type="noConversion"/>
  </si>
  <si>
    <t>万辆</t>
    <phoneticPr fontId="4" type="noConversion"/>
  </si>
  <si>
    <t>2023节能与新能源汽车发展报告-结果微调</t>
    <phoneticPr fontId="4" type="noConversion"/>
  </si>
  <si>
    <t xml:space="preserve"> </t>
    <phoneticPr fontId="3" type="noConversion"/>
  </si>
  <si>
    <t>产量与电解铝产量挂钩</t>
    <phoneticPr fontId="4" type="noConversion"/>
  </si>
  <si>
    <t>产量与精炼铜产量挂钩；https://www.wkqh.cn/ueditor/jsp/upload/file/20240603/1717376096015027949.pdf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</si>
</sst>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10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u/>
      <sz val="10"/>
      <color theme="10"/>
      <name val="等线"/>
      <family val="2"/>
      <scheme val="minor"/>
    </font>
    <font>
      <u/>
      <sz val="10"/>
      <color theme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3" borderId="8" xfId="0" applyFont="1" applyFill="1" applyBorder="1" applyAlignment="1">
      <alignment vertical="center"/>
    </xf>
    <xf numFmtId="1" fontId="7" fillId="0" borderId="7" xfId="0" applyNumberFormat="1" applyFont="1" applyBorder="1" applyAlignment="1">
      <alignment vertical="center"/>
    </xf>
    <xf numFmtId="1" fontId="7" fillId="0" borderId="0" xfId="0" applyNumberFormat="1" applyFont="1" applyAlignment="1">
      <alignment vertical="center"/>
    </xf>
    <xf numFmtId="176" fontId="7" fillId="3" borderId="8" xfId="0" applyNumberFormat="1" applyFont="1" applyFill="1" applyBorder="1" applyAlignment="1">
      <alignment vertical="center"/>
    </xf>
    <xf numFmtId="2" fontId="7" fillId="3" borderId="8" xfId="0" applyNumberFormat="1" applyFont="1" applyFill="1" applyBorder="1" applyAlignment="1">
      <alignment horizontal="right" vertical="center"/>
    </xf>
    <xf numFmtId="177" fontId="7" fillId="3" borderId="8" xfId="0" applyNumberFormat="1" applyFont="1" applyFill="1" applyBorder="1" applyAlignment="1">
      <alignment vertical="center"/>
    </xf>
    <xf numFmtId="2" fontId="7" fillId="3" borderId="8" xfId="0" applyNumberFormat="1" applyFont="1" applyFill="1" applyBorder="1" applyAlignment="1">
      <alignment vertical="center"/>
    </xf>
    <xf numFmtId="49" fontId="5" fillId="4" borderId="6" xfId="0" applyNumberFormat="1" applyFont="1" applyFill="1" applyBorder="1" applyAlignment="1">
      <alignment horizontal="left" vertical="center"/>
    </xf>
    <xf numFmtId="49" fontId="5" fillId="2" borderId="6" xfId="0" applyNumberFormat="1" applyFont="1" applyFill="1" applyBorder="1" applyAlignment="1">
      <alignment horizontal="left" vertical="center"/>
    </xf>
    <xf numFmtId="1" fontId="7" fillId="3" borderId="8" xfId="0" applyNumberFormat="1" applyFont="1" applyFill="1" applyBorder="1" applyAlignment="1">
      <alignment vertical="center"/>
    </xf>
    <xf numFmtId="49" fontId="5" fillId="2" borderId="9" xfId="0" applyNumberFormat="1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176" fontId="7" fillId="3" borderId="11" xfId="0" applyNumberFormat="1" applyFont="1" applyFill="1" applyBorder="1" applyAlignment="1">
      <alignment vertical="center"/>
    </xf>
    <xf numFmtId="1" fontId="7" fillId="0" borderId="10" xfId="0" applyNumberFormat="1" applyFont="1" applyBorder="1" applyAlignment="1">
      <alignment vertical="center"/>
    </xf>
    <xf numFmtId="1" fontId="7" fillId="0" borderId="12" xfId="0" applyNumberFormat="1" applyFont="1" applyBorder="1" applyAlignment="1">
      <alignment vertical="center"/>
    </xf>
    <xf numFmtId="0" fontId="8" fillId="0" borderId="6" xfId="1" applyFont="1" applyBorder="1" applyAlignment="1">
      <alignment horizontal="left" vertical="center"/>
    </xf>
    <xf numFmtId="176" fontId="7" fillId="3" borderId="0" xfId="0" applyNumberFormat="1" applyFont="1" applyFill="1" applyAlignment="1">
      <alignment vertical="center"/>
    </xf>
    <xf numFmtId="2" fontId="7" fillId="3" borderId="0" xfId="0" applyNumberFormat="1" applyFont="1" applyFill="1" applyAlignment="1">
      <alignment vertical="center"/>
    </xf>
    <xf numFmtId="1" fontId="7" fillId="3" borderId="0" xfId="0" applyNumberFormat="1" applyFont="1" applyFill="1" applyAlignment="1">
      <alignment vertical="center"/>
    </xf>
    <xf numFmtId="1" fontId="7" fillId="3" borderId="12" xfId="0" applyNumberFormat="1" applyFont="1" applyFill="1" applyBorder="1" applyAlignment="1">
      <alignment vertical="center"/>
    </xf>
    <xf numFmtId="176" fontId="7" fillId="0" borderId="7" xfId="0" applyNumberFormat="1" applyFont="1" applyBorder="1" applyAlignment="1">
      <alignment vertical="center"/>
    </xf>
    <xf numFmtId="2" fontId="7" fillId="0" borderId="7" xfId="0" applyNumberFormat="1" applyFont="1" applyBorder="1" applyAlignment="1">
      <alignment vertical="center"/>
    </xf>
    <xf numFmtId="0" fontId="7" fillId="0" borderId="8" xfId="0" applyFont="1" applyBorder="1" applyAlignment="1">
      <alignment vertical="center"/>
    </xf>
    <xf numFmtId="2" fontId="7" fillId="0" borderId="8" xfId="0" applyNumberFormat="1" applyFont="1" applyBorder="1" applyAlignment="1">
      <alignment vertical="center"/>
    </xf>
    <xf numFmtId="1" fontId="7" fillId="0" borderId="8" xfId="0" applyNumberFormat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3" borderId="6" xfId="0" applyFont="1" applyFill="1" applyBorder="1" applyAlignment="1">
      <alignment horizontal="left" vertical="center"/>
    </xf>
    <xf numFmtId="0" fontId="7" fillId="0" borderId="0" xfId="0" applyFont="1"/>
    <xf numFmtId="0" fontId="6" fillId="0" borderId="2" xfId="0" applyFont="1" applyBorder="1"/>
    <xf numFmtId="0" fontId="6" fillId="0" borderId="4" xfId="0" applyFont="1" applyBorder="1"/>
    <xf numFmtId="0" fontId="6" fillId="0" borderId="3" xfId="0" applyFont="1" applyBorder="1"/>
    <xf numFmtId="0" fontId="9" fillId="0" borderId="6" xfId="1" applyFont="1" applyBorder="1" applyAlignment="1">
      <alignment horizontal="left" vertical="center"/>
    </xf>
    <xf numFmtId="1" fontId="7" fillId="0" borderId="13" xfId="0" applyNumberFormat="1" applyFont="1" applyBorder="1"/>
    <xf numFmtId="1" fontId="7" fillId="0" borderId="14" xfId="0" applyNumberFormat="1" applyFont="1" applyBorder="1"/>
    <xf numFmtId="1" fontId="7" fillId="0" borderId="15" xfId="0" applyNumberFormat="1" applyFont="1" applyBorder="1"/>
    <xf numFmtId="1" fontId="7" fillId="0" borderId="7" xfId="0" applyNumberFormat="1" applyFont="1" applyBorder="1"/>
    <xf numFmtId="1" fontId="7" fillId="0" borderId="0" xfId="0" applyNumberFormat="1" applyFont="1"/>
    <xf numFmtId="1" fontId="7" fillId="0" borderId="8" xfId="0" applyNumberFormat="1" applyFont="1" applyBorder="1"/>
    <xf numFmtId="1" fontId="7" fillId="0" borderId="10" xfId="0" applyNumberFormat="1" applyFont="1" applyBorder="1"/>
    <xf numFmtId="1" fontId="7" fillId="0" borderId="12" xfId="0" applyNumberFormat="1" applyFont="1" applyBorder="1"/>
    <xf numFmtId="1" fontId="7" fillId="0" borderId="11" xfId="0" applyNumberFormat="1" applyFont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hu.com/a/716515038_12138809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hu.com/a/716515038_12138809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hu.com/a/716515038_121388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E933-A4CA-459F-A59D-88449EAE4437}">
  <dimension ref="A1:AS34"/>
  <sheetViews>
    <sheetView topLeftCell="U1" workbookViewId="0">
      <selection sqref="A1:AS21"/>
    </sheetView>
  </sheetViews>
  <sheetFormatPr defaultRowHeight="14.25" x14ac:dyDescent="0.2"/>
  <cols>
    <col min="1" max="1" width="22.5" customWidth="1"/>
    <col min="4" max="4" width="20.375" customWidth="1"/>
  </cols>
  <sheetData>
    <row r="1" spans="1:45" x14ac:dyDescent="0.2">
      <c r="A1" s="1" t="s">
        <v>0</v>
      </c>
      <c r="B1" s="1" t="s">
        <v>1</v>
      </c>
      <c r="C1" s="2" t="s">
        <v>2</v>
      </c>
      <c r="D1" s="1" t="s">
        <v>3</v>
      </c>
      <c r="E1" s="3">
        <v>2020</v>
      </c>
      <c r="F1" s="2">
        <v>2021</v>
      </c>
      <c r="G1" s="4">
        <v>2022</v>
      </c>
      <c r="H1" s="4">
        <v>2023</v>
      </c>
      <c r="I1" s="4">
        <v>2024</v>
      </c>
      <c r="J1" s="3">
        <v>2025</v>
      </c>
      <c r="K1" s="5">
        <v>2026</v>
      </c>
      <c r="L1" s="6">
        <v>2027</v>
      </c>
      <c r="M1" s="6">
        <v>2028</v>
      </c>
      <c r="N1" s="6">
        <v>2029</v>
      </c>
      <c r="O1" s="3">
        <v>2030</v>
      </c>
      <c r="P1" s="2">
        <v>2031</v>
      </c>
      <c r="Q1" s="4">
        <v>2032</v>
      </c>
      <c r="R1" s="4">
        <v>2033</v>
      </c>
      <c r="S1" s="4">
        <v>2034</v>
      </c>
      <c r="T1" s="3">
        <v>2035</v>
      </c>
      <c r="U1" s="2">
        <v>2036</v>
      </c>
      <c r="V1" s="4">
        <v>2037</v>
      </c>
      <c r="W1" s="4">
        <v>2038</v>
      </c>
      <c r="X1" s="4">
        <v>2039</v>
      </c>
      <c r="Y1" s="3">
        <v>2040</v>
      </c>
      <c r="Z1" s="2">
        <v>2041</v>
      </c>
      <c r="AA1" s="4">
        <v>2042</v>
      </c>
      <c r="AB1" s="4">
        <v>2043</v>
      </c>
      <c r="AC1" s="4">
        <v>2044</v>
      </c>
      <c r="AD1" s="3">
        <v>2045</v>
      </c>
      <c r="AE1" s="2">
        <v>2046</v>
      </c>
      <c r="AF1" s="4">
        <v>2047</v>
      </c>
      <c r="AG1" s="4">
        <v>2048</v>
      </c>
      <c r="AH1" s="4">
        <v>2049</v>
      </c>
      <c r="AI1" s="3">
        <v>2050</v>
      </c>
      <c r="AJ1" s="2">
        <v>2051</v>
      </c>
      <c r="AK1" s="4">
        <v>2052</v>
      </c>
      <c r="AL1" s="4">
        <v>2053</v>
      </c>
      <c r="AM1" s="4">
        <v>2054</v>
      </c>
      <c r="AN1" s="3">
        <v>2055</v>
      </c>
      <c r="AO1" s="2">
        <v>2056</v>
      </c>
      <c r="AP1" s="4">
        <v>2057</v>
      </c>
      <c r="AQ1" s="4">
        <v>2058</v>
      </c>
      <c r="AR1" s="4">
        <v>2059</v>
      </c>
      <c r="AS1" s="3">
        <v>2060</v>
      </c>
    </row>
    <row r="2" spans="1:45" x14ac:dyDescent="0.2">
      <c r="A2" s="7" t="s">
        <v>4</v>
      </c>
      <c r="B2" s="8" t="s">
        <v>5</v>
      </c>
      <c r="C2" s="9" t="s">
        <v>6</v>
      </c>
      <c r="D2" s="8" t="s">
        <v>7</v>
      </c>
      <c r="E2" s="33">
        <v>39.020000000000003</v>
      </c>
      <c r="F2" s="31">
        <v>41.26</v>
      </c>
      <c r="G2" s="27">
        <v>45.59</v>
      </c>
      <c r="H2" s="37">
        <f>G2+($J2-$G2)/3</f>
        <v>46.393333333333338</v>
      </c>
      <c r="I2" s="12">
        <f>H2+($J2-$G2)/3</f>
        <v>47.196666666666673</v>
      </c>
      <c r="J2" s="10">
        <v>48</v>
      </c>
      <c r="K2" s="11">
        <f>J2+($O2-$J2)/5</f>
        <v>47.6</v>
      </c>
      <c r="L2" s="12">
        <f>K2+($O2-$J2)/5</f>
        <v>47.2</v>
      </c>
      <c r="M2" s="12">
        <f t="shared" ref="M2:N2" si="0">L2+($O2-$J2)/5</f>
        <v>46.800000000000004</v>
      </c>
      <c r="N2" s="12">
        <f t="shared" si="0"/>
        <v>46.400000000000006</v>
      </c>
      <c r="O2" s="13">
        <f>46</f>
        <v>46</v>
      </c>
      <c r="P2" s="11">
        <f>O2+($T2-$O2)/5</f>
        <v>44.601960784313725</v>
      </c>
      <c r="Q2" s="12">
        <f t="shared" ref="Q2:S2" si="1">P2+($T2-$O2)/5</f>
        <v>43.20392156862745</v>
      </c>
      <c r="R2" s="12">
        <f t="shared" si="1"/>
        <v>41.805882352941175</v>
      </c>
      <c r="S2" s="12">
        <f t="shared" si="1"/>
        <v>40.407843137254901</v>
      </c>
      <c r="T2" s="14">
        <f>O2*(34.6/40.8)</f>
        <v>39.009803921568633</v>
      </c>
      <c r="U2" s="11">
        <f>T2+($Y2-$T2)/5</f>
        <v>37.544117647058826</v>
      </c>
      <c r="V2" s="12">
        <f t="shared" ref="V2:X2" si="2">U2+($Y2-$T2)/5</f>
        <v>36.078431372549019</v>
      </c>
      <c r="W2" s="12">
        <f t="shared" si="2"/>
        <v>34.612745098039213</v>
      </c>
      <c r="X2" s="12">
        <f t="shared" si="2"/>
        <v>33.147058823529406</v>
      </c>
      <c r="Y2" s="15">
        <f>T2*(28.1/34.6)</f>
        <v>31.68137254901961</v>
      </c>
      <c r="Z2" s="11">
        <f>Y2+($AD2-$Y2)/5</f>
        <v>30.148039215686275</v>
      </c>
      <c r="AA2" s="12">
        <f t="shared" ref="AA2:AC2" si="3">Z2+($AD2-$Y2)/5</f>
        <v>28.61470588235294</v>
      </c>
      <c r="AB2" s="12">
        <f t="shared" si="3"/>
        <v>27.081372549019605</v>
      </c>
      <c r="AC2" s="12">
        <f t="shared" si="3"/>
        <v>25.54803921568627</v>
      </c>
      <c r="AD2" s="16">
        <f>Y2*(21.3/28.1)</f>
        <v>24.014705882352942</v>
      </c>
      <c r="AE2" s="11">
        <f>AD2+($AI2-$AD2)/5</f>
        <v>22.391176470588235</v>
      </c>
      <c r="AF2" s="12">
        <f t="shared" ref="AF2:AH2" si="4">AE2+($AI2-$AD2)/5</f>
        <v>20.767647058823528</v>
      </c>
      <c r="AG2" s="12">
        <f t="shared" si="4"/>
        <v>19.14411764705882</v>
      </c>
      <c r="AH2" s="12">
        <f t="shared" si="4"/>
        <v>17.520588235294113</v>
      </c>
      <c r="AI2" s="16">
        <f>AD2*(14.1/21.3)</f>
        <v>15.897058823529413</v>
      </c>
      <c r="AJ2" s="11">
        <f>AI2+($AN2-$AI2)/5</f>
        <v>14.634313725490196</v>
      </c>
      <c r="AK2" s="12">
        <f t="shared" ref="AK2:AM2" si="5">AJ2+($AN2-$AI2)/5</f>
        <v>13.37156862745098</v>
      </c>
      <c r="AL2" s="12">
        <f t="shared" si="5"/>
        <v>12.108823529411763</v>
      </c>
      <c r="AM2" s="12">
        <f t="shared" si="5"/>
        <v>10.846078431372547</v>
      </c>
      <c r="AN2" s="16">
        <f>AI2*(8.5/14.1)</f>
        <v>9.5833333333333339</v>
      </c>
      <c r="AO2" s="11">
        <f>AN2+($AS2-$AN2)/5</f>
        <v>8.5235294117647058</v>
      </c>
      <c r="AP2" s="12">
        <f t="shared" ref="AP2:AR2" si="6">AO2+($AS2-$AN2)/5</f>
        <v>7.4637254901960777</v>
      </c>
      <c r="AQ2" s="12">
        <f t="shared" si="6"/>
        <v>6.4039215686274495</v>
      </c>
      <c r="AR2" s="12">
        <f t="shared" si="6"/>
        <v>5.3441176470588214</v>
      </c>
      <c r="AS2" s="16">
        <f>AN2*(3.8/8.5)</f>
        <v>4.284313725490196</v>
      </c>
    </row>
    <row r="3" spans="1:45" x14ac:dyDescent="0.2">
      <c r="A3" s="17" t="s">
        <v>8</v>
      </c>
      <c r="B3" s="8" t="s">
        <v>9</v>
      </c>
      <c r="C3" s="9" t="s">
        <v>6</v>
      </c>
      <c r="D3" s="8" t="s">
        <v>10</v>
      </c>
      <c r="E3" s="34">
        <v>1.9477</v>
      </c>
      <c r="F3" s="32">
        <v>1.9887999999999999</v>
      </c>
      <c r="G3" s="28">
        <v>2.0472000000000001</v>
      </c>
      <c r="H3" s="38">
        <f t="shared" ref="H3:I21" si="7">G3+($J3-$G3)/3</f>
        <v>2.0781333333333336</v>
      </c>
      <c r="I3" s="38">
        <f t="shared" si="7"/>
        <v>2.1090666666666671</v>
      </c>
      <c r="J3" s="10">
        <v>2.14</v>
      </c>
      <c r="K3" s="11">
        <f t="shared" ref="K3:N18" si="8">J3+($O3-$J3)/5</f>
        <v>2.1459999999999999</v>
      </c>
      <c r="L3" s="12">
        <f t="shared" si="8"/>
        <v>2.1519999999999997</v>
      </c>
      <c r="M3" s="12">
        <f t="shared" si="8"/>
        <v>2.1579999999999995</v>
      </c>
      <c r="N3" s="12">
        <f t="shared" si="8"/>
        <v>2.1639999999999993</v>
      </c>
      <c r="O3" s="10">
        <v>2.17</v>
      </c>
      <c r="P3" s="11">
        <f t="shared" ref="P3:S18" si="9">O3+($T3-$O3)/5</f>
        <v>2.1560000000000001</v>
      </c>
      <c r="Q3" s="12">
        <f t="shared" si="9"/>
        <v>2.1420000000000003</v>
      </c>
      <c r="R3" s="12">
        <f t="shared" si="9"/>
        <v>2.1280000000000006</v>
      </c>
      <c r="S3" s="12">
        <f t="shared" si="9"/>
        <v>2.1140000000000008</v>
      </c>
      <c r="T3" s="10">
        <v>2.1</v>
      </c>
      <c r="U3" s="11">
        <f t="shared" ref="U3:X18" si="10">T3+($Y3-$T3)/5</f>
        <v>2.08</v>
      </c>
      <c r="V3" s="12">
        <f t="shared" si="10"/>
        <v>2.06</v>
      </c>
      <c r="W3" s="12">
        <f t="shared" si="10"/>
        <v>2.04</v>
      </c>
      <c r="X3" s="12">
        <f t="shared" si="10"/>
        <v>2.02</v>
      </c>
      <c r="Y3" s="10">
        <v>2</v>
      </c>
      <c r="Z3" s="11">
        <f t="shared" ref="Z3:AC18" si="11">Y3+($AD3-$Y3)/5</f>
        <v>1.98</v>
      </c>
      <c r="AA3" s="12">
        <f t="shared" si="11"/>
        <v>1.96</v>
      </c>
      <c r="AB3" s="12">
        <f t="shared" si="11"/>
        <v>1.94</v>
      </c>
      <c r="AC3" s="12">
        <f t="shared" si="11"/>
        <v>1.92</v>
      </c>
      <c r="AD3" s="10">
        <v>1.9</v>
      </c>
      <c r="AE3" s="11">
        <f t="shared" ref="AE3:AH18" si="12">AD3+($AI3-$AD3)/5</f>
        <v>1.8839999999999999</v>
      </c>
      <c r="AF3" s="12">
        <f t="shared" si="12"/>
        <v>1.8679999999999999</v>
      </c>
      <c r="AG3" s="12">
        <f t="shared" si="12"/>
        <v>1.8519999999999999</v>
      </c>
      <c r="AH3" s="12">
        <f t="shared" si="12"/>
        <v>1.8359999999999999</v>
      </c>
      <c r="AI3" s="10">
        <v>1.82</v>
      </c>
      <c r="AJ3" s="11">
        <f t="shared" ref="AJ3:AM18" si="13">AI3+($AN3-$AI3)/5</f>
        <v>1.806</v>
      </c>
      <c r="AK3" s="12">
        <f t="shared" si="13"/>
        <v>1.792</v>
      </c>
      <c r="AL3" s="12">
        <f t="shared" si="13"/>
        <v>1.778</v>
      </c>
      <c r="AM3" s="12">
        <f t="shared" si="13"/>
        <v>1.764</v>
      </c>
      <c r="AN3" s="10">
        <v>1.75</v>
      </c>
      <c r="AO3" s="11">
        <f t="shared" ref="AO3:AR18" si="14">AN3+($AS3-$AN3)/5</f>
        <v>1.74</v>
      </c>
      <c r="AP3" s="12">
        <f t="shared" si="14"/>
        <v>1.73</v>
      </c>
      <c r="AQ3" s="12">
        <f t="shared" si="14"/>
        <v>1.72</v>
      </c>
      <c r="AR3" s="12">
        <f t="shared" si="14"/>
        <v>1.71</v>
      </c>
      <c r="AS3" s="10">
        <v>1.7</v>
      </c>
    </row>
    <row r="4" spans="1:45" x14ac:dyDescent="0.2">
      <c r="A4" s="17" t="s">
        <v>8</v>
      </c>
      <c r="B4" s="8" t="s">
        <v>11</v>
      </c>
      <c r="C4" s="9" t="s">
        <v>12</v>
      </c>
      <c r="D4" s="8" t="s">
        <v>10</v>
      </c>
      <c r="E4" s="35">
        <v>1924.95</v>
      </c>
      <c r="F4" s="11">
        <v>2075.84</v>
      </c>
      <c r="G4" s="29">
        <v>2201.1</v>
      </c>
      <c r="H4" s="12">
        <f t="shared" si="7"/>
        <v>2298.4</v>
      </c>
      <c r="I4" s="12">
        <f t="shared" si="7"/>
        <v>2395.7000000000003</v>
      </c>
      <c r="J4" s="10">
        <v>2493</v>
      </c>
      <c r="K4" s="11">
        <f t="shared" si="8"/>
        <v>2554.4</v>
      </c>
      <c r="L4" s="12">
        <f t="shared" si="8"/>
        <v>2615.8000000000002</v>
      </c>
      <c r="M4" s="12">
        <f t="shared" si="8"/>
        <v>2677.2000000000003</v>
      </c>
      <c r="N4" s="12">
        <f t="shared" si="8"/>
        <v>2738.6000000000004</v>
      </c>
      <c r="O4" s="10">
        <v>2800</v>
      </c>
      <c r="P4" s="11">
        <f t="shared" si="9"/>
        <v>2840</v>
      </c>
      <c r="Q4" s="12">
        <f t="shared" si="9"/>
        <v>2880</v>
      </c>
      <c r="R4" s="12">
        <f t="shared" si="9"/>
        <v>2920</v>
      </c>
      <c r="S4" s="12">
        <f t="shared" si="9"/>
        <v>2960</v>
      </c>
      <c r="T4" s="10">
        <v>3000</v>
      </c>
      <c r="U4" s="11">
        <f t="shared" si="10"/>
        <v>3040</v>
      </c>
      <c r="V4" s="12">
        <f t="shared" si="10"/>
        <v>3080</v>
      </c>
      <c r="W4" s="12">
        <f t="shared" si="10"/>
        <v>3120</v>
      </c>
      <c r="X4" s="12">
        <f t="shared" si="10"/>
        <v>3160</v>
      </c>
      <c r="Y4" s="10">
        <v>3200</v>
      </c>
      <c r="Z4" s="11">
        <f t="shared" si="11"/>
        <v>3220</v>
      </c>
      <c r="AA4" s="12">
        <f t="shared" si="11"/>
        <v>3240</v>
      </c>
      <c r="AB4" s="12">
        <f t="shared" si="11"/>
        <v>3260</v>
      </c>
      <c r="AC4" s="12">
        <f t="shared" si="11"/>
        <v>3280</v>
      </c>
      <c r="AD4" s="10">
        <v>3300</v>
      </c>
      <c r="AE4" s="11">
        <f t="shared" si="12"/>
        <v>3320</v>
      </c>
      <c r="AF4" s="12">
        <f t="shared" si="12"/>
        <v>3340</v>
      </c>
      <c r="AG4" s="12">
        <f t="shared" si="12"/>
        <v>3360</v>
      </c>
      <c r="AH4" s="12">
        <f t="shared" si="12"/>
        <v>3380</v>
      </c>
      <c r="AI4" s="10">
        <v>3400</v>
      </c>
      <c r="AJ4" s="11">
        <f t="shared" si="13"/>
        <v>3420</v>
      </c>
      <c r="AK4" s="12">
        <f t="shared" si="13"/>
        <v>3440</v>
      </c>
      <c r="AL4" s="12">
        <f t="shared" si="13"/>
        <v>3460</v>
      </c>
      <c r="AM4" s="12">
        <f t="shared" si="13"/>
        <v>3480</v>
      </c>
      <c r="AN4" s="10">
        <v>3500</v>
      </c>
      <c r="AO4" s="11">
        <f t="shared" si="14"/>
        <v>3500</v>
      </c>
      <c r="AP4" s="12">
        <f t="shared" si="14"/>
        <v>3500</v>
      </c>
      <c r="AQ4" s="12">
        <f t="shared" si="14"/>
        <v>3500</v>
      </c>
      <c r="AR4" s="12">
        <f t="shared" si="14"/>
        <v>3500</v>
      </c>
      <c r="AS4" s="10">
        <v>3500</v>
      </c>
    </row>
    <row r="5" spans="1:45" x14ac:dyDescent="0.2">
      <c r="A5" s="18" t="s">
        <v>13</v>
      </c>
      <c r="B5" s="8" t="s">
        <v>14</v>
      </c>
      <c r="C5" s="9" t="s">
        <v>6</v>
      </c>
      <c r="D5" s="8" t="s">
        <v>15</v>
      </c>
      <c r="E5" s="34">
        <v>8.6671999999999993</v>
      </c>
      <c r="F5" s="32">
        <v>9.8053000000000008</v>
      </c>
      <c r="G5" s="28">
        <v>9.6786999999999992</v>
      </c>
      <c r="H5" s="12">
        <f t="shared" si="7"/>
        <v>9.7168617290742212</v>
      </c>
      <c r="I5" s="12">
        <f t="shared" si="7"/>
        <v>9.7550234581484432</v>
      </c>
      <c r="J5" s="16">
        <f>J18/G18*G5</f>
        <v>9.793185187222667</v>
      </c>
      <c r="K5" s="11">
        <f t="shared" si="8"/>
        <v>9.7361375065203983</v>
      </c>
      <c r="L5" s="12">
        <f t="shared" si="8"/>
        <v>9.6790898258181297</v>
      </c>
      <c r="M5" s="12">
        <f t="shared" si="8"/>
        <v>9.6220421451158611</v>
      </c>
      <c r="N5" s="12">
        <f t="shared" si="8"/>
        <v>9.5649944644135925</v>
      </c>
      <c r="O5" s="16">
        <f>O18/J18*J5</f>
        <v>9.5079467837113274</v>
      </c>
      <c r="P5" s="11">
        <f t="shared" si="9"/>
        <v>9.3748355287393696</v>
      </c>
      <c r="Q5" s="12">
        <f t="shared" si="9"/>
        <v>9.2417242737674119</v>
      </c>
      <c r="R5" s="12">
        <f t="shared" si="9"/>
        <v>9.1086130187954542</v>
      </c>
      <c r="S5" s="12">
        <f t="shared" si="9"/>
        <v>8.9755017638234964</v>
      </c>
      <c r="T5" s="16">
        <f>T18/O18*O5</f>
        <v>8.8423905088515351</v>
      </c>
      <c r="U5" s="11">
        <f t="shared" si="10"/>
        <v>8.6141997860424624</v>
      </c>
      <c r="V5" s="12">
        <f t="shared" si="10"/>
        <v>8.3860090632333915</v>
      </c>
      <c r="W5" s="12">
        <f t="shared" si="10"/>
        <v>8.1578183404243205</v>
      </c>
      <c r="X5" s="12">
        <f t="shared" si="10"/>
        <v>7.9296276176152487</v>
      </c>
      <c r="Y5" s="16">
        <f>Y18/T18*T5</f>
        <v>7.701436894806176</v>
      </c>
      <c r="Z5" s="11">
        <f t="shared" si="11"/>
        <v>7.5302938526993719</v>
      </c>
      <c r="AA5" s="12">
        <f t="shared" si="11"/>
        <v>7.3591508105925678</v>
      </c>
      <c r="AB5" s="12">
        <f t="shared" si="11"/>
        <v>7.1880077684857637</v>
      </c>
      <c r="AC5" s="12">
        <f t="shared" si="11"/>
        <v>7.0168647263789596</v>
      </c>
      <c r="AD5" s="16">
        <f>AD18/Y18*Y5</f>
        <v>6.8457216842721564</v>
      </c>
      <c r="AE5" s="11">
        <f t="shared" si="12"/>
        <v>6.6745786421653523</v>
      </c>
      <c r="AF5" s="12">
        <f t="shared" si="12"/>
        <v>6.5034356000585483</v>
      </c>
      <c r="AG5" s="12">
        <f t="shared" si="12"/>
        <v>6.3322925579517442</v>
      </c>
      <c r="AH5" s="12">
        <f t="shared" si="12"/>
        <v>6.1611495158449401</v>
      </c>
      <c r="AI5" s="16">
        <f>AI18/AD18*AD5</f>
        <v>5.9900064737381369</v>
      </c>
      <c r="AJ5" s="11">
        <f t="shared" si="13"/>
        <v>5.8949270059010237</v>
      </c>
      <c r="AK5" s="12">
        <f t="shared" si="13"/>
        <v>5.7998475380639105</v>
      </c>
      <c r="AL5" s="12">
        <f t="shared" si="13"/>
        <v>5.7047680702267973</v>
      </c>
      <c r="AM5" s="12">
        <f t="shared" si="13"/>
        <v>5.6096886023896841</v>
      </c>
      <c r="AN5" s="16">
        <f>AN18/AI18*AI5</f>
        <v>5.5146091345525701</v>
      </c>
      <c r="AO5" s="11">
        <f t="shared" si="14"/>
        <v>5.4765773474177246</v>
      </c>
      <c r="AP5" s="12">
        <f t="shared" si="14"/>
        <v>5.4385455602828792</v>
      </c>
      <c r="AQ5" s="12">
        <f t="shared" si="14"/>
        <v>5.4005137731480337</v>
      </c>
      <c r="AR5" s="12">
        <f t="shared" si="14"/>
        <v>5.3624819860131883</v>
      </c>
      <c r="AS5" s="16">
        <f>AS18/AN18*AN5</f>
        <v>5.3244501988783437</v>
      </c>
    </row>
    <row r="6" spans="1:45" x14ac:dyDescent="0.2">
      <c r="A6" s="17" t="s">
        <v>16</v>
      </c>
      <c r="B6" s="39" t="s">
        <v>17</v>
      </c>
      <c r="C6" s="9" t="s">
        <v>18</v>
      </c>
      <c r="D6" s="8" t="s">
        <v>54</v>
      </c>
      <c r="E6" s="33">
        <v>172</v>
      </c>
      <c r="F6" s="11">
        <v>191</v>
      </c>
      <c r="G6" s="29">
        <v>194</v>
      </c>
      <c r="H6" s="12">
        <f t="shared" si="7"/>
        <v>219.50933697995856</v>
      </c>
      <c r="I6" s="12">
        <f t="shared" si="7"/>
        <v>245.01867395991712</v>
      </c>
      <c r="J6" s="19">
        <f>J20/G20*G6</f>
        <v>270.52801093987568</v>
      </c>
      <c r="K6" s="11">
        <f t="shared" si="8"/>
        <v>279.25472097019428</v>
      </c>
      <c r="L6" s="12">
        <f t="shared" si="8"/>
        <v>287.98143100051288</v>
      </c>
      <c r="M6" s="12">
        <f t="shared" si="8"/>
        <v>296.70814103083148</v>
      </c>
      <c r="N6" s="12">
        <f t="shared" si="8"/>
        <v>305.43485106115008</v>
      </c>
      <c r="O6" s="19">
        <f>O20/J20*J6</f>
        <v>314.16156109146857</v>
      </c>
      <c r="P6" s="11">
        <f t="shared" si="9"/>
        <v>319.3975871096597</v>
      </c>
      <c r="Q6" s="12">
        <f t="shared" si="9"/>
        <v>324.63361312785082</v>
      </c>
      <c r="R6" s="12">
        <f t="shared" si="9"/>
        <v>329.86963914604195</v>
      </c>
      <c r="S6" s="12">
        <f t="shared" si="9"/>
        <v>335.10566516423307</v>
      </c>
      <c r="T6" s="19">
        <f>T20/O20*O6</f>
        <v>340.34169118242426</v>
      </c>
      <c r="U6" s="11">
        <f t="shared" si="10"/>
        <v>344.87958039818989</v>
      </c>
      <c r="V6" s="12">
        <f t="shared" si="10"/>
        <v>349.41746961395552</v>
      </c>
      <c r="W6" s="12">
        <f t="shared" si="10"/>
        <v>353.95535882972115</v>
      </c>
      <c r="X6" s="12">
        <f t="shared" si="10"/>
        <v>358.49324804548678</v>
      </c>
      <c r="Y6" s="19">
        <f>Y20/T20*T6</f>
        <v>363.03113726125252</v>
      </c>
      <c r="Z6" s="11">
        <f t="shared" si="11"/>
        <v>365.47461606974173</v>
      </c>
      <c r="AA6" s="12">
        <f t="shared" si="11"/>
        <v>367.91809487823093</v>
      </c>
      <c r="AB6" s="12">
        <f t="shared" si="11"/>
        <v>370.36157368672013</v>
      </c>
      <c r="AC6" s="12">
        <f t="shared" si="11"/>
        <v>372.80505249520934</v>
      </c>
      <c r="AD6" s="19">
        <f>AD20/Y20*Y6</f>
        <v>375.24853130369854</v>
      </c>
      <c r="AE6" s="11">
        <f t="shared" si="12"/>
        <v>376.99387330976225</v>
      </c>
      <c r="AF6" s="12">
        <f t="shared" si="12"/>
        <v>378.73921531582596</v>
      </c>
      <c r="AG6" s="12">
        <f t="shared" si="12"/>
        <v>380.48455732188967</v>
      </c>
      <c r="AH6" s="12">
        <f t="shared" si="12"/>
        <v>382.22989932795338</v>
      </c>
      <c r="AI6" s="19">
        <f>AI20/AD20*AD6</f>
        <v>383.97524133401714</v>
      </c>
      <c r="AJ6" s="11">
        <f t="shared" si="13"/>
        <v>385.72058334008085</v>
      </c>
      <c r="AK6" s="12">
        <f t="shared" si="13"/>
        <v>387.46592534614456</v>
      </c>
      <c r="AL6" s="12">
        <f t="shared" si="13"/>
        <v>389.21126735220827</v>
      </c>
      <c r="AM6" s="12">
        <f t="shared" si="13"/>
        <v>390.95660935827198</v>
      </c>
      <c r="AN6" s="19">
        <f>AN20/AI20*AI6</f>
        <v>392.70195136433568</v>
      </c>
      <c r="AO6" s="11">
        <f t="shared" si="14"/>
        <v>393.40008816676118</v>
      </c>
      <c r="AP6" s="12">
        <f t="shared" si="14"/>
        <v>394.09822496918667</v>
      </c>
      <c r="AQ6" s="12">
        <f t="shared" si="14"/>
        <v>394.79636177161217</v>
      </c>
      <c r="AR6" s="12">
        <f t="shared" si="14"/>
        <v>395.49449857403766</v>
      </c>
      <c r="AS6" s="19">
        <f>AS20/AN20*AN6</f>
        <v>396.19263537646316</v>
      </c>
    </row>
    <row r="7" spans="1:45" x14ac:dyDescent="0.2">
      <c r="A7" s="17" t="s">
        <v>16</v>
      </c>
      <c r="B7" s="8" t="s">
        <v>20</v>
      </c>
      <c r="C7" s="9" t="s">
        <v>18</v>
      </c>
      <c r="D7" s="8" t="s">
        <v>53</v>
      </c>
      <c r="E7" s="33">
        <v>9269</v>
      </c>
      <c r="F7" s="11">
        <v>8500</v>
      </c>
      <c r="G7" s="29">
        <v>9000</v>
      </c>
      <c r="H7" s="12">
        <f t="shared" si="7"/>
        <v>9213.4076319676769</v>
      </c>
      <c r="I7" s="12">
        <f t="shared" si="7"/>
        <v>9426.8152639353539</v>
      </c>
      <c r="J7" s="19">
        <f>J19/G19*G7</f>
        <v>9640.2228959030308</v>
      </c>
      <c r="K7" s="11">
        <f t="shared" si="8"/>
        <v>9729.899387957943</v>
      </c>
      <c r="L7" s="12">
        <f t="shared" si="8"/>
        <v>9819.5758800128551</v>
      </c>
      <c r="M7" s="12">
        <f t="shared" si="8"/>
        <v>9909.2523720677673</v>
      </c>
      <c r="N7" s="12">
        <f t="shared" si="8"/>
        <v>9998.9288641226794</v>
      </c>
      <c r="O7" s="19">
        <f>O19/J19*J7</f>
        <v>10088.605356177592</v>
      </c>
      <c r="P7" s="11">
        <f t="shared" si="9"/>
        <v>10021.347987136407</v>
      </c>
      <c r="Q7" s="12">
        <f t="shared" si="9"/>
        <v>9954.0906180952225</v>
      </c>
      <c r="R7" s="12">
        <f t="shared" si="9"/>
        <v>9886.8332490540379</v>
      </c>
      <c r="S7" s="12">
        <f t="shared" si="9"/>
        <v>9819.5758800128533</v>
      </c>
      <c r="T7" s="19">
        <f>T19/O19*O7</f>
        <v>9752.3185109716724</v>
      </c>
      <c r="U7" s="11">
        <f t="shared" si="10"/>
        <v>9550.5464038481205</v>
      </c>
      <c r="V7" s="12">
        <f t="shared" si="10"/>
        <v>9348.7742967245686</v>
      </c>
      <c r="W7" s="12">
        <f t="shared" si="10"/>
        <v>9147.0021896010167</v>
      </c>
      <c r="X7" s="12">
        <f t="shared" si="10"/>
        <v>8945.2300824774647</v>
      </c>
      <c r="Y7" s="19">
        <f>Y19/T19*T7</f>
        <v>8743.4579753539128</v>
      </c>
      <c r="Z7" s="11">
        <f t="shared" si="11"/>
        <v>8608.9432372715455</v>
      </c>
      <c r="AA7" s="12">
        <f t="shared" si="11"/>
        <v>8474.4284991891782</v>
      </c>
      <c r="AB7" s="12">
        <f t="shared" si="11"/>
        <v>8339.9137611068109</v>
      </c>
      <c r="AC7" s="12">
        <f t="shared" si="11"/>
        <v>8205.3990230244435</v>
      </c>
      <c r="AD7" s="19">
        <f>AD19/Y19*Y7</f>
        <v>8070.8842849420735</v>
      </c>
      <c r="AE7" s="11">
        <f t="shared" si="12"/>
        <v>7981.2077928871613</v>
      </c>
      <c r="AF7" s="12">
        <f t="shared" si="12"/>
        <v>7891.5313008322491</v>
      </c>
      <c r="AG7" s="12">
        <f t="shared" si="12"/>
        <v>7801.854808777337</v>
      </c>
      <c r="AH7" s="12">
        <f t="shared" si="12"/>
        <v>7712.1783167224248</v>
      </c>
      <c r="AI7" s="19">
        <f>AI19/AD19*AD7</f>
        <v>7622.5018246675136</v>
      </c>
      <c r="AJ7" s="11">
        <f t="shared" si="13"/>
        <v>7532.8253326126014</v>
      </c>
      <c r="AK7" s="12">
        <f t="shared" si="13"/>
        <v>7443.1488405576893</v>
      </c>
      <c r="AL7" s="12">
        <f t="shared" si="13"/>
        <v>7353.4723485027771</v>
      </c>
      <c r="AM7" s="12">
        <f t="shared" si="13"/>
        <v>7263.7958564478649</v>
      </c>
      <c r="AN7" s="19">
        <f>AN19/AI19*AI7</f>
        <v>7174.1193643929537</v>
      </c>
      <c r="AO7" s="11">
        <f t="shared" si="14"/>
        <v>7129.2811183654976</v>
      </c>
      <c r="AP7" s="12">
        <f t="shared" si="14"/>
        <v>7084.4428723380415</v>
      </c>
      <c r="AQ7" s="12">
        <f t="shared" si="14"/>
        <v>7039.6046263105854</v>
      </c>
      <c r="AR7" s="12">
        <f t="shared" si="14"/>
        <v>6994.7663802831294</v>
      </c>
      <c r="AS7" s="19">
        <f>AS19/AN19*AN7</f>
        <v>6949.9281342556742</v>
      </c>
    </row>
    <row r="8" spans="1:45" x14ac:dyDescent="0.2">
      <c r="A8" s="18" t="s">
        <v>22</v>
      </c>
      <c r="B8" s="8" t="s">
        <v>23</v>
      </c>
      <c r="C8" s="9" t="s">
        <v>6</v>
      </c>
      <c r="D8" s="26" t="s">
        <v>24</v>
      </c>
      <c r="E8" s="34">
        <v>31.55</v>
      </c>
      <c r="F8" s="11">
        <v>31.4</v>
      </c>
      <c r="G8" s="27">
        <v>28.79</v>
      </c>
      <c r="H8" s="12">
        <f t="shared" si="7"/>
        <v>27.976588201299229</v>
      </c>
      <c r="I8" s="12">
        <f t="shared" si="7"/>
        <v>27.163176402598459</v>
      </c>
      <c r="J8" s="16">
        <f>J16/E16*E8</f>
        <v>26.34976460389769</v>
      </c>
      <c r="K8" s="11">
        <f t="shared" si="8"/>
        <v>26.218015780878201</v>
      </c>
      <c r="L8" s="12">
        <f t="shared" si="8"/>
        <v>26.086266957858712</v>
      </c>
      <c r="M8" s="12">
        <f t="shared" si="8"/>
        <v>25.954518134839223</v>
      </c>
      <c r="N8" s="12">
        <f t="shared" si="8"/>
        <v>25.822769311819734</v>
      </c>
      <c r="O8" s="16">
        <f>O16/J16*J8</f>
        <v>25.691020488800248</v>
      </c>
      <c r="P8" s="11">
        <f t="shared" si="9"/>
        <v>25.295774019741785</v>
      </c>
      <c r="Q8" s="12">
        <f t="shared" si="9"/>
        <v>24.900527550683321</v>
      </c>
      <c r="R8" s="12">
        <f t="shared" si="9"/>
        <v>24.505281081624858</v>
      </c>
      <c r="S8" s="12">
        <f t="shared" si="9"/>
        <v>24.110034612566395</v>
      </c>
      <c r="T8" s="16">
        <f>T16/O16*O8</f>
        <v>23.714788143507924</v>
      </c>
      <c r="U8" s="11">
        <f t="shared" si="10"/>
        <v>23.187792851429972</v>
      </c>
      <c r="V8" s="12">
        <f t="shared" si="10"/>
        <v>22.660797559352019</v>
      </c>
      <c r="W8" s="12">
        <f t="shared" si="10"/>
        <v>22.133802267274067</v>
      </c>
      <c r="X8" s="12">
        <f t="shared" si="10"/>
        <v>21.606806975196115</v>
      </c>
      <c r="Y8" s="16">
        <f>Y16/T16*T8</f>
        <v>21.079811683118155</v>
      </c>
      <c r="Z8" s="11">
        <f t="shared" si="11"/>
        <v>20.552816391040203</v>
      </c>
      <c r="AA8" s="12">
        <f t="shared" si="11"/>
        <v>20.02582109896225</v>
      </c>
      <c r="AB8" s="12">
        <f t="shared" si="11"/>
        <v>19.498825806884298</v>
      </c>
      <c r="AC8" s="12">
        <f t="shared" si="11"/>
        <v>18.971830514806346</v>
      </c>
      <c r="AD8" s="16">
        <f>AD16/Y16*Y8</f>
        <v>18.444835222728386</v>
      </c>
      <c r="AE8" s="11">
        <f t="shared" si="12"/>
        <v>18.049588753669919</v>
      </c>
      <c r="AF8" s="12">
        <f t="shared" si="12"/>
        <v>17.654342284611452</v>
      </c>
      <c r="AG8" s="12">
        <f t="shared" si="12"/>
        <v>17.259095815552985</v>
      </c>
      <c r="AH8" s="12">
        <f t="shared" si="12"/>
        <v>16.863849346494518</v>
      </c>
      <c r="AI8" s="16">
        <f>AI16/AD16*AD8</f>
        <v>16.468602877436059</v>
      </c>
      <c r="AJ8" s="11">
        <f t="shared" si="13"/>
        <v>16.073356408377592</v>
      </c>
      <c r="AK8" s="12">
        <f t="shared" si="13"/>
        <v>15.678109939319127</v>
      </c>
      <c r="AL8" s="12">
        <f t="shared" si="13"/>
        <v>15.282863470260661</v>
      </c>
      <c r="AM8" s="12">
        <f t="shared" si="13"/>
        <v>14.887617001202196</v>
      </c>
      <c r="AN8" s="16">
        <f>AN16/AI16*AI8</f>
        <v>14.492370532143731</v>
      </c>
      <c r="AO8" s="11">
        <f t="shared" si="14"/>
        <v>14.228872886104755</v>
      </c>
      <c r="AP8" s="12">
        <f t="shared" si="14"/>
        <v>13.965375240065779</v>
      </c>
      <c r="AQ8" s="12">
        <f t="shared" si="14"/>
        <v>13.701877594026802</v>
      </c>
      <c r="AR8" s="12">
        <f t="shared" si="14"/>
        <v>13.438379947987826</v>
      </c>
      <c r="AS8" s="16">
        <f>AS16/AN16*AN8</f>
        <v>13.174882301948847</v>
      </c>
    </row>
    <row r="9" spans="1:45" x14ac:dyDescent="0.2">
      <c r="A9" s="18" t="s">
        <v>25</v>
      </c>
      <c r="B9" s="8" t="s">
        <v>26</v>
      </c>
      <c r="C9" s="9" t="s">
        <v>18</v>
      </c>
      <c r="D9" s="8" t="s">
        <v>27</v>
      </c>
      <c r="E9" s="35">
        <v>12700.63</v>
      </c>
      <c r="F9" s="11">
        <v>13583.87</v>
      </c>
      <c r="G9" s="29">
        <v>13691.4</v>
      </c>
      <c r="H9" s="12">
        <f t="shared" si="7"/>
        <v>13960.933333333332</v>
      </c>
      <c r="I9" s="12">
        <f t="shared" si="7"/>
        <v>14230.466666666665</v>
      </c>
      <c r="J9" s="10">
        <v>14500</v>
      </c>
      <c r="K9" s="11">
        <f t="shared" si="8"/>
        <v>14800</v>
      </c>
      <c r="L9" s="12">
        <f t="shared" si="8"/>
        <v>15100</v>
      </c>
      <c r="M9" s="12">
        <f t="shared" si="8"/>
        <v>15400</v>
      </c>
      <c r="N9" s="12">
        <f t="shared" si="8"/>
        <v>15700</v>
      </c>
      <c r="O9" s="10">
        <v>16000</v>
      </c>
      <c r="P9" s="11">
        <f t="shared" si="9"/>
        <v>16200</v>
      </c>
      <c r="Q9" s="12">
        <f t="shared" si="9"/>
        <v>16400</v>
      </c>
      <c r="R9" s="12">
        <f t="shared" si="9"/>
        <v>16600</v>
      </c>
      <c r="S9" s="12">
        <f t="shared" si="9"/>
        <v>16800</v>
      </c>
      <c r="T9" s="10">
        <v>17000</v>
      </c>
      <c r="U9" s="11">
        <f t="shared" si="10"/>
        <v>17020</v>
      </c>
      <c r="V9" s="12">
        <f t="shared" si="10"/>
        <v>17040</v>
      </c>
      <c r="W9" s="12">
        <f t="shared" si="10"/>
        <v>17060</v>
      </c>
      <c r="X9" s="12">
        <f t="shared" si="10"/>
        <v>17080</v>
      </c>
      <c r="Y9" s="10">
        <v>17100</v>
      </c>
      <c r="Z9" s="11">
        <f t="shared" si="11"/>
        <v>16980</v>
      </c>
      <c r="AA9" s="12">
        <f t="shared" si="11"/>
        <v>16860</v>
      </c>
      <c r="AB9" s="12">
        <f t="shared" si="11"/>
        <v>16740</v>
      </c>
      <c r="AC9" s="12">
        <f t="shared" si="11"/>
        <v>16620</v>
      </c>
      <c r="AD9" s="10">
        <v>16500</v>
      </c>
      <c r="AE9" s="11">
        <f t="shared" si="12"/>
        <v>16200</v>
      </c>
      <c r="AF9" s="12">
        <f t="shared" si="12"/>
        <v>15900</v>
      </c>
      <c r="AG9" s="12">
        <f t="shared" si="12"/>
        <v>15600</v>
      </c>
      <c r="AH9" s="12">
        <f t="shared" si="12"/>
        <v>15300</v>
      </c>
      <c r="AI9" s="10">
        <v>15000</v>
      </c>
      <c r="AJ9" s="11">
        <f t="shared" si="13"/>
        <v>14700</v>
      </c>
      <c r="AK9" s="12">
        <f t="shared" si="13"/>
        <v>14400</v>
      </c>
      <c r="AL9" s="12">
        <f t="shared" si="13"/>
        <v>14100</v>
      </c>
      <c r="AM9" s="12">
        <f t="shared" si="13"/>
        <v>13800</v>
      </c>
      <c r="AN9" s="10">
        <v>13500</v>
      </c>
      <c r="AO9" s="11">
        <f t="shared" si="14"/>
        <v>13200</v>
      </c>
      <c r="AP9" s="12">
        <f t="shared" si="14"/>
        <v>12900</v>
      </c>
      <c r="AQ9" s="12">
        <f t="shared" si="14"/>
        <v>12600</v>
      </c>
      <c r="AR9" s="12">
        <f t="shared" si="14"/>
        <v>12300</v>
      </c>
      <c r="AS9" s="10">
        <v>12000</v>
      </c>
    </row>
    <row r="10" spans="1:45" x14ac:dyDescent="0.2">
      <c r="A10" s="17" t="s">
        <v>28</v>
      </c>
      <c r="B10" s="8" t="s">
        <v>29</v>
      </c>
      <c r="C10" s="9" t="s">
        <v>6</v>
      </c>
      <c r="D10" s="8" t="s">
        <v>30</v>
      </c>
      <c r="E10" s="34">
        <v>6.7441000000000004</v>
      </c>
      <c r="F10" s="11">
        <v>7</v>
      </c>
      <c r="G10" s="28">
        <v>6.7590000000000003</v>
      </c>
      <c r="H10" s="12">
        <f t="shared" si="7"/>
        <v>6.8611289566236815</v>
      </c>
      <c r="I10" s="12">
        <f t="shared" si="7"/>
        <v>6.9632579132473627</v>
      </c>
      <c r="J10" s="16">
        <f>J3/G3*G10</f>
        <v>7.0653868698710429</v>
      </c>
      <c r="K10" s="11">
        <f t="shared" si="8"/>
        <v>7.0851963657678771</v>
      </c>
      <c r="L10" s="12">
        <f t="shared" si="8"/>
        <v>7.1050058616647114</v>
      </c>
      <c r="M10" s="12">
        <f t="shared" si="8"/>
        <v>7.1248153575615456</v>
      </c>
      <c r="N10" s="12">
        <f t="shared" si="8"/>
        <v>7.1446248534583798</v>
      </c>
      <c r="O10" s="16">
        <f>O3/J3*J10</f>
        <v>7.1644343493552158</v>
      </c>
      <c r="P10" s="11">
        <f t="shared" si="9"/>
        <v>7.1182121922626012</v>
      </c>
      <c r="Q10" s="12">
        <f t="shared" si="9"/>
        <v>7.0719900351699865</v>
      </c>
      <c r="R10" s="12">
        <f t="shared" si="9"/>
        <v>7.0257678780773718</v>
      </c>
      <c r="S10" s="12">
        <f t="shared" si="9"/>
        <v>6.9795457209847571</v>
      </c>
      <c r="T10" s="16">
        <f>T3/O3*O10</f>
        <v>6.9333235638921442</v>
      </c>
      <c r="U10" s="11">
        <f t="shared" si="10"/>
        <v>6.8672919109026953</v>
      </c>
      <c r="V10" s="12">
        <f t="shared" si="10"/>
        <v>6.8012602579132464</v>
      </c>
      <c r="W10" s="12">
        <f t="shared" si="10"/>
        <v>6.7352286049237975</v>
      </c>
      <c r="X10" s="12">
        <f t="shared" si="10"/>
        <v>6.6691969519343486</v>
      </c>
      <c r="Y10" s="16">
        <f>Y3/T3*T10</f>
        <v>6.6031652989448988</v>
      </c>
      <c r="Z10" s="11">
        <f t="shared" si="11"/>
        <v>6.5371336459554499</v>
      </c>
      <c r="AA10" s="12">
        <f t="shared" si="11"/>
        <v>6.471101992966001</v>
      </c>
      <c r="AB10" s="12">
        <f t="shared" si="11"/>
        <v>6.4050703399765521</v>
      </c>
      <c r="AC10" s="12">
        <f t="shared" si="11"/>
        <v>6.3390386869871032</v>
      </c>
      <c r="AD10" s="16">
        <f>AD3/Y3*Y10</f>
        <v>6.2730070339976534</v>
      </c>
      <c r="AE10" s="11">
        <f t="shared" si="12"/>
        <v>6.2201817116060942</v>
      </c>
      <c r="AF10" s="12">
        <f t="shared" si="12"/>
        <v>6.1673563892145351</v>
      </c>
      <c r="AG10" s="12">
        <f t="shared" si="12"/>
        <v>6.114531066822976</v>
      </c>
      <c r="AH10" s="12">
        <f t="shared" si="12"/>
        <v>6.0617057444314169</v>
      </c>
      <c r="AI10" s="16">
        <f>AI3/AD3*AD10</f>
        <v>6.0088804220398577</v>
      </c>
      <c r="AJ10" s="11">
        <f t="shared" si="13"/>
        <v>5.962658264947243</v>
      </c>
      <c r="AK10" s="12">
        <f t="shared" si="13"/>
        <v>5.9164361078546284</v>
      </c>
      <c r="AL10" s="12">
        <f t="shared" si="13"/>
        <v>5.8702139507620137</v>
      </c>
      <c r="AM10" s="12">
        <f t="shared" si="13"/>
        <v>5.823991793669399</v>
      </c>
      <c r="AN10" s="16">
        <f>AN3/AI3*AI10</f>
        <v>5.7777696365767861</v>
      </c>
      <c r="AO10" s="11">
        <f t="shared" si="14"/>
        <v>5.7447538100820612</v>
      </c>
      <c r="AP10" s="12">
        <f t="shared" si="14"/>
        <v>5.7117379835873363</v>
      </c>
      <c r="AQ10" s="12">
        <f t="shared" si="14"/>
        <v>5.6787221570926114</v>
      </c>
      <c r="AR10" s="12">
        <f t="shared" si="14"/>
        <v>5.6457063305978865</v>
      </c>
      <c r="AS10" s="16">
        <f>AS3/AN3*AN10</f>
        <v>5.6126905041031634</v>
      </c>
    </row>
    <row r="11" spans="1:45" x14ac:dyDescent="0.2">
      <c r="A11" s="17" t="s">
        <v>28</v>
      </c>
      <c r="B11" s="8" t="s">
        <v>31</v>
      </c>
      <c r="C11" s="9" t="s">
        <v>18</v>
      </c>
      <c r="D11" s="8" t="s">
        <v>32</v>
      </c>
      <c r="E11" s="33">
        <v>47116</v>
      </c>
      <c r="F11" s="11">
        <v>46400</v>
      </c>
      <c r="G11" s="29">
        <v>47300</v>
      </c>
      <c r="H11" s="12">
        <f t="shared" si="7"/>
        <v>47486.497131351396</v>
      </c>
      <c r="I11" s="12">
        <f t="shared" si="7"/>
        <v>47672.994262702792</v>
      </c>
      <c r="J11" s="19">
        <f>J18/G18*G11</f>
        <v>47859.491394054181</v>
      </c>
      <c r="K11" s="11">
        <f t="shared" si="8"/>
        <v>47580.698240302409</v>
      </c>
      <c r="L11" s="12">
        <f t="shared" si="8"/>
        <v>47301.905086550636</v>
      </c>
      <c r="M11" s="12">
        <f t="shared" si="8"/>
        <v>47023.111932798864</v>
      </c>
      <c r="N11" s="12">
        <f t="shared" si="8"/>
        <v>46744.318779047091</v>
      </c>
      <c r="O11" s="19">
        <f>O18/J18*J11</f>
        <v>46465.525625295319</v>
      </c>
      <c r="P11" s="11">
        <f t="shared" si="9"/>
        <v>45815.008266541183</v>
      </c>
      <c r="Q11" s="12">
        <f t="shared" si="9"/>
        <v>45164.490907787047</v>
      </c>
      <c r="R11" s="12">
        <f t="shared" si="9"/>
        <v>44513.973549032911</v>
      </c>
      <c r="S11" s="12">
        <f t="shared" si="9"/>
        <v>43863.456190278775</v>
      </c>
      <c r="T11" s="19">
        <f>T18/O18*O11</f>
        <v>43212.938831524647</v>
      </c>
      <c r="U11" s="11">
        <f t="shared" si="10"/>
        <v>42097.766216517557</v>
      </c>
      <c r="V11" s="12">
        <f t="shared" si="10"/>
        <v>40982.593601510467</v>
      </c>
      <c r="W11" s="12">
        <f t="shared" si="10"/>
        <v>39867.420986503377</v>
      </c>
      <c r="X11" s="12">
        <f t="shared" si="10"/>
        <v>38752.248371496287</v>
      </c>
      <c r="Y11" s="19">
        <f>Y18/T18*T11</f>
        <v>37637.075756489212</v>
      </c>
      <c r="Z11" s="11">
        <f t="shared" si="11"/>
        <v>36800.696295233894</v>
      </c>
      <c r="AA11" s="12">
        <f t="shared" si="11"/>
        <v>35964.316833978577</v>
      </c>
      <c r="AB11" s="12">
        <f t="shared" si="11"/>
        <v>35127.93737272326</v>
      </c>
      <c r="AC11" s="12">
        <f t="shared" si="11"/>
        <v>34291.557911467942</v>
      </c>
      <c r="AD11" s="19">
        <f>AD18/Y18*Y11</f>
        <v>33455.178450212632</v>
      </c>
      <c r="AE11" s="11">
        <f t="shared" si="12"/>
        <v>32618.798988957315</v>
      </c>
      <c r="AF11" s="12">
        <f t="shared" si="12"/>
        <v>31782.419527701997</v>
      </c>
      <c r="AG11" s="12">
        <f t="shared" si="12"/>
        <v>30946.04006644668</v>
      </c>
      <c r="AH11" s="12">
        <f t="shared" si="12"/>
        <v>30109.660605191362</v>
      </c>
      <c r="AI11" s="19">
        <f>AI18/AD18*AD11</f>
        <v>29273.281143936052</v>
      </c>
      <c r="AJ11" s="11">
        <f t="shared" si="13"/>
        <v>28808.625887683098</v>
      </c>
      <c r="AK11" s="12">
        <f t="shared" si="13"/>
        <v>28343.970631430144</v>
      </c>
      <c r="AL11" s="12">
        <f t="shared" si="13"/>
        <v>27879.31537517719</v>
      </c>
      <c r="AM11" s="12">
        <f t="shared" si="13"/>
        <v>27414.660118924236</v>
      </c>
      <c r="AN11" s="19">
        <f>AN18/AI18*AI11</f>
        <v>26950.004862671285</v>
      </c>
      <c r="AO11" s="11">
        <f t="shared" si="14"/>
        <v>26764.142760170103</v>
      </c>
      <c r="AP11" s="12">
        <f t="shared" si="14"/>
        <v>26578.280657668922</v>
      </c>
      <c r="AQ11" s="12">
        <f t="shared" si="14"/>
        <v>26392.41855516774</v>
      </c>
      <c r="AR11" s="12">
        <f t="shared" si="14"/>
        <v>26206.556452666558</v>
      </c>
      <c r="AS11" s="19">
        <f>AS18/AN18*AN11</f>
        <v>26020.69435016538</v>
      </c>
    </row>
    <row r="12" spans="1:45" x14ac:dyDescent="0.2">
      <c r="A12" s="17" t="s">
        <v>33</v>
      </c>
      <c r="B12" s="8" t="s">
        <v>34</v>
      </c>
      <c r="C12" s="9" t="s">
        <v>18</v>
      </c>
      <c r="D12" s="8" t="s">
        <v>27</v>
      </c>
      <c r="E12" s="35">
        <v>3673.87</v>
      </c>
      <c r="F12" s="11">
        <v>3891.31</v>
      </c>
      <c r="G12" s="29">
        <v>3463.08</v>
      </c>
      <c r="H12" s="12">
        <f>G12+($J12-$G12)/3</f>
        <v>3708.72</v>
      </c>
      <c r="I12" s="12">
        <f t="shared" si="7"/>
        <v>3954.3599999999997</v>
      </c>
      <c r="J12" s="10">
        <v>4200</v>
      </c>
      <c r="K12" s="11">
        <f t="shared" si="8"/>
        <v>4220</v>
      </c>
      <c r="L12" s="12">
        <f t="shared" si="8"/>
        <v>4240</v>
      </c>
      <c r="M12" s="12">
        <f t="shared" si="8"/>
        <v>4260</v>
      </c>
      <c r="N12" s="12">
        <f t="shared" si="8"/>
        <v>4280</v>
      </c>
      <c r="O12" s="10">
        <v>4300</v>
      </c>
      <c r="P12" s="11">
        <f t="shared" si="9"/>
        <v>4260</v>
      </c>
      <c r="Q12" s="12">
        <f t="shared" si="9"/>
        <v>4220</v>
      </c>
      <c r="R12" s="12">
        <f t="shared" si="9"/>
        <v>4180</v>
      </c>
      <c r="S12" s="12">
        <f t="shared" si="9"/>
        <v>4140</v>
      </c>
      <c r="T12" s="10">
        <v>4100</v>
      </c>
      <c r="U12" s="11">
        <f t="shared" si="10"/>
        <v>4040</v>
      </c>
      <c r="V12" s="12">
        <f t="shared" si="10"/>
        <v>3980</v>
      </c>
      <c r="W12" s="12">
        <f t="shared" si="10"/>
        <v>3920</v>
      </c>
      <c r="X12" s="12">
        <f t="shared" si="10"/>
        <v>3860</v>
      </c>
      <c r="Y12" s="10">
        <v>3800</v>
      </c>
      <c r="Z12" s="11">
        <f t="shared" si="11"/>
        <v>3720</v>
      </c>
      <c r="AA12" s="12">
        <f t="shared" si="11"/>
        <v>3640</v>
      </c>
      <c r="AB12" s="12">
        <f t="shared" si="11"/>
        <v>3560</v>
      </c>
      <c r="AC12" s="12">
        <f t="shared" si="11"/>
        <v>3480</v>
      </c>
      <c r="AD12" s="10">
        <v>3400</v>
      </c>
      <c r="AE12" s="11">
        <f t="shared" si="12"/>
        <v>3340</v>
      </c>
      <c r="AF12" s="12">
        <f t="shared" si="12"/>
        <v>3280</v>
      </c>
      <c r="AG12" s="12">
        <f t="shared" si="12"/>
        <v>3220</v>
      </c>
      <c r="AH12" s="12">
        <f t="shared" si="12"/>
        <v>3160</v>
      </c>
      <c r="AI12" s="10">
        <v>3100</v>
      </c>
      <c r="AJ12" s="11">
        <f t="shared" si="13"/>
        <v>3040</v>
      </c>
      <c r="AK12" s="12">
        <f t="shared" si="13"/>
        <v>2980</v>
      </c>
      <c r="AL12" s="12">
        <f t="shared" si="13"/>
        <v>2920</v>
      </c>
      <c r="AM12" s="12">
        <f t="shared" si="13"/>
        <v>2860</v>
      </c>
      <c r="AN12" s="10">
        <v>2800</v>
      </c>
      <c r="AO12" s="11">
        <f t="shared" si="14"/>
        <v>2780</v>
      </c>
      <c r="AP12" s="12">
        <f t="shared" si="14"/>
        <v>2760</v>
      </c>
      <c r="AQ12" s="12">
        <f t="shared" si="14"/>
        <v>2740</v>
      </c>
      <c r="AR12" s="12">
        <f t="shared" si="14"/>
        <v>2720</v>
      </c>
      <c r="AS12" s="10">
        <v>2700</v>
      </c>
    </row>
    <row r="13" spans="1:45" x14ac:dyDescent="0.2">
      <c r="A13" s="17" t="s">
        <v>33</v>
      </c>
      <c r="B13" s="8" t="s">
        <v>35</v>
      </c>
      <c r="C13" s="9" t="s">
        <v>18</v>
      </c>
      <c r="D13" s="8" t="s">
        <v>27</v>
      </c>
      <c r="E13" s="35">
        <v>2812.37</v>
      </c>
      <c r="F13" s="11">
        <v>2913.25</v>
      </c>
      <c r="G13" s="29">
        <v>2920.2</v>
      </c>
      <c r="H13" s="12">
        <f t="shared" si="7"/>
        <v>3013.4666666666667</v>
      </c>
      <c r="I13" s="12">
        <f t="shared" si="7"/>
        <v>3106.7333333333336</v>
      </c>
      <c r="J13" s="10">
        <v>3200</v>
      </c>
      <c r="K13" s="11">
        <f t="shared" si="8"/>
        <v>3210</v>
      </c>
      <c r="L13" s="12">
        <f t="shared" si="8"/>
        <v>3220</v>
      </c>
      <c r="M13" s="12">
        <f t="shared" si="8"/>
        <v>3230</v>
      </c>
      <c r="N13" s="12">
        <f t="shared" si="8"/>
        <v>3240</v>
      </c>
      <c r="O13" s="10">
        <v>3250</v>
      </c>
      <c r="P13" s="11">
        <f t="shared" si="9"/>
        <v>3220</v>
      </c>
      <c r="Q13" s="12">
        <f t="shared" si="9"/>
        <v>3190</v>
      </c>
      <c r="R13" s="12">
        <f t="shared" si="9"/>
        <v>3160</v>
      </c>
      <c r="S13" s="12">
        <f t="shared" si="9"/>
        <v>3130</v>
      </c>
      <c r="T13" s="10">
        <v>3100</v>
      </c>
      <c r="U13" s="11">
        <f t="shared" si="10"/>
        <v>3040</v>
      </c>
      <c r="V13" s="12">
        <f t="shared" si="10"/>
        <v>2980</v>
      </c>
      <c r="W13" s="12">
        <f t="shared" si="10"/>
        <v>2920</v>
      </c>
      <c r="X13" s="12">
        <f t="shared" si="10"/>
        <v>2860</v>
      </c>
      <c r="Y13" s="10">
        <v>2800</v>
      </c>
      <c r="Z13" s="11">
        <f t="shared" si="11"/>
        <v>2740</v>
      </c>
      <c r="AA13" s="12">
        <f t="shared" si="11"/>
        <v>2680</v>
      </c>
      <c r="AB13" s="12">
        <f t="shared" si="11"/>
        <v>2620</v>
      </c>
      <c r="AC13" s="12">
        <f t="shared" si="11"/>
        <v>2560</v>
      </c>
      <c r="AD13" s="10">
        <v>2500</v>
      </c>
      <c r="AE13" s="11">
        <f t="shared" si="12"/>
        <v>2450</v>
      </c>
      <c r="AF13" s="12">
        <f t="shared" si="12"/>
        <v>2400</v>
      </c>
      <c r="AG13" s="12">
        <f t="shared" si="12"/>
        <v>2350</v>
      </c>
      <c r="AH13" s="12">
        <f t="shared" si="12"/>
        <v>2300</v>
      </c>
      <c r="AI13" s="10">
        <v>2250</v>
      </c>
      <c r="AJ13" s="11">
        <f t="shared" si="13"/>
        <v>2220</v>
      </c>
      <c r="AK13" s="12">
        <f t="shared" si="13"/>
        <v>2190</v>
      </c>
      <c r="AL13" s="12">
        <f t="shared" si="13"/>
        <v>2160</v>
      </c>
      <c r="AM13" s="12">
        <f t="shared" si="13"/>
        <v>2130</v>
      </c>
      <c r="AN13" s="10">
        <v>2100</v>
      </c>
      <c r="AO13" s="11">
        <f t="shared" si="14"/>
        <v>2080</v>
      </c>
      <c r="AP13" s="12">
        <f t="shared" si="14"/>
        <v>2060</v>
      </c>
      <c r="AQ13" s="12">
        <f t="shared" si="14"/>
        <v>2040</v>
      </c>
      <c r="AR13" s="12">
        <f t="shared" si="14"/>
        <v>2020</v>
      </c>
      <c r="AS13" s="10">
        <v>2000</v>
      </c>
    </row>
    <row r="14" spans="1:45" x14ac:dyDescent="0.2">
      <c r="A14" s="17" t="s">
        <v>33</v>
      </c>
      <c r="B14" s="8" t="s">
        <v>36</v>
      </c>
      <c r="C14" s="9" t="s">
        <v>18</v>
      </c>
      <c r="D14" s="8" t="s">
        <v>27</v>
      </c>
      <c r="E14" s="35">
        <v>2159.96</v>
      </c>
      <c r="F14" s="11">
        <v>2825.67</v>
      </c>
      <c r="G14" s="29">
        <v>2897.51</v>
      </c>
      <c r="H14" s="12">
        <f t="shared" si="7"/>
        <v>3165.0066666666667</v>
      </c>
      <c r="I14" s="12">
        <f t="shared" si="7"/>
        <v>3432.5033333333331</v>
      </c>
      <c r="J14" s="10">
        <v>3700</v>
      </c>
      <c r="K14" s="11">
        <f t="shared" si="8"/>
        <v>3920</v>
      </c>
      <c r="L14" s="12">
        <f t="shared" si="8"/>
        <v>4140</v>
      </c>
      <c r="M14" s="12">
        <f t="shared" si="8"/>
        <v>4360</v>
      </c>
      <c r="N14" s="12">
        <f t="shared" si="8"/>
        <v>4580</v>
      </c>
      <c r="O14" s="10">
        <v>4800</v>
      </c>
      <c r="P14" s="11">
        <f t="shared" si="9"/>
        <v>4880</v>
      </c>
      <c r="Q14" s="12">
        <f t="shared" si="9"/>
        <v>4960</v>
      </c>
      <c r="R14" s="12">
        <f t="shared" si="9"/>
        <v>5040</v>
      </c>
      <c r="S14" s="12">
        <f t="shared" si="9"/>
        <v>5120</v>
      </c>
      <c r="T14" s="10">
        <v>5200</v>
      </c>
      <c r="U14" s="11">
        <f t="shared" si="10"/>
        <v>5190</v>
      </c>
      <c r="V14" s="12">
        <f t="shared" si="10"/>
        <v>5180</v>
      </c>
      <c r="W14" s="12">
        <f t="shared" si="10"/>
        <v>5170</v>
      </c>
      <c r="X14" s="12">
        <f t="shared" si="10"/>
        <v>5160</v>
      </c>
      <c r="Y14" s="10">
        <v>5150</v>
      </c>
      <c r="Z14" s="11">
        <f t="shared" si="11"/>
        <v>5140</v>
      </c>
      <c r="AA14" s="12">
        <f t="shared" si="11"/>
        <v>5130</v>
      </c>
      <c r="AB14" s="12">
        <f t="shared" si="11"/>
        <v>5120</v>
      </c>
      <c r="AC14" s="12">
        <f t="shared" si="11"/>
        <v>5110</v>
      </c>
      <c r="AD14" s="10">
        <v>5100</v>
      </c>
      <c r="AE14" s="11">
        <f t="shared" si="12"/>
        <v>5040</v>
      </c>
      <c r="AF14" s="12">
        <f t="shared" si="12"/>
        <v>4980</v>
      </c>
      <c r="AG14" s="12">
        <f t="shared" si="12"/>
        <v>4920</v>
      </c>
      <c r="AH14" s="12">
        <f t="shared" si="12"/>
        <v>4860</v>
      </c>
      <c r="AI14" s="10">
        <v>4800</v>
      </c>
      <c r="AJ14" s="11">
        <f t="shared" si="13"/>
        <v>4710</v>
      </c>
      <c r="AK14" s="12">
        <f t="shared" si="13"/>
        <v>4620</v>
      </c>
      <c r="AL14" s="12">
        <f t="shared" si="13"/>
        <v>4530</v>
      </c>
      <c r="AM14" s="12">
        <f t="shared" si="13"/>
        <v>4440</v>
      </c>
      <c r="AN14" s="10">
        <v>4350</v>
      </c>
      <c r="AO14" s="11">
        <f t="shared" si="14"/>
        <v>4280</v>
      </c>
      <c r="AP14" s="12">
        <f t="shared" si="14"/>
        <v>4210</v>
      </c>
      <c r="AQ14" s="12">
        <f t="shared" si="14"/>
        <v>4140</v>
      </c>
      <c r="AR14" s="12">
        <f t="shared" si="14"/>
        <v>4070</v>
      </c>
      <c r="AS14" s="10">
        <v>4000</v>
      </c>
    </row>
    <row r="15" spans="1:45" x14ac:dyDescent="0.2">
      <c r="A15" s="17" t="s">
        <v>33</v>
      </c>
      <c r="B15" s="8" t="s">
        <v>37</v>
      </c>
      <c r="C15" s="9" t="s">
        <v>18</v>
      </c>
      <c r="D15" s="8" t="s">
        <v>27</v>
      </c>
      <c r="E15" s="35">
        <v>5117.13</v>
      </c>
      <c r="F15" s="11">
        <v>5189.38</v>
      </c>
      <c r="G15" s="29">
        <v>5321.01</v>
      </c>
      <c r="H15" s="12">
        <f t="shared" si="7"/>
        <v>5480.6733333333332</v>
      </c>
      <c r="I15" s="12">
        <f t="shared" si="7"/>
        <v>5640.3366666666661</v>
      </c>
      <c r="J15" s="10">
        <v>5800</v>
      </c>
      <c r="K15" s="11">
        <f t="shared" si="8"/>
        <v>5880</v>
      </c>
      <c r="L15" s="12">
        <f t="shared" si="8"/>
        <v>5960</v>
      </c>
      <c r="M15" s="12">
        <f t="shared" si="8"/>
        <v>6040</v>
      </c>
      <c r="N15" s="12">
        <f t="shared" si="8"/>
        <v>6120</v>
      </c>
      <c r="O15" s="10">
        <v>6200</v>
      </c>
      <c r="P15" s="11">
        <f t="shared" si="9"/>
        <v>6240</v>
      </c>
      <c r="Q15" s="12">
        <f t="shared" si="9"/>
        <v>6280</v>
      </c>
      <c r="R15" s="12">
        <f t="shared" si="9"/>
        <v>6320</v>
      </c>
      <c r="S15" s="12">
        <f t="shared" si="9"/>
        <v>6360</v>
      </c>
      <c r="T15" s="10">
        <v>6400</v>
      </c>
      <c r="U15" s="11">
        <f t="shared" si="10"/>
        <v>6450</v>
      </c>
      <c r="V15" s="12">
        <f t="shared" si="10"/>
        <v>6500</v>
      </c>
      <c r="W15" s="12">
        <f t="shared" si="10"/>
        <v>6550</v>
      </c>
      <c r="X15" s="12">
        <f t="shared" si="10"/>
        <v>6600</v>
      </c>
      <c r="Y15" s="10">
        <v>6650</v>
      </c>
      <c r="Z15" s="11">
        <f t="shared" si="11"/>
        <v>6710</v>
      </c>
      <c r="AA15" s="12">
        <f t="shared" si="11"/>
        <v>6770</v>
      </c>
      <c r="AB15" s="12">
        <f t="shared" si="11"/>
        <v>6830</v>
      </c>
      <c r="AC15" s="12">
        <f t="shared" si="11"/>
        <v>6890</v>
      </c>
      <c r="AD15" s="10">
        <v>6950</v>
      </c>
      <c r="AE15" s="11">
        <f t="shared" si="12"/>
        <v>7020</v>
      </c>
      <c r="AF15" s="12">
        <f t="shared" si="12"/>
        <v>7090</v>
      </c>
      <c r="AG15" s="12">
        <f t="shared" si="12"/>
        <v>7160</v>
      </c>
      <c r="AH15" s="12">
        <f t="shared" si="12"/>
        <v>7230</v>
      </c>
      <c r="AI15" s="10">
        <v>7300</v>
      </c>
      <c r="AJ15" s="11">
        <f t="shared" si="13"/>
        <v>7360</v>
      </c>
      <c r="AK15" s="12">
        <f t="shared" si="13"/>
        <v>7420</v>
      </c>
      <c r="AL15" s="12">
        <f t="shared" si="13"/>
        <v>7480</v>
      </c>
      <c r="AM15" s="12">
        <f t="shared" si="13"/>
        <v>7540</v>
      </c>
      <c r="AN15" s="10">
        <v>7600</v>
      </c>
      <c r="AO15" s="11">
        <f t="shared" si="14"/>
        <v>7640</v>
      </c>
      <c r="AP15" s="12">
        <f t="shared" si="14"/>
        <v>7680</v>
      </c>
      <c r="AQ15" s="12">
        <f t="shared" si="14"/>
        <v>7720</v>
      </c>
      <c r="AR15" s="12">
        <f t="shared" si="14"/>
        <v>7760</v>
      </c>
      <c r="AS15" s="10">
        <v>7800</v>
      </c>
    </row>
    <row r="16" spans="1:45" x14ac:dyDescent="0.2">
      <c r="A16" s="17" t="s">
        <v>38</v>
      </c>
      <c r="B16" s="8" t="s">
        <v>39</v>
      </c>
      <c r="C16" s="9" t="s">
        <v>18</v>
      </c>
      <c r="D16" s="8" t="s">
        <v>27</v>
      </c>
      <c r="E16" s="35">
        <v>239470.83</v>
      </c>
      <c r="F16" s="11">
        <v>237724.49</v>
      </c>
      <c r="G16" s="29">
        <v>212927.18</v>
      </c>
      <c r="H16" s="12">
        <f t="shared" si="7"/>
        <v>208618.12</v>
      </c>
      <c r="I16" s="12">
        <f t="shared" si="7"/>
        <v>204309.06</v>
      </c>
      <c r="J16" s="10">
        <v>200000</v>
      </c>
      <c r="K16" s="11">
        <f t="shared" si="8"/>
        <v>199000</v>
      </c>
      <c r="L16" s="12">
        <f t="shared" si="8"/>
        <v>198000</v>
      </c>
      <c r="M16" s="12">
        <f t="shared" si="8"/>
        <v>197000</v>
      </c>
      <c r="N16" s="12">
        <f t="shared" si="8"/>
        <v>196000</v>
      </c>
      <c r="O16" s="10">
        <v>195000</v>
      </c>
      <c r="P16" s="11">
        <f t="shared" si="9"/>
        <v>192000</v>
      </c>
      <c r="Q16" s="12">
        <f t="shared" si="9"/>
        <v>189000</v>
      </c>
      <c r="R16" s="12">
        <f t="shared" si="9"/>
        <v>186000</v>
      </c>
      <c r="S16" s="12">
        <f t="shared" si="9"/>
        <v>183000</v>
      </c>
      <c r="T16" s="10">
        <v>180000</v>
      </c>
      <c r="U16" s="11">
        <f t="shared" si="10"/>
        <v>176000</v>
      </c>
      <c r="V16" s="12">
        <f t="shared" si="10"/>
        <v>172000</v>
      </c>
      <c r="W16" s="12">
        <f t="shared" si="10"/>
        <v>168000</v>
      </c>
      <c r="X16" s="12">
        <f t="shared" si="10"/>
        <v>164000</v>
      </c>
      <c r="Y16" s="10">
        <v>160000</v>
      </c>
      <c r="Z16" s="11">
        <f t="shared" si="11"/>
        <v>156000</v>
      </c>
      <c r="AA16" s="12">
        <f t="shared" si="11"/>
        <v>152000</v>
      </c>
      <c r="AB16" s="12">
        <f t="shared" si="11"/>
        <v>148000</v>
      </c>
      <c r="AC16" s="12">
        <f t="shared" si="11"/>
        <v>144000</v>
      </c>
      <c r="AD16" s="10">
        <v>140000</v>
      </c>
      <c r="AE16" s="11">
        <f t="shared" si="12"/>
        <v>137000</v>
      </c>
      <c r="AF16" s="12">
        <f t="shared" si="12"/>
        <v>134000</v>
      </c>
      <c r="AG16" s="12">
        <f t="shared" si="12"/>
        <v>131000</v>
      </c>
      <c r="AH16" s="12">
        <f t="shared" si="12"/>
        <v>128000</v>
      </c>
      <c r="AI16" s="10">
        <v>125000</v>
      </c>
      <c r="AJ16" s="11">
        <f t="shared" si="13"/>
        <v>122000</v>
      </c>
      <c r="AK16" s="12">
        <f t="shared" si="13"/>
        <v>119000</v>
      </c>
      <c r="AL16" s="12">
        <f t="shared" si="13"/>
        <v>116000</v>
      </c>
      <c r="AM16" s="12">
        <f t="shared" si="13"/>
        <v>113000</v>
      </c>
      <c r="AN16" s="10">
        <v>110000</v>
      </c>
      <c r="AO16" s="11">
        <f t="shared" si="14"/>
        <v>108000</v>
      </c>
      <c r="AP16" s="12">
        <f t="shared" si="14"/>
        <v>106000</v>
      </c>
      <c r="AQ16" s="12">
        <f t="shared" si="14"/>
        <v>104000</v>
      </c>
      <c r="AR16" s="12">
        <f t="shared" si="14"/>
        <v>102000</v>
      </c>
      <c r="AS16" s="10">
        <v>100000</v>
      </c>
    </row>
    <row r="17" spans="1:45" x14ac:dyDescent="0.2">
      <c r="A17" s="17" t="s">
        <v>38</v>
      </c>
      <c r="B17" s="8" t="s">
        <v>40</v>
      </c>
      <c r="C17" s="9" t="s">
        <v>41</v>
      </c>
      <c r="D17" s="8" t="s">
        <v>27</v>
      </c>
      <c r="E17" s="35">
        <v>95227.79</v>
      </c>
      <c r="F17" s="11">
        <v>101727.37</v>
      </c>
      <c r="G17" s="29">
        <v>101668.65</v>
      </c>
      <c r="H17" s="12">
        <f t="shared" si="7"/>
        <v>100112.43333333333</v>
      </c>
      <c r="I17" s="12">
        <f t="shared" si="7"/>
        <v>98556.216666666674</v>
      </c>
      <c r="J17" s="10">
        <v>97000</v>
      </c>
      <c r="K17" s="11">
        <f t="shared" si="8"/>
        <v>96600</v>
      </c>
      <c r="L17" s="12">
        <f t="shared" si="8"/>
        <v>96200</v>
      </c>
      <c r="M17" s="12">
        <f t="shared" si="8"/>
        <v>95800</v>
      </c>
      <c r="N17" s="12">
        <f t="shared" si="8"/>
        <v>95400</v>
      </c>
      <c r="O17" s="10">
        <v>95000</v>
      </c>
      <c r="P17" s="11">
        <f t="shared" si="9"/>
        <v>94400</v>
      </c>
      <c r="Q17" s="12">
        <f t="shared" si="9"/>
        <v>93800</v>
      </c>
      <c r="R17" s="12">
        <f t="shared" si="9"/>
        <v>93200</v>
      </c>
      <c r="S17" s="12">
        <f t="shared" si="9"/>
        <v>92600</v>
      </c>
      <c r="T17" s="10">
        <v>92000</v>
      </c>
      <c r="U17" s="11">
        <f t="shared" si="10"/>
        <v>91000</v>
      </c>
      <c r="V17" s="12">
        <f t="shared" si="10"/>
        <v>90000</v>
      </c>
      <c r="W17" s="12">
        <f t="shared" si="10"/>
        <v>89000</v>
      </c>
      <c r="X17" s="12">
        <f t="shared" si="10"/>
        <v>88000</v>
      </c>
      <c r="Y17" s="10">
        <v>87000</v>
      </c>
      <c r="Z17" s="11">
        <f t="shared" si="11"/>
        <v>85900</v>
      </c>
      <c r="AA17" s="12">
        <f t="shared" si="11"/>
        <v>84800</v>
      </c>
      <c r="AB17" s="12">
        <f t="shared" si="11"/>
        <v>83700</v>
      </c>
      <c r="AC17" s="12">
        <f t="shared" si="11"/>
        <v>82600</v>
      </c>
      <c r="AD17" s="10">
        <v>81500</v>
      </c>
      <c r="AE17" s="11">
        <f t="shared" si="12"/>
        <v>80600</v>
      </c>
      <c r="AF17" s="12">
        <f t="shared" si="12"/>
        <v>79700</v>
      </c>
      <c r="AG17" s="12">
        <f t="shared" si="12"/>
        <v>78800</v>
      </c>
      <c r="AH17" s="12">
        <f t="shared" si="12"/>
        <v>77900</v>
      </c>
      <c r="AI17" s="10">
        <v>77000</v>
      </c>
      <c r="AJ17" s="11">
        <f t="shared" si="13"/>
        <v>76400</v>
      </c>
      <c r="AK17" s="12">
        <f t="shared" si="13"/>
        <v>75800</v>
      </c>
      <c r="AL17" s="12">
        <f t="shared" si="13"/>
        <v>75200</v>
      </c>
      <c r="AM17" s="12">
        <f t="shared" si="13"/>
        <v>74600</v>
      </c>
      <c r="AN17" s="10">
        <v>74000</v>
      </c>
      <c r="AO17" s="11">
        <f t="shared" si="14"/>
        <v>73600</v>
      </c>
      <c r="AP17" s="12">
        <f t="shared" si="14"/>
        <v>73200</v>
      </c>
      <c r="AQ17" s="12">
        <f t="shared" si="14"/>
        <v>72800</v>
      </c>
      <c r="AR17" s="12">
        <f t="shared" si="14"/>
        <v>72400</v>
      </c>
      <c r="AS17" s="10">
        <v>72000</v>
      </c>
    </row>
    <row r="18" spans="1:45" x14ac:dyDescent="0.2">
      <c r="A18" s="18" t="s">
        <v>42</v>
      </c>
      <c r="B18" s="8" t="s">
        <v>43</v>
      </c>
      <c r="C18" s="9" t="s">
        <v>18</v>
      </c>
      <c r="D18" s="8" t="s">
        <v>27</v>
      </c>
      <c r="E18" s="35">
        <v>106476.68</v>
      </c>
      <c r="F18" s="11">
        <v>103524.26</v>
      </c>
      <c r="G18" s="29">
        <v>101795.9</v>
      </c>
      <c r="H18" s="12">
        <f t="shared" si="7"/>
        <v>102197.26666666666</v>
      </c>
      <c r="I18" s="12">
        <f t="shared" si="7"/>
        <v>102598.63333333333</v>
      </c>
      <c r="J18" s="10">
        <v>103000</v>
      </c>
      <c r="K18" s="11">
        <f t="shared" si="8"/>
        <v>102400</v>
      </c>
      <c r="L18" s="12">
        <f t="shared" si="8"/>
        <v>101800</v>
      </c>
      <c r="M18" s="12">
        <f t="shared" si="8"/>
        <v>101200</v>
      </c>
      <c r="N18" s="12">
        <f t="shared" si="8"/>
        <v>100600</v>
      </c>
      <c r="O18" s="10">
        <v>100000</v>
      </c>
      <c r="P18" s="11">
        <f t="shared" si="9"/>
        <v>98600</v>
      </c>
      <c r="Q18" s="12">
        <f t="shared" si="9"/>
        <v>97200</v>
      </c>
      <c r="R18" s="12">
        <f t="shared" si="9"/>
        <v>95800</v>
      </c>
      <c r="S18" s="12">
        <f t="shared" si="9"/>
        <v>94400</v>
      </c>
      <c r="T18" s="10">
        <v>93000</v>
      </c>
      <c r="U18" s="11">
        <f t="shared" si="10"/>
        <v>90600</v>
      </c>
      <c r="V18" s="12">
        <f t="shared" si="10"/>
        <v>88200</v>
      </c>
      <c r="W18" s="12">
        <f t="shared" si="10"/>
        <v>85800</v>
      </c>
      <c r="X18" s="12">
        <f t="shared" si="10"/>
        <v>83400</v>
      </c>
      <c r="Y18" s="10">
        <v>81000</v>
      </c>
      <c r="Z18" s="11">
        <f t="shared" si="11"/>
        <v>79200</v>
      </c>
      <c r="AA18" s="12">
        <f t="shared" si="11"/>
        <v>77400</v>
      </c>
      <c r="AB18" s="12">
        <f t="shared" si="11"/>
        <v>75600</v>
      </c>
      <c r="AC18" s="12">
        <f t="shared" si="11"/>
        <v>73800</v>
      </c>
      <c r="AD18" s="10">
        <v>72000</v>
      </c>
      <c r="AE18" s="11">
        <f t="shared" si="12"/>
        <v>70200</v>
      </c>
      <c r="AF18" s="12">
        <f t="shared" si="12"/>
        <v>68400</v>
      </c>
      <c r="AG18" s="12">
        <f t="shared" si="12"/>
        <v>66600</v>
      </c>
      <c r="AH18" s="12">
        <f t="shared" si="12"/>
        <v>64800</v>
      </c>
      <c r="AI18" s="10">
        <v>63000</v>
      </c>
      <c r="AJ18" s="11">
        <f t="shared" si="13"/>
        <v>62000</v>
      </c>
      <c r="AK18" s="12">
        <f t="shared" si="13"/>
        <v>61000</v>
      </c>
      <c r="AL18" s="12">
        <f t="shared" si="13"/>
        <v>60000</v>
      </c>
      <c r="AM18" s="12">
        <f t="shared" si="13"/>
        <v>59000</v>
      </c>
      <c r="AN18" s="10">
        <v>58000</v>
      </c>
      <c r="AO18" s="11">
        <f t="shared" si="14"/>
        <v>57600</v>
      </c>
      <c r="AP18" s="12">
        <f t="shared" si="14"/>
        <v>57200</v>
      </c>
      <c r="AQ18" s="12">
        <f t="shared" si="14"/>
        <v>56800</v>
      </c>
      <c r="AR18" s="12">
        <f t="shared" si="14"/>
        <v>56400</v>
      </c>
      <c r="AS18" s="10">
        <v>56000</v>
      </c>
    </row>
    <row r="19" spans="1:45" x14ac:dyDescent="0.2">
      <c r="A19" s="17" t="s">
        <v>44</v>
      </c>
      <c r="B19" s="8" t="s">
        <v>45</v>
      </c>
      <c r="C19" s="9" t="s">
        <v>18</v>
      </c>
      <c r="D19" s="8" t="s">
        <v>27</v>
      </c>
      <c r="E19" s="33">
        <v>3708.04</v>
      </c>
      <c r="F19" s="11">
        <v>3850.32</v>
      </c>
      <c r="G19" s="29">
        <v>4014.43</v>
      </c>
      <c r="H19" s="12">
        <f t="shared" si="7"/>
        <v>4109.62</v>
      </c>
      <c r="I19" s="12">
        <f t="shared" si="7"/>
        <v>4204.8099999999995</v>
      </c>
      <c r="J19" s="10">
        <v>4300</v>
      </c>
      <c r="K19" s="11">
        <f t="shared" ref="K19:N21" si="15">J19+($O19-$J19)/5</f>
        <v>4340</v>
      </c>
      <c r="L19" s="12">
        <f t="shared" si="15"/>
        <v>4380</v>
      </c>
      <c r="M19" s="12">
        <f t="shared" si="15"/>
        <v>4420</v>
      </c>
      <c r="N19" s="12">
        <f t="shared" si="15"/>
        <v>4460</v>
      </c>
      <c r="O19" s="10">
        <v>4500</v>
      </c>
      <c r="P19" s="11">
        <f t="shared" ref="P19:S21" si="16">O19+($T19-$O19)/5</f>
        <v>4470</v>
      </c>
      <c r="Q19" s="12">
        <f t="shared" si="16"/>
        <v>4440</v>
      </c>
      <c r="R19" s="12">
        <f t="shared" si="16"/>
        <v>4410</v>
      </c>
      <c r="S19" s="12">
        <f t="shared" si="16"/>
        <v>4380</v>
      </c>
      <c r="T19" s="10">
        <v>4350</v>
      </c>
      <c r="U19" s="11">
        <f t="shared" ref="U19:X21" si="17">T19+($Y19-$T19)/5</f>
        <v>4260</v>
      </c>
      <c r="V19" s="12">
        <f t="shared" si="17"/>
        <v>4170</v>
      </c>
      <c r="W19" s="12">
        <f t="shared" si="17"/>
        <v>4080</v>
      </c>
      <c r="X19" s="12">
        <f t="shared" si="17"/>
        <v>3990</v>
      </c>
      <c r="Y19" s="10">
        <v>3900</v>
      </c>
      <c r="Z19" s="11">
        <f t="shared" ref="Z19:AC21" si="18">Y19+($AD19-$Y19)/5</f>
        <v>3840</v>
      </c>
      <c r="AA19" s="12">
        <f t="shared" si="18"/>
        <v>3780</v>
      </c>
      <c r="AB19" s="12">
        <f t="shared" si="18"/>
        <v>3720</v>
      </c>
      <c r="AC19" s="12">
        <f t="shared" si="18"/>
        <v>3660</v>
      </c>
      <c r="AD19" s="10">
        <v>3600</v>
      </c>
      <c r="AE19" s="11">
        <f t="shared" ref="AE19:AH21" si="19">AD19+($AI19-$AD19)/5</f>
        <v>3560</v>
      </c>
      <c r="AF19" s="12">
        <f t="shared" si="19"/>
        <v>3520</v>
      </c>
      <c r="AG19" s="12">
        <f t="shared" si="19"/>
        <v>3480</v>
      </c>
      <c r="AH19" s="12">
        <f t="shared" si="19"/>
        <v>3440</v>
      </c>
      <c r="AI19" s="10">
        <v>3400</v>
      </c>
      <c r="AJ19" s="11">
        <f t="shared" ref="AJ19:AM21" si="20">AI19+($AN19-$AI19)/5</f>
        <v>3360</v>
      </c>
      <c r="AK19" s="12">
        <f t="shared" si="20"/>
        <v>3320</v>
      </c>
      <c r="AL19" s="12">
        <f t="shared" si="20"/>
        <v>3280</v>
      </c>
      <c r="AM19" s="12">
        <f t="shared" si="20"/>
        <v>3240</v>
      </c>
      <c r="AN19" s="10">
        <v>3200</v>
      </c>
      <c r="AO19" s="11">
        <f t="shared" ref="AO19:AR21" si="21">AN19+($AS19-$AN19)/5</f>
        <v>3180</v>
      </c>
      <c r="AP19" s="12">
        <f t="shared" si="21"/>
        <v>3160</v>
      </c>
      <c r="AQ19" s="12">
        <f t="shared" si="21"/>
        <v>3140</v>
      </c>
      <c r="AR19" s="12">
        <f t="shared" si="21"/>
        <v>3120</v>
      </c>
      <c r="AS19" s="10">
        <v>3100</v>
      </c>
    </row>
    <row r="20" spans="1:45" x14ac:dyDescent="0.2">
      <c r="A20" s="17" t="s">
        <v>44</v>
      </c>
      <c r="B20" s="39" t="s">
        <v>46</v>
      </c>
      <c r="C20" s="9" t="s">
        <v>18</v>
      </c>
      <c r="D20" s="8" t="s">
        <v>47</v>
      </c>
      <c r="E20" s="33">
        <v>1002.51</v>
      </c>
      <c r="F20" s="11">
        <v>1048.67</v>
      </c>
      <c r="G20" s="29">
        <v>1111.53</v>
      </c>
      <c r="H20" s="12">
        <f t="shared" si="7"/>
        <v>1257.6866666666667</v>
      </c>
      <c r="I20" s="12">
        <f t="shared" si="7"/>
        <v>1403.8433333333335</v>
      </c>
      <c r="J20" s="10">
        <v>1550</v>
      </c>
      <c r="K20" s="11">
        <f t="shared" si="15"/>
        <v>1600</v>
      </c>
      <c r="L20" s="12">
        <f t="shared" si="15"/>
        <v>1650</v>
      </c>
      <c r="M20" s="12">
        <f t="shared" si="15"/>
        <v>1700</v>
      </c>
      <c r="N20" s="12">
        <f t="shared" si="15"/>
        <v>1750</v>
      </c>
      <c r="O20" s="10">
        <v>1800</v>
      </c>
      <c r="P20" s="11">
        <f t="shared" si="16"/>
        <v>1830</v>
      </c>
      <c r="Q20" s="12">
        <f t="shared" si="16"/>
        <v>1860</v>
      </c>
      <c r="R20" s="12">
        <f t="shared" si="16"/>
        <v>1890</v>
      </c>
      <c r="S20" s="12">
        <f t="shared" si="16"/>
        <v>1920</v>
      </c>
      <c r="T20" s="10">
        <v>1950</v>
      </c>
      <c r="U20" s="11">
        <f t="shared" si="17"/>
        <v>1976</v>
      </c>
      <c r="V20" s="12">
        <f t="shared" si="17"/>
        <v>2002</v>
      </c>
      <c r="W20" s="12">
        <f t="shared" si="17"/>
        <v>2028</v>
      </c>
      <c r="X20" s="12">
        <f t="shared" si="17"/>
        <v>2054</v>
      </c>
      <c r="Y20" s="10">
        <v>2080</v>
      </c>
      <c r="Z20" s="11">
        <f t="shared" si="18"/>
        <v>2094</v>
      </c>
      <c r="AA20" s="12">
        <f t="shared" si="18"/>
        <v>2108</v>
      </c>
      <c r="AB20" s="12">
        <f t="shared" si="18"/>
        <v>2122</v>
      </c>
      <c r="AC20" s="12">
        <f t="shared" si="18"/>
        <v>2136</v>
      </c>
      <c r="AD20" s="10">
        <v>2150</v>
      </c>
      <c r="AE20" s="11">
        <f t="shared" si="19"/>
        <v>2160</v>
      </c>
      <c r="AF20" s="12">
        <f t="shared" si="19"/>
        <v>2170</v>
      </c>
      <c r="AG20" s="12">
        <f t="shared" si="19"/>
        <v>2180</v>
      </c>
      <c r="AH20" s="12">
        <f t="shared" si="19"/>
        <v>2190</v>
      </c>
      <c r="AI20" s="10">
        <v>2200</v>
      </c>
      <c r="AJ20" s="11">
        <f t="shared" si="20"/>
        <v>2210</v>
      </c>
      <c r="AK20" s="12">
        <f t="shared" si="20"/>
        <v>2220</v>
      </c>
      <c r="AL20" s="12">
        <f t="shared" si="20"/>
        <v>2230</v>
      </c>
      <c r="AM20" s="12">
        <f t="shared" si="20"/>
        <v>2240</v>
      </c>
      <c r="AN20" s="10">
        <v>2250</v>
      </c>
      <c r="AO20" s="11">
        <f t="shared" si="21"/>
        <v>2254</v>
      </c>
      <c r="AP20" s="12">
        <f t="shared" si="21"/>
        <v>2258</v>
      </c>
      <c r="AQ20" s="12">
        <f t="shared" si="21"/>
        <v>2262</v>
      </c>
      <c r="AR20" s="12">
        <f t="shared" si="21"/>
        <v>2266</v>
      </c>
      <c r="AS20" s="10">
        <v>2270</v>
      </c>
    </row>
    <row r="21" spans="1:45" x14ac:dyDescent="0.2">
      <c r="A21" s="20" t="s">
        <v>48</v>
      </c>
      <c r="B21" s="21" t="s">
        <v>49</v>
      </c>
      <c r="C21" s="22" t="s">
        <v>50</v>
      </c>
      <c r="D21" s="21" t="s">
        <v>51</v>
      </c>
      <c r="E21" s="36">
        <v>2532.4899999999998</v>
      </c>
      <c r="F21" s="24">
        <v>2625.7</v>
      </c>
      <c r="G21" s="30">
        <v>2713.63</v>
      </c>
      <c r="H21" s="25">
        <f t="shared" si="7"/>
        <v>2948.7071666666666</v>
      </c>
      <c r="I21" s="25">
        <f t="shared" si="7"/>
        <v>3183.7843333333331</v>
      </c>
      <c r="J21" s="23">
        <f>E21*(2700/2000)</f>
        <v>3418.8615</v>
      </c>
      <c r="K21" s="24">
        <f t="shared" si="15"/>
        <v>3520.1610999999998</v>
      </c>
      <c r="L21" s="25">
        <f t="shared" si="15"/>
        <v>3621.4606999999996</v>
      </c>
      <c r="M21" s="25">
        <f t="shared" si="15"/>
        <v>3722.7602999999995</v>
      </c>
      <c r="N21" s="25">
        <f t="shared" si="15"/>
        <v>3824.0598999999993</v>
      </c>
      <c r="O21" s="23">
        <f>J21*(3100/2700)</f>
        <v>3925.3595</v>
      </c>
      <c r="P21" s="24">
        <f t="shared" si="16"/>
        <v>3976.0092999999997</v>
      </c>
      <c r="Q21" s="25">
        <f t="shared" si="16"/>
        <v>4026.6590999999994</v>
      </c>
      <c r="R21" s="25">
        <f t="shared" si="16"/>
        <v>4077.3088999999991</v>
      </c>
      <c r="S21" s="25">
        <f t="shared" si="16"/>
        <v>4127.9586999999992</v>
      </c>
      <c r="T21" s="23">
        <f>O21*(3300/3100)</f>
        <v>4178.6084999999994</v>
      </c>
      <c r="U21" s="24">
        <f t="shared" si="17"/>
        <v>4165.9460499999996</v>
      </c>
      <c r="V21" s="25">
        <f t="shared" si="17"/>
        <v>4153.2835999999998</v>
      </c>
      <c r="W21" s="25">
        <f t="shared" si="17"/>
        <v>4140.6211499999999</v>
      </c>
      <c r="X21" s="25">
        <f t="shared" si="17"/>
        <v>4127.9587000000001</v>
      </c>
      <c r="Y21" s="23">
        <f>T21*(3250/3300)</f>
        <v>4115.2962499999994</v>
      </c>
      <c r="Z21" s="24">
        <f t="shared" si="18"/>
        <v>4102.6337999999996</v>
      </c>
      <c r="AA21" s="25">
        <f t="shared" si="18"/>
        <v>4089.9713499999998</v>
      </c>
      <c r="AB21" s="25">
        <f t="shared" si="18"/>
        <v>4077.3089</v>
      </c>
      <c r="AC21" s="25">
        <f t="shared" si="18"/>
        <v>4064.6464500000002</v>
      </c>
      <c r="AD21" s="23">
        <f>Y21*(3200/3250)</f>
        <v>4051.9839999999995</v>
      </c>
      <c r="AE21" s="24">
        <f t="shared" si="19"/>
        <v>4039.3215499999997</v>
      </c>
      <c r="AF21" s="25">
        <f t="shared" si="19"/>
        <v>4026.6590999999999</v>
      </c>
      <c r="AG21" s="25">
        <f t="shared" si="19"/>
        <v>4013.99665</v>
      </c>
      <c r="AH21" s="25">
        <f t="shared" si="19"/>
        <v>4001.3342000000002</v>
      </c>
      <c r="AI21" s="23">
        <f>AD21*(3150/3200)</f>
        <v>3988.6717499999995</v>
      </c>
      <c r="AJ21" s="24">
        <f t="shared" si="20"/>
        <v>3983.6067699999994</v>
      </c>
      <c r="AK21" s="25">
        <f t="shared" si="20"/>
        <v>3978.5417899999993</v>
      </c>
      <c r="AL21" s="25">
        <f t="shared" si="20"/>
        <v>3973.4768099999992</v>
      </c>
      <c r="AM21" s="25">
        <f t="shared" si="20"/>
        <v>3968.4118299999991</v>
      </c>
      <c r="AN21" s="23">
        <f>AI21*(3130/3150)</f>
        <v>3963.3468499999994</v>
      </c>
      <c r="AO21" s="24">
        <f t="shared" si="21"/>
        <v>3955.7493799999993</v>
      </c>
      <c r="AP21" s="25">
        <f t="shared" si="21"/>
        <v>3948.1519099999991</v>
      </c>
      <c r="AQ21" s="25">
        <f t="shared" si="21"/>
        <v>3940.554439999999</v>
      </c>
      <c r="AR21" s="25">
        <f t="shared" si="21"/>
        <v>3932.9569699999988</v>
      </c>
      <c r="AS21" s="23">
        <f>AN21*(3100/3130)</f>
        <v>3925.3594999999996</v>
      </c>
    </row>
    <row r="34" spans="11:11" x14ac:dyDescent="0.2">
      <c r="K34" t="s">
        <v>52</v>
      </c>
    </row>
  </sheetData>
  <phoneticPr fontId="3" type="noConversion"/>
  <hyperlinks>
    <hyperlink ref="D8" r:id="rId1" display="https://www.sohu.com/a/716515038_121388092" xr:uid="{9744F58D-3E20-419C-9852-6F9FCA0CF2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1286-3949-44B6-854C-DDC05655524D}">
  <dimension ref="A1:AS21"/>
  <sheetViews>
    <sheetView workbookViewId="0">
      <selection sqref="A1:AS21"/>
    </sheetView>
  </sheetViews>
  <sheetFormatPr defaultRowHeight="13.5" x14ac:dyDescent="0.15"/>
  <cols>
    <col min="1" max="1" width="21.875" style="40" customWidth="1"/>
    <col min="2" max="3" width="10.375" style="40" customWidth="1"/>
    <col min="4" max="4" width="23.625" style="40" customWidth="1"/>
    <col min="5" max="45" width="11.625" style="40" bestFit="1" customWidth="1"/>
    <col min="46" max="16384" width="9" style="40"/>
  </cols>
  <sheetData>
    <row r="1" spans="1:45" x14ac:dyDescent="0.15">
      <c r="A1" s="1" t="s">
        <v>0</v>
      </c>
      <c r="B1" s="1" t="s">
        <v>1</v>
      </c>
      <c r="C1" s="2" t="s">
        <v>2</v>
      </c>
      <c r="D1" s="1" t="s">
        <v>3</v>
      </c>
      <c r="E1" s="41">
        <v>2020</v>
      </c>
      <c r="F1" s="42">
        <v>2021</v>
      </c>
      <c r="G1" s="42">
        <v>2022</v>
      </c>
      <c r="H1" s="42">
        <v>2023</v>
      </c>
      <c r="I1" s="42">
        <v>2024</v>
      </c>
      <c r="J1" s="42">
        <v>2025</v>
      </c>
      <c r="K1" s="42">
        <v>2026</v>
      </c>
      <c r="L1" s="42">
        <v>2027</v>
      </c>
      <c r="M1" s="42">
        <v>2028</v>
      </c>
      <c r="N1" s="42">
        <v>2029</v>
      </c>
      <c r="O1" s="42">
        <v>2030</v>
      </c>
      <c r="P1" s="42">
        <v>2031</v>
      </c>
      <c r="Q1" s="42">
        <v>2032</v>
      </c>
      <c r="R1" s="42">
        <v>2033</v>
      </c>
      <c r="S1" s="42">
        <v>2034</v>
      </c>
      <c r="T1" s="42">
        <v>2035</v>
      </c>
      <c r="U1" s="42">
        <v>2036</v>
      </c>
      <c r="V1" s="42">
        <v>2037</v>
      </c>
      <c r="W1" s="42">
        <v>2038</v>
      </c>
      <c r="X1" s="42">
        <v>2039</v>
      </c>
      <c r="Y1" s="42">
        <v>2040</v>
      </c>
      <c r="Z1" s="42">
        <v>2041</v>
      </c>
      <c r="AA1" s="42">
        <v>2042</v>
      </c>
      <c r="AB1" s="42">
        <v>2043</v>
      </c>
      <c r="AC1" s="42">
        <v>2044</v>
      </c>
      <c r="AD1" s="42">
        <v>2045</v>
      </c>
      <c r="AE1" s="42">
        <v>2046</v>
      </c>
      <c r="AF1" s="42">
        <v>2047</v>
      </c>
      <c r="AG1" s="42">
        <v>2048</v>
      </c>
      <c r="AH1" s="42">
        <v>2049</v>
      </c>
      <c r="AI1" s="42">
        <v>2050</v>
      </c>
      <c r="AJ1" s="42">
        <v>2051</v>
      </c>
      <c r="AK1" s="42">
        <v>2052</v>
      </c>
      <c r="AL1" s="42">
        <v>2053</v>
      </c>
      <c r="AM1" s="42">
        <v>2054</v>
      </c>
      <c r="AN1" s="42">
        <v>2055</v>
      </c>
      <c r="AO1" s="42">
        <v>2056</v>
      </c>
      <c r="AP1" s="42">
        <v>2057</v>
      </c>
      <c r="AQ1" s="42">
        <v>2058</v>
      </c>
      <c r="AR1" s="42">
        <v>2059</v>
      </c>
      <c r="AS1" s="43">
        <v>2060</v>
      </c>
    </row>
    <row r="2" spans="1:45" x14ac:dyDescent="0.15">
      <c r="A2" s="7" t="s">
        <v>4</v>
      </c>
      <c r="B2" s="8" t="s">
        <v>5</v>
      </c>
      <c r="C2" s="9" t="s">
        <v>6</v>
      </c>
      <c r="D2" s="8" t="s">
        <v>7</v>
      </c>
      <c r="E2" s="45">
        <f>高情景!E2*0.5+低情景!E2*0.5</f>
        <v>39.020000000000003</v>
      </c>
      <c r="F2" s="46">
        <f>高情景!F2*0.5+低情景!F2*0.5</f>
        <v>41.26</v>
      </c>
      <c r="G2" s="46">
        <f>高情景!G2*0.5+低情景!G2*0.5</f>
        <v>45.59</v>
      </c>
      <c r="H2" s="46">
        <f>高情景!H2*0.5+低情景!H2*0.5</f>
        <v>46.393333333333338</v>
      </c>
      <c r="I2" s="46">
        <f>高情景!I2*0.45+低情景!I2*0.55</f>
        <v>47.196666666666673</v>
      </c>
      <c r="J2" s="46">
        <f>高情景!J2*0.37+低情景!J2*0.63</f>
        <v>48</v>
      </c>
      <c r="K2" s="46">
        <f>高情景!K2*0.7+低情景!K2*0.3</f>
        <v>47.24</v>
      </c>
      <c r="L2" s="46">
        <f>高情景!L2*0.8+低情景!L2*0.2</f>
        <v>46.720000000000006</v>
      </c>
      <c r="M2" s="46">
        <f>高情景!M2*0.65+低情景!M2*0.35</f>
        <v>45.540000000000006</v>
      </c>
      <c r="N2" s="46">
        <f>高情景!N2*0.55+低情景!N2*0.45</f>
        <v>44.240000000000009</v>
      </c>
      <c r="O2" s="46">
        <f>高情景!O2*0.5+低情景!O2*0.5</f>
        <v>43</v>
      </c>
      <c r="P2" s="46">
        <f>(高情景!P2+低情景!P2)/2</f>
        <v>41.693137254901956</v>
      </c>
      <c r="Q2" s="46">
        <f>(高情景!Q2+低情景!Q2)/2</f>
        <v>40.386274509803918</v>
      </c>
      <c r="R2" s="46">
        <f>(高情景!R2+低情景!R2)/2</f>
        <v>39.079411764705881</v>
      </c>
      <c r="S2" s="46">
        <f>(高情景!S2+低情景!S2)/2</f>
        <v>37.772549019607837</v>
      </c>
      <c r="T2" s="46">
        <f>(高情景!T2+低情景!T2)/2</f>
        <v>36.465686274509807</v>
      </c>
      <c r="U2" s="46">
        <f>(高情景!U2+低情景!U2)/2</f>
        <v>35.095588235294116</v>
      </c>
      <c r="V2" s="46">
        <f>(高情景!V2+低情景!V2)/2</f>
        <v>33.725490196078432</v>
      </c>
      <c r="W2" s="46">
        <f>(高情景!W2+低情景!W2)/2</f>
        <v>32.355392156862749</v>
      </c>
      <c r="X2" s="46">
        <f>(高情景!X2+低情景!X2)/2</f>
        <v>30.985294117647058</v>
      </c>
      <c r="Y2" s="46">
        <f>(高情景!Y2+低情景!Y2)/2</f>
        <v>29.615196078431374</v>
      </c>
      <c r="Z2" s="46">
        <f>(高情景!Z2+低情景!Z2)/2</f>
        <v>28.181862745098037</v>
      </c>
      <c r="AA2" s="46">
        <f>(高情景!AA2+低情景!AA2)/2</f>
        <v>26.748529411764707</v>
      </c>
      <c r="AB2" s="46">
        <f>(高情景!AB2+低情景!AB2)/2</f>
        <v>25.31519607843137</v>
      </c>
      <c r="AC2" s="46">
        <f>(高情景!AC2+低情景!AC2)/2</f>
        <v>23.88186274509804</v>
      </c>
      <c r="AD2" s="46">
        <f>(高情景!AD2+低情景!AD2)/2</f>
        <v>22.448529411764703</v>
      </c>
      <c r="AE2" s="46">
        <f>(高情景!AE2+低情景!AE2)/2</f>
        <v>20.930882352941175</v>
      </c>
      <c r="AF2" s="46">
        <f>(高情景!AF2+低情景!AF2)/2</f>
        <v>19.413235294117648</v>
      </c>
      <c r="AG2" s="46">
        <f>(高情景!AG2+低情景!AG2)/2</f>
        <v>17.895588235294117</v>
      </c>
      <c r="AH2" s="46">
        <f>(高情景!AH2+低情景!AH2)/2</f>
        <v>16.377941176470586</v>
      </c>
      <c r="AI2" s="46">
        <f>(高情景!AI2+低情景!AI2)/2</f>
        <v>14.860294117647058</v>
      </c>
      <c r="AJ2" s="46">
        <f>(高情景!AJ2+低情景!AJ2)/2</f>
        <v>13.679901960784314</v>
      </c>
      <c r="AK2" s="46">
        <f>(高情景!AK2+低情景!AK2)/2</f>
        <v>12.499509803921569</v>
      </c>
      <c r="AL2" s="46">
        <f>(高情景!AL2+低情景!AL2)/2</f>
        <v>11.319117647058823</v>
      </c>
      <c r="AM2" s="46">
        <f>(高情景!AM2+低情景!AM2)/2</f>
        <v>10.138725490196077</v>
      </c>
      <c r="AN2" s="46">
        <f>(高情景!AN2+低情景!AN2)/2</f>
        <v>8.9583333333333321</v>
      </c>
      <c r="AO2" s="46">
        <f>(高情景!AO2+低情景!AO2)/2</f>
        <v>7.9676470588235286</v>
      </c>
      <c r="AP2" s="46">
        <f>(高情景!AP2+低情景!AP2)/2</f>
        <v>6.9769607843137242</v>
      </c>
      <c r="AQ2" s="46">
        <f>(高情景!AQ2+低情景!AQ2)/2</f>
        <v>5.9862745098039198</v>
      </c>
      <c r="AR2" s="46">
        <f>(高情景!AR2+低情景!AR2)/2</f>
        <v>4.9955882352941154</v>
      </c>
      <c r="AS2" s="47">
        <f>(高情景!AS2+低情景!AS2)/2</f>
        <v>4.0049019607843128</v>
      </c>
    </row>
    <row r="3" spans="1:45" x14ac:dyDescent="0.15">
      <c r="A3" s="17" t="s">
        <v>8</v>
      </c>
      <c r="B3" s="8" t="s">
        <v>9</v>
      </c>
      <c r="C3" s="9" t="s">
        <v>6</v>
      </c>
      <c r="D3" s="8" t="s">
        <v>10</v>
      </c>
      <c r="E3" s="48">
        <f>高情景!E3*0.5+低情景!E3*0.5</f>
        <v>1.9477</v>
      </c>
      <c r="F3" s="49">
        <f>高情景!F3*0.5+低情景!F3*0.5</f>
        <v>1.9887999999999999</v>
      </c>
      <c r="G3" s="49">
        <f>高情景!G3*0.5+低情景!G3*0.5</f>
        <v>2.0472000000000001</v>
      </c>
      <c r="H3" s="49">
        <f>高情景!H3*0.5+低情景!H3*0.5</f>
        <v>2.0781333333333336</v>
      </c>
      <c r="I3" s="49">
        <f>高情景!I3*0.45+低情景!I3*0.55</f>
        <v>2.1090666666666671</v>
      </c>
      <c r="J3" s="49">
        <f>高情景!J3*0.37+低情景!J3*0.63</f>
        <v>2.14</v>
      </c>
      <c r="K3" s="49">
        <f>高情景!K3*0.7+低情景!K3*0.3</f>
        <v>2.1459999999999999</v>
      </c>
      <c r="L3" s="49">
        <f>高情景!L3*0.8+低情景!L3*0.2</f>
        <v>2.1519999999999997</v>
      </c>
      <c r="M3" s="49">
        <f>高情景!M3*0.65+低情景!M3*0.35</f>
        <v>2.1579999999999995</v>
      </c>
      <c r="N3" s="49">
        <f>高情景!N3*0.55+低情景!N3*0.45</f>
        <v>2.1639999999999993</v>
      </c>
      <c r="O3" s="49">
        <f>高情景!O3*0.5+低情景!O3*0.5</f>
        <v>2.17</v>
      </c>
      <c r="P3" s="49">
        <f>(高情景!P3+低情景!P3)/2</f>
        <v>2.1560000000000001</v>
      </c>
      <c r="Q3" s="49">
        <f>(高情景!Q3+低情景!Q3)/2</f>
        <v>2.1420000000000003</v>
      </c>
      <c r="R3" s="49">
        <f>(高情景!R3+低情景!R3)/2</f>
        <v>2.1280000000000006</v>
      </c>
      <c r="S3" s="49">
        <f>(高情景!S3+低情景!S3)/2</f>
        <v>2.1140000000000008</v>
      </c>
      <c r="T3" s="49">
        <f>(高情景!T3+低情景!T3)/2</f>
        <v>2.1</v>
      </c>
      <c r="U3" s="49">
        <f>(高情景!U3+低情景!U3)/2</f>
        <v>2.08</v>
      </c>
      <c r="V3" s="49">
        <f>(高情景!V3+低情景!V3)/2</f>
        <v>2.06</v>
      </c>
      <c r="W3" s="49">
        <f>(高情景!W3+低情景!W3)/2</f>
        <v>2.04</v>
      </c>
      <c r="X3" s="49">
        <f>(高情景!X3+低情景!X3)/2</f>
        <v>2.02</v>
      </c>
      <c r="Y3" s="49">
        <f>(高情景!Y3+低情景!Y3)/2</f>
        <v>2</v>
      </c>
      <c r="Z3" s="49">
        <f>(高情景!Z3+低情景!Z3)/2</f>
        <v>1.98</v>
      </c>
      <c r="AA3" s="49">
        <f>(高情景!AA3+低情景!AA3)/2</f>
        <v>1.96</v>
      </c>
      <c r="AB3" s="49">
        <f>(高情景!AB3+低情景!AB3)/2</f>
        <v>1.94</v>
      </c>
      <c r="AC3" s="49">
        <f>(高情景!AC3+低情景!AC3)/2</f>
        <v>1.92</v>
      </c>
      <c r="AD3" s="49">
        <f>(高情景!AD3+低情景!AD3)/2</f>
        <v>1.9</v>
      </c>
      <c r="AE3" s="49">
        <f>(高情景!AE3+低情景!AE3)/2</f>
        <v>1.8839999999999999</v>
      </c>
      <c r="AF3" s="49">
        <f>(高情景!AF3+低情景!AF3)/2</f>
        <v>1.8679999999999999</v>
      </c>
      <c r="AG3" s="49">
        <f>(高情景!AG3+低情景!AG3)/2</f>
        <v>1.8519999999999999</v>
      </c>
      <c r="AH3" s="49">
        <f>(高情景!AH3+低情景!AH3)/2</f>
        <v>1.8359999999999999</v>
      </c>
      <c r="AI3" s="49">
        <f>(高情景!AI3+低情景!AI3)/2</f>
        <v>1.82</v>
      </c>
      <c r="AJ3" s="49">
        <f>(高情景!AJ3+低情景!AJ3)/2</f>
        <v>1.806</v>
      </c>
      <c r="AK3" s="49">
        <f>(高情景!AK3+低情景!AK3)/2</f>
        <v>1.792</v>
      </c>
      <c r="AL3" s="49">
        <f>(高情景!AL3+低情景!AL3)/2</f>
        <v>1.778</v>
      </c>
      <c r="AM3" s="49">
        <f>(高情景!AM3+低情景!AM3)/2</f>
        <v>1.764</v>
      </c>
      <c r="AN3" s="49">
        <f>(高情景!AN3+低情景!AN3)/2</f>
        <v>1.75</v>
      </c>
      <c r="AO3" s="49">
        <f>(高情景!AO3+低情景!AO3)/2</f>
        <v>1.74</v>
      </c>
      <c r="AP3" s="49">
        <f>(高情景!AP3+低情景!AP3)/2</f>
        <v>1.73</v>
      </c>
      <c r="AQ3" s="49">
        <f>(高情景!AQ3+低情景!AQ3)/2</f>
        <v>1.72</v>
      </c>
      <c r="AR3" s="49">
        <f>(高情景!AR3+低情景!AR3)/2</f>
        <v>1.71</v>
      </c>
      <c r="AS3" s="50">
        <f>(高情景!AS3+低情景!AS3)/2</f>
        <v>1.7</v>
      </c>
    </row>
    <row r="4" spans="1:45" x14ac:dyDescent="0.15">
      <c r="A4" s="17" t="s">
        <v>8</v>
      </c>
      <c r="B4" s="8" t="s">
        <v>11</v>
      </c>
      <c r="C4" s="9" t="s">
        <v>12</v>
      </c>
      <c r="D4" s="8" t="s">
        <v>10</v>
      </c>
      <c r="E4" s="48">
        <f>高情景!E4*0.5+低情景!E4*0.5</f>
        <v>1924.95</v>
      </c>
      <c r="F4" s="49">
        <f>高情景!F4*0.5+低情景!F4*0.5</f>
        <v>2075.84</v>
      </c>
      <c r="G4" s="49">
        <f>高情景!G4*0.5+低情景!G4*0.5</f>
        <v>2201.1</v>
      </c>
      <c r="H4" s="49">
        <f>高情景!H4*0.5+低情景!H4*0.5</f>
        <v>2298.4</v>
      </c>
      <c r="I4" s="49">
        <f>高情景!I4*0.45+低情景!I4*0.55</f>
        <v>2395.7000000000003</v>
      </c>
      <c r="J4" s="49">
        <f>高情景!J4*0.37+低情景!J4*0.63</f>
        <v>2493</v>
      </c>
      <c r="K4" s="49">
        <f>高情景!K4*0.7+低情景!K4*0.3</f>
        <v>2554.4</v>
      </c>
      <c r="L4" s="49">
        <f>高情景!L4*0.8+低情景!L4*0.2</f>
        <v>2615.8000000000002</v>
      </c>
      <c r="M4" s="49">
        <f>高情景!M4*0.65+低情景!M4*0.35</f>
        <v>2677.2000000000003</v>
      </c>
      <c r="N4" s="49">
        <f>高情景!N4*0.55+低情景!N4*0.45</f>
        <v>2738.6000000000004</v>
      </c>
      <c r="O4" s="49">
        <f>高情景!O4*0.5+低情景!O4*0.5</f>
        <v>2800</v>
      </c>
      <c r="P4" s="49">
        <f>(高情景!P4+低情景!P4)/2</f>
        <v>2840</v>
      </c>
      <c r="Q4" s="49">
        <f>(高情景!Q4+低情景!Q4)/2</f>
        <v>2880</v>
      </c>
      <c r="R4" s="49">
        <f>(高情景!R4+低情景!R4)/2</f>
        <v>2920</v>
      </c>
      <c r="S4" s="49">
        <f>(高情景!S4+低情景!S4)/2</f>
        <v>2960</v>
      </c>
      <c r="T4" s="49">
        <f>(高情景!T4+低情景!T4)/2</f>
        <v>3000</v>
      </c>
      <c r="U4" s="49">
        <f>(高情景!U4+低情景!U4)/2</f>
        <v>3040</v>
      </c>
      <c r="V4" s="49">
        <f>(高情景!V4+低情景!V4)/2</f>
        <v>3080</v>
      </c>
      <c r="W4" s="49">
        <f>(高情景!W4+低情景!W4)/2</f>
        <v>3120</v>
      </c>
      <c r="X4" s="49">
        <f>(高情景!X4+低情景!X4)/2</f>
        <v>3160</v>
      </c>
      <c r="Y4" s="49">
        <f>(高情景!Y4+低情景!Y4)/2</f>
        <v>3200</v>
      </c>
      <c r="Z4" s="49">
        <f>(高情景!Z4+低情景!Z4)/2</f>
        <v>3220</v>
      </c>
      <c r="AA4" s="49">
        <f>(高情景!AA4+低情景!AA4)/2</f>
        <v>3240</v>
      </c>
      <c r="AB4" s="49">
        <f>(高情景!AB4+低情景!AB4)/2</f>
        <v>3260</v>
      </c>
      <c r="AC4" s="49">
        <f>(高情景!AC4+低情景!AC4)/2</f>
        <v>3280</v>
      </c>
      <c r="AD4" s="49">
        <f>(高情景!AD4+低情景!AD4)/2</f>
        <v>3300</v>
      </c>
      <c r="AE4" s="49">
        <f>(高情景!AE4+低情景!AE4)/2</f>
        <v>3320</v>
      </c>
      <c r="AF4" s="49">
        <f>(高情景!AF4+低情景!AF4)/2</f>
        <v>3340</v>
      </c>
      <c r="AG4" s="49">
        <f>(高情景!AG4+低情景!AG4)/2</f>
        <v>3360</v>
      </c>
      <c r="AH4" s="49">
        <f>(高情景!AH4+低情景!AH4)/2</f>
        <v>3380</v>
      </c>
      <c r="AI4" s="49">
        <f>(高情景!AI4+低情景!AI4)/2</f>
        <v>3400</v>
      </c>
      <c r="AJ4" s="49">
        <f>(高情景!AJ4+低情景!AJ4)/2</f>
        <v>3420</v>
      </c>
      <c r="AK4" s="49">
        <f>(高情景!AK4+低情景!AK4)/2</f>
        <v>3440</v>
      </c>
      <c r="AL4" s="49">
        <f>(高情景!AL4+低情景!AL4)/2</f>
        <v>3460</v>
      </c>
      <c r="AM4" s="49">
        <f>(高情景!AM4+低情景!AM4)/2</f>
        <v>3480</v>
      </c>
      <c r="AN4" s="49">
        <f>(高情景!AN4+低情景!AN4)/2</f>
        <v>3500</v>
      </c>
      <c r="AO4" s="49">
        <f>(高情景!AO4+低情景!AO4)/2</f>
        <v>3500</v>
      </c>
      <c r="AP4" s="49">
        <f>(高情景!AP4+低情景!AP4)/2</f>
        <v>3500</v>
      </c>
      <c r="AQ4" s="49">
        <f>(高情景!AQ4+低情景!AQ4)/2</f>
        <v>3500</v>
      </c>
      <c r="AR4" s="49">
        <f>(高情景!AR4+低情景!AR4)/2</f>
        <v>3500</v>
      </c>
      <c r="AS4" s="50">
        <f>(高情景!AS4+低情景!AS4)/2</f>
        <v>3500</v>
      </c>
    </row>
    <row r="5" spans="1:45" x14ac:dyDescent="0.15">
      <c r="A5" s="18" t="s">
        <v>13</v>
      </c>
      <c r="B5" s="8" t="s">
        <v>14</v>
      </c>
      <c r="C5" s="9" t="s">
        <v>6</v>
      </c>
      <c r="D5" s="8" t="s">
        <v>15</v>
      </c>
      <c r="E5" s="48">
        <f>高情景!E5*0.5+低情景!E5*0.5</f>
        <v>8.6671999999999993</v>
      </c>
      <c r="F5" s="49">
        <f>高情景!F5*0.5+低情景!F5*0.5</f>
        <v>9.8053000000000008</v>
      </c>
      <c r="G5" s="49">
        <f>高情景!G5*0.5+低情景!G5*0.5</f>
        <v>9.6786999999999992</v>
      </c>
      <c r="H5" s="49">
        <f>高情景!H5*0.5+低情景!H5*0.5</f>
        <v>9.7027297508380315</v>
      </c>
      <c r="I5" s="49">
        <f>高情景!I5*0.45+低情景!I5*0.55</f>
        <v>9.619131287208031</v>
      </c>
      <c r="J5" s="49">
        <f>高情景!J5*0.37+低情景!J5*0.63</f>
        <v>9.6733850577479039</v>
      </c>
      <c r="K5" s="49">
        <f>高情景!K5*0.7+低情景!K5*0.3</f>
        <v>9.6448612173967696</v>
      </c>
      <c r="L5" s="49">
        <f>高情景!L5*0.8+低情景!L5*0.2</f>
        <v>9.5954198941214699</v>
      </c>
      <c r="M5" s="49">
        <f>高情景!M5*0.65+低情景!M5*0.35</f>
        <v>9.4356863881551192</v>
      </c>
      <c r="N5" s="49">
        <f>高情景!N5*0.55+低情景!N5*0.45</f>
        <v>9.2740512928320271</v>
      </c>
      <c r="O5" s="49">
        <f>高情景!O5*0.5+低情景!O5*0.5</f>
        <v>9.1276289123628747</v>
      </c>
      <c r="P5" s="49">
        <f>(高情景!P5+低情景!P5)/2</f>
        <v>8.9755017638234946</v>
      </c>
      <c r="Q5" s="49">
        <f>(高情景!Q5+低情景!Q5)/2</f>
        <v>8.8233746152841128</v>
      </c>
      <c r="R5" s="49">
        <f>(高情景!R5+低情景!R5)/2</f>
        <v>8.671247466744731</v>
      </c>
      <c r="S5" s="49">
        <f>(高情景!S5+低情景!S5)/2</f>
        <v>8.519120318205351</v>
      </c>
      <c r="T5" s="49">
        <f>(高情景!T5+低情景!T5)/2</f>
        <v>8.3669931696659692</v>
      </c>
      <c r="U5" s="49">
        <f>(高情景!U5+低情景!U5)/2</f>
        <v>8.1673262872080308</v>
      </c>
      <c r="V5" s="49">
        <f>(高情景!V5+低情景!V5)/2</f>
        <v>7.9676594047500924</v>
      </c>
      <c r="W5" s="49">
        <f>(高情景!W5+低情景!W5)/2</f>
        <v>7.7679925222921558</v>
      </c>
      <c r="X5" s="49">
        <f>(高情景!X5+低情景!X5)/2</f>
        <v>7.5683256398342174</v>
      </c>
      <c r="Y5" s="49">
        <f>(高情景!Y5+低情景!Y5)/2</f>
        <v>7.368658757376279</v>
      </c>
      <c r="Z5" s="49">
        <f>(高情景!Z5+低情景!Z5)/2</f>
        <v>7.2070236620531869</v>
      </c>
      <c r="AA5" s="49">
        <f>(高情景!AA5+低情景!AA5)/2</f>
        <v>7.0453885667300948</v>
      </c>
      <c r="AB5" s="49">
        <f>(高情景!AB5+低情景!AB5)/2</f>
        <v>6.8837534714070019</v>
      </c>
      <c r="AC5" s="49">
        <f>(高情景!AC5+低情景!AC5)/2</f>
        <v>6.7221183760839089</v>
      </c>
      <c r="AD5" s="49">
        <f>(高情景!AD5+低情景!AD5)/2</f>
        <v>6.5604832807608169</v>
      </c>
      <c r="AE5" s="49">
        <f>(高情景!AE5+低情景!AE5)/2</f>
        <v>6.4273720257888574</v>
      </c>
      <c r="AF5" s="49">
        <f>(高情景!AF5+低情景!AF5)/2</f>
        <v>6.2942607708168996</v>
      </c>
      <c r="AG5" s="49">
        <f>(高情景!AG5+低情景!AG5)/2</f>
        <v>6.1611495158449401</v>
      </c>
      <c r="AH5" s="49">
        <f>(高情景!AH5+低情景!AH5)/2</f>
        <v>6.0280382608729823</v>
      </c>
      <c r="AI5" s="49">
        <f>(高情景!AI5+低情景!AI5)/2</f>
        <v>5.8949270059010228</v>
      </c>
      <c r="AJ5" s="49">
        <f>(高情景!AJ5+低情景!AJ5)/2</f>
        <v>5.8188634316313328</v>
      </c>
      <c r="AK5" s="49">
        <f>(高情景!AK5+低情景!AK5)/2</f>
        <v>5.7427998573616428</v>
      </c>
      <c r="AL5" s="49">
        <f>(高情景!AL5+低情景!AL5)/2</f>
        <v>5.6667362830919519</v>
      </c>
      <c r="AM5" s="49">
        <f>(高情景!AM5+低情景!AM5)/2</f>
        <v>5.590672708822261</v>
      </c>
      <c r="AN5" s="49">
        <f>(高情景!AN5+低情景!AN5)/2</f>
        <v>5.5146091345525701</v>
      </c>
      <c r="AO5" s="49">
        <f>(高情景!AO5+低情景!AO5)/2</f>
        <v>5.4765773474177237</v>
      </c>
      <c r="AP5" s="49">
        <f>(高情景!AP5+低情景!AP5)/2</f>
        <v>5.4385455602828792</v>
      </c>
      <c r="AQ5" s="49">
        <f>(高情景!AQ5+低情景!AQ5)/2</f>
        <v>5.4005137731480328</v>
      </c>
      <c r="AR5" s="49">
        <f>(高情景!AR5+低情景!AR5)/2</f>
        <v>5.3624819860131883</v>
      </c>
      <c r="AS5" s="50">
        <f>(高情景!AS5+低情景!AS5)/2</f>
        <v>5.3244501988783437</v>
      </c>
    </row>
    <row r="6" spans="1:45" x14ac:dyDescent="0.15">
      <c r="A6" s="17" t="s">
        <v>16</v>
      </c>
      <c r="B6" s="39" t="s">
        <v>17</v>
      </c>
      <c r="C6" s="9" t="s">
        <v>18</v>
      </c>
      <c r="D6" s="8" t="s">
        <v>54</v>
      </c>
      <c r="E6" s="48">
        <f>高情景!E6*0.5+低情景!E6*0.5</f>
        <v>172</v>
      </c>
      <c r="F6" s="49">
        <f>高情景!F6*0.5+低情景!F6*0.5</f>
        <v>191</v>
      </c>
      <c r="G6" s="49">
        <f>高情景!G6*0.5+低情景!G6*0.5</f>
        <v>194</v>
      </c>
      <c r="H6" s="49">
        <f>高情景!H6*0.5+低情景!H6*0.5</f>
        <v>218.0548853082388</v>
      </c>
      <c r="I6" s="49">
        <f>高情景!I6*0.45+低情景!I6*0.55</f>
        <v>241.81888028213365</v>
      </c>
      <c r="J6" s="49">
        <f>高情景!J6*0.37+低情景!J6*0.63</f>
        <v>265.03018362077501</v>
      </c>
      <c r="K6" s="49">
        <f>高情景!K6*0.7+低情景!K6*0.3</f>
        <v>276.11310535927953</v>
      </c>
      <c r="L6" s="49">
        <f>高情景!L6*0.8+低情景!L6*0.2</f>
        <v>285.53795219202368</v>
      </c>
      <c r="M6" s="49">
        <f>高情景!M6*0.65+低情景!M6*0.35</f>
        <v>291.82118341385302</v>
      </c>
      <c r="N6" s="49">
        <f>高情景!N6*0.55+低情景!N6*0.45</f>
        <v>298.36621593659197</v>
      </c>
      <c r="O6" s="49">
        <f>高情景!O6*0.5+低情景!O6*0.5</f>
        <v>305.43485106114997</v>
      </c>
      <c r="P6" s="49">
        <f>(高情景!P6+低情景!P6)/2</f>
        <v>309.79820607630927</v>
      </c>
      <c r="Q6" s="49">
        <f>(高情景!Q6+低情景!Q6)/2</f>
        <v>314.16156109146851</v>
      </c>
      <c r="R6" s="49">
        <f>(高情景!R6+低情景!R6)/2</f>
        <v>318.52491610662776</v>
      </c>
      <c r="S6" s="49">
        <f>(高情景!S6+低情景!S6)/2</f>
        <v>322.88827112178706</v>
      </c>
      <c r="T6" s="49">
        <f>(高情景!T6+低情景!T6)/2</f>
        <v>327.25162613694636</v>
      </c>
      <c r="U6" s="49">
        <f>(高情景!U6+低情景!U6)/2</f>
        <v>330.91684434968016</v>
      </c>
      <c r="V6" s="49">
        <f>(高情景!V6+低情景!V6)/2</f>
        <v>334.58206256241397</v>
      </c>
      <c r="W6" s="49">
        <f>(高情景!W6+低情景!W6)/2</f>
        <v>338.24728077514771</v>
      </c>
      <c r="X6" s="49">
        <f>(高情景!X6+低情景!X6)/2</f>
        <v>341.91249898788146</v>
      </c>
      <c r="Y6" s="49">
        <f>(高情景!Y6+低情景!Y6)/2</f>
        <v>345.57771720061538</v>
      </c>
      <c r="Z6" s="49">
        <f>(高情景!Z6+低情景!Z6)/2</f>
        <v>346.45038820364721</v>
      </c>
      <c r="AA6" s="49">
        <f>(高情景!AA6+低情景!AA6)/2</f>
        <v>347.32305920667909</v>
      </c>
      <c r="AB6" s="49">
        <f>(高情景!AB6+低情景!AB6)/2</f>
        <v>348.19573020971097</v>
      </c>
      <c r="AC6" s="49">
        <f>(高情景!AC6+低情景!AC6)/2</f>
        <v>349.0684012127428</v>
      </c>
      <c r="AD6" s="49">
        <f>(高情景!AD6+低情景!AD6)/2</f>
        <v>349.94107221577468</v>
      </c>
      <c r="AE6" s="49">
        <f>(高情景!AE6+低情景!AE6)/2</f>
        <v>349.76653801516829</v>
      </c>
      <c r="AF6" s="49">
        <f>(高情景!AF6+低情景!AF6)/2</f>
        <v>349.59200381456196</v>
      </c>
      <c r="AG6" s="49">
        <f>(高情景!AG6+低情景!AG6)/2</f>
        <v>349.41746961395563</v>
      </c>
      <c r="AH6" s="49">
        <f>(高情景!AH6+低情景!AH6)/2</f>
        <v>349.24293541334924</v>
      </c>
      <c r="AI6" s="49">
        <f>(高情景!AI6+低情景!AI6)/2</f>
        <v>349.06840121274286</v>
      </c>
      <c r="AJ6" s="49">
        <f>(高情景!AJ6+低情景!AJ6)/2</f>
        <v>349.59200381456196</v>
      </c>
      <c r="AK6" s="49">
        <f>(高情景!AK6+低情景!AK6)/2</f>
        <v>350.11560641638107</v>
      </c>
      <c r="AL6" s="49">
        <f>(高情景!AL6+低情景!AL6)/2</f>
        <v>350.63920901820018</v>
      </c>
      <c r="AM6" s="49">
        <f>(高情景!AM6+低情景!AM6)/2</f>
        <v>351.16281162001928</v>
      </c>
      <c r="AN6" s="49">
        <f>(高情景!AN6+低情景!AN6)/2</f>
        <v>351.68641422183839</v>
      </c>
      <c r="AO6" s="49">
        <f>(高情景!AO6+低情景!AO6)/2</f>
        <v>351.86094842244484</v>
      </c>
      <c r="AP6" s="49">
        <f>(高情景!AP6+低情景!AP6)/2</f>
        <v>352.03548262305117</v>
      </c>
      <c r="AQ6" s="49">
        <f>(高情景!AQ6+低情景!AQ6)/2</f>
        <v>352.21001682365761</v>
      </c>
      <c r="AR6" s="49">
        <f>(高情景!AR6+低情景!AR6)/2</f>
        <v>352.38455102426394</v>
      </c>
      <c r="AS6" s="50">
        <f>(高情景!AS6+低情景!AS6)/2</f>
        <v>352.55908522487027</v>
      </c>
    </row>
    <row r="7" spans="1:45" x14ac:dyDescent="0.15">
      <c r="A7" s="17" t="s">
        <v>16</v>
      </c>
      <c r="B7" s="8" t="s">
        <v>20</v>
      </c>
      <c r="C7" s="9" t="s">
        <v>18</v>
      </c>
      <c r="D7" s="8" t="s">
        <v>53</v>
      </c>
      <c r="E7" s="48">
        <f>高情景!E7*0.5+低情景!E7*0.5</f>
        <v>9269</v>
      </c>
      <c r="F7" s="49">
        <f>高情景!F7*0.5+低情景!F7*0.5</f>
        <v>8500</v>
      </c>
      <c r="G7" s="49">
        <f>高情景!G7*0.5+低情景!G7*0.5</f>
        <v>9000</v>
      </c>
      <c r="H7" s="49">
        <f>高情景!H7*0.5+低情景!H7*0.5</f>
        <v>9213.4076319676769</v>
      </c>
      <c r="I7" s="49">
        <f>高情景!I7*0.45+低情景!I7*0.55</f>
        <v>9426.8152639353539</v>
      </c>
      <c r="J7" s="49">
        <f>高情景!J7*0.37+低情景!J7*0.63</f>
        <v>9640.2228959030308</v>
      </c>
      <c r="K7" s="49">
        <f>高情景!K7*0.7+低情景!K7*0.3</f>
        <v>9689.5449665332326</v>
      </c>
      <c r="L7" s="49">
        <f>高情景!L7*0.8+低情景!L7*0.2</f>
        <v>9765.7699847799086</v>
      </c>
      <c r="M7" s="49">
        <f>高情景!M7*0.65+低情景!M7*0.35</f>
        <v>9768.0118970812819</v>
      </c>
      <c r="N7" s="49">
        <f>高情景!N7*0.55+低情景!N7*0.45</f>
        <v>9756.802335574419</v>
      </c>
      <c r="O7" s="49">
        <f>高情景!O7*0.5+低情景!O7*0.5</f>
        <v>9752.3185109716724</v>
      </c>
      <c r="P7" s="49">
        <f>(高情景!P7+低情景!P7)/2</f>
        <v>9662.6420189167584</v>
      </c>
      <c r="Q7" s="49">
        <f>(高情景!Q7+低情景!Q7)/2</f>
        <v>9572.965526861848</v>
      </c>
      <c r="R7" s="49">
        <f>(高情景!R7+低情景!R7)/2</f>
        <v>9483.2890348069341</v>
      </c>
      <c r="S7" s="49">
        <f>(高情景!S7+低情景!S7)/2</f>
        <v>9393.6125427520237</v>
      </c>
      <c r="T7" s="49">
        <f>(高情景!T7+低情景!T7)/2</f>
        <v>9303.9360506971134</v>
      </c>
      <c r="U7" s="49">
        <f>(高情景!U7+低情景!U7)/2</f>
        <v>9147.0021896010167</v>
      </c>
      <c r="V7" s="49">
        <f>(高情景!V7+低情景!V7)/2</f>
        <v>8990.0683285049199</v>
      </c>
      <c r="W7" s="49">
        <f>(高情景!W7+低情景!W7)/2</f>
        <v>8833.134467408825</v>
      </c>
      <c r="X7" s="49">
        <f>(高情景!X7+低情景!X7)/2</f>
        <v>8676.2006063127301</v>
      </c>
      <c r="Y7" s="49">
        <f>(高情景!Y7+低情景!Y7)/2</f>
        <v>8519.2667452166334</v>
      </c>
      <c r="Z7" s="49">
        <f>(高情景!Z7+低情景!Z7)/2</f>
        <v>8418.3806916548565</v>
      </c>
      <c r="AA7" s="49">
        <f>(高情景!AA7+低情景!AA7)/2</f>
        <v>8317.4946380930814</v>
      </c>
      <c r="AB7" s="49">
        <f>(高情景!AB7+低情景!AB7)/2</f>
        <v>8216.6085845313064</v>
      </c>
      <c r="AC7" s="49">
        <f>(高情景!AC7+低情景!AC7)/2</f>
        <v>8115.7225309695314</v>
      </c>
      <c r="AD7" s="49">
        <f>(高情景!AD7+低情景!AD7)/2</f>
        <v>8014.8364774077536</v>
      </c>
      <c r="AE7" s="49">
        <f>(高情景!AE7+低情景!AE7)/2</f>
        <v>7929.6438099555871</v>
      </c>
      <c r="AF7" s="49">
        <f>(高情景!AF7+低情景!AF7)/2</f>
        <v>7844.4511425034207</v>
      </c>
      <c r="AG7" s="49">
        <f>(高情景!AG7+低情景!AG7)/2</f>
        <v>7759.2584750512542</v>
      </c>
      <c r="AH7" s="49">
        <f>(高情景!AH7+低情景!AH7)/2</f>
        <v>7674.0658075990877</v>
      </c>
      <c r="AI7" s="49">
        <f>(高情景!AI7+低情景!AI7)/2</f>
        <v>7588.8731401469213</v>
      </c>
      <c r="AJ7" s="49">
        <f>(高情景!AJ7+低情景!AJ7)/2</f>
        <v>7505.9223849961281</v>
      </c>
      <c r="AK7" s="49">
        <f>(高情景!AK7+低情景!AK7)/2</f>
        <v>7422.971629845335</v>
      </c>
      <c r="AL7" s="49">
        <f>(高情景!AL7+低情景!AL7)/2</f>
        <v>7340.0208746945409</v>
      </c>
      <c r="AM7" s="49">
        <f>(高情景!AM7+低情景!AM7)/2</f>
        <v>7257.0701195437468</v>
      </c>
      <c r="AN7" s="49">
        <f>(高情景!AN7+低情景!AN7)/2</f>
        <v>7174.1193643929546</v>
      </c>
      <c r="AO7" s="49">
        <f>(高情景!AO7+低情景!AO7)/2</f>
        <v>7129.2811183654976</v>
      </c>
      <c r="AP7" s="49">
        <f>(高情景!AP7+低情景!AP7)/2</f>
        <v>7084.4428723380424</v>
      </c>
      <c r="AQ7" s="49">
        <f>(高情景!AQ7+低情景!AQ7)/2</f>
        <v>7039.6046263105854</v>
      </c>
      <c r="AR7" s="49">
        <f>(高情景!AR7+低情景!AR7)/2</f>
        <v>6994.7663802831303</v>
      </c>
      <c r="AS7" s="50">
        <f>(高情景!AS7+低情景!AS7)/2</f>
        <v>6949.9281342556751</v>
      </c>
    </row>
    <row r="8" spans="1:45" x14ac:dyDescent="0.15">
      <c r="A8" s="18" t="s">
        <v>22</v>
      </c>
      <c r="B8" s="8" t="s">
        <v>23</v>
      </c>
      <c r="C8" s="9" t="s">
        <v>6</v>
      </c>
      <c r="D8" s="44" t="s">
        <v>24</v>
      </c>
      <c r="E8" s="48">
        <f>高情景!E8*0.5+低情景!E8*0.5</f>
        <v>31.55</v>
      </c>
      <c r="F8" s="49">
        <f>高情景!F8*0.5+低情景!F8*0.5</f>
        <v>31.4</v>
      </c>
      <c r="G8" s="49">
        <f>高情景!G8*0.5+低情景!G8*0.5</f>
        <v>28.79</v>
      </c>
      <c r="H8" s="49">
        <f>高情景!H8*0.5+低情景!H8*0.5</f>
        <v>28.046908744084675</v>
      </c>
      <c r="I8" s="49">
        <f>高情景!I8*0.45+低情景!I8*0.55</f>
        <v>27.317881596726444</v>
      </c>
      <c r="J8" s="49">
        <f>高情景!J8*0.37+低情景!J8*0.63</f>
        <v>26.615576255626682</v>
      </c>
      <c r="K8" s="49">
        <f>高情景!K8*0.7+低情景!K8*0.3</f>
        <v>26.197526853042085</v>
      </c>
      <c r="L8" s="49">
        <f>高情景!L8*0.8+低情景!L8*0.2</f>
        <v>25.974563736068021</v>
      </c>
      <c r="M8" s="49">
        <f>高情景!M8*0.65+低情景!M8*0.35</f>
        <v>25.587460607713933</v>
      </c>
      <c r="N8" s="49">
        <f>高情景!N8*0.55+低情景!N8*0.45</f>
        <v>25.130239348240906</v>
      </c>
      <c r="O8" s="49">
        <f>高情景!O8*0.5+低情景!O8*0.5</f>
        <v>24.676432910073899</v>
      </c>
      <c r="P8" s="49">
        <f>(高情景!P8+低情景!P8)/2</f>
        <v>24.275993858418833</v>
      </c>
      <c r="Q8" s="49">
        <f>(高情景!Q8+低情景!Q8)/2</f>
        <v>23.875554806763766</v>
      </c>
      <c r="R8" s="49">
        <f>(高情景!R8+低情景!R8)/2</f>
        <v>23.475115755108696</v>
      </c>
      <c r="S8" s="49">
        <f>(高情景!S8+低情景!S8)/2</f>
        <v>23.074676703453626</v>
      </c>
      <c r="T8" s="49">
        <f>(高情景!T8+低情景!T8)/2</f>
        <v>22.674237651798556</v>
      </c>
      <c r="U8" s="49">
        <f>(高情景!U8+低情景!U8)/2</f>
        <v>22.248487352058913</v>
      </c>
      <c r="V8" s="49">
        <f>(高情景!V8+低情景!V8)/2</f>
        <v>21.822737052319269</v>
      </c>
      <c r="W8" s="49">
        <f>(高情景!W8+低情景!W8)/2</f>
        <v>21.396986752579622</v>
      </c>
      <c r="X8" s="49">
        <f>(高情景!X8+低情景!X8)/2</f>
        <v>20.971236452839975</v>
      </c>
      <c r="Y8" s="49">
        <f>(高情景!Y8+低情景!Y8)/2</f>
        <v>20.545486153100327</v>
      </c>
      <c r="Z8" s="49">
        <f>(高情景!Z8+低情景!Z8)/2</f>
        <v>20.106214798885631</v>
      </c>
      <c r="AA8" s="49">
        <f>(高情景!AA8+低情景!AA8)/2</f>
        <v>19.666943444670927</v>
      </c>
      <c r="AB8" s="49">
        <f>(高情景!AB8+低情景!AB8)/2</f>
        <v>19.227672090456231</v>
      </c>
      <c r="AC8" s="49">
        <f>(高情景!AC8+低情景!AC8)/2</f>
        <v>18.788400736241528</v>
      </c>
      <c r="AD8" s="49">
        <f>(高情景!AD8+低情景!AD8)/2</f>
        <v>18.349129382026824</v>
      </c>
      <c r="AE8" s="49">
        <f>(高情景!AE8+低情景!AE8)/2</f>
        <v>17.948690330371754</v>
      </c>
      <c r="AF8" s="49">
        <f>(高情景!AF8+低情景!AF8)/2</f>
        <v>17.548251278716684</v>
      </c>
      <c r="AG8" s="49">
        <f>(高情景!AG8+低情景!AG8)/2</f>
        <v>17.147812227061614</v>
      </c>
      <c r="AH8" s="49">
        <f>(高情景!AH8+低情景!AH8)/2</f>
        <v>16.747373175406544</v>
      </c>
      <c r="AI8" s="49">
        <f>(高情景!AI8+低情景!AI8)/2</f>
        <v>16.346934123751478</v>
      </c>
      <c r="AJ8" s="49">
        <f>(高情景!AJ8+低情景!AJ8)/2</f>
        <v>16.014100344471686</v>
      </c>
      <c r="AK8" s="49">
        <f>(高情景!AK8+低情景!AK8)/2</f>
        <v>15.681266565191898</v>
      </c>
      <c r="AL8" s="49">
        <f>(高情景!AL8+低情景!AL8)/2</f>
        <v>15.348432785912106</v>
      </c>
      <c r="AM8" s="49">
        <f>(高情景!AM8+低情景!AM8)/2</f>
        <v>15.015599006632318</v>
      </c>
      <c r="AN8" s="49">
        <f>(高情景!AN8+低情景!AN8)/2</f>
        <v>14.682765227352526</v>
      </c>
      <c r="AO8" s="49">
        <f>(高情景!AO8+低情景!AO8)/2</f>
        <v>14.415805859582481</v>
      </c>
      <c r="AP8" s="49">
        <f>(高情景!AP8+低情景!AP8)/2</f>
        <v>14.148846491812435</v>
      </c>
      <c r="AQ8" s="49">
        <f>(高情景!AQ8+低情景!AQ8)/2</f>
        <v>13.88188712404239</v>
      </c>
      <c r="AR8" s="49">
        <f>(高情景!AR8+低情景!AR8)/2</f>
        <v>13.614927756272344</v>
      </c>
      <c r="AS8" s="50">
        <f>(高情景!AS8+低情景!AS8)/2</f>
        <v>13.347968388502295</v>
      </c>
    </row>
    <row r="9" spans="1:45" x14ac:dyDescent="0.15">
      <c r="A9" s="18" t="s">
        <v>25</v>
      </c>
      <c r="B9" s="8" t="s">
        <v>26</v>
      </c>
      <c r="C9" s="9" t="s">
        <v>18</v>
      </c>
      <c r="D9" s="8" t="s">
        <v>27</v>
      </c>
      <c r="E9" s="48">
        <f>高情景!E9*0.5+低情景!E9*0.5</f>
        <v>12700.63</v>
      </c>
      <c r="F9" s="49">
        <f>高情景!F9*0.5+低情景!F9*0.5</f>
        <v>13583.87</v>
      </c>
      <c r="G9" s="49">
        <f>高情景!G9*0.5+低情景!G9*0.5</f>
        <v>13691.4</v>
      </c>
      <c r="H9" s="49">
        <f>高情景!H9*0.5+低情景!H9*0.5</f>
        <v>13877.599999999999</v>
      </c>
      <c r="I9" s="49">
        <f>高情景!I9*0.45+低情景!I9*0.55</f>
        <v>14047.133333333333</v>
      </c>
      <c r="J9" s="49">
        <f>高情景!J9*0.37+低情景!J9*0.63</f>
        <v>14185</v>
      </c>
      <c r="K9" s="49">
        <f>高情景!K9*0.7+低情景!K9*0.3</f>
        <v>14650</v>
      </c>
      <c r="L9" s="49">
        <f>高情景!L9*0.8+低情景!L9*0.2</f>
        <v>15000</v>
      </c>
      <c r="M9" s="49">
        <f>高情景!M9*0.65+低情景!M9*0.35</f>
        <v>15225</v>
      </c>
      <c r="N9" s="49">
        <f>高情景!N9*0.55+低情景!N9*0.45</f>
        <v>15475</v>
      </c>
      <c r="O9" s="49">
        <f>高情景!O9*0.5+低情景!O9*0.5</f>
        <v>15750</v>
      </c>
      <c r="P9" s="49">
        <f>(高情景!P9+低情景!P9)/2</f>
        <v>15930</v>
      </c>
      <c r="Q9" s="49">
        <f>(高情景!Q9+低情景!Q9)/2</f>
        <v>16110</v>
      </c>
      <c r="R9" s="49">
        <f>(高情景!R9+低情景!R9)/2</f>
        <v>16290</v>
      </c>
      <c r="S9" s="49">
        <f>(高情景!S9+低情景!S9)/2</f>
        <v>16470</v>
      </c>
      <c r="T9" s="49">
        <f>(高情景!T9+低情景!T9)/2</f>
        <v>16650</v>
      </c>
      <c r="U9" s="49">
        <f>(高情景!U9+低情景!U9)/2</f>
        <v>16610</v>
      </c>
      <c r="V9" s="49">
        <f>(高情景!V9+低情景!V9)/2</f>
        <v>16570</v>
      </c>
      <c r="W9" s="49">
        <f>(高情景!W9+低情景!W9)/2</f>
        <v>16530</v>
      </c>
      <c r="X9" s="49">
        <f>(高情景!X9+低情景!X9)/2</f>
        <v>16490</v>
      </c>
      <c r="Y9" s="49">
        <f>(高情景!Y9+低情景!Y9)/2</f>
        <v>16450</v>
      </c>
      <c r="Z9" s="49">
        <f>(高情景!Z9+低情景!Z9)/2</f>
        <v>16260</v>
      </c>
      <c r="AA9" s="49">
        <f>(高情景!AA9+低情景!AA9)/2</f>
        <v>16070</v>
      </c>
      <c r="AB9" s="49">
        <f>(高情景!AB9+低情景!AB9)/2</f>
        <v>15880</v>
      </c>
      <c r="AC9" s="49">
        <f>(高情景!AC9+低情景!AC9)/2</f>
        <v>15690</v>
      </c>
      <c r="AD9" s="49">
        <f>(高情景!AD9+低情景!AD9)/2</f>
        <v>15500</v>
      </c>
      <c r="AE9" s="49">
        <f>(高情景!AE9+低情景!AE9)/2</f>
        <v>15130</v>
      </c>
      <c r="AF9" s="49">
        <f>(高情景!AF9+低情景!AF9)/2</f>
        <v>14760</v>
      </c>
      <c r="AG9" s="49">
        <f>(高情景!AG9+低情景!AG9)/2</f>
        <v>14390</v>
      </c>
      <c r="AH9" s="49">
        <f>(高情景!AH9+低情景!AH9)/2</f>
        <v>14020</v>
      </c>
      <c r="AI9" s="49">
        <f>(高情景!AI9+低情景!AI9)/2</f>
        <v>13650</v>
      </c>
      <c r="AJ9" s="49">
        <f>(高情景!AJ9+低情景!AJ9)/2</f>
        <v>13300</v>
      </c>
      <c r="AK9" s="49">
        <f>(高情景!AK9+低情景!AK9)/2</f>
        <v>12950</v>
      </c>
      <c r="AL9" s="49">
        <f>(高情景!AL9+低情景!AL9)/2</f>
        <v>12600</v>
      </c>
      <c r="AM9" s="49">
        <f>(高情景!AM9+低情景!AM9)/2</f>
        <v>12250</v>
      </c>
      <c r="AN9" s="49">
        <f>(高情景!AN9+低情景!AN9)/2</f>
        <v>11900</v>
      </c>
      <c r="AO9" s="49">
        <f>(高情景!AO9+低情景!AO9)/2</f>
        <v>11580</v>
      </c>
      <c r="AP9" s="49">
        <f>(高情景!AP9+低情景!AP9)/2</f>
        <v>11260</v>
      </c>
      <c r="AQ9" s="49">
        <f>(高情景!AQ9+低情景!AQ9)/2</f>
        <v>10940</v>
      </c>
      <c r="AR9" s="49">
        <f>(高情景!AR9+低情景!AR9)/2</f>
        <v>10620</v>
      </c>
      <c r="AS9" s="50">
        <f>(高情景!AS9+低情景!AS9)/2</f>
        <v>10300</v>
      </c>
    </row>
    <row r="10" spans="1:45" x14ac:dyDescent="0.15">
      <c r="A10" s="17" t="s">
        <v>28</v>
      </c>
      <c r="B10" s="8" t="s">
        <v>29</v>
      </c>
      <c r="C10" s="9" t="s">
        <v>6</v>
      </c>
      <c r="D10" s="8" t="s">
        <v>30</v>
      </c>
      <c r="E10" s="48">
        <f>高情景!E10*0.5+低情景!E10*0.5</f>
        <v>6.7441000000000004</v>
      </c>
      <c r="F10" s="49">
        <f>高情景!F10*0.5+低情景!F10*0.5</f>
        <v>7</v>
      </c>
      <c r="G10" s="49">
        <f>高情景!G10*0.5+低情景!G10*0.5</f>
        <v>6.7590000000000003</v>
      </c>
      <c r="H10" s="49">
        <f>高情景!H10*0.5+低情景!H10*0.5</f>
        <v>6.8611289566236815</v>
      </c>
      <c r="I10" s="49">
        <f>高情景!I10*0.45+低情景!I10*0.55</f>
        <v>6.9632579132473627</v>
      </c>
      <c r="J10" s="49">
        <f>高情景!J10*0.37+低情景!J10*0.63</f>
        <v>7.0653868698710429</v>
      </c>
      <c r="K10" s="49">
        <f>高情景!K10*0.7+低情景!K10*0.3</f>
        <v>7.0851963657678763</v>
      </c>
      <c r="L10" s="49">
        <f>高情景!L10*0.8+低情景!L10*0.2</f>
        <v>7.1050058616647114</v>
      </c>
      <c r="M10" s="49">
        <f>高情景!M10*0.65+低情景!M10*0.35</f>
        <v>7.1248153575615456</v>
      </c>
      <c r="N10" s="49">
        <f>高情景!N10*0.55+低情景!N10*0.45</f>
        <v>7.1446248534583798</v>
      </c>
      <c r="O10" s="49">
        <f>高情景!O10*0.5+低情景!O10*0.5</f>
        <v>7.1644343493552158</v>
      </c>
      <c r="P10" s="49">
        <f>(高情景!P10+低情景!P10)/2</f>
        <v>7.1182121922626012</v>
      </c>
      <c r="Q10" s="49">
        <f>(高情景!Q10+低情景!Q10)/2</f>
        <v>7.0719900351699865</v>
      </c>
      <c r="R10" s="49">
        <f>(高情景!R10+低情景!R10)/2</f>
        <v>7.0257678780773718</v>
      </c>
      <c r="S10" s="49">
        <f>(高情景!S10+低情景!S10)/2</f>
        <v>6.9795457209847571</v>
      </c>
      <c r="T10" s="49">
        <f>(高情景!T10+低情景!T10)/2</f>
        <v>6.9333235638921442</v>
      </c>
      <c r="U10" s="49">
        <f>(高情景!U10+低情景!U10)/2</f>
        <v>6.8672919109026953</v>
      </c>
      <c r="V10" s="49">
        <f>(高情景!V10+低情景!V10)/2</f>
        <v>6.8012602579132464</v>
      </c>
      <c r="W10" s="49">
        <f>(高情景!W10+低情景!W10)/2</f>
        <v>6.7352286049237975</v>
      </c>
      <c r="X10" s="49">
        <f>(高情景!X10+低情景!X10)/2</f>
        <v>6.6691969519343486</v>
      </c>
      <c r="Y10" s="49">
        <f>(高情景!Y10+低情景!Y10)/2</f>
        <v>6.6031652989448988</v>
      </c>
      <c r="Z10" s="49">
        <f>(高情景!Z10+低情景!Z10)/2</f>
        <v>6.5371336459554499</v>
      </c>
      <c r="AA10" s="49">
        <f>(高情景!AA10+低情景!AA10)/2</f>
        <v>6.471101992966001</v>
      </c>
      <c r="AB10" s="49">
        <f>(高情景!AB10+低情景!AB10)/2</f>
        <v>6.4050703399765521</v>
      </c>
      <c r="AC10" s="49">
        <f>(高情景!AC10+低情景!AC10)/2</f>
        <v>6.3390386869871032</v>
      </c>
      <c r="AD10" s="49">
        <f>(高情景!AD10+低情景!AD10)/2</f>
        <v>6.2730070339976534</v>
      </c>
      <c r="AE10" s="49">
        <f>(高情景!AE10+低情景!AE10)/2</f>
        <v>6.2201817116060942</v>
      </c>
      <c r="AF10" s="49">
        <f>(高情景!AF10+低情景!AF10)/2</f>
        <v>6.1673563892145351</v>
      </c>
      <c r="AG10" s="49">
        <f>(高情景!AG10+低情景!AG10)/2</f>
        <v>6.114531066822976</v>
      </c>
      <c r="AH10" s="49">
        <f>(高情景!AH10+低情景!AH10)/2</f>
        <v>6.0617057444314169</v>
      </c>
      <c r="AI10" s="49">
        <f>(高情景!AI10+低情景!AI10)/2</f>
        <v>6.0088804220398577</v>
      </c>
      <c r="AJ10" s="49">
        <f>(高情景!AJ10+低情景!AJ10)/2</f>
        <v>5.962658264947243</v>
      </c>
      <c r="AK10" s="49">
        <f>(高情景!AK10+低情景!AK10)/2</f>
        <v>5.9164361078546284</v>
      </c>
      <c r="AL10" s="49">
        <f>(高情景!AL10+低情景!AL10)/2</f>
        <v>5.8702139507620137</v>
      </c>
      <c r="AM10" s="49">
        <f>(高情景!AM10+低情景!AM10)/2</f>
        <v>5.823991793669399</v>
      </c>
      <c r="AN10" s="49">
        <f>(高情景!AN10+低情景!AN10)/2</f>
        <v>5.7777696365767861</v>
      </c>
      <c r="AO10" s="49">
        <f>(高情景!AO10+低情景!AO10)/2</f>
        <v>5.7447538100820612</v>
      </c>
      <c r="AP10" s="49">
        <f>(高情景!AP10+低情景!AP10)/2</f>
        <v>5.7117379835873363</v>
      </c>
      <c r="AQ10" s="49">
        <f>(高情景!AQ10+低情景!AQ10)/2</f>
        <v>5.6787221570926114</v>
      </c>
      <c r="AR10" s="49">
        <f>(高情景!AR10+低情景!AR10)/2</f>
        <v>5.6457063305978865</v>
      </c>
      <c r="AS10" s="50">
        <f>(高情景!AS10+低情景!AS10)/2</f>
        <v>5.6126905041031634</v>
      </c>
    </row>
    <row r="11" spans="1:45" x14ac:dyDescent="0.15">
      <c r="A11" s="17" t="s">
        <v>28</v>
      </c>
      <c r="B11" s="8" t="s">
        <v>31</v>
      </c>
      <c r="C11" s="9" t="s">
        <v>18</v>
      </c>
      <c r="D11" s="8" t="s">
        <v>32</v>
      </c>
      <c r="E11" s="48">
        <f>高情景!E11*0.5+低情景!E11*0.5</f>
        <v>47116</v>
      </c>
      <c r="F11" s="49">
        <f>高情景!F11*0.5+低情景!F11*0.5</f>
        <v>46400</v>
      </c>
      <c r="G11" s="49">
        <f>高情景!G11*0.5+低情景!G11*0.5</f>
        <v>47300</v>
      </c>
      <c r="H11" s="49">
        <f>高情景!H11*0.5+低情景!H11*0.5</f>
        <v>47331.61204593374</v>
      </c>
      <c r="I11" s="49">
        <f>高情景!I11*0.45+低情景!I11*0.55</f>
        <v>47332.247074783954</v>
      </c>
      <c r="J11" s="49">
        <f>高情景!J11*0.37+低情景!J11*0.63</f>
        <v>47274.025771175468</v>
      </c>
      <c r="K11" s="49">
        <f>高情景!K11*0.7+低情景!K11*0.3</f>
        <v>47134.629194299574</v>
      </c>
      <c r="L11" s="49">
        <f>高情景!L11*0.8+低情景!L11*0.2</f>
        <v>46893.008461048041</v>
      </c>
      <c r="M11" s="49">
        <f>高情景!M11*0.65+低情景!M11*0.35</f>
        <v>46112.387630543075</v>
      </c>
      <c r="N11" s="49">
        <f>高情景!N11*0.55+低情景!N11*0.45</f>
        <v>45322.47369491306</v>
      </c>
      <c r="O11" s="49">
        <f>高情景!O11*0.5+低情景!O11*0.5</f>
        <v>44606.904600283509</v>
      </c>
      <c r="P11" s="49">
        <f>(高情景!P11+低情景!P11)/2</f>
        <v>43863.456190278783</v>
      </c>
      <c r="Q11" s="49">
        <f>(高情景!Q11+低情景!Q11)/2</f>
        <v>43120.007780274056</v>
      </c>
      <c r="R11" s="49">
        <f>(高情景!R11+低情景!R11)/2</f>
        <v>42376.55937026933</v>
      </c>
      <c r="S11" s="49">
        <f>(高情景!S11+低情景!S11)/2</f>
        <v>41633.110960264603</v>
      </c>
      <c r="T11" s="49">
        <f>(高情景!T11+低情景!T11)/2</f>
        <v>40889.662550259884</v>
      </c>
      <c r="U11" s="49">
        <f>(高情景!U11+低情景!U11)/2</f>
        <v>39913.88651212868</v>
      </c>
      <c r="V11" s="49">
        <f>(高情景!V11+低情景!V11)/2</f>
        <v>38938.110473997476</v>
      </c>
      <c r="W11" s="49">
        <f>(高情景!W11+低情景!W11)/2</f>
        <v>37962.334435866273</v>
      </c>
      <c r="X11" s="49">
        <f>(高情景!X11+低情景!X11)/2</f>
        <v>36986.558397735069</v>
      </c>
      <c r="Y11" s="49">
        <f>(高情景!Y11+低情景!Y11)/2</f>
        <v>36010.78235960388</v>
      </c>
      <c r="Z11" s="49">
        <f>(高情景!Z11+低情景!Z11)/2</f>
        <v>35220.86842397385</v>
      </c>
      <c r="AA11" s="49">
        <f>(高情景!AA11+低情景!AA11)/2</f>
        <v>34430.954488343836</v>
      </c>
      <c r="AB11" s="49">
        <f>(高情景!AB11+低情景!AB11)/2</f>
        <v>33641.040552713806</v>
      </c>
      <c r="AC11" s="49">
        <f>(高情景!AC11+低情景!AC11)/2</f>
        <v>32851.126617083792</v>
      </c>
      <c r="AD11" s="49">
        <f>(高情景!AD11+低情景!AD11)/2</f>
        <v>32061.212681453773</v>
      </c>
      <c r="AE11" s="49">
        <f>(高情景!AE11+低情景!AE11)/2</f>
        <v>31410.695322699637</v>
      </c>
      <c r="AF11" s="49">
        <f>(高情景!AF11+低情景!AF11)/2</f>
        <v>30760.177963945502</v>
      </c>
      <c r="AG11" s="49">
        <f>(高情景!AG11+低情景!AG11)/2</f>
        <v>30109.660605191366</v>
      </c>
      <c r="AH11" s="49">
        <f>(高情景!AH11+低情景!AH11)/2</f>
        <v>29459.14324643723</v>
      </c>
      <c r="AI11" s="49">
        <f>(高情景!AI11+低情景!AI11)/2</f>
        <v>28808.625887683098</v>
      </c>
      <c r="AJ11" s="49">
        <f>(高情景!AJ11+低情景!AJ11)/2</f>
        <v>28436.901682680735</v>
      </c>
      <c r="AK11" s="49">
        <f>(高情景!AK11+低情景!AK11)/2</f>
        <v>28065.177477678371</v>
      </c>
      <c r="AL11" s="49">
        <f>(高情景!AL11+低情景!AL11)/2</f>
        <v>27693.453272676008</v>
      </c>
      <c r="AM11" s="49">
        <f>(高情景!AM11+低情景!AM11)/2</f>
        <v>27321.729067673645</v>
      </c>
      <c r="AN11" s="49">
        <f>(高情景!AN11+低情景!AN11)/2</f>
        <v>26950.004862671285</v>
      </c>
      <c r="AO11" s="49">
        <f>(高情景!AO11+低情景!AO11)/2</f>
        <v>26764.142760170103</v>
      </c>
      <c r="AP11" s="49">
        <f>(高情景!AP11+低情景!AP11)/2</f>
        <v>26578.280657668922</v>
      </c>
      <c r="AQ11" s="49">
        <f>(高情景!AQ11+低情景!AQ11)/2</f>
        <v>26392.41855516774</v>
      </c>
      <c r="AR11" s="49">
        <f>(高情景!AR11+低情景!AR11)/2</f>
        <v>26206.556452666558</v>
      </c>
      <c r="AS11" s="50">
        <f>(高情景!AS11+低情景!AS11)/2</f>
        <v>26020.69435016538</v>
      </c>
    </row>
    <row r="12" spans="1:45" x14ac:dyDescent="0.15">
      <c r="A12" s="17" t="s">
        <v>33</v>
      </c>
      <c r="B12" s="8" t="s">
        <v>34</v>
      </c>
      <c r="C12" s="9" t="s">
        <v>18</v>
      </c>
      <c r="D12" s="8" t="s">
        <v>27</v>
      </c>
      <c r="E12" s="48">
        <f>高情景!E12*0.5+低情景!E12*0.5</f>
        <v>3673.87</v>
      </c>
      <c r="F12" s="49">
        <f>高情景!F12*0.5+低情景!F12*0.5</f>
        <v>3891.31</v>
      </c>
      <c r="G12" s="49">
        <f>高情景!G12*0.5+低情景!G12*0.5</f>
        <v>3463.08</v>
      </c>
      <c r="H12" s="49">
        <f>高情景!H12*0.5+低情景!H12*0.5</f>
        <v>3692.0533333333333</v>
      </c>
      <c r="I12" s="49">
        <f>高情景!I12*0.45+低情景!I12*0.55</f>
        <v>3917.6933333333336</v>
      </c>
      <c r="J12" s="49">
        <f>高情景!J12*0.37+低情景!J12*0.63</f>
        <v>4137</v>
      </c>
      <c r="K12" s="49">
        <f>高情景!K12*0.7+低情景!K12*0.3</f>
        <v>4178</v>
      </c>
      <c r="L12" s="49">
        <f>高情景!L12*0.8+低情景!L12*0.2</f>
        <v>4204</v>
      </c>
      <c r="M12" s="49">
        <f>高情景!M12*0.65+低情景!M12*0.35</f>
        <v>4183</v>
      </c>
      <c r="N12" s="49">
        <f>高情景!N12*0.55+低情景!N12*0.45</f>
        <v>4163</v>
      </c>
      <c r="O12" s="49">
        <f>高情景!O12*0.5+低情景!O12*0.5</f>
        <v>4150</v>
      </c>
      <c r="P12" s="49">
        <f>(高情景!P12+低情景!P12)/2</f>
        <v>4105</v>
      </c>
      <c r="Q12" s="49">
        <f>(高情景!Q12+低情景!Q12)/2</f>
        <v>4060</v>
      </c>
      <c r="R12" s="49">
        <f>(高情景!R12+低情景!R12)/2</f>
        <v>4015</v>
      </c>
      <c r="S12" s="49">
        <f>(高情景!S12+低情景!S12)/2</f>
        <v>3970</v>
      </c>
      <c r="T12" s="49">
        <f>(高情景!T12+低情景!T12)/2</f>
        <v>3925</v>
      </c>
      <c r="U12" s="49">
        <f>(高情景!U12+低情景!U12)/2</f>
        <v>3865</v>
      </c>
      <c r="V12" s="49">
        <f>(高情景!V12+低情景!V12)/2</f>
        <v>3805</v>
      </c>
      <c r="W12" s="49">
        <f>(高情景!W12+低情景!W12)/2</f>
        <v>3745</v>
      </c>
      <c r="X12" s="49">
        <f>(高情景!X12+低情景!X12)/2</f>
        <v>3685</v>
      </c>
      <c r="Y12" s="49">
        <f>(高情景!Y12+低情景!Y12)/2</f>
        <v>3625</v>
      </c>
      <c r="Z12" s="49">
        <f>(高情景!Z12+低情景!Z12)/2</f>
        <v>3555</v>
      </c>
      <c r="AA12" s="49">
        <f>(高情景!AA12+低情景!AA12)/2</f>
        <v>3485</v>
      </c>
      <c r="AB12" s="49">
        <f>(高情景!AB12+低情景!AB12)/2</f>
        <v>3415</v>
      </c>
      <c r="AC12" s="49">
        <f>(高情景!AC12+低情景!AC12)/2</f>
        <v>3345</v>
      </c>
      <c r="AD12" s="49">
        <f>(高情景!AD12+低情景!AD12)/2</f>
        <v>3275</v>
      </c>
      <c r="AE12" s="49">
        <f>(高情景!AE12+低情景!AE12)/2</f>
        <v>3220</v>
      </c>
      <c r="AF12" s="49">
        <f>(高情景!AF12+低情景!AF12)/2</f>
        <v>3165</v>
      </c>
      <c r="AG12" s="49">
        <f>(高情景!AG12+低情景!AG12)/2</f>
        <v>3110</v>
      </c>
      <c r="AH12" s="49">
        <f>(高情景!AH12+低情景!AH12)/2</f>
        <v>3055</v>
      </c>
      <c r="AI12" s="49">
        <f>(高情景!AI12+低情景!AI12)/2</f>
        <v>3000</v>
      </c>
      <c r="AJ12" s="49">
        <f>(高情景!AJ12+低情景!AJ12)/2</f>
        <v>2960</v>
      </c>
      <c r="AK12" s="49">
        <f>(高情景!AK12+低情景!AK12)/2</f>
        <v>2920</v>
      </c>
      <c r="AL12" s="49">
        <f>(高情景!AL12+低情景!AL12)/2</f>
        <v>2880</v>
      </c>
      <c r="AM12" s="49">
        <f>(高情景!AM12+低情景!AM12)/2</f>
        <v>2840</v>
      </c>
      <c r="AN12" s="49">
        <f>(高情景!AN12+低情景!AN12)/2</f>
        <v>2800</v>
      </c>
      <c r="AO12" s="49">
        <f>(高情景!AO12+低情景!AO12)/2</f>
        <v>2780</v>
      </c>
      <c r="AP12" s="49">
        <f>(高情景!AP12+低情景!AP12)/2</f>
        <v>2760</v>
      </c>
      <c r="AQ12" s="49">
        <f>(高情景!AQ12+低情景!AQ12)/2</f>
        <v>2740</v>
      </c>
      <c r="AR12" s="49">
        <f>(高情景!AR12+低情景!AR12)/2</f>
        <v>2720</v>
      </c>
      <c r="AS12" s="50">
        <f>(高情景!AS12+低情景!AS12)/2</f>
        <v>2700</v>
      </c>
    </row>
    <row r="13" spans="1:45" x14ac:dyDescent="0.15">
      <c r="A13" s="17" t="s">
        <v>33</v>
      </c>
      <c r="B13" s="8" t="s">
        <v>35</v>
      </c>
      <c r="C13" s="9" t="s">
        <v>18</v>
      </c>
      <c r="D13" s="8" t="s">
        <v>27</v>
      </c>
      <c r="E13" s="48">
        <f>高情景!E13*0.5+低情景!E13*0.5</f>
        <v>2812.37</v>
      </c>
      <c r="F13" s="49">
        <f>高情景!F13*0.5+低情景!F13*0.5</f>
        <v>2913.25</v>
      </c>
      <c r="G13" s="49">
        <f>高情景!G13*0.5+低情景!G13*0.5</f>
        <v>2920.2</v>
      </c>
      <c r="H13" s="49">
        <f>高情景!H13*0.5+低情景!H13*0.5</f>
        <v>3005.1333333333332</v>
      </c>
      <c r="I13" s="49">
        <f>高情景!I13*0.45+低情景!I13*0.55</f>
        <v>3088.4</v>
      </c>
      <c r="J13" s="49">
        <f>高情景!J13*0.37+低情景!J13*0.63</f>
        <v>3168.5</v>
      </c>
      <c r="K13" s="49">
        <f>高情景!K13*0.7+低情景!K13*0.3</f>
        <v>3186</v>
      </c>
      <c r="L13" s="49">
        <f>高情景!L13*0.8+低情景!L13*0.2</f>
        <v>3198</v>
      </c>
      <c r="M13" s="49">
        <f>高情景!M13*0.65+低情景!M13*0.35</f>
        <v>3181</v>
      </c>
      <c r="N13" s="49">
        <f>高情景!N13*0.55+低情景!N13*0.45</f>
        <v>3163.5</v>
      </c>
      <c r="O13" s="49">
        <f>高情景!O13*0.5+低情景!O13*0.5</f>
        <v>3150</v>
      </c>
      <c r="P13" s="49">
        <f>(高情景!P13+低情景!P13)/2</f>
        <v>3110</v>
      </c>
      <c r="Q13" s="49">
        <f>(高情景!Q13+低情景!Q13)/2</f>
        <v>3070</v>
      </c>
      <c r="R13" s="49">
        <f>(高情景!R13+低情景!R13)/2</f>
        <v>3030</v>
      </c>
      <c r="S13" s="49">
        <f>(高情景!S13+低情景!S13)/2</f>
        <v>2990</v>
      </c>
      <c r="T13" s="49">
        <f>(高情景!T13+低情景!T13)/2</f>
        <v>2950</v>
      </c>
      <c r="U13" s="49">
        <f>(高情景!U13+低情景!U13)/2</f>
        <v>2890</v>
      </c>
      <c r="V13" s="49">
        <f>(高情景!V13+低情景!V13)/2</f>
        <v>2830</v>
      </c>
      <c r="W13" s="49">
        <f>(高情景!W13+低情景!W13)/2</f>
        <v>2770</v>
      </c>
      <c r="X13" s="49">
        <f>(高情景!X13+低情景!X13)/2</f>
        <v>2710</v>
      </c>
      <c r="Y13" s="49">
        <f>(高情景!Y13+低情景!Y13)/2</f>
        <v>2650</v>
      </c>
      <c r="Z13" s="49">
        <f>(高情景!Z13+低情景!Z13)/2</f>
        <v>2598</v>
      </c>
      <c r="AA13" s="49">
        <f>(高情景!AA13+低情景!AA13)/2</f>
        <v>2546</v>
      </c>
      <c r="AB13" s="49">
        <f>(高情景!AB13+低情景!AB13)/2</f>
        <v>2494</v>
      </c>
      <c r="AC13" s="49">
        <f>(高情景!AC13+低情景!AC13)/2</f>
        <v>2442</v>
      </c>
      <c r="AD13" s="49">
        <f>(高情景!AD13+低情景!AD13)/2</f>
        <v>2390</v>
      </c>
      <c r="AE13" s="49">
        <f>(高情景!AE13+低情景!AE13)/2</f>
        <v>2352</v>
      </c>
      <c r="AF13" s="49">
        <f>(高情景!AF13+低情景!AF13)/2</f>
        <v>2314</v>
      </c>
      <c r="AG13" s="49">
        <f>(高情景!AG13+低情景!AG13)/2</f>
        <v>2276</v>
      </c>
      <c r="AH13" s="49">
        <f>(高情景!AH13+低情景!AH13)/2</f>
        <v>2238</v>
      </c>
      <c r="AI13" s="49">
        <f>(高情景!AI13+低情景!AI13)/2</f>
        <v>2200</v>
      </c>
      <c r="AJ13" s="49">
        <f>(高情景!AJ13+低情景!AJ13)/2</f>
        <v>2175</v>
      </c>
      <c r="AK13" s="49">
        <f>(高情景!AK13+低情景!AK13)/2</f>
        <v>2150</v>
      </c>
      <c r="AL13" s="49">
        <f>(高情景!AL13+低情景!AL13)/2</f>
        <v>2125</v>
      </c>
      <c r="AM13" s="49">
        <f>(高情景!AM13+低情景!AM13)/2</f>
        <v>2100</v>
      </c>
      <c r="AN13" s="49">
        <f>(高情景!AN13+低情景!AN13)/2</f>
        <v>2075</v>
      </c>
      <c r="AO13" s="49">
        <f>(高情景!AO13+低情景!AO13)/2</f>
        <v>2060</v>
      </c>
      <c r="AP13" s="49">
        <f>(高情景!AP13+低情景!AP13)/2</f>
        <v>2045</v>
      </c>
      <c r="AQ13" s="49">
        <f>(高情景!AQ13+低情景!AQ13)/2</f>
        <v>2030</v>
      </c>
      <c r="AR13" s="49">
        <f>(高情景!AR13+低情景!AR13)/2</f>
        <v>2015</v>
      </c>
      <c r="AS13" s="50">
        <f>(高情景!AS13+低情景!AS13)/2</f>
        <v>2000</v>
      </c>
    </row>
    <row r="14" spans="1:45" x14ac:dyDescent="0.15">
      <c r="A14" s="17" t="s">
        <v>33</v>
      </c>
      <c r="B14" s="8" t="s">
        <v>36</v>
      </c>
      <c r="C14" s="9" t="s">
        <v>18</v>
      </c>
      <c r="D14" s="8" t="s">
        <v>27</v>
      </c>
      <c r="E14" s="48">
        <f>高情景!E14*0.5+低情景!E14*0.5</f>
        <v>2159.96</v>
      </c>
      <c r="F14" s="49">
        <f>高情景!F14*0.5+低情景!F14*0.5</f>
        <v>2825.67</v>
      </c>
      <c r="G14" s="49">
        <f>高情景!G14*0.5+低情景!G14*0.5</f>
        <v>2897.51</v>
      </c>
      <c r="H14" s="49">
        <f>高情景!H14*0.5+低情景!H14*0.5</f>
        <v>3156.6733333333332</v>
      </c>
      <c r="I14" s="49">
        <f>高情景!I14*0.45+低情景!I14*0.55</f>
        <v>3414.17</v>
      </c>
      <c r="J14" s="49">
        <f>高情景!J14*0.37+低情景!J14*0.63</f>
        <v>3668.5</v>
      </c>
      <c r="K14" s="49">
        <f>高情景!K14*0.7+低情景!K14*0.3</f>
        <v>3890</v>
      </c>
      <c r="L14" s="49">
        <f>高情景!L14*0.8+低情景!L14*0.2</f>
        <v>4110</v>
      </c>
      <c r="M14" s="49">
        <f>高情景!M14*0.65+低情景!M14*0.35</f>
        <v>4290</v>
      </c>
      <c r="N14" s="49">
        <f>高情景!N14*0.55+低情景!N14*0.45</f>
        <v>4467.5</v>
      </c>
      <c r="O14" s="49">
        <f>高情景!O14*0.5+低情景!O14*0.5</f>
        <v>4650</v>
      </c>
      <c r="P14" s="49">
        <f>(高情景!P14+低情景!P14)/2</f>
        <v>4720</v>
      </c>
      <c r="Q14" s="49">
        <f>(高情景!Q14+低情景!Q14)/2</f>
        <v>4790</v>
      </c>
      <c r="R14" s="49">
        <f>(高情景!R14+低情景!R14)/2</f>
        <v>4860</v>
      </c>
      <c r="S14" s="49">
        <f>(高情景!S14+低情景!S14)/2</f>
        <v>4930</v>
      </c>
      <c r="T14" s="49">
        <f>(高情景!T14+低情景!T14)/2</f>
        <v>5000</v>
      </c>
      <c r="U14" s="49">
        <f>(高情景!U14+低情景!U14)/2</f>
        <v>4985</v>
      </c>
      <c r="V14" s="49">
        <f>(高情景!V14+低情景!V14)/2</f>
        <v>4970</v>
      </c>
      <c r="W14" s="49">
        <f>(高情景!W14+低情景!W14)/2</f>
        <v>4955</v>
      </c>
      <c r="X14" s="49">
        <f>(高情景!X14+低情景!X14)/2</f>
        <v>4940</v>
      </c>
      <c r="Y14" s="49">
        <f>(高情景!Y14+低情景!Y14)/2</f>
        <v>4925</v>
      </c>
      <c r="Z14" s="49">
        <f>(高情景!Z14+低情景!Z14)/2</f>
        <v>4900</v>
      </c>
      <c r="AA14" s="49">
        <f>(高情景!AA14+低情景!AA14)/2</f>
        <v>4875</v>
      </c>
      <c r="AB14" s="49">
        <f>(高情景!AB14+低情景!AB14)/2</f>
        <v>4850</v>
      </c>
      <c r="AC14" s="49">
        <f>(高情景!AC14+低情景!AC14)/2</f>
        <v>4825</v>
      </c>
      <c r="AD14" s="49">
        <f>(高情景!AD14+低情景!AD14)/2</f>
        <v>4800</v>
      </c>
      <c r="AE14" s="49">
        <f>(高情景!AE14+低情景!AE14)/2</f>
        <v>4750</v>
      </c>
      <c r="AF14" s="49">
        <f>(高情景!AF14+低情景!AF14)/2</f>
        <v>4700</v>
      </c>
      <c r="AG14" s="49">
        <f>(高情景!AG14+低情景!AG14)/2</f>
        <v>4650</v>
      </c>
      <c r="AH14" s="49">
        <f>(高情景!AH14+低情景!AH14)/2</f>
        <v>4600</v>
      </c>
      <c r="AI14" s="49">
        <f>(高情景!AI14+低情景!AI14)/2</f>
        <v>4550</v>
      </c>
      <c r="AJ14" s="49">
        <f>(高情景!AJ14+低情景!AJ14)/2</f>
        <v>4485</v>
      </c>
      <c r="AK14" s="49">
        <f>(高情景!AK14+低情景!AK14)/2</f>
        <v>4420</v>
      </c>
      <c r="AL14" s="49">
        <f>(高情景!AL14+低情景!AL14)/2</f>
        <v>4355</v>
      </c>
      <c r="AM14" s="49">
        <f>(高情景!AM14+低情景!AM14)/2</f>
        <v>4290</v>
      </c>
      <c r="AN14" s="49">
        <f>(高情景!AN14+低情景!AN14)/2</f>
        <v>4225</v>
      </c>
      <c r="AO14" s="49">
        <f>(高情景!AO14+低情景!AO14)/2</f>
        <v>4180</v>
      </c>
      <c r="AP14" s="49">
        <f>(高情景!AP14+低情景!AP14)/2</f>
        <v>4135</v>
      </c>
      <c r="AQ14" s="49">
        <f>(高情景!AQ14+低情景!AQ14)/2</f>
        <v>4090</v>
      </c>
      <c r="AR14" s="49">
        <f>(高情景!AR14+低情景!AR14)/2</f>
        <v>4045</v>
      </c>
      <c r="AS14" s="50">
        <f>(高情景!AS14+低情景!AS14)/2</f>
        <v>4000</v>
      </c>
    </row>
    <row r="15" spans="1:45" x14ac:dyDescent="0.15">
      <c r="A15" s="17" t="s">
        <v>33</v>
      </c>
      <c r="B15" s="8" t="s">
        <v>37</v>
      </c>
      <c r="C15" s="9" t="s">
        <v>18</v>
      </c>
      <c r="D15" s="8" t="s">
        <v>27</v>
      </c>
      <c r="E15" s="48">
        <f>高情景!E15*0.5+低情景!E15*0.5</f>
        <v>5117.13</v>
      </c>
      <c r="F15" s="49">
        <f>高情景!F15*0.5+低情景!F15*0.5</f>
        <v>5189.38</v>
      </c>
      <c r="G15" s="49">
        <f>高情景!G15*0.5+低情景!G15*0.5</f>
        <v>5321.01</v>
      </c>
      <c r="H15" s="49">
        <f>高情景!H15*0.5+低情景!H15*0.5</f>
        <v>5464.0066666666662</v>
      </c>
      <c r="I15" s="49">
        <f>高情景!I15*0.45+低情景!I15*0.55</f>
        <v>5603.67</v>
      </c>
      <c r="J15" s="49">
        <f>高情景!J15*0.37+低情景!J15*0.63</f>
        <v>5737</v>
      </c>
      <c r="K15" s="49">
        <f>高情景!K15*0.7+低情景!K15*0.3</f>
        <v>5836.2</v>
      </c>
      <c r="L15" s="49">
        <f>高情景!L15*0.8+低情景!L15*0.2</f>
        <v>5921.6</v>
      </c>
      <c r="M15" s="49">
        <f>高情景!M15*0.65+低情景!M15*0.35</f>
        <v>5956.7</v>
      </c>
      <c r="N15" s="49">
        <f>高情景!N15*0.55+低情景!N15*0.45</f>
        <v>5992.2000000000007</v>
      </c>
      <c r="O15" s="49">
        <f>高情景!O15*0.5+低情景!O15*0.5</f>
        <v>6035</v>
      </c>
      <c r="P15" s="49">
        <f>(高情景!P15+低情景!P15)/2</f>
        <v>6068</v>
      </c>
      <c r="Q15" s="49">
        <f>(高情景!Q15+低情景!Q15)/2</f>
        <v>6101</v>
      </c>
      <c r="R15" s="49">
        <f>(高情景!R15+低情景!R15)/2</f>
        <v>6134</v>
      </c>
      <c r="S15" s="49">
        <f>(高情景!S15+低情景!S15)/2</f>
        <v>6167</v>
      </c>
      <c r="T15" s="49">
        <f>(高情景!T15+低情景!T15)/2</f>
        <v>6200</v>
      </c>
      <c r="U15" s="49">
        <f>(高情景!U15+低情景!U15)/2</f>
        <v>6237</v>
      </c>
      <c r="V15" s="49">
        <f>(高情景!V15+低情景!V15)/2</f>
        <v>6274</v>
      </c>
      <c r="W15" s="49">
        <f>(高情景!W15+低情景!W15)/2</f>
        <v>6311</v>
      </c>
      <c r="X15" s="49">
        <f>(高情景!X15+低情景!X15)/2</f>
        <v>6348</v>
      </c>
      <c r="Y15" s="49">
        <f>(高情景!Y15+低情景!Y15)/2</f>
        <v>6385</v>
      </c>
      <c r="Z15" s="49">
        <f>(高情景!Z15+低情景!Z15)/2</f>
        <v>6425</v>
      </c>
      <c r="AA15" s="49">
        <f>(高情景!AA15+低情景!AA15)/2</f>
        <v>6465</v>
      </c>
      <c r="AB15" s="49">
        <f>(高情景!AB15+低情景!AB15)/2</f>
        <v>6505</v>
      </c>
      <c r="AC15" s="49">
        <f>(高情景!AC15+低情景!AC15)/2</f>
        <v>6545</v>
      </c>
      <c r="AD15" s="49">
        <f>(高情景!AD15+低情景!AD15)/2</f>
        <v>6585</v>
      </c>
      <c r="AE15" s="49">
        <f>(高情景!AE15+低情景!AE15)/2</f>
        <v>6628</v>
      </c>
      <c r="AF15" s="49">
        <f>(高情景!AF15+低情景!AF15)/2</f>
        <v>6671</v>
      </c>
      <c r="AG15" s="49">
        <f>(高情景!AG15+低情景!AG15)/2</f>
        <v>6714</v>
      </c>
      <c r="AH15" s="49">
        <f>(高情景!AH15+低情景!AH15)/2</f>
        <v>6757</v>
      </c>
      <c r="AI15" s="49">
        <f>(高情景!AI15+低情景!AI15)/2</f>
        <v>6800</v>
      </c>
      <c r="AJ15" s="49">
        <f>(高情景!AJ15+低情景!AJ15)/2</f>
        <v>6840</v>
      </c>
      <c r="AK15" s="49">
        <f>(高情景!AK15+低情景!AK15)/2</f>
        <v>6880</v>
      </c>
      <c r="AL15" s="49">
        <f>(高情景!AL15+低情景!AL15)/2</f>
        <v>6920</v>
      </c>
      <c r="AM15" s="49">
        <f>(高情景!AM15+低情景!AM15)/2</f>
        <v>6960</v>
      </c>
      <c r="AN15" s="49">
        <f>(高情景!AN15+低情景!AN15)/2</f>
        <v>7000</v>
      </c>
      <c r="AO15" s="49">
        <f>(高情景!AO15+低情景!AO15)/2</f>
        <v>7030</v>
      </c>
      <c r="AP15" s="49">
        <f>(高情景!AP15+低情景!AP15)/2</f>
        <v>7060</v>
      </c>
      <c r="AQ15" s="49">
        <f>(高情景!AQ15+低情景!AQ15)/2</f>
        <v>7090</v>
      </c>
      <c r="AR15" s="49">
        <f>(高情景!AR15+低情景!AR15)/2</f>
        <v>7120</v>
      </c>
      <c r="AS15" s="50">
        <f>(高情景!AS15+低情景!AS15)/2</f>
        <v>7150</v>
      </c>
    </row>
    <row r="16" spans="1:45" x14ac:dyDescent="0.15">
      <c r="A16" s="17" t="s">
        <v>38</v>
      </c>
      <c r="B16" s="8" t="s">
        <v>39</v>
      </c>
      <c r="C16" s="9" t="s">
        <v>18</v>
      </c>
      <c r="D16" s="8" t="s">
        <v>27</v>
      </c>
      <c r="E16" s="48">
        <f>高情景!E16*0.5+低情景!E16*0.5</f>
        <v>239470.83</v>
      </c>
      <c r="F16" s="49">
        <f>高情景!F16*0.5+低情景!F16*0.5</f>
        <v>237724.49</v>
      </c>
      <c r="G16" s="49">
        <f>高情景!G16*0.5+低情景!G16*0.5</f>
        <v>212927.18</v>
      </c>
      <c r="H16" s="49">
        <f>高情景!H16*0.5+低情景!H16*0.5</f>
        <v>208284.78666666668</v>
      </c>
      <c r="I16" s="49">
        <f>高情景!I16*0.45+低情景!I16*0.55</f>
        <v>203575.72666666668</v>
      </c>
      <c r="J16" s="49">
        <f>高情景!J16*0.37+低情景!J16*0.63</f>
        <v>198740</v>
      </c>
      <c r="K16" s="49">
        <f>高情景!K16*0.7+低情景!K16*0.3</f>
        <v>197320</v>
      </c>
      <c r="L16" s="49">
        <f>高情景!L16*0.8+低情景!L16*0.2</f>
        <v>196160</v>
      </c>
      <c r="M16" s="49">
        <f>高情景!M16*0.65+低情景!M16*0.35</f>
        <v>192520</v>
      </c>
      <c r="N16" s="49">
        <f>高情景!N16*0.55+低情景!N16*0.45</f>
        <v>188620</v>
      </c>
      <c r="O16" s="49">
        <f>高情景!O16*0.5+低情景!O16*0.5</f>
        <v>185000</v>
      </c>
      <c r="P16" s="49">
        <f>(高情景!P16+低情景!P16)/2</f>
        <v>182000</v>
      </c>
      <c r="Q16" s="49">
        <f>(高情景!Q16+低情景!Q16)/2</f>
        <v>179000</v>
      </c>
      <c r="R16" s="49">
        <f>(高情景!R16+低情景!R16)/2</f>
        <v>176000</v>
      </c>
      <c r="S16" s="49">
        <f>(高情景!S16+低情景!S16)/2</f>
        <v>173000</v>
      </c>
      <c r="T16" s="49">
        <f>(高情景!T16+低情景!T16)/2</f>
        <v>170000</v>
      </c>
      <c r="U16" s="49">
        <f>(高情景!U16+低情景!U16)/2</f>
        <v>166800</v>
      </c>
      <c r="V16" s="49">
        <f>(高情景!V16+低情景!V16)/2</f>
        <v>163600</v>
      </c>
      <c r="W16" s="49">
        <f>(高情景!W16+低情景!W16)/2</f>
        <v>160400</v>
      </c>
      <c r="X16" s="49">
        <f>(高情景!X16+低情景!X16)/2</f>
        <v>157200</v>
      </c>
      <c r="Y16" s="49">
        <f>(高情景!Y16+低情景!Y16)/2</f>
        <v>154000</v>
      </c>
      <c r="Z16" s="49">
        <f>(高情景!Z16+低情景!Z16)/2</f>
        <v>150700</v>
      </c>
      <c r="AA16" s="49">
        <f>(高情景!AA16+低情景!AA16)/2</f>
        <v>147400</v>
      </c>
      <c r="AB16" s="49">
        <f>(高情景!AB16+低情景!AB16)/2</f>
        <v>144100</v>
      </c>
      <c r="AC16" s="49">
        <f>(高情景!AC16+低情景!AC16)/2</f>
        <v>140800</v>
      </c>
      <c r="AD16" s="49">
        <f>(高情景!AD16+低情景!AD16)/2</f>
        <v>137500</v>
      </c>
      <c r="AE16" s="49">
        <f>(高情景!AE16+低情景!AE16)/2</f>
        <v>134500</v>
      </c>
      <c r="AF16" s="49">
        <f>(高情景!AF16+低情景!AF16)/2</f>
        <v>131500</v>
      </c>
      <c r="AG16" s="49">
        <f>(高情景!AG16+低情景!AG16)/2</f>
        <v>128500</v>
      </c>
      <c r="AH16" s="49">
        <f>(高情景!AH16+低情景!AH16)/2</f>
        <v>125500</v>
      </c>
      <c r="AI16" s="49">
        <f>(高情景!AI16+低情景!AI16)/2</f>
        <v>122500</v>
      </c>
      <c r="AJ16" s="49">
        <f>(高情景!AJ16+低情景!AJ16)/2</f>
        <v>120000</v>
      </c>
      <c r="AK16" s="49">
        <f>(高情景!AK16+低情景!AK16)/2</f>
        <v>117500</v>
      </c>
      <c r="AL16" s="49">
        <f>(高情景!AL16+低情景!AL16)/2</f>
        <v>115000</v>
      </c>
      <c r="AM16" s="49">
        <f>(高情景!AM16+低情景!AM16)/2</f>
        <v>112500</v>
      </c>
      <c r="AN16" s="49">
        <f>(高情景!AN16+低情景!AN16)/2</f>
        <v>110000</v>
      </c>
      <c r="AO16" s="49">
        <f>(高情景!AO16+低情景!AO16)/2</f>
        <v>108000</v>
      </c>
      <c r="AP16" s="49">
        <f>(高情景!AP16+低情景!AP16)/2</f>
        <v>106000</v>
      </c>
      <c r="AQ16" s="49">
        <f>(高情景!AQ16+低情景!AQ16)/2</f>
        <v>104000</v>
      </c>
      <c r="AR16" s="49">
        <f>(高情景!AR16+低情景!AR16)/2</f>
        <v>102000</v>
      </c>
      <c r="AS16" s="50">
        <f>(高情景!AS16+低情景!AS16)/2</f>
        <v>100000</v>
      </c>
    </row>
    <row r="17" spans="1:45" x14ac:dyDescent="0.15">
      <c r="A17" s="17" t="s">
        <v>38</v>
      </c>
      <c r="B17" s="8" t="s">
        <v>40</v>
      </c>
      <c r="C17" s="9" t="s">
        <v>41</v>
      </c>
      <c r="D17" s="8" t="s">
        <v>27</v>
      </c>
      <c r="E17" s="48">
        <f>高情景!E17*0.5+低情景!E17*0.5</f>
        <v>95227.79</v>
      </c>
      <c r="F17" s="49">
        <f>高情景!F17*0.5+低情景!F17*0.5</f>
        <v>101727.37</v>
      </c>
      <c r="G17" s="49">
        <f>高情景!G17*0.5+低情景!G17*0.5</f>
        <v>101668.65</v>
      </c>
      <c r="H17" s="49">
        <f>高情景!H17*0.5+低情景!H17*0.5</f>
        <v>99995.766666666663</v>
      </c>
      <c r="I17" s="49">
        <f>高情景!I17*0.45+低情景!I17*0.55</f>
        <v>98299.55</v>
      </c>
      <c r="J17" s="49">
        <f>高情景!J17*0.37+低情景!J17*0.63</f>
        <v>96559</v>
      </c>
      <c r="K17" s="49">
        <f>高情景!K17*0.7+低情景!K17*0.3</f>
        <v>96252</v>
      </c>
      <c r="L17" s="49">
        <f>高情景!L17*0.8+低情景!L17*0.2</f>
        <v>95876</v>
      </c>
      <c r="M17" s="49">
        <f>高情景!M17*0.65+低情景!M17*0.35</f>
        <v>95072</v>
      </c>
      <c r="N17" s="49">
        <f>高情景!N17*0.55+低情景!N17*0.45</f>
        <v>94257</v>
      </c>
      <c r="O17" s="49">
        <f>高情景!O17*0.5+低情景!O17*0.5</f>
        <v>93500</v>
      </c>
      <c r="P17" s="49">
        <f>(高情景!P17+低情景!P17)/2</f>
        <v>92700</v>
      </c>
      <c r="Q17" s="49">
        <f>(高情景!Q17+低情景!Q17)/2</f>
        <v>91900</v>
      </c>
      <c r="R17" s="49">
        <f>(高情景!R17+低情景!R17)/2</f>
        <v>91100</v>
      </c>
      <c r="S17" s="49">
        <f>(高情景!S17+低情景!S17)/2</f>
        <v>90300</v>
      </c>
      <c r="T17" s="49">
        <f>(高情景!T17+低情景!T17)/2</f>
        <v>89500</v>
      </c>
      <c r="U17" s="49">
        <f>(高情景!U17+低情景!U17)/2</f>
        <v>88700</v>
      </c>
      <c r="V17" s="49">
        <f>(高情景!V17+低情景!V17)/2</f>
        <v>87900</v>
      </c>
      <c r="W17" s="49">
        <f>(高情景!W17+低情景!W17)/2</f>
        <v>87100</v>
      </c>
      <c r="X17" s="49">
        <f>(高情景!X17+低情景!X17)/2</f>
        <v>86300</v>
      </c>
      <c r="Y17" s="49">
        <f>(高情景!Y17+低情景!Y17)/2</f>
        <v>85500</v>
      </c>
      <c r="Z17" s="49">
        <f>(高情景!Z17+低情景!Z17)/2</f>
        <v>84550</v>
      </c>
      <c r="AA17" s="49">
        <f>(高情景!AA17+低情景!AA17)/2</f>
        <v>83600</v>
      </c>
      <c r="AB17" s="49">
        <f>(高情景!AB17+低情景!AB17)/2</f>
        <v>82650</v>
      </c>
      <c r="AC17" s="49">
        <f>(高情景!AC17+低情景!AC17)/2</f>
        <v>81700</v>
      </c>
      <c r="AD17" s="49">
        <f>(高情景!AD17+低情景!AD17)/2</f>
        <v>80750</v>
      </c>
      <c r="AE17" s="49">
        <f>(高情景!AE17+低情景!AE17)/2</f>
        <v>80000</v>
      </c>
      <c r="AF17" s="49">
        <f>(高情景!AF17+低情景!AF17)/2</f>
        <v>79250</v>
      </c>
      <c r="AG17" s="49">
        <f>(高情景!AG17+低情景!AG17)/2</f>
        <v>78500</v>
      </c>
      <c r="AH17" s="49">
        <f>(高情景!AH17+低情景!AH17)/2</f>
        <v>77750</v>
      </c>
      <c r="AI17" s="49">
        <f>(高情景!AI17+低情景!AI17)/2</f>
        <v>77000</v>
      </c>
      <c r="AJ17" s="49">
        <f>(高情景!AJ17+低情景!AJ17)/2</f>
        <v>76400</v>
      </c>
      <c r="AK17" s="49">
        <f>(高情景!AK17+低情景!AK17)/2</f>
        <v>75800</v>
      </c>
      <c r="AL17" s="49">
        <f>(高情景!AL17+低情景!AL17)/2</f>
        <v>75200</v>
      </c>
      <c r="AM17" s="49">
        <f>(高情景!AM17+低情景!AM17)/2</f>
        <v>74600</v>
      </c>
      <c r="AN17" s="49">
        <f>(高情景!AN17+低情景!AN17)/2</f>
        <v>74000</v>
      </c>
      <c r="AO17" s="49">
        <f>(高情景!AO17+低情景!AO17)/2</f>
        <v>73600</v>
      </c>
      <c r="AP17" s="49">
        <f>(高情景!AP17+低情景!AP17)/2</f>
        <v>73200</v>
      </c>
      <c r="AQ17" s="49">
        <f>(高情景!AQ17+低情景!AQ17)/2</f>
        <v>72800</v>
      </c>
      <c r="AR17" s="49">
        <f>(高情景!AR17+低情景!AR17)/2</f>
        <v>72400</v>
      </c>
      <c r="AS17" s="50">
        <f>(高情景!AS17+低情景!AS17)/2</f>
        <v>72000</v>
      </c>
    </row>
    <row r="18" spans="1:45" x14ac:dyDescent="0.15">
      <c r="A18" s="18" t="s">
        <v>42</v>
      </c>
      <c r="B18" s="8" t="s">
        <v>43</v>
      </c>
      <c r="C18" s="9" t="s">
        <v>18</v>
      </c>
      <c r="D18" s="8" t="s">
        <v>27</v>
      </c>
      <c r="E18" s="48">
        <f>高情景!E18*0.5+低情景!E18*0.5</f>
        <v>106476.68</v>
      </c>
      <c r="F18" s="49">
        <f>高情景!F18*0.5+低情景!F18*0.5</f>
        <v>103524.26</v>
      </c>
      <c r="G18" s="49">
        <f>高情景!G18*0.5+低情景!G18*0.5</f>
        <v>101795.9</v>
      </c>
      <c r="H18" s="49">
        <f>高情景!H18*0.5+低情景!H18*0.5</f>
        <v>102048.63333333333</v>
      </c>
      <c r="I18" s="49">
        <f>高情景!I18*0.45+低情景!I18*0.55</f>
        <v>101169.38500000001</v>
      </c>
      <c r="J18" s="49">
        <f>高情景!J18*0.37+低情景!J18*0.63</f>
        <v>101740</v>
      </c>
      <c r="K18" s="49">
        <f>高情景!K18*0.7+低情景!K18*0.3</f>
        <v>101440</v>
      </c>
      <c r="L18" s="49">
        <f>高情景!L18*0.8+低情景!L18*0.2</f>
        <v>100920</v>
      </c>
      <c r="M18" s="49">
        <f>高情景!M18*0.65+低情景!M18*0.35</f>
        <v>99240</v>
      </c>
      <c r="N18" s="49">
        <f>高情景!N18*0.55+低情景!N18*0.45</f>
        <v>97540</v>
      </c>
      <c r="O18" s="49">
        <f>高情景!O18*0.5+低情景!O18*0.5</f>
        <v>96000</v>
      </c>
      <c r="P18" s="49">
        <f>(高情景!P18+低情景!P18)/2</f>
        <v>94400</v>
      </c>
      <c r="Q18" s="49">
        <f>(高情景!Q18+低情景!Q18)/2</f>
        <v>92800</v>
      </c>
      <c r="R18" s="49">
        <f>(高情景!R18+低情景!R18)/2</f>
        <v>91200</v>
      </c>
      <c r="S18" s="49">
        <f>(高情景!S18+低情景!S18)/2</f>
        <v>89600</v>
      </c>
      <c r="T18" s="49">
        <f>(高情景!T18+低情景!T18)/2</f>
        <v>88000</v>
      </c>
      <c r="U18" s="49">
        <f>(高情景!U18+低情景!U18)/2</f>
        <v>85900</v>
      </c>
      <c r="V18" s="49">
        <f>(高情景!V18+低情景!V18)/2</f>
        <v>83800</v>
      </c>
      <c r="W18" s="49">
        <f>(高情景!W18+低情景!W18)/2</f>
        <v>81700</v>
      </c>
      <c r="X18" s="49">
        <f>(高情景!X18+低情景!X18)/2</f>
        <v>79600</v>
      </c>
      <c r="Y18" s="49">
        <f>(高情景!Y18+低情景!Y18)/2</f>
        <v>77500</v>
      </c>
      <c r="Z18" s="49">
        <f>(高情景!Z18+低情景!Z18)/2</f>
        <v>75800</v>
      </c>
      <c r="AA18" s="49">
        <f>(高情景!AA18+低情景!AA18)/2</f>
        <v>74100</v>
      </c>
      <c r="AB18" s="49">
        <f>(高情景!AB18+低情景!AB18)/2</f>
        <v>72400</v>
      </c>
      <c r="AC18" s="49">
        <f>(高情景!AC18+低情景!AC18)/2</f>
        <v>70700</v>
      </c>
      <c r="AD18" s="49">
        <f>(高情景!AD18+低情景!AD18)/2</f>
        <v>69000</v>
      </c>
      <c r="AE18" s="49">
        <f>(高情景!AE18+低情景!AE18)/2</f>
        <v>67600</v>
      </c>
      <c r="AF18" s="49">
        <f>(高情景!AF18+低情景!AF18)/2</f>
        <v>66200</v>
      </c>
      <c r="AG18" s="49">
        <f>(高情景!AG18+低情景!AG18)/2</f>
        <v>64800</v>
      </c>
      <c r="AH18" s="49">
        <f>(高情景!AH18+低情景!AH18)/2</f>
        <v>63400</v>
      </c>
      <c r="AI18" s="49">
        <f>(高情景!AI18+低情景!AI18)/2</f>
        <v>62000</v>
      </c>
      <c r="AJ18" s="49">
        <f>(高情景!AJ18+低情景!AJ18)/2</f>
        <v>61200</v>
      </c>
      <c r="AK18" s="49">
        <f>(高情景!AK18+低情景!AK18)/2</f>
        <v>60400</v>
      </c>
      <c r="AL18" s="49">
        <f>(高情景!AL18+低情景!AL18)/2</f>
        <v>59600</v>
      </c>
      <c r="AM18" s="49">
        <f>(高情景!AM18+低情景!AM18)/2</f>
        <v>58800</v>
      </c>
      <c r="AN18" s="49">
        <f>(高情景!AN18+低情景!AN18)/2</f>
        <v>58000</v>
      </c>
      <c r="AO18" s="49">
        <f>(高情景!AO18+低情景!AO18)/2</f>
        <v>57600</v>
      </c>
      <c r="AP18" s="49">
        <f>(高情景!AP18+低情景!AP18)/2</f>
        <v>57200</v>
      </c>
      <c r="AQ18" s="49">
        <f>(高情景!AQ18+低情景!AQ18)/2</f>
        <v>56800</v>
      </c>
      <c r="AR18" s="49">
        <f>(高情景!AR18+低情景!AR18)/2</f>
        <v>56400</v>
      </c>
      <c r="AS18" s="50">
        <f>(高情景!AS18+低情景!AS18)/2</f>
        <v>56000</v>
      </c>
    </row>
    <row r="19" spans="1:45" x14ac:dyDescent="0.15">
      <c r="A19" s="17" t="s">
        <v>44</v>
      </c>
      <c r="B19" s="8" t="s">
        <v>45</v>
      </c>
      <c r="C19" s="9" t="s">
        <v>18</v>
      </c>
      <c r="D19" s="8" t="s">
        <v>27</v>
      </c>
      <c r="E19" s="48">
        <f>高情景!E19*0.5+低情景!E19*0.5</f>
        <v>3708.04</v>
      </c>
      <c r="F19" s="49">
        <f>高情景!F19*0.5+低情景!F19*0.5</f>
        <v>3850.32</v>
      </c>
      <c r="G19" s="49">
        <f>高情景!G19*0.5+低情景!G19*0.5</f>
        <v>4014.43</v>
      </c>
      <c r="H19" s="49">
        <f>高情景!H19*0.5+低情景!H19*0.5</f>
        <v>4109.62</v>
      </c>
      <c r="I19" s="49">
        <f>高情景!I19*0.45+低情景!I19*0.55</f>
        <v>4204.8099999999995</v>
      </c>
      <c r="J19" s="49">
        <f>高情景!J19*0.37+低情景!J19*0.63</f>
        <v>4300</v>
      </c>
      <c r="K19" s="49">
        <f>高情景!K19*0.7+低情景!K19*0.3</f>
        <v>4322</v>
      </c>
      <c r="L19" s="49">
        <f>高情景!L19*0.8+低情景!L19*0.2</f>
        <v>4356</v>
      </c>
      <c r="M19" s="49">
        <f>高情景!M19*0.65+低情景!M19*0.35</f>
        <v>4357</v>
      </c>
      <c r="N19" s="49">
        <f>高情景!N19*0.55+低情景!N19*0.45</f>
        <v>4352</v>
      </c>
      <c r="O19" s="49">
        <f>高情景!O19*0.5+低情景!O19*0.5</f>
        <v>4350</v>
      </c>
      <c r="P19" s="49">
        <f>(高情景!P19+低情景!P19)/2</f>
        <v>4310</v>
      </c>
      <c r="Q19" s="49">
        <f>(高情景!Q19+低情景!Q19)/2</f>
        <v>4270</v>
      </c>
      <c r="R19" s="49">
        <f>(高情景!R19+低情景!R19)/2</f>
        <v>4230</v>
      </c>
      <c r="S19" s="49">
        <f>(高情景!S19+低情景!S19)/2</f>
        <v>4190</v>
      </c>
      <c r="T19" s="49">
        <f>(高情景!T19+低情景!T19)/2</f>
        <v>4150</v>
      </c>
      <c r="U19" s="49">
        <f>(高情景!U19+低情景!U19)/2</f>
        <v>4080</v>
      </c>
      <c r="V19" s="49">
        <f>(高情景!V19+低情景!V19)/2</f>
        <v>4010</v>
      </c>
      <c r="W19" s="49">
        <f>(高情景!W19+低情景!W19)/2</f>
        <v>3940</v>
      </c>
      <c r="X19" s="49">
        <f>(高情景!X19+低情景!X19)/2</f>
        <v>3870</v>
      </c>
      <c r="Y19" s="49">
        <f>(高情景!Y19+低情景!Y19)/2</f>
        <v>3800</v>
      </c>
      <c r="Z19" s="49">
        <f>(高情景!Z19+低情景!Z19)/2</f>
        <v>3755</v>
      </c>
      <c r="AA19" s="49">
        <f>(高情景!AA19+低情景!AA19)/2</f>
        <v>3710</v>
      </c>
      <c r="AB19" s="49">
        <f>(高情景!AB19+低情景!AB19)/2</f>
        <v>3665</v>
      </c>
      <c r="AC19" s="49">
        <f>(高情景!AC19+低情景!AC19)/2</f>
        <v>3620</v>
      </c>
      <c r="AD19" s="49">
        <f>(高情景!AD19+低情景!AD19)/2</f>
        <v>3575</v>
      </c>
      <c r="AE19" s="49">
        <f>(高情景!AE19+低情景!AE19)/2</f>
        <v>3537</v>
      </c>
      <c r="AF19" s="49">
        <f>(高情景!AF19+低情景!AF19)/2</f>
        <v>3499</v>
      </c>
      <c r="AG19" s="49">
        <f>(高情景!AG19+低情景!AG19)/2</f>
        <v>3461</v>
      </c>
      <c r="AH19" s="49">
        <f>(高情景!AH19+低情景!AH19)/2</f>
        <v>3423</v>
      </c>
      <c r="AI19" s="49">
        <f>(高情景!AI19+低情景!AI19)/2</f>
        <v>3385</v>
      </c>
      <c r="AJ19" s="49">
        <f>(高情景!AJ19+低情景!AJ19)/2</f>
        <v>3348</v>
      </c>
      <c r="AK19" s="49">
        <f>(高情景!AK19+低情景!AK19)/2</f>
        <v>3311</v>
      </c>
      <c r="AL19" s="49">
        <f>(高情景!AL19+低情景!AL19)/2</f>
        <v>3274</v>
      </c>
      <c r="AM19" s="49">
        <f>(高情景!AM19+低情景!AM19)/2</f>
        <v>3237</v>
      </c>
      <c r="AN19" s="49">
        <f>(高情景!AN19+低情景!AN19)/2</f>
        <v>3200</v>
      </c>
      <c r="AO19" s="49">
        <f>(高情景!AO19+低情景!AO19)/2</f>
        <v>3180</v>
      </c>
      <c r="AP19" s="49">
        <f>(高情景!AP19+低情景!AP19)/2</f>
        <v>3160</v>
      </c>
      <c r="AQ19" s="49">
        <f>(高情景!AQ19+低情景!AQ19)/2</f>
        <v>3140</v>
      </c>
      <c r="AR19" s="49">
        <f>(高情景!AR19+低情景!AR19)/2</f>
        <v>3120</v>
      </c>
      <c r="AS19" s="50">
        <f>(高情景!AS19+低情景!AS19)/2</f>
        <v>3100</v>
      </c>
    </row>
    <row r="20" spans="1:45" x14ac:dyDescent="0.15">
      <c r="A20" s="17" t="s">
        <v>44</v>
      </c>
      <c r="B20" s="39" t="s">
        <v>46</v>
      </c>
      <c r="C20" s="9" t="s">
        <v>18</v>
      </c>
      <c r="D20" s="8" t="s">
        <v>47</v>
      </c>
      <c r="E20" s="48">
        <f>高情景!E20*0.5+低情景!E20*0.5</f>
        <v>1002.51</v>
      </c>
      <c r="F20" s="49">
        <f>高情景!F20*0.5+低情景!F20*0.5</f>
        <v>1048.67</v>
      </c>
      <c r="G20" s="49">
        <f>高情景!G20*0.5+低情景!G20*0.5</f>
        <v>1111.53</v>
      </c>
      <c r="H20" s="49">
        <f>高情景!H20*0.5+低情景!H20*0.5</f>
        <v>1249.3533333333335</v>
      </c>
      <c r="I20" s="49">
        <f>高情景!I20*0.45+低情景!I20*0.55</f>
        <v>1385.5100000000002</v>
      </c>
      <c r="J20" s="49">
        <f>高情景!J20*0.37+低情景!J20*0.63</f>
        <v>1518.5</v>
      </c>
      <c r="K20" s="49">
        <f>高情景!K20*0.7+低情景!K20*0.3</f>
        <v>1582</v>
      </c>
      <c r="L20" s="49">
        <f>高情景!L20*0.8+低情景!L20*0.2</f>
        <v>1636</v>
      </c>
      <c r="M20" s="49">
        <f>高情景!M20*0.65+低情景!M20*0.35</f>
        <v>1672</v>
      </c>
      <c r="N20" s="49">
        <f>高情景!N20*0.55+低情景!N20*0.45</f>
        <v>1709.5</v>
      </c>
      <c r="O20" s="49">
        <f>高情景!O20*0.5+低情景!O20*0.5</f>
        <v>1750</v>
      </c>
      <c r="P20" s="49">
        <f>(高情景!P20+低情景!P20)/2</f>
        <v>1775</v>
      </c>
      <c r="Q20" s="49">
        <f>(高情景!Q20+低情景!Q20)/2</f>
        <v>1800</v>
      </c>
      <c r="R20" s="49">
        <f>(高情景!R20+低情景!R20)/2</f>
        <v>1825</v>
      </c>
      <c r="S20" s="49">
        <f>(高情景!S20+低情景!S20)/2</f>
        <v>1850</v>
      </c>
      <c r="T20" s="49">
        <f>(高情景!T20+低情景!T20)/2</f>
        <v>1875</v>
      </c>
      <c r="U20" s="49">
        <f>(高情景!U20+低情景!U20)/2</f>
        <v>1896</v>
      </c>
      <c r="V20" s="49">
        <f>(高情景!V20+低情景!V20)/2</f>
        <v>1917</v>
      </c>
      <c r="W20" s="49">
        <f>(高情景!W20+低情景!W20)/2</f>
        <v>1938</v>
      </c>
      <c r="X20" s="49">
        <f>(高情景!X20+低情景!X20)/2</f>
        <v>1959</v>
      </c>
      <c r="Y20" s="49">
        <f>(高情景!Y20+低情景!Y20)/2</f>
        <v>1980</v>
      </c>
      <c r="Z20" s="49">
        <f>(高情景!Z20+低情景!Z20)/2</f>
        <v>1985</v>
      </c>
      <c r="AA20" s="49">
        <f>(高情景!AA20+低情景!AA20)/2</f>
        <v>1990</v>
      </c>
      <c r="AB20" s="49">
        <f>(高情景!AB20+低情景!AB20)/2</f>
        <v>1995</v>
      </c>
      <c r="AC20" s="49">
        <f>(高情景!AC20+低情景!AC20)/2</f>
        <v>2000</v>
      </c>
      <c r="AD20" s="49">
        <f>(高情景!AD20+低情景!AD20)/2</f>
        <v>2005</v>
      </c>
      <c r="AE20" s="49">
        <f>(高情景!AE20+低情景!AE20)/2</f>
        <v>2004</v>
      </c>
      <c r="AF20" s="49">
        <f>(高情景!AF20+低情景!AF20)/2</f>
        <v>2003</v>
      </c>
      <c r="AG20" s="49">
        <f>(高情景!AG20+低情景!AG20)/2</f>
        <v>2002</v>
      </c>
      <c r="AH20" s="49">
        <f>(高情景!AH20+低情景!AH20)/2</f>
        <v>2001</v>
      </c>
      <c r="AI20" s="49">
        <f>(高情景!AI20+低情景!AI20)/2</f>
        <v>2000</v>
      </c>
      <c r="AJ20" s="49">
        <f>(高情景!AJ20+低情景!AJ20)/2</f>
        <v>2003</v>
      </c>
      <c r="AK20" s="49">
        <f>(高情景!AK20+低情景!AK20)/2</f>
        <v>2006</v>
      </c>
      <c r="AL20" s="49">
        <f>(高情景!AL20+低情景!AL20)/2</f>
        <v>2009</v>
      </c>
      <c r="AM20" s="49">
        <f>(高情景!AM20+低情景!AM20)/2</f>
        <v>2012</v>
      </c>
      <c r="AN20" s="49">
        <f>(高情景!AN20+低情景!AN20)/2</f>
        <v>2015</v>
      </c>
      <c r="AO20" s="49">
        <f>(高情景!AO20+低情景!AO20)/2</f>
        <v>2016</v>
      </c>
      <c r="AP20" s="49">
        <f>(高情景!AP20+低情景!AP20)/2</f>
        <v>2017</v>
      </c>
      <c r="AQ20" s="49">
        <f>(高情景!AQ20+低情景!AQ20)/2</f>
        <v>2018</v>
      </c>
      <c r="AR20" s="49">
        <f>(高情景!AR20+低情景!AR20)/2</f>
        <v>2019</v>
      </c>
      <c r="AS20" s="50">
        <f>(高情景!AS20+低情景!AS20)/2</f>
        <v>2020</v>
      </c>
    </row>
    <row r="21" spans="1:45" x14ac:dyDescent="0.15">
      <c r="A21" s="20" t="s">
        <v>48</v>
      </c>
      <c r="B21" s="21" t="s">
        <v>49</v>
      </c>
      <c r="C21" s="22" t="s">
        <v>50</v>
      </c>
      <c r="D21" s="21" t="s">
        <v>51</v>
      </c>
      <c r="E21" s="51">
        <f>高情景!E21*0.5+低情景!E21*0.5</f>
        <v>2532.4899999999998</v>
      </c>
      <c r="F21" s="52">
        <f>高情景!F21*0.5+低情景!F21*0.5</f>
        <v>2625.7</v>
      </c>
      <c r="G21" s="52">
        <f>高情景!G21*0.5+低情景!G21*0.5</f>
        <v>2713.63</v>
      </c>
      <c r="H21" s="52">
        <f>高情景!H21*0.5+低情景!H21*0.5</f>
        <v>2969.8112499999997</v>
      </c>
      <c r="I21" s="52">
        <f>高情景!I21*0.45+低情景!I21*0.55</f>
        <v>3230.2133166666667</v>
      </c>
      <c r="J21" s="52">
        <f>高情景!J21*0.37+低情景!J21*0.63</f>
        <v>3498.6349349999991</v>
      </c>
      <c r="K21" s="52">
        <f>高情景!K21*0.7+低情景!K21*0.3</f>
        <v>3559.2740011111109</v>
      </c>
      <c r="L21" s="52">
        <f>高情景!L21*0.8+低情景!L21*0.2</f>
        <v>3648.2863348148148</v>
      </c>
      <c r="M21" s="52">
        <f>高情景!M21*0.65+低情景!M21*0.35</f>
        <v>3771.0183038888886</v>
      </c>
      <c r="N21" s="52">
        <f>高情景!N21*0.55+低情景!N21*0.45</f>
        <v>3887.7942316666658</v>
      </c>
      <c r="O21" s="52">
        <f>高情景!O21*0.5+低情景!O21*0.5</f>
        <v>3998.0513425925919</v>
      </c>
      <c r="P21" s="52">
        <f>(高情景!P21+低情景!P21)/2</f>
        <v>4049.6391018518511</v>
      </c>
      <c r="Q21" s="52">
        <f>(高情景!Q21+低情景!Q21)/2</f>
        <v>4101.2268611111103</v>
      </c>
      <c r="R21" s="52">
        <f>(高情景!R21+低情景!R21)/2</f>
        <v>4152.8146203703691</v>
      </c>
      <c r="S21" s="52">
        <f>(高情景!S21+低情景!S21)/2</f>
        <v>4204.4023796296278</v>
      </c>
      <c r="T21" s="52">
        <f>(高情景!T21+低情景!T21)/2</f>
        <v>4255.9901388888884</v>
      </c>
      <c r="U21" s="52">
        <f>(高情景!U21+低情景!U21)/2</f>
        <v>4269.3560583333328</v>
      </c>
      <c r="V21" s="52">
        <f>(高情景!V21+低情景!V21)/2</f>
        <v>4282.7219777777773</v>
      </c>
      <c r="W21" s="52">
        <f>(高情景!W21+低情景!W21)/2</f>
        <v>4296.0878972222217</v>
      </c>
      <c r="X21" s="52">
        <f>(高情景!X21+低情景!X21)/2</f>
        <v>4309.4538166666662</v>
      </c>
      <c r="Y21" s="52">
        <f>(高情景!Y21+低情景!Y21)/2</f>
        <v>4322.8197361111106</v>
      </c>
      <c r="Z21" s="52">
        <f>(高情景!Z21+低情景!Z21)/2</f>
        <v>4323.4582699145285</v>
      </c>
      <c r="AA21" s="52">
        <f>(高情景!AA21+低情景!AA21)/2</f>
        <v>4324.0968037179482</v>
      </c>
      <c r="AB21" s="52">
        <f>(高情景!AB21+低情景!AB21)/2</f>
        <v>4324.7353375213661</v>
      </c>
      <c r="AC21" s="52">
        <f>(高情景!AC21+低情景!AC21)/2</f>
        <v>4325.3738713247858</v>
      </c>
      <c r="AD21" s="52">
        <f>(高情景!AD21+低情景!AD21)/2</f>
        <v>4326.0124051282037</v>
      </c>
      <c r="AE21" s="52">
        <f>(高情景!AE21+低情景!AE21)/2</f>
        <v>4312.4936163621787</v>
      </c>
      <c r="AF21" s="52">
        <f>(高情景!AF21+低情景!AF21)/2</f>
        <v>4298.9748275961538</v>
      </c>
      <c r="AG21" s="52">
        <f>(高情景!AG21+低情景!AG21)/2</f>
        <v>4285.4560388301279</v>
      </c>
      <c r="AH21" s="52">
        <f>(高情景!AH21+低情景!AH21)/2</f>
        <v>4271.937250064102</v>
      </c>
      <c r="AI21" s="52">
        <f>(高情景!AI21+低情景!AI21)/2</f>
        <v>4258.4184612980762</v>
      </c>
      <c r="AJ21" s="52">
        <f>(高情景!AJ21+低情景!AJ21)/2</f>
        <v>4253.010945791666</v>
      </c>
      <c r="AK21" s="52">
        <f>(高情景!AK21+低情景!AK21)/2</f>
        <v>4247.6034302852559</v>
      </c>
      <c r="AL21" s="52">
        <f>(高情景!AL21+低情景!AL21)/2</f>
        <v>4242.1959147788457</v>
      </c>
      <c r="AM21" s="52">
        <f>(高情景!AM21+低情景!AM21)/2</f>
        <v>4236.7883992724355</v>
      </c>
      <c r="AN21" s="52">
        <f>(高情景!AN21+低情景!AN21)/2</f>
        <v>4231.3808837660254</v>
      </c>
      <c r="AO21" s="52">
        <f>(高情景!AO21+低情景!AO21)/2</f>
        <v>4223.2696105064097</v>
      </c>
      <c r="AP21" s="52">
        <f>(高情景!AP21+低情景!AP21)/2</f>
        <v>4215.158337246794</v>
      </c>
      <c r="AQ21" s="52">
        <f>(高情景!AQ21+低情景!AQ21)/2</f>
        <v>4207.0470639871783</v>
      </c>
      <c r="AR21" s="52">
        <f>(高情景!AR21+低情景!AR21)/2</f>
        <v>4198.9357907275635</v>
      </c>
      <c r="AS21" s="53">
        <f>(高情景!AS21+低情景!AS21)/2</f>
        <v>4190.8245174679487</v>
      </c>
    </row>
  </sheetData>
  <phoneticPr fontId="3" type="noConversion"/>
  <hyperlinks>
    <hyperlink ref="D8" r:id="rId1" display="https://www.sohu.com/a/716515038_121388092" xr:uid="{1166C550-C5A6-4F3C-8D25-0A5973C9CBB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"/>
  <sheetViews>
    <sheetView tabSelected="1" workbookViewId="0">
      <selection activeCell="I32" sqref="I32"/>
    </sheetView>
  </sheetViews>
  <sheetFormatPr defaultRowHeight="14.25" x14ac:dyDescent="0.2"/>
  <cols>
    <col min="1" max="1" width="22.5" customWidth="1"/>
    <col min="4" max="4" width="20.375" customWidth="1"/>
  </cols>
  <sheetData>
    <row r="1" spans="1:45" x14ac:dyDescent="0.2">
      <c r="A1" s="1" t="s">
        <v>0</v>
      </c>
      <c r="B1" s="1" t="s">
        <v>1</v>
      </c>
      <c r="C1" s="2" t="s">
        <v>2</v>
      </c>
      <c r="D1" s="1" t="s">
        <v>3</v>
      </c>
      <c r="E1" s="3">
        <v>2020</v>
      </c>
      <c r="F1" s="2">
        <v>2021</v>
      </c>
      <c r="G1" s="4">
        <v>2022</v>
      </c>
      <c r="H1" s="4">
        <v>2023</v>
      </c>
      <c r="I1" s="4">
        <v>2024</v>
      </c>
      <c r="J1" s="3">
        <v>2025</v>
      </c>
      <c r="K1" s="5">
        <v>2026</v>
      </c>
      <c r="L1" s="6">
        <v>2027</v>
      </c>
      <c r="M1" s="6">
        <v>2028</v>
      </c>
      <c r="N1" s="6">
        <v>2029</v>
      </c>
      <c r="O1" s="3">
        <v>2030</v>
      </c>
      <c r="P1" s="2">
        <v>2031</v>
      </c>
      <c r="Q1" s="4">
        <v>2032</v>
      </c>
      <c r="R1" s="4">
        <v>2033</v>
      </c>
      <c r="S1" s="4">
        <v>2034</v>
      </c>
      <c r="T1" s="3">
        <v>2035</v>
      </c>
      <c r="U1" s="2">
        <v>2036</v>
      </c>
      <c r="V1" s="4">
        <v>2037</v>
      </c>
      <c r="W1" s="4">
        <v>2038</v>
      </c>
      <c r="X1" s="4">
        <v>2039</v>
      </c>
      <c r="Y1" s="3">
        <v>2040</v>
      </c>
      <c r="Z1" s="2">
        <v>2041</v>
      </c>
      <c r="AA1" s="4">
        <v>2042</v>
      </c>
      <c r="AB1" s="4">
        <v>2043</v>
      </c>
      <c r="AC1" s="4">
        <v>2044</v>
      </c>
      <c r="AD1" s="3">
        <v>2045</v>
      </c>
      <c r="AE1" s="2">
        <v>2046</v>
      </c>
      <c r="AF1" s="4">
        <v>2047</v>
      </c>
      <c r="AG1" s="4">
        <v>2048</v>
      </c>
      <c r="AH1" s="4">
        <v>2049</v>
      </c>
      <c r="AI1" s="3">
        <v>2050</v>
      </c>
      <c r="AJ1" s="2">
        <v>2051</v>
      </c>
      <c r="AK1" s="4">
        <v>2052</v>
      </c>
      <c r="AL1" s="4">
        <v>2053</v>
      </c>
      <c r="AM1" s="4">
        <v>2054</v>
      </c>
      <c r="AN1" s="3">
        <v>2055</v>
      </c>
      <c r="AO1" s="2">
        <v>2056</v>
      </c>
      <c r="AP1" s="4">
        <v>2057</v>
      </c>
      <c r="AQ1" s="4">
        <v>2058</v>
      </c>
      <c r="AR1" s="4">
        <v>2059</v>
      </c>
      <c r="AS1" s="3">
        <v>2060</v>
      </c>
    </row>
    <row r="2" spans="1:45" x14ac:dyDescent="0.2">
      <c r="A2" s="7" t="s">
        <v>4</v>
      </c>
      <c r="B2" s="8" t="s">
        <v>5</v>
      </c>
      <c r="C2" s="9" t="s">
        <v>6</v>
      </c>
      <c r="D2" s="8" t="s">
        <v>7</v>
      </c>
      <c r="E2" s="33">
        <v>39.020000000000003</v>
      </c>
      <c r="F2" s="31">
        <v>41.26</v>
      </c>
      <c r="G2" s="27">
        <v>45.59</v>
      </c>
      <c r="H2" s="12">
        <f>G2+($J2-$G2)/3</f>
        <v>46.393333333333338</v>
      </c>
      <c r="I2" s="12">
        <f>H2+($J2-$G2)/3</f>
        <v>47.196666666666673</v>
      </c>
      <c r="J2" s="10">
        <v>48</v>
      </c>
      <c r="K2" s="11">
        <f>J2+($O2-$J2)/5</f>
        <v>46.4</v>
      </c>
      <c r="L2" s="12">
        <f>K2+($O2-$J2)/5</f>
        <v>44.8</v>
      </c>
      <c r="M2" s="12">
        <f t="shared" ref="M2:N2" si="0">L2+($O2-$J2)/5</f>
        <v>43.199999999999996</v>
      </c>
      <c r="N2" s="12">
        <f t="shared" si="0"/>
        <v>41.599999999999994</v>
      </c>
      <c r="O2" s="13">
        <v>40</v>
      </c>
      <c r="P2" s="11">
        <f>O2+($T2-$O2)/5</f>
        <v>38.784313725490193</v>
      </c>
      <c r="Q2" s="12">
        <f t="shared" ref="Q2:S2" si="1">P2+($T2-$O2)/5</f>
        <v>37.568627450980387</v>
      </c>
      <c r="R2" s="12">
        <f t="shared" si="1"/>
        <v>36.35294117647058</v>
      </c>
      <c r="S2" s="12">
        <f t="shared" si="1"/>
        <v>35.137254901960773</v>
      </c>
      <c r="T2" s="14">
        <f>O2*(34.6/40.8)</f>
        <v>33.921568627450981</v>
      </c>
      <c r="U2" s="11">
        <f>T2+($Y2-$T2)/5</f>
        <v>32.647058823529413</v>
      </c>
      <c r="V2" s="12">
        <f t="shared" ref="V2:X2" si="2">U2+($Y2-$T2)/5</f>
        <v>31.372549019607845</v>
      </c>
      <c r="W2" s="12">
        <f t="shared" si="2"/>
        <v>30.098039215686278</v>
      </c>
      <c r="X2" s="12">
        <f t="shared" si="2"/>
        <v>28.82352941176471</v>
      </c>
      <c r="Y2" s="15">
        <f>T2*(28.1/34.6)</f>
        <v>27.549019607843135</v>
      </c>
      <c r="Z2" s="11">
        <f>Y2+($AD2-$Y2)/5</f>
        <v>26.215686274509803</v>
      </c>
      <c r="AA2" s="12">
        <f t="shared" ref="AA2:AC2" si="3">Z2+($AD2-$Y2)/5</f>
        <v>24.882352941176471</v>
      </c>
      <c r="AB2" s="12">
        <f t="shared" si="3"/>
        <v>23.549019607843139</v>
      </c>
      <c r="AC2" s="12">
        <f t="shared" si="3"/>
        <v>22.215686274509807</v>
      </c>
      <c r="AD2" s="16">
        <f>Y2*(21.3/28.1)</f>
        <v>20.882352941176467</v>
      </c>
      <c r="AE2" s="11">
        <f>AD2+($AI2-$AD2)/5</f>
        <v>19.470588235294116</v>
      </c>
      <c r="AF2" s="12">
        <f t="shared" ref="AF2:AH2" si="4">AE2+($AI2-$AD2)/5</f>
        <v>18.058823529411764</v>
      </c>
      <c r="AG2" s="12">
        <f t="shared" si="4"/>
        <v>16.647058823529413</v>
      </c>
      <c r="AH2" s="12">
        <f t="shared" si="4"/>
        <v>15.23529411764706</v>
      </c>
      <c r="AI2" s="16">
        <f>AD2*(14.1/21.3)</f>
        <v>13.823529411764705</v>
      </c>
      <c r="AJ2" s="11">
        <f>AI2+($AN2-$AI2)/5</f>
        <v>12.725490196078431</v>
      </c>
      <c r="AK2" s="12">
        <f t="shared" ref="AK2:AM2" si="5">AJ2+($AN2-$AI2)/5</f>
        <v>11.627450980392156</v>
      </c>
      <c r="AL2" s="12">
        <f t="shared" si="5"/>
        <v>10.529411764705882</v>
      </c>
      <c r="AM2" s="12">
        <f t="shared" si="5"/>
        <v>9.4313725490196081</v>
      </c>
      <c r="AN2" s="16">
        <f>AI2*(8.5/14.1)</f>
        <v>8.3333333333333321</v>
      </c>
      <c r="AO2" s="11">
        <f>AN2+($AS2-$AN2)/5</f>
        <v>7.4117647058823515</v>
      </c>
      <c r="AP2" s="12">
        <f t="shared" ref="AP2:AR2" si="6">AO2+($AS2-$AN2)/5</f>
        <v>6.4901960784313708</v>
      </c>
      <c r="AQ2" s="12">
        <f t="shared" si="6"/>
        <v>5.5686274509803901</v>
      </c>
      <c r="AR2" s="12">
        <f t="shared" si="6"/>
        <v>4.6470588235294095</v>
      </c>
      <c r="AS2" s="16">
        <f>AN2*(3.8/8.5)</f>
        <v>3.7254901960784306</v>
      </c>
    </row>
    <row r="3" spans="1:45" x14ac:dyDescent="0.2">
      <c r="A3" s="17" t="s">
        <v>8</v>
      </c>
      <c r="B3" s="8" t="s">
        <v>9</v>
      </c>
      <c r="C3" s="9" t="s">
        <v>6</v>
      </c>
      <c r="D3" s="8" t="s">
        <v>10</v>
      </c>
      <c r="E3" s="34">
        <v>1.9477</v>
      </c>
      <c r="F3" s="32">
        <v>1.9887999999999999</v>
      </c>
      <c r="G3" s="28">
        <v>2.0472000000000001</v>
      </c>
      <c r="H3" s="12">
        <f t="shared" ref="H3:I3" si="7">G3+($J3-$G3)/3</f>
        <v>2.0781333333333336</v>
      </c>
      <c r="I3" s="12">
        <f t="shared" si="7"/>
        <v>2.1090666666666671</v>
      </c>
      <c r="J3" s="10">
        <v>2.14</v>
      </c>
      <c r="K3" s="11">
        <f t="shared" ref="K3:N18" si="8">J3+($O3-$J3)/5</f>
        <v>2.1459999999999999</v>
      </c>
      <c r="L3" s="12">
        <f t="shared" si="8"/>
        <v>2.1519999999999997</v>
      </c>
      <c r="M3" s="12">
        <f t="shared" si="8"/>
        <v>2.1579999999999995</v>
      </c>
      <c r="N3" s="12">
        <f t="shared" si="8"/>
        <v>2.1639999999999993</v>
      </c>
      <c r="O3" s="10">
        <v>2.17</v>
      </c>
      <c r="P3" s="11">
        <f t="shared" ref="P3:S18" si="9">O3+($T3-$O3)/5</f>
        <v>2.1560000000000001</v>
      </c>
      <c r="Q3" s="12">
        <f t="shared" si="9"/>
        <v>2.1420000000000003</v>
      </c>
      <c r="R3" s="12">
        <f t="shared" si="9"/>
        <v>2.1280000000000006</v>
      </c>
      <c r="S3" s="12">
        <f t="shared" si="9"/>
        <v>2.1140000000000008</v>
      </c>
      <c r="T3" s="10">
        <v>2.1</v>
      </c>
      <c r="U3" s="11">
        <f t="shared" ref="U3:X18" si="10">T3+($Y3-$T3)/5</f>
        <v>2.08</v>
      </c>
      <c r="V3" s="12">
        <f t="shared" si="10"/>
        <v>2.06</v>
      </c>
      <c r="W3" s="12">
        <f t="shared" si="10"/>
        <v>2.04</v>
      </c>
      <c r="X3" s="12">
        <f t="shared" si="10"/>
        <v>2.02</v>
      </c>
      <c r="Y3" s="10">
        <v>2</v>
      </c>
      <c r="Z3" s="11">
        <f t="shared" ref="Z3:AC18" si="11">Y3+($AD3-$Y3)/5</f>
        <v>1.98</v>
      </c>
      <c r="AA3" s="12">
        <f t="shared" si="11"/>
        <v>1.96</v>
      </c>
      <c r="AB3" s="12">
        <f t="shared" si="11"/>
        <v>1.94</v>
      </c>
      <c r="AC3" s="12">
        <f t="shared" si="11"/>
        <v>1.92</v>
      </c>
      <c r="AD3" s="10">
        <v>1.9</v>
      </c>
      <c r="AE3" s="11">
        <f t="shared" ref="AE3:AH18" si="12">AD3+($AI3-$AD3)/5</f>
        <v>1.8839999999999999</v>
      </c>
      <c r="AF3" s="12">
        <f t="shared" si="12"/>
        <v>1.8679999999999999</v>
      </c>
      <c r="AG3" s="12">
        <f t="shared" si="12"/>
        <v>1.8519999999999999</v>
      </c>
      <c r="AH3" s="12">
        <f t="shared" si="12"/>
        <v>1.8359999999999999</v>
      </c>
      <c r="AI3" s="10">
        <v>1.82</v>
      </c>
      <c r="AJ3" s="11">
        <f t="shared" ref="AJ3:AM18" si="13">AI3+($AN3-$AI3)/5</f>
        <v>1.806</v>
      </c>
      <c r="AK3" s="12">
        <f t="shared" si="13"/>
        <v>1.792</v>
      </c>
      <c r="AL3" s="12">
        <f t="shared" si="13"/>
        <v>1.778</v>
      </c>
      <c r="AM3" s="12">
        <f t="shared" si="13"/>
        <v>1.764</v>
      </c>
      <c r="AN3" s="10">
        <v>1.75</v>
      </c>
      <c r="AO3" s="11">
        <f t="shared" ref="AO3:AR18" si="14">AN3+($AS3-$AN3)/5</f>
        <v>1.74</v>
      </c>
      <c r="AP3" s="12">
        <f t="shared" si="14"/>
        <v>1.73</v>
      </c>
      <c r="AQ3" s="12">
        <f t="shared" si="14"/>
        <v>1.72</v>
      </c>
      <c r="AR3" s="12">
        <f t="shared" si="14"/>
        <v>1.71</v>
      </c>
      <c r="AS3" s="10">
        <v>1.7</v>
      </c>
    </row>
    <row r="4" spans="1:45" x14ac:dyDescent="0.2">
      <c r="A4" s="17" t="s">
        <v>8</v>
      </c>
      <c r="B4" s="8" t="s">
        <v>11</v>
      </c>
      <c r="C4" s="9" t="s">
        <v>12</v>
      </c>
      <c r="D4" s="8" t="s">
        <v>10</v>
      </c>
      <c r="E4" s="35">
        <v>1924.95</v>
      </c>
      <c r="F4" s="11">
        <v>2075.84</v>
      </c>
      <c r="G4" s="29">
        <v>2201.1</v>
      </c>
      <c r="H4" s="12">
        <f t="shared" ref="H4:I4" si="15">G4+($J4-$G4)/3</f>
        <v>2298.4</v>
      </c>
      <c r="I4" s="12">
        <f t="shared" si="15"/>
        <v>2395.7000000000003</v>
      </c>
      <c r="J4" s="10">
        <v>2493</v>
      </c>
      <c r="K4" s="11">
        <f t="shared" si="8"/>
        <v>2554.4</v>
      </c>
      <c r="L4" s="12">
        <f t="shared" si="8"/>
        <v>2615.8000000000002</v>
      </c>
      <c r="M4" s="12">
        <f t="shared" si="8"/>
        <v>2677.2000000000003</v>
      </c>
      <c r="N4" s="12">
        <f t="shared" si="8"/>
        <v>2738.6000000000004</v>
      </c>
      <c r="O4" s="10">
        <v>2800</v>
      </c>
      <c r="P4" s="11">
        <f t="shared" si="9"/>
        <v>2840</v>
      </c>
      <c r="Q4" s="12">
        <f t="shared" si="9"/>
        <v>2880</v>
      </c>
      <c r="R4" s="12">
        <f t="shared" si="9"/>
        <v>2920</v>
      </c>
      <c r="S4" s="12">
        <f t="shared" si="9"/>
        <v>2960</v>
      </c>
      <c r="T4" s="10">
        <v>3000</v>
      </c>
      <c r="U4" s="11">
        <f t="shared" si="10"/>
        <v>3040</v>
      </c>
      <c r="V4" s="12">
        <f t="shared" si="10"/>
        <v>3080</v>
      </c>
      <c r="W4" s="12">
        <f t="shared" si="10"/>
        <v>3120</v>
      </c>
      <c r="X4" s="12">
        <f t="shared" si="10"/>
        <v>3160</v>
      </c>
      <c r="Y4" s="10">
        <v>3200</v>
      </c>
      <c r="Z4" s="11">
        <f t="shared" si="11"/>
        <v>3220</v>
      </c>
      <c r="AA4" s="12">
        <f t="shared" si="11"/>
        <v>3240</v>
      </c>
      <c r="AB4" s="12">
        <f t="shared" si="11"/>
        <v>3260</v>
      </c>
      <c r="AC4" s="12">
        <f t="shared" si="11"/>
        <v>3280</v>
      </c>
      <c r="AD4" s="10">
        <v>3300</v>
      </c>
      <c r="AE4" s="11">
        <f t="shared" si="12"/>
        <v>3320</v>
      </c>
      <c r="AF4" s="12">
        <f t="shared" si="12"/>
        <v>3340</v>
      </c>
      <c r="AG4" s="12">
        <f t="shared" si="12"/>
        <v>3360</v>
      </c>
      <c r="AH4" s="12">
        <f t="shared" si="12"/>
        <v>3380</v>
      </c>
      <c r="AI4" s="10">
        <v>3400</v>
      </c>
      <c r="AJ4" s="11">
        <f t="shared" si="13"/>
        <v>3420</v>
      </c>
      <c r="AK4" s="12">
        <f t="shared" si="13"/>
        <v>3440</v>
      </c>
      <c r="AL4" s="12">
        <f t="shared" si="13"/>
        <v>3460</v>
      </c>
      <c r="AM4" s="12">
        <f t="shared" si="13"/>
        <v>3480</v>
      </c>
      <c r="AN4" s="10">
        <v>3500</v>
      </c>
      <c r="AO4" s="11">
        <f t="shared" si="14"/>
        <v>3500</v>
      </c>
      <c r="AP4" s="12">
        <f t="shared" si="14"/>
        <v>3500</v>
      </c>
      <c r="AQ4" s="12">
        <f t="shared" si="14"/>
        <v>3500</v>
      </c>
      <c r="AR4" s="12">
        <f t="shared" si="14"/>
        <v>3500</v>
      </c>
      <c r="AS4" s="10">
        <v>3500</v>
      </c>
    </row>
    <row r="5" spans="1:45" x14ac:dyDescent="0.2">
      <c r="A5" s="18" t="s">
        <v>13</v>
      </c>
      <c r="B5" s="8" t="s">
        <v>14</v>
      </c>
      <c r="C5" s="9" t="s">
        <v>6</v>
      </c>
      <c r="D5" s="8" t="s">
        <v>15</v>
      </c>
      <c r="E5" s="34">
        <v>8.6671999999999993</v>
      </c>
      <c r="F5" s="32">
        <v>9.8053000000000008</v>
      </c>
      <c r="G5" s="28">
        <v>9.6786999999999992</v>
      </c>
      <c r="H5" s="12">
        <f>H18/G18*G5</f>
        <v>9.6885977726018435</v>
      </c>
      <c r="I5" s="12">
        <f>I18/H18*H5</f>
        <v>9.5079467837113292</v>
      </c>
      <c r="J5" s="16">
        <f>J18/G18*G5</f>
        <v>9.6030262515484406</v>
      </c>
      <c r="K5" s="11">
        <f t="shared" si="8"/>
        <v>9.4318832094416365</v>
      </c>
      <c r="L5" s="12">
        <f t="shared" si="8"/>
        <v>9.2607401673348324</v>
      </c>
      <c r="M5" s="12">
        <f t="shared" si="8"/>
        <v>9.0895971252280283</v>
      </c>
      <c r="N5" s="12">
        <f t="shared" si="8"/>
        <v>8.9184540831212242</v>
      </c>
      <c r="O5" s="16">
        <f>O18/J18*J5</f>
        <v>8.7473110410144219</v>
      </c>
      <c r="P5" s="11">
        <f t="shared" si="9"/>
        <v>8.5761679989076178</v>
      </c>
      <c r="Q5" s="12">
        <f t="shared" si="9"/>
        <v>8.4050249568008137</v>
      </c>
      <c r="R5" s="12">
        <f t="shared" si="9"/>
        <v>8.2338819146940097</v>
      </c>
      <c r="S5" s="12">
        <f t="shared" si="9"/>
        <v>8.0627388725872056</v>
      </c>
      <c r="T5" s="16">
        <f>T18/O18*O5</f>
        <v>7.8915958304804024</v>
      </c>
      <c r="U5" s="11">
        <f t="shared" si="10"/>
        <v>7.7204527883735983</v>
      </c>
      <c r="V5" s="12">
        <f t="shared" si="10"/>
        <v>7.5493097462667942</v>
      </c>
      <c r="W5" s="12">
        <f t="shared" si="10"/>
        <v>7.3781667041599901</v>
      </c>
      <c r="X5" s="12">
        <f t="shared" si="10"/>
        <v>7.207023662053186</v>
      </c>
      <c r="Y5" s="16">
        <f>Y18/T18*T5</f>
        <v>7.0358806199463828</v>
      </c>
      <c r="Z5" s="11">
        <f t="shared" si="11"/>
        <v>6.8837534714070019</v>
      </c>
      <c r="AA5" s="12">
        <f t="shared" si="11"/>
        <v>6.731626322867621</v>
      </c>
      <c r="AB5" s="12">
        <f t="shared" si="11"/>
        <v>6.5794991743282401</v>
      </c>
      <c r="AC5" s="12">
        <f t="shared" si="11"/>
        <v>6.4273720257888591</v>
      </c>
      <c r="AD5" s="16">
        <f>AD18/Y18*Y5</f>
        <v>6.2752448772494764</v>
      </c>
      <c r="AE5" s="11">
        <f t="shared" si="12"/>
        <v>6.1801654094123633</v>
      </c>
      <c r="AF5" s="12">
        <f t="shared" si="12"/>
        <v>6.0850859415752501</v>
      </c>
      <c r="AG5" s="12">
        <f t="shared" si="12"/>
        <v>5.9900064737381369</v>
      </c>
      <c r="AH5" s="12">
        <f t="shared" si="12"/>
        <v>5.8949270059010237</v>
      </c>
      <c r="AI5" s="16">
        <f>AI18/AD18*AD5</f>
        <v>5.7998475380639096</v>
      </c>
      <c r="AJ5" s="11">
        <f t="shared" si="13"/>
        <v>5.7427998573616419</v>
      </c>
      <c r="AK5" s="12">
        <f t="shared" si="13"/>
        <v>5.6857521766593742</v>
      </c>
      <c r="AL5" s="12">
        <f t="shared" si="13"/>
        <v>5.6287044959571064</v>
      </c>
      <c r="AM5" s="12">
        <f t="shared" si="13"/>
        <v>5.5716568152548387</v>
      </c>
      <c r="AN5" s="16">
        <f>AN18/AI18*AI5</f>
        <v>5.5146091345525692</v>
      </c>
      <c r="AO5" s="11">
        <f t="shared" si="14"/>
        <v>5.4765773474177237</v>
      </c>
      <c r="AP5" s="12">
        <f t="shared" si="14"/>
        <v>5.4385455602828783</v>
      </c>
      <c r="AQ5" s="12">
        <f t="shared" si="14"/>
        <v>5.4005137731480328</v>
      </c>
      <c r="AR5" s="12">
        <f t="shared" si="14"/>
        <v>5.3624819860131874</v>
      </c>
      <c r="AS5" s="16">
        <f>AS18/AN18*AN5</f>
        <v>5.3244501988783428</v>
      </c>
    </row>
    <row r="6" spans="1:45" x14ac:dyDescent="0.2">
      <c r="A6" s="17" t="s">
        <v>16</v>
      </c>
      <c r="B6" s="8" t="s">
        <v>17</v>
      </c>
      <c r="C6" s="9" t="s">
        <v>18</v>
      </c>
      <c r="D6" s="8" t="s">
        <v>19</v>
      </c>
      <c r="E6" s="33">
        <v>172</v>
      </c>
      <c r="F6" s="11">
        <v>191</v>
      </c>
      <c r="G6" s="29">
        <v>194</v>
      </c>
      <c r="H6" s="12">
        <f t="shared" ref="H6:I6" si="16">G6+($J6-$G6)/3</f>
        <v>216.60043363651903</v>
      </c>
      <c r="I6" s="12">
        <f t="shared" si="16"/>
        <v>239.20086727303806</v>
      </c>
      <c r="J6" s="19">
        <f>J20/G20*G6</f>
        <v>261.80130090955709</v>
      </c>
      <c r="K6" s="11">
        <f t="shared" si="8"/>
        <v>268.78266893381192</v>
      </c>
      <c r="L6" s="12">
        <f t="shared" si="8"/>
        <v>275.76403695806675</v>
      </c>
      <c r="M6" s="12">
        <f t="shared" si="8"/>
        <v>282.74540498232159</v>
      </c>
      <c r="N6" s="12">
        <f t="shared" si="8"/>
        <v>289.72677300657642</v>
      </c>
      <c r="O6" s="19">
        <f>O20/J20*J6</f>
        <v>296.70814103083137</v>
      </c>
      <c r="P6" s="11">
        <f t="shared" si="9"/>
        <v>300.19882504295879</v>
      </c>
      <c r="Q6" s="12">
        <f t="shared" si="9"/>
        <v>303.68950905508621</v>
      </c>
      <c r="R6" s="12">
        <f t="shared" si="9"/>
        <v>307.18019306721362</v>
      </c>
      <c r="S6" s="12">
        <f t="shared" si="9"/>
        <v>310.67087707934104</v>
      </c>
      <c r="T6" s="19">
        <f>T20/O20*O6</f>
        <v>314.16156109146851</v>
      </c>
      <c r="U6" s="11">
        <f t="shared" si="10"/>
        <v>316.95410830117044</v>
      </c>
      <c r="V6" s="12">
        <f t="shared" si="10"/>
        <v>319.74665551087236</v>
      </c>
      <c r="W6" s="12">
        <f t="shared" si="10"/>
        <v>322.53920272057428</v>
      </c>
      <c r="X6" s="12">
        <f t="shared" si="10"/>
        <v>325.3317499302762</v>
      </c>
      <c r="Y6" s="19">
        <f>Y20/T20*T6</f>
        <v>328.12429713997824</v>
      </c>
      <c r="Z6" s="11">
        <f t="shared" si="11"/>
        <v>327.42616033755274</v>
      </c>
      <c r="AA6" s="12">
        <f t="shared" si="11"/>
        <v>326.72802353512725</v>
      </c>
      <c r="AB6" s="12">
        <f t="shared" si="11"/>
        <v>326.02988673270175</v>
      </c>
      <c r="AC6" s="12">
        <f t="shared" si="11"/>
        <v>325.33174993027626</v>
      </c>
      <c r="AD6" s="19">
        <f>AD20/Y20*Y6</f>
        <v>324.63361312785082</v>
      </c>
      <c r="AE6" s="11">
        <f t="shared" si="12"/>
        <v>322.53920272057439</v>
      </c>
      <c r="AF6" s="12">
        <f t="shared" si="12"/>
        <v>320.44479231329797</v>
      </c>
      <c r="AG6" s="12">
        <f t="shared" si="12"/>
        <v>318.35038190602154</v>
      </c>
      <c r="AH6" s="12">
        <f t="shared" si="12"/>
        <v>316.25597149874511</v>
      </c>
      <c r="AI6" s="19">
        <f>AI20/AD20*AD6</f>
        <v>314.16156109146857</v>
      </c>
      <c r="AJ6" s="11">
        <f t="shared" si="13"/>
        <v>313.46342428904308</v>
      </c>
      <c r="AK6" s="12">
        <f t="shared" si="13"/>
        <v>312.76528748661758</v>
      </c>
      <c r="AL6" s="12">
        <f t="shared" si="13"/>
        <v>312.06715068419209</v>
      </c>
      <c r="AM6" s="12">
        <f t="shared" si="13"/>
        <v>311.36901388176659</v>
      </c>
      <c r="AN6" s="19">
        <f>AN20/AI20*AI6</f>
        <v>310.67087707934115</v>
      </c>
      <c r="AO6" s="11">
        <f t="shared" si="14"/>
        <v>310.32180867812843</v>
      </c>
      <c r="AP6" s="12">
        <f t="shared" si="14"/>
        <v>309.97274027691572</v>
      </c>
      <c r="AQ6" s="12">
        <f t="shared" si="14"/>
        <v>309.623671875703</v>
      </c>
      <c r="AR6" s="12">
        <f t="shared" si="14"/>
        <v>309.27460347449028</v>
      </c>
      <c r="AS6" s="19">
        <f>AS20/AN20*AN6</f>
        <v>308.92553507327744</v>
      </c>
    </row>
    <row r="7" spans="1:45" x14ac:dyDescent="0.2">
      <c r="A7" s="17" t="s">
        <v>16</v>
      </c>
      <c r="B7" s="8" t="s">
        <v>20</v>
      </c>
      <c r="C7" s="9" t="s">
        <v>18</v>
      </c>
      <c r="D7" s="8" t="s">
        <v>21</v>
      </c>
      <c r="E7" s="33">
        <v>9269</v>
      </c>
      <c r="F7" s="11">
        <v>8500</v>
      </c>
      <c r="G7" s="29">
        <v>9000</v>
      </c>
      <c r="H7" s="12">
        <f t="shared" ref="H7:I7" si="17">G7+($J7-$G7)/3</f>
        <v>9213.4076319676769</v>
      </c>
      <c r="I7" s="12">
        <f t="shared" si="17"/>
        <v>9426.8152639353539</v>
      </c>
      <c r="J7" s="19">
        <f>J19/G19*G7</f>
        <v>9640.2228959030308</v>
      </c>
      <c r="K7" s="11">
        <f t="shared" si="8"/>
        <v>9595.3846498755756</v>
      </c>
      <c r="L7" s="12">
        <f t="shared" si="8"/>
        <v>9550.5464038481205</v>
      </c>
      <c r="M7" s="12">
        <f t="shared" si="8"/>
        <v>9505.7081578206653</v>
      </c>
      <c r="N7" s="12">
        <f t="shared" si="8"/>
        <v>9460.8699117932101</v>
      </c>
      <c r="O7" s="19">
        <f>O19/J19*J7</f>
        <v>9416.0316657657513</v>
      </c>
      <c r="P7" s="11">
        <f t="shared" si="9"/>
        <v>9303.9360506971116</v>
      </c>
      <c r="Q7" s="12">
        <f t="shared" si="9"/>
        <v>9191.8404356284718</v>
      </c>
      <c r="R7" s="12">
        <f t="shared" si="9"/>
        <v>9079.7448205598321</v>
      </c>
      <c r="S7" s="12">
        <f t="shared" si="9"/>
        <v>8967.6492054911923</v>
      </c>
      <c r="T7" s="19">
        <f>T19/O19*O7</f>
        <v>8855.5535904225526</v>
      </c>
      <c r="U7" s="11">
        <f t="shared" si="10"/>
        <v>8743.4579753539128</v>
      </c>
      <c r="V7" s="12">
        <f t="shared" si="10"/>
        <v>8631.3623602852731</v>
      </c>
      <c r="W7" s="12">
        <f t="shared" si="10"/>
        <v>8519.2667452166334</v>
      </c>
      <c r="X7" s="12">
        <f t="shared" si="10"/>
        <v>8407.1711301479936</v>
      </c>
      <c r="Y7" s="19">
        <f>Y19/T19*T7</f>
        <v>8295.0755150793539</v>
      </c>
      <c r="Z7" s="11">
        <f t="shared" si="11"/>
        <v>8227.8181460381693</v>
      </c>
      <c r="AA7" s="12">
        <f t="shared" si="11"/>
        <v>8160.5607769969856</v>
      </c>
      <c r="AB7" s="12">
        <f t="shared" si="11"/>
        <v>8093.303407955802</v>
      </c>
      <c r="AC7" s="12">
        <f t="shared" si="11"/>
        <v>8026.0460389146183</v>
      </c>
      <c r="AD7" s="19">
        <f>AD19/Y19*Y7</f>
        <v>7958.7886698734337</v>
      </c>
      <c r="AE7" s="11">
        <f t="shared" si="12"/>
        <v>7878.079827024013</v>
      </c>
      <c r="AF7" s="12">
        <f t="shared" si="12"/>
        <v>7797.3709841745922</v>
      </c>
      <c r="AG7" s="12">
        <f t="shared" si="12"/>
        <v>7716.6621413251714</v>
      </c>
      <c r="AH7" s="12">
        <f t="shared" si="12"/>
        <v>7635.9532984757507</v>
      </c>
      <c r="AI7" s="19">
        <f>AI19/AD19*AD7</f>
        <v>7555.2444556263299</v>
      </c>
      <c r="AJ7" s="11">
        <f t="shared" si="13"/>
        <v>7479.0194373796548</v>
      </c>
      <c r="AK7" s="12">
        <f t="shared" si="13"/>
        <v>7402.7944191329798</v>
      </c>
      <c r="AL7" s="12">
        <f t="shared" si="13"/>
        <v>7326.5694008863047</v>
      </c>
      <c r="AM7" s="12">
        <f t="shared" si="13"/>
        <v>7250.3443826396297</v>
      </c>
      <c r="AN7" s="19">
        <f>AN19/AI19*AI7</f>
        <v>7174.1193643929546</v>
      </c>
      <c r="AO7" s="11">
        <f t="shared" si="14"/>
        <v>7129.2811183654985</v>
      </c>
      <c r="AP7" s="12">
        <f t="shared" si="14"/>
        <v>7084.4428723380424</v>
      </c>
      <c r="AQ7" s="12">
        <f t="shared" si="14"/>
        <v>7039.6046263105864</v>
      </c>
      <c r="AR7" s="12">
        <f t="shared" si="14"/>
        <v>6994.7663802831303</v>
      </c>
      <c r="AS7" s="19">
        <f>AS19/AN19*AN7</f>
        <v>6949.9281342556751</v>
      </c>
    </row>
    <row r="8" spans="1:45" x14ac:dyDescent="0.2">
      <c r="A8" s="18" t="s">
        <v>22</v>
      </c>
      <c r="B8" s="8" t="s">
        <v>23</v>
      </c>
      <c r="C8" s="9" t="s">
        <v>6</v>
      </c>
      <c r="D8" s="26" t="s">
        <v>24</v>
      </c>
      <c r="E8" s="34">
        <v>31.55</v>
      </c>
      <c r="F8" s="11">
        <v>31.4</v>
      </c>
      <c r="G8" s="27">
        <v>28.79</v>
      </c>
      <c r="H8" s="12">
        <f t="shared" ref="H8:I8" si="18">G8+($J8-$G8)/3</f>
        <v>28.117229286870124</v>
      </c>
      <c r="I8" s="12">
        <f t="shared" si="18"/>
        <v>27.444458573740249</v>
      </c>
      <c r="J8" s="16">
        <f>J16/G16*G8</f>
        <v>26.771687860610374</v>
      </c>
      <c r="K8" s="11">
        <f t="shared" si="8"/>
        <v>26.14971935475781</v>
      </c>
      <c r="L8" s="12">
        <f t="shared" si="8"/>
        <v>25.527750848905246</v>
      </c>
      <c r="M8" s="12">
        <f t="shared" si="8"/>
        <v>24.905782343052682</v>
      </c>
      <c r="N8" s="12">
        <f t="shared" si="8"/>
        <v>24.283813837200118</v>
      </c>
      <c r="O8" s="16">
        <f>O16/J16*J8</f>
        <v>23.661845331347553</v>
      </c>
      <c r="P8" s="11">
        <f t="shared" si="9"/>
        <v>23.25621369709588</v>
      </c>
      <c r="Q8" s="12">
        <f t="shared" si="9"/>
        <v>22.850582062844207</v>
      </c>
      <c r="R8" s="12">
        <f t="shared" si="9"/>
        <v>22.444950428592534</v>
      </c>
      <c r="S8" s="12">
        <f t="shared" si="9"/>
        <v>22.039318794340861</v>
      </c>
      <c r="T8" s="16">
        <f>T16/O16*O8</f>
        <v>21.633687160089192</v>
      </c>
      <c r="U8" s="11">
        <f t="shared" si="10"/>
        <v>21.309181852687853</v>
      </c>
      <c r="V8" s="12">
        <f t="shared" si="10"/>
        <v>20.984676545286515</v>
      </c>
      <c r="W8" s="12">
        <f t="shared" si="10"/>
        <v>20.660171237885177</v>
      </c>
      <c r="X8" s="12">
        <f t="shared" si="10"/>
        <v>20.335665930483838</v>
      </c>
      <c r="Y8" s="16">
        <f>Y16/T16*T8</f>
        <v>20.011160623082503</v>
      </c>
      <c r="Z8" s="11">
        <f t="shared" si="11"/>
        <v>19.659613206731056</v>
      </c>
      <c r="AA8" s="12">
        <f t="shared" si="11"/>
        <v>19.308065790379608</v>
      </c>
      <c r="AB8" s="12">
        <f t="shared" si="11"/>
        <v>18.95651837402816</v>
      </c>
      <c r="AC8" s="12">
        <f t="shared" si="11"/>
        <v>18.604970957676713</v>
      </c>
      <c r="AD8" s="16">
        <f>AD16/Y16*Y8</f>
        <v>18.253423541325258</v>
      </c>
      <c r="AE8" s="11">
        <f t="shared" si="12"/>
        <v>17.847791907073585</v>
      </c>
      <c r="AF8" s="12">
        <f t="shared" si="12"/>
        <v>17.442160272821912</v>
      </c>
      <c r="AG8" s="12">
        <f t="shared" si="12"/>
        <v>17.036528638570239</v>
      </c>
      <c r="AH8" s="12">
        <f t="shared" si="12"/>
        <v>16.630897004318566</v>
      </c>
      <c r="AI8" s="16">
        <f>AI16/AD16*AD8</f>
        <v>16.225265370066897</v>
      </c>
      <c r="AJ8" s="11">
        <f t="shared" si="13"/>
        <v>15.954844280565782</v>
      </c>
      <c r="AK8" s="12">
        <f t="shared" si="13"/>
        <v>15.684423191064667</v>
      </c>
      <c r="AL8" s="12">
        <f t="shared" si="13"/>
        <v>15.414002101563552</v>
      </c>
      <c r="AM8" s="12">
        <f t="shared" si="13"/>
        <v>15.143581012062437</v>
      </c>
      <c r="AN8" s="16">
        <f>AN16/AI16*AI8</f>
        <v>14.873159922561321</v>
      </c>
      <c r="AO8" s="11">
        <f t="shared" si="14"/>
        <v>14.602738833060206</v>
      </c>
      <c r="AP8" s="12">
        <f t="shared" si="14"/>
        <v>14.332317743559091</v>
      </c>
      <c r="AQ8" s="12">
        <f t="shared" si="14"/>
        <v>14.061896654057977</v>
      </c>
      <c r="AR8" s="12">
        <f t="shared" si="14"/>
        <v>13.791475564556862</v>
      </c>
      <c r="AS8" s="16">
        <f>AS16/AN16*AN8</f>
        <v>13.521054475055745</v>
      </c>
    </row>
    <row r="9" spans="1:45" x14ac:dyDescent="0.2">
      <c r="A9" s="18" t="s">
        <v>25</v>
      </c>
      <c r="B9" s="8" t="s">
        <v>26</v>
      </c>
      <c r="C9" s="9" t="s">
        <v>18</v>
      </c>
      <c r="D9" s="8" t="s">
        <v>27</v>
      </c>
      <c r="E9" s="35">
        <v>12700.63</v>
      </c>
      <c r="F9" s="11">
        <v>13583.87</v>
      </c>
      <c r="G9" s="29">
        <v>13691.4</v>
      </c>
      <c r="H9" s="12">
        <f t="shared" ref="H9:I9" si="19">G9+($J9-$G9)/3</f>
        <v>13794.266666666666</v>
      </c>
      <c r="I9" s="12">
        <f t="shared" si="19"/>
        <v>13897.133333333333</v>
      </c>
      <c r="J9" s="10">
        <v>14000</v>
      </c>
      <c r="K9" s="11">
        <f t="shared" si="8"/>
        <v>14300</v>
      </c>
      <c r="L9" s="12">
        <f t="shared" si="8"/>
        <v>14600</v>
      </c>
      <c r="M9" s="12">
        <f t="shared" si="8"/>
        <v>14900</v>
      </c>
      <c r="N9" s="12">
        <f t="shared" si="8"/>
        <v>15200</v>
      </c>
      <c r="O9" s="10">
        <v>15500</v>
      </c>
      <c r="P9" s="11">
        <f t="shared" si="9"/>
        <v>15660</v>
      </c>
      <c r="Q9" s="12">
        <f t="shared" si="9"/>
        <v>15820</v>
      </c>
      <c r="R9" s="12">
        <f t="shared" si="9"/>
        <v>15980</v>
      </c>
      <c r="S9" s="12">
        <f t="shared" si="9"/>
        <v>16140</v>
      </c>
      <c r="T9" s="10">
        <v>16300</v>
      </c>
      <c r="U9" s="11">
        <f t="shared" si="10"/>
        <v>16200</v>
      </c>
      <c r="V9" s="12">
        <f t="shared" si="10"/>
        <v>16100</v>
      </c>
      <c r="W9" s="12">
        <f t="shared" si="10"/>
        <v>16000</v>
      </c>
      <c r="X9" s="12">
        <f t="shared" si="10"/>
        <v>15900</v>
      </c>
      <c r="Y9" s="10">
        <v>15800</v>
      </c>
      <c r="Z9" s="11">
        <f t="shared" si="11"/>
        <v>15540</v>
      </c>
      <c r="AA9" s="12">
        <f t="shared" si="11"/>
        <v>15280</v>
      </c>
      <c r="AB9" s="12">
        <f t="shared" si="11"/>
        <v>15020</v>
      </c>
      <c r="AC9" s="12">
        <f t="shared" si="11"/>
        <v>14760</v>
      </c>
      <c r="AD9" s="10">
        <v>14500</v>
      </c>
      <c r="AE9" s="11">
        <f t="shared" si="12"/>
        <v>14060</v>
      </c>
      <c r="AF9" s="12">
        <f t="shared" si="12"/>
        <v>13620</v>
      </c>
      <c r="AG9" s="12">
        <f t="shared" si="12"/>
        <v>13180</v>
      </c>
      <c r="AH9" s="12">
        <f t="shared" si="12"/>
        <v>12740</v>
      </c>
      <c r="AI9" s="10">
        <v>12300</v>
      </c>
      <c r="AJ9" s="11">
        <f t="shared" si="13"/>
        <v>11900</v>
      </c>
      <c r="AK9" s="12">
        <f t="shared" si="13"/>
        <v>11500</v>
      </c>
      <c r="AL9" s="12">
        <f t="shared" si="13"/>
        <v>11100</v>
      </c>
      <c r="AM9" s="12">
        <f t="shared" si="13"/>
        <v>10700</v>
      </c>
      <c r="AN9" s="10">
        <v>10300</v>
      </c>
      <c r="AO9" s="11">
        <f t="shared" si="14"/>
        <v>9960</v>
      </c>
      <c r="AP9" s="12">
        <f t="shared" si="14"/>
        <v>9620</v>
      </c>
      <c r="AQ9" s="12">
        <f t="shared" si="14"/>
        <v>9280</v>
      </c>
      <c r="AR9" s="12">
        <f t="shared" si="14"/>
        <v>8940</v>
      </c>
      <c r="AS9" s="10">
        <v>8600</v>
      </c>
    </row>
    <row r="10" spans="1:45" x14ac:dyDescent="0.2">
      <c r="A10" s="17" t="s">
        <v>28</v>
      </c>
      <c r="B10" s="8" t="s">
        <v>29</v>
      </c>
      <c r="C10" s="9" t="s">
        <v>6</v>
      </c>
      <c r="D10" s="8" t="s">
        <v>30</v>
      </c>
      <c r="E10" s="34">
        <v>6.7441000000000004</v>
      </c>
      <c r="F10" s="11">
        <v>7</v>
      </c>
      <c r="G10" s="28">
        <v>6.7590000000000003</v>
      </c>
      <c r="H10" s="12">
        <f t="shared" ref="H10:I10" si="20">G10+($J10-$G10)/3</f>
        <v>6.8611289566236815</v>
      </c>
      <c r="I10" s="12">
        <f t="shared" si="20"/>
        <v>6.9632579132473627</v>
      </c>
      <c r="J10" s="16">
        <f>J3/G3*G10</f>
        <v>7.0653868698710429</v>
      </c>
      <c r="K10" s="11">
        <f t="shared" si="8"/>
        <v>7.0851963657678771</v>
      </c>
      <c r="L10" s="12">
        <f t="shared" si="8"/>
        <v>7.1050058616647114</v>
      </c>
      <c r="M10" s="12">
        <f t="shared" si="8"/>
        <v>7.1248153575615456</v>
      </c>
      <c r="N10" s="12">
        <f t="shared" si="8"/>
        <v>7.1446248534583798</v>
      </c>
      <c r="O10" s="16">
        <f>O3/J3*J10</f>
        <v>7.1644343493552158</v>
      </c>
      <c r="P10" s="11">
        <f t="shared" si="9"/>
        <v>7.1182121922626012</v>
      </c>
      <c r="Q10" s="12">
        <f t="shared" si="9"/>
        <v>7.0719900351699865</v>
      </c>
      <c r="R10" s="12">
        <f t="shared" si="9"/>
        <v>7.0257678780773718</v>
      </c>
      <c r="S10" s="12">
        <f t="shared" si="9"/>
        <v>6.9795457209847571</v>
      </c>
      <c r="T10" s="16">
        <f>T3/O3*O10</f>
        <v>6.9333235638921442</v>
      </c>
      <c r="U10" s="11">
        <f t="shared" si="10"/>
        <v>6.8672919109026953</v>
      </c>
      <c r="V10" s="12">
        <f t="shared" si="10"/>
        <v>6.8012602579132464</v>
      </c>
      <c r="W10" s="12">
        <f t="shared" si="10"/>
        <v>6.7352286049237975</v>
      </c>
      <c r="X10" s="12">
        <f t="shared" si="10"/>
        <v>6.6691969519343486</v>
      </c>
      <c r="Y10" s="16">
        <f>Y3/T3*T10</f>
        <v>6.6031652989448988</v>
      </c>
      <c r="Z10" s="11">
        <f t="shared" si="11"/>
        <v>6.5371336459554499</v>
      </c>
      <c r="AA10" s="12">
        <f t="shared" si="11"/>
        <v>6.471101992966001</v>
      </c>
      <c r="AB10" s="12">
        <f t="shared" si="11"/>
        <v>6.4050703399765521</v>
      </c>
      <c r="AC10" s="12">
        <f t="shared" si="11"/>
        <v>6.3390386869871032</v>
      </c>
      <c r="AD10" s="16">
        <f>AD3/Y3*Y10</f>
        <v>6.2730070339976534</v>
      </c>
      <c r="AE10" s="11">
        <f t="shared" si="12"/>
        <v>6.2201817116060942</v>
      </c>
      <c r="AF10" s="12">
        <f t="shared" si="12"/>
        <v>6.1673563892145351</v>
      </c>
      <c r="AG10" s="12">
        <f t="shared" si="12"/>
        <v>6.114531066822976</v>
      </c>
      <c r="AH10" s="12">
        <f t="shared" si="12"/>
        <v>6.0617057444314169</v>
      </c>
      <c r="AI10" s="16">
        <f>AI3/AD3*AD10</f>
        <v>6.0088804220398577</v>
      </c>
      <c r="AJ10" s="11">
        <f t="shared" si="13"/>
        <v>5.962658264947243</v>
      </c>
      <c r="AK10" s="12">
        <f t="shared" si="13"/>
        <v>5.9164361078546284</v>
      </c>
      <c r="AL10" s="12">
        <f t="shared" si="13"/>
        <v>5.8702139507620137</v>
      </c>
      <c r="AM10" s="12">
        <f t="shared" si="13"/>
        <v>5.823991793669399</v>
      </c>
      <c r="AN10" s="16">
        <f>AN3/AI3*AI10</f>
        <v>5.7777696365767861</v>
      </c>
      <c r="AO10" s="11">
        <f t="shared" si="14"/>
        <v>5.7447538100820612</v>
      </c>
      <c r="AP10" s="12">
        <f t="shared" si="14"/>
        <v>5.7117379835873363</v>
      </c>
      <c r="AQ10" s="12">
        <f t="shared" si="14"/>
        <v>5.6787221570926114</v>
      </c>
      <c r="AR10" s="12">
        <f t="shared" si="14"/>
        <v>5.6457063305978865</v>
      </c>
      <c r="AS10" s="16">
        <f>AS3/AN3*AN10</f>
        <v>5.6126905041031634</v>
      </c>
    </row>
    <row r="11" spans="1:45" x14ac:dyDescent="0.2">
      <c r="A11" s="17" t="s">
        <v>28</v>
      </c>
      <c r="B11" s="8" t="s">
        <v>31</v>
      </c>
      <c r="C11" s="9" t="s">
        <v>18</v>
      </c>
      <c r="D11" s="8" t="s">
        <v>32</v>
      </c>
      <c r="E11" s="33">
        <v>47116</v>
      </c>
      <c r="F11" s="11">
        <v>46400</v>
      </c>
      <c r="G11" s="29">
        <v>47300</v>
      </c>
      <c r="H11" s="12">
        <f t="shared" ref="H11:I11" si="21">G11+($J11-$G11)/3</f>
        <v>47176.726960516091</v>
      </c>
      <c r="I11" s="12">
        <f t="shared" si="21"/>
        <v>47053.453921032182</v>
      </c>
      <c r="J11" s="19">
        <f>J18/G18*G11</f>
        <v>46930.18088154828</v>
      </c>
      <c r="K11" s="11">
        <f t="shared" si="8"/>
        <v>46093.801420292963</v>
      </c>
      <c r="L11" s="12">
        <f t="shared" si="8"/>
        <v>45257.421959037645</v>
      </c>
      <c r="M11" s="12">
        <f t="shared" si="8"/>
        <v>44421.042497782328</v>
      </c>
      <c r="N11" s="12">
        <f t="shared" si="8"/>
        <v>43584.66303652701</v>
      </c>
      <c r="O11" s="19">
        <f>O18/J18*J11</f>
        <v>42748.2835752717</v>
      </c>
      <c r="P11" s="11">
        <f t="shared" si="9"/>
        <v>41911.904114016383</v>
      </c>
      <c r="Q11" s="12">
        <f t="shared" si="9"/>
        <v>41075.524652761065</v>
      </c>
      <c r="R11" s="12">
        <f t="shared" si="9"/>
        <v>40239.145191505748</v>
      </c>
      <c r="S11" s="12">
        <f t="shared" si="9"/>
        <v>39402.76573025043</v>
      </c>
      <c r="T11" s="19">
        <f>T18/O18*O11</f>
        <v>38566.38626899512</v>
      </c>
      <c r="U11" s="11">
        <f t="shared" si="10"/>
        <v>37730.006807739803</v>
      </c>
      <c r="V11" s="12">
        <f t="shared" si="10"/>
        <v>36893.627346484485</v>
      </c>
      <c r="W11" s="12">
        <f t="shared" si="10"/>
        <v>36057.247885229168</v>
      </c>
      <c r="X11" s="12">
        <f t="shared" si="10"/>
        <v>35220.86842397385</v>
      </c>
      <c r="Y11" s="19">
        <f>Y18/T18*T11</f>
        <v>34384.48896271854</v>
      </c>
      <c r="Z11" s="11">
        <f t="shared" si="11"/>
        <v>33641.040552713814</v>
      </c>
      <c r="AA11" s="12">
        <f t="shared" si="11"/>
        <v>32897.592142709087</v>
      </c>
      <c r="AB11" s="12">
        <f t="shared" si="11"/>
        <v>32154.14373270436</v>
      </c>
      <c r="AC11" s="12">
        <f t="shared" si="11"/>
        <v>31410.695322699634</v>
      </c>
      <c r="AD11" s="19">
        <f>AD18/Y18*Y11</f>
        <v>30667.246912694914</v>
      </c>
      <c r="AE11" s="11">
        <f t="shared" si="12"/>
        <v>30202.59165644196</v>
      </c>
      <c r="AF11" s="12">
        <f t="shared" si="12"/>
        <v>29737.936400189006</v>
      </c>
      <c r="AG11" s="12">
        <f t="shared" si="12"/>
        <v>29273.281143936052</v>
      </c>
      <c r="AH11" s="12">
        <f t="shared" si="12"/>
        <v>28808.625887683098</v>
      </c>
      <c r="AI11" s="19">
        <f>AI18/AD18*AD11</f>
        <v>28343.970631430147</v>
      </c>
      <c r="AJ11" s="11">
        <f t="shared" si="13"/>
        <v>28065.177477678375</v>
      </c>
      <c r="AK11" s="12">
        <f t="shared" si="13"/>
        <v>27786.384323926603</v>
      </c>
      <c r="AL11" s="12">
        <f t="shared" si="13"/>
        <v>27507.59117017483</v>
      </c>
      <c r="AM11" s="12">
        <f t="shared" si="13"/>
        <v>27228.798016423058</v>
      </c>
      <c r="AN11" s="19">
        <f>AN18/AI18*AI11</f>
        <v>26950.004862671285</v>
      </c>
      <c r="AO11" s="11">
        <f t="shared" si="14"/>
        <v>26764.142760170103</v>
      </c>
      <c r="AP11" s="12">
        <f t="shared" si="14"/>
        <v>26578.280657668922</v>
      </c>
      <c r="AQ11" s="12">
        <f t="shared" si="14"/>
        <v>26392.41855516774</v>
      </c>
      <c r="AR11" s="12">
        <f t="shared" si="14"/>
        <v>26206.556452666558</v>
      </c>
      <c r="AS11" s="19">
        <f>AS18/AN18*AN11</f>
        <v>26020.69435016538</v>
      </c>
    </row>
    <row r="12" spans="1:45" x14ac:dyDescent="0.2">
      <c r="A12" s="17" t="s">
        <v>33</v>
      </c>
      <c r="B12" s="8" t="s">
        <v>34</v>
      </c>
      <c r="C12" s="9" t="s">
        <v>18</v>
      </c>
      <c r="D12" s="8" t="s">
        <v>27</v>
      </c>
      <c r="E12" s="35">
        <v>3673.87</v>
      </c>
      <c r="F12" s="11">
        <v>3891.31</v>
      </c>
      <c r="G12" s="29">
        <v>3463.08</v>
      </c>
      <c r="H12" s="12">
        <f t="shared" ref="H12:I12" si="22">G12+($J12-$G12)/3</f>
        <v>3675.3866666666668</v>
      </c>
      <c r="I12" s="12">
        <f t="shared" si="22"/>
        <v>3887.6933333333336</v>
      </c>
      <c r="J12" s="10">
        <v>4100</v>
      </c>
      <c r="K12" s="11">
        <f t="shared" si="8"/>
        <v>4080</v>
      </c>
      <c r="L12" s="12">
        <f t="shared" si="8"/>
        <v>4060</v>
      </c>
      <c r="M12" s="12">
        <f t="shared" si="8"/>
        <v>4040</v>
      </c>
      <c r="N12" s="12">
        <f t="shared" si="8"/>
        <v>4020</v>
      </c>
      <c r="O12" s="10">
        <v>4000</v>
      </c>
      <c r="P12" s="11">
        <f t="shared" si="9"/>
        <v>3950</v>
      </c>
      <c r="Q12" s="12">
        <f t="shared" si="9"/>
        <v>3900</v>
      </c>
      <c r="R12" s="12">
        <f t="shared" si="9"/>
        <v>3850</v>
      </c>
      <c r="S12" s="12">
        <f t="shared" si="9"/>
        <v>3800</v>
      </c>
      <c r="T12" s="10">
        <v>3750</v>
      </c>
      <c r="U12" s="11">
        <f t="shared" si="10"/>
        <v>3690</v>
      </c>
      <c r="V12" s="12">
        <f t="shared" si="10"/>
        <v>3630</v>
      </c>
      <c r="W12" s="12">
        <f t="shared" si="10"/>
        <v>3570</v>
      </c>
      <c r="X12" s="12">
        <f t="shared" si="10"/>
        <v>3510</v>
      </c>
      <c r="Y12" s="10">
        <v>3450</v>
      </c>
      <c r="Z12" s="11">
        <f t="shared" si="11"/>
        <v>3390</v>
      </c>
      <c r="AA12" s="12">
        <f t="shared" si="11"/>
        <v>3330</v>
      </c>
      <c r="AB12" s="12">
        <f t="shared" si="11"/>
        <v>3270</v>
      </c>
      <c r="AC12" s="12">
        <f t="shared" si="11"/>
        <v>3210</v>
      </c>
      <c r="AD12" s="10">
        <v>3150</v>
      </c>
      <c r="AE12" s="11">
        <f t="shared" si="12"/>
        <v>3100</v>
      </c>
      <c r="AF12" s="12">
        <f t="shared" si="12"/>
        <v>3050</v>
      </c>
      <c r="AG12" s="12">
        <f t="shared" si="12"/>
        <v>3000</v>
      </c>
      <c r="AH12" s="12">
        <f t="shared" si="12"/>
        <v>2950</v>
      </c>
      <c r="AI12" s="10">
        <v>2900</v>
      </c>
      <c r="AJ12" s="11">
        <f t="shared" si="13"/>
        <v>2880</v>
      </c>
      <c r="AK12" s="12">
        <f t="shared" si="13"/>
        <v>2860</v>
      </c>
      <c r="AL12" s="12">
        <f t="shared" si="13"/>
        <v>2840</v>
      </c>
      <c r="AM12" s="12">
        <f t="shared" si="13"/>
        <v>2820</v>
      </c>
      <c r="AN12" s="10">
        <v>2800</v>
      </c>
      <c r="AO12" s="11">
        <f t="shared" si="14"/>
        <v>2780</v>
      </c>
      <c r="AP12" s="12">
        <f t="shared" si="14"/>
        <v>2760</v>
      </c>
      <c r="AQ12" s="12">
        <f t="shared" si="14"/>
        <v>2740</v>
      </c>
      <c r="AR12" s="12">
        <f t="shared" si="14"/>
        <v>2720</v>
      </c>
      <c r="AS12" s="10">
        <v>2700</v>
      </c>
    </row>
    <row r="13" spans="1:45" x14ac:dyDescent="0.2">
      <c r="A13" s="17" t="s">
        <v>33</v>
      </c>
      <c r="B13" s="8" t="s">
        <v>35</v>
      </c>
      <c r="C13" s="9" t="s">
        <v>18</v>
      </c>
      <c r="D13" s="8" t="s">
        <v>27</v>
      </c>
      <c r="E13" s="35">
        <v>2812.37</v>
      </c>
      <c r="F13" s="11">
        <v>2913.25</v>
      </c>
      <c r="G13" s="29">
        <v>2920.2</v>
      </c>
      <c r="H13" s="12">
        <f t="shared" ref="H13:I13" si="23">G13+($J13-$G13)/3</f>
        <v>2996.7999999999997</v>
      </c>
      <c r="I13" s="12">
        <f t="shared" si="23"/>
        <v>3073.3999999999996</v>
      </c>
      <c r="J13" s="10">
        <v>3150</v>
      </c>
      <c r="K13" s="11">
        <f t="shared" si="8"/>
        <v>3130</v>
      </c>
      <c r="L13" s="12">
        <f t="shared" si="8"/>
        <v>3110</v>
      </c>
      <c r="M13" s="12">
        <f t="shared" si="8"/>
        <v>3090</v>
      </c>
      <c r="N13" s="12">
        <f t="shared" si="8"/>
        <v>3070</v>
      </c>
      <c r="O13" s="10">
        <v>3050</v>
      </c>
      <c r="P13" s="11">
        <f t="shared" si="9"/>
        <v>3000</v>
      </c>
      <c r="Q13" s="12">
        <f t="shared" si="9"/>
        <v>2950</v>
      </c>
      <c r="R13" s="12">
        <f t="shared" si="9"/>
        <v>2900</v>
      </c>
      <c r="S13" s="12">
        <f t="shared" si="9"/>
        <v>2850</v>
      </c>
      <c r="T13" s="10">
        <v>2800</v>
      </c>
      <c r="U13" s="11">
        <f t="shared" si="10"/>
        <v>2740</v>
      </c>
      <c r="V13" s="12">
        <f t="shared" si="10"/>
        <v>2680</v>
      </c>
      <c r="W13" s="12">
        <f t="shared" si="10"/>
        <v>2620</v>
      </c>
      <c r="X13" s="12">
        <f t="shared" si="10"/>
        <v>2560</v>
      </c>
      <c r="Y13" s="10">
        <v>2500</v>
      </c>
      <c r="Z13" s="11">
        <f t="shared" si="11"/>
        <v>2456</v>
      </c>
      <c r="AA13" s="12">
        <f t="shared" si="11"/>
        <v>2412</v>
      </c>
      <c r="AB13" s="12">
        <f t="shared" si="11"/>
        <v>2368</v>
      </c>
      <c r="AC13" s="12">
        <f t="shared" si="11"/>
        <v>2324</v>
      </c>
      <c r="AD13" s="10">
        <v>2280</v>
      </c>
      <c r="AE13" s="11">
        <f t="shared" si="12"/>
        <v>2254</v>
      </c>
      <c r="AF13" s="12">
        <f t="shared" si="12"/>
        <v>2228</v>
      </c>
      <c r="AG13" s="12">
        <f t="shared" si="12"/>
        <v>2202</v>
      </c>
      <c r="AH13" s="12">
        <f t="shared" si="12"/>
        <v>2176</v>
      </c>
      <c r="AI13" s="10">
        <v>2150</v>
      </c>
      <c r="AJ13" s="11">
        <f t="shared" si="13"/>
        <v>2130</v>
      </c>
      <c r="AK13" s="12">
        <f t="shared" si="13"/>
        <v>2110</v>
      </c>
      <c r="AL13" s="12">
        <f t="shared" si="13"/>
        <v>2090</v>
      </c>
      <c r="AM13" s="12">
        <f t="shared" si="13"/>
        <v>2070</v>
      </c>
      <c r="AN13" s="10">
        <v>2050</v>
      </c>
      <c r="AO13" s="11">
        <f t="shared" si="14"/>
        <v>2040</v>
      </c>
      <c r="AP13" s="12">
        <f t="shared" si="14"/>
        <v>2030</v>
      </c>
      <c r="AQ13" s="12">
        <f t="shared" si="14"/>
        <v>2020</v>
      </c>
      <c r="AR13" s="12">
        <f t="shared" si="14"/>
        <v>2010</v>
      </c>
      <c r="AS13" s="10">
        <v>2000</v>
      </c>
    </row>
    <row r="14" spans="1:45" x14ac:dyDescent="0.2">
      <c r="A14" s="17" t="s">
        <v>33</v>
      </c>
      <c r="B14" s="8" t="s">
        <v>36</v>
      </c>
      <c r="C14" s="9" t="s">
        <v>18</v>
      </c>
      <c r="D14" s="8" t="s">
        <v>27</v>
      </c>
      <c r="E14" s="35">
        <v>2159.96</v>
      </c>
      <c r="F14" s="11">
        <v>2825.67</v>
      </c>
      <c r="G14" s="29">
        <v>2897.51</v>
      </c>
      <c r="H14" s="12">
        <f t="shared" ref="H14:I14" si="24">G14+($J14-$G14)/3</f>
        <v>3148.34</v>
      </c>
      <c r="I14" s="12">
        <f t="shared" si="24"/>
        <v>3399.17</v>
      </c>
      <c r="J14" s="10">
        <v>3650</v>
      </c>
      <c r="K14" s="11">
        <f t="shared" si="8"/>
        <v>3820</v>
      </c>
      <c r="L14" s="12">
        <f t="shared" si="8"/>
        <v>3990</v>
      </c>
      <c r="M14" s="12">
        <f t="shared" si="8"/>
        <v>4160</v>
      </c>
      <c r="N14" s="12">
        <f t="shared" si="8"/>
        <v>4330</v>
      </c>
      <c r="O14" s="10">
        <v>4500</v>
      </c>
      <c r="P14" s="11">
        <f t="shared" si="9"/>
        <v>4560</v>
      </c>
      <c r="Q14" s="12">
        <f t="shared" si="9"/>
        <v>4620</v>
      </c>
      <c r="R14" s="12">
        <f t="shared" si="9"/>
        <v>4680</v>
      </c>
      <c r="S14" s="12">
        <f t="shared" si="9"/>
        <v>4740</v>
      </c>
      <c r="T14" s="10">
        <v>4800</v>
      </c>
      <c r="U14" s="11">
        <f t="shared" si="10"/>
        <v>4780</v>
      </c>
      <c r="V14" s="12">
        <f t="shared" si="10"/>
        <v>4760</v>
      </c>
      <c r="W14" s="12">
        <f t="shared" si="10"/>
        <v>4740</v>
      </c>
      <c r="X14" s="12">
        <f t="shared" si="10"/>
        <v>4720</v>
      </c>
      <c r="Y14" s="10">
        <v>4700</v>
      </c>
      <c r="Z14" s="11">
        <f t="shared" si="11"/>
        <v>4660</v>
      </c>
      <c r="AA14" s="12">
        <f t="shared" si="11"/>
        <v>4620</v>
      </c>
      <c r="AB14" s="12">
        <f t="shared" si="11"/>
        <v>4580</v>
      </c>
      <c r="AC14" s="12">
        <f t="shared" si="11"/>
        <v>4540</v>
      </c>
      <c r="AD14" s="10">
        <v>4500</v>
      </c>
      <c r="AE14" s="11">
        <f t="shared" si="12"/>
        <v>4460</v>
      </c>
      <c r="AF14" s="12">
        <f t="shared" si="12"/>
        <v>4420</v>
      </c>
      <c r="AG14" s="12">
        <f t="shared" si="12"/>
        <v>4380</v>
      </c>
      <c r="AH14" s="12">
        <f t="shared" si="12"/>
        <v>4340</v>
      </c>
      <c r="AI14" s="10">
        <v>4300</v>
      </c>
      <c r="AJ14" s="11">
        <f t="shared" si="13"/>
        <v>4260</v>
      </c>
      <c r="AK14" s="12">
        <f t="shared" si="13"/>
        <v>4220</v>
      </c>
      <c r="AL14" s="12">
        <f t="shared" si="13"/>
        <v>4180</v>
      </c>
      <c r="AM14" s="12">
        <f t="shared" si="13"/>
        <v>4140</v>
      </c>
      <c r="AN14" s="10">
        <v>4100</v>
      </c>
      <c r="AO14" s="11">
        <f t="shared" si="14"/>
        <v>4080</v>
      </c>
      <c r="AP14" s="12">
        <f t="shared" si="14"/>
        <v>4060</v>
      </c>
      <c r="AQ14" s="12">
        <f t="shared" si="14"/>
        <v>4040</v>
      </c>
      <c r="AR14" s="12">
        <f t="shared" si="14"/>
        <v>4020</v>
      </c>
      <c r="AS14" s="10">
        <v>4000</v>
      </c>
    </row>
    <row r="15" spans="1:45" x14ac:dyDescent="0.2">
      <c r="A15" s="17" t="s">
        <v>33</v>
      </c>
      <c r="B15" s="8" t="s">
        <v>37</v>
      </c>
      <c r="C15" s="9" t="s">
        <v>18</v>
      </c>
      <c r="D15" s="8" t="s">
        <v>27</v>
      </c>
      <c r="E15" s="35">
        <v>5117.13</v>
      </c>
      <c r="F15" s="11">
        <v>5189.38</v>
      </c>
      <c r="G15" s="29">
        <v>5321.01</v>
      </c>
      <c r="H15" s="12">
        <f t="shared" ref="H15:I16" si="25">G15+($J15-$G15)/3</f>
        <v>5447.34</v>
      </c>
      <c r="I15" s="12">
        <f t="shared" si="25"/>
        <v>5573.67</v>
      </c>
      <c r="J15" s="10">
        <v>5700</v>
      </c>
      <c r="K15" s="11">
        <f t="shared" si="8"/>
        <v>5734</v>
      </c>
      <c r="L15" s="12">
        <f t="shared" si="8"/>
        <v>5768</v>
      </c>
      <c r="M15" s="12">
        <f t="shared" si="8"/>
        <v>5802</v>
      </c>
      <c r="N15" s="12">
        <f t="shared" si="8"/>
        <v>5836</v>
      </c>
      <c r="O15" s="10">
        <v>5870</v>
      </c>
      <c r="P15" s="11">
        <f t="shared" si="9"/>
        <v>5896</v>
      </c>
      <c r="Q15" s="12">
        <f t="shared" si="9"/>
        <v>5922</v>
      </c>
      <c r="R15" s="12">
        <f t="shared" si="9"/>
        <v>5948</v>
      </c>
      <c r="S15" s="12">
        <f t="shared" si="9"/>
        <v>5974</v>
      </c>
      <c r="T15" s="10">
        <v>6000</v>
      </c>
      <c r="U15" s="11">
        <f t="shared" si="10"/>
        <v>6024</v>
      </c>
      <c r="V15" s="12">
        <f t="shared" si="10"/>
        <v>6048</v>
      </c>
      <c r="W15" s="12">
        <f t="shared" si="10"/>
        <v>6072</v>
      </c>
      <c r="X15" s="12">
        <f t="shared" si="10"/>
        <v>6096</v>
      </c>
      <c r="Y15" s="10">
        <v>6120</v>
      </c>
      <c r="Z15" s="11">
        <f t="shared" si="11"/>
        <v>6140</v>
      </c>
      <c r="AA15" s="12">
        <f t="shared" si="11"/>
        <v>6160</v>
      </c>
      <c r="AB15" s="12">
        <f t="shared" si="11"/>
        <v>6180</v>
      </c>
      <c r="AC15" s="12">
        <f t="shared" si="11"/>
        <v>6200</v>
      </c>
      <c r="AD15" s="10">
        <v>6220</v>
      </c>
      <c r="AE15" s="11">
        <f t="shared" si="12"/>
        <v>6236</v>
      </c>
      <c r="AF15" s="12">
        <f t="shared" si="12"/>
        <v>6252</v>
      </c>
      <c r="AG15" s="12">
        <f t="shared" si="12"/>
        <v>6268</v>
      </c>
      <c r="AH15" s="12">
        <f t="shared" si="12"/>
        <v>6284</v>
      </c>
      <c r="AI15" s="10">
        <v>6300</v>
      </c>
      <c r="AJ15" s="11">
        <f t="shared" si="13"/>
        <v>6320</v>
      </c>
      <c r="AK15" s="12">
        <f t="shared" si="13"/>
        <v>6340</v>
      </c>
      <c r="AL15" s="12">
        <f t="shared" si="13"/>
        <v>6360</v>
      </c>
      <c r="AM15" s="12">
        <f t="shared" si="13"/>
        <v>6380</v>
      </c>
      <c r="AN15" s="10">
        <v>6400</v>
      </c>
      <c r="AO15" s="11">
        <f t="shared" si="14"/>
        <v>6420</v>
      </c>
      <c r="AP15" s="12">
        <f t="shared" si="14"/>
        <v>6440</v>
      </c>
      <c r="AQ15" s="12">
        <f t="shared" si="14"/>
        <v>6460</v>
      </c>
      <c r="AR15" s="12">
        <f t="shared" si="14"/>
        <v>6480</v>
      </c>
      <c r="AS15" s="10">
        <v>6500</v>
      </c>
    </row>
    <row r="16" spans="1:45" x14ac:dyDescent="0.2">
      <c r="A16" s="17" t="s">
        <v>38</v>
      </c>
      <c r="B16" s="8" t="s">
        <v>39</v>
      </c>
      <c r="C16" s="9" t="s">
        <v>18</v>
      </c>
      <c r="D16" s="8" t="s">
        <v>27</v>
      </c>
      <c r="E16" s="35">
        <v>239470.83</v>
      </c>
      <c r="F16" s="11">
        <v>237724.49</v>
      </c>
      <c r="G16" s="29">
        <v>212927.18</v>
      </c>
      <c r="H16" s="12">
        <f t="shared" si="25"/>
        <v>207951.45333333334</v>
      </c>
      <c r="I16" s="12">
        <f t="shared" si="25"/>
        <v>202975.72666666668</v>
      </c>
      <c r="J16" s="10">
        <v>198000</v>
      </c>
      <c r="K16" s="11">
        <f t="shared" si="8"/>
        <v>193400</v>
      </c>
      <c r="L16" s="12">
        <f t="shared" si="8"/>
        <v>188800</v>
      </c>
      <c r="M16" s="12">
        <f t="shared" si="8"/>
        <v>184200</v>
      </c>
      <c r="N16" s="12">
        <f t="shared" si="8"/>
        <v>179600</v>
      </c>
      <c r="O16" s="10">
        <v>175000</v>
      </c>
      <c r="P16" s="11">
        <f t="shared" si="9"/>
        <v>172000</v>
      </c>
      <c r="Q16" s="12">
        <f t="shared" si="9"/>
        <v>169000</v>
      </c>
      <c r="R16" s="12">
        <f t="shared" si="9"/>
        <v>166000</v>
      </c>
      <c r="S16" s="12">
        <f t="shared" si="9"/>
        <v>163000</v>
      </c>
      <c r="T16" s="10">
        <v>160000</v>
      </c>
      <c r="U16" s="11">
        <f t="shared" si="10"/>
        <v>157600</v>
      </c>
      <c r="V16" s="12">
        <f t="shared" si="10"/>
        <v>155200</v>
      </c>
      <c r="W16" s="12">
        <f t="shared" si="10"/>
        <v>152800</v>
      </c>
      <c r="X16" s="12">
        <f t="shared" si="10"/>
        <v>150400</v>
      </c>
      <c r="Y16" s="10">
        <v>148000</v>
      </c>
      <c r="Z16" s="11">
        <f t="shared" si="11"/>
        <v>145400</v>
      </c>
      <c r="AA16" s="12">
        <f t="shared" si="11"/>
        <v>142800</v>
      </c>
      <c r="AB16" s="12">
        <f t="shared" si="11"/>
        <v>140200</v>
      </c>
      <c r="AC16" s="12">
        <f t="shared" si="11"/>
        <v>137600</v>
      </c>
      <c r="AD16" s="10">
        <v>135000</v>
      </c>
      <c r="AE16" s="11">
        <f t="shared" si="12"/>
        <v>132000</v>
      </c>
      <c r="AF16" s="12">
        <f t="shared" si="12"/>
        <v>129000</v>
      </c>
      <c r="AG16" s="12">
        <f t="shared" si="12"/>
        <v>126000</v>
      </c>
      <c r="AH16" s="12">
        <f t="shared" si="12"/>
        <v>123000</v>
      </c>
      <c r="AI16" s="10">
        <v>120000</v>
      </c>
      <c r="AJ16" s="11">
        <f t="shared" si="13"/>
        <v>118000</v>
      </c>
      <c r="AK16" s="12">
        <f t="shared" si="13"/>
        <v>116000</v>
      </c>
      <c r="AL16" s="12">
        <f t="shared" si="13"/>
        <v>114000</v>
      </c>
      <c r="AM16" s="12">
        <f t="shared" si="13"/>
        <v>112000</v>
      </c>
      <c r="AN16" s="10">
        <v>110000</v>
      </c>
      <c r="AO16" s="11">
        <f t="shared" si="14"/>
        <v>108000</v>
      </c>
      <c r="AP16" s="12">
        <f t="shared" si="14"/>
        <v>106000</v>
      </c>
      <c r="AQ16" s="12">
        <f t="shared" si="14"/>
        <v>104000</v>
      </c>
      <c r="AR16" s="12">
        <f t="shared" si="14"/>
        <v>102000</v>
      </c>
      <c r="AS16" s="10">
        <v>100000</v>
      </c>
    </row>
    <row r="17" spans="1:45" x14ac:dyDescent="0.2">
      <c r="A17" s="17" t="s">
        <v>38</v>
      </c>
      <c r="B17" s="8" t="s">
        <v>40</v>
      </c>
      <c r="C17" s="9" t="s">
        <v>41</v>
      </c>
      <c r="D17" s="8" t="s">
        <v>27</v>
      </c>
      <c r="E17" s="35">
        <v>95227.79</v>
      </c>
      <c r="F17" s="11">
        <v>101727.37</v>
      </c>
      <c r="G17" s="29">
        <v>101668.65</v>
      </c>
      <c r="H17" s="12">
        <f t="shared" ref="H17:I17" si="26">G17+($J17-$G17)/3</f>
        <v>99879.099999999991</v>
      </c>
      <c r="I17" s="12">
        <f t="shared" si="26"/>
        <v>98089.549999999988</v>
      </c>
      <c r="J17" s="10">
        <v>96300</v>
      </c>
      <c r="K17" s="11">
        <f t="shared" si="8"/>
        <v>95440</v>
      </c>
      <c r="L17" s="12">
        <f t="shared" si="8"/>
        <v>94580</v>
      </c>
      <c r="M17" s="12">
        <f t="shared" si="8"/>
        <v>93720</v>
      </c>
      <c r="N17" s="12">
        <f t="shared" si="8"/>
        <v>92860</v>
      </c>
      <c r="O17" s="10">
        <v>92000</v>
      </c>
      <c r="P17" s="11">
        <f t="shared" si="9"/>
        <v>91000</v>
      </c>
      <c r="Q17" s="12">
        <f t="shared" si="9"/>
        <v>90000</v>
      </c>
      <c r="R17" s="12">
        <f t="shared" si="9"/>
        <v>89000</v>
      </c>
      <c r="S17" s="12">
        <f t="shared" si="9"/>
        <v>88000</v>
      </c>
      <c r="T17" s="10">
        <v>87000</v>
      </c>
      <c r="U17" s="11">
        <f t="shared" si="10"/>
        <v>86400</v>
      </c>
      <c r="V17" s="12">
        <f t="shared" si="10"/>
        <v>85800</v>
      </c>
      <c r="W17" s="12">
        <f t="shared" si="10"/>
        <v>85200</v>
      </c>
      <c r="X17" s="12">
        <f t="shared" si="10"/>
        <v>84600</v>
      </c>
      <c r="Y17" s="10">
        <v>84000</v>
      </c>
      <c r="Z17" s="11">
        <f t="shared" si="11"/>
        <v>83200</v>
      </c>
      <c r="AA17" s="12">
        <f t="shared" si="11"/>
        <v>82400</v>
      </c>
      <c r="AB17" s="12">
        <f t="shared" si="11"/>
        <v>81600</v>
      </c>
      <c r="AC17" s="12">
        <f t="shared" si="11"/>
        <v>80800</v>
      </c>
      <c r="AD17" s="10">
        <v>80000</v>
      </c>
      <c r="AE17" s="11">
        <f t="shared" si="12"/>
        <v>79400</v>
      </c>
      <c r="AF17" s="12">
        <f t="shared" si="12"/>
        <v>78800</v>
      </c>
      <c r="AG17" s="12">
        <f t="shared" si="12"/>
        <v>78200</v>
      </c>
      <c r="AH17" s="12">
        <f t="shared" si="12"/>
        <v>77600</v>
      </c>
      <c r="AI17" s="10">
        <v>77000</v>
      </c>
      <c r="AJ17" s="11">
        <f t="shared" si="13"/>
        <v>76400</v>
      </c>
      <c r="AK17" s="12">
        <f t="shared" si="13"/>
        <v>75800</v>
      </c>
      <c r="AL17" s="12">
        <f t="shared" si="13"/>
        <v>75200</v>
      </c>
      <c r="AM17" s="12">
        <f t="shared" si="13"/>
        <v>74600</v>
      </c>
      <c r="AN17" s="10">
        <v>74000</v>
      </c>
      <c r="AO17" s="11">
        <f t="shared" si="14"/>
        <v>73600</v>
      </c>
      <c r="AP17" s="12">
        <f t="shared" si="14"/>
        <v>73200</v>
      </c>
      <c r="AQ17" s="12">
        <f t="shared" si="14"/>
        <v>72800</v>
      </c>
      <c r="AR17" s="12">
        <f t="shared" si="14"/>
        <v>72400</v>
      </c>
      <c r="AS17" s="10">
        <v>72000</v>
      </c>
    </row>
    <row r="18" spans="1:45" x14ac:dyDescent="0.2">
      <c r="A18" s="18" t="s">
        <v>42</v>
      </c>
      <c r="B18" s="8" t="s">
        <v>43</v>
      </c>
      <c r="C18" s="9" t="s">
        <v>18</v>
      </c>
      <c r="D18" s="8" t="s">
        <v>27</v>
      </c>
      <c r="E18" s="35">
        <v>106476.68</v>
      </c>
      <c r="F18" s="11">
        <v>103524.26</v>
      </c>
      <c r="G18" s="29">
        <v>101795.9</v>
      </c>
      <c r="H18" s="12">
        <v>101900</v>
      </c>
      <c r="I18" s="12">
        <v>100000</v>
      </c>
      <c r="J18" s="10">
        <v>101000</v>
      </c>
      <c r="K18" s="11">
        <f t="shared" si="8"/>
        <v>99200</v>
      </c>
      <c r="L18" s="12">
        <f t="shared" si="8"/>
        <v>97400</v>
      </c>
      <c r="M18" s="12">
        <f t="shared" si="8"/>
        <v>95600</v>
      </c>
      <c r="N18" s="12">
        <f t="shared" si="8"/>
        <v>93800</v>
      </c>
      <c r="O18" s="10">
        <v>92000</v>
      </c>
      <c r="P18" s="11">
        <f t="shared" si="9"/>
        <v>90200</v>
      </c>
      <c r="Q18" s="12">
        <f t="shared" si="9"/>
        <v>88400</v>
      </c>
      <c r="R18" s="12">
        <f t="shared" si="9"/>
        <v>86600</v>
      </c>
      <c r="S18" s="12">
        <f t="shared" si="9"/>
        <v>84800</v>
      </c>
      <c r="T18" s="10">
        <v>83000</v>
      </c>
      <c r="U18" s="11">
        <f t="shared" si="10"/>
        <v>81200</v>
      </c>
      <c r="V18" s="12">
        <f t="shared" si="10"/>
        <v>79400</v>
      </c>
      <c r="W18" s="12">
        <f t="shared" si="10"/>
        <v>77600</v>
      </c>
      <c r="X18" s="12">
        <f t="shared" si="10"/>
        <v>75800</v>
      </c>
      <c r="Y18" s="10">
        <v>74000</v>
      </c>
      <c r="Z18" s="11">
        <f t="shared" si="11"/>
        <v>72400</v>
      </c>
      <c r="AA18" s="12">
        <f t="shared" si="11"/>
        <v>70800</v>
      </c>
      <c r="AB18" s="12">
        <f t="shared" si="11"/>
        <v>69200</v>
      </c>
      <c r="AC18" s="12">
        <f t="shared" si="11"/>
        <v>67600</v>
      </c>
      <c r="AD18" s="10">
        <v>66000</v>
      </c>
      <c r="AE18" s="11">
        <f t="shared" si="12"/>
        <v>65000</v>
      </c>
      <c r="AF18" s="12">
        <f t="shared" si="12"/>
        <v>64000</v>
      </c>
      <c r="AG18" s="12">
        <f t="shared" si="12"/>
        <v>63000</v>
      </c>
      <c r="AH18" s="12">
        <f t="shared" si="12"/>
        <v>62000</v>
      </c>
      <c r="AI18" s="10">
        <v>61000</v>
      </c>
      <c r="AJ18" s="11">
        <f t="shared" si="13"/>
        <v>60400</v>
      </c>
      <c r="AK18" s="12">
        <f t="shared" si="13"/>
        <v>59800</v>
      </c>
      <c r="AL18" s="12">
        <f t="shared" si="13"/>
        <v>59200</v>
      </c>
      <c r="AM18" s="12">
        <f t="shared" si="13"/>
        <v>58600</v>
      </c>
      <c r="AN18" s="10">
        <v>58000</v>
      </c>
      <c r="AO18" s="11">
        <f t="shared" si="14"/>
        <v>57600</v>
      </c>
      <c r="AP18" s="12">
        <f t="shared" si="14"/>
        <v>57200</v>
      </c>
      <c r="AQ18" s="12">
        <f t="shared" si="14"/>
        <v>56800</v>
      </c>
      <c r="AR18" s="12">
        <f t="shared" si="14"/>
        <v>56400</v>
      </c>
      <c r="AS18" s="10">
        <v>56000</v>
      </c>
    </row>
    <row r="19" spans="1:45" x14ac:dyDescent="0.2">
      <c r="A19" s="17" t="s">
        <v>44</v>
      </c>
      <c r="B19" s="8" t="s">
        <v>45</v>
      </c>
      <c r="C19" s="9" t="s">
        <v>18</v>
      </c>
      <c r="D19" s="8" t="s">
        <v>27</v>
      </c>
      <c r="E19" s="33">
        <v>3708.04</v>
      </c>
      <c r="F19" s="11">
        <v>3850.32</v>
      </c>
      <c r="G19" s="29">
        <v>4014.43</v>
      </c>
      <c r="H19" s="12">
        <f t="shared" ref="H19:I19" si="27">G19+($J19-$G19)/3</f>
        <v>4109.62</v>
      </c>
      <c r="I19" s="12">
        <f t="shared" si="27"/>
        <v>4204.8099999999995</v>
      </c>
      <c r="J19" s="10">
        <v>4300</v>
      </c>
      <c r="K19" s="11">
        <f t="shared" ref="K19:N21" si="28">J19+($O19-$J19)/5</f>
        <v>4280</v>
      </c>
      <c r="L19" s="12">
        <f t="shared" si="28"/>
        <v>4260</v>
      </c>
      <c r="M19" s="12">
        <f t="shared" si="28"/>
        <v>4240</v>
      </c>
      <c r="N19" s="12">
        <f t="shared" si="28"/>
        <v>4220</v>
      </c>
      <c r="O19" s="10">
        <v>4200</v>
      </c>
      <c r="P19" s="11">
        <f t="shared" ref="P19:S21" si="29">O19+($T19-$O19)/5</f>
        <v>4150</v>
      </c>
      <c r="Q19" s="12">
        <f t="shared" si="29"/>
        <v>4100</v>
      </c>
      <c r="R19" s="12">
        <f t="shared" si="29"/>
        <v>4050</v>
      </c>
      <c r="S19" s="12">
        <f t="shared" si="29"/>
        <v>4000</v>
      </c>
      <c r="T19" s="10">
        <v>3950</v>
      </c>
      <c r="U19" s="11">
        <f t="shared" ref="U19:X21" si="30">T19+($Y19-$T19)/5</f>
        <v>3900</v>
      </c>
      <c r="V19" s="12">
        <f t="shared" si="30"/>
        <v>3850</v>
      </c>
      <c r="W19" s="12">
        <f t="shared" si="30"/>
        <v>3800</v>
      </c>
      <c r="X19" s="12">
        <f t="shared" si="30"/>
        <v>3750</v>
      </c>
      <c r="Y19" s="10">
        <v>3700</v>
      </c>
      <c r="Z19" s="11">
        <f t="shared" ref="Z19:AC21" si="31">Y19+($AD19-$Y19)/5</f>
        <v>3670</v>
      </c>
      <c r="AA19" s="12">
        <f t="shared" si="31"/>
        <v>3640</v>
      </c>
      <c r="AB19" s="12">
        <f t="shared" si="31"/>
        <v>3610</v>
      </c>
      <c r="AC19" s="12">
        <f t="shared" si="31"/>
        <v>3580</v>
      </c>
      <c r="AD19" s="10">
        <v>3550</v>
      </c>
      <c r="AE19" s="11">
        <f t="shared" ref="AE19:AH21" si="32">AD19+($AI19-$AD19)/5</f>
        <v>3514</v>
      </c>
      <c r="AF19" s="12">
        <f t="shared" si="32"/>
        <v>3478</v>
      </c>
      <c r="AG19" s="12">
        <f t="shared" si="32"/>
        <v>3442</v>
      </c>
      <c r="AH19" s="12">
        <f t="shared" si="32"/>
        <v>3406</v>
      </c>
      <c r="AI19" s="10">
        <v>3370</v>
      </c>
      <c r="AJ19" s="11">
        <f t="shared" ref="AJ19:AM21" si="33">AI19+($AN19-$AI19)/5</f>
        <v>3336</v>
      </c>
      <c r="AK19" s="12">
        <f t="shared" si="33"/>
        <v>3302</v>
      </c>
      <c r="AL19" s="12">
        <f t="shared" si="33"/>
        <v>3268</v>
      </c>
      <c r="AM19" s="12">
        <f t="shared" si="33"/>
        <v>3234</v>
      </c>
      <c r="AN19" s="10">
        <v>3200</v>
      </c>
      <c r="AO19" s="11">
        <f t="shared" ref="AO19:AR21" si="34">AN19+($AS19-$AN19)/5</f>
        <v>3180</v>
      </c>
      <c r="AP19" s="12">
        <f t="shared" si="34"/>
        <v>3160</v>
      </c>
      <c r="AQ19" s="12">
        <f t="shared" si="34"/>
        <v>3140</v>
      </c>
      <c r="AR19" s="12">
        <f t="shared" si="34"/>
        <v>3120</v>
      </c>
      <c r="AS19" s="10">
        <v>3100</v>
      </c>
    </row>
    <row r="20" spans="1:45" x14ac:dyDescent="0.2">
      <c r="A20" s="17" t="s">
        <v>44</v>
      </c>
      <c r="B20" s="8" t="s">
        <v>46</v>
      </c>
      <c r="C20" s="9" t="s">
        <v>18</v>
      </c>
      <c r="D20" s="8" t="s">
        <v>47</v>
      </c>
      <c r="E20" s="33">
        <v>1002.51</v>
      </c>
      <c r="F20" s="11">
        <v>1048.67</v>
      </c>
      <c r="G20" s="29">
        <v>1111.53</v>
      </c>
      <c r="H20" s="12">
        <f t="shared" ref="H20:I20" si="35">G20+($J20-$G20)/3</f>
        <v>1241.02</v>
      </c>
      <c r="I20" s="12">
        <f t="shared" si="35"/>
        <v>1370.51</v>
      </c>
      <c r="J20" s="10">
        <v>1500</v>
      </c>
      <c r="K20" s="11">
        <f t="shared" si="28"/>
        <v>1540</v>
      </c>
      <c r="L20" s="12">
        <f t="shared" si="28"/>
        <v>1580</v>
      </c>
      <c r="M20" s="12">
        <f t="shared" si="28"/>
        <v>1620</v>
      </c>
      <c r="N20" s="12">
        <f t="shared" si="28"/>
        <v>1660</v>
      </c>
      <c r="O20" s="10">
        <v>1700</v>
      </c>
      <c r="P20" s="11">
        <f t="shared" si="29"/>
        <v>1720</v>
      </c>
      <c r="Q20" s="12">
        <f t="shared" si="29"/>
        <v>1740</v>
      </c>
      <c r="R20" s="12">
        <f t="shared" si="29"/>
        <v>1760</v>
      </c>
      <c r="S20" s="12">
        <f t="shared" si="29"/>
        <v>1780</v>
      </c>
      <c r="T20" s="10">
        <v>1800</v>
      </c>
      <c r="U20" s="11">
        <f t="shared" si="30"/>
        <v>1816</v>
      </c>
      <c r="V20" s="12">
        <f t="shared" si="30"/>
        <v>1832</v>
      </c>
      <c r="W20" s="12">
        <f t="shared" si="30"/>
        <v>1848</v>
      </c>
      <c r="X20" s="12">
        <f t="shared" si="30"/>
        <v>1864</v>
      </c>
      <c r="Y20" s="10">
        <v>1880</v>
      </c>
      <c r="Z20" s="11">
        <f t="shared" si="31"/>
        <v>1876</v>
      </c>
      <c r="AA20" s="12">
        <f t="shared" si="31"/>
        <v>1872</v>
      </c>
      <c r="AB20" s="12">
        <f t="shared" si="31"/>
        <v>1868</v>
      </c>
      <c r="AC20" s="12">
        <f t="shared" si="31"/>
        <v>1864</v>
      </c>
      <c r="AD20" s="10">
        <v>1860</v>
      </c>
      <c r="AE20" s="11">
        <f t="shared" si="32"/>
        <v>1848</v>
      </c>
      <c r="AF20" s="12">
        <f t="shared" si="32"/>
        <v>1836</v>
      </c>
      <c r="AG20" s="12">
        <f t="shared" si="32"/>
        <v>1824</v>
      </c>
      <c r="AH20" s="12">
        <f t="shared" si="32"/>
        <v>1812</v>
      </c>
      <c r="AI20" s="10">
        <v>1800</v>
      </c>
      <c r="AJ20" s="11">
        <f t="shared" si="33"/>
        <v>1796</v>
      </c>
      <c r="AK20" s="12">
        <f t="shared" si="33"/>
        <v>1792</v>
      </c>
      <c r="AL20" s="12">
        <f t="shared" si="33"/>
        <v>1788</v>
      </c>
      <c r="AM20" s="12">
        <f t="shared" si="33"/>
        <v>1784</v>
      </c>
      <c r="AN20" s="10">
        <v>1780</v>
      </c>
      <c r="AO20" s="11">
        <f t="shared" si="34"/>
        <v>1778</v>
      </c>
      <c r="AP20" s="12">
        <f t="shared" si="34"/>
        <v>1776</v>
      </c>
      <c r="AQ20" s="12">
        <f t="shared" si="34"/>
        <v>1774</v>
      </c>
      <c r="AR20" s="12">
        <f t="shared" si="34"/>
        <v>1772</v>
      </c>
      <c r="AS20" s="10">
        <v>1770</v>
      </c>
    </row>
    <row r="21" spans="1:45" x14ac:dyDescent="0.2">
      <c r="A21" s="20" t="s">
        <v>48</v>
      </c>
      <c r="B21" s="21" t="s">
        <v>49</v>
      </c>
      <c r="C21" s="22" t="s">
        <v>50</v>
      </c>
      <c r="D21" s="21" t="s">
        <v>51</v>
      </c>
      <c r="E21" s="36">
        <v>2532.4899999999998</v>
      </c>
      <c r="F21" s="24">
        <v>2625.7</v>
      </c>
      <c r="G21" s="30">
        <v>2713.63</v>
      </c>
      <c r="H21" s="25">
        <f t="shared" ref="H21:I21" si="36">G21+($J21-$G21)/3</f>
        <v>2990.9153333333334</v>
      </c>
      <c r="I21" s="25">
        <f t="shared" si="36"/>
        <v>3268.2006666666666</v>
      </c>
      <c r="J21" s="23">
        <f>E21*(2800/2000)</f>
        <v>3545.4859999999994</v>
      </c>
      <c r="K21" s="24">
        <f t="shared" si="28"/>
        <v>3650.5374370370364</v>
      </c>
      <c r="L21" s="25">
        <f t="shared" si="28"/>
        <v>3755.5888740740734</v>
      </c>
      <c r="M21" s="25">
        <f t="shared" si="28"/>
        <v>3860.6403111111103</v>
      </c>
      <c r="N21" s="25">
        <f t="shared" si="28"/>
        <v>3965.6917481481473</v>
      </c>
      <c r="O21" s="23">
        <f>J21*(3100/2700)</f>
        <v>4070.7431851851843</v>
      </c>
      <c r="P21" s="24">
        <f t="shared" si="29"/>
        <v>4123.2689037037026</v>
      </c>
      <c r="Q21" s="25">
        <f t="shared" si="29"/>
        <v>4175.7946222222208</v>
      </c>
      <c r="R21" s="25">
        <f t="shared" si="29"/>
        <v>4228.3203407407391</v>
      </c>
      <c r="S21" s="25">
        <f t="shared" si="29"/>
        <v>4280.8460592592573</v>
      </c>
      <c r="T21" s="23">
        <f>O21*(3300/3100)</f>
        <v>4333.3717777777765</v>
      </c>
      <c r="U21" s="24">
        <f t="shared" si="30"/>
        <v>4372.7660666666652</v>
      </c>
      <c r="V21" s="25">
        <f t="shared" si="30"/>
        <v>4412.1603555555539</v>
      </c>
      <c r="W21" s="25">
        <f t="shared" si="30"/>
        <v>4451.5546444444426</v>
      </c>
      <c r="X21" s="25">
        <f t="shared" si="30"/>
        <v>4490.9489333333313</v>
      </c>
      <c r="Y21" s="23">
        <f>T21*(3450/3300)</f>
        <v>4530.3432222222209</v>
      </c>
      <c r="Z21" s="24">
        <f t="shared" si="31"/>
        <v>4544.2827398290583</v>
      </c>
      <c r="AA21" s="25">
        <f t="shared" si="31"/>
        <v>4558.2222574358957</v>
      </c>
      <c r="AB21" s="25">
        <f t="shared" si="31"/>
        <v>4572.1617750427331</v>
      </c>
      <c r="AC21" s="25">
        <f t="shared" si="31"/>
        <v>4586.1012926495705</v>
      </c>
      <c r="AD21" s="23">
        <f>Y21*(3300/3250)</f>
        <v>4600.0408102564088</v>
      </c>
      <c r="AE21" s="24">
        <f t="shared" si="32"/>
        <v>4585.6656827243578</v>
      </c>
      <c r="AF21" s="25">
        <f t="shared" si="32"/>
        <v>4571.2905551923068</v>
      </c>
      <c r="AG21" s="25">
        <f t="shared" si="32"/>
        <v>4556.9154276602558</v>
      </c>
      <c r="AH21" s="25">
        <f t="shared" si="32"/>
        <v>4542.5403001282048</v>
      </c>
      <c r="AI21" s="23">
        <f>AD21*(3150/3200)</f>
        <v>4528.1651725961528</v>
      </c>
      <c r="AJ21" s="24">
        <f t="shared" si="33"/>
        <v>4522.4151215833326</v>
      </c>
      <c r="AK21" s="25">
        <f t="shared" si="33"/>
        <v>4516.6650705705124</v>
      </c>
      <c r="AL21" s="25">
        <f t="shared" si="33"/>
        <v>4510.9150195576922</v>
      </c>
      <c r="AM21" s="25">
        <f t="shared" si="33"/>
        <v>4505.164968544872</v>
      </c>
      <c r="AN21" s="23">
        <f>AI21*(3130/3150)</f>
        <v>4499.4149175320508</v>
      </c>
      <c r="AO21" s="24">
        <f t="shared" si="34"/>
        <v>4490.78984101282</v>
      </c>
      <c r="AP21" s="25">
        <f t="shared" si="34"/>
        <v>4482.1647644935892</v>
      </c>
      <c r="AQ21" s="25">
        <f t="shared" si="34"/>
        <v>4473.5396879743585</v>
      </c>
      <c r="AR21" s="25">
        <f t="shared" si="34"/>
        <v>4464.9146114551277</v>
      </c>
      <c r="AS21" s="23">
        <f>AN21*(3100/3130)</f>
        <v>4456.2895349358969</v>
      </c>
    </row>
  </sheetData>
  <phoneticPr fontId="3" type="noConversion"/>
  <hyperlinks>
    <hyperlink ref="D8" r:id="rId1" display="https://www.sohu.com/a/716515038_121388092" xr:uid="{05814994-DCB2-4B62-9387-3E63C3A86E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高情景</vt:lpstr>
      <vt:lpstr>中情景</vt:lpstr>
      <vt:lpstr>低情景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2024-07-16T08:42:40Z</dcterms:modified>
</cp:coreProperties>
</file>